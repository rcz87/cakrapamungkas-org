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emplate Project\Smart Business Owner\Forecasts\"/>
    </mc:Choice>
  </mc:AlternateContent>
  <xr:revisionPtr revIDLastSave="0" documentId="13_ncr:1_{8DD9AB12-6E00-4058-8A1B-078E35252E97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epreciation" sheetId="1" r:id="rId1"/>
  </sheets>
  <definedNames>
    <definedName name="_xlnm.Print_Area" localSheetId="0">Depreciation!$B$2:$K$20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8" i="1" l="1"/>
  <c r="H5" i="1"/>
  <c r="H6" i="1" s="1"/>
  <c r="K5" i="1"/>
  <c r="I5" i="1" l="1"/>
  <c r="J5" i="1" s="1"/>
  <c r="I6" i="1"/>
  <c r="J6" i="1" s="1"/>
  <c r="K6" i="1" s="1"/>
  <c r="H7" i="1"/>
  <c r="I7" i="1" l="1"/>
  <c r="J7" i="1" s="1"/>
  <c r="K7" i="1" s="1"/>
  <c r="H8" i="1"/>
  <c r="H9" i="1" l="1"/>
  <c r="I8" i="1"/>
  <c r="J8" i="1" s="1"/>
  <c r="K8" i="1" s="1"/>
  <c r="I9" i="1" l="1"/>
  <c r="J9" i="1" s="1"/>
  <c r="K9" i="1" s="1"/>
  <c r="H10" i="1"/>
  <c r="I10" i="1" l="1"/>
  <c r="J10" i="1" s="1"/>
  <c r="K10" i="1" s="1"/>
  <c r="H11" i="1"/>
  <c r="I11" i="1" l="1"/>
  <c r="J11" i="1" s="1"/>
  <c r="K11" i="1" s="1"/>
  <c r="H12" i="1"/>
  <c r="H13" i="1" l="1"/>
  <c r="I12" i="1"/>
  <c r="J12" i="1" s="1"/>
  <c r="K12" i="1" s="1"/>
  <c r="H14" i="1" l="1"/>
  <c r="I13" i="1"/>
  <c r="J13" i="1" s="1"/>
  <c r="K13" i="1" s="1"/>
  <c r="I14" i="1" l="1"/>
  <c r="J14" i="1" s="1"/>
  <c r="K14" i="1" s="1"/>
  <c r="H15" i="1"/>
  <c r="I15" i="1" l="1"/>
  <c r="J15" i="1" s="1"/>
  <c r="K15" i="1" s="1"/>
  <c r="H16" i="1"/>
  <c r="H17" i="1" l="1"/>
  <c r="I16" i="1"/>
  <c r="J16" i="1" s="1"/>
  <c r="K16" i="1" s="1"/>
  <c r="I17" i="1" l="1"/>
  <c r="J17" i="1" s="1"/>
  <c r="K17" i="1" s="1"/>
  <c r="H18" i="1"/>
  <c r="I18" i="1" l="1"/>
  <c r="J18" i="1" s="1"/>
  <c r="K18" i="1" s="1"/>
  <c r="H19" i="1"/>
  <c r="I19" i="1" l="1"/>
  <c r="J19" i="1" s="1"/>
  <c r="K19" i="1" s="1"/>
  <c r="H20" i="1"/>
  <c r="I20" i="1" s="1"/>
  <c r="J20" i="1" l="1"/>
  <c r="K20" i="1" s="1"/>
</calcChain>
</file>

<file path=xl/sharedStrings.xml><?xml version="1.0" encoding="utf-8"?>
<sst xmlns="http://schemas.openxmlformats.org/spreadsheetml/2006/main" count="25" uniqueCount="20">
  <si>
    <t>Salvage</t>
  </si>
  <si>
    <t>Life</t>
  </si>
  <si>
    <t>Debet</t>
  </si>
  <si>
    <t>Total</t>
  </si>
  <si>
    <t>Book Value</t>
  </si>
  <si>
    <t>:</t>
  </si>
  <si>
    <t>Electronics</t>
  </si>
  <si>
    <t>Freezer</t>
  </si>
  <si>
    <t>INFORMASI PENYUSUTAN</t>
  </si>
  <si>
    <t>Nama Item</t>
  </si>
  <si>
    <t>Kategori</t>
  </si>
  <si>
    <t>Biaya</t>
  </si>
  <si>
    <t>Metode</t>
  </si>
  <si>
    <t>IDR</t>
  </si>
  <si>
    <t>Tahun</t>
  </si>
  <si>
    <t>Depresiasi Garis Lurus</t>
  </si>
  <si>
    <t>Depresiasi Jumlah Digit Tahun</t>
  </si>
  <si>
    <t>Saldo Menurun</t>
  </si>
  <si>
    <t>Akhir tahun</t>
  </si>
  <si>
    <t>PUTUSAN DEPRESIASI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</si>
</sst>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color indexed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1" fillId="0" borderId="3" xfId="0" applyFont="1" applyBorder="1" applyAlignment="1">
      <alignment horizontal="center" vertical="center"/>
    </xf>
    <xf numFmtId="164" fontId="1" fillId="0" borderId="3" xfId="1" applyFont="1" applyBorder="1" applyAlignment="1">
      <alignment vertical="center"/>
    </xf>
    <xf numFmtId="164" fontId="1" fillId="0" borderId="0" xfId="1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164" fontId="1" fillId="0" borderId="2" xfId="1" applyFont="1" applyBorder="1" applyAlignment="1">
      <alignment vertical="center"/>
    </xf>
    <xf numFmtId="165" fontId="1" fillId="0" borderId="0" xfId="1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">
    <dxf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Radio" checked="Checked" firstButton="1" fmlaLink="$C$10" lockText="1"/>
</file>

<file path=xl/ctrlProps/ctrlProp2.xml><?xml version="1.0" encoding="utf-8"?>
<formControlPr xmlns="http://schemas.microsoft.com/office/spreadsheetml/2009/9/main" objectType="Radio" lockText="1"/>
</file>

<file path=xl/ctrlProps/ctrlProp3.xml><?xml version="1.0" encoding="utf-8"?>
<formControlPr xmlns="http://schemas.microsoft.com/office/spreadsheetml/2009/9/main" objectType="Radio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7</xdr:row>
          <xdr:rowOff>171450</xdr:rowOff>
        </xdr:from>
        <xdr:to>
          <xdr:col>3</xdr:col>
          <xdr:colOff>28575</xdr:colOff>
          <xdr:row>9</xdr:row>
          <xdr:rowOff>9525</xdr:rowOff>
        </xdr:to>
        <xdr:sp macro="" textlink="">
          <xdr:nvSpPr>
            <xdr:cNvPr id="1026" name="Option 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8</xdr:row>
          <xdr:rowOff>180975</xdr:rowOff>
        </xdr:from>
        <xdr:to>
          <xdr:col>3</xdr:col>
          <xdr:colOff>28575</xdr:colOff>
          <xdr:row>10</xdr:row>
          <xdr:rowOff>19050</xdr:rowOff>
        </xdr:to>
        <xdr:sp macro="" textlink="">
          <xdr:nvSpPr>
            <xdr:cNvPr id="1027" name="Option 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9</xdr:row>
          <xdr:rowOff>180975</xdr:rowOff>
        </xdr:from>
        <xdr:to>
          <xdr:col>3</xdr:col>
          <xdr:colOff>28575</xdr:colOff>
          <xdr:row>11</xdr:row>
          <xdr:rowOff>19050</xdr:rowOff>
        </xdr:to>
        <xdr:sp macro="" textlink="">
          <xdr:nvSpPr>
            <xdr:cNvPr id="1028" name="Option 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28"/>
  <sheetViews>
    <sheetView showGridLines="0" showRowColHeaders="0" tabSelected="1" topLeftCell="A7" workbookViewId="0">
      <selection activeCell="M14" sqref="M14"/>
    </sheetView>
  </sheetViews>
  <sheetFormatPr defaultColWidth="9.140625" defaultRowHeight="12.75" x14ac:dyDescent="0.2"/>
  <cols>
    <col min="1" max="1" width="1.7109375" style="1" customWidth="1"/>
    <col min="2" max="2" width="15.7109375" style="1" customWidth="1"/>
    <col min="3" max="3" width="5" style="1" customWidth="1"/>
    <col min="4" max="4" width="24.140625" style="1" customWidth="1"/>
    <col min="5" max="5" width="18.85546875" style="1" customWidth="1"/>
    <col min="6" max="7" width="2.85546875" style="1" customWidth="1"/>
    <col min="8" max="8" width="13.5703125" style="1" customWidth="1"/>
    <col min="9" max="11" width="17.7109375" style="1" bestFit="1" customWidth="1"/>
    <col min="12" max="12" width="1.7109375" style="1" customWidth="1"/>
    <col min="13" max="16384" width="9.140625" style="1"/>
  </cols>
  <sheetData>
    <row r="1" spans="2:11" ht="10.15" customHeight="1" x14ac:dyDescent="0.2"/>
    <row r="2" spans="2:11" ht="15" customHeight="1" x14ac:dyDescent="0.2">
      <c r="B2" s="11" t="s">
        <v>8</v>
      </c>
      <c r="C2" s="11"/>
      <c r="D2" s="11"/>
      <c r="E2" s="11"/>
      <c r="H2" s="11" t="s">
        <v>19</v>
      </c>
      <c r="I2" s="11"/>
      <c r="J2" s="11"/>
      <c r="K2" s="11"/>
    </row>
    <row r="3" spans="2:11" ht="15" customHeight="1" x14ac:dyDescent="0.2"/>
    <row r="4" spans="2:11" ht="15" customHeight="1" thickBot="1" x14ac:dyDescent="0.25">
      <c r="B4" s="1" t="s">
        <v>9</v>
      </c>
      <c r="C4" s="2" t="s">
        <v>5</v>
      </c>
      <c r="D4" s="3" t="s">
        <v>7</v>
      </c>
      <c r="H4" s="12" t="s">
        <v>18</v>
      </c>
      <c r="I4" s="12" t="s">
        <v>2</v>
      </c>
      <c r="J4" s="12" t="s">
        <v>3</v>
      </c>
      <c r="K4" s="12" t="s">
        <v>4</v>
      </c>
    </row>
    <row r="5" spans="2:11" ht="15" customHeight="1" x14ac:dyDescent="0.2">
      <c r="B5" s="1" t="s">
        <v>10</v>
      </c>
      <c r="C5" s="2" t="s">
        <v>5</v>
      </c>
      <c r="D5" s="3" t="s">
        <v>6</v>
      </c>
      <c r="H5" s="4">
        <f>IF(D8&gt;0,0,"")</f>
        <v>0</v>
      </c>
      <c r="I5" s="5">
        <f>IF(H5=0,0," ")</f>
        <v>0</v>
      </c>
      <c r="J5" s="5">
        <f>IF(I5=0,0," ")</f>
        <v>0</v>
      </c>
      <c r="K5" s="5">
        <f>IF(D6&lt;&gt;"",D6,"")</f>
        <v>50000</v>
      </c>
    </row>
    <row r="6" spans="2:11" ht="15" customHeight="1" x14ac:dyDescent="0.2">
      <c r="B6" s="1" t="s">
        <v>11</v>
      </c>
      <c r="C6" s="2" t="s">
        <v>5</v>
      </c>
      <c r="D6" s="6">
        <v>50000</v>
      </c>
      <c r="E6" s="1" t="s">
        <v>13</v>
      </c>
      <c r="H6" s="7">
        <f t="shared" ref="H6:H20" si="0">IF(AND(H5&lt;&gt;"",H5&lt;&gt;$D$8),H5+1,"")</f>
        <v>1</v>
      </c>
      <c r="I6" s="8">
        <f t="shared" ref="I6:I20" si="1">IF(H6&lt;&gt;"",IF(AND($D$6&lt;&gt;"",$D$7&lt;&gt;"",$D$8&lt;&gt;""),IF($C$10=1,SLN($D$6,$D$7,$D$8),IF($C$10=2,SYD($D$6,$D$7,$D$8,H6),IF($C$10=3,DB($D$6,$D$7,$D$8,H6),"")))),"")</f>
        <v>3300</v>
      </c>
      <c r="J6" s="8">
        <f>IF(I6&lt;&gt;"",SUM($I$6:I6),"")</f>
        <v>3300</v>
      </c>
      <c r="K6" s="8">
        <f>IF(J6&lt;&gt;"",$K$5-J6,"")</f>
        <v>46700</v>
      </c>
    </row>
    <row r="7" spans="2:11" ht="15" customHeight="1" x14ac:dyDescent="0.2">
      <c r="B7" s="1" t="s">
        <v>0</v>
      </c>
      <c r="C7" s="2" t="s">
        <v>5</v>
      </c>
      <c r="D7" s="6">
        <v>500</v>
      </c>
      <c r="E7" s="1" t="s">
        <v>13</v>
      </c>
      <c r="H7" s="7">
        <f t="shared" si="0"/>
        <v>2</v>
      </c>
      <c r="I7" s="8">
        <f t="shared" si="1"/>
        <v>3300</v>
      </c>
      <c r="J7" s="8">
        <f>IF(I7&lt;&gt;"",SUM($I$6:I7),"")</f>
        <v>6600</v>
      </c>
      <c r="K7" s="8">
        <f t="shared" ref="K7:K20" si="2">IF(J7&lt;&gt;"",$K$5-J7,"")</f>
        <v>43400</v>
      </c>
    </row>
    <row r="8" spans="2:11" ht="15" customHeight="1" x14ac:dyDescent="0.2">
      <c r="B8" s="1" t="s">
        <v>1</v>
      </c>
      <c r="C8" s="2" t="s">
        <v>5</v>
      </c>
      <c r="D8" s="9">
        <v>15</v>
      </c>
      <c r="E8" s="1" t="s">
        <v>14</v>
      </c>
      <c r="H8" s="7">
        <f t="shared" si="0"/>
        <v>3</v>
      </c>
      <c r="I8" s="8">
        <f t="shared" si="1"/>
        <v>3300</v>
      </c>
      <c r="J8" s="8">
        <f>IF(I8&lt;&gt;"",SUM($I$6:I8),"")</f>
        <v>9900</v>
      </c>
      <c r="K8" s="8">
        <f t="shared" si="2"/>
        <v>40100</v>
      </c>
    </row>
    <row r="9" spans="2:11" ht="15" customHeight="1" x14ac:dyDescent="0.2">
      <c r="B9" s="1" t="s">
        <v>12</v>
      </c>
      <c r="D9" s="1" t="s">
        <v>15</v>
      </c>
      <c r="H9" s="7">
        <f t="shared" si="0"/>
        <v>4</v>
      </c>
      <c r="I9" s="8">
        <f t="shared" si="1"/>
        <v>3300</v>
      </c>
      <c r="J9" s="8">
        <f>IF(I9&lt;&gt;"",SUM($I$6:I9),"")</f>
        <v>13200</v>
      </c>
      <c r="K9" s="8">
        <f t="shared" si="2"/>
        <v>36800</v>
      </c>
    </row>
    <row r="10" spans="2:11" ht="15" customHeight="1" x14ac:dyDescent="0.2">
      <c r="C10" s="10">
        <v>1</v>
      </c>
      <c r="D10" s="1" t="s">
        <v>16</v>
      </c>
      <c r="H10" s="7">
        <f t="shared" si="0"/>
        <v>5</v>
      </c>
      <c r="I10" s="8">
        <f t="shared" si="1"/>
        <v>3300</v>
      </c>
      <c r="J10" s="8">
        <f>IF(I10&lt;&gt;"",SUM($I$6:I10),"")</f>
        <v>16500</v>
      </c>
      <c r="K10" s="8">
        <f t="shared" si="2"/>
        <v>33500</v>
      </c>
    </row>
    <row r="11" spans="2:11" ht="15" customHeight="1" x14ac:dyDescent="0.2">
      <c r="D11" s="1" t="s">
        <v>17</v>
      </c>
      <c r="H11" s="7">
        <f t="shared" si="0"/>
        <v>6</v>
      </c>
      <c r="I11" s="8">
        <f t="shared" si="1"/>
        <v>3300</v>
      </c>
      <c r="J11" s="8">
        <f>IF(I11&lt;&gt;"",SUM($I$6:I11),"")</f>
        <v>19800</v>
      </c>
      <c r="K11" s="8">
        <f t="shared" si="2"/>
        <v>30200</v>
      </c>
    </row>
    <row r="12" spans="2:11" ht="15" customHeight="1" x14ac:dyDescent="0.2">
      <c r="H12" s="7">
        <f t="shared" si="0"/>
        <v>7</v>
      </c>
      <c r="I12" s="8">
        <f t="shared" si="1"/>
        <v>3300</v>
      </c>
      <c r="J12" s="8">
        <f>IF(I12&lt;&gt;"",SUM($I$6:I12),"")</f>
        <v>23100</v>
      </c>
      <c r="K12" s="8">
        <f t="shared" si="2"/>
        <v>26900</v>
      </c>
    </row>
    <row r="13" spans="2:11" ht="15" customHeight="1" x14ac:dyDescent="0.2">
      <c r="H13" s="7">
        <f t="shared" si="0"/>
        <v>8</v>
      </c>
      <c r="I13" s="8">
        <f t="shared" si="1"/>
        <v>3300</v>
      </c>
      <c r="J13" s="8">
        <f>IF(I13&lt;&gt;"",SUM($I$6:I13),"")</f>
        <v>26400</v>
      </c>
      <c r="K13" s="8">
        <f t="shared" si="2"/>
        <v>23600</v>
      </c>
    </row>
    <row r="14" spans="2:11" ht="15" customHeight="1" x14ac:dyDescent="0.2">
      <c r="H14" s="7">
        <f t="shared" si="0"/>
        <v>9</v>
      </c>
      <c r="I14" s="8">
        <f t="shared" si="1"/>
        <v>3300</v>
      </c>
      <c r="J14" s="8">
        <f>IF(I14&lt;&gt;"",SUM($I$6:I14),"")</f>
        <v>29700</v>
      </c>
      <c r="K14" s="8">
        <f t="shared" si="2"/>
        <v>20300</v>
      </c>
    </row>
    <row r="15" spans="2:11" ht="15" customHeight="1" x14ac:dyDescent="0.2">
      <c r="H15" s="7">
        <f t="shared" si="0"/>
        <v>10</v>
      </c>
      <c r="I15" s="8">
        <f t="shared" si="1"/>
        <v>3300</v>
      </c>
      <c r="J15" s="8">
        <f>IF(I15&lt;&gt;"",SUM($I$6:I15),"")</f>
        <v>33000</v>
      </c>
      <c r="K15" s="8">
        <f t="shared" si="2"/>
        <v>17000</v>
      </c>
    </row>
    <row r="16" spans="2:11" ht="15" customHeight="1" x14ac:dyDescent="0.2">
      <c r="H16" s="7">
        <f t="shared" si="0"/>
        <v>11</v>
      </c>
      <c r="I16" s="8">
        <f t="shared" si="1"/>
        <v>3300</v>
      </c>
      <c r="J16" s="8">
        <f>IF(I16&lt;&gt;"",SUM($I$6:I16),"")</f>
        <v>36300</v>
      </c>
      <c r="K16" s="8">
        <f t="shared" si="2"/>
        <v>13700</v>
      </c>
    </row>
    <row r="17" spans="5:11" ht="15" customHeight="1" x14ac:dyDescent="0.2">
      <c r="H17" s="7">
        <f t="shared" si="0"/>
        <v>12</v>
      </c>
      <c r="I17" s="8">
        <f t="shared" si="1"/>
        <v>3300</v>
      </c>
      <c r="J17" s="8">
        <f>IF(I17&lt;&gt;"",SUM($I$6:I17),"")</f>
        <v>39600</v>
      </c>
      <c r="K17" s="8">
        <f t="shared" si="2"/>
        <v>10400</v>
      </c>
    </row>
    <row r="18" spans="5:11" ht="15" customHeight="1" x14ac:dyDescent="0.2">
      <c r="H18" s="7">
        <f t="shared" si="0"/>
        <v>13</v>
      </c>
      <c r="I18" s="8">
        <f t="shared" si="1"/>
        <v>3300</v>
      </c>
      <c r="J18" s="8">
        <f>IF(I18&lt;&gt;"",SUM($I$6:I18),"")</f>
        <v>42900</v>
      </c>
      <c r="K18" s="8">
        <f t="shared" si="2"/>
        <v>7100</v>
      </c>
    </row>
    <row r="19" spans="5:11" ht="15" customHeight="1" x14ac:dyDescent="0.2">
      <c r="H19" s="7">
        <f t="shared" si="0"/>
        <v>14</v>
      </c>
      <c r="I19" s="8">
        <f t="shared" si="1"/>
        <v>3300</v>
      </c>
      <c r="J19" s="8">
        <f>IF(I19&lt;&gt;"",SUM($I$6:I19),"")</f>
        <v>46200</v>
      </c>
      <c r="K19" s="8">
        <f t="shared" si="2"/>
        <v>3800</v>
      </c>
    </row>
    <row r="20" spans="5:11" ht="15" customHeight="1" x14ac:dyDescent="0.2">
      <c r="H20" s="7">
        <f t="shared" si="0"/>
        <v>15</v>
      </c>
      <c r="I20" s="8">
        <f t="shared" si="1"/>
        <v>3300</v>
      </c>
      <c r="J20" s="8">
        <f>IF(I20&lt;&gt;"",SUM($I$6:I20),"")</f>
        <v>49500</v>
      </c>
      <c r="K20" s="8">
        <f t="shared" si="2"/>
        <v>500</v>
      </c>
    </row>
    <row r="28" spans="5:11" x14ac:dyDescent="0.2">
      <c r="E28" s="1" t="str">
        <f>IF($C$10=4,DDB($D$6,$D$7,$D$8,H6),"")</f>
        <v/>
      </c>
    </row>
  </sheetData>
  <mergeCells count="2">
    <mergeCell ref="B2:E2"/>
    <mergeCell ref="H2:K2"/>
  </mergeCells>
  <phoneticPr fontId="2" type="noConversion"/>
  <conditionalFormatting sqref="H5:K20">
    <cfRule type="cellIs" dxfId="0" priority="1" stopIfTrue="1" operator="equal">
      <formula>""</formula>
    </cfRule>
  </conditionalFormatting>
  <pageMargins left="0.75" right="0.75" top="1" bottom="1" header="0.5" footer="0.5"/>
  <pageSetup scale="89" orientation="landscape" horizontalDpi="0" verticalDpi="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Option Button 2">
              <controlPr defaultSize="0" autoFill="0" autoLine="0" autoPict="0">
                <anchor moveWithCells="1">
                  <from>
                    <xdr:col>2</xdr:col>
                    <xdr:colOff>57150</xdr:colOff>
                    <xdr:row>7</xdr:row>
                    <xdr:rowOff>171450</xdr:rowOff>
                  </from>
                  <to>
                    <xdr:col>3</xdr:col>
                    <xdr:colOff>28575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Option Button 3">
              <controlPr defaultSize="0" autoFill="0" autoLine="0" autoPict="0">
                <anchor moveWithCells="1">
                  <from>
                    <xdr:col>2</xdr:col>
                    <xdr:colOff>57150</xdr:colOff>
                    <xdr:row>8</xdr:row>
                    <xdr:rowOff>180975</xdr:rowOff>
                  </from>
                  <to>
                    <xdr:col>3</xdr:col>
                    <xdr:colOff>28575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Option Button 4">
              <controlPr defaultSize="0" autoFill="0" autoLine="0" autoPict="0">
                <anchor moveWithCells="1">
                  <from>
                    <xdr:col>2</xdr:col>
                    <xdr:colOff>57150</xdr:colOff>
                    <xdr:row>9</xdr:row>
                    <xdr:rowOff>180975</xdr:rowOff>
                  </from>
                  <to>
                    <xdr:col>3</xdr:col>
                    <xdr:colOff>28575</xdr:colOff>
                    <xdr:row>11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Depreciation</vt:lpstr>
      <vt:lpstr>Depreciation!Print_Area</vt:lpstr>
    </vt:vector>
  </TitlesOfParts>
  <Company>Exceltemplate.net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Jamshaid Ali</dc:creator>
  <cp:lastModifiedBy>ihsan nur rahman</cp:lastModifiedBy>
  <cp:lastPrinted>2009-08-16T04:41:19Z</cp:lastPrinted>
  <dcterms:created xsi:type="dcterms:W3CDTF">2009-08-16T04:04:10Z</dcterms:created>
  <dcterms:modified xsi:type="dcterms:W3CDTF">2024-07-11T07:36:40Z</dcterms:modified>
</cp:coreProperties>
</file>