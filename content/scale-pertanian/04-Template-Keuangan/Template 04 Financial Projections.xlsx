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Metrics" sheetId="2" r:id="rId5"/>
    <sheet state="visible" name="Reports" sheetId="3" r:id="rId6"/>
    <sheet state="visible" name="Chartbuilding" sheetId="4" r:id="rId7"/>
    <sheet state="visible" name="Revenue Model, Base-Case" sheetId="5" r:id="rId8"/>
    <sheet state="visible" name="Revenue Model, Worst-Case" sheetId="6" r:id="rId9"/>
    <sheet state="visible" name="Marketing Funnel, Base-Case" sheetId="7" r:id="rId10"/>
    <sheet state="visible" name="Hiring Plan, Base-Case" sheetId="8" r:id="rId11"/>
    <sheet state="visible" name="Hiring Plan, Worst-Case" sheetId="9" r:id="rId12"/>
    <sheet state="visible" name="Operating Model, Base-Case" sheetId="10" r:id="rId13"/>
    <sheet state="visible" name="Operating Model, Worst-Case" sheetId="11" r:id="rId14"/>
    <sheet state="visible" name="Loans, Both Scenarios" sheetId="12" r:id="rId15"/>
    <sheet state="visible" name="Operating Model, 2020 Target" sheetId="13" r:id="rId16"/>
    <sheet state="visible" name="Deferred Revenue" sheetId="14" r:id="rId17"/>
    <sheet state="visible" name="Profit and Loss Export" sheetId="15" r:id="rId18"/>
    <sheet state="visible" name="Balance Sheet Export" sheetId="16" r:id="rId19"/>
    <sheet state="visible" name="Cash Flow Statement Export" sheetId="17" r:id="rId20"/>
    <sheet state="visible" name="Baremetrics Export" sheetId="18" r:id="rId21"/>
    <sheet state="visible" name="Renewals Export" sheetId="19" r:id="rId22"/>
  </sheets>
  <definedNames>
    <definedName name="Hiring_Plan_Contractors_Marketing">'Hiring Plan, Base-Case'!$94:$94</definedName>
    <definedName name="Hiring_Plan_Benefits_Marketing">'Hiring Plan, Base-Case'!$86:$86</definedName>
    <definedName name="Oper_Model_Sales_and_Marketing_Worst_Case">'Operating Model, Worst-Case'!$84:$84</definedName>
    <definedName name="PnL_Jan_2019">'Profit and Loss Export'!$N:$N</definedName>
    <definedName name="Oper_Model_Investing_Activities_2020_Target">'Operating Model, 2020 Target'!$165:$165</definedName>
    <definedName name="Hiring_Plan_Payroll_Taxes_General">'Hiring Plan, Base-Case'!$76:$76</definedName>
    <definedName name="Hiring_Plan_Contractors_General_Worst_Case">'Hiring Plan, Worst-Case'!$92:$92</definedName>
    <definedName name="BS_Jan_2019">'Balance Sheet Export'!$N:$N</definedName>
    <definedName name="Oper_Model_Support_Worst_Case">'Operating Model, Worst-Case'!$15:$15</definedName>
    <definedName name="Hiring_Plan_Contractors_Engineering">'Hiring Plan, Base-Case'!$93:$93</definedName>
    <definedName name="PnL_Dec_2019">'Profit and Loss Export'!$Y:$Y</definedName>
    <definedName name="PnL_May_2019">'Profit and Loss Export'!$R:$R</definedName>
    <definedName name="Loans_Standard_Loan_Interest_Owed">'Loans, Both Scenarios'!$27:$27</definedName>
    <definedName name="Oper_Model_Operating_Activities_2020_Target">'Operating Model, 2020 Target'!$159:$159</definedName>
    <definedName name="PnL_Mar_2018">'Profit and Loss Export'!$D:$D</definedName>
    <definedName name="Revenue_Model_Reactivation_Count_1m">'Revenue Model, Base-Case'!$31:$31</definedName>
    <definedName name="Hiring_Plan_Months_Worst_Case">'Hiring Plan, Worst-Case'!$1:$1</definedName>
    <definedName name="Oper_Model_Adjustments_to_Net_Income">'Operating Model, Base-Case'!$163:$163</definedName>
    <definedName name="Loans_Forgivable_Loan_Forgivable_Income">'Loans, Both Scenarios'!$11:$11</definedName>
    <definedName name="Oper_Model_Bank_Accounts_Worst_Case">'Operating Model, Worst-Case'!$105:$105</definedName>
    <definedName name="PnL_Feb_2019">'Profit and Loss Export'!$O:$O</definedName>
    <definedName name="BS_Nov_2019">'Balance Sheet Export'!$X:$X</definedName>
    <definedName name="Oper_Model_Support_2020_Target">'Operating Model, 2020 Target'!$15:$15</definedName>
    <definedName name="Hiring_Plan_Payroll_Taxes_General_Worst_Case">'Hiring Plan, Worst-Case'!$76:$76</definedName>
    <definedName name="BS_May_2019">'Balance Sheet Export'!$R:$R</definedName>
    <definedName name="Loans_Standard_Loan_Balance">'Loans, Both Scenarios'!$29:$29</definedName>
    <definedName name="Oper_Model_General_2020_Target">'Operating Model, 2020 Target'!$61:$61</definedName>
    <definedName name="BS_Dec_2019">'Balance Sheet Export'!$Y:$Y</definedName>
    <definedName name="Revenue_Model_Reactivation_MRR_1m">'Revenue Model, Base-Case'!$33:$33</definedName>
    <definedName name="CFS_Jul_2018">'Cash Flow Statement Export'!$H:$H</definedName>
    <definedName name="PnL_Oct_2019">'Profit and Loss Export'!$W:$W</definedName>
    <definedName name="BS_Sep_2019">'Balance Sheet Export'!$V:$V</definedName>
    <definedName name="Oper_Model_Engineering_2020_Target">'Operating Model, 2020 Target'!$30:$30</definedName>
    <definedName name="CFS_Mar_2018">'Cash Flow Statement Export'!$D:$D</definedName>
    <definedName name="PnL_Sep_2019">'Profit and Loss Export'!$V:$V</definedName>
    <definedName name="CFS_Sep_2018">'Cash Flow Statement Export'!$J:$J</definedName>
    <definedName name="MRR_Export_Months">'Baremetrics Export'!$A:$A</definedName>
    <definedName name="Oper_Model_Sales_and_Marketing">'Operating Model, Base-Case'!$84:$84</definedName>
    <definedName name="Revenue_Model_Contraction_MRR_1m">'Revenue Model, Base-Case'!$55:$55</definedName>
    <definedName name="Oper_Model_Net_Cash_Increase">'Operating Model, Base-Case'!$181:$181</definedName>
    <definedName name="CFS_May_2018">'Cash Flow Statement Export'!$F:$F</definedName>
    <definedName name="MRR_Export_Expansion_Count">'Baremetrics Export'!$L:$L</definedName>
    <definedName name="CFS_Dec_2019">'Cash Flow Statement Export'!$Y:$Y</definedName>
    <definedName name="Hiring_Plan_Payroll_Taxes_Engineering">'Hiring Plan, Base-Case'!$77:$77</definedName>
    <definedName name="PnL_Apr_2018">'Profit and Loss Export'!$E:$E</definedName>
    <definedName name="Revenue_Model_Contraction_MRR_12m">'Revenue Model, Base-Case'!$61:$61</definedName>
    <definedName name="MRR_Export_Contraction_MRR">'Baremetrics Export'!$D:$D</definedName>
    <definedName name="BS_Jun_2019">'Balance Sheet Export'!$S:$S</definedName>
    <definedName name="CFS_Jan_2019">'Cash Flow Statement Export'!$N:$N</definedName>
    <definedName name="Oper_Model_Deferred_Revenue_CFS">'Operating Model, Base-Case'!$161:$161</definedName>
    <definedName name="Hiring_Plan_Benefits_Marketing_Worst_Case">'Hiring Plan, Worst-Case'!$86:$86</definedName>
    <definedName name="Hiring_Plan_Contractors_General">'Hiring Plan, Base-Case'!$92:$92</definedName>
    <definedName name="CFS_Accounts">'Cash Flow Statement Export'!$A:$A</definedName>
    <definedName name="PnL_Sep_2018">'Profit and Loss Export'!$J:$J</definedName>
    <definedName name="BS_Mar_2019">'Balance Sheet Export'!$P:$P</definedName>
    <definedName name="Hiring_Plan_Payroll_Taxes_Support_Worst_Case">'Hiring Plan, Worst-Case'!$80:$80</definedName>
    <definedName name="BS_Apr_2020">'Balance Sheet Export'!$AC:$AC</definedName>
    <definedName name="Oper_Model_General_Worst_Case">'Operating Model, Worst-Case'!$62:$62</definedName>
    <definedName name="CFS_Feb_2019">'Cash Flow Statement Export'!$O:$O</definedName>
    <definedName name="PnL_Apr_2020">'Profit and Loss Export'!$AC:$AC</definedName>
    <definedName name="PnL_Jun_2019">'Profit and Loss Export'!$S:$S</definedName>
    <definedName name="BS_Oct_2018">'Balance Sheet Export'!$K:$K</definedName>
    <definedName name="Oper_Model_Gross_Profit">'Operating Model, Base-Case'!$20:$20</definedName>
    <definedName name="Oper_Model_Marketing">'Operating Model, Base-Case'!$74:$74</definedName>
    <definedName name="Hiring_Plan_Salaries_Support_Worst_Case">'Hiring Plan, Worst-Case'!$72:$72</definedName>
    <definedName name="PnL_Nov_2019">'Profit and Loss Export'!$X:$X</definedName>
    <definedName name="Marketing_Funnel_New_Customers_AdWords">'Marketing Funnel, Base-Case'!$35:$35</definedName>
    <definedName name="PnL_Aug_2019">'Profit and Loss Export'!$U:$U</definedName>
    <definedName name="BS_Feb_2020">'Balance Sheet Export'!$AA:$AA</definedName>
    <definedName name="BS_Mar_2020">'Balance Sheet Export'!$AB:$AB</definedName>
    <definedName name="MRR_Export_Churn_Count">'Baremetrics Export'!$I:$I</definedName>
    <definedName name="Oper_Model_Service_Delivery">'Operating Model, Base-Case'!$18:$18</definedName>
    <definedName name="Deferred_Revenue_Balance">'Deferred Revenue'!$21:$21</definedName>
    <definedName name="Revenue_Model_Expansion_MRR_12m">'Revenue Model, Base-Case'!$27:$27</definedName>
    <definedName name="CFS_Mar_2019">'Cash Flow Statement Export'!$P:$P</definedName>
    <definedName name="CFS_Jan_2020">'Cash Flow Statement Export'!$Z:$Z</definedName>
    <definedName name="Revenue_Model_Churn_Count_12m">'Revenue Model, Base-Case'!$45:$45</definedName>
    <definedName name="Marketing_Funnel_Total_New_Customers">'Marketing Funnel, Base-Case'!$36:$36</definedName>
    <definedName name="Oper_Model_Cost_of_Revenue">'Operating Model, Base-Case'!$19:$19</definedName>
    <definedName name="BS_Jun_2018">'Balance Sheet Export'!$G:$G</definedName>
    <definedName name="Hiring_Plan_Payroll_Taxes_Support">'Hiring Plan, Base-Case'!$80:$80</definedName>
    <definedName name="Hiring_Plan_Salaries_Marketing_Worst_Case">'Hiring Plan, Worst-Case'!$70:$70</definedName>
    <definedName name="BS_Aug_2018">'Balance Sheet Export'!$I:$I</definedName>
    <definedName name="PnL_Nov_2018">'Profit and Loss Export'!$L:$L</definedName>
    <definedName name="Hiring_Plan_Benefits_Sales">'Hiring Plan, Base-Case'!$87:$87</definedName>
    <definedName name="PnL_Aug_2018">'Profit and Loss Export'!$I:$I</definedName>
    <definedName name="PnL_May_2018">'Profit and Loss Export'!$F:$F</definedName>
    <definedName name="MRR_Export_Contraction_Count">'Baremetrics Export'!$M:$M</definedName>
    <definedName name="Hiring_Plan_Salaries_Sales">'Hiring Plan, Base-Case'!$71:$71</definedName>
    <definedName name="MRR_Export_MRR">'Baremetrics Export'!$G:$G</definedName>
    <definedName name="Oper_Model_Operating_Activities">'Operating Model, Base-Case'!$164:$164</definedName>
    <definedName name="Revenue_Model_MRR_Worst_Case">'Revenue Model, Worst-Case'!$68:$68</definedName>
    <definedName name="Revenue_Model_Contraction_Count_1m">'Revenue Model, Base-Case'!$52:$52</definedName>
    <definedName name="Hiring_Plan_Payroll_Taxes_Marketing">'Hiring Plan, Base-Case'!$78:$78</definedName>
    <definedName name="MRR_Export_New_MRR">'Baremetrics Export'!$B:$B</definedName>
    <definedName name="PnL_Mar_2019">'Profit and Loss Export'!$P:$P</definedName>
    <definedName name="CFS_Jun_2019">'Cash Flow Statement Export'!$S:$S</definedName>
    <definedName name="MRR_Export_Total_Customer_Count">'Baremetrics Export'!$K:$K</definedName>
    <definedName name="CFS_Dec_2018">'Cash Flow Statement Export'!$M:$M</definedName>
    <definedName name="Renewals_Amount">'Renewals Export'!$C:$C</definedName>
    <definedName name="Hiring_Plan_Contractors_Sales_Worst_Case">'Hiring Plan, Worst-Case'!$95:$95</definedName>
    <definedName name="MRR_Export_New_Count">'Baremetrics Export'!$H:$H</definedName>
    <definedName name="Oper_Model_Service_Delivery_Worst_Case">'Operating Model, Worst-Case'!$18:$18</definedName>
    <definedName name="Loans_Forgivable_Loan_Interest_Owed">'Loans, Both Scenarios'!$7:$7</definedName>
    <definedName name="Current_Month">Dashboard!$N$4</definedName>
    <definedName name="Oper_Model_Net_Cash_Increase_2020_Target">'Operating Model, 2020 Target'!$174:$174</definedName>
    <definedName name="Hiring_Plan_Contractors_Support_Worst_Case">'Hiring Plan, Worst-Case'!$96:$96</definedName>
    <definedName name="BS_Apr_2018">'Balance Sheet Export'!$E:$E</definedName>
    <definedName name="Hiring_Plan_Contractors_Marketing_Worst_Case">'Hiring Plan, Worst-Case'!$94:$94</definedName>
    <definedName name="CFS_May_2019">'Cash Flow Statement Export'!$R:$R</definedName>
    <definedName name="BS_Sep_2018">'Balance Sheet Export'!$J:$J</definedName>
    <definedName name="Hiring_Plan_Benefits_Sales_Worst_Case">'Hiring Plan, Worst-Case'!$87:$87</definedName>
    <definedName name="CFS_Nov_2018">'Cash Flow Statement Export'!$L:$L</definedName>
    <definedName name="Hiring_Plan_Payroll_Taxes_Sales">'Hiring Plan, Base-Case'!$79:$79</definedName>
    <definedName name="BS_Accounts">'Balance Sheet Export'!$A:$A</definedName>
    <definedName name="Revenue_Model_Churn_Count_1m">'Revenue Model, Base-Case'!$37:$37</definedName>
    <definedName name="Hiring_Plan_Benefits_Engineering_Worst_Case">'Hiring Plan, Worst-Case'!$85:$85</definedName>
    <definedName name="CFS_Jun_2018">'Cash Flow Statement Export'!$G:$G</definedName>
    <definedName name="Oper_Model_Advertising">'Operating Model, Base-Case'!$66:$66</definedName>
    <definedName name="Oper_Model_Total_Expenses">'Operating Model, Base-Case'!$86:$86</definedName>
    <definedName name="Oper_Model_Sales">'Operating Model, Base-Case'!$83:$83</definedName>
    <definedName name="BS_Dec_2018">'Balance Sheet Export'!$M:$M</definedName>
    <definedName name="PnL_Jan_2020">'Profit and Loss Export'!$Z:$Z</definedName>
    <definedName name="Loans_Months">'Loans, Both Scenarios'!$2:$2</definedName>
    <definedName name="CFS_Apr_2018">'Cash Flow Statement Export'!$E:$E</definedName>
    <definedName name="PnL_Jul_2018">'Profit and Loss Export'!$H:$H</definedName>
    <definedName name="BS_May_2018">'Balance Sheet Export'!$F:$F</definedName>
    <definedName name="CFS_Oct_2018">'Cash Flow Statement Export'!$K:$K</definedName>
    <definedName name="Revenue_Model_Churn_MRR_1m">'Revenue Model, Base-Case'!$40:$40</definedName>
    <definedName name="Hiring_Plan_Benefits_General_Worst_Case">'Hiring Plan, Worst-Case'!$84:$84</definedName>
    <definedName name="Oper_Model_Financing_Activities">'Operating Model, Base-Case'!$179:$179</definedName>
    <definedName name="Hiring_Plan_Salaries_Engineering">'Hiring Plan, Base-Case'!$69:$69</definedName>
    <definedName name="Hiring_Plan_Salaries_Engineering_Worst_Case">'Hiring Plan, Worst-Case'!$69:$69</definedName>
    <definedName name="Oper_Model_Revenue">'Operating Model, Base-Case'!$5:$5</definedName>
    <definedName name="MRR_Export_Reactivation_Count">'Baremetrics Export'!$J:$J</definedName>
    <definedName name="BS_Feb_2018">'Balance Sheet Export'!$C:$C</definedName>
    <definedName name="Oper_Model_Engineering_Worst_Case">'Operating Model, Worst-Case'!$30:$30</definedName>
    <definedName name="Hiring_Plan_Benefits_Engineering">'Hiring Plan, Base-Case'!$85:$85</definedName>
    <definedName name="CFS_Oct_2019">'Cash Flow Statement Export'!$W:$W</definedName>
    <definedName name="Renewals_Interval">'Renewals Export'!$D:$D</definedName>
    <definedName name="Oper_Model_Engineering">'Operating Model, Base-Case'!$30:$30</definedName>
    <definedName name="Oper_Model_Bank_Accounts_2020_Target">'Operating Model, 2020 Target'!$102:$102</definedName>
    <definedName name="Revenue_Model_Expansion_MRR_1m">'Revenue Model, Base-Case'!$21:$21</definedName>
    <definedName name="Hiring_Plan_Payroll_Taxes_Engineering_Worst_Case">'Hiring Plan, Worst-Case'!$77:$77</definedName>
    <definedName name="PnL_Apr_2019">'Profit and Loss Export'!$Q:$Q</definedName>
    <definedName name="BS_Mar_2018">'Balance Sheet Export'!$D:$D</definedName>
    <definedName name="PnL_Jun_2018">'Profit and Loss Export'!$G:$G</definedName>
    <definedName name="Hiring_Plan_Salaries_Support">'Hiring Plan, Base-Case'!$72:$72</definedName>
    <definedName name="BS_Jan_2018">'Balance Sheet Export'!$B:$B</definedName>
    <definedName name="Revenue_Model_Expansion_Count_12m">'Revenue Model, Base-Case'!$24:$24</definedName>
    <definedName name="Oper_Model_Revenue_2020_Target">'Operating Model, 2020 Target'!$5:$5</definedName>
    <definedName name="Revenue_Model_Months">'Revenue Model, Base-Case'!$1:$1</definedName>
    <definedName name="Hiring_Plan_Salaries_General_Worst_Case">'Hiring Plan, Worst-Case'!$68:$68</definedName>
    <definedName name="PnL_Feb_2020">'Profit and Loss Export'!$AA:$AA</definedName>
    <definedName name="Hiring_Plan_Months">'Hiring Plan, Base-Case'!$1:$1</definedName>
    <definedName name="BS_Feb_2019">'Balance Sheet Export'!$O:$O</definedName>
    <definedName name="Oper_Model_Financing_Activities_2020_Target">'Operating Model, 2020 Target'!$172:$172</definedName>
    <definedName name="Revenue_Model_Months_Worst_Case">'Revenue Model, Worst-Case'!$1:$1</definedName>
    <definedName name="Hiring_Plan_Contractors_Engineering_Worst_Case">'Hiring Plan, Worst-Case'!$93:$93</definedName>
    <definedName name="Hiring_Plan_Contractors_Sales">'Hiring Plan, Base-Case'!$95:$95</definedName>
    <definedName name="PnL_Jul_2019">'Profit and Loss Export'!$T:$T</definedName>
    <definedName name="CFS_Sep_2019">'Cash Flow Statement Export'!$V:$V</definedName>
    <definedName name="PnL_Mar_2020">'Profit and Loss Export'!$AB:$AB</definedName>
    <definedName name="CFS_Apr_2019">'Cash Flow Statement Export'!$Q:$Q</definedName>
    <definedName name="BS_Nov_2018">'Balance Sheet Export'!$L:$L</definedName>
    <definedName name="Revenue_Model_Churn_MRR_12m">'Revenue Model, Base-Case'!$48:$48</definedName>
    <definedName name="CFS_Jul_2019">'Cash Flow Statement Export'!$T:$T</definedName>
    <definedName name="BS_Apr_2019">'Balance Sheet Export'!$Q:$Q</definedName>
    <definedName name="Revenue_Model_Contraction_Count_12m">'Revenue Model, Base-Case'!$58:$58</definedName>
    <definedName name="Oper_Model_Months_Worst_Case">'Operating Model, Worst-Case'!$1:$1</definedName>
    <definedName name="CFS_Nov_2019">'Cash Flow Statement Export'!$X:$X</definedName>
    <definedName name="Hiring_Plan_Salaries_Marketing">'Hiring Plan, Base-Case'!$70:$70</definedName>
    <definedName name="CFS_Apr_2020">'Cash Flow Statement Export'!$AC:$AC</definedName>
    <definedName name="Oper_Model_Net_Income">'Operating Model, Base-Case'!$97:$97</definedName>
    <definedName name="Deferred_Revenue_Months">'Deferred Revenue'!$1:$1</definedName>
    <definedName name="Oper_Model_Months">'Operating Model, Base-Case'!$1:$1</definedName>
    <definedName name="MRR_Export_Expansion_MRR">'Baremetrics Export'!$E:$E</definedName>
    <definedName name="BS_Oct_2019">'Balance Sheet Export'!$W:$W</definedName>
    <definedName name="PnL_Accounts">'Profit and Loss Export'!$A:$A</definedName>
    <definedName name="PnL_Feb_2018">'Profit and Loss Export'!$C:$C</definedName>
    <definedName name="Oper_Model_Sales_and_Marketing_2020_Target">'Operating Model, 2020 Target'!$81:$81</definedName>
    <definedName name="Hiring_Plan_Payroll_Taxes_Marketing_Worst_Case">'Hiring Plan, Worst-Case'!$78:$78</definedName>
    <definedName name="Revenue_Model_New_Count_12m">'Revenue Model, Base-Case'!$12:$12</definedName>
    <definedName name="Oper_Model_Months_2020_Target">'Operating Model, 2020 Target'!$1:$1</definedName>
    <definedName name="BS_Jul_2019">'Balance Sheet Export'!$T:$T</definedName>
    <definedName name="Loans_Forgivable_Loan_Nonforgivable_Balance">'Loans, Both Scenarios'!$9:$9</definedName>
    <definedName name="Revenue_Model_Net_New_MRR">'Revenue Model, Base-Case'!$67:$67</definedName>
    <definedName name="Marketing_Funnel_Months">'Marketing Funnel, Base-Case'!$1:$1</definedName>
    <definedName name="Revenue_Model_New_MRR_12m">'Revenue Model, Base-Case'!$14:$14</definedName>
    <definedName name="Hiring_Plan_Salaries_Sales_Worst_Case">'Hiring Plan, Worst-Case'!$71:$71</definedName>
    <definedName name="PnL_Oct_2018">'Profit and Loss Export'!$K:$K</definedName>
    <definedName name="Hiring_Plan_Contractors_Support">'Hiring Plan, Base-Case'!$96:$96</definedName>
    <definedName name="CFS_Mar_2020">'Cash Flow Statement Export'!$AB:$AB</definedName>
    <definedName name="PnL_Jan_2018">'Profit and Loss Export'!$B:$B</definedName>
    <definedName name="Revenue_Model_New_MRR_1m">'Revenue Model, Base-Case'!$9:$9</definedName>
    <definedName name="CFS_Jan_2018">'Cash Flow Statement Export'!$B:$B</definedName>
    <definedName name="CFS_Feb_2018">'Cash Flow Statement Export'!$C:$C</definedName>
    <definedName name="Revenue_Model_Total_Customers">'Revenue Model, Base-Case'!$65:$65</definedName>
    <definedName name="Hiring_Plan_Benefits_General">'Hiring Plan, Base-Case'!$84:$84</definedName>
    <definedName name="MRR_Export_Churned_MRR">'Baremetrics Export'!$C:$C</definedName>
    <definedName name="Hiring_Plan_Benefits_Support_Worst_Case">'Hiring Plan, Worst-Case'!$88:$88</definedName>
    <definedName name="CFS_Aug_2019">'Cash Flow Statement Export'!$U:$U</definedName>
    <definedName name="Revenue_Model_Expansion_Count_1m">'Revenue Model, Base-Case'!$18:$18</definedName>
    <definedName name="Oper_Model_General">'Operating Model, Base-Case'!$62:$62</definedName>
    <definedName name="Hiring_Plan_Payroll_Taxes_Sales_Worst_Case">'Hiring Plan, Worst-Case'!$79:$79</definedName>
    <definedName name="Hiring_Plan_Salaries_General">'Hiring Plan, Base-Case'!$68:$68</definedName>
    <definedName name="CFS_Aug_2018">'Cash Flow Statement Export'!$I:$I</definedName>
    <definedName name="BS_Jan_2020">'Balance Sheet Export'!$Z:$Z</definedName>
    <definedName name="PnL_Dec_2018">'Profit and Loss Export'!$M:$M</definedName>
    <definedName name="Revenue_Model_MRR">'Revenue Model, Base-Case'!$68:$68</definedName>
    <definedName name="Oper_Model_Service_Delivery_2020_Target">'Operating Model, 2020 Target'!$18:$18</definedName>
    <definedName name="Revenue_Model_New_Count_1m">'Revenue Model, Base-Case'!$7:$7</definedName>
    <definedName name="BS_Aug_2019">'Balance Sheet Export'!$U:$U</definedName>
    <definedName name="Oper_Model_Investing_Activities">'Operating Model, Base-Case'!$170:$170</definedName>
    <definedName name="BS_Jul_2018">'Balance Sheet Export'!$H:$H</definedName>
    <definedName name="Oper_Model_Revenue_Worst_Case">'Operating Model, Worst-Case'!$5:$5</definedName>
    <definedName name="Renewals_Date">'Renewals Export'!$B:$B</definedName>
    <definedName name="Hiring_Plan_Benefits_Support">'Hiring Plan, Base-Case'!$88:$88</definedName>
    <definedName name="MRR_Export_Reactivation_MRR">'Baremetrics Export'!$F:$F</definedName>
    <definedName name="Oper_Model_Bank_Accounts">'Operating Model, Base-Case'!$105:$105</definedName>
    <definedName name="CFS_Feb_2020">'Cash Flow Statement Export'!$AA:$AA</definedName>
    <definedName name="Oper_Model_Support">'Operating Model, Base-Case'!$15:$15</definedName>
  </definedNames>
  <calcPr/>
  <extLst>
    <ext uri="GoogleSheetsCustomDataVersion2">
      <go:sheetsCustomData xmlns:go="http://customooxmlschemas.google.com/" r:id="rId23" roundtripDataChecksum="WIrUJ67cW68c+UlIx5R55p92ZkGbzGk5AISC72eisn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2">
      <text>
        <t xml:space="preserve">======
ID#AAAA3alIZgo
    (2023-08-28 16:09:12)
I think you commented on it somewhere but any ways of dealing with this as you have negative churn?
	-Nils-Erik Jansson
+nils@precisely.se By definition it's not possible to have negative customer churn.  I believe you are talking about negative net churn (net dollar churn), which indeed can be positive or negative. For LTV calculation here though, we are first trying to estimate the customer lifetime length in months, which is just the inverse of customer churn. 
That said, you are correct in assuming that ideally, we'd want to capture the growing value of a customer over time. Such calculation is much more time consuming as you are essentially creating a discounted cash flow analysis (per customer or at least per cohort, read more here: https://www.forentrepreneurs.com/ltv/), but it can be worth it once you have reliable data on how your customers behave over a long period of time. 
The method in this model, while commonly used in SaaS, is more of a quick and dirty way to estimate the lifetime length and lifetime value, whereas the DCF method described by David Skok is the one shooting for maximum accuracy.
	-Jaakko Piipponen
I think the issue was that my export exported negative numbers and the model is more suitable for absolute numbers
	-Nils-Erik Jansson
So did a separate transpose of my bad export and then referred to with ABS. Did some changes in calculations in rev model etc. So is working as it should now.
	-Nils-Erik Jansson
Have to say I have absolutely loved to build from this model. Spent another 50-60 hours since our accounting etc is completely different but this is going to be very, very solid.
	-Nils-Erik Jansson
Kudos
	-Nils-Erik Jansson</t>
      </text>
    </comment>
  </commentList>
  <extLst>
    <ext uri="GoogleSheetsCustomDataVersion2">
      <go:sheetsCustomData xmlns:go="http://customooxmlschemas.google.com/" r:id="rId1" roundtripDataSignature="AMtx7miSkqqLRXM+1PIHvoTGxLTetQV7J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X66">
      <text>
        <t xml:space="preserve">======
ID#AAAA3alIZgw
    (2023-08-28 16:09:12)
3% m/m growth rate or roughly 43% annually.</t>
      </text>
    </comment>
    <comment authorId="0" ref="A37">
      <text>
        <t xml:space="preserve">======
ID#AAAA3alIZgs
    (2023-08-28 16:09:12)
If your data set shows the churn numbers as negative values, make sure to change the calculation in Row 64 and 65 accordingly.</t>
      </text>
    </comment>
  </commentList>
  <extLst>
    <ext uri="GoogleSheetsCustomDataVersion2">
      <go:sheetsCustomData xmlns:go="http://customooxmlschemas.google.com/" r:id="rId1" roundtripDataSignature="AMtx7mio31WdvroKPx7YgSa2dur5smWWE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X66">
      <text>
        <t xml:space="preserve">======
ID#AAAA3alIZgU
    (2023-08-28 16:09:12)
3% m/m growth rate or roughly 43% annually.</t>
      </text>
    </comment>
  </commentList>
  <extLst>
    <ext uri="GoogleSheetsCustomDataVersion2">
      <go:sheetsCustomData xmlns:go="http://customooxmlschemas.google.com/" r:id="rId1" roundtripDataSignature="AMtx7mhJPWggM0PPjsAcn05G32dKp2OSq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Z66">
      <text>
        <t xml:space="preserve">======
ID#AAAA3alIZgk
    (2023-08-28 16:09:12)
Long-term forecast as a average % of revenue (last 3-months)</t>
      </text>
    </comment>
    <comment authorId="0" ref="A3">
      <text>
        <t xml:space="preserve">======
ID#AAAA3alIZgg
    (2023-08-28 16:09:12)
QuickBooks default export calls Revenue as income for whatever reason. If you change the top-level name in your exports, feel free to change this to from Income to Revenue. Make sure to update the Total Income as well.</t>
      </text>
    </comment>
    <comment authorId="0" ref="A147">
      <text>
        <t xml:space="preserve">======
ID#AAAA3alIZgc
    (2023-08-28 16:09:12)
Note the formula change for the forecasts.
Net Income is a special account in a sense that it's really just a cumulative Net Income for the year. The profits or losses are "transferred" over to Retained Earnings at the end of a given year.
	-Jaakko Piipponen</t>
      </text>
    </comment>
    <comment authorId="0" ref="B17">
      <text>
        <t xml:space="preserve">======
ID#AAAA3alIZgQ
    (2023-08-28 16:09:12)
For hosting costs, I've opted using slightly more advanced Autopilot - a percentage of revenue. This is more useful than the regular Autopilot to forecasts costs and expenses that scale up with your revenue.
Note the change in the forecast formula to multiply the Autopilot Input column by Revenue of the same month.
	-Jaakko Piipponen</t>
      </text>
    </comment>
  </commentList>
  <extLst>
    <ext uri="GoogleSheetsCustomDataVersion2">
      <go:sheetsCustomData xmlns:go="http://customooxmlschemas.google.com/" r:id="rId1" roundtripDataSignature="AMtx7mhVT/G45wbERFAiuPCJ6JPEm5rc1Q=="/>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Z66">
      <text>
        <t xml:space="preserve">======
ID#AAAA3alIZgY
    (2023-08-28 16:09:12)
Long-term forecast as a average % of revenue (last 3-months)</t>
      </text>
    </comment>
  </commentList>
  <extLst>
    <ext uri="GoogleSheetsCustomDataVersion2">
      <go:sheetsCustomData xmlns:go="http://customooxmlschemas.google.com/" r:id="rId1" roundtripDataSignature="AMtx7mgzrG8X/1FYgWY5WVdiy0xt7OSuEg=="/>
    </ext>
  </extLst>
</comments>
</file>

<file path=xl/sharedStrings.xml><?xml version="1.0" encoding="utf-8"?>
<sst xmlns="http://schemas.openxmlformats.org/spreadsheetml/2006/main" count="1592" uniqueCount="573">
  <si>
    <t>Southeast Inc Financial Model</t>
  </si>
  <si>
    <t>2020 Target</t>
  </si>
  <si>
    <t>Actuals</t>
  </si>
  <si>
    <t>Deltas</t>
  </si>
  <si>
    <t>Budget to Actuals</t>
  </si>
  <si>
    <t>$</t>
  </si>
  <si>
    <t>%</t>
  </si>
  <si>
    <t>ARR</t>
  </si>
  <si>
    <t>Revenue</t>
  </si>
  <si>
    <t>Cost of Revenue</t>
  </si>
  <si>
    <t xml:space="preserve">  Support</t>
  </si>
  <si>
    <t xml:space="preserve">  Hosting &amp; Service Delivery</t>
  </si>
  <si>
    <t>Gross Profit</t>
  </si>
  <si>
    <t>Gross Profit Margin</t>
  </si>
  <si>
    <t>Expenses</t>
  </si>
  <si>
    <t xml:space="preserve">  Engineering</t>
  </si>
  <si>
    <t xml:space="preserve">  General &amp; Admin</t>
  </si>
  <si>
    <t xml:space="preserve">  Sales &amp; Marketing</t>
  </si>
  <si>
    <t>Total Expenses</t>
  </si>
  <si>
    <t>Net Income</t>
  </si>
  <si>
    <t>Cash Flow Summary</t>
  </si>
  <si>
    <t xml:space="preserve">  Operating Activities</t>
  </si>
  <si>
    <t xml:space="preserve">  Investing Activities</t>
  </si>
  <si>
    <t xml:space="preserve">  Financing Activities</t>
  </si>
  <si>
    <t>Net Cash Increase (Decrease)</t>
  </si>
  <si>
    <t>Bank Balance</t>
  </si>
  <si>
    <t>Forecast</t>
  </si>
  <si>
    <t>Profit and Loss Summary</t>
  </si>
  <si>
    <t>P&amp;L Summary</t>
  </si>
  <si>
    <t>Metrik - Bulanan</t>
  </si>
  <si>
    <t>CAC (Blended)</t>
  </si>
  <si>
    <t>Sales &amp; Marketing</t>
  </si>
  <si>
    <t>New Customers</t>
  </si>
  <si>
    <t>CAC</t>
  </si>
  <si>
    <t>CAC (Paid)</t>
  </si>
  <si>
    <t>AdWords Spend</t>
  </si>
  <si>
    <t>Gross Margin</t>
  </si>
  <si>
    <t>Customers</t>
  </si>
  <si>
    <t>Average Revenue per Customer (ARPC)</t>
  </si>
  <si>
    <t>Average Gross Profit per Customer</t>
  </si>
  <si>
    <t>Customer Churn</t>
  </si>
  <si>
    <t>Customer Churn, in %</t>
  </si>
  <si>
    <t>Implied Customer Lifetime (months)</t>
  </si>
  <si>
    <t>Customer Lifetime Value</t>
  </si>
  <si>
    <t>CAC PAYBACK (months)</t>
  </si>
  <si>
    <t>Blended</t>
  </si>
  <si>
    <t>Paid</t>
  </si>
  <si>
    <t>CAC:LTV</t>
  </si>
  <si>
    <t>Metrics - Quarterly</t>
  </si>
  <si>
    <t>New Customers during the quarter</t>
  </si>
  <si>
    <t>New Customers, per Quarter</t>
  </si>
  <si>
    <t>LTV</t>
  </si>
  <si>
    <t>Customers, End of Quarter</t>
  </si>
  <si>
    <t>Average Gross Profit per Customer, per Quarter</t>
  </si>
  <si>
    <t>Implied Customer Lifetime, in Quarters</t>
  </si>
  <si>
    <t>CAC PAYBACK</t>
  </si>
  <si>
    <t>Laporan</t>
  </si>
  <si>
    <t>Base-Case Summary</t>
  </si>
  <si>
    <t>IDR</t>
  </si>
  <si>
    <t>Worst-Case Summary</t>
  </si>
  <si>
    <t xml:space="preserve">2020 Target vs 2019 </t>
  </si>
  <si>
    <t>Q1</t>
  </si>
  <si>
    <t>Q2</t>
  </si>
  <si>
    <t>Q3</t>
  </si>
  <si>
    <t>Q4</t>
  </si>
  <si>
    <t>Base-Case, % of Revenue</t>
  </si>
  <si>
    <t>Last 12m</t>
  </si>
  <si>
    <t>Next 12m</t>
  </si>
  <si>
    <t>From (including this month)</t>
  </si>
  <si>
    <t>To (before this month)</t>
  </si>
  <si>
    <t>2020 Target vs Base-Case</t>
  </si>
  <si>
    <t>Target</t>
  </si>
  <si>
    <t>Base-Case</t>
  </si>
  <si>
    <t>2020 Target vs Worst-Case</t>
  </si>
  <si>
    <t>Worst-Case</t>
  </si>
  <si>
    <t>Worst-Case, % of Revenue</t>
  </si>
  <si>
    <t>Chartbuilding</t>
  </si>
  <si>
    <t>General &amp; Admin</t>
  </si>
  <si>
    <t>Engineering</t>
  </si>
  <si>
    <t>Financing Cash Flows</t>
  </si>
  <si>
    <t>Investing Cash Flows</t>
  </si>
  <si>
    <t>Operating Cash Flows</t>
  </si>
  <si>
    <t>Net Cash Increase / Decrease</t>
  </si>
  <si>
    <t>Deferred Revenue Adjustment</t>
  </si>
  <si>
    <t>Cash Coming In</t>
  </si>
  <si>
    <t>Costs &amp; Expenses</t>
  </si>
  <si>
    <t>Adjustment - Deferred Revenue</t>
  </si>
  <si>
    <t>Other Adjustments</t>
  </si>
  <si>
    <t>Net New</t>
  </si>
  <si>
    <t>Contraction</t>
  </si>
  <si>
    <t>Churn</t>
  </si>
  <si>
    <t>Expansion</t>
  </si>
  <si>
    <t>New</t>
  </si>
  <si>
    <t>Model Pendapatan, Kasus Dasar</t>
  </si>
  <si>
    <t>NEW  CUSTOMERS</t>
  </si>
  <si>
    <t>Long-term forecast begins</t>
  </si>
  <si>
    <t>New Customers from Marketing Funnel</t>
  </si>
  <si>
    <t xml:space="preserve">  % of monthly </t>
  </si>
  <si>
    <t xml:space="preserve">  % of annual</t>
  </si>
  <si>
    <t>Monthly</t>
  </si>
  <si>
    <t>ARPC</t>
  </si>
  <si>
    <t>New MRR</t>
  </si>
  <si>
    <t>Annual</t>
  </si>
  <si>
    <t>EXPANSION</t>
  </si>
  <si>
    <t>Expansions</t>
  </si>
  <si>
    <t>Expansion %</t>
  </si>
  <si>
    <t>Expansion MRR</t>
  </si>
  <si>
    <t>Expansion - Annual</t>
  </si>
  <si>
    <t>REACTIVATION</t>
  </si>
  <si>
    <t>Number of Reactivations Per Month</t>
  </si>
  <si>
    <t>Reactivation Revenue</t>
  </si>
  <si>
    <t>CHURN</t>
  </si>
  <si>
    <t>Churned Customers</t>
  </si>
  <si>
    <t>Churn %</t>
  </si>
  <si>
    <t>Churned MRR</t>
  </si>
  <si>
    <t>Customers Up for Renewal</t>
  </si>
  <si>
    <t>Renewal Churn %</t>
  </si>
  <si>
    <t>Customer Churn %</t>
  </si>
  <si>
    <t>CONTRACTION</t>
  </si>
  <si>
    <t>Downgrades</t>
  </si>
  <si>
    <t>Contraction %</t>
  </si>
  <si>
    <t>Contracted MRR</t>
  </si>
  <si>
    <t>Contraction - Annual</t>
  </si>
  <si>
    <t>Net New Customers</t>
  </si>
  <si>
    <t>Total Customers</t>
  </si>
  <si>
    <t>Long-term m/m growth</t>
  </si>
  <si>
    <t>Net New MRR</t>
  </si>
  <si>
    <t>Monthly Recurring Revenue</t>
  </si>
  <si>
    <t>Model Pendapatan, Kasus Terburuk</t>
  </si>
  <si>
    <t>Masukkan URL funnel Pemasaran Anda di sini:</t>
  </si>
  <si>
    <t>https://docs.google.com/spreadsheets/d/1sSMbY5atNvbDc7dTA5F8OuaHVvZfwF3z0JRgqj_Tf4Q/edit#gid=1605229514</t>
  </si>
  <si>
    <t>Masukkan area Ringkasan Funnel yang ingin Anda lihat di sini:</t>
  </si>
  <si>
    <t>A1:BW37</t>
  </si>
  <si>
    <t>Rencana Perekrutan - Kasus Dasar</t>
  </si>
  <si>
    <t>Peran</t>
  </si>
  <si>
    <t>Tim</t>
  </si>
  <si>
    <t>Gajii</t>
  </si>
  <si>
    <t>Tanggal perekrutan</t>
  </si>
  <si>
    <t>Tanggal Terminasi</t>
  </si>
  <si>
    <t>Pajak penghasilan</t>
  </si>
  <si>
    <t>% Manfaat</t>
  </si>
  <si>
    <t>IDR Manfaat</t>
  </si>
  <si>
    <t>Manfaat Total</t>
  </si>
  <si>
    <t>SALARIES</t>
  </si>
  <si>
    <t>Frodo Baggins</t>
  </si>
  <si>
    <t>CEO</t>
  </si>
  <si>
    <t>Gandalf the Grey</t>
  </si>
  <si>
    <t>Wizard</t>
  </si>
  <si>
    <t>Galadriel</t>
  </si>
  <si>
    <t>CTO</t>
  </si>
  <si>
    <t xml:space="preserve">Gimli, Son of Glóin </t>
  </si>
  <si>
    <t>VP of Engineering</t>
  </si>
  <si>
    <t>Bilbo Baggins</t>
  </si>
  <si>
    <t>Software Engineer</t>
  </si>
  <si>
    <t>Alisa Ramirez</t>
  </si>
  <si>
    <t>Front-End Engineer</t>
  </si>
  <si>
    <t>Brian Wilson</t>
  </si>
  <si>
    <t>Senior Front-End Engineer</t>
  </si>
  <si>
    <t>Cathy Henderson</t>
  </si>
  <si>
    <t>Staff Engineer</t>
  </si>
  <si>
    <t>Dena Tauriello</t>
  </si>
  <si>
    <t>Senior Back-End Engineer</t>
  </si>
  <si>
    <t>Diana Greenberg</t>
  </si>
  <si>
    <t>Hillary Shepard</t>
  </si>
  <si>
    <t>Senior Full-Stack Engineer</t>
  </si>
  <si>
    <t>John Densmore</t>
  </si>
  <si>
    <t>Back-End Engineer</t>
  </si>
  <si>
    <t>Kim Baxter</t>
  </si>
  <si>
    <t>Mike Love</t>
  </si>
  <si>
    <t>Engineer</t>
  </si>
  <si>
    <t>Faramir</t>
  </si>
  <si>
    <t>Boromir</t>
  </si>
  <si>
    <t>Denethor</t>
  </si>
  <si>
    <t>Faramir's Buddy</t>
  </si>
  <si>
    <t>Orc Intern</t>
  </si>
  <si>
    <t>New Hire #1</t>
  </si>
  <si>
    <t>New Hire #2</t>
  </si>
  <si>
    <t>New Hire #3</t>
  </si>
  <si>
    <t>New Hire #4</t>
  </si>
  <si>
    <t>Devops</t>
  </si>
  <si>
    <t>New Hire #5</t>
  </si>
  <si>
    <t>New Hire #6</t>
  </si>
  <si>
    <t>New Hire #7</t>
  </si>
  <si>
    <t>New Hire #8</t>
  </si>
  <si>
    <t>Marketing</t>
  </si>
  <si>
    <t>Meriadoc Brandybuck</t>
  </si>
  <si>
    <t>CMO</t>
  </si>
  <si>
    <t>Peregrin Took</t>
  </si>
  <si>
    <t>Fool of a Took</t>
  </si>
  <si>
    <t>MDR 1</t>
  </si>
  <si>
    <t>MDR 2</t>
  </si>
  <si>
    <t>MDR 3</t>
  </si>
  <si>
    <t>MDR 4</t>
  </si>
  <si>
    <t>Sales</t>
  </si>
  <si>
    <t>Éowyn</t>
  </si>
  <si>
    <t>VP of Sales</t>
  </si>
  <si>
    <t>Account Executive</t>
  </si>
  <si>
    <t>Aragorn</t>
  </si>
  <si>
    <t>SDR</t>
  </si>
  <si>
    <t>Legolas</t>
  </si>
  <si>
    <t>SDR 3</t>
  </si>
  <si>
    <t>SDR 4</t>
  </si>
  <si>
    <t>SDR 5</t>
  </si>
  <si>
    <t>SDR 6</t>
  </si>
  <si>
    <t>Enterprise AE 1</t>
  </si>
  <si>
    <t>Enterprise AE 2</t>
  </si>
  <si>
    <t>Enterprise AE 3</t>
  </si>
  <si>
    <t>Enterprise AE 4</t>
  </si>
  <si>
    <t>Support</t>
  </si>
  <si>
    <t>Arwen Evenstar</t>
  </si>
  <si>
    <t>VP of Support</t>
  </si>
  <si>
    <t>Samwise Gamgee</t>
  </si>
  <si>
    <t>Support Rep</t>
  </si>
  <si>
    <t>Cat Hartwell</t>
  </si>
  <si>
    <t>Dave Grohl</t>
  </si>
  <si>
    <t>Glen Hardin</t>
  </si>
  <si>
    <t>Jessica Suthiwong</t>
  </si>
  <si>
    <t>John Ware</t>
  </si>
  <si>
    <t>Marie Fredrixon</t>
  </si>
  <si>
    <t>Matt Goias</t>
  </si>
  <si>
    <t>New Hire</t>
  </si>
  <si>
    <t>New Support Employee</t>
  </si>
  <si>
    <t>New Support Engineer</t>
  </si>
  <si>
    <t>TOTAL SALARIES</t>
  </si>
  <si>
    <t>Salaries Per Team</t>
  </si>
  <si>
    <t xml:space="preserve">Total Salaries </t>
  </si>
  <si>
    <t>Sanity Check</t>
  </si>
  <si>
    <t>Payroll Taxes Per Team</t>
  </si>
  <si>
    <t xml:space="preserve">Total Payroll Taxes </t>
  </si>
  <si>
    <t>Benefits Per Team</t>
  </si>
  <si>
    <t>Total Benefits</t>
  </si>
  <si>
    <t>Contractor Payments Per Team (no payroll tax)</t>
  </si>
  <si>
    <t>Total Contractor Payments</t>
  </si>
  <si>
    <t>Rencana Perekrutan - Kasus Terburuk</t>
  </si>
  <si>
    <t>Gaji</t>
  </si>
  <si>
    <t>Tanggal Perekrutan</t>
  </si>
  <si>
    <t>Gimli</t>
  </si>
  <si>
    <t>Model Operasi, Kasus Dasar</t>
  </si>
  <si>
    <t>Autopilot Input</t>
  </si>
  <si>
    <t>PROFIT AND LOSS</t>
  </si>
  <si>
    <t>Start Long-term forecast from here</t>
  </si>
  <si>
    <t>Income</t>
  </si>
  <si>
    <t xml:space="preserve">  Subscription Fees</t>
  </si>
  <si>
    <t>Total Income</t>
  </si>
  <si>
    <t xml:space="preserve">  Export Check</t>
  </si>
  <si>
    <t>Cost of Revenue (COGS)</t>
  </si>
  <si>
    <t xml:space="preserve">  Customer Support</t>
  </si>
  <si>
    <t xml:space="preserve">    Payroll - Support</t>
  </si>
  <si>
    <t xml:space="preserve">      Employee Benefits - Support</t>
  </si>
  <si>
    <t xml:space="preserve">      Employer Taxes - Support</t>
  </si>
  <si>
    <t xml:space="preserve">      Salaries - Support</t>
  </si>
  <si>
    <t xml:space="preserve">    Total Payroll - Support</t>
  </si>
  <si>
    <t xml:space="preserve">    Software &amp; Tools - Support</t>
  </si>
  <si>
    <t xml:space="preserve">  Total Customer Support</t>
  </si>
  <si>
    <t xml:space="preserve">  Service Delivery</t>
  </si>
  <si>
    <t xml:space="preserve">    Hosting</t>
  </si>
  <si>
    <t xml:space="preserve">  Total Service Delivery</t>
  </si>
  <si>
    <t>Total Cost of Revenue</t>
  </si>
  <si>
    <t xml:space="preserve">  Research &amp; Development</t>
  </si>
  <si>
    <t xml:space="preserve">    Contract Labor - R&amp;D</t>
  </si>
  <si>
    <t xml:space="preserve">    Payroll - R&amp;D</t>
  </si>
  <si>
    <t xml:space="preserve">      Employee Benefits - R&amp;D</t>
  </si>
  <si>
    <t xml:space="preserve">      Employer Taxes - R&amp;D</t>
  </si>
  <si>
    <t xml:space="preserve">      Salaries - R&amp;D</t>
  </si>
  <si>
    <t xml:space="preserve">    Total Payroll - R&amp;D</t>
  </si>
  <si>
    <t xml:space="preserve">  Total Research &amp; Development</t>
  </si>
  <si>
    <t xml:space="preserve">    Bank Fees</t>
  </si>
  <si>
    <t xml:space="preserve">    Dues &amp; Subscriptions</t>
  </si>
  <si>
    <t xml:space="preserve">    Education</t>
  </si>
  <si>
    <t xml:space="preserve">    Insurance</t>
  </si>
  <si>
    <t xml:space="preserve">    Legal &amp; Professional Fees</t>
  </si>
  <si>
    <t xml:space="preserve">      Accounting</t>
  </si>
  <si>
    <t xml:space="preserve">    Total Legal &amp; Professional Fees</t>
  </si>
  <si>
    <t xml:space="preserve">    Meals and Entertainment</t>
  </si>
  <si>
    <t xml:space="preserve">      In-Office Meals (100%)</t>
  </si>
  <si>
    <t xml:space="preserve">    Total Meals and Entertainment</t>
  </si>
  <si>
    <t xml:space="preserve">    Office Expenses</t>
  </si>
  <si>
    <t xml:space="preserve">      Equipment &amp; Hardware</t>
  </si>
  <si>
    <t xml:space="preserve">      Supplies</t>
  </si>
  <si>
    <t xml:space="preserve">    Total Office Expenses</t>
  </si>
  <si>
    <t xml:space="preserve">    Payroll - G&amp;A</t>
  </si>
  <si>
    <t xml:space="preserve">      Employee Benefits - G&amp;A</t>
  </si>
  <si>
    <t xml:space="preserve">      Employer Taxes - G&amp;A</t>
  </si>
  <si>
    <t xml:space="preserve">      Salaries - G&amp;A</t>
  </si>
  <si>
    <t xml:space="preserve">    Total Payroll - G&amp;A</t>
  </si>
  <si>
    <t xml:space="preserve">    Rent or Lease</t>
  </si>
  <si>
    <t xml:space="preserve">    Software &amp; Tools - G&amp;A</t>
  </si>
  <si>
    <t xml:space="preserve">    Taxes &amp; Licenses</t>
  </si>
  <si>
    <t xml:space="preserve">    Telephone &amp; Internet</t>
  </si>
  <si>
    <t xml:space="preserve">    Travel</t>
  </si>
  <si>
    <t xml:space="preserve">      Airfare</t>
  </si>
  <si>
    <t xml:space="preserve">      Lodging</t>
  </si>
  <si>
    <t xml:space="preserve">      Transportation</t>
  </si>
  <si>
    <t xml:space="preserve">      Travel Meals</t>
  </si>
  <si>
    <t xml:space="preserve">    Total Travel</t>
  </si>
  <si>
    <t xml:space="preserve">  Total General &amp; Admin</t>
  </si>
  <si>
    <t xml:space="preserve">    Marketing</t>
  </si>
  <si>
    <t xml:space="preserve">      Advertising</t>
  </si>
  <si>
    <t xml:space="preserve">      Payroll - Marketing</t>
  </si>
  <si>
    <t xml:space="preserve">        Employee Benefits - Marketing</t>
  </si>
  <si>
    <t xml:space="preserve">        Employer Taxes - Marketing</t>
  </si>
  <si>
    <t xml:space="preserve">        Salaries - Marketing</t>
  </si>
  <si>
    <t xml:space="preserve">      Total Payroll - Marketing</t>
  </si>
  <si>
    <t xml:space="preserve">      Promotional</t>
  </si>
  <si>
    <t xml:space="preserve">    Software &amp; Tools - Marketing</t>
  </si>
  <si>
    <t xml:space="preserve">    Total Marketing</t>
  </si>
  <si>
    <t xml:space="preserve">    Sales</t>
  </si>
  <si>
    <t xml:space="preserve">      Payroll - Sales</t>
  </si>
  <si>
    <t xml:space="preserve">        Employee Benefits - Sales</t>
  </si>
  <si>
    <t xml:space="preserve">        Employer Taxes - Sales</t>
  </si>
  <si>
    <t xml:space="preserve">        Sales Commissions</t>
  </si>
  <si>
    <t xml:space="preserve">        Salaries - Sales</t>
  </si>
  <si>
    <t xml:space="preserve">      Total Payroll - Sales</t>
  </si>
  <si>
    <t xml:space="preserve">    Software &amp; Tools - Sales</t>
  </si>
  <si>
    <t xml:space="preserve">    Total Sales</t>
  </si>
  <si>
    <t xml:space="preserve">  Total Sales &amp; Marketing</t>
  </si>
  <si>
    <t>Net Operating Income</t>
  </si>
  <si>
    <t>Other Income</t>
  </si>
  <si>
    <t xml:space="preserve">  Forgiven Part of the Loan</t>
  </si>
  <si>
    <t>Total Other Income</t>
  </si>
  <si>
    <t>Other Expenses</t>
  </si>
  <si>
    <t xml:space="preserve">  Interest Expense - Partially Forgivable Loan</t>
  </si>
  <si>
    <t xml:space="preserve">  Interest Expense - Standard Loan</t>
  </si>
  <si>
    <t>Total Other Expenses</t>
  </si>
  <si>
    <t>BALANCE SHEET</t>
  </si>
  <si>
    <t>Assets</t>
  </si>
  <si>
    <t xml:space="preserve">  Current Assets</t>
  </si>
  <si>
    <t xml:space="preserve">    Bank Accounts</t>
  </si>
  <si>
    <t xml:space="preserve">      Checking</t>
  </si>
  <si>
    <t xml:space="preserve">    Total Bank Accounts</t>
  </si>
  <si>
    <t xml:space="preserve">  Total Current Assets</t>
  </si>
  <si>
    <t xml:space="preserve">  Fixed Assets</t>
  </si>
  <si>
    <t xml:space="preserve">    Accumulated Depreciation</t>
  </si>
  <si>
    <t xml:space="preserve">    Computer Equipment</t>
  </si>
  <si>
    <t xml:space="preserve">  Total Fixed Assets</t>
  </si>
  <si>
    <t xml:space="preserve">  Other Assets</t>
  </si>
  <si>
    <t xml:space="preserve">    Accumulated Amortization</t>
  </si>
  <si>
    <t xml:space="preserve">    Security Deposit</t>
  </si>
  <si>
    <t xml:space="preserve">    Start Up/Organization Costs</t>
  </si>
  <si>
    <t xml:space="preserve">  Total Other Assets</t>
  </si>
  <si>
    <t>Total Assets</t>
  </si>
  <si>
    <t>Liabilities and Equity</t>
  </si>
  <si>
    <t xml:space="preserve">  Liabilities</t>
  </si>
  <si>
    <t xml:space="preserve">    Current Liabilities</t>
  </si>
  <si>
    <t xml:space="preserve">      Credit Cards</t>
  </si>
  <si>
    <t xml:space="preserve">        Amex</t>
  </si>
  <si>
    <t xml:space="preserve">      Total Credit Cards</t>
  </si>
  <si>
    <t xml:space="preserve">      Other Current Liabilities</t>
  </si>
  <si>
    <t xml:space="preserve">        Deferred Revenue</t>
  </si>
  <si>
    <t xml:space="preserve">        Payroll Clearing</t>
  </si>
  <si>
    <t xml:space="preserve">      Total Other Current Liabilities</t>
  </si>
  <si>
    <t xml:space="preserve">    Total Current Liabilities</t>
  </si>
  <si>
    <t xml:space="preserve">    Long-Term Liabilities</t>
  </si>
  <si>
    <t xml:space="preserve">      Fishless Capital</t>
  </si>
  <si>
    <t xml:space="preserve">      Invoker Investor</t>
  </si>
  <si>
    <t xml:space="preserve">      J-Dog</t>
  </si>
  <si>
    <t xml:space="preserve">      Partially Forgivable Loan</t>
  </si>
  <si>
    <t xml:space="preserve">      Standard Loan</t>
  </si>
  <si>
    <t xml:space="preserve">    Total Long-Term Liabilities</t>
  </si>
  <si>
    <t xml:space="preserve">  Total Liabilities</t>
  </si>
  <si>
    <t xml:space="preserve">  Equity</t>
  </si>
  <si>
    <t xml:space="preserve">    Common Stock</t>
  </si>
  <si>
    <t xml:space="preserve">    Opening Balance Equity</t>
  </si>
  <si>
    <t xml:space="preserve">    Retained Earnings</t>
  </si>
  <si>
    <t xml:space="preserve">    Net Income</t>
  </si>
  <si>
    <t xml:space="preserve">  Total Equity</t>
  </si>
  <si>
    <t>Total Liabilities and Equity</t>
  </si>
  <si>
    <t xml:space="preserve">  Balance Check</t>
  </si>
  <si>
    <t>CASH FLOW STATEMENT</t>
  </si>
  <si>
    <t>OPERATING ACTIVITIES</t>
  </si>
  <si>
    <t xml:space="preserve">  Net Income</t>
  </si>
  <si>
    <t xml:space="preserve">  Adjustments to reconcile Net Income to Net Cash provided by operations:</t>
  </si>
  <si>
    <t xml:space="preserve">    Amex</t>
  </si>
  <si>
    <t xml:space="preserve">    Deferred Revenue</t>
  </si>
  <si>
    <t xml:space="preserve">    Payroll Clearing</t>
  </si>
  <si>
    <t xml:space="preserve">  Total Adjustments to reconcile Net Income to Net Cash provided by operations:</t>
  </si>
  <si>
    <t>Net cash provided by operating activities</t>
  </si>
  <si>
    <t>INVESTING ACTIVITIES</t>
  </si>
  <si>
    <t xml:space="preserve">  Computer Equipment</t>
  </si>
  <si>
    <t xml:space="preserve">  Security Deposit</t>
  </si>
  <si>
    <t xml:space="preserve">  Start Up/Organization Costs</t>
  </si>
  <si>
    <t>Net cash provided by investing activities</t>
  </si>
  <si>
    <t>FINANCING ACTIVITIES</t>
  </si>
  <si>
    <t xml:space="preserve">  Fishless Capital</t>
  </si>
  <si>
    <t xml:space="preserve">  Invoker Investor</t>
  </si>
  <si>
    <t xml:space="preserve">  J-Dog</t>
  </si>
  <si>
    <t xml:space="preserve">  Partially Forgivable Loan</t>
  </si>
  <si>
    <t xml:space="preserve">  Standard Loan</t>
  </si>
  <si>
    <t xml:space="preserve">  Common Stock</t>
  </si>
  <si>
    <t>Net cash provided by financing activities</t>
  </si>
  <si>
    <t>Net cash increase for period</t>
  </si>
  <si>
    <t>Operating Model, Worst-Case</t>
  </si>
  <si>
    <t>Pinjaman</t>
  </si>
  <si>
    <t>Partially Forgivable Loan</t>
  </si>
  <si>
    <t>Beginning Balance</t>
  </si>
  <si>
    <t xml:space="preserve">  Draw (to be paid back)</t>
  </si>
  <si>
    <t xml:space="preserve">  Principal Payments</t>
  </si>
  <si>
    <t xml:space="preserve">  Interest Owed</t>
  </si>
  <si>
    <t xml:space="preserve">  Interest Paid</t>
  </si>
  <si>
    <t>Ending Balance</t>
  </si>
  <si>
    <t>Forgiven Loan Amount (=Other Income)</t>
  </si>
  <si>
    <t>Forgivable Loan Terms</t>
  </si>
  <si>
    <t>Loan Draw Date</t>
  </si>
  <si>
    <t>Amount</t>
  </si>
  <si>
    <t xml:space="preserve">  Forgiven %</t>
  </si>
  <si>
    <t xml:space="preserve">  Forgiven amount</t>
  </si>
  <si>
    <t>Loan to be paid back</t>
  </si>
  <si>
    <t>Payments (in months)</t>
  </si>
  <si>
    <t>Payback starts after (months)</t>
  </si>
  <si>
    <t>Interest, per year (simple)</t>
  </si>
  <si>
    <t>Standard Loan</t>
  </si>
  <si>
    <t xml:space="preserve">  Draw</t>
  </si>
  <si>
    <t>Standard Loan Terms</t>
  </si>
  <si>
    <t>Model operasi</t>
  </si>
  <si>
    <t xml:space="preserve">  Total Engineering</t>
  </si>
  <si>
    <t xml:space="preserve">    Insurance - General</t>
  </si>
  <si>
    <t>Pendapatan tangguhan</t>
  </si>
  <si>
    <t>Existing Revenue</t>
  </si>
  <si>
    <t xml:space="preserve">  Beginning Balance</t>
  </si>
  <si>
    <t xml:space="preserve">  Recognized Amount, Annual</t>
  </si>
  <si>
    <t>Renewals</t>
  </si>
  <si>
    <t xml:space="preserve">    Renewals, Annual</t>
  </si>
  <si>
    <t xml:space="preserve">    Churn, Annual</t>
  </si>
  <si>
    <t xml:space="preserve">    Contraction, Annual</t>
  </si>
  <si>
    <t xml:space="preserve">    Recognized Revenue</t>
  </si>
  <si>
    <t>Deferred Revenue Ending Balance</t>
  </si>
  <si>
    <t>New Revenue</t>
  </si>
  <si>
    <t xml:space="preserve">    New Revenue, Annual</t>
  </si>
  <si>
    <t xml:space="preserve">  Recognized Revenue, Annual</t>
  </si>
  <si>
    <t>Deferred Revenue Ending Balance, New Customers</t>
  </si>
  <si>
    <t>Total Deferred Revenue</t>
  </si>
  <si>
    <t>Adjustment to Net Income (Cash Flow Statement)</t>
  </si>
  <si>
    <t xml:space="preserve">  Revenue</t>
  </si>
  <si>
    <t xml:space="preserve">  Cash In</t>
  </si>
  <si>
    <t>Recognized Revenue, New &amp; Expansion Customers - Annual</t>
  </si>
  <si>
    <t>Renewals, Churn &amp; Contraction Recognized Revenue</t>
  </si>
  <si>
    <t>SaaS Financial Model 2.0 Example</t>
  </si>
  <si>
    <t>Profit and Loss</t>
  </si>
  <si>
    <t>All Dates</t>
  </si>
  <si>
    <t>Subscription Fees</t>
  </si>
  <si>
    <t>Cost of Goods Sold</t>
  </si>
  <si>
    <t>Customer Support</t>
  </si>
  <si>
    <t>Payroll - Support</t>
  </si>
  <si>
    <t>Employee Benefits - Support</t>
  </si>
  <si>
    <t>Employer Taxes - Support</t>
  </si>
  <si>
    <t>Salaries - Support</t>
  </si>
  <si>
    <t>Total Payroll - Support</t>
  </si>
  <si>
    <t>Software &amp; Tools - Support</t>
  </si>
  <si>
    <t>Total Customer Support</t>
  </si>
  <si>
    <t>Service Delivery</t>
  </si>
  <si>
    <t>Hosting</t>
  </si>
  <si>
    <t>Total Service Delivery</t>
  </si>
  <si>
    <t>Total Cost of Goods Sold</t>
  </si>
  <si>
    <t>Bank Fees</t>
  </si>
  <si>
    <t>Dues &amp; Subscriptions</t>
  </si>
  <si>
    <t>Education</t>
  </si>
  <si>
    <t>Insurance</t>
  </si>
  <si>
    <t>Legal &amp; Professional Fees</t>
  </si>
  <si>
    <t>Accounting</t>
  </si>
  <si>
    <t>Total Legal &amp; Professional Fees</t>
  </si>
  <si>
    <t>Meals and Entertainment</t>
  </si>
  <si>
    <t>In-Office Meals (100%)</t>
  </si>
  <si>
    <t>Total Meals and Entertainment</t>
  </si>
  <si>
    <t>Office Expenses</t>
  </si>
  <si>
    <t>Equipment &amp; Hardware</t>
  </si>
  <si>
    <t>Supplies</t>
  </si>
  <si>
    <t>Total Office Expenses</t>
  </si>
  <si>
    <t>Payroll - G&amp;A</t>
  </si>
  <si>
    <t>Employee Benefits - G&amp;A</t>
  </si>
  <si>
    <t>Employer Taxes - G&amp;A</t>
  </si>
  <si>
    <t>Salaries - G&amp;A</t>
  </si>
  <si>
    <t>Total Payroll - G&amp;A</t>
  </si>
  <si>
    <t>Rent or Lease</t>
  </si>
  <si>
    <t>Software &amp; Tools - G&amp;A</t>
  </si>
  <si>
    <t>Taxes &amp; Licenses</t>
  </si>
  <si>
    <t>Telephone &amp; Internet</t>
  </si>
  <si>
    <t>Travel</t>
  </si>
  <si>
    <t>Airfare</t>
  </si>
  <si>
    <t>Lodging</t>
  </si>
  <si>
    <t>Transportation</t>
  </si>
  <si>
    <t>Travel Meals</t>
  </si>
  <si>
    <t>Total Travel</t>
  </si>
  <si>
    <t>Total General &amp; Admin</t>
  </si>
  <si>
    <t>Research &amp; Development</t>
  </si>
  <si>
    <t>Contract Labor - R&amp;D</t>
  </si>
  <si>
    <t>Payroll - R&amp;D</t>
  </si>
  <si>
    <t>Employee Benefits - R&amp;D</t>
  </si>
  <si>
    <t>Employer Taxes - R&amp;D</t>
  </si>
  <si>
    <t>Salaries - R&amp;D</t>
  </si>
  <si>
    <t>Total Payroll - R&amp;D</t>
  </si>
  <si>
    <t>Total Research &amp; Development</t>
  </si>
  <si>
    <t>Advertising</t>
  </si>
  <si>
    <t>Payroll - Marketing</t>
  </si>
  <si>
    <t>Employee Benefits - Marketing</t>
  </si>
  <si>
    <t>Employer Taxes - Marketing</t>
  </si>
  <si>
    <t>Salaries - Marketing</t>
  </si>
  <si>
    <t>Total Payroll - Marketing</t>
  </si>
  <si>
    <t>Software &amp; Tools - Marketing</t>
  </si>
  <si>
    <t>Total Marketing</t>
  </si>
  <si>
    <t>Promotional</t>
  </si>
  <si>
    <t>Payroll - Sales</t>
  </si>
  <si>
    <t>Employee Benefits - Sales</t>
  </si>
  <si>
    <t>Employer Taxes - Sales</t>
  </si>
  <si>
    <t>Salaries - Sales</t>
  </si>
  <si>
    <t>Sales Commissions</t>
  </si>
  <si>
    <t>Total Payroll - Sales</t>
  </si>
  <si>
    <t>Software &amp; Tools - Sales</t>
  </si>
  <si>
    <t>Total Sales</t>
  </si>
  <si>
    <t>Total Sales &amp; Marketing</t>
  </si>
  <si>
    <t>Balance Sheet</t>
  </si>
  <si>
    <t>ASSETS</t>
  </si>
  <si>
    <t>Current Assets</t>
  </si>
  <si>
    <t>Bank Accounts</t>
  </si>
  <si>
    <t>Checking</t>
  </si>
  <si>
    <t>Total Bank Accounts</t>
  </si>
  <si>
    <t>Total Current Assets</t>
  </si>
  <si>
    <t>Fixed Assets</t>
  </si>
  <si>
    <t>Accumulated Depreciation</t>
  </si>
  <si>
    <t>Computer Equipment</t>
  </si>
  <si>
    <t>Total Fixed Assets</t>
  </si>
  <si>
    <t>Other Assets</t>
  </si>
  <si>
    <t>Accumulated Amortization</t>
  </si>
  <si>
    <t>Security Deposit</t>
  </si>
  <si>
    <t>Start Up/Organization Costs</t>
  </si>
  <si>
    <t>Total Other Assets</t>
  </si>
  <si>
    <t>TOTAL ASSETS</t>
  </si>
  <si>
    <t>LIABILITIES AND EQUITY</t>
  </si>
  <si>
    <t>Liabilities</t>
  </si>
  <si>
    <t>Current Liabilities</t>
  </si>
  <si>
    <t>Credit Cards</t>
  </si>
  <si>
    <t>Amex</t>
  </si>
  <si>
    <t>Total Credit Cards</t>
  </si>
  <si>
    <t>Other Current Liabilities</t>
  </si>
  <si>
    <t>Payroll Clearing</t>
  </si>
  <si>
    <t>Total Other Current Liabilities</t>
  </si>
  <si>
    <t>Total Current Liabilities</t>
  </si>
  <si>
    <t>Long-Term Liabilities</t>
  </si>
  <si>
    <t>Fishless Capital</t>
  </si>
  <si>
    <t>Invoker Investor</t>
  </si>
  <si>
    <t>J-Dog</t>
  </si>
  <si>
    <t>Total Long-Term Liabilities</t>
  </si>
  <si>
    <t>Total Liabilities</t>
  </si>
  <si>
    <t>Equity</t>
  </si>
  <si>
    <t>Common Stock</t>
  </si>
  <si>
    <t>Opening Balance Equity</t>
  </si>
  <si>
    <t>Retained Earnings</t>
  </si>
  <si>
    <t>Total Equity</t>
  </si>
  <si>
    <t>TOTAL LIABILITIES AND EQUITY</t>
  </si>
  <si>
    <t>Statement of Cash Flows</t>
  </si>
  <si>
    <t>Adjustments to reconcile Net Income to Net Cash provided by operations:</t>
  </si>
  <si>
    <t>Total Adjustments to reconcile Net Income to Net Cash provided by operations:</t>
  </si>
  <si>
    <t>MRR</t>
  </si>
  <si>
    <t>Active Customers</t>
  </si>
  <si>
    <t>Upgrades</t>
  </si>
  <si>
    <t>Breakout</t>
  </si>
  <si>
    <t>Graph</t>
  </si>
  <si>
    <t>date</t>
  </si>
  <si>
    <t>mrr_new</t>
  </si>
  <si>
    <t>mrr_churn</t>
  </si>
  <si>
    <t>mrr_contraction</t>
  </si>
  <si>
    <t>mrr_expansion</t>
  </si>
  <si>
    <t>mrr_reactivation</t>
  </si>
  <si>
    <t>mrr</t>
  </si>
  <si>
    <t>mrr_new_count</t>
  </si>
  <si>
    <t>mrr_churn_count</t>
  </si>
  <si>
    <t>mrr_reactivation_count</t>
  </si>
  <si>
    <t>total customers</t>
  </si>
  <si>
    <t>mrr_expansion_count</t>
  </si>
  <si>
    <t>downgrades</t>
  </si>
  <si>
    <t>Customer Name</t>
  </si>
  <si>
    <t>Renewal Date</t>
  </si>
  <si>
    <t>Renewal Amount</t>
  </si>
  <si>
    <t>Billing Interval (months)</t>
  </si>
</sst>
</file>

<file path=xl/styles.xml><?xml version="1.0" encoding="utf-8"?>
<styleSheet xmlns="http://schemas.openxmlformats.org/spreadsheetml/2006/main" xmlns:x14ac="http://schemas.microsoft.com/office/spreadsheetml/2009/9/ac" xmlns:mc="http://schemas.openxmlformats.org/markup-compatibility/2006">
  <numFmts count="22">
    <numFmt numFmtId="164" formatCode="mmmm\ yyyy"/>
    <numFmt numFmtId="165" formatCode="mmm\ yyyy"/>
    <numFmt numFmtId="166" formatCode="_(* \$#,##0.0,,,\M_);_(* \(\$#,##0,\k\);_(* &quot;-&quot;??_);_(@_)"/>
    <numFmt numFmtId="167" formatCode="_(* \$#,##0.0,,,\M_);_(* \(\$#,##0.0,,,\M\);_(* &quot;-&quot;??_);_(@_)"/>
    <numFmt numFmtId="168" formatCode="_(* \$#,##0,\k_);_(* \(\$#,##0,\k\);_(* &quot;-&quot;??_);_(@_)"/>
    <numFmt numFmtId="169" formatCode="_(* #,##0,_);_(* \(#,##0,\);_(* &quot;-&quot;??_);_(@_)"/>
    <numFmt numFmtId="170" formatCode="_(* #,##0_);_(* \(#,##0\);_(* &quot;-&quot;??_);_(@_)"/>
    <numFmt numFmtId="171" formatCode="&quot;$&quot;#,##0"/>
    <numFmt numFmtId="172" formatCode="[$IDR]\ #,##0"/>
    <numFmt numFmtId="173" formatCode="0.0%"/>
    <numFmt numFmtId="174" formatCode="#,##0.0\x"/>
    <numFmt numFmtId="175" formatCode="&quot;Q1&quot;\ yyyy"/>
    <numFmt numFmtId="176" formatCode="&quot;Q2&quot;\ yyyy"/>
    <numFmt numFmtId="177" formatCode="&quot;Q3&quot;\ yyyy"/>
    <numFmt numFmtId="178" formatCode="&quot;Q4&quot;\ yyyy"/>
    <numFmt numFmtId="179" formatCode="#,##0.00000"/>
    <numFmt numFmtId="180" formatCode="#,##0.0"/>
    <numFmt numFmtId="181" formatCode="[$IDR]\ #,##0.00"/>
    <numFmt numFmtId="182" formatCode="&quot;$&quot;#,##0_);[Red]\(&quot;$&quot;#,##0\)"/>
    <numFmt numFmtId="183" formatCode="&quot;$&quot;#,##0.00"/>
    <numFmt numFmtId="184" formatCode="&quot;$&quot;#,##0.00_);[Red]\(&quot;$&quot;#,##0.00\)"/>
    <numFmt numFmtId="185" formatCode="m/d/yy\ h:mm"/>
  </numFmts>
  <fonts count="41">
    <font>
      <sz val="10.0"/>
      <color rgb="FF000000"/>
      <name val="Arial"/>
      <scheme val="minor"/>
    </font>
    <font>
      <sz val="10.0"/>
      <color theme="1"/>
      <name val="Arial"/>
    </font>
    <font>
      <sz val="18.0"/>
      <color theme="1"/>
      <name val="Arial"/>
    </font>
    <font>
      <sz val="16.0"/>
      <color theme="1"/>
      <name val="Arial"/>
    </font>
    <font>
      <b/>
      <u/>
      <sz val="10.0"/>
      <color theme="1"/>
      <name val="Arial"/>
    </font>
    <font>
      <b/>
      <u/>
      <sz val="10.0"/>
      <color theme="1"/>
      <name val="Arial"/>
    </font>
    <font>
      <b/>
      <u/>
      <sz val="10.0"/>
      <color theme="1"/>
      <name val="Arial"/>
    </font>
    <font>
      <b/>
      <sz val="10.0"/>
      <color theme="1"/>
      <name val="Arial"/>
    </font>
    <font>
      <i/>
      <sz val="10.0"/>
      <color theme="1"/>
      <name val="Arial"/>
    </font>
    <font>
      <b/>
      <sz val="12.0"/>
      <color rgb="FFFFFFFF"/>
      <name val="Arial"/>
    </font>
    <font>
      <b/>
      <sz val="10.0"/>
      <color rgb="FFFFFFFF"/>
      <name val="Arial"/>
    </font>
    <font>
      <sz val="10.0"/>
      <color rgb="FF00B050"/>
      <name val="Arial"/>
    </font>
    <font>
      <b/>
      <sz val="10.0"/>
      <color rgb="FFC00000"/>
      <name val="Arial"/>
    </font>
    <font>
      <sz val="10.0"/>
      <color rgb="FFC00000"/>
      <name val="Arial"/>
    </font>
    <font>
      <sz val="10.0"/>
      <color rgb="FF48B888"/>
      <name val="Arial"/>
    </font>
    <font>
      <b/>
      <sz val="10.0"/>
      <color rgb="FF48B888"/>
      <name val="Arial"/>
    </font>
    <font>
      <sz val="10.0"/>
      <color rgb="FF434343"/>
      <name val="Arial"/>
    </font>
    <font>
      <b/>
      <sz val="10.0"/>
      <color rgb="FF434343"/>
      <name val="Arial"/>
    </font>
    <font>
      <b/>
      <sz val="14.0"/>
      <color rgb="FFFFFFFF"/>
      <name val="Arial"/>
    </font>
    <font>
      <b/>
      <sz val="9.0"/>
      <color rgb="FFFFFFFF"/>
      <name val="Arial"/>
    </font>
    <font>
      <b/>
      <sz val="12.0"/>
      <color rgb="FF000000"/>
      <name val="Arial"/>
    </font>
    <font>
      <sz val="9.0"/>
      <color rgb="FF000000"/>
      <name val="Arial"/>
    </font>
    <font>
      <sz val="10.0"/>
      <color rgb="FF3C78D8"/>
      <name val="Arial"/>
    </font>
    <font>
      <b/>
      <sz val="11.0"/>
      <color rgb="FF000000"/>
      <name val="Arial"/>
    </font>
    <font>
      <b/>
      <sz val="9.0"/>
      <color rgb="FF000000"/>
      <name val="Arial"/>
    </font>
    <font>
      <b/>
      <sz val="12.0"/>
      <color theme="1"/>
      <name val="Arial"/>
    </font>
    <font>
      <u/>
      <sz val="10.0"/>
      <color rgb="FF1155CC"/>
      <name val="Arial"/>
    </font>
    <font>
      <b/>
      <sz val="10.0"/>
      <color theme="0"/>
      <name val="Arial"/>
    </font>
    <font>
      <b/>
      <sz val="12.0"/>
      <color theme="0"/>
      <name val="Arial"/>
    </font>
    <font>
      <sz val="11.0"/>
      <color theme="1"/>
      <name val="Arial"/>
    </font>
    <font>
      <b/>
      <sz val="11.0"/>
      <color rgb="FFFFFFFF"/>
      <name val="Arial"/>
    </font>
    <font>
      <b/>
      <sz val="14.0"/>
      <color theme="1"/>
      <name val="Arial"/>
    </font>
    <font>
      <b/>
      <sz val="11.0"/>
      <color theme="1"/>
      <name val="Arial"/>
    </font>
    <font>
      <sz val="10.0"/>
      <color rgb="FF000000"/>
      <name val="Arial"/>
    </font>
    <font>
      <sz val="10.0"/>
      <color rgb="FF999999"/>
      <name val="Arial"/>
    </font>
    <font>
      <b/>
      <sz val="14.0"/>
      <color rgb="FF000000"/>
      <name val="Arial"/>
    </font>
    <font>
      <b/>
      <sz val="10.0"/>
      <color rgb="FF000000"/>
      <name val="Arial"/>
    </font>
    <font>
      <sz val="11.0"/>
      <color rgb="FF000000"/>
      <name val="Calibri"/>
    </font>
    <font>
      <b/>
      <sz val="8.0"/>
      <color rgb="FF000000"/>
      <name val="Arial"/>
    </font>
    <font>
      <sz val="8.0"/>
      <color rgb="FF000000"/>
      <name val="Arial"/>
    </font>
    <font/>
  </fonts>
  <fills count="16">
    <fill>
      <patternFill patternType="none"/>
    </fill>
    <fill>
      <patternFill patternType="lightGray"/>
    </fill>
    <fill>
      <patternFill patternType="solid">
        <fgColor rgb="FFFFD965"/>
        <bgColor rgb="FFFFD965"/>
      </patternFill>
    </fill>
    <fill>
      <patternFill patternType="solid">
        <fgColor rgb="FFC00000"/>
        <bgColor rgb="FFC00000"/>
      </patternFill>
    </fill>
    <fill>
      <patternFill patternType="solid">
        <fgColor rgb="FFD9EAD3"/>
        <bgColor rgb="FFD9EAD3"/>
      </patternFill>
    </fill>
    <fill>
      <patternFill patternType="solid">
        <fgColor rgb="FFFFE598"/>
        <bgColor rgb="FFFFE598"/>
      </patternFill>
    </fill>
    <fill>
      <patternFill patternType="solid">
        <fgColor rgb="FFD9D9D9"/>
        <bgColor rgb="FFD9D9D9"/>
      </patternFill>
    </fill>
    <fill>
      <patternFill patternType="solid">
        <fgColor rgb="FFDEEAF6"/>
        <bgColor rgb="FFDEEAF6"/>
      </patternFill>
    </fill>
    <fill>
      <patternFill patternType="solid">
        <fgColor rgb="FF9CC2E5"/>
        <bgColor rgb="FF9CC2E5"/>
      </patternFill>
    </fill>
    <fill>
      <patternFill patternType="solid">
        <fgColor rgb="FFFFD966"/>
        <bgColor rgb="FFFFD966"/>
      </patternFill>
    </fill>
    <fill>
      <patternFill patternType="solid">
        <fgColor rgb="FFFFC000"/>
        <bgColor rgb="FFFFC000"/>
      </patternFill>
    </fill>
    <fill>
      <patternFill patternType="solid">
        <fgColor rgb="FF00B0F0"/>
        <bgColor rgb="FF00B0F0"/>
      </patternFill>
    </fill>
    <fill>
      <patternFill patternType="solid">
        <fgColor rgb="FFCCCCCC"/>
        <bgColor rgb="FFCCCCCC"/>
      </patternFill>
    </fill>
    <fill>
      <patternFill patternType="solid">
        <fgColor theme="0"/>
        <bgColor theme="0"/>
      </patternFill>
    </fill>
    <fill>
      <patternFill patternType="solid">
        <fgColor rgb="FFFFE599"/>
        <bgColor rgb="FFFFE599"/>
      </patternFill>
    </fill>
    <fill>
      <patternFill patternType="solid">
        <fgColor rgb="FF7B7B7B"/>
        <bgColor rgb="FF7B7B7B"/>
      </patternFill>
    </fill>
  </fills>
  <borders count="12">
    <border/>
    <border>
      <left/>
      <right/>
      <top/>
      <bottom/>
    </border>
    <border>
      <bottom style="thin">
        <color rgb="FF00B050"/>
      </bottom>
    </border>
    <border>
      <top style="thin">
        <color rgb="FF48B888"/>
      </top>
    </border>
    <border>
      <left/>
      <right/>
      <top style="thin">
        <color rgb="FF48B888"/>
      </top>
      <bottom/>
    </border>
    <border>
      <top style="thin">
        <color rgb="FF000000"/>
      </top>
    </border>
    <border>
      <left/>
      <right/>
      <top style="thin">
        <color rgb="FF000000"/>
      </top>
      <bottom/>
    </border>
    <border>
      <top style="thin">
        <color rgb="FF666666"/>
      </top>
    </border>
    <border>
      <top style="thin">
        <color rgb="FF00B050"/>
      </top>
    </border>
    <border>
      <bottom style="thin">
        <color rgb="FF000000"/>
      </bottom>
    </border>
    <border>
      <left/>
      <top/>
      <bottom/>
    </border>
    <border>
      <top/>
      <bottom/>
    </border>
  </borders>
  <cellStyleXfs count="1">
    <xf borderId="0" fillId="0" fontId="0" numFmtId="0" applyAlignment="1" applyFont="1"/>
  </cellStyleXfs>
  <cellXfs count="249">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right"/>
    </xf>
    <xf borderId="0" fillId="0" fontId="3" numFmtId="164" xfId="0" applyAlignment="1" applyFont="1" applyNumberFormat="1">
      <alignment horizontal="right"/>
    </xf>
    <xf borderId="0" fillId="0" fontId="4" numFmtId="0" xfId="0" applyAlignment="1" applyFont="1">
      <alignment horizontal="right"/>
    </xf>
    <xf borderId="1" fillId="2" fontId="5" numFmtId="0" xfId="0" applyAlignment="1" applyBorder="1" applyFill="1" applyFont="1">
      <alignment horizontal="right"/>
    </xf>
    <xf borderId="0" fillId="0" fontId="6" numFmtId="0" xfId="0" applyAlignment="1" applyFont="1">
      <alignment horizontal="center"/>
    </xf>
    <xf borderId="0" fillId="0" fontId="7" numFmtId="0" xfId="0" applyFont="1"/>
    <xf borderId="0" fillId="0" fontId="7" numFmtId="165" xfId="0" applyAlignment="1" applyFont="1" applyNumberFormat="1">
      <alignment horizontal="right" vertical="center"/>
    </xf>
    <xf borderId="1" fillId="2" fontId="7" numFmtId="165" xfId="0" applyAlignment="1" applyBorder="1" applyFont="1" applyNumberFormat="1">
      <alignment horizontal="right" vertical="center"/>
    </xf>
    <xf borderId="2" fillId="0" fontId="7" numFmtId="0" xfId="0" applyAlignment="1" applyBorder="1" applyFont="1">
      <alignment horizontal="right"/>
    </xf>
    <xf borderId="3" fillId="0" fontId="1" numFmtId="0" xfId="0" applyBorder="1" applyFont="1"/>
    <xf borderId="3" fillId="0" fontId="1" numFmtId="166" xfId="0" applyBorder="1" applyFont="1" applyNumberFormat="1"/>
    <xf borderId="4" fillId="2" fontId="1" numFmtId="166" xfId="0" applyBorder="1" applyFont="1" applyNumberFormat="1"/>
    <xf borderId="0" fillId="0" fontId="1" numFmtId="167" xfId="0" applyAlignment="1" applyFont="1" applyNumberFormat="1">
      <alignment horizontal="right"/>
    </xf>
    <xf borderId="0" fillId="0" fontId="1" numFmtId="9" xfId="0" applyAlignment="1" applyFont="1" applyNumberFormat="1">
      <alignment horizontal="right"/>
    </xf>
    <xf borderId="1" fillId="2" fontId="1" numFmtId="0" xfId="0" applyBorder="1" applyFont="1"/>
    <xf borderId="0" fillId="0" fontId="1" numFmtId="168" xfId="0" applyFont="1" applyNumberFormat="1"/>
    <xf borderId="1" fillId="2" fontId="1" numFmtId="168" xfId="0" applyBorder="1" applyFont="1" applyNumberFormat="1"/>
    <xf borderId="0" fillId="0" fontId="1" numFmtId="169" xfId="0" applyFont="1" applyNumberFormat="1"/>
    <xf borderId="1" fillId="2" fontId="1" numFmtId="169" xfId="0" applyBorder="1" applyFont="1" applyNumberFormat="1"/>
    <xf borderId="5" fillId="0" fontId="7" numFmtId="0" xfId="0" applyBorder="1" applyFont="1"/>
    <xf borderId="5" fillId="0" fontId="1" numFmtId="0" xfId="0" applyBorder="1" applyFont="1"/>
    <xf borderId="5" fillId="0" fontId="7" numFmtId="169" xfId="0" applyBorder="1" applyFont="1" applyNumberFormat="1"/>
    <xf borderId="6" fillId="2" fontId="7" numFmtId="169" xfId="0" applyBorder="1" applyFont="1" applyNumberFormat="1"/>
    <xf borderId="7" fillId="0" fontId="7" numFmtId="9" xfId="0" applyAlignment="1" applyBorder="1" applyFont="1" applyNumberFormat="1">
      <alignment horizontal="right"/>
    </xf>
    <xf borderId="0" fillId="0" fontId="1" numFmtId="9" xfId="0" applyFont="1" applyNumberFormat="1"/>
    <xf borderId="1" fillId="2" fontId="1" numFmtId="9" xfId="0" applyBorder="1" applyFont="1" applyNumberFormat="1"/>
    <xf borderId="3" fillId="0" fontId="1" numFmtId="169" xfId="0" applyBorder="1" applyFont="1" applyNumberFormat="1"/>
    <xf borderId="4" fillId="2" fontId="1" numFmtId="169" xfId="0" applyBorder="1" applyFont="1" applyNumberFormat="1"/>
    <xf borderId="0" fillId="0" fontId="1" numFmtId="0" xfId="0" applyAlignment="1" applyFont="1">
      <alignment horizontal="right"/>
    </xf>
    <xf borderId="0" fillId="0" fontId="8" numFmtId="0" xfId="0" applyFont="1"/>
    <xf borderId="3" fillId="0" fontId="1" numFmtId="9" xfId="0" applyBorder="1" applyFont="1" applyNumberFormat="1"/>
    <xf borderId="4" fillId="2" fontId="1" numFmtId="9" xfId="0" applyBorder="1" applyFont="1" applyNumberFormat="1"/>
    <xf borderId="5" fillId="0" fontId="1" numFmtId="9" xfId="0" applyBorder="1" applyFont="1" applyNumberFormat="1"/>
    <xf borderId="6" fillId="2" fontId="1" numFmtId="9" xfId="0" applyBorder="1" applyFont="1" applyNumberFormat="1"/>
    <xf borderId="1" fillId="3" fontId="9" numFmtId="0" xfId="0" applyAlignment="1" applyBorder="1" applyFill="1" applyFont="1">
      <alignment vertical="center"/>
    </xf>
    <xf borderId="1" fillId="3" fontId="10" numFmtId="165" xfId="0" applyAlignment="1" applyBorder="1" applyFont="1" applyNumberFormat="1">
      <alignment vertical="center"/>
    </xf>
    <xf borderId="0" fillId="0" fontId="11" numFmtId="0" xfId="0" applyFont="1"/>
    <xf borderId="0" fillId="0" fontId="11" numFmtId="170" xfId="0" applyFont="1" applyNumberFormat="1"/>
    <xf borderId="0" fillId="0" fontId="1" numFmtId="171" xfId="0" applyFont="1" applyNumberFormat="1"/>
    <xf borderId="0" fillId="0" fontId="1" numFmtId="172" xfId="0" applyFont="1" applyNumberFormat="1"/>
    <xf borderId="5" fillId="0" fontId="1" numFmtId="170" xfId="0" applyBorder="1" applyFont="1" applyNumberFormat="1"/>
    <xf borderId="0" fillId="0" fontId="1" numFmtId="173" xfId="0" applyFont="1" applyNumberFormat="1"/>
    <xf borderId="0" fillId="0" fontId="1" numFmtId="3" xfId="0" applyFont="1" applyNumberFormat="1"/>
    <xf borderId="0" fillId="0" fontId="1" numFmtId="174" xfId="0" applyFont="1" applyNumberFormat="1"/>
    <xf borderId="0" fillId="0" fontId="1" numFmtId="14" xfId="0" applyFont="1" applyNumberFormat="1"/>
    <xf borderId="1" fillId="3" fontId="10" numFmtId="175" xfId="0" applyAlignment="1" applyBorder="1" applyFont="1" applyNumberFormat="1">
      <alignment vertical="center"/>
    </xf>
    <xf borderId="1" fillId="3" fontId="10" numFmtId="176" xfId="0" applyAlignment="1" applyBorder="1" applyFont="1" applyNumberFormat="1">
      <alignment vertical="center"/>
    </xf>
    <xf borderId="1" fillId="3" fontId="10" numFmtId="177" xfId="0" applyAlignment="1" applyBorder="1" applyFont="1" applyNumberFormat="1">
      <alignment vertical="center"/>
    </xf>
    <xf borderId="1" fillId="3" fontId="10" numFmtId="178" xfId="0" applyAlignment="1" applyBorder="1" applyFont="1" applyNumberFormat="1">
      <alignment vertical="center"/>
    </xf>
    <xf borderId="0" fillId="0" fontId="11" numFmtId="3" xfId="0" applyFont="1" applyNumberFormat="1"/>
    <xf borderId="0" fillId="0" fontId="1" numFmtId="4" xfId="0" applyFont="1" applyNumberFormat="1"/>
    <xf borderId="0" fillId="0" fontId="1" numFmtId="179" xfId="0" applyFont="1" applyNumberFormat="1"/>
    <xf borderId="0" fillId="0" fontId="11" numFmtId="1" xfId="0" applyFont="1" applyNumberFormat="1"/>
    <xf borderId="0" fillId="0" fontId="1" numFmtId="180" xfId="0" applyFont="1" applyNumberFormat="1"/>
    <xf borderId="1" fillId="3" fontId="1" numFmtId="0" xfId="0" applyBorder="1" applyFont="1"/>
    <xf borderId="2" fillId="0" fontId="12" numFmtId="0" xfId="0" applyBorder="1" applyFont="1"/>
    <xf borderId="2" fillId="0" fontId="13" numFmtId="0" xfId="0" applyBorder="1" applyFont="1"/>
    <xf borderId="2" fillId="0" fontId="12" numFmtId="0" xfId="0" applyAlignment="1" applyBorder="1" applyFont="1">
      <alignment horizontal="right"/>
    </xf>
    <xf borderId="0" fillId="0" fontId="13" numFmtId="0" xfId="0" applyFont="1"/>
    <xf borderId="8" fillId="0" fontId="14" numFmtId="0" xfId="0" applyBorder="1" applyFont="1"/>
    <xf borderId="8" fillId="0" fontId="15" numFmtId="165" xfId="0" applyAlignment="1" applyBorder="1" applyFont="1" applyNumberFormat="1">
      <alignment horizontal="right"/>
    </xf>
    <xf borderId="8" fillId="0" fontId="1" numFmtId="0" xfId="0" applyBorder="1" applyFont="1"/>
    <xf borderId="0" fillId="0" fontId="15" numFmtId="165" xfId="0" applyAlignment="1" applyFont="1" applyNumberFormat="1">
      <alignment horizontal="right"/>
    </xf>
    <xf borderId="0" fillId="0" fontId="16" numFmtId="181" xfId="0" applyAlignment="1" applyFont="1" applyNumberFormat="1">
      <alignment horizontal="right"/>
    </xf>
    <xf borderId="0" fillId="0" fontId="16" numFmtId="9" xfId="0" applyAlignment="1" applyFont="1" applyNumberFormat="1">
      <alignment horizontal="right"/>
    </xf>
    <xf borderId="0" fillId="0" fontId="1" numFmtId="181" xfId="0" applyFont="1" applyNumberFormat="1"/>
    <xf borderId="0" fillId="0" fontId="16" numFmtId="169" xfId="0" applyAlignment="1" applyFont="1" applyNumberFormat="1">
      <alignment horizontal="right"/>
    </xf>
    <xf borderId="7" fillId="0" fontId="7" numFmtId="0" xfId="0" applyBorder="1" applyFont="1"/>
    <xf borderId="7" fillId="0" fontId="17" numFmtId="169" xfId="0" applyAlignment="1" applyBorder="1" applyFont="1" applyNumberFormat="1">
      <alignment horizontal="right"/>
    </xf>
    <xf borderId="7" fillId="0" fontId="17" numFmtId="9" xfId="0" applyAlignment="1" applyBorder="1" applyFont="1" applyNumberFormat="1">
      <alignment horizontal="right"/>
    </xf>
    <xf borderId="7" fillId="0" fontId="1" numFmtId="0" xfId="0" applyBorder="1" applyFont="1"/>
    <xf borderId="0" fillId="0" fontId="16" numFmtId="0" xfId="0" applyAlignment="1" applyFont="1">
      <alignment horizontal="right"/>
    </xf>
    <xf borderId="0" fillId="0" fontId="13" numFmtId="170" xfId="0" applyFont="1" applyNumberFormat="1"/>
    <xf borderId="5" fillId="0" fontId="13" numFmtId="170" xfId="0" applyBorder="1" applyFont="1" applyNumberFormat="1"/>
    <xf borderId="0" fillId="0" fontId="1" numFmtId="170" xfId="0" applyAlignment="1" applyFont="1" applyNumberFormat="1">
      <alignment horizontal="right"/>
    </xf>
    <xf borderId="1" fillId="3" fontId="18" numFmtId="0" xfId="0" applyAlignment="1" applyBorder="1" applyFont="1">
      <alignment shrinkToFit="0" wrapText="1"/>
    </xf>
    <xf borderId="1" fillId="3" fontId="19" numFmtId="165" xfId="0" applyAlignment="1" applyBorder="1" applyFont="1" applyNumberFormat="1">
      <alignment horizontal="center" shrinkToFit="0" wrapText="1"/>
    </xf>
    <xf borderId="1" fillId="3" fontId="20" numFmtId="0" xfId="0" applyBorder="1" applyFont="1"/>
    <xf borderId="1" fillId="4" fontId="1" numFmtId="0" xfId="0" applyBorder="1" applyFill="1" applyFont="1"/>
    <xf borderId="1" fillId="5" fontId="1" numFmtId="0" xfId="0" applyBorder="1" applyFill="1" applyFont="1"/>
    <xf borderId="0" fillId="0" fontId="21" numFmtId="0" xfId="0" applyFont="1"/>
    <xf borderId="1" fillId="6" fontId="13" numFmtId="170" xfId="0" applyBorder="1" applyFill="1" applyFont="1" applyNumberFormat="1"/>
    <xf borderId="1" fillId="6" fontId="1" numFmtId="9" xfId="0" applyBorder="1" applyFont="1" applyNumberFormat="1"/>
    <xf borderId="1" fillId="7" fontId="22" numFmtId="9" xfId="0" applyBorder="1" applyFill="1" applyFont="1" applyNumberFormat="1"/>
    <xf borderId="1" fillId="6" fontId="22" numFmtId="9" xfId="0" applyBorder="1" applyFont="1" applyNumberFormat="1"/>
    <xf borderId="0" fillId="0" fontId="23" numFmtId="0" xfId="0" applyFont="1"/>
    <xf borderId="1" fillId="6" fontId="1" numFmtId="0" xfId="0" applyBorder="1" applyFont="1"/>
    <xf borderId="0" fillId="0" fontId="22" numFmtId="3" xfId="0" applyFont="1" applyNumberFormat="1"/>
    <xf borderId="0" fillId="0" fontId="13" numFmtId="170" xfId="0" applyAlignment="1" applyFont="1" applyNumberFormat="1">
      <alignment horizontal="right"/>
    </xf>
    <xf borderId="1" fillId="5" fontId="13" numFmtId="170" xfId="0" applyAlignment="1" applyBorder="1" applyFont="1" applyNumberFormat="1">
      <alignment horizontal="right"/>
    </xf>
    <xf borderId="1" fillId="6" fontId="13" numFmtId="170" xfId="0" applyAlignment="1" applyBorder="1" applyFont="1" applyNumberFormat="1">
      <alignment horizontal="right"/>
    </xf>
    <xf borderId="0" fillId="0" fontId="1" numFmtId="182" xfId="0" applyFont="1" applyNumberFormat="1"/>
    <xf borderId="1" fillId="6" fontId="1" numFmtId="170" xfId="0" applyAlignment="1" applyBorder="1" applyFont="1" applyNumberFormat="1">
      <alignment horizontal="right"/>
    </xf>
    <xf borderId="0" fillId="0" fontId="22" numFmtId="182" xfId="0" applyFont="1" applyNumberFormat="1"/>
    <xf borderId="0" fillId="0" fontId="1" numFmtId="170" xfId="0" applyFont="1" applyNumberFormat="1"/>
    <xf borderId="1" fillId="6" fontId="1" numFmtId="170" xfId="0" applyBorder="1" applyFont="1" applyNumberFormat="1"/>
    <xf borderId="1" fillId="7" fontId="22" numFmtId="170" xfId="0" applyAlignment="1" applyBorder="1" applyFont="1" applyNumberFormat="1">
      <alignment horizontal="right"/>
    </xf>
    <xf borderId="1" fillId="6" fontId="22" numFmtId="170" xfId="0" applyAlignment="1" applyBorder="1" applyFont="1" applyNumberFormat="1">
      <alignment horizontal="right"/>
    </xf>
    <xf borderId="1" fillId="4" fontId="20" numFmtId="0" xfId="0" applyBorder="1" applyFont="1"/>
    <xf borderId="1" fillId="5" fontId="22" numFmtId="173" xfId="0" applyBorder="1" applyFont="1" applyNumberFormat="1"/>
    <xf borderId="1" fillId="7" fontId="22" numFmtId="173" xfId="0" applyBorder="1" applyFont="1" applyNumberFormat="1"/>
    <xf borderId="1" fillId="6" fontId="22" numFmtId="173" xfId="0" applyBorder="1" applyFont="1" applyNumberFormat="1"/>
    <xf borderId="1" fillId="7" fontId="22" numFmtId="170" xfId="0" applyBorder="1" applyFont="1" applyNumberFormat="1"/>
    <xf borderId="1" fillId="6" fontId="22" numFmtId="170" xfId="0" applyBorder="1" applyFont="1" applyNumberFormat="1"/>
    <xf borderId="0" fillId="0" fontId="11" numFmtId="170" xfId="0" applyAlignment="1" applyFont="1" applyNumberFormat="1">
      <alignment horizontal="right"/>
    </xf>
    <xf borderId="0" fillId="0" fontId="22" numFmtId="170" xfId="0" applyFont="1" applyNumberFormat="1"/>
    <xf borderId="0" fillId="0" fontId="22" numFmtId="170" xfId="0" applyAlignment="1" applyFont="1" applyNumberFormat="1">
      <alignment horizontal="right"/>
    </xf>
    <xf borderId="0" fillId="0" fontId="1" numFmtId="173" xfId="0" applyAlignment="1" applyFont="1" applyNumberFormat="1">
      <alignment horizontal="right"/>
    </xf>
    <xf borderId="1" fillId="7" fontId="22" numFmtId="173" xfId="0" applyAlignment="1" applyBorder="1" applyFont="1" applyNumberFormat="1">
      <alignment horizontal="right"/>
    </xf>
    <xf borderId="1" fillId="6" fontId="22" numFmtId="173" xfId="0" applyAlignment="1" applyBorder="1" applyFont="1" applyNumberFormat="1">
      <alignment horizontal="right"/>
    </xf>
    <xf borderId="0" fillId="0" fontId="24" numFmtId="0" xfId="0" applyFont="1"/>
    <xf borderId="0" fillId="0" fontId="25" numFmtId="170" xfId="0" applyFont="1" applyNumberFormat="1"/>
    <xf borderId="0" fillId="0" fontId="21" numFmtId="0" xfId="0" applyAlignment="1" applyFont="1">
      <alignment horizontal="right"/>
    </xf>
    <xf borderId="1" fillId="5" fontId="23" numFmtId="0" xfId="0" applyBorder="1" applyFont="1"/>
    <xf borderId="1" fillId="5" fontId="1" numFmtId="170" xfId="0" applyBorder="1" applyFont="1" applyNumberFormat="1"/>
    <xf borderId="1" fillId="5" fontId="12" numFmtId="170" xfId="0" applyAlignment="1" applyBorder="1" applyFont="1" applyNumberFormat="1">
      <alignment horizontal="right"/>
    </xf>
    <xf borderId="1" fillId="5" fontId="7" numFmtId="170" xfId="0" applyBorder="1" applyFont="1" applyNumberFormat="1"/>
    <xf borderId="0" fillId="0" fontId="1" numFmtId="10" xfId="0" applyFont="1" applyNumberFormat="1"/>
    <xf borderId="1" fillId="2" fontId="20" numFmtId="0" xfId="0" applyBorder="1" applyFont="1"/>
    <xf borderId="1" fillId="5" fontId="1" numFmtId="170" xfId="0" applyAlignment="1" applyBorder="1" applyFont="1" applyNumberFormat="1">
      <alignment horizontal="right"/>
    </xf>
    <xf borderId="1" fillId="5" fontId="22" numFmtId="173" xfId="0" applyAlignment="1" applyBorder="1" applyFont="1" applyNumberFormat="1">
      <alignment horizontal="right"/>
    </xf>
    <xf borderId="1" fillId="8" fontId="1" numFmtId="173" xfId="0" applyBorder="1" applyFill="1" applyFont="1" applyNumberFormat="1"/>
    <xf borderId="1" fillId="8" fontId="22" numFmtId="173" xfId="0" applyBorder="1" applyFont="1" applyNumberFormat="1"/>
    <xf borderId="1" fillId="3" fontId="9" numFmtId="0" xfId="0" applyBorder="1" applyFont="1"/>
    <xf borderId="1" fillId="3" fontId="1" numFmtId="165" xfId="0" applyBorder="1" applyFont="1" applyNumberFormat="1"/>
    <xf borderId="1" fillId="3" fontId="10" numFmtId="165" xfId="0" applyAlignment="1" applyBorder="1" applyFont="1" applyNumberFormat="1">
      <alignment horizontal="right"/>
    </xf>
    <xf borderId="9" fillId="0" fontId="1" numFmtId="0" xfId="0" applyBorder="1" applyFont="1"/>
    <xf borderId="9" fillId="0" fontId="13" numFmtId="170" xfId="0" applyAlignment="1" applyBorder="1" applyFont="1" applyNumberFormat="1">
      <alignment horizontal="right"/>
    </xf>
    <xf borderId="0" fillId="0" fontId="7" numFmtId="170" xfId="0" applyAlignment="1" applyFont="1" applyNumberFormat="1">
      <alignment horizontal="right"/>
    </xf>
    <xf borderId="1" fillId="9" fontId="7" numFmtId="0" xfId="0" applyBorder="1" applyFill="1" applyFont="1"/>
    <xf borderId="1" fillId="9" fontId="1" numFmtId="0" xfId="0" applyBorder="1" applyFont="1"/>
    <xf borderId="1" fillId="9" fontId="7" numFmtId="170" xfId="0" applyAlignment="1" applyBorder="1" applyFont="1" applyNumberFormat="1">
      <alignment horizontal="right"/>
    </xf>
    <xf borderId="1" fillId="9" fontId="26" numFmtId="0" xfId="0" applyBorder="1" applyFont="1"/>
    <xf borderId="1" fillId="3" fontId="10" numFmtId="0" xfId="0" applyAlignment="1" applyBorder="1" applyFont="1">
      <alignment vertical="center"/>
    </xf>
    <xf borderId="1" fillId="3" fontId="10" numFmtId="0" xfId="0" applyAlignment="1" applyBorder="1" applyFont="1">
      <alignment horizontal="left" vertical="center"/>
    </xf>
    <xf borderId="1" fillId="3" fontId="10" numFmtId="0" xfId="0" applyAlignment="1" applyBorder="1" applyFont="1">
      <alignment horizontal="right" vertical="center"/>
    </xf>
    <xf borderId="1" fillId="3" fontId="10" numFmtId="0" xfId="0" applyAlignment="1" applyBorder="1" applyFont="1">
      <alignment horizontal="right" shrinkToFit="0" vertical="center" wrapText="1"/>
    </xf>
    <xf borderId="1" fillId="3" fontId="27" numFmtId="165" xfId="0" applyAlignment="1" applyBorder="1" applyFont="1" applyNumberFormat="1">
      <alignment vertical="center"/>
    </xf>
    <xf borderId="1" fillId="10" fontId="1" numFmtId="170" xfId="0" applyBorder="1" applyFill="1" applyFont="1" applyNumberFormat="1"/>
    <xf borderId="1" fillId="11" fontId="1" numFmtId="14" xfId="0" applyBorder="1" applyFill="1" applyFont="1" applyNumberFormat="1"/>
    <xf borderId="1" fillId="11" fontId="1" numFmtId="9" xfId="0" applyBorder="1" applyFont="1" applyNumberFormat="1"/>
    <xf borderId="1" fillId="11" fontId="1" numFmtId="170" xfId="0" applyBorder="1" applyFont="1" applyNumberFormat="1"/>
    <xf borderId="1" fillId="10" fontId="1" numFmtId="14" xfId="0" applyBorder="1" applyFont="1" applyNumberFormat="1"/>
    <xf borderId="1" fillId="11" fontId="1" numFmtId="0" xfId="0" applyBorder="1" applyFont="1"/>
    <xf borderId="5" fillId="0" fontId="7" numFmtId="0" xfId="0" applyAlignment="1" applyBorder="1" applyFont="1">
      <alignment horizontal="right"/>
    </xf>
    <xf borderId="5" fillId="0" fontId="7" numFmtId="170" xfId="0" applyBorder="1" applyFont="1" applyNumberFormat="1"/>
    <xf borderId="5" fillId="0" fontId="1" numFmtId="0" xfId="0" applyAlignment="1" applyBorder="1" applyFont="1">
      <alignment horizontal="right"/>
    </xf>
    <xf borderId="0" fillId="0" fontId="8" numFmtId="0" xfId="0" applyAlignment="1" applyFont="1">
      <alignment horizontal="right"/>
    </xf>
    <xf borderId="0" fillId="0" fontId="8" numFmtId="170" xfId="0" applyAlignment="1" applyFont="1" applyNumberFormat="1">
      <alignment horizontal="right"/>
    </xf>
    <xf borderId="1" fillId="3" fontId="8" numFmtId="170" xfId="0" applyAlignment="1" applyBorder="1" applyFont="1" applyNumberFormat="1">
      <alignment horizontal="right"/>
    </xf>
    <xf borderId="1" fillId="3" fontId="28" numFmtId="0" xfId="0" applyAlignment="1" applyBorder="1" applyFont="1">
      <alignment vertical="center"/>
    </xf>
    <xf borderId="1" fillId="3" fontId="27" numFmtId="0" xfId="0" applyAlignment="1" applyBorder="1" applyFont="1">
      <alignment vertical="center"/>
    </xf>
    <xf borderId="1" fillId="3" fontId="27" numFmtId="0" xfId="0" applyAlignment="1" applyBorder="1" applyFont="1">
      <alignment horizontal="left" vertical="center"/>
    </xf>
    <xf borderId="1" fillId="3" fontId="27" numFmtId="0" xfId="0" applyAlignment="1" applyBorder="1" applyFont="1">
      <alignment horizontal="right" vertical="center"/>
    </xf>
    <xf borderId="1" fillId="3" fontId="27" numFmtId="0" xfId="0" applyAlignment="1" applyBorder="1" applyFont="1">
      <alignment horizontal="right" shrinkToFit="0" vertical="center" wrapText="1"/>
    </xf>
    <xf borderId="5" fillId="0" fontId="7" numFmtId="170" xfId="0" applyAlignment="1" applyBorder="1" applyFont="1" applyNumberFormat="1">
      <alignment horizontal="right"/>
    </xf>
    <xf borderId="1" fillId="11" fontId="8" numFmtId="170" xfId="0" applyAlignment="1" applyBorder="1" applyFont="1" applyNumberFormat="1">
      <alignment horizontal="right"/>
    </xf>
    <xf borderId="1" fillId="12" fontId="1" numFmtId="0" xfId="0" applyBorder="1" applyFill="1" applyFont="1"/>
    <xf borderId="1" fillId="12" fontId="1" numFmtId="170" xfId="0" applyBorder="1" applyFont="1" applyNumberFormat="1"/>
    <xf borderId="6" fillId="12" fontId="7" numFmtId="170" xfId="0" applyAlignment="1" applyBorder="1" applyFont="1" applyNumberFormat="1">
      <alignment horizontal="right"/>
    </xf>
    <xf borderId="1" fillId="3" fontId="1" numFmtId="170" xfId="0" applyAlignment="1" applyBorder="1" applyFont="1" applyNumberFormat="1">
      <alignment horizontal="right"/>
    </xf>
    <xf borderId="6" fillId="12" fontId="7" numFmtId="0" xfId="0" applyBorder="1" applyFont="1"/>
    <xf borderId="1" fillId="12" fontId="1" numFmtId="173" xfId="0" applyBorder="1" applyFont="1" applyNumberFormat="1"/>
    <xf borderId="0" fillId="0" fontId="1" numFmtId="170" xfId="0" applyAlignment="1" applyFont="1" applyNumberFormat="1">
      <alignment horizontal="center"/>
    </xf>
    <xf borderId="0" fillId="0" fontId="1" numFmtId="4" xfId="0" applyAlignment="1" applyFont="1" applyNumberFormat="1">
      <alignment horizontal="right"/>
    </xf>
    <xf borderId="1" fillId="3" fontId="29" numFmtId="0" xfId="0" applyBorder="1" applyFont="1"/>
    <xf borderId="1" fillId="3" fontId="30" numFmtId="165" xfId="0" applyAlignment="1" applyBorder="1" applyFont="1" applyNumberFormat="1">
      <alignment horizontal="right" shrinkToFit="0" wrapText="1"/>
    </xf>
    <xf borderId="0" fillId="0" fontId="31" numFmtId="0" xfId="0" applyFont="1"/>
    <xf borderId="0" fillId="0" fontId="29" numFmtId="0" xfId="0" applyFont="1"/>
    <xf borderId="0" fillId="0" fontId="29" numFmtId="170" xfId="0" applyFont="1" applyNumberFormat="1"/>
    <xf borderId="0" fillId="0" fontId="29" numFmtId="170" xfId="0" applyAlignment="1" applyFont="1" applyNumberFormat="1">
      <alignment horizontal="right"/>
    </xf>
    <xf borderId="5" fillId="0" fontId="32" numFmtId="0" xfId="0" applyBorder="1" applyFont="1"/>
    <xf borderId="5" fillId="0" fontId="29" numFmtId="0" xfId="0" applyBorder="1" applyFont="1"/>
    <xf borderId="5" fillId="0" fontId="32" numFmtId="170" xfId="0" applyAlignment="1" applyBorder="1" applyFont="1" applyNumberFormat="1">
      <alignment horizontal="right"/>
    </xf>
    <xf borderId="0" fillId="0" fontId="32" numFmtId="0" xfId="0" applyFont="1"/>
    <xf borderId="1" fillId="11" fontId="29" numFmtId="14" xfId="0" applyAlignment="1" applyBorder="1" applyFont="1" applyNumberFormat="1">
      <alignment horizontal="right"/>
    </xf>
    <xf borderId="1" fillId="11" fontId="29" numFmtId="3" xfId="0" applyAlignment="1" applyBorder="1" applyFont="1" applyNumberFormat="1">
      <alignment horizontal="right"/>
    </xf>
    <xf borderId="1" fillId="11" fontId="29" numFmtId="9" xfId="0" applyAlignment="1" applyBorder="1" applyFont="1" applyNumberFormat="1">
      <alignment horizontal="right"/>
    </xf>
    <xf borderId="0" fillId="0" fontId="32" numFmtId="170" xfId="0" applyAlignment="1" applyFont="1" applyNumberFormat="1">
      <alignment horizontal="right"/>
    </xf>
    <xf borderId="1" fillId="11" fontId="29" numFmtId="0" xfId="0" applyAlignment="1" applyBorder="1" applyFont="1">
      <alignment horizontal="right"/>
    </xf>
    <xf borderId="1" fillId="11" fontId="29" numFmtId="10" xfId="0" applyAlignment="1" applyBorder="1" applyFont="1" applyNumberFormat="1">
      <alignment horizontal="right"/>
    </xf>
    <xf borderId="1" fillId="7" fontId="1" numFmtId="170" xfId="0" applyAlignment="1" applyBorder="1" applyFont="1" applyNumberFormat="1">
      <alignment horizontal="right"/>
    </xf>
    <xf borderId="1" fillId="3" fontId="10" numFmtId="182" xfId="0" applyAlignment="1" applyBorder="1" applyFont="1" applyNumberFormat="1">
      <alignment horizontal="left"/>
    </xf>
    <xf borderId="1" fillId="3" fontId="10" numFmtId="17" xfId="0" applyAlignment="1" applyBorder="1" applyFont="1" applyNumberFormat="1">
      <alignment horizontal="right"/>
    </xf>
    <xf borderId="1" fillId="3" fontId="33" numFmtId="0" xfId="0" applyBorder="1" applyFont="1"/>
    <xf borderId="0" fillId="0" fontId="7" numFmtId="182" xfId="0" applyAlignment="1" applyFont="1" applyNumberFormat="1">
      <alignment horizontal="left"/>
    </xf>
    <xf borderId="0" fillId="0" fontId="1" numFmtId="182" xfId="0" applyAlignment="1" applyFont="1" applyNumberFormat="1">
      <alignment horizontal="left"/>
    </xf>
    <xf borderId="9" fillId="0" fontId="1" numFmtId="182" xfId="0" applyAlignment="1" applyBorder="1" applyFont="1" applyNumberFormat="1">
      <alignment horizontal="left"/>
    </xf>
    <xf borderId="0" fillId="0" fontId="11" numFmtId="181" xfId="0" applyFont="1" applyNumberFormat="1"/>
    <xf borderId="5" fillId="0" fontId="7" numFmtId="182" xfId="0" applyAlignment="1" applyBorder="1" applyFont="1" applyNumberFormat="1">
      <alignment horizontal="left"/>
    </xf>
    <xf borderId="5" fillId="0" fontId="7" numFmtId="182" xfId="0" applyBorder="1" applyFont="1" applyNumberFormat="1"/>
    <xf borderId="6" fillId="13" fontId="7" numFmtId="181" xfId="0" applyBorder="1" applyFill="1" applyFont="1" applyNumberFormat="1"/>
    <xf borderId="5" fillId="0" fontId="7" numFmtId="181" xfId="0" applyBorder="1" applyFont="1" applyNumberFormat="1"/>
    <xf borderId="0" fillId="0" fontId="7" numFmtId="182" xfId="0" applyFont="1" applyNumberFormat="1"/>
    <xf borderId="0" fillId="0" fontId="34" numFmtId="181" xfId="0" applyFont="1" applyNumberFormat="1"/>
    <xf borderId="0" fillId="0" fontId="34" numFmtId="182" xfId="0" applyFont="1" applyNumberFormat="1"/>
    <xf borderId="0" fillId="0" fontId="7" numFmtId="170" xfId="0" applyFont="1" applyNumberFormat="1"/>
    <xf borderId="1" fillId="14" fontId="7" numFmtId="182" xfId="0" applyAlignment="1" applyBorder="1" applyFill="1" applyFont="1" applyNumberFormat="1">
      <alignment horizontal="left"/>
    </xf>
    <xf borderId="1" fillId="14" fontId="7" numFmtId="182" xfId="0" applyBorder="1" applyFont="1" applyNumberFormat="1"/>
    <xf borderId="1" fillId="14" fontId="7" numFmtId="181" xfId="0" applyBorder="1" applyFont="1" applyNumberFormat="1"/>
    <xf borderId="0" fillId="0" fontId="1" numFmtId="183" xfId="0" applyFont="1" applyNumberFormat="1"/>
    <xf borderId="0" fillId="0" fontId="8" numFmtId="182" xfId="0" applyAlignment="1" applyFont="1" applyNumberFormat="1">
      <alignment horizontal="left"/>
    </xf>
    <xf borderId="9" fillId="0" fontId="7" numFmtId="182" xfId="0" applyAlignment="1" applyBorder="1" applyFont="1" applyNumberFormat="1">
      <alignment horizontal="left"/>
    </xf>
    <xf borderId="9" fillId="0" fontId="1" numFmtId="170" xfId="0" applyBorder="1" applyFont="1" applyNumberFormat="1"/>
    <xf borderId="0" fillId="0" fontId="1" numFmtId="17" xfId="0" applyAlignment="1" applyFont="1" applyNumberFormat="1">
      <alignment horizontal="left"/>
    </xf>
    <xf borderId="9" fillId="0" fontId="7" numFmtId="170" xfId="0" applyBorder="1" applyFont="1" applyNumberFormat="1"/>
    <xf borderId="0" fillId="0" fontId="35" numFmtId="0" xfId="0" applyAlignment="1" applyFont="1">
      <alignment horizontal="left"/>
    </xf>
    <xf borderId="0" fillId="0" fontId="33" numFmtId="0" xfId="0" applyAlignment="1" applyFont="1">
      <alignment horizontal="left"/>
    </xf>
    <xf borderId="0" fillId="0" fontId="35" numFmtId="0" xfId="0" applyAlignment="1" applyFont="1">
      <alignment horizontal="center"/>
    </xf>
    <xf borderId="0" fillId="0" fontId="36" numFmtId="0" xfId="0" applyAlignment="1" applyFont="1">
      <alignment horizontal="left"/>
    </xf>
    <xf borderId="0" fillId="0" fontId="36" numFmtId="0" xfId="0" applyAlignment="1" applyFont="1">
      <alignment horizontal="center"/>
    </xf>
    <xf borderId="0" fillId="0" fontId="37" numFmtId="0" xfId="0" applyFont="1"/>
    <xf borderId="9" fillId="0" fontId="24" numFmtId="165" xfId="0" applyAlignment="1" applyBorder="1" applyFont="1" applyNumberFormat="1">
      <alignment horizontal="center"/>
    </xf>
    <xf borderId="9" fillId="0" fontId="24" numFmtId="164" xfId="0" applyAlignment="1" applyBorder="1" applyFont="1" applyNumberFormat="1">
      <alignment horizontal="center"/>
    </xf>
    <xf borderId="0" fillId="0" fontId="38" numFmtId="0" xfId="0" applyAlignment="1" applyFont="1">
      <alignment horizontal="left"/>
    </xf>
    <xf borderId="0" fillId="0" fontId="39" numFmtId="0" xfId="0" applyFont="1"/>
    <xf borderId="0" fillId="0" fontId="39" numFmtId="4" xfId="0" applyAlignment="1" applyFont="1" applyNumberFormat="1">
      <alignment horizontal="right"/>
    </xf>
    <xf borderId="5" fillId="0" fontId="38" numFmtId="181" xfId="0" applyAlignment="1" applyBorder="1" applyFont="1" applyNumberFormat="1">
      <alignment horizontal="right"/>
    </xf>
    <xf borderId="0" fillId="0" fontId="39" numFmtId="0" xfId="0" applyAlignment="1" applyFont="1">
      <alignment horizontal="right"/>
    </xf>
    <xf borderId="0" fillId="0" fontId="39" numFmtId="181" xfId="0" applyAlignment="1" applyFont="1" applyNumberFormat="1">
      <alignment horizontal="right"/>
    </xf>
    <xf borderId="0" fillId="0" fontId="39" numFmtId="181" xfId="0" applyFont="1" applyNumberFormat="1"/>
    <xf borderId="0" fillId="0" fontId="39" numFmtId="4" xfId="0" applyFont="1" applyNumberFormat="1"/>
    <xf borderId="0" fillId="0" fontId="39" numFmtId="183" xfId="0" applyFont="1" applyNumberFormat="1"/>
    <xf borderId="5" fillId="0" fontId="38" numFmtId="4" xfId="0" applyAlignment="1" applyBorder="1" applyFont="1" applyNumberFormat="1">
      <alignment horizontal="right"/>
    </xf>
    <xf borderId="5" fillId="0" fontId="38" numFmtId="183" xfId="0" applyAlignment="1" applyBorder="1" applyFont="1" applyNumberFormat="1">
      <alignment horizontal="right"/>
    </xf>
    <xf borderId="0" fillId="0" fontId="39" numFmtId="183" xfId="0" applyAlignment="1" applyFont="1" applyNumberFormat="1">
      <alignment horizontal="right"/>
    </xf>
    <xf borderId="0" fillId="0" fontId="35" numFmtId="0" xfId="0" applyFont="1"/>
    <xf borderId="0" fillId="0" fontId="36" numFmtId="0" xfId="0" applyFont="1"/>
    <xf borderId="10" fillId="3" fontId="10" numFmtId="0" xfId="0" applyAlignment="1" applyBorder="1" applyFont="1">
      <alignment shrinkToFit="0" vertical="top" wrapText="1"/>
    </xf>
    <xf borderId="11" fillId="0" fontId="40" numFmtId="0" xfId="0" applyBorder="1" applyFont="1"/>
    <xf borderId="1" fillId="3" fontId="10" numFmtId="0" xfId="0" applyAlignment="1" applyBorder="1" applyFont="1">
      <alignment shrinkToFit="0" vertical="top" wrapText="1"/>
    </xf>
    <xf borderId="1" fillId="11" fontId="10" numFmtId="0" xfId="0" applyAlignment="1" applyBorder="1" applyFont="1">
      <alignment vertical="top"/>
    </xf>
    <xf borderId="1" fillId="11" fontId="10" numFmtId="0" xfId="0" applyAlignment="1" applyBorder="1" applyFont="1">
      <alignment shrinkToFit="0" vertical="top" wrapText="1"/>
    </xf>
    <xf borderId="1" fillId="10" fontId="10" numFmtId="0" xfId="0" applyAlignment="1" applyBorder="1" applyFont="1">
      <alignment shrinkToFit="0" vertical="top" wrapText="1"/>
    </xf>
    <xf borderId="1" fillId="15" fontId="10" numFmtId="0" xfId="0" applyAlignment="1" applyBorder="1" applyFill="1" applyFont="1">
      <alignment shrinkToFit="0" vertical="top" wrapText="1"/>
    </xf>
    <xf borderId="0" fillId="0" fontId="33" numFmtId="184" xfId="0" applyAlignment="1" applyFont="1" applyNumberFormat="1">
      <alignment shrinkToFit="0" wrapText="1"/>
    </xf>
    <xf borderId="0" fillId="0" fontId="1" numFmtId="0" xfId="0" applyAlignment="1" applyFont="1">
      <alignment shrinkToFit="0" wrapText="1"/>
    </xf>
    <xf borderId="0" fillId="0" fontId="36" numFmtId="0" xfId="0" applyAlignment="1" applyFont="1">
      <alignment horizontal="right" shrinkToFit="0" vertical="top" wrapText="1"/>
    </xf>
    <xf borderId="0" fillId="0" fontId="36" numFmtId="3" xfId="0" applyAlignment="1" applyFont="1" applyNumberFormat="1">
      <alignment horizontal="right" shrinkToFit="0" vertical="top" wrapText="1"/>
    </xf>
    <xf borderId="0" fillId="0" fontId="33" numFmtId="184" xfId="0" applyAlignment="1" applyFont="1" applyNumberFormat="1">
      <alignment shrinkToFit="0" vertical="center" wrapText="1"/>
    </xf>
    <xf borderId="0" fillId="0" fontId="1" numFmtId="0" xfId="0" applyAlignment="1" applyFont="1">
      <alignment shrinkToFit="0" vertical="center" wrapText="1"/>
    </xf>
    <xf borderId="0" fillId="0" fontId="1" numFmtId="14" xfId="0" applyAlignment="1" applyFont="1" applyNumberFormat="1">
      <alignment horizontal="right"/>
    </xf>
    <xf borderId="0" fillId="0" fontId="7" numFmtId="0" xfId="0" applyAlignment="1" applyFont="1">
      <alignment horizontal="left"/>
    </xf>
    <xf borderId="0" fillId="0" fontId="1" numFmtId="14" xfId="0" applyAlignment="1" applyFont="1" applyNumberFormat="1">
      <alignment horizontal="left"/>
    </xf>
    <xf borderId="0" fillId="0" fontId="1" numFmtId="3" xfId="0" applyAlignment="1" applyFont="1" applyNumberFormat="1">
      <alignment horizontal="left"/>
    </xf>
    <xf borderId="0" fillId="0" fontId="1" numFmtId="0" xfId="0" applyAlignment="1" applyFont="1">
      <alignment horizontal="left"/>
    </xf>
    <xf borderId="0" fillId="0" fontId="1" numFmtId="185" xfId="0" applyFont="1" applyNumberFormat="1"/>
  </cellXfs>
  <cellStyles count="1">
    <cellStyle xfId="0" name="Normal" builtinId="0"/>
  </cellStyles>
  <dxfs count="6">
    <dxf>
      <font/>
      <fill>
        <patternFill patternType="solid">
          <fgColor rgb="FFB7E1CD"/>
          <bgColor rgb="FFB7E1CD"/>
        </patternFill>
      </fill>
      <border/>
    </dxf>
    <dxf>
      <font/>
      <fill>
        <patternFill patternType="solid">
          <fgColor rgb="FFF4C7C3"/>
          <bgColor rgb="FFF4C7C3"/>
        </patternFill>
      </fill>
      <border/>
    </dxf>
    <dxf>
      <font/>
      <fill>
        <patternFill patternType="solid">
          <fgColor rgb="FFC00000"/>
          <bgColor rgb="FFC00000"/>
        </patternFill>
      </fill>
      <border/>
    </dxf>
    <dxf>
      <font/>
      <fill>
        <patternFill patternType="solid">
          <fgColor rgb="FFFFE598"/>
          <bgColor rgb="FFFFE598"/>
        </patternFill>
      </fill>
      <border/>
    </dxf>
    <dxf>
      <font/>
      <fill>
        <patternFill patternType="solid">
          <fgColor rgb="FFA8D08D"/>
          <bgColor rgb="FFA8D08D"/>
        </patternFill>
      </fill>
      <border/>
    </dxf>
    <dxf>
      <font/>
      <fill>
        <patternFill patternType="solid">
          <fgColor rgb="FFFFD965"/>
          <bgColor rgb="FFFFD965"/>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48B888"/>
                </a:solidFill>
                <a:latin typeface="Arial"/>
              </a:defRPr>
            </a:pPr>
            <a:r>
              <a:rPr b="0" i="0" sz="1400">
                <a:solidFill>
                  <a:srgbClr val="48B888"/>
                </a:solidFill>
                <a:latin typeface="Arial"/>
              </a:rPr>
              <a:t>Expense Breakdown (Base-Case)</a:t>
            </a:r>
          </a:p>
        </c:rich>
      </c:tx>
      <c:layout>
        <c:manualLayout>
          <c:xMode val="edge"/>
          <c:yMode val="edge"/>
          <c:x val="0.010149956255468074"/>
          <c:y val="0.02002002002002002"/>
        </c:manualLayout>
      </c:layout>
      <c:overlay val="0"/>
    </c:title>
    <c:plotArea>
      <c:layout>
        <c:manualLayout>
          <c:xMode val="edge"/>
          <c:yMode val="edge"/>
          <c:x val="0.14587961504811897"/>
          <c:y val="0.18058058058058057"/>
          <c:w val="0.8121161854768154"/>
          <c:h val="0.5288217351209477"/>
        </c:manualLayout>
      </c:layout>
      <c:areaChart>
        <c:grouping val="stacked"/>
        <c:ser>
          <c:idx val="0"/>
          <c:order val="0"/>
          <c:tx>
            <c:v>General &amp; Admin</c:v>
          </c:tx>
          <c:spPr>
            <a:solidFill>
              <a:srgbClr val="000000">
                <a:alpha val="30000"/>
              </a:srgbClr>
            </a:solidFill>
            <a:ln cmpd="sng" w="19050">
              <a:solidFill>
                <a:srgbClr val="000000">
                  <a:alpha val="0"/>
                </a:srgbClr>
              </a:solidFill>
            </a:ln>
          </c:spPr>
          <c:cat>
            <c:strRef>
              <c:f>Chartbuilding!$C$1:$N$1</c:f>
            </c:strRef>
          </c:cat>
          <c:val>
            <c:numRef>
              <c:f>Chartbuilding!$C$7:$N$7</c:f>
              <c:numCache/>
            </c:numRef>
          </c:val>
        </c:ser>
        <c:ser>
          <c:idx val="1"/>
          <c:order val="1"/>
          <c:tx>
            <c:v>Sales &amp; Marketing</c:v>
          </c:tx>
          <c:spPr>
            <a:solidFill>
              <a:srgbClr val="000000">
                <a:alpha val="30000"/>
              </a:srgbClr>
            </a:solidFill>
            <a:ln cmpd="sng" w="19050">
              <a:solidFill>
                <a:srgbClr val="000000">
                  <a:alpha val="0"/>
                </a:srgbClr>
              </a:solidFill>
            </a:ln>
          </c:spPr>
          <c:cat>
            <c:strRef>
              <c:f>Chartbuilding!$C$1:$N$1</c:f>
            </c:strRef>
          </c:cat>
          <c:val>
            <c:numRef>
              <c:f>Chartbuilding!$C$8:$N$8</c:f>
              <c:numCache/>
            </c:numRef>
          </c:val>
        </c:ser>
        <c:ser>
          <c:idx val="2"/>
          <c:order val="2"/>
          <c:tx>
            <c:v>Engineering</c:v>
          </c:tx>
          <c:spPr>
            <a:solidFill>
              <a:srgbClr val="000000">
                <a:alpha val="30000"/>
              </a:srgbClr>
            </a:solidFill>
            <a:ln cmpd="sng" w="19050">
              <a:solidFill>
                <a:srgbClr val="000000">
                  <a:alpha val="0"/>
                </a:srgbClr>
              </a:solidFill>
            </a:ln>
          </c:spPr>
          <c:cat>
            <c:strRef>
              <c:f>Chartbuilding!$C$1:$N$1</c:f>
            </c:strRef>
          </c:cat>
          <c:val>
            <c:numRef>
              <c:f>Chartbuilding!$C$9:$N$9</c:f>
              <c:numCache/>
            </c:numRef>
          </c:val>
        </c:ser>
        <c:ser>
          <c:idx val="3"/>
          <c:order val="3"/>
          <c:tx>
            <c:v>Cost of Revenue</c:v>
          </c:tx>
          <c:spPr>
            <a:solidFill>
              <a:srgbClr val="000000">
                <a:alpha val="30000"/>
              </a:srgbClr>
            </a:solidFill>
            <a:ln cmpd="sng" w="19050">
              <a:solidFill>
                <a:srgbClr val="000000">
                  <a:alpha val="0"/>
                </a:srgbClr>
              </a:solidFill>
            </a:ln>
          </c:spPr>
          <c:cat>
            <c:strRef>
              <c:f>Chartbuilding!$C$1:$N$1</c:f>
            </c:strRef>
          </c:cat>
          <c:val>
            <c:numRef>
              <c:f>Chartbuilding!$C$10:$N$10</c:f>
              <c:numCache/>
            </c:numRef>
          </c:val>
        </c:ser>
        <c:axId val="1295854596"/>
        <c:axId val="1727250346"/>
      </c:areaChart>
      <c:catAx>
        <c:axId val="12958545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mmm\-yy" sourceLinked="0"/>
        <c:majorTickMark val="none"/>
        <c:minorTickMark val="none"/>
        <c:spPr/>
        <c:txPr>
          <a:bodyPr/>
          <a:lstStyle/>
          <a:p>
            <a:pPr lvl="0">
              <a:defRPr b="0" i="0">
                <a:solidFill>
                  <a:srgbClr val="000000"/>
                </a:solidFill>
                <a:latin typeface="Arial"/>
              </a:defRPr>
            </a:pPr>
          </a:p>
        </c:txPr>
        <c:crossAx val="1727250346"/>
      </c:catAx>
      <c:valAx>
        <c:axId val="17272503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Arial"/>
              </a:defRPr>
            </a:pPr>
          </a:p>
        </c:txPr>
        <c:crossAx val="1295854596"/>
        <c:majorUnit val="250000.0"/>
      </c:valAx>
    </c:plotArea>
    <c:legend>
      <c:legendPos val="b"/>
      <c:overlay val="0"/>
      <c:txPr>
        <a:bodyPr/>
        <a:lstStyle/>
        <a:p>
          <a:pPr lvl="0">
            <a:defRPr b="0" i="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48B888"/>
                </a:solidFill>
                <a:latin typeface="Arial"/>
              </a:defRPr>
            </a:pPr>
            <a:r>
              <a:rPr b="0" i="0" sz="1400">
                <a:solidFill>
                  <a:srgbClr val="48B888"/>
                </a:solidFill>
                <a:latin typeface="Arial"/>
              </a:rPr>
              <a:t>Blended CAC:LTV (Base-Case)</a:t>
            </a:r>
          </a:p>
        </c:rich>
      </c:tx>
      <c:layout>
        <c:manualLayout>
          <c:xMode val="edge"/>
          <c:yMode val="edge"/>
          <c:x val="0.023777777777777752"/>
          <c:y val="0.028028028028028028"/>
        </c:manualLayout>
      </c:layout>
      <c:overlay val="0"/>
    </c:title>
    <c:plotArea>
      <c:layout/>
      <c:barChart>
        <c:barDir val="col"/>
        <c:ser>
          <c:idx val="0"/>
          <c:order val="0"/>
          <c:tx>
            <c:v>Blended</c:v>
          </c:tx>
          <c:spPr>
            <a:solidFill>
              <a:schemeClr val="accent1"/>
            </a:solidFill>
            <a:ln cmpd="sng">
              <a:solidFill>
                <a:srgbClr val="000000"/>
              </a:solidFill>
            </a:ln>
          </c:spPr>
          <c:dPt>
            <c:idx val="0"/>
            <c:spPr>
              <a:solidFill>
                <a:schemeClr val="accent2"/>
              </a:solidFill>
              <a:ln cmpd="sng">
                <a:solidFill>
                  <a:srgbClr val="000000"/>
                </a:solidFill>
              </a:ln>
            </c:spPr>
          </c:dPt>
          <c:dPt>
            <c:idx val="1"/>
            <c:spPr>
              <a:solidFill>
                <a:schemeClr val="accent4"/>
              </a:solidFill>
              <a:ln cmpd="sng">
                <a:solidFill>
                  <a:srgbClr val="000000"/>
                </a:solidFill>
              </a:ln>
            </c:spPr>
          </c:dPt>
          <c:dPt>
            <c:idx val="2"/>
            <c:spPr>
              <a:solidFill>
                <a:schemeClr val="accent6"/>
              </a:solidFill>
              <a:ln cmpd="sng">
                <a:solidFill>
                  <a:srgbClr val="000000"/>
                </a:solidFill>
              </a:ln>
            </c:spPr>
          </c:dPt>
          <c:dPt>
            <c:idx val="3"/>
            <c:spPr>
              <a:solidFill>
                <a:schemeClr val="accent2"/>
              </a:solidFill>
              <a:ln cmpd="sng">
                <a:solidFill>
                  <a:srgbClr val="000000"/>
                </a:solidFill>
              </a:ln>
            </c:spPr>
          </c:dPt>
          <c:dPt>
            <c:idx val="4"/>
            <c:spPr>
              <a:solidFill>
                <a:schemeClr val="accent4"/>
              </a:solidFill>
              <a:ln cmpd="sng">
                <a:solidFill>
                  <a:srgbClr val="000000"/>
                </a:solidFill>
              </a:ln>
            </c:spPr>
          </c:dPt>
          <c:dPt>
            <c:idx val="5"/>
            <c:spPr>
              <a:solidFill>
                <a:schemeClr val="accent6"/>
              </a:solidFill>
              <a:ln cmpd="sng">
                <a:solidFill>
                  <a:srgbClr val="000000"/>
                </a:solidFill>
              </a:ln>
            </c:spPr>
          </c:dPt>
          <c:dPt>
            <c:idx val="6"/>
            <c:spPr>
              <a:solidFill>
                <a:schemeClr val="accent2"/>
              </a:solidFill>
              <a:ln cmpd="sng">
                <a:solidFill>
                  <a:srgbClr val="000000"/>
                </a:solidFill>
              </a:ln>
            </c:spPr>
          </c:dPt>
          <c:dPt>
            <c:idx val="7"/>
            <c:spPr>
              <a:solidFill>
                <a:schemeClr val="accent4"/>
              </a:solidFill>
              <a:ln cmpd="sng">
                <a:solidFill>
                  <a:srgbClr val="000000"/>
                </a:solidFill>
              </a:ln>
            </c:spPr>
          </c:dPt>
          <c:dLbls>
            <c:dLbl>
              <c:idx val="0"/>
              <c:numFmt formatCode="General" sourceLinked="1"/>
              <c:txPr>
                <a:bodyPr/>
                <a:lstStyle/>
                <a:p>
                  <a:pPr lvl="0">
                    <a:defRPr b="1" i="0" sz="1400">
                      <a:solidFill>
                        <a:srgbClr val="666666"/>
                      </a:solidFill>
                      <a:latin typeface="+mn-lt"/>
                    </a:defRPr>
                  </a:pPr>
                </a:p>
              </c:txPr>
              <c:showLegendKey val="0"/>
              <c:showVal val="1"/>
              <c:showCatName val="0"/>
              <c:showSerName val="0"/>
              <c:showPercent val="0"/>
              <c:showBubbleSize val="0"/>
            </c:dLbl>
            <c:dLbl>
              <c:idx val="2"/>
              <c:numFmt formatCode="General" sourceLinked="1"/>
              <c:txPr>
                <a:bodyPr/>
                <a:lstStyle/>
                <a:p>
                  <a:pPr lvl="0">
                    <a:defRPr b="1" i="0" sz="1400">
                      <a:solidFill>
                        <a:srgbClr val="666666"/>
                      </a:solidFill>
                      <a:latin typeface="+mn-lt"/>
                    </a:defRPr>
                  </a:pPr>
                </a:p>
              </c:txPr>
              <c:showLegendKey val="0"/>
              <c:showVal val="1"/>
              <c:showCatName val="0"/>
              <c:showSerName val="0"/>
              <c:showPercent val="0"/>
              <c:showBubbleSize val="0"/>
            </c:dLbl>
            <c:dLbl>
              <c:idx val="4"/>
              <c:numFmt formatCode="General" sourceLinked="1"/>
              <c:txPr>
                <a:bodyPr/>
                <a:lstStyle/>
                <a:p>
                  <a:pPr lvl="0">
                    <a:defRPr b="1" i="0" sz="1400">
                      <a:solidFill>
                        <a:srgbClr val="666666"/>
                      </a:solidFill>
                      <a:latin typeface="+mn-lt"/>
                    </a:defRPr>
                  </a:pPr>
                </a:p>
              </c:txPr>
              <c:showLegendKey val="0"/>
              <c:showVal val="1"/>
              <c:showCatName val="0"/>
              <c:showSerName val="0"/>
              <c:showPercent val="0"/>
              <c:showBubbleSize val="0"/>
            </c:dLbl>
            <c:numFmt formatCode="General" sourceLinked="1"/>
            <c:txPr>
              <a:bodyPr/>
              <a:lstStyle/>
              <a:p>
                <a:pPr lvl="0">
                  <a:defRPr b="1" i="0" sz="1400">
                    <a:solidFill>
                      <a:srgbClr val="666666"/>
                    </a:solidFill>
                    <a:latin typeface="+mn-lt"/>
                  </a:defRPr>
                </a:pPr>
              </a:p>
            </c:txPr>
            <c:showLegendKey val="0"/>
            <c:showVal val="1"/>
            <c:showCatName val="0"/>
            <c:showSerName val="0"/>
            <c:showPercent val="0"/>
            <c:showBubbleSize val="0"/>
          </c:dLbls>
          <c:cat>
            <c:strRef>
              <c:f>Metrics!$B$35:$J$35</c:f>
            </c:strRef>
          </c:cat>
          <c:val>
            <c:numRef>
              <c:f>Metrics!$B$61:$J$61</c:f>
              <c:numCache/>
            </c:numRef>
          </c:val>
        </c:ser>
        <c:axId val="753170227"/>
        <c:axId val="2138065592"/>
      </c:barChart>
      <c:catAx>
        <c:axId val="7531702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000000"/>
                </a:solidFill>
                <a:latin typeface="Arial"/>
              </a:defRPr>
            </a:pPr>
          </a:p>
        </c:txPr>
        <c:crossAx val="2138065592"/>
      </c:catAx>
      <c:valAx>
        <c:axId val="21380655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000">
                <a:solidFill>
                  <a:srgbClr val="000000"/>
                </a:solidFill>
                <a:latin typeface="+mn-lt"/>
              </a:defRPr>
            </a:pPr>
          </a:p>
        </c:txPr>
        <c:crossAx val="753170227"/>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Arial"/>
              </a:defRPr>
            </a:pPr>
            <a:r>
              <a:rPr b="0" i="0" sz="1400">
                <a:solidFill>
                  <a:srgbClr val="757575"/>
                </a:solidFill>
                <a:latin typeface="Arial"/>
              </a:rPr>
              <a:t>Revenue</a:t>
            </a:r>
          </a:p>
        </c:rich>
      </c:tx>
      <c:layout>
        <c:manualLayout>
          <c:xMode val="edge"/>
          <c:yMode val="edge"/>
          <c:x val="0.016539567827994102"/>
          <c:y val="0.027777887139107612"/>
        </c:manualLayout>
      </c:layout>
      <c:overlay val="0"/>
    </c:title>
    <c:plotArea>
      <c:layout/>
      <c:lineChart>
        <c:ser>
          <c:idx val="0"/>
          <c:order val="0"/>
          <c:tx>
            <c:v>Actuals</c:v>
          </c:tx>
          <c:spPr>
            <a:ln cmpd="sng" w="28575">
              <a:solidFill>
                <a:srgbClr val="48B888">
                  <a:alpha val="100000"/>
                </a:srgbClr>
              </a:solidFill>
            </a:ln>
          </c:spPr>
          <c:marker>
            <c:symbol val="none"/>
          </c:marker>
          <c:cat>
            <c:strRef>
              <c:f>Chartbuilding!$C$1:$N$1</c:f>
            </c:strRef>
          </c:cat>
          <c:val>
            <c:numRef>
              <c:f>Chartbuilding!$C$2:$N$2</c:f>
              <c:numCache/>
            </c:numRef>
          </c:val>
          <c:smooth val="0"/>
        </c:ser>
        <c:ser>
          <c:idx val="1"/>
          <c:order val="1"/>
          <c:tx>
            <c:v>Base-Case</c:v>
          </c:tx>
          <c:spPr>
            <a:ln cmpd="sng" w="28575">
              <a:solidFill>
                <a:srgbClr val="48B888">
                  <a:alpha val="100000"/>
                </a:srgbClr>
              </a:solidFill>
              <a:prstDash val="dash"/>
            </a:ln>
          </c:spPr>
          <c:marker>
            <c:symbol val="none"/>
          </c:marker>
          <c:cat>
            <c:strRef>
              <c:f>Chartbuilding!$C$1:$N$1</c:f>
            </c:strRef>
          </c:cat>
          <c:val>
            <c:numRef>
              <c:f>Chartbuilding!$C$3:$N$3</c:f>
              <c:numCache/>
            </c:numRef>
          </c:val>
          <c:smooth val="0"/>
        </c:ser>
        <c:ser>
          <c:idx val="2"/>
          <c:order val="2"/>
          <c:tx>
            <c:v>Worst-Case</c:v>
          </c:tx>
          <c:spPr>
            <a:ln cmpd="sng" w="19050">
              <a:solidFill>
                <a:srgbClr val="DC1919">
                  <a:alpha val="100000"/>
                </a:srgbClr>
              </a:solidFill>
              <a:prstDash val="dash"/>
            </a:ln>
          </c:spPr>
          <c:marker>
            <c:symbol val="none"/>
          </c:marker>
          <c:cat>
            <c:strRef>
              <c:f>Chartbuilding!$C$1:$N$1</c:f>
            </c:strRef>
          </c:cat>
          <c:val>
            <c:numRef>
              <c:f>Chartbuilding!$C$4:$N$4</c:f>
              <c:numCache/>
            </c:numRef>
          </c:val>
          <c:smooth val="0"/>
        </c:ser>
        <c:ser>
          <c:idx val="3"/>
          <c:order val="3"/>
          <c:tx>
            <c:v>2020 Target</c:v>
          </c:tx>
          <c:spPr>
            <a:ln cmpd="sng" w="19050">
              <a:solidFill>
                <a:srgbClr val="FFC000">
                  <a:alpha val="100000"/>
                </a:srgbClr>
              </a:solidFill>
              <a:prstDash val="sysDot"/>
            </a:ln>
          </c:spPr>
          <c:marker>
            <c:symbol val="none"/>
          </c:marker>
          <c:cat>
            <c:strRef>
              <c:f>Chartbuilding!$C$1:$N$1</c:f>
            </c:strRef>
          </c:cat>
          <c:val>
            <c:numRef>
              <c:f>Chartbuilding!$C$5:$N$5</c:f>
              <c:numCache/>
            </c:numRef>
          </c:val>
          <c:smooth val="0"/>
        </c:ser>
        <c:axId val="2060507030"/>
        <c:axId val="157673196"/>
      </c:lineChart>
      <c:catAx>
        <c:axId val="20605070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mmm\-yy" sourceLinked="0"/>
        <c:majorTickMark val="none"/>
        <c:minorTickMark val="none"/>
        <c:spPr/>
        <c:txPr>
          <a:bodyPr/>
          <a:lstStyle/>
          <a:p>
            <a:pPr lvl="0">
              <a:defRPr b="0" i="0" sz="900">
                <a:solidFill>
                  <a:srgbClr val="000000"/>
                </a:solidFill>
                <a:latin typeface="Arial"/>
              </a:defRPr>
            </a:pPr>
          </a:p>
        </c:txPr>
        <c:crossAx val="157673196"/>
      </c:catAx>
      <c:valAx>
        <c:axId val="157673196"/>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000">
                <a:solidFill>
                  <a:srgbClr val="000000"/>
                </a:solidFill>
                <a:latin typeface="Arial"/>
              </a:defRPr>
            </a:pPr>
          </a:p>
        </c:txPr>
        <c:crossAx val="2060507030"/>
        <c:majorUnit val="250000.0"/>
      </c:valAx>
    </c:plotArea>
    <c:legend>
      <c:legendPos val="b"/>
      <c:overlay val="0"/>
      <c:txPr>
        <a:bodyPr/>
        <a:lstStyle/>
        <a:p>
          <a:pPr lvl="0">
            <a:defRPr b="0" i="0" sz="100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48B888"/>
                </a:solidFill>
                <a:latin typeface="Arial"/>
              </a:defRPr>
            </a:pPr>
            <a:r>
              <a:rPr b="0" i="0" sz="1400">
                <a:solidFill>
                  <a:srgbClr val="48B888"/>
                </a:solidFill>
                <a:latin typeface="Arial"/>
              </a:rPr>
              <a:t>Cash Flows (Base-Case)</a:t>
            </a:r>
          </a:p>
        </c:rich>
      </c:tx>
      <c:layout>
        <c:manualLayout>
          <c:xMode val="edge"/>
          <c:yMode val="edge"/>
          <c:x val="0.020461067366579187"/>
          <c:y val="0.024024024024024024"/>
        </c:manualLayout>
      </c:layout>
      <c:overlay val="0"/>
    </c:title>
    <c:plotArea>
      <c:layout>
        <c:manualLayout>
          <c:xMode val="edge"/>
          <c:yMode val="edge"/>
          <c:x val="0.1340129483814523"/>
          <c:y val="0.14454454454454455"/>
          <c:w val="0.8415426071741032"/>
          <c:h val="0.45424132794211536"/>
        </c:manualLayout>
      </c:layout>
      <c:barChart>
        <c:barDir val="col"/>
        <c:grouping val="stacked"/>
        <c:ser>
          <c:idx val="0"/>
          <c:order val="0"/>
          <c:tx>
            <c:v>Financing Cash Flows</c:v>
          </c:tx>
          <c:spPr>
            <a:solidFill>
              <a:schemeClr val="accent2"/>
            </a:solidFill>
            <a:ln cmpd="sng">
              <a:solidFill>
                <a:srgbClr val="000000"/>
              </a:solidFill>
            </a:ln>
          </c:spPr>
          <c:cat>
            <c:strRef>
              <c:f>Chartbuilding!$C$1:$N$1</c:f>
            </c:strRef>
          </c:cat>
          <c:val>
            <c:numRef>
              <c:f>Chartbuilding!$C$21:$N$21</c:f>
              <c:numCache/>
            </c:numRef>
          </c:val>
        </c:ser>
        <c:ser>
          <c:idx val="1"/>
          <c:order val="1"/>
          <c:tx>
            <c:v>Investing Cash Flows</c:v>
          </c:tx>
          <c:spPr>
            <a:solidFill>
              <a:schemeClr val="accent4"/>
            </a:solidFill>
            <a:ln cmpd="sng">
              <a:solidFill>
                <a:srgbClr val="000000"/>
              </a:solidFill>
            </a:ln>
          </c:spPr>
          <c:cat>
            <c:strRef>
              <c:f>Chartbuilding!$C$1:$N$1</c:f>
            </c:strRef>
          </c:cat>
          <c:val>
            <c:numRef>
              <c:f>Chartbuilding!$C$22:$N$22</c:f>
              <c:numCache/>
            </c:numRef>
          </c:val>
        </c:ser>
        <c:ser>
          <c:idx val="2"/>
          <c:order val="2"/>
          <c:tx>
            <c:v>Operating Cash Flows</c:v>
          </c:tx>
          <c:spPr>
            <a:solidFill>
              <a:schemeClr val="accent6"/>
            </a:solidFill>
            <a:ln cmpd="sng">
              <a:solidFill>
                <a:srgbClr val="000000"/>
              </a:solidFill>
            </a:ln>
          </c:spPr>
          <c:cat>
            <c:strRef>
              <c:f>Chartbuilding!$C$1:$N$1</c:f>
            </c:strRef>
          </c:cat>
          <c:val>
            <c:numRef>
              <c:f>Chartbuilding!$C$23:$N$23</c:f>
              <c:numCache/>
            </c:numRef>
          </c:val>
        </c:ser>
        <c:overlap val="100"/>
        <c:axId val="1611596083"/>
        <c:axId val="821960670"/>
      </c:barChart>
      <c:lineChart>
        <c:ser>
          <c:idx val="3"/>
          <c:order val="3"/>
          <c:tx>
            <c:v>Net Cash Increase / Decrease</c:v>
          </c:tx>
          <c:spPr>
            <a:ln cmpd="sng" w="19050">
              <a:solidFill>
                <a:schemeClr val="accent2"/>
              </a:solidFill>
              <a:prstDash val="solid"/>
            </a:ln>
          </c:spPr>
          <c:marker>
            <c:symbol val="none"/>
          </c:marker>
          <c:cat>
            <c:strRef>
              <c:f>Chartbuilding!$C$1:$N$1</c:f>
            </c:strRef>
          </c:cat>
          <c:val>
            <c:numRef>
              <c:f>Chartbuilding!$C$24:$N$24</c:f>
              <c:numCache/>
            </c:numRef>
          </c:val>
          <c:smooth val="1"/>
        </c:ser>
        <c:ser>
          <c:idx val="4"/>
          <c:order val="4"/>
          <c:tx>
            <c:v>Net Income</c:v>
          </c:tx>
          <c:spPr>
            <a:ln cmpd="sng" w="19050">
              <a:solidFill>
                <a:schemeClr val="accent4"/>
              </a:solidFill>
              <a:prstDash val="solid"/>
            </a:ln>
          </c:spPr>
          <c:marker>
            <c:symbol val="none"/>
          </c:marker>
          <c:cat>
            <c:strRef>
              <c:f>Chartbuilding!$C$1:$N$1</c:f>
            </c:strRef>
          </c:cat>
          <c:val>
            <c:numRef>
              <c:f>Chartbuilding!$C$25:$N$25</c:f>
              <c:numCache/>
            </c:numRef>
          </c:val>
          <c:smooth val="1"/>
        </c:ser>
        <c:axId val="1611596083"/>
        <c:axId val="821960670"/>
      </c:lineChart>
      <c:catAx>
        <c:axId val="16115960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mmm\-yy" sourceLinked="0"/>
        <c:majorTickMark val="none"/>
        <c:minorTickMark val="none"/>
        <c:spPr/>
        <c:txPr>
          <a:bodyPr/>
          <a:lstStyle/>
          <a:p>
            <a:pPr lvl="0">
              <a:defRPr b="0" i="0" sz="1000">
                <a:solidFill>
                  <a:srgbClr val="000000"/>
                </a:solidFill>
                <a:latin typeface="Arial"/>
              </a:defRPr>
            </a:pPr>
          </a:p>
        </c:txPr>
        <c:crossAx val="821960670"/>
      </c:catAx>
      <c:valAx>
        <c:axId val="8219606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000">
                <a:solidFill>
                  <a:srgbClr val="000000"/>
                </a:solidFill>
                <a:latin typeface="Arial"/>
              </a:defRPr>
            </a:pPr>
          </a:p>
        </c:txPr>
        <c:crossAx val="1611596083"/>
      </c:valAx>
    </c:plotArea>
    <c:legend>
      <c:legendPos val="b"/>
      <c:layout>
        <c:manualLayout>
          <c:xMode val="edge"/>
          <c:yMode val="edge"/>
          <c:x val="0.015688888888888895"/>
          <c:y val="0.7770182781206403"/>
        </c:manualLayout>
      </c:layout>
      <c:overlay val="0"/>
      <c:txPr>
        <a:bodyPr/>
        <a:lstStyle/>
        <a:p>
          <a:pPr lvl="0">
            <a:defRPr b="0" i="0" sz="1000">
              <a:solidFill>
                <a:srgbClr val="000000"/>
              </a:solidFill>
              <a:latin typeface="Roboto"/>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48B888"/>
                </a:solidFill>
                <a:latin typeface="Arial"/>
              </a:defRPr>
            </a:pPr>
            <a:r>
              <a:rPr b="0" i="0" sz="1400">
                <a:solidFill>
                  <a:srgbClr val="48B888"/>
                </a:solidFill>
                <a:latin typeface="Arial"/>
              </a:rPr>
              <a:t>Blended CAC Payback Time (Base-Case)</a:t>
            </a:r>
          </a:p>
        </c:rich>
      </c:tx>
      <c:layout>
        <c:manualLayout>
          <c:xMode val="edge"/>
          <c:yMode val="edge"/>
          <c:x val="0.011544356955380598"/>
          <c:y val="0.024024024024024024"/>
        </c:manualLayout>
      </c:layout>
      <c:overlay val="0"/>
    </c:title>
    <c:plotArea>
      <c:layout/>
      <c:barChart>
        <c:barDir val="col"/>
        <c:ser>
          <c:idx val="0"/>
          <c:order val="0"/>
          <c:tx>
            <c:v>Blended</c:v>
          </c:tx>
          <c:spPr>
            <a:solidFill>
              <a:srgbClr val="B7E1CD"/>
            </a:solidFill>
            <a:ln cmpd="sng">
              <a:solidFill>
                <a:srgbClr val="000000"/>
              </a:solidFill>
            </a:ln>
          </c:spPr>
          <c:dPt>
            <c:idx val="4"/>
            <c:spPr>
              <a:solidFill>
                <a:srgbClr val="48B888"/>
              </a:solidFill>
              <a:ln cmpd="sng">
                <a:solidFill>
                  <a:srgbClr val="000000"/>
                </a:solidFill>
              </a:ln>
            </c:spPr>
          </c:dPt>
          <c:dPt>
            <c:idx val="2"/>
          </c:dPt>
          <c:dLbls>
            <c:dLbl>
              <c:idx val="4"/>
              <c:numFmt formatCode="General" sourceLinked="1"/>
              <c:txPr>
                <a:bodyPr/>
                <a:lstStyle/>
                <a:p>
                  <a:pPr lvl="0">
                    <a:defRPr b="1" i="0" sz="1600">
                      <a:solidFill>
                        <a:srgbClr val="666666"/>
                      </a:solidFill>
                    </a:defRPr>
                  </a:pPr>
                </a:p>
              </c:txPr>
              <c:showLegendKey val="0"/>
              <c:showVal val="1"/>
              <c:showCatName val="0"/>
              <c:showSerName val="0"/>
              <c:showPercent val="0"/>
              <c:showBubbleSize val="0"/>
            </c:dLbl>
            <c:dLbl>
              <c:idx val="2"/>
              <c:numFmt formatCode="General" sourceLinked="1"/>
              <c:txPr>
                <a:bodyPr/>
                <a:lstStyle/>
                <a:p>
                  <a:pPr lvl="0">
                    <a:defRPr b="1" i="0" sz="1600">
                      <a:solidFill>
                        <a:srgbClr val="666666"/>
                      </a:solidFill>
                    </a:defRPr>
                  </a:pPr>
                </a:p>
              </c:txPr>
              <c:showLegendKey val="0"/>
              <c:showVal val="1"/>
              <c:showCatName val="0"/>
              <c:showSerName val="0"/>
              <c:showPercent val="0"/>
              <c:showBubbleSize val="0"/>
            </c:dLbl>
            <c:numFmt formatCode="General" sourceLinked="1"/>
            <c:txPr>
              <a:bodyPr/>
              <a:lstStyle/>
              <a:p>
                <a:pPr lvl="0">
                  <a:defRPr b="1" i="0" sz="1600">
                    <a:solidFill>
                      <a:srgbClr val="666666"/>
                    </a:solidFill>
                  </a:defRPr>
                </a:pPr>
              </a:p>
            </c:txPr>
            <c:showLegendKey val="0"/>
            <c:showVal val="1"/>
            <c:showCatName val="0"/>
            <c:showSerName val="0"/>
            <c:showPercent val="0"/>
            <c:showBubbleSize val="0"/>
          </c:dLbls>
          <c:cat>
            <c:strRef>
              <c:f>Metrics!$B$35:$J$35</c:f>
            </c:strRef>
          </c:cat>
          <c:val>
            <c:numRef>
              <c:f>Metrics!$B$57:$J$57</c:f>
              <c:numCache/>
            </c:numRef>
          </c:val>
        </c:ser>
        <c:axId val="183292459"/>
        <c:axId val="1754522072"/>
      </c:barChart>
      <c:catAx>
        <c:axId val="1832924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Arial"/>
              </a:defRPr>
            </a:pPr>
          </a:p>
        </c:txPr>
        <c:crossAx val="1754522072"/>
      </c:catAx>
      <c:valAx>
        <c:axId val="1754522072"/>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83292459"/>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48B888"/>
                </a:solidFill>
                <a:latin typeface="Arial"/>
              </a:defRPr>
            </a:pPr>
            <a:r>
              <a:rPr b="0" i="0" sz="1400">
                <a:solidFill>
                  <a:srgbClr val="48B888"/>
                </a:solidFill>
                <a:latin typeface="Arial"/>
              </a:rPr>
              <a:t>MRR Breakdown (Base-Case)</a:t>
            </a:r>
          </a:p>
        </c:rich>
      </c:tx>
      <c:layout>
        <c:manualLayout>
          <c:xMode val="edge"/>
          <c:yMode val="edge"/>
          <c:x val="0.0075197890279562925"/>
          <c:y val="0.020671834625323"/>
        </c:manualLayout>
      </c:layout>
      <c:overlay val="0"/>
    </c:title>
    <c:plotArea>
      <c:layout>
        <c:manualLayout>
          <c:xMode val="edge"/>
          <c:yMode val="edge"/>
          <c:x val="0.05665697493043163"/>
          <c:y val="0.1243755383290267"/>
          <c:w val="0.9317212606744284"/>
          <c:h val="0.6851372219249293"/>
        </c:manualLayout>
      </c:layout>
      <c:barChart>
        <c:barDir val="col"/>
        <c:grouping val="stacked"/>
        <c:ser>
          <c:idx val="0"/>
          <c:order val="0"/>
          <c:tx>
            <c:v>Contraction</c:v>
          </c:tx>
          <c:spPr>
            <a:solidFill>
              <a:schemeClr val="accent6"/>
            </a:solidFill>
            <a:ln cmpd="sng">
              <a:solidFill>
                <a:srgbClr val="000000"/>
              </a:solidFill>
            </a:ln>
          </c:spPr>
          <c:cat>
            <c:strRef>
              <c:f>Chartbuilding!$C$1:$N$1</c:f>
            </c:strRef>
          </c:cat>
          <c:val>
            <c:numRef>
              <c:f>Chartbuilding!$C$42:$N$42</c:f>
              <c:numCache/>
            </c:numRef>
          </c:val>
        </c:ser>
        <c:ser>
          <c:idx val="1"/>
          <c:order val="1"/>
          <c:tx>
            <c:v>Churn</c:v>
          </c:tx>
          <c:spPr>
            <a:solidFill>
              <a:schemeClr val="accent5"/>
            </a:solidFill>
            <a:ln cmpd="sng">
              <a:solidFill>
                <a:srgbClr val="000000"/>
              </a:solidFill>
            </a:ln>
          </c:spPr>
          <c:cat>
            <c:strRef>
              <c:f>Chartbuilding!$C$1:$N$1</c:f>
            </c:strRef>
          </c:cat>
          <c:val>
            <c:numRef>
              <c:f>Chartbuilding!$C$43:$N$43</c:f>
              <c:numCache/>
            </c:numRef>
          </c:val>
        </c:ser>
        <c:ser>
          <c:idx val="2"/>
          <c:order val="2"/>
          <c:tx>
            <c:v>Expansion</c:v>
          </c:tx>
          <c:spPr>
            <a:solidFill>
              <a:schemeClr val="accent4"/>
            </a:solidFill>
            <a:ln cmpd="sng">
              <a:solidFill>
                <a:srgbClr val="000000"/>
              </a:solidFill>
            </a:ln>
          </c:spPr>
          <c:cat>
            <c:strRef>
              <c:f>Chartbuilding!$C$1:$N$1</c:f>
            </c:strRef>
          </c:cat>
          <c:val>
            <c:numRef>
              <c:f>Chartbuilding!$C$44:$N$44</c:f>
              <c:numCache/>
            </c:numRef>
          </c:val>
        </c:ser>
        <c:ser>
          <c:idx val="3"/>
          <c:order val="3"/>
          <c:tx>
            <c:v>New</c:v>
          </c:tx>
          <c:spPr>
            <a:solidFill>
              <a:schemeClr val="accent6"/>
            </a:solidFill>
            <a:ln cmpd="sng">
              <a:solidFill>
                <a:srgbClr val="000000"/>
              </a:solidFill>
            </a:ln>
          </c:spPr>
          <c:cat>
            <c:strRef>
              <c:f>Chartbuilding!$C$1:$N$1</c:f>
            </c:strRef>
          </c:cat>
          <c:val>
            <c:numRef>
              <c:f>Chartbuilding!$C$45:$N$45</c:f>
              <c:numCache/>
            </c:numRef>
          </c:val>
        </c:ser>
        <c:overlap val="100"/>
        <c:axId val="1573040974"/>
        <c:axId val="1234891346"/>
      </c:barChart>
      <c:lineChart>
        <c:varyColors val="0"/>
        <c:ser>
          <c:idx val="4"/>
          <c:order val="4"/>
          <c:tx>
            <c:v>Net New</c:v>
          </c:tx>
          <c:spPr>
            <a:ln cmpd="sng" w="19050">
              <a:solidFill>
                <a:schemeClr val="accent5"/>
              </a:solidFill>
              <a:prstDash val="solid"/>
            </a:ln>
          </c:spPr>
          <c:marker>
            <c:symbol val="none"/>
          </c:marker>
          <c:cat>
            <c:strRef>
              <c:f>Chartbuilding!$C$1:$N$1</c:f>
            </c:strRef>
          </c:cat>
          <c:val>
            <c:numRef>
              <c:f>Chartbuilding!$C$41:$N$41</c:f>
              <c:numCache/>
            </c:numRef>
          </c:val>
          <c:smooth val="1"/>
        </c:ser>
        <c:axId val="1573040974"/>
        <c:axId val="1234891346"/>
      </c:lineChart>
      <c:catAx>
        <c:axId val="15730409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000">
                <a:solidFill>
                  <a:srgbClr val="000000"/>
                </a:solidFill>
                <a:latin typeface="Arial"/>
              </a:defRPr>
            </a:pPr>
          </a:p>
        </c:txPr>
        <c:crossAx val="1234891346"/>
      </c:catAx>
      <c:valAx>
        <c:axId val="123489134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000">
                <a:solidFill>
                  <a:srgbClr val="000000"/>
                </a:solidFill>
                <a:latin typeface="Arial"/>
              </a:defRPr>
            </a:pPr>
          </a:p>
        </c:txPr>
        <c:crossAx val="1573040974"/>
      </c:valAx>
    </c:plotArea>
    <c:legend>
      <c:legendPos val="b"/>
      <c:layout>
        <c:manualLayout>
          <c:xMode val="edge"/>
          <c:yMode val="edge"/>
          <c:x val="0.3076766870068341"/>
          <c:y val="0.9059442448334735"/>
        </c:manualLayout>
      </c:layout>
      <c:overlay val="0"/>
      <c:txPr>
        <a:bodyPr/>
        <a:lstStyle/>
        <a:p>
          <a:pPr lvl="0">
            <a:defRPr b="0" i="0" sz="1000">
              <a:solidFill>
                <a:srgbClr val="000000"/>
              </a:solidFill>
              <a:latin typeface="Roboto"/>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Arial"/>
              </a:defRPr>
            </a:pPr>
            <a:r>
              <a:rPr b="0" i="0" sz="1400">
                <a:solidFill>
                  <a:srgbClr val="757575"/>
                </a:solidFill>
                <a:latin typeface="Arial"/>
              </a:rPr>
              <a:t>Cash Balance</a:t>
            </a:r>
          </a:p>
        </c:rich>
      </c:tx>
      <c:layout>
        <c:manualLayout>
          <c:xMode val="edge"/>
          <c:yMode val="edge"/>
          <c:x val="0.016539567827994102"/>
          <c:y val="0.027777887139107612"/>
        </c:manualLayout>
      </c:layout>
      <c:overlay val="0"/>
    </c:title>
    <c:plotArea>
      <c:layout/>
      <c:lineChart>
        <c:ser>
          <c:idx val="0"/>
          <c:order val="0"/>
          <c:tx>
            <c:v>Actuals</c:v>
          </c:tx>
          <c:spPr>
            <a:ln cmpd="sng" w="19050">
              <a:solidFill>
                <a:schemeClr val="accent4"/>
              </a:solidFill>
              <a:prstDash val="solid"/>
            </a:ln>
          </c:spPr>
          <c:marker>
            <c:symbol val="none"/>
          </c:marker>
          <c:cat>
            <c:strRef>
              <c:f>Chartbuilding!$C$1:$N$1</c:f>
            </c:strRef>
          </c:cat>
          <c:val>
            <c:numRef>
              <c:f>Chartbuilding!$C$12:$N$12</c:f>
              <c:numCache/>
            </c:numRef>
          </c:val>
          <c:smooth val="0"/>
        </c:ser>
        <c:ser>
          <c:idx val="1"/>
          <c:order val="1"/>
          <c:tx>
            <c:v>Base-Case</c:v>
          </c:tx>
          <c:spPr>
            <a:ln cmpd="sng" w="19050">
              <a:solidFill>
                <a:schemeClr val="accent4"/>
              </a:solidFill>
              <a:prstDash val="solid"/>
            </a:ln>
          </c:spPr>
          <c:marker>
            <c:symbol val="none"/>
          </c:marker>
          <c:cat>
            <c:strRef>
              <c:f>Chartbuilding!$C$1:$N$1</c:f>
            </c:strRef>
          </c:cat>
          <c:val>
            <c:numRef>
              <c:f>Chartbuilding!$C$13:$N$13</c:f>
              <c:numCache/>
            </c:numRef>
          </c:val>
          <c:smooth val="0"/>
        </c:ser>
        <c:ser>
          <c:idx val="2"/>
          <c:order val="2"/>
          <c:tx>
            <c:v>Worst-Case</c:v>
          </c:tx>
          <c:spPr>
            <a:ln cmpd="sng" w="19050">
              <a:solidFill>
                <a:schemeClr val="accent4"/>
              </a:solidFill>
              <a:prstDash val="solid"/>
            </a:ln>
          </c:spPr>
          <c:marker>
            <c:symbol val="none"/>
          </c:marker>
          <c:cat>
            <c:strRef>
              <c:f>Chartbuilding!$C$1:$N$1</c:f>
            </c:strRef>
          </c:cat>
          <c:val>
            <c:numRef>
              <c:f>Chartbuilding!$C$14:$N$14</c:f>
              <c:numCache/>
            </c:numRef>
          </c:val>
          <c:smooth val="0"/>
        </c:ser>
        <c:ser>
          <c:idx val="3"/>
          <c:order val="3"/>
          <c:tx>
            <c:v>2020 Target</c:v>
          </c:tx>
          <c:spPr>
            <a:ln cmpd="sng" w="19050">
              <a:solidFill>
                <a:schemeClr val="accent4"/>
              </a:solidFill>
              <a:prstDash val="solid"/>
            </a:ln>
          </c:spPr>
          <c:marker>
            <c:symbol val="none"/>
          </c:marker>
          <c:cat>
            <c:strRef>
              <c:f>Chartbuilding!$C$1:$N$1</c:f>
            </c:strRef>
          </c:cat>
          <c:val>
            <c:numRef>
              <c:f>Chartbuilding!$C$15:$N$15</c:f>
              <c:numCache/>
            </c:numRef>
          </c:val>
          <c:smooth val="0"/>
        </c:ser>
        <c:axId val="1186713529"/>
        <c:axId val="1777564420"/>
      </c:lineChart>
      <c:catAx>
        <c:axId val="11867135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mmm\-yy" sourceLinked="0"/>
        <c:majorTickMark val="none"/>
        <c:minorTickMark val="none"/>
        <c:spPr/>
        <c:txPr>
          <a:bodyPr rot="-2700000"/>
          <a:lstStyle/>
          <a:p>
            <a:pPr lvl="0">
              <a:defRPr b="0" i="0" sz="900">
                <a:solidFill>
                  <a:srgbClr val="000000"/>
                </a:solidFill>
                <a:latin typeface="Arial"/>
              </a:defRPr>
            </a:pPr>
          </a:p>
        </c:txPr>
        <c:crossAx val="1777564420"/>
      </c:catAx>
      <c:valAx>
        <c:axId val="177756442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000">
                <a:solidFill>
                  <a:srgbClr val="000000"/>
                </a:solidFill>
                <a:latin typeface="Arial"/>
              </a:defRPr>
            </a:pPr>
          </a:p>
        </c:txPr>
        <c:crossAx val="1186713529"/>
        <c:majorUnit val="250000.0"/>
      </c:valAx>
    </c:plotArea>
    <c:legend>
      <c:legendPos val="b"/>
      <c:overlay val="0"/>
      <c:txPr>
        <a:bodyPr/>
        <a:lstStyle/>
        <a:p>
          <a:pPr lvl="0">
            <a:defRPr b="0" i="0" sz="1000">
              <a:solidFill>
                <a:srgbClr val="1A1A1A"/>
              </a:solidFill>
              <a:latin typeface="Arial"/>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16</xdr:row>
      <xdr:rowOff>9525</xdr:rowOff>
    </xdr:from>
    <xdr:ext cx="5715000" cy="3171825"/>
    <xdr:graphicFrame>
      <xdr:nvGraphicFramePr>
        <xdr:cNvPr id="1498867314"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542925</xdr:colOff>
      <xdr:row>56</xdr:row>
      <xdr:rowOff>133350</xdr:rowOff>
    </xdr:from>
    <xdr:ext cx="5715000" cy="3171825"/>
    <xdr:graphicFrame>
      <xdr:nvGraphicFramePr>
        <xdr:cNvPr id="78855353"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0</xdr:row>
      <xdr:rowOff>0</xdr:rowOff>
    </xdr:from>
    <xdr:ext cx="5715000" cy="3171825"/>
    <xdr:graphicFrame>
      <xdr:nvGraphicFramePr>
        <xdr:cNvPr id="1962541982"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0</xdr:colOff>
      <xdr:row>16</xdr:row>
      <xdr:rowOff>47625</xdr:rowOff>
    </xdr:from>
    <xdr:ext cx="6096000" cy="3171825"/>
    <xdr:graphicFrame>
      <xdr:nvGraphicFramePr>
        <xdr:cNvPr id="871861938"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56</xdr:row>
      <xdr:rowOff>133350</xdr:rowOff>
    </xdr:from>
    <xdr:ext cx="5715000" cy="3171825"/>
    <xdr:graphicFrame>
      <xdr:nvGraphicFramePr>
        <xdr:cNvPr id="1511434339"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66675</xdr:colOff>
      <xdr:row>32</xdr:row>
      <xdr:rowOff>190500</xdr:rowOff>
    </xdr:from>
    <xdr:ext cx="12020550" cy="4333875"/>
    <xdr:graphicFrame>
      <xdr:nvGraphicFramePr>
        <xdr:cNvPr id="1998144263"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6</xdr:col>
      <xdr:colOff>190500</xdr:colOff>
      <xdr:row>0</xdr:row>
      <xdr:rowOff>28575</xdr:rowOff>
    </xdr:from>
    <xdr:ext cx="6877050" cy="3114675"/>
    <xdr:graphicFrame>
      <xdr:nvGraphicFramePr>
        <xdr:cNvPr id="217062380" name="Chart 7"/>
        <xdr:cNvGraphicFramePr/>
      </xdr:nvGraphicFramePr>
      <xdr:xfrm>
        <a:off x="0" y="0"/>
        <a:ext cx="0" cy="0"/>
      </xdr:xfrm>
      <a:graphic>
        <a:graphicData uri="http://schemas.openxmlformats.org/drawingml/2006/chart">
          <c:chart r:id="rId7"/>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sSMbY5atNvbDc7dTA5F8OuaHVvZfwF3z0JRgqj_Tf4Q/edit"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1.xml"/><Relationship Id="rId3"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showGridLines="0" workbookViewId="0"/>
  </sheetViews>
  <sheetFormatPr customHeight="1" defaultColWidth="12.63" defaultRowHeight="15.0"/>
  <cols>
    <col customWidth="1" min="1" max="26" width="14.38"/>
  </cols>
  <sheetData>
    <row r="1" ht="15.75" customHeight="1">
      <c r="A1" s="1"/>
      <c r="B1" s="1"/>
      <c r="C1" s="1"/>
      <c r="D1" s="1"/>
      <c r="E1" s="1"/>
      <c r="F1" s="1"/>
      <c r="G1" s="1"/>
      <c r="H1" s="1"/>
      <c r="I1" s="1"/>
      <c r="J1" s="1"/>
      <c r="K1" s="1"/>
      <c r="L1" s="1"/>
      <c r="M1" s="1"/>
      <c r="N1" s="1"/>
      <c r="O1" s="1"/>
      <c r="P1" s="1"/>
      <c r="Q1" s="1"/>
      <c r="R1" s="1"/>
      <c r="S1" s="1"/>
      <c r="T1" s="1"/>
      <c r="U1" s="1"/>
      <c r="V1" s="1"/>
      <c r="W1" s="1"/>
      <c r="X1" s="1"/>
      <c r="Y1" s="1"/>
      <c r="Z1" s="1"/>
    </row>
    <row r="2" ht="15.75" customHeight="1">
      <c r="A2" s="1"/>
      <c r="B2" s="1"/>
      <c r="C2" s="1"/>
      <c r="D2" s="1"/>
      <c r="E2" s="1"/>
      <c r="F2" s="1"/>
      <c r="G2" s="1"/>
      <c r="H2" s="1"/>
      <c r="I2" s="1"/>
      <c r="J2" s="1"/>
      <c r="K2" s="1"/>
      <c r="L2" s="1"/>
      <c r="M2" s="1"/>
      <c r="N2" s="2" t="s">
        <v>0</v>
      </c>
      <c r="T2" s="2"/>
      <c r="U2" s="1"/>
      <c r="V2" s="1"/>
      <c r="W2" s="1"/>
      <c r="X2" s="1"/>
      <c r="Y2" s="1"/>
      <c r="Z2" s="1"/>
    </row>
    <row r="3" ht="15.75" customHeight="1">
      <c r="A3" s="1"/>
      <c r="B3" s="1"/>
      <c r="C3" s="1"/>
      <c r="D3" s="1"/>
      <c r="E3" s="1"/>
      <c r="F3" s="1"/>
      <c r="G3" s="1"/>
      <c r="H3" s="1"/>
      <c r="I3" s="1"/>
      <c r="J3" s="1"/>
      <c r="K3" s="1"/>
      <c r="L3" s="1"/>
      <c r="M3" s="1"/>
      <c r="T3" s="2"/>
      <c r="U3" s="1"/>
      <c r="V3" s="1"/>
      <c r="W3" s="1"/>
      <c r="X3" s="1"/>
      <c r="Y3" s="1"/>
      <c r="Z3" s="1"/>
    </row>
    <row r="4" ht="15.75" customHeight="1">
      <c r="A4" s="1"/>
      <c r="B4" s="1"/>
      <c r="C4" s="1"/>
      <c r="D4" s="1"/>
      <c r="E4" s="1"/>
      <c r="F4" s="1"/>
      <c r="G4" s="1"/>
      <c r="H4" s="1"/>
      <c r="I4" s="1"/>
      <c r="J4" s="1"/>
      <c r="K4" s="1"/>
      <c r="L4" s="1"/>
      <c r="M4" s="1"/>
      <c r="N4" s="3">
        <v>43922.0</v>
      </c>
      <c r="T4" s="3"/>
      <c r="U4" s="1"/>
      <c r="V4" s="1"/>
      <c r="W4" s="1"/>
      <c r="X4" s="1"/>
      <c r="Y4" s="1"/>
      <c r="Z4" s="1"/>
    </row>
    <row r="5" ht="15.75" customHeight="1">
      <c r="A5" s="1"/>
      <c r="B5" s="1"/>
      <c r="C5" s="1"/>
      <c r="D5" s="1"/>
      <c r="E5" s="1"/>
      <c r="F5" s="1"/>
      <c r="G5" s="1"/>
      <c r="H5" s="1"/>
      <c r="I5" s="1"/>
      <c r="J5" s="1"/>
      <c r="K5" s="1"/>
      <c r="L5" s="1"/>
      <c r="M5" s="1"/>
      <c r="T5" s="3"/>
      <c r="U5" s="1"/>
      <c r="V5" s="1"/>
      <c r="W5" s="1"/>
      <c r="X5" s="1"/>
      <c r="Y5" s="1"/>
      <c r="Z5" s="1"/>
    </row>
    <row r="6" ht="15.75" customHeight="1">
      <c r="A6" s="1"/>
      <c r="B6" s="1"/>
      <c r="C6" s="1"/>
      <c r="D6" s="1"/>
      <c r="E6" s="1"/>
      <c r="F6" s="1"/>
      <c r="G6" s="1"/>
      <c r="H6" s="1"/>
      <c r="I6" s="1"/>
      <c r="J6" s="1"/>
      <c r="K6" s="1"/>
      <c r="L6" s="1"/>
      <c r="M6" s="1"/>
      <c r="N6" s="1"/>
      <c r="O6" s="1"/>
      <c r="P6" s="1"/>
      <c r="Q6" s="1"/>
      <c r="R6" s="1"/>
      <c r="S6" s="1"/>
      <c r="T6" s="1"/>
      <c r="U6" s="1"/>
      <c r="V6" s="1"/>
      <c r="W6" s="1"/>
      <c r="X6" s="1"/>
      <c r="Y6" s="1"/>
      <c r="Z6" s="1"/>
    </row>
    <row r="7" ht="15.75" customHeight="1">
      <c r="A7" s="1"/>
      <c r="B7" s="1"/>
      <c r="C7" s="1"/>
      <c r="D7" s="1"/>
      <c r="E7" s="1"/>
      <c r="F7" s="1"/>
      <c r="G7" s="1"/>
      <c r="H7" s="1"/>
      <c r="I7" s="1"/>
      <c r="J7" s="1"/>
      <c r="K7" s="1"/>
      <c r="L7" s="1"/>
      <c r="M7" s="1"/>
      <c r="N7" s="1"/>
      <c r="O7" s="1"/>
      <c r="P7" s="4" t="s">
        <v>1</v>
      </c>
      <c r="Q7" s="5" t="s">
        <v>2</v>
      </c>
      <c r="R7" s="6" t="s">
        <v>3</v>
      </c>
      <c r="T7" s="1"/>
      <c r="U7" s="1"/>
      <c r="V7" s="1"/>
      <c r="W7" s="1"/>
      <c r="X7" s="1"/>
      <c r="Y7" s="1"/>
      <c r="Z7" s="1"/>
    </row>
    <row r="8" ht="15.75" customHeight="1">
      <c r="A8" s="1"/>
      <c r="B8" s="1"/>
      <c r="C8" s="1"/>
      <c r="D8" s="1"/>
      <c r="E8" s="1"/>
      <c r="F8" s="1"/>
      <c r="G8" s="1"/>
      <c r="H8" s="1"/>
      <c r="I8" s="1"/>
      <c r="J8" s="1"/>
      <c r="K8" s="1"/>
      <c r="L8" s="1"/>
      <c r="M8" s="1"/>
      <c r="N8" s="7" t="s">
        <v>4</v>
      </c>
      <c r="O8" s="1"/>
      <c r="P8" s="8">
        <f>Q8</f>
        <v>43922</v>
      </c>
      <c r="Q8" s="9">
        <f>Current_Month</f>
        <v>43922</v>
      </c>
      <c r="R8" s="10" t="s">
        <v>5</v>
      </c>
      <c r="S8" s="10" t="s">
        <v>6</v>
      </c>
      <c r="T8" s="1"/>
      <c r="U8" s="1"/>
      <c r="V8" s="1"/>
      <c r="W8" s="1"/>
      <c r="X8" s="1"/>
      <c r="Y8" s="1"/>
      <c r="Z8" s="1"/>
    </row>
    <row r="9" ht="15.75" customHeight="1">
      <c r="A9" s="1"/>
      <c r="B9" s="1"/>
      <c r="C9" s="1"/>
      <c r="D9" s="1"/>
      <c r="E9" s="1"/>
      <c r="F9" s="1"/>
      <c r="G9" s="1"/>
      <c r="H9" s="1"/>
      <c r="I9" s="1"/>
      <c r="J9" s="1"/>
      <c r="K9" s="1"/>
      <c r="L9" s="1"/>
      <c r="M9" s="1"/>
      <c r="N9" s="11" t="s">
        <v>7</v>
      </c>
      <c r="O9" s="11"/>
      <c r="P9" s="12">
        <f t="array" ref="P9">INDEX(Oper_Model_Revenue_2020_Target,MATCH(P8,Oper_Model_Months_2020_Target,0))*12</f>
        <v>10344470.39</v>
      </c>
      <c r="Q9" s="13">
        <f t="array" ref="Q9">INDEX(Revenue_Model_MRR,MATCH(Q8,Revenue_Model_Months,0))*12</f>
        <v>9536481.134</v>
      </c>
      <c r="R9" s="14">
        <f>Q9-P9</f>
        <v>-807989.2559</v>
      </c>
      <c r="S9" s="15">
        <f>Q9/P9-1</f>
        <v>-0.07810832507</v>
      </c>
      <c r="T9" s="1"/>
      <c r="U9" s="1"/>
      <c r="V9" s="1"/>
      <c r="W9" s="1"/>
      <c r="X9" s="1"/>
      <c r="Y9" s="1"/>
      <c r="Z9" s="1"/>
    </row>
    <row r="10" ht="15.75" customHeight="1">
      <c r="A10" s="1"/>
      <c r="B10" s="1"/>
      <c r="C10" s="1"/>
      <c r="D10" s="1"/>
      <c r="E10" s="1"/>
      <c r="F10" s="1"/>
      <c r="G10" s="1"/>
      <c r="H10" s="1"/>
      <c r="I10" s="1"/>
      <c r="J10" s="1"/>
      <c r="K10" s="1"/>
      <c r="L10" s="1"/>
      <c r="M10" s="1"/>
      <c r="N10" s="1"/>
      <c r="O10" s="1"/>
      <c r="P10" s="1"/>
      <c r="Q10" s="16"/>
      <c r="R10" s="1"/>
      <c r="S10" s="1"/>
      <c r="T10" s="1"/>
      <c r="U10" s="1"/>
      <c r="V10" s="1"/>
      <c r="W10" s="1"/>
      <c r="X10" s="1"/>
      <c r="Y10" s="1"/>
      <c r="Z10" s="1"/>
    </row>
    <row r="11" ht="15.75" customHeight="1">
      <c r="A11" s="1"/>
      <c r="B11" s="1"/>
      <c r="C11" s="1"/>
      <c r="D11" s="1"/>
      <c r="E11" s="1"/>
      <c r="F11" s="1"/>
      <c r="G11" s="1"/>
      <c r="H11" s="1"/>
      <c r="I11" s="1"/>
      <c r="J11" s="1"/>
      <c r="K11" s="1"/>
      <c r="L11" s="1"/>
      <c r="M11" s="1"/>
      <c r="N11" s="1" t="s">
        <v>8</v>
      </c>
      <c r="O11" s="1"/>
      <c r="P11" s="17">
        <f t="array" ref="P11">INDEX(Oper_Model_Revenue_2020_Target,MATCH(P8,Oper_Model_Months_2020_Target,0))</f>
        <v>862039.1992</v>
      </c>
      <c r="Q11" s="18">
        <f t="array" ref="Q11">INDEX(Oper_Model_Revenue,MATCH(Q8,Oper_Model_Months,0))</f>
        <v>796507</v>
      </c>
      <c r="R11" s="17">
        <f>Q11-P11</f>
        <v>-65532.1992</v>
      </c>
      <c r="S11" s="15">
        <f>Q11/P11-1</f>
        <v>-0.07601997596</v>
      </c>
      <c r="T11" s="1"/>
      <c r="U11" s="1"/>
      <c r="V11" s="1"/>
      <c r="W11" s="1"/>
      <c r="X11" s="1"/>
      <c r="Y11" s="1"/>
      <c r="Z11" s="1"/>
    </row>
    <row r="12" ht="15.75" customHeight="1">
      <c r="A12" s="1"/>
      <c r="B12" s="1"/>
      <c r="C12" s="1"/>
      <c r="D12" s="1"/>
      <c r="E12" s="1"/>
      <c r="F12" s="1"/>
      <c r="G12" s="1"/>
      <c r="H12" s="1"/>
      <c r="I12" s="1"/>
      <c r="J12" s="1"/>
      <c r="K12" s="1"/>
      <c r="L12" s="1"/>
      <c r="M12" s="1"/>
      <c r="N12" s="1" t="s">
        <v>9</v>
      </c>
      <c r="O12" s="1"/>
      <c r="P12" s="1"/>
      <c r="Q12" s="16"/>
      <c r="R12" s="1"/>
      <c r="S12" s="15"/>
      <c r="T12" s="1"/>
      <c r="U12" s="1"/>
      <c r="V12" s="1"/>
      <c r="W12" s="1"/>
      <c r="X12" s="1"/>
      <c r="Y12" s="1"/>
      <c r="Z12" s="1"/>
    </row>
    <row r="13" ht="15.75" customHeight="1">
      <c r="A13" s="1"/>
      <c r="B13" s="1"/>
      <c r="C13" s="1"/>
      <c r="D13" s="1"/>
      <c r="E13" s="1"/>
      <c r="F13" s="1"/>
      <c r="G13" s="1"/>
      <c r="H13" s="1"/>
      <c r="I13" s="1"/>
      <c r="J13" s="1"/>
      <c r="K13" s="1"/>
      <c r="L13" s="1"/>
      <c r="M13" s="1"/>
      <c r="N13" s="1" t="s">
        <v>10</v>
      </c>
      <c r="O13" s="1"/>
      <c r="P13" s="19">
        <f t="array" ref="P13">INDEX(Oper_Model_Support_2020_Target,MATCH(P8,Oper_Model_Months_2020_Target,0))</f>
        <v>106639.1454</v>
      </c>
      <c r="Q13" s="20">
        <f t="array" ref="Q13">INDEX(Oper_Model_Support,MATCH(Q8,Oper_Model_Months,0))</f>
        <v>75015</v>
      </c>
      <c r="R13" s="19">
        <f t="shared" ref="R13:R14" si="1">Q13-P13</f>
        <v>-31624.14543</v>
      </c>
      <c r="S13" s="15">
        <f t="shared" ref="S13:S14" si="2">Q13/P13-1</f>
        <v>-0.2965528775</v>
      </c>
      <c r="T13" s="1"/>
      <c r="U13" s="1"/>
      <c r="V13" s="1"/>
      <c r="W13" s="1"/>
      <c r="X13" s="1"/>
      <c r="Y13" s="1"/>
      <c r="Z13" s="1"/>
    </row>
    <row r="14" ht="15.75" customHeight="1">
      <c r="A14" s="1"/>
      <c r="B14" s="1"/>
      <c r="C14" s="1"/>
      <c r="D14" s="1"/>
      <c r="E14" s="1"/>
      <c r="F14" s="1"/>
      <c r="G14" s="1"/>
      <c r="H14" s="1"/>
      <c r="I14" s="1"/>
      <c r="J14" s="1"/>
      <c r="K14" s="1"/>
      <c r="L14" s="1"/>
      <c r="M14" s="1"/>
      <c r="N14" s="1" t="s">
        <v>11</v>
      </c>
      <c r="O14" s="1"/>
      <c r="P14" s="19">
        <f t="array" ref="P14">INDEX(Oper_Model_Service_Delivery_2020_Target,MATCH(P8,Oper_Model_Months_2020_Target,0))</f>
        <v>61315.08371</v>
      </c>
      <c r="Q14" s="20">
        <f t="array" ref="Q14">INDEX(Oper_Model_Service_Delivery,MATCH(Q8,Oper_Model_Months,0))</f>
        <v>70756</v>
      </c>
      <c r="R14" s="19">
        <f t="shared" si="1"/>
        <v>9440.916287</v>
      </c>
      <c r="S14" s="15">
        <f t="shared" si="2"/>
        <v>0.1539737976</v>
      </c>
      <c r="T14" s="1"/>
      <c r="U14" s="1"/>
      <c r="V14" s="1"/>
      <c r="W14" s="1"/>
      <c r="X14" s="1"/>
      <c r="Y14" s="1"/>
      <c r="Z14" s="1"/>
    </row>
    <row r="15" ht="15.75" customHeight="1">
      <c r="A15" s="1"/>
      <c r="B15" s="1"/>
      <c r="C15" s="1"/>
      <c r="D15" s="1"/>
      <c r="E15" s="1"/>
      <c r="F15" s="1"/>
      <c r="G15" s="1"/>
      <c r="H15" s="1"/>
      <c r="I15" s="1"/>
      <c r="J15" s="1"/>
      <c r="K15" s="1"/>
      <c r="L15" s="1"/>
      <c r="M15" s="1"/>
      <c r="N15" s="21" t="s">
        <v>9</v>
      </c>
      <c r="O15" s="22"/>
      <c r="P15" s="23">
        <f t="shared" ref="P15:S15" si="3">SUM(P13:P14)</f>
        <v>167954.2291</v>
      </c>
      <c r="Q15" s="24">
        <f t="shared" si="3"/>
        <v>145771</v>
      </c>
      <c r="R15" s="23">
        <f t="shared" si="3"/>
        <v>-22183.22914</v>
      </c>
      <c r="S15" s="25">
        <f t="shared" si="3"/>
        <v>-0.1425790799</v>
      </c>
      <c r="T15" s="1"/>
      <c r="U15" s="1"/>
      <c r="V15" s="1"/>
      <c r="W15" s="1"/>
      <c r="X15" s="1"/>
      <c r="Y15" s="1"/>
      <c r="Z15" s="1"/>
    </row>
    <row r="16" ht="15.75" customHeight="1">
      <c r="A16" s="1"/>
      <c r="B16" s="1"/>
      <c r="C16" s="1"/>
      <c r="D16" s="1"/>
      <c r="E16" s="1"/>
      <c r="F16" s="1"/>
      <c r="G16" s="1"/>
      <c r="H16" s="1"/>
      <c r="I16" s="1"/>
      <c r="J16" s="1"/>
      <c r="K16" s="1"/>
      <c r="L16" s="1"/>
      <c r="M16" s="1"/>
      <c r="N16" s="22" t="s">
        <v>12</v>
      </c>
      <c r="O16" s="22"/>
      <c r="P16" s="23">
        <f t="shared" ref="P16:Q16" si="4">P11-P15</f>
        <v>694084.9701</v>
      </c>
      <c r="Q16" s="24">
        <f t="shared" si="4"/>
        <v>650736</v>
      </c>
      <c r="R16" s="23">
        <f>Q16-P16</f>
        <v>-43348.97006</v>
      </c>
      <c r="S16" s="25">
        <f>Q16/P16-1</f>
        <v>-0.0624548462</v>
      </c>
      <c r="T16" s="1"/>
      <c r="U16" s="1"/>
      <c r="V16" s="1"/>
      <c r="W16" s="1"/>
      <c r="X16" s="1"/>
      <c r="Y16" s="1"/>
      <c r="Z16" s="1"/>
    </row>
    <row r="17" ht="15.75" customHeight="1">
      <c r="A17" s="1"/>
      <c r="B17" s="1"/>
      <c r="C17" s="1"/>
      <c r="D17" s="1"/>
      <c r="E17" s="1"/>
      <c r="F17" s="1"/>
      <c r="G17" s="1"/>
      <c r="H17" s="1"/>
      <c r="I17" s="1"/>
      <c r="J17" s="1"/>
      <c r="K17" s="1"/>
      <c r="L17" s="1"/>
      <c r="M17" s="1"/>
      <c r="N17" s="1" t="s">
        <v>13</v>
      </c>
      <c r="O17" s="1"/>
      <c r="P17" s="26">
        <f t="shared" ref="P17:Q17" si="5">P16/P11</f>
        <v>0.8051663668</v>
      </c>
      <c r="Q17" s="27">
        <f t="shared" si="5"/>
        <v>0.8169871702</v>
      </c>
      <c r="R17" s="26"/>
      <c r="S17" s="15"/>
      <c r="T17" s="1"/>
      <c r="U17" s="1"/>
      <c r="V17" s="1"/>
      <c r="W17" s="1"/>
      <c r="X17" s="1"/>
      <c r="Y17" s="1"/>
      <c r="Z17" s="1"/>
    </row>
    <row r="18" ht="15.75" customHeight="1">
      <c r="A18" s="1"/>
      <c r="B18" s="1"/>
      <c r="C18" s="1"/>
      <c r="D18" s="1"/>
      <c r="E18" s="1"/>
      <c r="F18" s="1"/>
      <c r="G18" s="1"/>
      <c r="H18" s="1"/>
      <c r="I18" s="1"/>
      <c r="J18" s="1"/>
      <c r="K18" s="1"/>
      <c r="L18" s="1"/>
      <c r="M18" s="1"/>
      <c r="N18" s="1" t="s">
        <v>14</v>
      </c>
      <c r="O18" s="1"/>
      <c r="P18" s="1"/>
      <c r="Q18" s="16"/>
      <c r="R18" s="1"/>
      <c r="S18" s="15"/>
      <c r="T18" s="1"/>
      <c r="U18" s="1"/>
      <c r="V18" s="1"/>
      <c r="W18" s="1"/>
      <c r="X18" s="1"/>
      <c r="Y18" s="1"/>
      <c r="Z18" s="1"/>
    </row>
    <row r="19" ht="15.75" customHeight="1">
      <c r="A19" s="1"/>
      <c r="B19" s="1"/>
      <c r="C19" s="1"/>
      <c r="D19" s="1"/>
      <c r="E19" s="1"/>
      <c r="F19" s="1"/>
      <c r="G19" s="1"/>
      <c r="H19" s="1"/>
      <c r="I19" s="1"/>
      <c r="J19" s="1"/>
      <c r="K19" s="1"/>
      <c r="L19" s="1"/>
      <c r="M19" s="1"/>
      <c r="N19" s="1" t="s">
        <v>15</v>
      </c>
      <c r="O19" s="1"/>
      <c r="P19" s="19">
        <f t="array" ref="P19">INDEX(Oper_Model_Engineering_2020_Target,MATCH(P8,Oper_Model_Months_2020_Target,0))</f>
        <v>282865.8333</v>
      </c>
      <c r="Q19" s="20">
        <f t="array" ref="Q19">INDEX(Oper_Model_Engineering,MATCH(Q8,Oper_Model_Months,0))</f>
        <v>278352</v>
      </c>
      <c r="R19" s="19">
        <f t="shared" ref="R19:R21" si="6">Q19-P19</f>
        <v>-4513.833333</v>
      </c>
      <c r="S19" s="15">
        <f t="shared" ref="S19:S21" si="7">Q19/P19-1</f>
        <v>-0.01595750636</v>
      </c>
      <c r="T19" s="1"/>
      <c r="U19" s="1"/>
      <c r="V19" s="1"/>
      <c r="W19" s="1"/>
      <c r="X19" s="1"/>
      <c r="Y19" s="1"/>
      <c r="Z19" s="1"/>
    </row>
    <row r="20" ht="15.75" customHeight="1">
      <c r="A20" s="1"/>
      <c r="B20" s="1"/>
      <c r="C20" s="1"/>
      <c r="D20" s="1"/>
      <c r="E20" s="1"/>
      <c r="F20" s="1"/>
      <c r="G20" s="1"/>
      <c r="H20" s="1"/>
      <c r="I20" s="1"/>
      <c r="J20" s="1"/>
      <c r="K20" s="1"/>
      <c r="L20" s="1"/>
      <c r="M20" s="1"/>
      <c r="N20" s="1" t="s">
        <v>16</v>
      </c>
      <c r="O20" s="1"/>
      <c r="P20" s="19">
        <f t="array" ref="P20">INDEX(Oper_Model_General_2020_Target,MATCH(P8,Oper_Model_Months_2020_Target,0))</f>
        <v>93644.33333</v>
      </c>
      <c r="Q20" s="20">
        <f t="array" ref="Q20">INDEX(Oper_Model_General,MATCH(Q8,Oper_Model_Months,0))</f>
        <v>87926</v>
      </c>
      <c r="R20" s="19">
        <f t="shared" si="6"/>
        <v>-5718.333333</v>
      </c>
      <c r="S20" s="15">
        <f t="shared" si="7"/>
        <v>-0.0610643819</v>
      </c>
      <c r="T20" s="1"/>
      <c r="U20" s="1"/>
      <c r="V20" s="1"/>
      <c r="W20" s="1"/>
      <c r="X20" s="1"/>
      <c r="Y20" s="1"/>
      <c r="Z20" s="1"/>
    </row>
    <row r="21" ht="15.75" customHeight="1">
      <c r="A21" s="1"/>
      <c r="B21" s="1"/>
      <c r="C21" s="1"/>
      <c r="D21" s="1"/>
      <c r="E21" s="1"/>
      <c r="F21" s="1"/>
      <c r="G21" s="1"/>
      <c r="H21" s="1"/>
      <c r="I21" s="1"/>
      <c r="J21" s="1"/>
      <c r="K21" s="1"/>
      <c r="L21" s="1"/>
      <c r="M21" s="1"/>
      <c r="N21" s="1" t="s">
        <v>17</v>
      </c>
      <c r="O21" s="1"/>
      <c r="P21" s="19">
        <f t="array" ref="P21">INDEX(Oper_Model_Sales_and_Marketing_2020_Target,MATCH(P8,Oper_Model_Months_2020_Target,0))</f>
        <v>399958</v>
      </c>
      <c r="Q21" s="20">
        <f t="array" ref="Q21">INDEX(Oper_Model_Sales_and_Marketing,MATCH(Q8,Oper_Model_Months,0))</f>
        <v>284575</v>
      </c>
      <c r="R21" s="19">
        <f t="shared" si="6"/>
        <v>-115383</v>
      </c>
      <c r="S21" s="15">
        <f t="shared" si="7"/>
        <v>-0.2884877912</v>
      </c>
      <c r="T21" s="1"/>
      <c r="U21" s="1"/>
      <c r="V21" s="1"/>
      <c r="W21" s="1"/>
      <c r="X21" s="1"/>
      <c r="Y21" s="1"/>
      <c r="Z21" s="1"/>
    </row>
    <row r="22" ht="15.75" customHeight="1">
      <c r="A22" s="1"/>
      <c r="B22" s="1"/>
      <c r="C22" s="1"/>
      <c r="D22" s="1"/>
      <c r="E22" s="1"/>
      <c r="F22" s="1"/>
      <c r="G22" s="1"/>
      <c r="H22" s="1"/>
      <c r="I22" s="1"/>
      <c r="J22" s="1"/>
      <c r="K22" s="1"/>
      <c r="L22" s="1"/>
      <c r="M22" s="1"/>
      <c r="N22" s="21" t="s">
        <v>18</v>
      </c>
      <c r="O22" s="22"/>
      <c r="P22" s="23">
        <f t="shared" ref="P22:S22" si="8">SUM(P19:P21)</f>
        <v>776468.1667</v>
      </c>
      <c r="Q22" s="24">
        <f t="shared" si="8"/>
        <v>650853</v>
      </c>
      <c r="R22" s="23">
        <f t="shared" si="8"/>
        <v>-125615.1667</v>
      </c>
      <c r="S22" s="25">
        <f t="shared" si="8"/>
        <v>-0.3655096795</v>
      </c>
      <c r="T22" s="1"/>
      <c r="U22" s="1"/>
      <c r="V22" s="1"/>
      <c r="W22" s="1"/>
      <c r="X22" s="1"/>
      <c r="Y22" s="1"/>
      <c r="Z22" s="1"/>
    </row>
    <row r="23" ht="15.75" customHeight="1">
      <c r="A23" s="1"/>
      <c r="B23" s="1"/>
      <c r="C23" s="1"/>
      <c r="D23" s="1"/>
      <c r="E23" s="1"/>
      <c r="F23" s="1"/>
      <c r="G23" s="1"/>
      <c r="H23" s="1"/>
      <c r="I23" s="1"/>
      <c r="J23" s="1"/>
      <c r="K23" s="1"/>
      <c r="L23" s="1"/>
      <c r="M23" s="1"/>
      <c r="N23" s="21" t="s">
        <v>19</v>
      </c>
      <c r="O23" s="22"/>
      <c r="P23" s="23">
        <f t="shared" ref="P23:S23" si="9">P16-P22</f>
        <v>-82383.19661</v>
      </c>
      <c r="Q23" s="24">
        <f t="shared" si="9"/>
        <v>-117</v>
      </c>
      <c r="R23" s="23">
        <f t="shared" si="9"/>
        <v>82266.19661</v>
      </c>
      <c r="S23" s="25">
        <f t="shared" si="9"/>
        <v>0.3030548333</v>
      </c>
      <c r="T23" s="1"/>
      <c r="U23" s="1"/>
      <c r="V23" s="1"/>
      <c r="W23" s="1"/>
      <c r="X23" s="1"/>
      <c r="Y23" s="1"/>
      <c r="Z23" s="1"/>
    </row>
    <row r="24" ht="15.75" customHeight="1">
      <c r="A24" s="1"/>
      <c r="B24" s="1"/>
      <c r="C24" s="1"/>
      <c r="D24" s="1"/>
      <c r="E24" s="1"/>
      <c r="F24" s="1"/>
      <c r="G24" s="1"/>
      <c r="H24" s="1"/>
      <c r="I24" s="1"/>
      <c r="J24" s="1"/>
      <c r="K24" s="1"/>
      <c r="L24" s="1"/>
      <c r="M24" s="1"/>
      <c r="N24" s="1"/>
      <c r="O24" s="1"/>
      <c r="P24" s="1"/>
      <c r="Q24" s="16"/>
      <c r="R24" s="1"/>
      <c r="S24" s="15"/>
      <c r="T24" s="1"/>
      <c r="U24" s="1"/>
      <c r="V24" s="1"/>
      <c r="W24" s="1"/>
      <c r="X24" s="1"/>
      <c r="Y24" s="1"/>
      <c r="Z24" s="1"/>
    </row>
    <row r="25" ht="15.75" customHeight="1">
      <c r="A25" s="1"/>
      <c r="B25" s="1"/>
      <c r="C25" s="1"/>
      <c r="D25" s="1"/>
      <c r="E25" s="1"/>
      <c r="F25" s="1"/>
      <c r="G25" s="1"/>
      <c r="H25" s="1"/>
      <c r="I25" s="1"/>
      <c r="J25" s="1"/>
      <c r="K25" s="1"/>
      <c r="L25" s="1"/>
      <c r="M25" s="1"/>
      <c r="N25" s="7" t="s">
        <v>20</v>
      </c>
      <c r="O25" s="1"/>
      <c r="P25" s="8">
        <f>Current_Month</f>
        <v>43922</v>
      </c>
      <c r="Q25" s="9">
        <f>Current_Month</f>
        <v>43922</v>
      </c>
      <c r="R25" s="10" t="s">
        <v>5</v>
      </c>
      <c r="S25" s="10" t="s">
        <v>6</v>
      </c>
      <c r="T25" s="1"/>
      <c r="U25" s="1"/>
      <c r="V25" s="1"/>
      <c r="W25" s="1"/>
      <c r="X25" s="1"/>
      <c r="Y25" s="1"/>
      <c r="Z25" s="1"/>
    </row>
    <row r="26" ht="15.75" customHeight="1">
      <c r="A26" s="1"/>
      <c r="B26" s="1"/>
      <c r="C26" s="1"/>
      <c r="D26" s="1"/>
      <c r="E26" s="1"/>
      <c r="F26" s="1"/>
      <c r="G26" s="1"/>
      <c r="H26" s="1"/>
      <c r="I26" s="1"/>
      <c r="J26" s="1"/>
      <c r="K26" s="1"/>
      <c r="L26" s="1"/>
      <c r="M26" s="1"/>
      <c r="N26" s="11" t="s">
        <v>21</v>
      </c>
      <c r="O26" s="11"/>
      <c r="P26" s="28">
        <f t="array" ref="P26">INDEX(Oper_Model_Operating_Activities_2020_Target,MATCH(P8,Oper_Model_Months_2020_Target,0))</f>
        <v>22616.80339</v>
      </c>
      <c r="Q26" s="29">
        <f t="array" ref="Q26">INDEX(Oper_Model_Operating_Activities,MATCH(Q8,Oper_Model_Months,0))</f>
        <v>-117</v>
      </c>
      <c r="R26" s="28">
        <f t="shared" ref="R26:R28" si="10">Q26-P26</f>
        <v>-22733.80339</v>
      </c>
      <c r="S26" s="15">
        <f t="shared" ref="S26:S28" si="11">IFERROR(Q26/P26-1,0)</f>
        <v>-1.005173145</v>
      </c>
      <c r="T26" s="1"/>
      <c r="U26" s="1"/>
      <c r="V26" s="1"/>
      <c r="W26" s="1"/>
      <c r="X26" s="1"/>
      <c r="Y26" s="1"/>
      <c r="Z26" s="1"/>
    </row>
    <row r="27" ht="15.75" customHeight="1">
      <c r="A27" s="1"/>
      <c r="B27" s="1"/>
      <c r="C27" s="1"/>
      <c r="D27" s="1"/>
      <c r="E27" s="1"/>
      <c r="F27" s="1"/>
      <c r="G27" s="1"/>
      <c r="H27" s="1"/>
      <c r="I27" s="1"/>
      <c r="J27" s="1"/>
      <c r="K27" s="1"/>
      <c r="L27" s="1"/>
      <c r="M27" s="1"/>
      <c r="N27" s="1" t="s">
        <v>22</v>
      </c>
      <c r="O27" s="1"/>
      <c r="P27" s="19">
        <f t="array" ref="P27">INDEX(Oper_Model_Investing_Activities_2020_Target,MATCH(P8,Oper_Model_Months_2020_Target,0))</f>
        <v>0</v>
      </c>
      <c r="Q27" s="20">
        <f t="array" ref="Q27">INDEX(Oper_Model_Investing_Activities,MATCH(Q8,Oper_Model_Months,0))</f>
        <v>0</v>
      </c>
      <c r="R27" s="19">
        <f t="shared" si="10"/>
        <v>0</v>
      </c>
      <c r="S27" s="15">
        <f t="shared" si="11"/>
        <v>0</v>
      </c>
      <c r="T27" s="1"/>
      <c r="U27" s="1"/>
      <c r="V27" s="1"/>
      <c r="W27" s="1"/>
      <c r="X27" s="1"/>
      <c r="Y27" s="1"/>
      <c r="Z27" s="1"/>
    </row>
    <row r="28" ht="15.75" customHeight="1">
      <c r="A28" s="1"/>
      <c r="B28" s="1"/>
      <c r="C28" s="1"/>
      <c r="D28" s="1"/>
      <c r="E28" s="1"/>
      <c r="F28" s="1"/>
      <c r="G28" s="1"/>
      <c r="H28" s="1"/>
      <c r="I28" s="1"/>
      <c r="J28" s="1"/>
      <c r="K28" s="1"/>
      <c r="L28" s="1"/>
      <c r="M28" s="1"/>
      <c r="N28" s="1" t="s">
        <v>23</v>
      </c>
      <c r="O28" s="1"/>
      <c r="P28" s="19">
        <f t="array" ref="P28">INDEX(Oper_Model_Financing_Activities_2020_Target,MATCH(P8,Oper_Model_Months_2020_Target,0))</f>
        <v>0</v>
      </c>
      <c r="Q28" s="20">
        <f t="array" ref="Q28">INDEX(Oper_Model_Financing_Activities,MATCH(Q8,Oper_Model_Months,0))</f>
        <v>0</v>
      </c>
      <c r="R28" s="19">
        <f t="shared" si="10"/>
        <v>0</v>
      </c>
      <c r="S28" s="15">
        <f t="shared" si="11"/>
        <v>0</v>
      </c>
      <c r="T28" s="1"/>
      <c r="U28" s="1"/>
      <c r="V28" s="1"/>
      <c r="W28" s="1"/>
      <c r="X28" s="1"/>
      <c r="Y28" s="1"/>
      <c r="Z28" s="1"/>
    </row>
    <row r="29" ht="15.75" customHeight="1">
      <c r="A29" s="1"/>
      <c r="B29" s="1"/>
      <c r="C29" s="1"/>
      <c r="D29" s="1"/>
      <c r="E29" s="1"/>
      <c r="F29" s="1"/>
      <c r="G29" s="1"/>
      <c r="H29" s="1"/>
      <c r="I29" s="1"/>
      <c r="J29" s="1"/>
      <c r="K29" s="1"/>
      <c r="L29" s="1"/>
      <c r="M29" s="1"/>
      <c r="N29" s="21" t="s">
        <v>24</v>
      </c>
      <c r="O29" s="22"/>
      <c r="P29" s="23">
        <f t="shared" ref="P29:S29" si="12">SUM(P26:P28)</f>
        <v>22616.80339</v>
      </c>
      <c r="Q29" s="24">
        <f t="shared" si="12"/>
        <v>-117</v>
      </c>
      <c r="R29" s="23">
        <f t="shared" si="12"/>
        <v>-22733.80339</v>
      </c>
      <c r="S29" s="25">
        <f t="shared" si="12"/>
        <v>-1.005173145</v>
      </c>
      <c r="T29" s="1"/>
      <c r="U29" s="1"/>
      <c r="V29" s="1"/>
      <c r="W29" s="1"/>
      <c r="X29" s="1"/>
      <c r="Y29" s="1"/>
      <c r="Z29" s="1"/>
    </row>
    <row r="30" ht="15.75" customHeight="1">
      <c r="A30" s="1"/>
      <c r="B30" s="1"/>
      <c r="C30" s="1"/>
      <c r="D30" s="1"/>
      <c r="E30" s="1"/>
      <c r="F30" s="1"/>
      <c r="G30" s="1"/>
      <c r="H30" s="1"/>
      <c r="I30" s="1"/>
      <c r="J30" s="1"/>
      <c r="K30" s="1"/>
      <c r="L30" s="1"/>
      <c r="M30" s="1"/>
      <c r="N30" s="1"/>
      <c r="O30" s="1"/>
      <c r="P30" s="1"/>
      <c r="Q30" s="20"/>
      <c r="R30" s="1"/>
      <c r="S30" s="15"/>
      <c r="T30" s="1"/>
      <c r="U30" s="1"/>
      <c r="V30" s="1"/>
      <c r="W30" s="1"/>
      <c r="X30" s="1"/>
      <c r="Y30" s="1"/>
      <c r="Z30" s="1"/>
    </row>
    <row r="31" ht="15.75" customHeight="1">
      <c r="A31" s="1"/>
      <c r="B31" s="1"/>
      <c r="C31" s="1"/>
      <c r="D31" s="1"/>
      <c r="E31" s="1"/>
      <c r="F31" s="1"/>
      <c r="G31" s="1"/>
      <c r="H31" s="1"/>
      <c r="I31" s="1"/>
      <c r="J31" s="1"/>
      <c r="K31" s="1"/>
      <c r="L31" s="1"/>
      <c r="M31" s="1"/>
      <c r="N31" s="1" t="s">
        <v>25</v>
      </c>
      <c r="O31" s="1"/>
      <c r="P31" s="19">
        <f t="array" ref="P31">INDEX(Oper_Model_Bank_Accounts_2020_Target,MATCH(P8,Oper_Model_Months_2020_Target,0))</f>
        <v>243356.6255</v>
      </c>
      <c r="Q31" s="20">
        <f t="array" ref="Q31">INDEX(Oper_Model_Bank_Accounts,MATCH(Q8,Oper_Model_Months,0))</f>
        <v>263700.19</v>
      </c>
      <c r="R31" s="19">
        <f>Q31-P31</f>
        <v>20343.56447</v>
      </c>
      <c r="S31" s="15">
        <f>Q31/P31-1</f>
        <v>0.08359568773</v>
      </c>
      <c r="T31" s="19"/>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30" t="s">
        <v>2</v>
      </c>
      <c r="Q34" s="5" t="s">
        <v>2</v>
      </c>
      <c r="R34" s="30" t="s">
        <v>26</v>
      </c>
      <c r="S34" s="30" t="s">
        <v>26</v>
      </c>
      <c r="T34" s="1"/>
      <c r="U34" s="1"/>
      <c r="V34" s="1"/>
      <c r="W34" s="1"/>
      <c r="X34" s="1"/>
      <c r="Y34" s="1"/>
      <c r="Z34" s="1"/>
    </row>
    <row r="35" ht="15.75" customHeight="1">
      <c r="A35" s="1"/>
      <c r="B35" s="1"/>
      <c r="C35" s="1"/>
      <c r="D35" s="1"/>
      <c r="E35" s="1"/>
      <c r="F35" s="1"/>
      <c r="G35" s="1"/>
      <c r="H35" s="1"/>
      <c r="I35" s="1"/>
      <c r="J35" s="1"/>
      <c r="K35" s="1"/>
      <c r="L35" s="1"/>
      <c r="M35" s="1"/>
      <c r="N35" s="7" t="s">
        <v>27</v>
      </c>
      <c r="O35" s="1"/>
      <c r="P35" s="8">
        <f>EDATE(Q35,-1)</f>
        <v>43891</v>
      </c>
      <c r="Q35" s="9">
        <f>Current_Month</f>
        <v>43922</v>
      </c>
      <c r="R35" s="8">
        <f t="shared" ref="R35:S35" si="13">EDATE(Q35,1)</f>
        <v>43952</v>
      </c>
      <c r="S35" s="8">
        <f t="shared" si="13"/>
        <v>43983</v>
      </c>
      <c r="T35" s="1"/>
      <c r="U35" s="1"/>
      <c r="V35" s="1"/>
      <c r="W35" s="1"/>
      <c r="X35" s="1"/>
      <c r="Y35" s="1"/>
      <c r="Z35" s="1"/>
    </row>
    <row r="36" ht="15.75" customHeight="1">
      <c r="A36" s="1"/>
      <c r="B36" s="1"/>
      <c r="C36" s="1"/>
      <c r="D36" s="1"/>
      <c r="E36" s="1"/>
      <c r="F36" s="1"/>
      <c r="G36" s="1"/>
      <c r="H36" s="1"/>
      <c r="I36" s="1"/>
      <c r="J36" s="1"/>
      <c r="K36" s="1"/>
      <c r="L36" s="1"/>
      <c r="M36" s="1"/>
      <c r="N36" s="11" t="s">
        <v>7</v>
      </c>
      <c r="O36" s="11"/>
      <c r="P36" s="12">
        <f t="array" ref="P36">INDEX(Revenue_Model_MRR,MATCH(P$35,Revenue_Model_Months,0))*12</f>
        <v>9841953.134</v>
      </c>
      <c r="Q36" s="13">
        <f t="array" ref="Q36">INDEX(Revenue_Model_MRR,MATCH(Q$35,Revenue_Model_Months,0))*12</f>
        <v>9536481.134</v>
      </c>
      <c r="R36" s="12">
        <f t="array" ref="R36">INDEX(Revenue_Model_MRR,MATCH(R$35,Revenue_Model_Months,0))*12</f>
        <v>9364193.147</v>
      </c>
      <c r="S36" s="12">
        <f t="array" ref="S36">INDEX(Revenue_Model_MRR,MATCH(S$35,Revenue_Model_Months,0))*12</f>
        <v>9322066.78</v>
      </c>
      <c r="T36" s="1"/>
      <c r="U36" s="1"/>
      <c r="V36" s="1"/>
      <c r="W36" s="1"/>
      <c r="X36" s="1"/>
      <c r="Y36" s="1"/>
      <c r="Z36" s="1"/>
    </row>
    <row r="37" ht="15.75" customHeight="1">
      <c r="A37" s="1"/>
      <c r="B37" s="1"/>
      <c r="C37" s="1"/>
      <c r="D37" s="1"/>
      <c r="E37" s="1"/>
      <c r="F37" s="1"/>
      <c r="G37" s="1"/>
      <c r="H37" s="1"/>
      <c r="I37" s="1"/>
      <c r="J37" s="1"/>
      <c r="K37" s="1"/>
      <c r="L37" s="1"/>
      <c r="M37" s="1"/>
      <c r="N37" s="1"/>
      <c r="O37" s="1"/>
      <c r="P37" s="1"/>
      <c r="Q37" s="16"/>
      <c r="R37" s="1"/>
      <c r="S37" s="1"/>
      <c r="T37" s="1"/>
      <c r="U37" s="1"/>
      <c r="V37" s="1"/>
      <c r="W37" s="1"/>
      <c r="X37" s="1"/>
      <c r="Y37" s="1"/>
      <c r="Z37" s="1"/>
    </row>
    <row r="38" ht="15.75" customHeight="1">
      <c r="A38" s="1"/>
      <c r="B38" s="1"/>
      <c r="C38" s="1"/>
      <c r="D38" s="1"/>
      <c r="E38" s="1"/>
      <c r="F38" s="1"/>
      <c r="G38" s="1"/>
      <c r="H38" s="1"/>
      <c r="I38" s="1"/>
      <c r="J38" s="1"/>
      <c r="K38" s="1"/>
      <c r="L38" s="1"/>
      <c r="M38" s="1"/>
      <c r="N38" s="1" t="s">
        <v>8</v>
      </c>
      <c r="O38" s="1"/>
      <c r="P38" s="17">
        <f t="array" ref="P38">INDEX(Oper_Model_Revenue,MATCH(P35,Oper_Model_Months,0))</f>
        <v>819162.19</v>
      </c>
      <c r="Q38" s="18">
        <f t="array" ref="Q38">INDEX(Oper_Model_Revenue,MATCH(Q35,Oper_Model_Months,0))</f>
        <v>796507</v>
      </c>
      <c r="R38" s="17">
        <f t="array" ref="R38">INDEX(Oper_Model_Revenue,MATCH(R35,Oper_Model_Months,0))</f>
        <v>780349.4289</v>
      </c>
      <c r="S38" s="17">
        <f t="array" ref="S38">INDEX(Oper_Model_Revenue,MATCH(S35,Oper_Model_Months,0))</f>
        <v>776838.8983</v>
      </c>
      <c r="T38" s="1"/>
      <c r="U38" s="1"/>
      <c r="V38" s="1"/>
      <c r="W38" s="1"/>
      <c r="X38" s="1"/>
      <c r="Y38" s="1"/>
      <c r="Z38" s="1"/>
    </row>
    <row r="39" ht="15.75" customHeight="1">
      <c r="A39" s="1"/>
      <c r="B39" s="1"/>
      <c r="C39" s="1"/>
      <c r="D39" s="1"/>
      <c r="E39" s="1"/>
      <c r="F39" s="1"/>
      <c r="G39" s="1"/>
      <c r="H39" s="1"/>
      <c r="I39" s="1"/>
      <c r="J39" s="1"/>
      <c r="K39" s="1"/>
      <c r="L39" s="1"/>
      <c r="M39" s="1"/>
      <c r="N39" s="1" t="s">
        <v>9</v>
      </c>
      <c r="O39" s="1"/>
      <c r="P39" s="1"/>
      <c r="Q39" s="16"/>
      <c r="R39" s="1"/>
      <c r="S39" s="1"/>
      <c r="T39" s="1"/>
      <c r="U39" s="1"/>
      <c r="V39" s="1"/>
      <c r="W39" s="1"/>
      <c r="X39" s="1"/>
      <c r="Y39" s="1"/>
      <c r="Z39" s="1"/>
    </row>
    <row r="40" ht="15.75" customHeight="1">
      <c r="A40" s="1"/>
      <c r="B40" s="1"/>
      <c r="C40" s="1"/>
      <c r="D40" s="1"/>
      <c r="E40" s="1"/>
      <c r="F40" s="1"/>
      <c r="G40" s="1"/>
      <c r="H40" s="1"/>
      <c r="I40" s="1"/>
      <c r="J40" s="1"/>
      <c r="K40" s="1"/>
      <c r="L40" s="1"/>
      <c r="M40" s="1"/>
      <c r="N40" s="1" t="s">
        <v>10</v>
      </c>
      <c r="O40" s="1"/>
      <c r="P40" s="19">
        <f t="array" ref="P40">INDEX(Oper_Model_Support,MATCH(P35,Oper_Model_Months,0))</f>
        <v>75196</v>
      </c>
      <c r="Q40" s="20">
        <f t="array" ref="Q40">INDEX(Oper_Model_Support,MATCH(Q35,Oper_Model_Months,0))</f>
        <v>75015</v>
      </c>
      <c r="R40" s="19">
        <f t="array" ref="R40">INDEX(Oper_Model_Support,MATCH(R35,Oper_Model_Months,0))</f>
        <v>76050.30906</v>
      </c>
      <c r="S40" s="19">
        <f t="array" ref="S40">INDEX(Oper_Model_Support,MATCH(S35,Oper_Model_Months,0))</f>
        <v>76018.5126</v>
      </c>
      <c r="T40" s="1"/>
      <c r="U40" s="1"/>
      <c r="V40" s="1"/>
      <c r="W40" s="1"/>
      <c r="X40" s="1"/>
      <c r="Y40" s="1"/>
      <c r="Z40" s="1"/>
    </row>
    <row r="41" ht="15.75" customHeight="1">
      <c r="A41" s="1"/>
      <c r="B41" s="1"/>
      <c r="C41" s="1"/>
      <c r="D41" s="1"/>
      <c r="E41" s="1"/>
      <c r="F41" s="1"/>
      <c r="G41" s="1"/>
      <c r="H41" s="1"/>
      <c r="I41" s="1"/>
      <c r="J41" s="1"/>
      <c r="K41" s="1"/>
      <c r="L41" s="1"/>
      <c r="M41" s="1"/>
      <c r="N41" s="1" t="s">
        <v>11</v>
      </c>
      <c r="O41" s="1"/>
      <c r="P41" s="19">
        <f t="array" ref="P41">INDEX(Oper_Model_Service_Delivery,MATCH(P35,Oper_Model_Months,0))</f>
        <v>71648</v>
      </c>
      <c r="Q41" s="20">
        <f t="array" ref="Q41">INDEX(Oper_Model_Service_Delivery,MATCH(Q35,Oper_Model_Months,0))</f>
        <v>70756</v>
      </c>
      <c r="R41" s="19">
        <f t="array" ref="R41">INDEX(Oper_Model_Service_Delivery,MATCH(R35,Oper_Model_Months,0))</f>
        <v>67774.09731</v>
      </c>
      <c r="S41" s="19">
        <f t="array" ref="S41">INDEX(Oper_Model_Service_Delivery,MATCH(S35,Oper_Model_Months,0))</f>
        <v>67469.20436</v>
      </c>
      <c r="T41" s="1"/>
      <c r="U41" s="1"/>
      <c r="V41" s="1"/>
      <c r="W41" s="1"/>
      <c r="X41" s="1"/>
      <c r="Y41" s="1"/>
      <c r="Z41" s="1"/>
    </row>
    <row r="42" ht="15.75" customHeight="1">
      <c r="A42" s="1"/>
      <c r="B42" s="1"/>
      <c r="C42" s="1"/>
      <c r="D42" s="1"/>
      <c r="E42" s="1"/>
      <c r="F42" s="1"/>
      <c r="G42" s="1"/>
      <c r="H42" s="1"/>
      <c r="I42" s="1"/>
      <c r="J42" s="1"/>
      <c r="K42" s="1"/>
      <c r="L42" s="1"/>
      <c r="M42" s="1"/>
      <c r="N42" s="22" t="s">
        <v>9</v>
      </c>
      <c r="O42" s="22"/>
      <c r="P42" s="23">
        <f t="shared" ref="P42:S42" si="14">SUM(P40:P41)</f>
        <v>146844</v>
      </c>
      <c r="Q42" s="24">
        <f t="shared" si="14"/>
        <v>145771</v>
      </c>
      <c r="R42" s="23">
        <f t="shared" si="14"/>
        <v>143824.4064</v>
      </c>
      <c r="S42" s="23">
        <f t="shared" si="14"/>
        <v>143487.717</v>
      </c>
      <c r="T42" s="1"/>
      <c r="U42" s="1"/>
      <c r="V42" s="1"/>
      <c r="W42" s="1"/>
      <c r="X42" s="1"/>
      <c r="Y42" s="1"/>
      <c r="Z42" s="1"/>
    </row>
    <row r="43" ht="15.75" customHeight="1">
      <c r="A43" s="1"/>
      <c r="B43" s="1"/>
      <c r="C43" s="1"/>
      <c r="D43" s="1"/>
      <c r="E43" s="1"/>
      <c r="F43" s="1"/>
      <c r="G43" s="1"/>
      <c r="H43" s="1"/>
      <c r="I43" s="1"/>
      <c r="J43" s="1"/>
      <c r="K43" s="1"/>
      <c r="L43" s="1"/>
      <c r="M43" s="1"/>
      <c r="N43" s="22" t="s">
        <v>12</v>
      </c>
      <c r="O43" s="22"/>
      <c r="P43" s="23">
        <f t="shared" ref="P43:S43" si="15">P38-P42</f>
        <v>672318.19</v>
      </c>
      <c r="Q43" s="24">
        <f t="shared" si="15"/>
        <v>650736</v>
      </c>
      <c r="R43" s="23">
        <f t="shared" si="15"/>
        <v>636525.0225</v>
      </c>
      <c r="S43" s="23">
        <f t="shared" si="15"/>
        <v>633351.1814</v>
      </c>
      <c r="T43" s="1"/>
      <c r="U43" s="1"/>
      <c r="V43" s="1"/>
      <c r="W43" s="1"/>
      <c r="X43" s="1"/>
      <c r="Y43" s="1"/>
      <c r="Z43" s="1"/>
    </row>
    <row r="44" ht="15.75" customHeight="1">
      <c r="A44" s="1"/>
      <c r="B44" s="1"/>
      <c r="C44" s="1"/>
      <c r="D44" s="1"/>
      <c r="E44" s="1"/>
      <c r="F44" s="1"/>
      <c r="G44" s="1"/>
      <c r="H44" s="1"/>
      <c r="I44" s="1"/>
      <c r="J44" s="1"/>
      <c r="K44" s="1"/>
      <c r="L44" s="1"/>
      <c r="M44" s="1"/>
      <c r="N44" s="1" t="s">
        <v>13</v>
      </c>
      <c r="O44" s="1"/>
      <c r="P44" s="26">
        <f t="shared" ref="P44:S44" si="16">P43/P38</f>
        <v>0.8207387966</v>
      </c>
      <c r="Q44" s="27">
        <f t="shared" si="16"/>
        <v>0.8169871702</v>
      </c>
      <c r="R44" s="26">
        <f t="shared" si="16"/>
        <v>0.8156923027</v>
      </c>
      <c r="S44" s="26">
        <f t="shared" si="16"/>
        <v>0.8152928268</v>
      </c>
      <c r="T44" s="1"/>
      <c r="U44" s="1"/>
      <c r="V44" s="1"/>
      <c r="W44" s="1"/>
      <c r="X44" s="1"/>
      <c r="Y44" s="1"/>
      <c r="Z44" s="1"/>
    </row>
    <row r="45" ht="15.75" customHeight="1">
      <c r="A45" s="1"/>
      <c r="B45" s="1"/>
      <c r="C45" s="1"/>
      <c r="D45" s="1"/>
      <c r="E45" s="1"/>
      <c r="F45" s="1"/>
      <c r="G45" s="1"/>
      <c r="H45" s="1"/>
      <c r="I45" s="1"/>
      <c r="J45" s="1"/>
      <c r="K45" s="1"/>
      <c r="L45" s="1"/>
      <c r="M45" s="1"/>
      <c r="N45" s="1" t="s">
        <v>14</v>
      </c>
      <c r="O45" s="1"/>
      <c r="P45" s="1"/>
      <c r="Q45" s="16"/>
      <c r="R45" s="1"/>
      <c r="S45" s="1"/>
      <c r="T45" s="1"/>
      <c r="U45" s="1"/>
      <c r="V45" s="1"/>
      <c r="W45" s="1"/>
      <c r="X45" s="1"/>
      <c r="Y45" s="1"/>
      <c r="Z45" s="1"/>
    </row>
    <row r="46" ht="15.75" customHeight="1">
      <c r="A46" s="1"/>
      <c r="B46" s="1"/>
      <c r="C46" s="1"/>
      <c r="D46" s="1"/>
      <c r="E46" s="1"/>
      <c r="F46" s="1"/>
      <c r="G46" s="1"/>
      <c r="H46" s="1"/>
      <c r="I46" s="1"/>
      <c r="J46" s="1"/>
      <c r="K46" s="1"/>
      <c r="L46" s="1"/>
      <c r="M46" s="1"/>
      <c r="N46" s="1" t="s">
        <v>15</v>
      </c>
      <c r="O46" s="1"/>
      <c r="P46" s="19">
        <f t="array" ref="P46">INDEX(Oper_Model_Engineering,MATCH(P35,Oper_Model_Months,0))</f>
        <v>280952</v>
      </c>
      <c r="Q46" s="20">
        <f t="array" ref="Q46">INDEX(Oper_Model_Engineering,MATCH(Q35,Oper_Model_Months,0))</f>
        <v>278352</v>
      </c>
      <c r="R46" s="19">
        <f t="array" ref="R46">INDEX(Oper_Model_Engineering,MATCH(R35,Oper_Model_Months,0))</f>
        <v>229392.5</v>
      </c>
      <c r="S46" s="19">
        <f t="array" ref="S46">INDEX(Oper_Model_Engineering,MATCH(S35,Oper_Model_Months,0))</f>
        <v>229392.5</v>
      </c>
      <c r="T46" s="1"/>
      <c r="U46" s="1"/>
      <c r="V46" s="1"/>
      <c r="W46" s="1"/>
      <c r="X46" s="1"/>
      <c r="Y46" s="1"/>
      <c r="Z46" s="1"/>
    </row>
    <row r="47" ht="15.75" customHeight="1">
      <c r="A47" s="1"/>
      <c r="B47" s="1"/>
      <c r="C47" s="1"/>
      <c r="D47" s="1"/>
      <c r="E47" s="1"/>
      <c r="F47" s="1"/>
      <c r="G47" s="1"/>
      <c r="H47" s="1"/>
      <c r="I47" s="1"/>
      <c r="J47" s="1"/>
      <c r="K47" s="1"/>
      <c r="L47" s="1"/>
      <c r="M47" s="1"/>
      <c r="N47" s="1" t="s">
        <v>16</v>
      </c>
      <c r="O47" s="1"/>
      <c r="P47" s="19">
        <f t="array" ref="P47">INDEX(Oper_Model_General,MATCH(P35,Oper_Model_Months,0))</f>
        <v>86317</v>
      </c>
      <c r="Q47" s="20">
        <f t="array" ref="Q47">INDEX(Oper_Model_General,MATCH(Q35,Oper_Model_Months,0))</f>
        <v>87926</v>
      </c>
      <c r="R47" s="19">
        <f t="array" ref="R47">INDEX(Oper_Model_General,MATCH(R35,Oper_Model_Months,0))</f>
        <v>78155.66667</v>
      </c>
      <c r="S47" s="19">
        <f t="array" ref="S47">INDEX(Oper_Model_General,MATCH(S35,Oper_Model_Months,0))</f>
        <v>78155.66667</v>
      </c>
      <c r="T47" s="1"/>
      <c r="U47" s="1"/>
      <c r="V47" s="1"/>
      <c r="W47" s="1"/>
      <c r="X47" s="1"/>
      <c r="Y47" s="1"/>
      <c r="Z47" s="1"/>
    </row>
    <row r="48" ht="15.75" customHeight="1">
      <c r="A48" s="1"/>
      <c r="B48" s="1"/>
      <c r="C48" s="1"/>
      <c r="D48" s="1"/>
      <c r="E48" s="1"/>
      <c r="F48" s="1"/>
      <c r="G48" s="1"/>
      <c r="H48" s="1"/>
      <c r="I48" s="1"/>
      <c r="J48" s="1"/>
      <c r="K48" s="1"/>
      <c r="L48" s="1"/>
      <c r="M48" s="1"/>
      <c r="N48" s="1" t="s">
        <v>17</v>
      </c>
      <c r="O48" s="1"/>
      <c r="P48" s="19">
        <f t="array" ref="P48">INDEX(Oper_Model_Sales_and_Marketing,MATCH(P35,Oper_Model_Months,0))</f>
        <v>296642</v>
      </c>
      <c r="Q48" s="20">
        <f t="array" ref="Q48">INDEX(Oper_Model_Sales_and_Marketing,MATCH(Q35,Oper_Model_Months,0))</f>
        <v>284575</v>
      </c>
      <c r="R48" s="19">
        <f t="array" ref="R48">INDEX(Oper_Model_Sales_and_Marketing,MATCH(R35,Oper_Model_Months,0))</f>
        <v>275628.6895</v>
      </c>
      <c r="S48" s="19">
        <f t="array" ref="S48">INDEX(Oper_Model_Sales_and_Marketing,MATCH(S35,Oper_Model_Months,0))</f>
        <v>290437.1603</v>
      </c>
      <c r="T48" s="1"/>
      <c r="U48" s="1"/>
      <c r="V48" s="1"/>
      <c r="W48" s="1"/>
      <c r="X48" s="1"/>
      <c r="Y48" s="1"/>
      <c r="Z48" s="1"/>
    </row>
    <row r="49" ht="15.75" customHeight="1">
      <c r="A49" s="1"/>
      <c r="B49" s="1"/>
      <c r="C49" s="1"/>
      <c r="D49" s="1"/>
      <c r="E49" s="1"/>
      <c r="F49" s="1"/>
      <c r="G49" s="1"/>
      <c r="H49" s="1"/>
      <c r="I49" s="1"/>
      <c r="J49" s="1"/>
      <c r="K49" s="1"/>
      <c r="L49" s="1"/>
      <c r="M49" s="1"/>
      <c r="N49" s="22" t="s">
        <v>18</v>
      </c>
      <c r="O49" s="22"/>
      <c r="P49" s="23">
        <f t="shared" ref="P49:S49" si="17">SUM(P46:P48)</f>
        <v>663911</v>
      </c>
      <c r="Q49" s="24">
        <f t="shared" si="17"/>
        <v>650853</v>
      </c>
      <c r="R49" s="23">
        <f t="shared" si="17"/>
        <v>583176.8562</v>
      </c>
      <c r="S49" s="23">
        <f t="shared" si="17"/>
        <v>597985.3269</v>
      </c>
      <c r="T49" s="1"/>
      <c r="U49" s="1"/>
      <c r="V49" s="1"/>
      <c r="W49" s="1"/>
      <c r="X49" s="1"/>
      <c r="Y49" s="1"/>
      <c r="Z49" s="1"/>
    </row>
    <row r="50" ht="15.75" customHeight="1">
      <c r="A50" s="1"/>
      <c r="B50" s="1"/>
      <c r="C50" s="1"/>
      <c r="D50" s="1"/>
      <c r="E50" s="1"/>
      <c r="F50" s="1"/>
      <c r="G50" s="1"/>
      <c r="H50" s="1"/>
      <c r="I50" s="1"/>
      <c r="J50" s="1"/>
      <c r="K50" s="1"/>
      <c r="L50" s="1"/>
      <c r="M50" s="1"/>
      <c r="N50" s="22" t="s">
        <v>19</v>
      </c>
      <c r="O50" s="22"/>
      <c r="P50" s="23">
        <f t="shared" ref="P50:S50" si="18">P43-P49</f>
        <v>8407.19</v>
      </c>
      <c r="Q50" s="24">
        <f t="shared" si="18"/>
        <v>-117</v>
      </c>
      <c r="R50" s="23">
        <f t="shared" si="18"/>
        <v>53348.16634</v>
      </c>
      <c r="S50" s="23">
        <f t="shared" si="18"/>
        <v>35365.85445</v>
      </c>
      <c r="T50" s="1"/>
      <c r="U50" s="1"/>
      <c r="V50" s="1"/>
      <c r="W50" s="1"/>
      <c r="X50" s="1"/>
      <c r="Y50" s="1"/>
      <c r="Z50" s="1"/>
    </row>
    <row r="51" ht="15.75" customHeight="1">
      <c r="A51" s="1"/>
      <c r="B51" s="1"/>
      <c r="C51" s="1"/>
      <c r="D51" s="1"/>
      <c r="E51" s="1"/>
      <c r="F51" s="1"/>
      <c r="G51" s="1"/>
      <c r="H51" s="1"/>
      <c r="I51" s="1"/>
      <c r="J51" s="1"/>
      <c r="K51" s="1"/>
      <c r="L51" s="1"/>
      <c r="M51" s="1"/>
      <c r="N51" s="1"/>
      <c r="O51" s="1"/>
      <c r="P51" s="1"/>
      <c r="Q51" s="16"/>
      <c r="R51" s="1"/>
      <c r="S51" s="1"/>
      <c r="T51" s="1"/>
      <c r="U51" s="1"/>
      <c r="V51" s="1"/>
      <c r="W51" s="1"/>
      <c r="X51" s="1"/>
      <c r="Y51" s="1"/>
      <c r="Z51" s="1"/>
    </row>
    <row r="52" ht="15.75" customHeight="1">
      <c r="A52" s="1"/>
      <c r="B52" s="1"/>
      <c r="C52" s="1"/>
      <c r="D52" s="1"/>
      <c r="E52" s="1"/>
      <c r="F52" s="1"/>
      <c r="G52" s="1"/>
      <c r="H52" s="1"/>
      <c r="I52" s="1"/>
      <c r="J52" s="1"/>
      <c r="K52" s="1"/>
      <c r="L52" s="1"/>
      <c r="M52" s="1"/>
      <c r="N52" s="7" t="s">
        <v>20</v>
      </c>
      <c r="O52" s="1"/>
      <c r="P52" s="8">
        <f>EDATE(Q52,-1)</f>
        <v>43891</v>
      </c>
      <c r="Q52" s="9">
        <f>Current_Month</f>
        <v>43922</v>
      </c>
      <c r="R52" s="8">
        <f t="shared" ref="R52:S52" si="19">EDATE(Q52,1)</f>
        <v>43952</v>
      </c>
      <c r="S52" s="8">
        <f t="shared" si="19"/>
        <v>43983</v>
      </c>
      <c r="T52" s="1"/>
      <c r="U52" s="1"/>
      <c r="V52" s="1"/>
      <c r="W52" s="1"/>
      <c r="X52" s="1"/>
      <c r="Y52" s="1"/>
      <c r="Z52" s="1"/>
    </row>
    <row r="53" ht="15.75" customHeight="1">
      <c r="A53" s="1"/>
      <c r="B53" s="1"/>
      <c r="C53" s="1"/>
      <c r="D53" s="1"/>
      <c r="E53" s="1"/>
      <c r="F53" s="1"/>
      <c r="G53" s="1"/>
      <c r="H53" s="1"/>
      <c r="I53" s="1"/>
      <c r="J53" s="1"/>
      <c r="K53" s="1"/>
      <c r="L53" s="1"/>
      <c r="M53" s="1"/>
      <c r="N53" s="11" t="s">
        <v>21</v>
      </c>
      <c r="O53" s="11"/>
      <c r="P53" s="28">
        <f t="array" ref="P53">INDEX(Oper_Model_Operating_Activities,MATCH(P35,Oper_Model_Months,0))</f>
        <v>8407.19</v>
      </c>
      <c r="Q53" s="29">
        <f t="array" ref="Q53">INDEX(Oper_Model_Operating_Activities,MATCH(Q35,Oper_Model_Months,0))</f>
        <v>-117</v>
      </c>
      <c r="R53" s="28" t="str">
        <f t="array" ref="R53">INDEX(Oper_Model_Operating_Activities,MATCH(R35,Oper_Model_Months,0))</f>
        <v>#NAME?</v>
      </c>
      <c r="S53" s="28" t="str">
        <f t="array" ref="S53">INDEX(Oper_Model_Operating_Activities,MATCH(S35,Oper_Model_Months,0))</f>
        <v>#NAME?</v>
      </c>
      <c r="T53" s="1"/>
      <c r="U53" s="1"/>
      <c r="V53" s="1"/>
      <c r="W53" s="1"/>
      <c r="X53" s="1"/>
      <c r="Y53" s="1"/>
      <c r="Z53" s="1"/>
    </row>
    <row r="54" ht="15.75" customHeight="1">
      <c r="A54" s="1"/>
      <c r="B54" s="1"/>
      <c r="C54" s="1"/>
      <c r="D54" s="1"/>
      <c r="E54" s="1"/>
      <c r="F54" s="1"/>
      <c r="G54" s="1"/>
      <c r="H54" s="1"/>
      <c r="I54" s="1"/>
      <c r="J54" s="1"/>
      <c r="K54" s="1"/>
      <c r="L54" s="1"/>
      <c r="M54" s="1"/>
      <c r="N54" s="1" t="s">
        <v>22</v>
      </c>
      <c r="O54" s="1"/>
      <c r="P54" s="19">
        <f t="array" ref="P54">INDEX(Oper_Model_Investing_Activities,MATCH(P35,Oper_Model_Months,0))</f>
        <v>0</v>
      </c>
      <c r="Q54" s="20">
        <f t="array" ref="Q54">INDEX(Oper_Model_Investing_Activities,MATCH(Q35,Oper_Model_Months,0))</f>
        <v>0</v>
      </c>
      <c r="R54" s="19">
        <f t="array" ref="R54">INDEX(Oper_Model_Investing_Activities,MATCH(R35,Oper_Model_Months,0))</f>
        <v>0</v>
      </c>
      <c r="S54" s="19">
        <f t="array" ref="S54">INDEX(Oper_Model_Investing_Activities,MATCH(S35,Oper_Model_Months,0))</f>
        <v>0</v>
      </c>
      <c r="T54" s="1"/>
      <c r="U54" s="1"/>
      <c r="V54" s="1"/>
      <c r="W54" s="1"/>
      <c r="X54" s="1"/>
      <c r="Y54" s="1"/>
      <c r="Z54" s="1"/>
    </row>
    <row r="55" ht="15.75" customHeight="1">
      <c r="A55" s="1"/>
      <c r="B55" s="1"/>
      <c r="C55" s="1"/>
      <c r="D55" s="1"/>
      <c r="E55" s="1"/>
      <c r="F55" s="1"/>
      <c r="G55" s="1"/>
      <c r="H55" s="1"/>
      <c r="I55" s="1"/>
      <c r="J55" s="1"/>
      <c r="K55" s="1"/>
      <c r="L55" s="1"/>
      <c r="M55" s="1"/>
      <c r="N55" s="1" t="s">
        <v>23</v>
      </c>
      <c r="O55" s="1"/>
      <c r="P55" s="19">
        <f t="array" ref="P55">INDEX(Oper_Model_Financing_Activities,MATCH(P35,Oper_Model_Months,0))</f>
        <v>0</v>
      </c>
      <c r="Q55" s="20">
        <f t="array" ref="Q55">INDEX(Oper_Model_Financing_Activities,MATCH(Q35,Oper_Model_Months,0))</f>
        <v>0</v>
      </c>
      <c r="R55" s="19" t="str">
        <f t="array" ref="R55">INDEX(Oper_Model_Financing_Activities,MATCH(R35,Oper_Model_Months,0))</f>
        <v>#NAME?</v>
      </c>
      <c r="S55" s="19" t="str">
        <f t="array" ref="S55">INDEX(Oper_Model_Financing_Activities,MATCH(S35,Oper_Model_Months,0))</f>
        <v>#NAME?</v>
      </c>
      <c r="T55" s="1"/>
      <c r="U55" s="1"/>
      <c r="V55" s="1"/>
      <c r="W55" s="1"/>
      <c r="X55" s="1"/>
      <c r="Y55" s="1"/>
      <c r="Z55" s="1"/>
    </row>
    <row r="56" ht="15.75" customHeight="1">
      <c r="A56" s="1"/>
      <c r="B56" s="1"/>
      <c r="C56" s="1"/>
      <c r="D56" s="1"/>
      <c r="E56" s="1"/>
      <c r="F56" s="1"/>
      <c r="G56" s="1"/>
      <c r="H56" s="1"/>
      <c r="I56" s="1"/>
      <c r="J56" s="1"/>
      <c r="K56" s="1"/>
      <c r="L56" s="1"/>
      <c r="M56" s="1"/>
      <c r="N56" s="22" t="s">
        <v>24</v>
      </c>
      <c r="O56" s="22"/>
      <c r="P56" s="23">
        <f t="shared" ref="P56:S56" si="20">SUM(P53:P55)</f>
        <v>8407.19</v>
      </c>
      <c r="Q56" s="24">
        <f t="shared" si="20"/>
        <v>-117</v>
      </c>
      <c r="R56" s="23" t="str">
        <f t="shared" si="20"/>
        <v>#NAME?</v>
      </c>
      <c r="S56" s="23" t="str">
        <f t="shared" si="20"/>
        <v>#NAME?</v>
      </c>
      <c r="T56" s="1"/>
      <c r="U56" s="1"/>
      <c r="V56" s="1"/>
      <c r="W56" s="1"/>
      <c r="X56" s="1"/>
      <c r="Y56" s="1"/>
      <c r="Z56" s="1"/>
    </row>
    <row r="57" ht="15.75" customHeight="1">
      <c r="A57" s="1"/>
      <c r="B57" s="1"/>
      <c r="C57" s="1"/>
      <c r="D57" s="1"/>
      <c r="E57" s="1"/>
      <c r="F57" s="1"/>
      <c r="G57" s="1"/>
      <c r="H57" s="1"/>
      <c r="I57" s="1"/>
      <c r="J57" s="1"/>
      <c r="K57" s="1"/>
      <c r="L57" s="1"/>
      <c r="M57" s="1"/>
      <c r="N57" s="31"/>
      <c r="O57" s="1"/>
      <c r="P57" s="1"/>
      <c r="Q57" s="16"/>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6"/>
      <c r="R58" s="1"/>
      <c r="S58" s="1"/>
      <c r="T58" s="1"/>
      <c r="U58" s="1"/>
      <c r="V58" s="1"/>
      <c r="W58" s="1"/>
      <c r="X58" s="1"/>
      <c r="Y58" s="1"/>
      <c r="Z58" s="1"/>
    </row>
    <row r="59" ht="15.75" customHeight="1">
      <c r="A59" s="1"/>
      <c r="B59" s="1"/>
      <c r="C59" s="1"/>
      <c r="D59" s="1"/>
      <c r="E59" s="1"/>
      <c r="F59" s="1"/>
      <c r="G59" s="1"/>
      <c r="H59" s="1"/>
      <c r="I59" s="1"/>
      <c r="J59" s="1"/>
      <c r="K59" s="1"/>
      <c r="L59" s="1"/>
      <c r="M59" s="1"/>
      <c r="N59" s="1" t="s">
        <v>25</v>
      </c>
      <c r="O59" s="1"/>
      <c r="P59" s="19">
        <f t="array" ref="P59">INDEX(Oper_Model_Bank_Accounts,MATCH(P$35,Oper_Model_Months,0))</f>
        <v>263817.19</v>
      </c>
      <c r="Q59" s="20">
        <f t="array" ref="Q59">INDEX(Oper_Model_Bank_Accounts,MATCH(Q$35,Oper_Model_Months,0))</f>
        <v>263700.19</v>
      </c>
      <c r="R59" s="19" t="str">
        <f t="array" ref="R59">INDEX(Oper_Model_Bank_Accounts,MATCH(R$35,Oper_Model_Months,0))</f>
        <v>#NAME?</v>
      </c>
      <c r="S59" s="19" t="str">
        <f t="array" ref="S59">INDEX(Oper_Model_Bank_Accounts,MATCH(S$35,Oper_Model_Months,0))</f>
        <v>#NAME?</v>
      </c>
      <c r="T59" s="1"/>
      <c r="U59" s="1"/>
      <c r="V59" s="1"/>
      <c r="W59" s="1"/>
      <c r="X59" s="1"/>
      <c r="Y59" s="1"/>
      <c r="Z59" s="1"/>
    </row>
    <row r="60" ht="15.75" customHeight="1">
      <c r="A60" s="1"/>
      <c r="B60" s="1"/>
      <c r="C60" s="1"/>
      <c r="D60" s="1"/>
      <c r="E60" s="1"/>
      <c r="F60" s="1"/>
      <c r="G60" s="1"/>
      <c r="H60" s="1"/>
      <c r="I60" s="1"/>
      <c r="J60" s="1"/>
      <c r="K60" s="1"/>
      <c r="L60" s="1"/>
      <c r="M60" s="1"/>
      <c r="N60" s="1"/>
      <c r="O60" s="1"/>
      <c r="P60" s="1"/>
      <c r="Q60" s="16"/>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5"/>
      <c r="R61" s="1"/>
      <c r="S61" s="1"/>
      <c r="T61" s="1"/>
      <c r="U61" s="1"/>
      <c r="V61" s="1"/>
      <c r="W61" s="1"/>
      <c r="X61" s="1"/>
      <c r="Y61" s="1"/>
      <c r="Z61" s="1"/>
    </row>
    <row r="62" ht="15.75" customHeight="1">
      <c r="A62" s="1"/>
      <c r="B62" s="1"/>
      <c r="C62" s="1"/>
      <c r="D62" s="1"/>
      <c r="E62" s="1"/>
      <c r="F62" s="1"/>
      <c r="G62" s="1"/>
      <c r="H62" s="1"/>
      <c r="I62" s="1"/>
      <c r="J62" s="1"/>
      <c r="K62" s="1"/>
      <c r="L62" s="1"/>
      <c r="M62" s="1"/>
      <c r="N62" s="7" t="s">
        <v>28</v>
      </c>
      <c r="O62" s="1"/>
      <c r="P62" s="8">
        <f>EDATE(Q62,-1)</f>
        <v>43891</v>
      </c>
      <c r="Q62" s="9">
        <f>Current_Month</f>
        <v>43922</v>
      </c>
      <c r="R62" s="8">
        <f t="shared" ref="R62:S62" si="21">EDATE(Q62,1)</f>
        <v>43952</v>
      </c>
      <c r="S62" s="8">
        <f t="shared" si="21"/>
        <v>43983</v>
      </c>
      <c r="T62" s="1"/>
      <c r="U62" s="1"/>
      <c r="V62" s="1"/>
      <c r="W62" s="1"/>
      <c r="X62" s="1"/>
      <c r="Y62" s="1"/>
      <c r="Z62" s="1"/>
    </row>
    <row r="63" ht="15.75" customHeight="1">
      <c r="A63" s="1"/>
      <c r="B63" s="1"/>
      <c r="C63" s="1"/>
      <c r="D63" s="1"/>
      <c r="E63" s="1"/>
      <c r="F63" s="1"/>
      <c r="G63" s="1"/>
      <c r="H63" s="1"/>
      <c r="I63" s="1"/>
      <c r="J63" s="1"/>
      <c r="K63" s="1"/>
      <c r="L63" s="1"/>
      <c r="M63" s="1"/>
      <c r="N63" s="11" t="s">
        <v>8</v>
      </c>
      <c r="O63" s="11"/>
      <c r="P63" s="32">
        <v>1.0</v>
      </c>
      <c r="Q63" s="33">
        <v>1.0</v>
      </c>
      <c r="R63" s="32">
        <v>1.0</v>
      </c>
      <c r="S63" s="32">
        <v>1.0</v>
      </c>
      <c r="T63" s="1"/>
      <c r="U63" s="1"/>
      <c r="V63" s="1"/>
      <c r="W63" s="1"/>
      <c r="X63" s="1"/>
      <c r="Y63" s="1"/>
      <c r="Z63" s="1"/>
    </row>
    <row r="64" ht="15.75" customHeight="1">
      <c r="A64" s="1"/>
      <c r="B64" s="1"/>
      <c r="C64" s="1"/>
      <c r="D64" s="1"/>
      <c r="E64" s="1"/>
      <c r="F64" s="1"/>
      <c r="G64" s="1"/>
      <c r="H64" s="1"/>
      <c r="I64" s="1"/>
      <c r="J64" s="1"/>
      <c r="K64" s="1"/>
      <c r="L64" s="1"/>
      <c r="M64" s="1"/>
      <c r="N64" s="1" t="s">
        <v>9</v>
      </c>
      <c r="O64" s="1"/>
      <c r="P64" s="1"/>
      <c r="Q64" s="16"/>
      <c r="R64" s="1"/>
      <c r="S64" s="1"/>
      <c r="T64" s="1"/>
      <c r="U64" s="1"/>
      <c r="V64" s="1"/>
      <c r="W64" s="1"/>
      <c r="X64" s="1"/>
      <c r="Y64" s="1"/>
      <c r="Z64" s="1"/>
    </row>
    <row r="65" ht="15.75" customHeight="1">
      <c r="A65" s="1"/>
      <c r="B65" s="1"/>
      <c r="C65" s="1"/>
      <c r="D65" s="1"/>
      <c r="E65" s="1"/>
      <c r="F65" s="1"/>
      <c r="G65" s="1"/>
      <c r="H65" s="1"/>
      <c r="I65" s="1"/>
      <c r="J65" s="1"/>
      <c r="K65" s="1"/>
      <c r="L65" s="1"/>
      <c r="M65" s="1"/>
      <c r="N65" s="1" t="s">
        <v>10</v>
      </c>
      <c r="O65" s="1"/>
      <c r="P65" s="26">
        <f t="shared" ref="P65:S65" si="22">P40/P$38</f>
        <v>0.09179622902</v>
      </c>
      <c r="Q65" s="27">
        <f t="shared" si="22"/>
        <v>0.09417996326</v>
      </c>
      <c r="R65" s="26">
        <f t="shared" si="22"/>
        <v>0.097456737</v>
      </c>
      <c r="S65" s="26">
        <f t="shared" si="22"/>
        <v>0.09785621287</v>
      </c>
      <c r="T65" s="1"/>
      <c r="U65" s="1"/>
      <c r="V65" s="1"/>
      <c r="W65" s="1"/>
      <c r="X65" s="1"/>
      <c r="Y65" s="1"/>
      <c r="Z65" s="1"/>
    </row>
    <row r="66" ht="15.75" customHeight="1">
      <c r="A66" s="1"/>
      <c r="B66" s="1"/>
      <c r="C66" s="1"/>
      <c r="D66" s="1"/>
      <c r="E66" s="1"/>
      <c r="F66" s="1"/>
      <c r="G66" s="1"/>
      <c r="H66" s="1"/>
      <c r="I66" s="1"/>
      <c r="J66" s="1"/>
      <c r="K66" s="1"/>
      <c r="L66" s="1"/>
      <c r="M66" s="1"/>
      <c r="N66" s="1" t="s">
        <v>11</v>
      </c>
      <c r="O66" s="1"/>
      <c r="P66" s="26">
        <f t="shared" ref="P66:S66" si="23">P41/P$38</f>
        <v>0.08746497443</v>
      </c>
      <c r="Q66" s="27">
        <f t="shared" si="23"/>
        <v>0.0888328665</v>
      </c>
      <c r="R66" s="26">
        <f t="shared" si="23"/>
        <v>0.08685096035</v>
      </c>
      <c r="S66" s="26">
        <f t="shared" si="23"/>
        <v>0.08685096035</v>
      </c>
      <c r="T66" s="1"/>
      <c r="U66" s="1"/>
      <c r="V66" s="1"/>
      <c r="W66" s="1"/>
      <c r="X66" s="1"/>
      <c r="Y66" s="1"/>
      <c r="Z66" s="1"/>
    </row>
    <row r="67" ht="15.75" customHeight="1">
      <c r="A67" s="1"/>
      <c r="B67" s="1"/>
      <c r="C67" s="1"/>
      <c r="D67" s="1"/>
      <c r="E67" s="1"/>
      <c r="F67" s="1"/>
      <c r="G67" s="1"/>
      <c r="H67" s="1"/>
      <c r="I67" s="1"/>
      <c r="J67" s="1"/>
      <c r="K67" s="1"/>
      <c r="L67" s="1"/>
      <c r="M67" s="1"/>
      <c r="N67" s="22" t="s">
        <v>9</v>
      </c>
      <c r="O67" s="22"/>
      <c r="P67" s="34">
        <f t="shared" ref="P67:S67" si="24">P42/P$38</f>
        <v>0.1792612034</v>
      </c>
      <c r="Q67" s="35">
        <f t="shared" si="24"/>
        <v>0.1830128298</v>
      </c>
      <c r="R67" s="34">
        <f t="shared" si="24"/>
        <v>0.1843076973</v>
      </c>
      <c r="S67" s="34">
        <f t="shared" si="24"/>
        <v>0.1847071732</v>
      </c>
      <c r="T67" s="1"/>
      <c r="U67" s="1"/>
      <c r="V67" s="1"/>
      <c r="W67" s="1"/>
      <c r="X67" s="1"/>
      <c r="Y67" s="1"/>
      <c r="Z67" s="1"/>
    </row>
    <row r="68" ht="15.75" customHeight="1">
      <c r="A68" s="1"/>
      <c r="B68" s="1"/>
      <c r="C68" s="1"/>
      <c r="D68" s="1"/>
      <c r="E68" s="1"/>
      <c r="F68" s="1"/>
      <c r="G68" s="1"/>
      <c r="H68" s="1"/>
      <c r="I68" s="1"/>
      <c r="J68" s="1"/>
      <c r="K68" s="1"/>
      <c r="L68" s="1"/>
      <c r="M68" s="1"/>
      <c r="N68" s="22" t="s">
        <v>12</v>
      </c>
      <c r="O68" s="22"/>
      <c r="P68" s="34">
        <f t="shared" ref="P68:S68" si="25">P43/P$38</f>
        <v>0.8207387966</v>
      </c>
      <c r="Q68" s="35">
        <f t="shared" si="25"/>
        <v>0.8169871702</v>
      </c>
      <c r="R68" s="34">
        <f t="shared" si="25"/>
        <v>0.8156923027</v>
      </c>
      <c r="S68" s="34">
        <f t="shared" si="25"/>
        <v>0.8152928268</v>
      </c>
      <c r="T68" s="1"/>
      <c r="U68" s="1"/>
      <c r="V68" s="1"/>
      <c r="W68" s="1"/>
      <c r="X68" s="1"/>
      <c r="Y68" s="1"/>
      <c r="Z68" s="1"/>
    </row>
    <row r="69" ht="15.75" customHeight="1">
      <c r="A69" s="1"/>
      <c r="B69" s="1"/>
      <c r="C69" s="1"/>
      <c r="D69" s="1"/>
      <c r="E69" s="1"/>
      <c r="F69" s="1"/>
      <c r="G69" s="1"/>
      <c r="H69" s="1"/>
      <c r="I69" s="1"/>
      <c r="J69" s="1"/>
      <c r="K69" s="1"/>
      <c r="L69" s="1"/>
      <c r="M69" s="1"/>
      <c r="N69" s="1"/>
      <c r="O69" s="1"/>
      <c r="P69" s="1"/>
      <c r="Q69" s="16"/>
      <c r="R69" s="1"/>
      <c r="S69" s="1"/>
      <c r="T69" s="1"/>
      <c r="U69" s="1"/>
      <c r="V69" s="1"/>
      <c r="W69" s="1"/>
      <c r="X69" s="1"/>
      <c r="Y69" s="1"/>
      <c r="Z69" s="1"/>
    </row>
    <row r="70" ht="15.75" customHeight="1">
      <c r="A70" s="1"/>
      <c r="B70" s="1"/>
      <c r="C70" s="1"/>
      <c r="D70" s="1"/>
      <c r="E70" s="1"/>
      <c r="F70" s="1"/>
      <c r="G70" s="1"/>
      <c r="H70" s="1"/>
      <c r="I70" s="1"/>
      <c r="J70" s="1"/>
      <c r="K70" s="1"/>
      <c r="L70" s="1"/>
      <c r="M70" s="1"/>
      <c r="N70" s="1" t="s">
        <v>14</v>
      </c>
      <c r="O70" s="1"/>
      <c r="P70" s="1"/>
      <c r="Q70" s="16"/>
      <c r="R70" s="1"/>
      <c r="S70" s="1"/>
      <c r="T70" s="1"/>
      <c r="U70" s="1"/>
      <c r="V70" s="1"/>
      <c r="W70" s="1"/>
      <c r="X70" s="1"/>
      <c r="Y70" s="1"/>
      <c r="Z70" s="1"/>
    </row>
    <row r="71" ht="15.75" customHeight="1">
      <c r="A71" s="1"/>
      <c r="B71" s="1"/>
      <c r="C71" s="1"/>
      <c r="D71" s="1"/>
      <c r="E71" s="1"/>
      <c r="F71" s="1"/>
      <c r="G71" s="1"/>
      <c r="H71" s="1"/>
      <c r="I71" s="1"/>
      <c r="J71" s="1"/>
      <c r="K71" s="1"/>
      <c r="L71" s="1"/>
      <c r="M71" s="1"/>
      <c r="N71" s="1" t="s">
        <v>15</v>
      </c>
      <c r="O71" s="1"/>
      <c r="P71" s="26">
        <f t="shared" ref="P71:S71" si="26">P46/P$38</f>
        <v>0.3429748143</v>
      </c>
      <c r="Q71" s="27">
        <f t="shared" si="26"/>
        <v>0.3494658553</v>
      </c>
      <c r="R71" s="26">
        <f t="shared" si="26"/>
        <v>0.2939612583</v>
      </c>
      <c r="S71" s="26">
        <f t="shared" si="26"/>
        <v>0.2952896675</v>
      </c>
      <c r="T71" s="1"/>
      <c r="U71" s="1"/>
      <c r="V71" s="1"/>
      <c r="W71" s="1"/>
      <c r="X71" s="1"/>
      <c r="Y71" s="1"/>
      <c r="Z71" s="1"/>
    </row>
    <row r="72" ht="15.75" customHeight="1">
      <c r="A72" s="1"/>
      <c r="B72" s="1"/>
      <c r="C72" s="1"/>
      <c r="D72" s="1"/>
      <c r="E72" s="1"/>
      <c r="F72" s="1"/>
      <c r="G72" s="1"/>
      <c r="H72" s="1"/>
      <c r="I72" s="1"/>
      <c r="J72" s="1"/>
      <c r="K72" s="1"/>
      <c r="L72" s="1"/>
      <c r="M72" s="1"/>
      <c r="N72" s="1" t="s">
        <v>16</v>
      </c>
      <c r="O72" s="1"/>
      <c r="P72" s="26">
        <f t="shared" ref="P72:S72" si="27">P47/P$38</f>
        <v>0.1053722951</v>
      </c>
      <c r="Q72" s="27">
        <f t="shared" si="27"/>
        <v>0.1103894881</v>
      </c>
      <c r="R72" s="26">
        <f t="shared" si="27"/>
        <v>0.1001547048</v>
      </c>
      <c r="S72" s="26">
        <f t="shared" si="27"/>
        <v>0.1006073033</v>
      </c>
      <c r="T72" s="1"/>
      <c r="U72" s="1"/>
      <c r="V72" s="1"/>
      <c r="W72" s="1"/>
      <c r="X72" s="1"/>
      <c r="Y72" s="1"/>
      <c r="Z72" s="1"/>
    </row>
    <row r="73" ht="15.75" customHeight="1">
      <c r="A73" s="1"/>
      <c r="B73" s="1"/>
      <c r="C73" s="1"/>
      <c r="D73" s="1"/>
      <c r="E73" s="1"/>
      <c r="F73" s="1"/>
      <c r="G73" s="1"/>
      <c r="H73" s="1"/>
      <c r="I73" s="1"/>
      <c r="J73" s="1"/>
      <c r="K73" s="1"/>
      <c r="L73" s="1"/>
      <c r="M73" s="1"/>
      <c r="N73" s="1" t="s">
        <v>17</v>
      </c>
      <c r="O73" s="1"/>
      <c r="P73" s="26">
        <f t="shared" ref="P73:S73" si="28">P48/P$38</f>
        <v>0.3621285304</v>
      </c>
      <c r="Q73" s="27">
        <f t="shared" si="28"/>
        <v>0.3572787182</v>
      </c>
      <c r="R73" s="26">
        <f t="shared" si="28"/>
        <v>0.3532118809</v>
      </c>
      <c r="S73" s="26">
        <f t="shared" si="28"/>
        <v>0.3738705166</v>
      </c>
      <c r="T73" s="1"/>
      <c r="U73" s="1"/>
      <c r="V73" s="1"/>
      <c r="W73" s="1"/>
      <c r="X73" s="1"/>
      <c r="Y73" s="1"/>
      <c r="Z73" s="1"/>
    </row>
    <row r="74" ht="15.75" customHeight="1">
      <c r="A74" s="1"/>
      <c r="B74" s="1"/>
      <c r="C74" s="1"/>
      <c r="D74" s="1"/>
      <c r="E74" s="1"/>
      <c r="F74" s="1"/>
      <c r="G74" s="1"/>
      <c r="H74" s="1"/>
      <c r="I74" s="1"/>
      <c r="J74" s="1"/>
      <c r="K74" s="1"/>
      <c r="L74" s="1"/>
      <c r="M74" s="1"/>
      <c r="N74" s="22" t="s">
        <v>18</v>
      </c>
      <c r="O74" s="22"/>
      <c r="P74" s="34">
        <f t="shared" ref="P74:S74" si="29">P49/P$38</f>
        <v>0.8104756398</v>
      </c>
      <c r="Q74" s="35">
        <f t="shared" si="29"/>
        <v>0.8171340616</v>
      </c>
      <c r="R74" s="34">
        <f t="shared" si="29"/>
        <v>0.7473278439</v>
      </c>
      <c r="S74" s="34">
        <f t="shared" si="29"/>
        <v>0.7697674874</v>
      </c>
      <c r="T74" s="1"/>
      <c r="U74" s="1"/>
      <c r="V74" s="1"/>
      <c r="W74" s="1"/>
      <c r="X74" s="1"/>
      <c r="Y74" s="1"/>
      <c r="Z74" s="1"/>
    </row>
    <row r="75" ht="15.75" customHeight="1">
      <c r="A75" s="1"/>
      <c r="B75" s="1"/>
      <c r="C75" s="1"/>
      <c r="D75" s="1"/>
      <c r="E75" s="1"/>
      <c r="F75" s="1"/>
      <c r="G75" s="1"/>
      <c r="H75" s="1"/>
      <c r="I75" s="1"/>
      <c r="J75" s="1"/>
      <c r="K75" s="1"/>
      <c r="L75" s="1"/>
      <c r="M75" s="1"/>
      <c r="N75" s="22" t="s">
        <v>19</v>
      </c>
      <c r="O75" s="22"/>
      <c r="P75" s="34">
        <f t="shared" ref="P75:S75" si="30">P50/P$38</f>
        <v>0.0102631568</v>
      </c>
      <c r="Q75" s="35">
        <f t="shared" si="30"/>
        <v>-0.0001468913644</v>
      </c>
      <c r="R75" s="34">
        <f t="shared" si="30"/>
        <v>0.06836445874</v>
      </c>
      <c r="S75" s="34">
        <f t="shared" si="30"/>
        <v>0.04552533933</v>
      </c>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7"/>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N2:S3"/>
    <mergeCell ref="N4:S5"/>
    <mergeCell ref="R7:S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43.13"/>
    <col customWidth="1" hidden="1" min="2" max="2" width="3.88"/>
    <col customWidth="1" min="3" max="38" width="14.38"/>
  </cols>
  <sheetData>
    <row r="1" ht="15.75" customHeight="1">
      <c r="A1" s="36" t="s">
        <v>29</v>
      </c>
      <c r="B1" s="37">
        <f>EDATE(C1,-1)</f>
        <v>43435</v>
      </c>
      <c r="C1" s="37">
        <v>43466.0</v>
      </c>
      <c r="D1" s="37">
        <f t="shared" ref="D1:AL1" si="1">EDATE(C1,1)</f>
        <v>43497</v>
      </c>
      <c r="E1" s="37">
        <f t="shared" si="1"/>
        <v>43525</v>
      </c>
      <c r="F1" s="37">
        <f t="shared" si="1"/>
        <v>43556</v>
      </c>
      <c r="G1" s="37">
        <f t="shared" si="1"/>
        <v>43586</v>
      </c>
      <c r="H1" s="37">
        <f t="shared" si="1"/>
        <v>43617</v>
      </c>
      <c r="I1" s="37">
        <f t="shared" si="1"/>
        <v>43647</v>
      </c>
      <c r="J1" s="37">
        <f t="shared" si="1"/>
        <v>43678</v>
      </c>
      <c r="K1" s="37">
        <f t="shared" si="1"/>
        <v>43709</v>
      </c>
      <c r="L1" s="37">
        <f t="shared" si="1"/>
        <v>43739</v>
      </c>
      <c r="M1" s="37">
        <f t="shared" si="1"/>
        <v>43770</v>
      </c>
      <c r="N1" s="37">
        <f t="shared" si="1"/>
        <v>43800</v>
      </c>
      <c r="O1" s="37">
        <f t="shared" si="1"/>
        <v>43831</v>
      </c>
      <c r="P1" s="37">
        <f t="shared" si="1"/>
        <v>43862</v>
      </c>
      <c r="Q1" s="37">
        <f t="shared" si="1"/>
        <v>43891</v>
      </c>
      <c r="R1" s="37">
        <f t="shared" si="1"/>
        <v>43922</v>
      </c>
      <c r="S1" s="37">
        <f t="shared" si="1"/>
        <v>43952</v>
      </c>
      <c r="T1" s="37">
        <f t="shared" si="1"/>
        <v>43983</v>
      </c>
      <c r="U1" s="37">
        <f t="shared" si="1"/>
        <v>44013</v>
      </c>
      <c r="V1" s="37">
        <f t="shared" si="1"/>
        <v>44044</v>
      </c>
      <c r="W1" s="37">
        <f t="shared" si="1"/>
        <v>44075</v>
      </c>
      <c r="X1" s="37">
        <f t="shared" si="1"/>
        <v>44105</v>
      </c>
      <c r="Y1" s="37">
        <f t="shared" si="1"/>
        <v>44136</v>
      </c>
      <c r="Z1" s="37">
        <f t="shared" si="1"/>
        <v>44166</v>
      </c>
      <c r="AA1" s="37">
        <f t="shared" si="1"/>
        <v>44197</v>
      </c>
      <c r="AB1" s="37">
        <f t="shared" si="1"/>
        <v>44228</v>
      </c>
      <c r="AC1" s="37">
        <f t="shared" si="1"/>
        <v>44256</v>
      </c>
      <c r="AD1" s="37">
        <f t="shared" si="1"/>
        <v>44287</v>
      </c>
      <c r="AE1" s="37">
        <f t="shared" si="1"/>
        <v>44317</v>
      </c>
      <c r="AF1" s="37">
        <f t="shared" si="1"/>
        <v>44348</v>
      </c>
      <c r="AG1" s="37">
        <f t="shared" si="1"/>
        <v>44378</v>
      </c>
      <c r="AH1" s="37">
        <f t="shared" si="1"/>
        <v>44409</v>
      </c>
      <c r="AI1" s="37">
        <f t="shared" si="1"/>
        <v>44440</v>
      </c>
      <c r="AJ1" s="37">
        <f t="shared" si="1"/>
        <v>44470</v>
      </c>
      <c r="AK1" s="37">
        <f t="shared" si="1"/>
        <v>44501</v>
      </c>
      <c r="AL1" s="37">
        <f t="shared" si="1"/>
        <v>44531</v>
      </c>
    </row>
    <row r="2" ht="15.75" customHeight="1">
      <c r="A2" s="7" t="s">
        <v>30</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row>
    <row r="3" ht="15.75" customHeight="1">
      <c r="A3" s="1" t="s">
        <v>31</v>
      </c>
      <c r="B3" s="38"/>
      <c r="C3" s="39">
        <f t="array" ref="C3">INDEX(Oper_Model_Sales_and_Marketing,MATCH(C$1,Oper_Model_Months,0))</f>
        <v>236691</v>
      </c>
      <c r="D3" s="39">
        <f t="array" ref="D3">INDEX(Oper_Model_Sales_and_Marketing,MATCH(D$1,Oper_Model_Months,0))</f>
        <v>266218</v>
      </c>
      <c r="E3" s="39">
        <f t="array" ref="E3">INDEX(Oper_Model_Sales_and_Marketing,MATCH(E$1,Oper_Model_Months,0))</f>
        <v>270508</v>
      </c>
      <c r="F3" s="39">
        <f t="array" ref="F3">INDEX(Oper_Model_Sales_and_Marketing,MATCH(F$1,Oper_Model_Months,0))</f>
        <v>268262</v>
      </c>
      <c r="G3" s="39">
        <f t="array" ref="G3">INDEX(Oper_Model_Sales_and_Marketing,MATCH(G$1,Oper_Model_Months,0))</f>
        <v>288544</v>
      </c>
      <c r="H3" s="39">
        <f t="array" ref="H3">INDEX(Oper_Model_Sales_and_Marketing,MATCH(H$1,Oper_Model_Months,0))</f>
        <v>285526</v>
      </c>
      <c r="I3" s="39">
        <f t="array" ref="I3">INDEX(Oper_Model_Sales_and_Marketing,MATCH(I$1,Oper_Model_Months,0))</f>
        <v>284126</v>
      </c>
      <c r="J3" s="39">
        <f t="array" ref="J3">INDEX(Oper_Model_Sales_and_Marketing,MATCH(J$1,Oper_Model_Months,0))</f>
        <v>287045</v>
      </c>
      <c r="K3" s="39">
        <f t="array" ref="K3">INDEX(Oper_Model_Sales_and_Marketing,MATCH(K$1,Oper_Model_Months,0))</f>
        <v>294322</v>
      </c>
      <c r="L3" s="39">
        <f t="array" ref="L3">INDEX(Oper_Model_Sales_and_Marketing,MATCH(L$1,Oper_Model_Months,0))</f>
        <v>277501</v>
      </c>
      <c r="M3" s="39">
        <f t="array" ref="M3">INDEX(Oper_Model_Sales_and_Marketing,MATCH(M$1,Oper_Model_Months,0))</f>
        <v>294377</v>
      </c>
      <c r="N3" s="39">
        <f t="array" ref="N3">INDEX(Oper_Model_Sales_and_Marketing,MATCH(N$1,Oper_Model_Months,0))</f>
        <v>308676</v>
      </c>
      <c r="O3" s="39">
        <f t="array" ref="O3">INDEX(Oper_Model_Sales_and_Marketing,MATCH(O$1,Oper_Model_Months,0))</f>
        <v>312682</v>
      </c>
      <c r="P3" s="39">
        <f t="array" ref="P3">INDEX(Oper_Model_Sales_and_Marketing,MATCH(P$1,Oper_Model_Months,0))</f>
        <v>326880</v>
      </c>
      <c r="Q3" s="39">
        <f t="array" ref="Q3">INDEX(Oper_Model_Sales_and_Marketing,MATCH(Q$1,Oper_Model_Months,0))</f>
        <v>296642</v>
      </c>
      <c r="R3" s="39">
        <f t="array" ref="R3">INDEX(Oper_Model_Sales_and_Marketing,MATCH(R$1,Oper_Model_Months,0))</f>
        <v>284575</v>
      </c>
      <c r="S3" s="39">
        <f t="array" ref="S3">INDEX(Oper_Model_Sales_and_Marketing,MATCH(S$1,Oper_Model_Months,0))</f>
        <v>275628.6895</v>
      </c>
      <c r="T3" s="39">
        <f t="array" ref="T3">INDEX(Oper_Model_Sales_and_Marketing,MATCH(T$1,Oper_Model_Months,0))</f>
        <v>290437.1603</v>
      </c>
      <c r="U3" s="39">
        <f t="array" ref="U3">INDEX(Oper_Model_Sales_and_Marketing,MATCH(U$1,Oper_Model_Months,0))</f>
        <v>305844.6357</v>
      </c>
      <c r="V3" s="39">
        <f t="array" ref="V3">INDEX(Oper_Model_Sales_and_Marketing,MATCH(V$1,Oper_Model_Months,0))</f>
        <v>321388.1814</v>
      </c>
      <c r="W3" s="39">
        <f t="array" ref="W3">INDEX(Oper_Model_Sales_and_Marketing,MATCH(W$1,Oper_Model_Months,0))</f>
        <v>337270.7631</v>
      </c>
      <c r="X3" s="39">
        <f t="array" ref="X3">INDEX(Oper_Model_Sales_and_Marketing,MATCH(X$1,Oper_Model_Months,0))</f>
        <v>384907.7833</v>
      </c>
      <c r="Y3" s="39">
        <f t="array" ref="Y3">INDEX(Oper_Model_Sales_and_Marketing,MATCH(Y$1,Oper_Model_Months,0))</f>
        <v>400854.8084</v>
      </c>
      <c r="Z3" s="39">
        <f t="array" ref="Z3">INDEX(Oper_Model_Sales_and_Marketing,MATCH(Z$1,Oper_Model_Months,0))</f>
        <v>448490.5827</v>
      </c>
      <c r="AA3" s="39">
        <f t="array" ref="AA3">INDEX(Oper_Model_Sales_and_Marketing,MATCH(AA$1,Oper_Model_Months,0))</f>
        <v>464487.0864</v>
      </c>
      <c r="AB3" s="39">
        <f t="array" ref="AB3">INDEX(Oper_Model_Sales_and_Marketing,MATCH(AB$1,Oper_Model_Months,0))</f>
        <v>512179.2156</v>
      </c>
      <c r="AC3" s="39">
        <f t="array" ref="AC3">INDEX(Oper_Model_Sales_and_Marketing,MATCH(AC$1,Oper_Model_Months,0))</f>
        <v>528229.2818</v>
      </c>
      <c r="AD3" s="39">
        <f t="array" ref="AD3">INDEX(Oper_Model_Sales_and_Marketing,MATCH(AD$1,Oper_Model_Months,0))</f>
        <v>575973.7376</v>
      </c>
      <c r="AE3" s="39">
        <f t="array" ref="AE3">INDEX(Oper_Model_Sales_and_Marketing,MATCH(AE$1,Oper_Model_Months,0))</f>
        <v>592145.2065</v>
      </c>
      <c r="AF3" s="39">
        <f t="array" ref="AF3">INDEX(Oper_Model_Sales_and_Marketing,MATCH(AF$1,Oper_Model_Months,0))</f>
        <v>608308.1237</v>
      </c>
      <c r="AG3" s="39">
        <f t="array" ref="AG3">INDEX(Oper_Model_Sales_and_Marketing,MATCH(AG$1,Oper_Model_Months,0))</f>
        <v>624530.9801</v>
      </c>
      <c r="AH3" s="39">
        <f t="array" ref="AH3">INDEX(Oper_Model_Sales_and_Marketing,MATCH(AH$1,Oper_Model_Months,0))</f>
        <v>640745.163</v>
      </c>
      <c r="AI3" s="39">
        <f t="array" ref="AI3">INDEX(Oper_Model_Sales_and_Marketing,MATCH(AI$1,Oper_Model_Months,0))</f>
        <v>657018.7694</v>
      </c>
      <c r="AJ3" s="39">
        <f t="array" ref="AJ3">INDEX(Oper_Model_Sales_and_Marketing,MATCH(AJ$1,Oper_Model_Months,0))</f>
        <v>673351.429</v>
      </c>
      <c r="AK3" s="39">
        <f t="array" ref="AK3">INDEX(Oper_Model_Sales_and_Marketing,MATCH(AK$1,Oper_Model_Months,0))</f>
        <v>689674.6105</v>
      </c>
      <c r="AL3" s="39">
        <f t="array" ref="AL3">INDEX(Oper_Model_Sales_and_Marketing,MATCH(AL$1,Oper_Model_Months,0))</f>
        <v>706056.4635</v>
      </c>
    </row>
    <row r="4" ht="15.75" customHeight="1">
      <c r="A4" s="1" t="s">
        <v>32</v>
      </c>
      <c r="B4" s="38"/>
      <c r="C4" s="39">
        <f t="array" ref="C4">INDEX(Revenue_Model_New_Count_1m,MATCH(C$1,Revenue_Model_Months,0))+INDEX(Revenue_Model_New_Count_12m,MATCH(C$1,Revenue_Model_Months,0))</f>
        <v>15</v>
      </c>
      <c r="D4" s="39">
        <f t="array" ref="D4">INDEX(Revenue_Model_New_Count_1m,MATCH(D$1,Revenue_Model_Months,0))+INDEX(Revenue_Model_New_Count_12m,MATCH(D$1,Revenue_Model_Months,0))</f>
        <v>25</v>
      </c>
      <c r="E4" s="39">
        <f t="array" ref="E4">INDEX(Revenue_Model_New_Count_1m,MATCH(E$1,Revenue_Model_Months,0))+INDEX(Revenue_Model_New_Count_12m,MATCH(E$1,Revenue_Model_Months,0))</f>
        <v>17</v>
      </c>
      <c r="F4" s="39">
        <f t="array" ref="F4">INDEX(Revenue_Model_New_Count_1m,MATCH(F$1,Revenue_Model_Months,0))+INDEX(Revenue_Model_New_Count_12m,MATCH(F$1,Revenue_Model_Months,0))</f>
        <v>38</v>
      </c>
      <c r="G4" s="39">
        <f t="array" ref="G4">INDEX(Revenue_Model_New_Count_1m,MATCH(G$1,Revenue_Model_Months,0))+INDEX(Revenue_Model_New_Count_12m,MATCH(G$1,Revenue_Model_Months,0))</f>
        <v>20</v>
      </c>
      <c r="H4" s="39">
        <f t="array" ref="H4">INDEX(Revenue_Model_New_Count_1m,MATCH(H$1,Revenue_Model_Months,0))+INDEX(Revenue_Model_New_Count_12m,MATCH(H$1,Revenue_Model_Months,0))</f>
        <v>29</v>
      </c>
      <c r="I4" s="39">
        <f t="array" ref="I4">INDEX(Revenue_Model_New_Count_1m,MATCH(I$1,Revenue_Model_Months,0))+INDEX(Revenue_Model_New_Count_12m,MATCH(I$1,Revenue_Model_Months,0))</f>
        <v>32</v>
      </c>
      <c r="J4" s="39">
        <f t="array" ref="J4">INDEX(Revenue_Model_New_Count_1m,MATCH(J$1,Revenue_Model_Months,0))+INDEX(Revenue_Model_New_Count_12m,MATCH(J$1,Revenue_Model_Months,0))</f>
        <v>30</v>
      </c>
      <c r="K4" s="39">
        <f t="array" ref="K4">INDEX(Revenue_Model_New_Count_1m,MATCH(K$1,Revenue_Model_Months,0))+INDEX(Revenue_Model_New_Count_12m,MATCH(K$1,Revenue_Model_Months,0))</f>
        <v>26</v>
      </c>
      <c r="L4" s="39">
        <f t="array" ref="L4">INDEX(Revenue_Model_New_Count_1m,MATCH(L$1,Revenue_Model_Months,0))+INDEX(Revenue_Model_New_Count_12m,MATCH(L$1,Revenue_Model_Months,0))</f>
        <v>21</v>
      </c>
      <c r="M4" s="39">
        <f t="array" ref="M4">INDEX(Revenue_Model_New_Count_1m,MATCH(M$1,Revenue_Model_Months,0))+INDEX(Revenue_Model_New_Count_12m,MATCH(M$1,Revenue_Model_Months,0))</f>
        <v>22</v>
      </c>
      <c r="N4" s="39">
        <f t="array" ref="N4">INDEX(Revenue_Model_New_Count_1m,MATCH(N$1,Revenue_Model_Months,0))+INDEX(Revenue_Model_New_Count_12m,MATCH(N$1,Revenue_Model_Months,0))</f>
        <v>25</v>
      </c>
      <c r="O4" s="39">
        <f t="array" ref="O4">INDEX(Revenue_Model_New_Count_1m,MATCH(O$1,Revenue_Model_Months,0))+INDEX(Revenue_Model_New_Count_12m,MATCH(O$1,Revenue_Model_Months,0))</f>
        <v>25</v>
      </c>
      <c r="P4" s="39">
        <f t="array" ref="P4">INDEX(Revenue_Model_New_Count_1m,MATCH(P$1,Revenue_Model_Months,0))+INDEX(Revenue_Model_New_Count_12m,MATCH(P$1,Revenue_Model_Months,0))</f>
        <v>28</v>
      </c>
      <c r="Q4" s="39">
        <f t="array" ref="Q4">INDEX(Revenue_Model_New_Count_1m,MATCH(Q$1,Revenue_Model_Months,0))+INDEX(Revenue_Model_New_Count_12m,MATCH(Q$1,Revenue_Model_Months,0))</f>
        <v>20</v>
      </c>
      <c r="R4" s="39">
        <f t="array" ref="R4">INDEX(Revenue_Model_New_Count_1m,MATCH(R$1,Revenue_Model_Months,0))+INDEX(Revenue_Model_New_Count_12m,MATCH(R$1,Revenue_Model_Months,0))</f>
        <v>14</v>
      </c>
      <c r="S4" s="39">
        <f t="array" ref="S4">INDEX(Revenue_Model_New_Count_1m,MATCH(S$1,Revenue_Model_Months,0))+INDEX(Revenue_Model_New_Count_12m,MATCH(S$1,Revenue_Model_Months,0))</f>
        <v>17</v>
      </c>
      <c r="T4" s="39">
        <f t="array" ref="T4">INDEX(Revenue_Model_New_Count_1m,MATCH(T$1,Revenue_Model_Months,0))+INDEX(Revenue_Model_New_Count_12m,MATCH(T$1,Revenue_Model_Months,0))</f>
        <v>18</v>
      </c>
      <c r="U4" s="39">
        <f t="array" ref="U4">INDEX(Revenue_Model_New_Count_1m,MATCH(U$1,Revenue_Model_Months,0))+INDEX(Revenue_Model_New_Count_12m,MATCH(U$1,Revenue_Model_Months,0))</f>
        <v>19</v>
      </c>
      <c r="V4" s="39">
        <f t="array" ref="V4">INDEX(Revenue_Model_New_Count_1m,MATCH(V$1,Revenue_Model_Months,0))+INDEX(Revenue_Model_New_Count_12m,MATCH(V$1,Revenue_Model_Months,0))</f>
        <v>18</v>
      </c>
      <c r="W4" s="39">
        <f t="array" ref="W4">INDEX(Revenue_Model_New_Count_1m,MATCH(W$1,Revenue_Model_Months,0))+INDEX(Revenue_Model_New_Count_12m,MATCH(W$1,Revenue_Model_Months,0))</f>
        <v>18</v>
      </c>
      <c r="X4" s="39">
        <f t="array" ref="X4">INDEX(Revenue_Model_New_Count_1m,MATCH(X$1,Revenue_Model_Months,0))+INDEX(Revenue_Model_New_Count_12m,MATCH(X$1,Revenue_Model_Months,0))</f>
        <v>19</v>
      </c>
      <c r="Y4" s="39">
        <f t="array" ref="Y4">INDEX(Revenue_Model_New_Count_1m,MATCH(Y$1,Revenue_Model_Months,0))+INDEX(Revenue_Model_New_Count_12m,MATCH(Y$1,Revenue_Model_Months,0))</f>
        <v>19</v>
      </c>
      <c r="Z4" s="39">
        <f t="array" ref="Z4">INDEX(Revenue_Model_New_Count_1m,MATCH(Z$1,Revenue_Model_Months,0))+INDEX(Revenue_Model_New_Count_12m,MATCH(Z$1,Revenue_Model_Months,0))</f>
        <v>20</v>
      </c>
      <c r="AA4" s="39">
        <f t="array" ref="AA4">INDEX(Revenue_Model_New_Count_1m,MATCH(AA$1,Revenue_Model_Months,0))+INDEX(Revenue_Model_New_Count_12m,MATCH(AA$1,Revenue_Model_Months,0))</f>
        <v>20</v>
      </c>
      <c r="AB4" s="39">
        <f t="array" ref="AB4">INDEX(Revenue_Model_New_Count_1m,MATCH(AB$1,Revenue_Model_Months,0))+INDEX(Revenue_Model_New_Count_12m,MATCH(AB$1,Revenue_Model_Months,0))</f>
        <v>21</v>
      </c>
      <c r="AC4" s="39">
        <f t="array" ref="AC4">INDEX(Revenue_Model_New_Count_1m,MATCH(AC$1,Revenue_Model_Months,0))+INDEX(Revenue_Model_New_Count_12m,MATCH(AC$1,Revenue_Model_Months,0))</f>
        <v>21</v>
      </c>
      <c r="AD4" s="39">
        <f t="array" ref="AD4">INDEX(Revenue_Model_New_Count_1m,MATCH(AD$1,Revenue_Model_Months,0))+INDEX(Revenue_Model_New_Count_12m,MATCH(AD$1,Revenue_Model_Months,0))</f>
        <v>22</v>
      </c>
      <c r="AE4" s="39">
        <f t="array" ref="AE4">INDEX(Revenue_Model_New_Count_1m,MATCH(AE$1,Revenue_Model_Months,0))+INDEX(Revenue_Model_New_Count_12m,MATCH(AE$1,Revenue_Model_Months,0))</f>
        <v>23</v>
      </c>
      <c r="AF4" s="39">
        <f t="array" ref="AF4">INDEX(Revenue_Model_New_Count_1m,MATCH(AF$1,Revenue_Model_Months,0))+INDEX(Revenue_Model_New_Count_12m,MATCH(AF$1,Revenue_Model_Months,0))</f>
        <v>23</v>
      </c>
      <c r="AG4" s="39">
        <f t="array" ref="AG4">INDEX(Revenue_Model_New_Count_1m,MATCH(AG$1,Revenue_Model_Months,0))+INDEX(Revenue_Model_New_Count_12m,MATCH(AG$1,Revenue_Model_Months,0))</f>
        <v>24</v>
      </c>
      <c r="AH4" s="39">
        <f t="array" ref="AH4">INDEX(Revenue_Model_New_Count_1m,MATCH(AH$1,Revenue_Model_Months,0))+INDEX(Revenue_Model_New_Count_12m,MATCH(AH$1,Revenue_Model_Months,0))</f>
        <v>24</v>
      </c>
      <c r="AI4" s="39">
        <f t="array" ref="AI4">INDEX(Revenue_Model_New_Count_1m,MATCH(AI$1,Revenue_Model_Months,0))+INDEX(Revenue_Model_New_Count_12m,MATCH(AI$1,Revenue_Model_Months,0))</f>
        <v>25</v>
      </c>
      <c r="AJ4" s="39">
        <f t="array" ref="AJ4">INDEX(Revenue_Model_New_Count_1m,MATCH(AJ$1,Revenue_Model_Months,0))+INDEX(Revenue_Model_New_Count_12m,MATCH(AJ$1,Revenue_Model_Months,0))</f>
        <v>26</v>
      </c>
      <c r="AK4" s="39">
        <f t="array" ref="AK4">INDEX(Revenue_Model_New_Count_1m,MATCH(AK$1,Revenue_Model_Months,0))+INDEX(Revenue_Model_New_Count_12m,MATCH(AK$1,Revenue_Model_Months,0))</f>
        <v>26</v>
      </c>
      <c r="AL4" s="39">
        <f t="array" ref="AL4">INDEX(Revenue_Model_New_Count_1m,MATCH(AL$1,Revenue_Model_Months,0))+INDEX(Revenue_Model_New_Count_12m,MATCH(AL$1,Revenue_Model_Months,0))</f>
        <v>27</v>
      </c>
    </row>
    <row r="5" ht="15.75" customHeight="1">
      <c r="A5" s="1" t="s">
        <v>33</v>
      </c>
      <c r="B5" s="40"/>
      <c r="C5" s="41">
        <f t="shared" ref="C5:AL5" si="2">C3/C4</f>
        <v>15779.4</v>
      </c>
      <c r="D5" s="41">
        <f t="shared" si="2"/>
        <v>10648.72</v>
      </c>
      <c r="E5" s="41">
        <f t="shared" si="2"/>
        <v>15912.23529</v>
      </c>
      <c r="F5" s="41">
        <f t="shared" si="2"/>
        <v>7059.526316</v>
      </c>
      <c r="G5" s="41">
        <f t="shared" si="2"/>
        <v>14427.2</v>
      </c>
      <c r="H5" s="41">
        <f t="shared" si="2"/>
        <v>9845.724138</v>
      </c>
      <c r="I5" s="41">
        <f t="shared" si="2"/>
        <v>8878.9375</v>
      </c>
      <c r="J5" s="41">
        <f t="shared" si="2"/>
        <v>9568.166667</v>
      </c>
      <c r="K5" s="41">
        <f t="shared" si="2"/>
        <v>11320.07692</v>
      </c>
      <c r="L5" s="41">
        <f t="shared" si="2"/>
        <v>13214.33333</v>
      </c>
      <c r="M5" s="41">
        <f t="shared" si="2"/>
        <v>13380.77273</v>
      </c>
      <c r="N5" s="41">
        <f t="shared" si="2"/>
        <v>12347.04</v>
      </c>
      <c r="O5" s="41">
        <f t="shared" si="2"/>
        <v>12507.28</v>
      </c>
      <c r="P5" s="41">
        <f t="shared" si="2"/>
        <v>11674.28571</v>
      </c>
      <c r="Q5" s="41">
        <f t="shared" si="2"/>
        <v>14832.1</v>
      </c>
      <c r="R5" s="41">
        <f t="shared" si="2"/>
        <v>20326.78571</v>
      </c>
      <c r="S5" s="41">
        <f t="shared" si="2"/>
        <v>16213.45232</v>
      </c>
      <c r="T5" s="41">
        <f t="shared" si="2"/>
        <v>16135.39779</v>
      </c>
      <c r="U5" s="41">
        <f t="shared" si="2"/>
        <v>16097.08609</v>
      </c>
      <c r="V5" s="41">
        <f t="shared" si="2"/>
        <v>17854.89897</v>
      </c>
      <c r="W5" s="41">
        <f t="shared" si="2"/>
        <v>18737.26462</v>
      </c>
      <c r="X5" s="41">
        <f t="shared" si="2"/>
        <v>20258.30438</v>
      </c>
      <c r="Y5" s="41">
        <f t="shared" si="2"/>
        <v>21097.62149</v>
      </c>
      <c r="Z5" s="41">
        <f t="shared" si="2"/>
        <v>22424.52913</v>
      </c>
      <c r="AA5" s="41">
        <f t="shared" si="2"/>
        <v>23224.35432</v>
      </c>
      <c r="AB5" s="41">
        <f t="shared" si="2"/>
        <v>24389.48646</v>
      </c>
      <c r="AC5" s="41">
        <f t="shared" si="2"/>
        <v>25153.77532</v>
      </c>
      <c r="AD5" s="41">
        <f t="shared" si="2"/>
        <v>26180.62443</v>
      </c>
      <c r="AE5" s="41">
        <f t="shared" si="2"/>
        <v>25745.44376</v>
      </c>
      <c r="AF5" s="41">
        <f t="shared" si="2"/>
        <v>26448.17929</v>
      </c>
      <c r="AG5" s="41">
        <f t="shared" si="2"/>
        <v>26022.12417</v>
      </c>
      <c r="AH5" s="41">
        <f t="shared" si="2"/>
        <v>26697.71513</v>
      </c>
      <c r="AI5" s="41">
        <f t="shared" si="2"/>
        <v>26280.75078</v>
      </c>
      <c r="AJ5" s="41">
        <f t="shared" si="2"/>
        <v>25898.13188</v>
      </c>
      <c r="AK5" s="41">
        <f t="shared" si="2"/>
        <v>26525.94656</v>
      </c>
      <c r="AL5" s="41">
        <f t="shared" si="2"/>
        <v>26150.23939</v>
      </c>
    </row>
    <row r="6" ht="15.75" customHeight="1">
      <c r="A6" s="7"/>
    </row>
    <row r="7" ht="15.75" customHeight="1">
      <c r="A7" s="7" t="s">
        <v>34</v>
      </c>
    </row>
    <row r="8" ht="15.75" customHeight="1">
      <c r="A8" s="1" t="s">
        <v>35</v>
      </c>
      <c r="C8" s="39">
        <f t="array" ref="C8">INDEX(Oper_Model_Advertising,MATCH(C$1,Oper_Model_Months,0))</f>
        <v>135234</v>
      </c>
      <c r="D8" s="39">
        <f t="array" ref="D8">INDEX(Oper_Model_Advertising,MATCH(D$1,Oper_Model_Months,0))</f>
        <v>156382</v>
      </c>
      <c r="E8" s="39">
        <f t="array" ref="E8">INDEX(Oper_Model_Advertising,MATCH(E$1,Oper_Model_Months,0))</f>
        <v>158221</v>
      </c>
      <c r="F8" s="39">
        <f t="array" ref="F8">INDEX(Oper_Model_Advertising,MATCH(F$1,Oper_Model_Months,0))</f>
        <v>156382</v>
      </c>
      <c r="G8" s="39">
        <f t="array" ref="G8">INDEX(Oper_Model_Advertising,MATCH(G$1,Oper_Model_Months,0))</f>
        <v>171134</v>
      </c>
      <c r="H8" s="39">
        <f t="array" ref="H8">INDEX(Oper_Model_Advertising,MATCH(H$1,Oper_Model_Months,0))</f>
        <v>168772</v>
      </c>
      <c r="I8" s="39">
        <f t="array" ref="I8">INDEX(Oper_Model_Advertising,MATCH(I$1,Oper_Model_Months,0))</f>
        <v>166219</v>
      </c>
      <c r="J8" s="39">
        <f t="array" ref="J8">INDEX(Oper_Model_Advertising,MATCH(J$1,Oper_Model_Months,0))</f>
        <v>168021</v>
      </c>
      <c r="K8" s="39">
        <f t="array" ref="K8">INDEX(Oper_Model_Advertising,MATCH(K$1,Oper_Model_Months,0))</f>
        <v>172114</v>
      </c>
      <c r="L8" s="39">
        <f t="array" ref="L8">INDEX(Oper_Model_Advertising,MATCH(L$1,Oper_Model_Months,0))</f>
        <v>152043</v>
      </c>
      <c r="M8" s="39">
        <f t="array" ref="M8">INDEX(Oper_Model_Advertising,MATCH(M$1,Oper_Model_Months,0))</f>
        <v>163012</v>
      </c>
      <c r="N8" s="39">
        <f t="array" ref="N8">INDEX(Oper_Model_Advertising,MATCH(N$1,Oper_Model_Months,0))</f>
        <v>175421</v>
      </c>
      <c r="O8" s="39">
        <f t="array" ref="O8">INDEX(Oper_Model_Advertising,MATCH(O$1,Oper_Model_Months,0))</f>
        <v>179427</v>
      </c>
      <c r="P8" s="39">
        <f t="array" ref="P8">INDEX(Oper_Model_Advertising,MATCH(P$1,Oper_Model_Months,0))</f>
        <v>185764</v>
      </c>
      <c r="Q8" s="39">
        <f t="array" ref="Q8">INDEX(Oper_Model_Advertising,MATCH(Q$1,Oper_Model_Months,0))</f>
        <v>175764</v>
      </c>
      <c r="R8" s="39">
        <f t="array" ref="R8">INDEX(Oper_Model_Advertising,MATCH(R$1,Oper_Model_Months,0))</f>
        <v>167469</v>
      </c>
      <c r="S8" s="39">
        <f t="array" ref="S8">INDEX(Oper_Model_Advertising,MATCH(S$1,Oper_Model_Months,0))</f>
        <v>150000</v>
      </c>
      <c r="T8" s="39">
        <f t="array" ref="T8">INDEX(Oper_Model_Advertising,MATCH(T$1,Oper_Model_Months,0))</f>
        <v>165000</v>
      </c>
      <c r="U8" s="39">
        <f t="array" ref="U8">INDEX(Oper_Model_Advertising,MATCH(U$1,Oper_Model_Months,0))</f>
        <v>180000</v>
      </c>
      <c r="V8" s="39">
        <f t="array" ref="V8">INDEX(Oper_Model_Advertising,MATCH(V$1,Oper_Model_Months,0))</f>
        <v>195000</v>
      </c>
      <c r="W8" s="39">
        <f t="array" ref="W8">INDEX(Oper_Model_Advertising,MATCH(W$1,Oper_Model_Months,0))</f>
        <v>210000</v>
      </c>
      <c r="X8" s="39">
        <f t="array" ref="X8">INDEX(Oper_Model_Advertising,MATCH(X$1,Oper_Model_Months,0))</f>
        <v>225000</v>
      </c>
      <c r="Y8" s="39">
        <f t="array" ref="Y8">INDEX(Oper_Model_Advertising,MATCH(Y$1,Oper_Model_Months,0))</f>
        <v>240000</v>
      </c>
      <c r="Z8" s="39">
        <f t="array" ref="Z8">INDEX(Oper_Model_Advertising,MATCH(Z$1,Oper_Model_Months,0))</f>
        <v>255000</v>
      </c>
      <c r="AA8" s="39">
        <f t="array" ref="AA8">INDEX(Oper_Model_Advertising,MATCH(AA$1,Oper_Model_Months,0))</f>
        <v>270000</v>
      </c>
      <c r="AB8" s="39">
        <f t="array" ref="AB8">INDEX(Oper_Model_Advertising,MATCH(AB$1,Oper_Model_Months,0))</f>
        <v>285000</v>
      </c>
      <c r="AC8" s="39">
        <f t="array" ref="AC8">INDEX(Oper_Model_Advertising,MATCH(AC$1,Oper_Model_Months,0))</f>
        <v>300000</v>
      </c>
      <c r="AD8" s="39">
        <f t="array" ref="AD8">INDEX(Oper_Model_Advertising,MATCH(AD$1,Oper_Model_Months,0))</f>
        <v>315000</v>
      </c>
      <c r="AE8" s="39">
        <f t="array" ref="AE8">INDEX(Oper_Model_Advertising,MATCH(AE$1,Oper_Model_Months,0))</f>
        <v>330000</v>
      </c>
      <c r="AF8" s="39">
        <f t="array" ref="AF8">INDEX(Oper_Model_Advertising,MATCH(AF$1,Oper_Model_Months,0))</f>
        <v>345000</v>
      </c>
      <c r="AG8" s="39">
        <f t="array" ref="AG8">INDEX(Oper_Model_Advertising,MATCH(AG$1,Oper_Model_Months,0))</f>
        <v>360000</v>
      </c>
      <c r="AH8" s="39">
        <f t="array" ref="AH8">INDEX(Oper_Model_Advertising,MATCH(AH$1,Oper_Model_Months,0))</f>
        <v>375000</v>
      </c>
      <c r="AI8" s="39">
        <f t="array" ref="AI8">INDEX(Oper_Model_Advertising,MATCH(AI$1,Oper_Model_Months,0))</f>
        <v>390000</v>
      </c>
      <c r="AJ8" s="39">
        <f t="array" ref="AJ8">INDEX(Oper_Model_Advertising,MATCH(AJ$1,Oper_Model_Months,0))</f>
        <v>405000</v>
      </c>
      <c r="AK8" s="39">
        <f t="array" ref="AK8">INDEX(Oper_Model_Advertising,MATCH(AK$1,Oper_Model_Months,0))</f>
        <v>420000</v>
      </c>
      <c r="AL8" s="39">
        <f t="array" ref="AL8">INDEX(Oper_Model_Advertising,MATCH(AL$1,Oper_Model_Months,0))</f>
        <v>435000</v>
      </c>
    </row>
    <row r="9" ht="15.75" customHeight="1">
      <c r="A9" s="1" t="s">
        <v>32</v>
      </c>
      <c r="C9" s="39">
        <f t="array" ref="C9">INDEX(Marketing_Funnel_New_Customers_AdWords,MATCH(C$1,Marketing_Funnel_Months,0))</f>
        <v>8</v>
      </c>
      <c r="D9" s="39">
        <f t="array" ref="D9">INDEX(Marketing_Funnel_New_Customers_AdWords,MATCH(D$1,Marketing_Funnel_Months,0))</f>
        <v>12</v>
      </c>
      <c r="E9" s="39">
        <f t="array" ref="E9">INDEX(Marketing_Funnel_New_Customers_AdWords,MATCH(E$1,Marketing_Funnel_Months,0))</f>
        <v>9</v>
      </c>
      <c r="F9" s="39">
        <f t="array" ref="F9">INDEX(Marketing_Funnel_New_Customers_AdWords,MATCH(F$1,Marketing_Funnel_Months,0))</f>
        <v>20</v>
      </c>
      <c r="G9" s="39">
        <f t="array" ref="G9">INDEX(Marketing_Funnel_New_Customers_AdWords,MATCH(G$1,Marketing_Funnel_Months,0))</f>
        <v>10</v>
      </c>
      <c r="H9" s="39">
        <f t="array" ref="H9">INDEX(Marketing_Funnel_New_Customers_AdWords,MATCH(H$1,Marketing_Funnel_Months,0))</f>
        <v>10</v>
      </c>
      <c r="I9" s="39">
        <f t="array" ref="I9">INDEX(Marketing_Funnel_New_Customers_AdWords,MATCH(I$1,Marketing_Funnel_Months,0))</f>
        <v>15</v>
      </c>
      <c r="J9" s="39">
        <f t="array" ref="J9">INDEX(Marketing_Funnel_New_Customers_AdWords,MATCH(J$1,Marketing_Funnel_Months,0))</f>
        <v>17</v>
      </c>
      <c r="K9" s="39">
        <f t="array" ref="K9">INDEX(Marketing_Funnel_New_Customers_AdWords,MATCH(K$1,Marketing_Funnel_Months,0))</f>
        <v>14</v>
      </c>
      <c r="L9" s="39">
        <f t="array" ref="L9">INDEX(Marketing_Funnel_New_Customers_AdWords,MATCH(L$1,Marketing_Funnel_Months,0))</f>
        <v>10</v>
      </c>
      <c r="M9" s="39">
        <f t="array" ref="M9">INDEX(Marketing_Funnel_New_Customers_AdWords,MATCH(M$1,Marketing_Funnel_Months,0))</f>
        <v>11</v>
      </c>
      <c r="N9" s="39">
        <f t="array" ref="N9">INDEX(Marketing_Funnel_New_Customers_AdWords,MATCH(N$1,Marketing_Funnel_Months,0))</f>
        <v>12</v>
      </c>
      <c r="O9" s="39">
        <f t="array" ref="O9">INDEX(Marketing_Funnel_New_Customers_AdWords,MATCH(O$1,Marketing_Funnel_Months,0))</f>
        <v>12</v>
      </c>
      <c r="P9" s="39">
        <f t="array" ref="P9">INDEX(Marketing_Funnel_New_Customers_AdWords,MATCH(P$1,Marketing_Funnel_Months,0))</f>
        <v>14</v>
      </c>
      <c r="Q9" s="39">
        <f t="array" ref="Q9">INDEX(Marketing_Funnel_New_Customers_AdWords,MATCH(Q$1,Marketing_Funnel_Months,0))</f>
        <v>10</v>
      </c>
      <c r="R9" s="39">
        <f t="array" ref="R9">INDEX(Marketing_Funnel_New_Customers_AdWords,MATCH(R$1,Marketing_Funnel_Months,0))</f>
        <v>7</v>
      </c>
      <c r="S9" s="39">
        <f t="array" ref="S9">INDEX(Marketing_Funnel_New_Customers_AdWords,MATCH(S$1,Marketing_Funnel_Months,0))</f>
        <v>8.790219982</v>
      </c>
      <c r="T9" s="39">
        <f t="array" ref="T9">INDEX(Marketing_Funnel_New_Customers_AdWords,MATCH(T$1,Marketing_Funnel_Months,0))</f>
        <v>8.627537689</v>
      </c>
      <c r="U9" s="39">
        <f t="array" ref="U9">INDEX(Marketing_Funnel_New_Customers_AdWords,MATCH(U$1,Marketing_Funnel_Months,0))</f>
        <v>9.10980059</v>
      </c>
      <c r="V9" s="39">
        <f t="array" ref="V9">INDEX(Marketing_Funnel_New_Customers_AdWords,MATCH(V$1,Marketing_Funnel_Months,0))</f>
        <v>10.45025022</v>
      </c>
      <c r="W9" s="39">
        <f t="array" ref="W9">INDEX(Marketing_Funnel_New_Customers_AdWords,MATCH(W$1,Marketing_Funnel_Months,0))</f>
        <v>10.96183997</v>
      </c>
      <c r="X9" s="39">
        <f t="array" ref="X9">INDEX(Marketing_Funnel_New_Customers_AdWords,MATCH(X$1,Marketing_Funnel_Months,0))</f>
        <v>11.73918876</v>
      </c>
      <c r="Y9" s="39">
        <f t="array" ref="Y9">INDEX(Marketing_Funnel_New_Customers_AdWords,MATCH(Y$1,Marketing_Funnel_Months,0))</f>
        <v>12.62905865</v>
      </c>
      <c r="Z9" s="39">
        <f t="array" ref="Z9">INDEX(Marketing_Funnel_New_Customers_AdWords,MATCH(Z$1,Marketing_Funnel_Months,0))</f>
        <v>13.3469219</v>
      </c>
      <c r="AA9" s="39">
        <f t="array" ref="AA9">INDEX(Marketing_Funnel_New_Customers_AdWords,MATCH(AA$1,Marketing_Funnel_Months,0))</f>
        <v>14.1431885</v>
      </c>
      <c r="AB9" s="39">
        <f t="array" ref="AB9">INDEX(Marketing_Funnel_New_Customers_AdWords,MATCH(AB$1,Marketing_Funnel_Months,0))</f>
        <v>14.9463571</v>
      </c>
      <c r="AC9" s="39">
        <f t="array" ref="AC9">INDEX(Marketing_Funnel_New_Customers_AdWords,MATCH(AC$1,Marketing_Funnel_Months,0))</f>
        <v>15.71721018</v>
      </c>
      <c r="AD9" s="39">
        <f t="array" ref="AD9">INDEX(Marketing_Funnel_New_Customers_AdWords,MATCH(AD$1,Marketing_Funnel_Months,0))</f>
        <v>16.50775213</v>
      </c>
      <c r="AE9" s="39">
        <f t="array" ref="AE9">INDEX(Marketing_Funnel_New_Customers_AdWords,MATCH(AE$1,Marketing_Funnel_Months,0))</f>
        <v>17.29615045</v>
      </c>
      <c r="AF9" s="39">
        <f t="array" ref="AF9">INDEX(Marketing_Funnel_New_Customers_AdWords,MATCH(AF$1,Marketing_Funnel_Months,0))</f>
        <v>18.0791364</v>
      </c>
      <c r="AG9" s="39">
        <f t="array" ref="AG9">INDEX(Marketing_Funnel_New_Customers_AdWords,MATCH(AG$1,Marketing_Funnel_Months,0))</f>
        <v>18.86655963</v>
      </c>
      <c r="AH9" s="39">
        <f t="array" ref="AH9">INDEX(Marketing_Funnel_New_Customers_AdWords,MATCH(AH$1,Marketing_Funnel_Months,0))</f>
        <v>19.65284293</v>
      </c>
      <c r="AI9" s="39">
        <f t="array" ref="AI9">INDEX(Marketing_Funnel_New_Customers_AdWords,MATCH(AI$1,Marketing_Funnel_Months,0))</f>
        <v>20.43836129</v>
      </c>
      <c r="AJ9" s="39">
        <f t="array" ref="AJ9">INDEX(Marketing_Funnel_New_Customers_AdWords,MATCH(AJ$1,Marketing_Funnel_Months,0))</f>
        <v>21.22479499</v>
      </c>
      <c r="AK9" s="39">
        <f t="array" ref="AK9">INDEX(Marketing_Funnel_New_Customers_AdWords,MATCH(AK$1,Marketing_Funnel_Months,0))</f>
        <v>22.01087151</v>
      </c>
      <c r="AL9" s="39">
        <f t="array" ref="AL9">INDEX(Marketing_Funnel_New_Customers_AdWords,MATCH(AL$1,Marketing_Funnel_Months,0))</f>
        <v>22.79687415</v>
      </c>
    </row>
    <row r="10" ht="15.75" customHeight="1">
      <c r="A10" s="1" t="s">
        <v>33</v>
      </c>
      <c r="C10" s="41">
        <f t="shared" ref="C10:AL10" si="3">C8/C9</f>
        <v>16904.25</v>
      </c>
      <c r="D10" s="41">
        <f t="shared" si="3"/>
        <v>13031.83333</v>
      </c>
      <c r="E10" s="41">
        <f t="shared" si="3"/>
        <v>17580.11111</v>
      </c>
      <c r="F10" s="41">
        <f t="shared" si="3"/>
        <v>7819.1</v>
      </c>
      <c r="G10" s="41">
        <f t="shared" si="3"/>
        <v>17113.4</v>
      </c>
      <c r="H10" s="41">
        <f t="shared" si="3"/>
        <v>16877.2</v>
      </c>
      <c r="I10" s="41">
        <f t="shared" si="3"/>
        <v>11081.26667</v>
      </c>
      <c r="J10" s="41">
        <f t="shared" si="3"/>
        <v>9883.588235</v>
      </c>
      <c r="K10" s="41">
        <f t="shared" si="3"/>
        <v>12293.85714</v>
      </c>
      <c r="L10" s="41">
        <f t="shared" si="3"/>
        <v>15204.3</v>
      </c>
      <c r="M10" s="41">
        <f t="shared" si="3"/>
        <v>14819.27273</v>
      </c>
      <c r="N10" s="41">
        <f t="shared" si="3"/>
        <v>14618.41667</v>
      </c>
      <c r="O10" s="41">
        <f t="shared" si="3"/>
        <v>14952.25</v>
      </c>
      <c r="P10" s="41">
        <f t="shared" si="3"/>
        <v>13268.85714</v>
      </c>
      <c r="Q10" s="41">
        <f t="shared" si="3"/>
        <v>17576.4</v>
      </c>
      <c r="R10" s="41">
        <f t="shared" si="3"/>
        <v>23924.14286</v>
      </c>
      <c r="S10" s="41">
        <f t="shared" si="3"/>
        <v>17064.41935</v>
      </c>
      <c r="T10" s="41">
        <f t="shared" si="3"/>
        <v>19124.80779</v>
      </c>
      <c r="U10" s="41">
        <f t="shared" si="3"/>
        <v>19758.93964</v>
      </c>
      <c r="V10" s="41">
        <f t="shared" si="3"/>
        <v>18659.84027</v>
      </c>
      <c r="W10" s="41">
        <f t="shared" si="3"/>
        <v>19157.36779</v>
      </c>
      <c r="X10" s="41">
        <f t="shared" si="3"/>
        <v>19166.57143</v>
      </c>
      <c r="Y10" s="41">
        <f t="shared" si="3"/>
        <v>19003.7917</v>
      </c>
      <c r="Z10" s="41">
        <f t="shared" si="3"/>
        <v>19105.52874</v>
      </c>
      <c r="AA10" s="41">
        <f t="shared" si="3"/>
        <v>19090.46182</v>
      </c>
      <c r="AB10" s="41">
        <f t="shared" si="3"/>
        <v>19068.19154</v>
      </c>
      <c r="AC10" s="41">
        <f t="shared" si="3"/>
        <v>19087.35688</v>
      </c>
      <c r="AD10" s="41">
        <f t="shared" si="3"/>
        <v>19081.9439</v>
      </c>
      <c r="AE10" s="41">
        <f t="shared" si="3"/>
        <v>19079.39</v>
      </c>
      <c r="AF10" s="41">
        <f t="shared" si="3"/>
        <v>19082.7699</v>
      </c>
      <c r="AG10" s="41">
        <f t="shared" si="3"/>
        <v>19081.38034</v>
      </c>
      <c r="AH10" s="41">
        <f t="shared" si="3"/>
        <v>19081.20883</v>
      </c>
      <c r="AI10" s="41">
        <f t="shared" si="3"/>
        <v>19081.76465</v>
      </c>
      <c r="AJ10" s="41">
        <f t="shared" si="3"/>
        <v>19081.45639</v>
      </c>
      <c r="AK10" s="41">
        <f t="shared" si="3"/>
        <v>19081.47979</v>
      </c>
      <c r="AL10" s="41">
        <f t="shared" si="3"/>
        <v>19081.56343</v>
      </c>
    </row>
    <row r="11" ht="15.75" customHeight="1">
      <c r="A11" s="7"/>
    </row>
    <row r="12" ht="15.75" customHeight="1">
      <c r="A12" s="7" t="s">
        <v>36</v>
      </c>
    </row>
    <row r="13" ht="15.75" customHeight="1">
      <c r="A13" s="1" t="s">
        <v>8</v>
      </c>
      <c r="B13" s="38"/>
      <c r="C13" s="39">
        <f t="array" ref="C13">INDEX(Oper_Model_Revenue,MATCH(C$1,Oper_Model_Months,0))</f>
        <v>505058</v>
      </c>
      <c r="D13" s="39">
        <f t="array" ref="D13">INDEX(Oper_Model_Revenue,MATCH(D$1,Oper_Model_Months,0))</f>
        <v>525437</v>
      </c>
      <c r="E13" s="39">
        <f t="array" ref="E13">INDEX(Oper_Model_Revenue,MATCH(E$1,Oper_Model_Months,0))</f>
        <v>542733</v>
      </c>
      <c r="F13" s="39">
        <f t="array" ref="F13">INDEX(Oper_Model_Revenue,MATCH(F$1,Oper_Model_Months,0))</f>
        <v>598887</v>
      </c>
      <c r="G13" s="39">
        <f t="array" ref="G13">INDEX(Oper_Model_Revenue,MATCH(G$1,Oper_Model_Months,0))</f>
        <v>614053</v>
      </c>
      <c r="H13" s="39">
        <f t="array" ref="H13">INDEX(Oper_Model_Revenue,MATCH(H$1,Oper_Model_Months,0))</f>
        <v>637488</v>
      </c>
      <c r="I13" s="39">
        <f t="array" ref="I13">INDEX(Oper_Model_Revenue,MATCH(I$1,Oper_Model_Months,0))</f>
        <v>657516</v>
      </c>
      <c r="J13" s="39">
        <f t="array" ref="J13">INDEX(Oper_Model_Revenue,MATCH(J$1,Oper_Model_Months,0))</f>
        <v>685483</v>
      </c>
      <c r="K13" s="39">
        <f t="array" ref="K13">INDEX(Oper_Model_Revenue,MATCH(K$1,Oper_Model_Months,0))</f>
        <v>718774</v>
      </c>
      <c r="L13" s="39">
        <f t="array" ref="L13">INDEX(Oper_Model_Revenue,MATCH(L$1,Oper_Model_Months,0))</f>
        <v>754542</v>
      </c>
      <c r="M13" s="39">
        <f t="array" ref="M13">INDEX(Oper_Model_Revenue,MATCH(M$1,Oper_Model_Months,0))</f>
        <v>787554</v>
      </c>
      <c r="N13" s="39">
        <f t="array" ref="N13">INDEX(Oper_Model_Revenue,MATCH(N$1,Oper_Model_Months,0))</f>
        <v>808046</v>
      </c>
      <c r="O13" s="39">
        <f t="array" ref="O13">INDEX(Oper_Model_Revenue,MATCH(O$1,Oper_Model_Months,0))</f>
        <v>824529</v>
      </c>
      <c r="P13" s="39">
        <f t="array" ref="P13">INDEX(Oper_Model_Revenue,MATCH(P$1,Oper_Model_Months,0))</f>
        <v>844626</v>
      </c>
      <c r="Q13" s="39">
        <f t="array" ref="Q13">INDEX(Oper_Model_Revenue,MATCH(Q$1,Oper_Model_Months,0))</f>
        <v>819162.19</v>
      </c>
      <c r="R13" s="39">
        <f t="array" ref="R13">INDEX(Oper_Model_Revenue,MATCH(R$1,Oper_Model_Months,0))</f>
        <v>796507</v>
      </c>
      <c r="S13" s="39">
        <f t="array" ref="S13">INDEX(Oper_Model_Revenue,MATCH(S$1,Oper_Model_Months,0))</f>
        <v>780349.4289</v>
      </c>
      <c r="T13" s="39">
        <f t="array" ref="T13">INDEX(Oper_Model_Revenue,MATCH(T$1,Oper_Model_Months,0))</f>
        <v>776838.8983</v>
      </c>
      <c r="U13" s="39">
        <f t="array" ref="U13">INDEX(Oper_Model_Revenue,MATCH(U$1,Oper_Model_Months,0))</f>
        <v>784307.4964</v>
      </c>
      <c r="V13" s="39">
        <f t="array" ref="V13">INDEX(Oper_Model_Revenue,MATCH(V$1,Oper_Model_Months,0))</f>
        <v>794270.1184</v>
      </c>
      <c r="W13" s="39">
        <f t="array" ref="W13">INDEX(Oper_Model_Revenue,MATCH(W$1,Oper_Model_Months,0))</f>
        <v>810446.9171</v>
      </c>
      <c r="X13" s="39">
        <f t="array" ref="X13">INDEX(Oper_Model_Revenue,MATCH(X$1,Oper_Model_Months,0))</f>
        <v>828843.4437</v>
      </c>
      <c r="Y13" s="39">
        <f t="array" ref="Y13">INDEX(Oper_Model_Revenue,MATCH(Y$1,Oper_Model_Months,0))</f>
        <v>846201.4208</v>
      </c>
      <c r="Z13" s="39">
        <f t="array" ref="Z13">INDEX(Oper_Model_Revenue,MATCH(Z$1,Oper_Model_Months,0))</f>
        <v>864575.1131</v>
      </c>
      <c r="AA13" s="39">
        <f t="array" ref="AA13">INDEX(Oper_Model_Revenue,MATCH(AA$1,Oper_Model_Months,0))</f>
        <v>882839.9823</v>
      </c>
      <c r="AB13" s="39">
        <f t="array" ref="AB13">INDEX(Oper_Model_Revenue,MATCH(AB$1,Oper_Model_Months,0))</f>
        <v>902246.5996</v>
      </c>
      <c r="AC13" s="39">
        <f t="array" ref="AC13">INDEX(Oper_Model_Revenue,MATCH(AC$1,Oper_Model_Months,0))</f>
        <v>921493.2125</v>
      </c>
      <c r="AD13" s="39">
        <f t="array" ref="AD13">INDEX(Oper_Model_Revenue,MATCH(AD$1,Oper_Model_Months,0))</f>
        <v>941858.9225</v>
      </c>
      <c r="AE13" s="39">
        <f t="array" ref="AE13">INDEX(Oper_Model_Revenue,MATCH(AE$1,Oper_Model_Months,0))</f>
        <v>963330.7191</v>
      </c>
      <c r="AF13" s="39">
        <f t="array" ref="AF13">INDEX(Oper_Model_Revenue,MATCH(AF$1,Oper_Model_Months,0))</f>
        <v>984645.7735</v>
      </c>
      <c r="AG13" s="39">
        <f t="array" ref="AG13">INDEX(Oper_Model_Revenue,MATCH(AG$1,Oper_Model_Months,0))</f>
        <v>1007059.449</v>
      </c>
      <c r="AH13" s="39">
        <f t="array" ref="AH13">INDEX(Oper_Model_Revenue,MATCH(AH$1,Oper_Model_Months,0))</f>
        <v>1029314.149</v>
      </c>
      <c r="AI13" s="39">
        <f t="array" ref="AI13">INDEX(Oper_Model_Revenue,MATCH(AI$1,Oper_Model_Months,0))</f>
        <v>1052658.019</v>
      </c>
      <c r="AJ13" s="39">
        <f t="array" ref="AJ13">INDEX(Oper_Model_Revenue,MATCH(AJ$1,Oper_Model_Months,0))</f>
        <v>1077084.272</v>
      </c>
      <c r="AK13" s="39">
        <f t="array" ref="AK13">INDEX(Oper_Model_Revenue,MATCH(AK$1,Oper_Model_Months,0))</f>
        <v>1101336.803</v>
      </c>
      <c r="AL13" s="39">
        <f t="array" ref="AL13">INDEX(Oper_Model_Revenue,MATCH(AL$1,Oper_Model_Months,0))</f>
        <v>1126664.72</v>
      </c>
    </row>
    <row r="14" ht="15.75" customHeight="1">
      <c r="A14" s="1" t="s">
        <v>9</v>
      </c>
      <c r="B14" s="38"/>
      <c r="C14" s="39">
        <f t="array" ref="C14">INDEX(Oper_Model_Cost_of_Revenue,MATCH(C$1,Oper_Model_Months,0))</f>
        <v>111864</v>
      </c>
      <c r="D14" s="39">
        <f t="array" ref="D14">INDEX(Oper_Model_Cost_of_Revenue,MATCH(D$1,Oper_Model_Months,0))</f>
        <v>111333</v>
      </c>
      <c r="E14" s="39">
        <f t="array" ref="E14">INDEX(Oper_Model_Cost_of_Revenue,MATCH(E$1,Oper_Model_Months,0))</f>
        <v>114806</v>
      </c>
      <c r="F14" s="39">
        <f t="array" ref="F14">INDEX(Oper_Model_Cost_of_Revenue,MATCH(F$1,Oper_Model_Months,0))</f>
        <v>115813</v>
      </c>
      <c r="G14" s="39">
        <f t="array" ref="G14">INDEX(Oper_Model_Cost_of_Revenue,MATCH(G$1,Oper_Model_Months,0))</f>
        <v>123316</v>
      </c>
      <c r="H14" s="39">
        <f t="array" ref="H14">INDEX(Oper_Model_Cost_of_Revenue,MATCH(H$1,Oper_Model_Months,0))</f>
        <v>121692</v>
      </c>
      <c r="I14" s="39">
        <f t="array" ref="I14">INDEX(Oper_Model_Cost_of_Revenue,MATCH(I$1,Oper_Model_Months,0))</f>
        <v>122814</v>
      </c>
      <c r="J14" s="39">
        <f t="array" ref="J14">INDEX(Oper_Model_Cost_of_Revenue,MATCH(J$1,Oper_Model_Months,0))</f>
        <v>124795</v>
      </c>
      <c r="K14" s="39">
        <f t="array" ref="K14">INDEX(Oper_Model_Cost_of_Revenue,MATCH(K$1,Oper_Model_Months,0))</f>
        <v>126787</v>
      </c>
      <c r="L14" s="39">
        <f t="array" ref="L14">INDEX(Oper_Model_Cost_of_Revenue,MATCH(L$1,Oper_Model_Months,0))</f>
        <v>132805</v>
      </c>
      <c r="M14" s="39">
        <f t="array" ref="M14">INDEX(Oper_Model_Cost_of_Revenue,MATCH(M$1,Oper_Model_Months,0))</f>
        <v>138091</v>
      </c>
      <c r="N14" s="39">
        <f t="array" ref="N14">INDEX(Oper_Model_Cost_of_Revenue,MATCH(N$1,Oper_Model_Months,0))</f>
        <v>142756</v>
      </c>
      <c r="O14" s="39">
        <f t="array" ref="O14">INDEX(Oper_Model_Cost_of_Revenue,MATCH(O$1,Oper_Model_Months,0))</f>
        <v>144559</v>
      </c>
      <c r="P14" s="39">
        <f t="array" ref="P14">INDEX(Oper_Model_Cost_of_Revenue,MATCH(P$1,Oper_Model_Months,0))</f>
        <v>147471</v>
      </c>
      <c r="Q14" s="39">
        <f t="array" ref="Q14">INDEX(Oper_Model_Cost_of_Revenue,MATCH(Q$1,Oper_Model_Months,0))</f>
        <v>146844</v>
      </c>
      <c r="R14" s="39">
        <f t="array" ref="R14">INDEX(Oper_Model_Cost_of_Revenue,MATCH(R$1,Oper_Model_Months,0))</f>
        <v>145771</v>
      </c>
      <c r="S14" s="39">
        <f t="array" ref="S14">INDEX(Oper_Model_Cost_of_Revenue,MATCH(S$1,Oper_Model_Months,0))</f>
        <v>143824.4064</v>
      </c>
      <c r="T14" s="39">
        <f t="array" ref="T14">INDEX(Oper_Model_Cost_of_Revenue,MATCH(T$1,Oper_Model_Months,0))</f>
        <v>143487.717</v>
      </c>
      <c r="U14" s="39">
        <f t="array" ref="U14">INDEX(Oper_Model_Cost_of_Revenue,MATCH(U$1,Oper_Model_Months,0))</f>
        <v>144204.0183</v>
      </c>
      <c r="V14" s="39">
        <f t="array" ref="V14">INDEX(Oper_Model_Cost_of_Revenue,MATCH(V$1,Oper_Model_Months,0))</f>
        <v>145159.5176</v>
      </c>
      <c r="W14" s="39">
        <f t="array" ref="W14">INDEX(Oper_Model_Cost_of_Revenue,MATCH(W$1,Oper_Model_Months,0))</f>
        <v>146711.0086</v>
      </c>
      <c r="X14" s="39">
        <f t="array" ref="X14">INDEX(Oper_Model_Cost_of_Revenue,MATCH(X$1,Oper_Model_Months,0))</f>
        <v>156508.7236</v>
      </c>
      <c r="Y14" s="39">
        <f t="array" ref="Y14">INDEX(Oper_Model_Cost_of_Revenue,MATCH(Y$1,Oper_Model_Months,0))</f>
        <v>158173.4995</v>
      </c>
      <c r="Z14" s="39">
        <f t="array" ref="Z14">INDEX(Oper_Model_Cost_of_Revenue,MATCH(Z$1,Oper_Model_Months,0))</f>
        <v>168439.8578</v>
      </c>
      <c r="AA14" s="39">
        <f t="array" ref="AA14">INDEX(Oper_Model_Cost_of_Revenue,MATCH(AA$1,Oper_Model_Months,0))</f>
        <v>170191.6124</v>
      </c>
      <c r="AB14" s="39">
        <f t="array" ref="AB14">INDEX(Oper_Model_Cost_of_Revenue,MATCH(AB$1,Oper_Model_Months,0))</f>
        <v>180086.2035</v>
      </c>
      <c r="AC14" s="39">
        <f t="array" ref="AC14">INDEX(Oper_Model_Cost_of_Revenue,MATCH(AC$1,Oper_Model_Months,0))</f>
        <v>181932.1156</v>
      </c>
      <c r="AD14" s="39">
        <f t="array" ref="AD14">INDEX(Oper_Model_Cost_of_Revenue,MATCH(AD$1,Oper_Model_Months,0))</f>
        <v>183885.3584</v>
      </c>
      <c r="AE14" s="39">
        <f t="array" ref="AE14">INDEX(Oper_Model_Cost_of_Revenue,MATCH(AE$1,Oper_Model_Months,0))</f>
        <v>185944.6843</v>
      </c>
      <c r="AF14" s="39">
        <f t="array" ref="AF14">INDEX(Oper_Model_Cost_of_Revenue,MATCH(AF$1,Oper_Model_Months,0))</f>
        <v>187988.9773</v>
      </c>
      <c r="AG14" s="39">
        <f t="array" ref="AG14">INDEX(Oper_Model_Cost_of_Revenue,MATCH(AG$1,Oper_Model_Months,0))</f>
        <v>190138.6373</v>
      </c>
      <c r="AH14" s="39">
        <f t="array" ref="AH14">INDEX(Oper_Model_Cost_of_Revenue,MATCH(AH$1,Oper_Model_Months,0))</f>
        <v>192273.0502</v>
      </c>
      <c r="AI14" s="39">
        <f t="array" ref="AI14">INDEX(Oper_Model_Cost_of_Revenue,MATCH(AI$1,Oper_Model_Months,0))</f>
        <v>194511.9236</v>
      </c>
      <c r="AJ14" s="39">
        <f t="array" ref="AJ14">INDEX(Oper_Model_Cost_of_Revenue,MATCH(AJ$1,Oper_Model_Months,0))</f>
        <v>196854.6067</v>
      </c>
      <c r="AK14" s="39">
        <f t="array" ref="AK14">INDEX(Oper_Model_Cost_of_Revenue,MATCH(AK$1,Oper_Model_Months,0))</f>
        <v>199180.6284</v>
      </c>
      <c r="AL14" s="39">
        <f t="array" ref="AL14">INDEX(Oper_Model_Cost_of_Revenue,MATCH(AL$1,Oper_Model_Months,0))</f>
        <v>201609.7886</v>
      </c>
    </row>
    <row r="15" ht="15.75" customHeight="1">
      <c r="A15" s="22" t="s">
        <v>12</v>
      </c>
      <c r="B15" s="22"/>
      <c r="C15" s="42">
        <f t="shared" ref="C15:AL15" si="4">C13-C14</f>
        <v>393194</v>
      </c>
      <c r="D15" s="42">
        <f t="shared" si="4"/>
        <v>414104</v>
      </c>
      <c r="E15" s="42">
        <f t="shared" si="4"/>
        <v>427927</v>
      </c>
      <c r="F15" s="42">
        <f t="shared" si="4"/>
        <v>483074</v>
      </c>
      <c r="G15" s="42">
        <f t="shared" si="4"/>
        <v>490737</v>
      </c>
      <c r="H15" s="42">
        <f t="shared" si="4"/>
        <v>515796</v>
      </c>
      <c r="I15" s="42">
        <f t="shared" si="4"/>
        <v>534702</v>
      </c>
      <c r="J15" s="42">
        <f t="shared" si="4"/>
        <v>560688</v>
      </c>
      <c r="K15" s="42">
        <f t="shared" si="4"/>
        <v>591987</v>
      </c>
      <c r="L15" s="42">
        <f t="shared" si="4"/>
        <v>621737</v>
      </c>
      <c r="M15" s="42">
        <f t="shared" si="4"/>
        <v>649463</v>
      </c>
      <c r="N15" s="42">
        <f t="shared" si="4"/>
        <v>665290</v>
      </c>
      <c r="O15" s="42">
        <f t="shared" si="4"/>
        <v>679970</v>
      </c>
      <c r="P15" s="42">
        <f t="shared" si="4"/>
        <v>697155</v>
      </c>
      <c r="Q15" s="42">
        <f t="shared" si="4"/>
        <v>672318.19</v>
      </c>
      <c r="R15" s="42">
        <f t="shared" si="4"/>
        <v>650736</v>
      </c>
      <c r="S15" s="42">
        <f t="shared" si="4"/>
        <v>636525.0225</v>
      </c>
      <c r="T15" s="42">
        <f t="shared" si="4"/>
        <v>633351.1814</v>
      </c>
      <c r="U15" s="42">
        <f t="shared" si="4"/>
        <v>640103.4781</v>
      </c>
      <c r="V15" s="42">
        <f t="shared" si="4"/>
        <v>649110.6008</v>
      </c>
      <c r="W15" s="42">
        <f t="shared" si="4"/>
        <v>663735.9085</v>
      </c>
      <c r="X15" s="42">
        <f t="shared" si="4"/>
        <v>672334.7201</v>
      </c>
      <c r="Y15" s="42">
        <f t="shared" si="4"/>
        <v>688027.9213</v>
      </c>
      <c r="Z15" s="42">
        <f t="shared" si="4"/>
        <v>696135.2552</v>
      </c>
      <c r="AA15" s="42">
        <f t="shared" si="4"/>
        <v>712648.3699</v>
      </c>
      <c r="AB15" s="42">
        <f t="shared" si="4"/>
        <v>722160.3961</v>
      </c>
      <c r="AC15" s="42">
        <f t="shared" si="4"/>
        <v>739561.0969</v>
      </c>
      <c r="AD15" s="42">
        <f t="shared" si="4"/>
        <v>757973.564</v>
      </c>
      <c r="AE15" s="42">
        <f t="shared" si="4"/>
        <v>777386.0348</v>
      </c>
      <c r="AF15" s="42">
        <f t="shared" si="4"/>
        <v>796656.7962</v>
      </c>
      <c r="AG15" s="42">
        <f t="shared" si="4"/>
        <v>816920.8118</v>
      </c>
      <c r="AH15" s="42">
        <f t="shared" si="4"/>
        <v>837041.0991</v>
      </c>
      <c r="AI15" s="42">
        <f t="shared" si="4"/>
        <v>858146.0956</v>
      </c>
      <c r="AJ15" s="42">
        <f t="shared" si="4"/>
        <v>880229.6653</v>
      </c>
      <c r="AK15" s="42">
        <f t="shared" si="4"/>
        <v>902156.1747</v>
      </c>
      <c r="AL15" s="42">
        <f t="shared" si="4"/>
        <v>925054.9312</v>
      </c>
    </row>
    <row r="16" ht="15.75" customHeight="1">
      <c r="A16" s="1" t="s">
        <v>36</v>
      </c>
      <c r="B16" s="38"/>
      <c r="C16" s="43">
        <f t="shared" ref="C16:AL16" si="5">C15/C13</f>
        <v>0.7785125669</v>
      </c>
      <c r="D16" s="43">
        <f t="shared" si="5"/>
        <v>0.7881135131</v>
      </c>
      <c r="E16" s="43">
        <f t="shared" si="5"/>
        <v>0.7884668889</v>
      </c>
      <c r="F16" s="43">
        <f t="shared" si="5"/>
        <v>0.8066196127</v>
      </c>
      <c r="G16" s="43">
        <f t="shared" si="5"/>
        <v>0.799176944</v>
      </c>
      <c r="H16" s="43">
        <f t="shared" si="5"/>
        <v>0.809106995</v>
      </c>
      <c r="I16" s="43">
        <f t="shared" si="5"/>
        <v>0.8132151917</v>
      </c>
      <c r="J16" s="43">
        <f t="shared" si="5"/>
        <v>0.8179458863</v>
      </c>
      <c r="K16" s="43">
        <f t="shared" si="5"/>
        <v>0.8236065857</v>
      </c>
      <c r="L16" s="43">
        <f t="shared" si="5"/>
        <v>0.8239925677</v>
      </c>
      <c r="M16" s="43">
        <f t="shared" si="5"/>
        <v>0.8246583726</v>
      </c>
      <c r="N16" s="43">
        <f t="shared" si="5"/>
        <v>0.82333184</v>
      </c>
      <c r="O16" s="43">
        <f t="shared" si="5"/>
        <v>0.8246768761</v>
      </c>
      <c r="P16" s="43">
        <f t="shared" si="5"/>
        <v>0.8254008283</v>
      </c>
      <c r="Q16" s="43">
        <f t="shared" si="5"/>
        <v>0.8207387966</v>
      </c>
      <c r="R16" s="43">
        <f t="shared" si="5"/>
        <v>0.8169871702</v>
      </c>
      <c r="S16" s="43">
        <f t="shared" si="5"/>
        <v>0.8156923027</v>
      </c>
      <c r="T16" s="43">
        <f t="shared" si="5"/>
        <v>0.8152928268</v>
      </c>
      <c r="U16" s="43">
        <f t="shared" si="5"/>
        <v>0.8161384164</v>
      </c>
      <c r="V16" s="43">
        <f t="shared" si="5"/>
        <v>0.8172416232</v>
      </c>
      <c r="W16" s="43">
        <f t="shared" si="5"/>
        <v>0.8189751784</v>
      </c>
      <c r="X16" s="43">
        <f t="shared" si="5"/>
        <v>0.8111721523</v>
      </c>
      <c r="Y16" s="43">
        <f t="shared" si="5"/>
        <v>0.813078192</v>
      </c>
      <c r="Z16" s="43">
        <f t="shared" si="5"/>
        <v>0.8051761434</v>
      </c>
      <c r="AA16" s="43">
        <f t="shared" si="5"/>
        <v>0.8072225819</v>
      </c>
      <c r="AB16" s="43">
        <f t="shared" si="5"/>
        <v>0.800402458</v>
      </c>
      <c r="AC16" s="43">
        <f t="shared" si="5"/>
        <v>0.8025681436</v>
      </c>
      <c r="AD16" s="43">
        <f t="shared" si="5"/>
        <v>0.8047633737</v>
      </c>
      <c r="AE16" s="43">
        <f t="shared" si="5"/>
        <v>0.8069773125</v>
      </c>
      <c r="AF16" s="43">
        <f t="shared" si="5"/>
        <v>0.8090795874</v>
      </c>
      <c r="AG16" s="43">
        <f t="shared" si="5"/>
        <v>0.8111942275</v>
      </c>
      <c r="AH16" s="43">
        <f t="shared" si="5"/>
        <v>0.8132027522</v>
      </c>
      <c r="AI16" s="43">
        <f t="shared" si="5"/>
        <v>0.8152183139</v>
      </c>
      <c r="AJ16" s="43">
        <f t="shared" si="5"/>
        <v>0.8172337933</v>
      </c>
      <c r="AK16" s="43">
        <f t="shared" si="5"/>
        <v>0.8191464883</v>
      </c>
      <c r="AL16" s="43">
        <f t="shared" si="5"/>
        <v>0.8210560914</v>
      </c>
    </row>
    <row r="17" ht="15.75" customHeight="1">
      <c r="A17" s="1"/>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c r="AH17" s="38"/>
      <c r="AI17" s="38"/>
      <c r="AJ17" s="38"/>
      <c r="AK17" s="38"/>
      <c r="AL17" s="38"/>
    </row>
    <row r="18" ht="15.75" customHeight="1">
      <c r="A18" s="1" t="s">
        <v>37</v>
      </c>
      <c r="B18" s="39">
        <f t="array" ref="B18">INDEX(Revenue_Model_Total_Customers,MATCH(B$1,Revenue_Model_Months,0))</f>
        <v>323</v>
      </c>
      <c r="C18" s="39">
        <f t="array" ref="C18">INDEX(Revenue_Model_Total_Customers,MATCH(C$1,Revenue_Model_Months,0))</f>
        <v>333</v>
      </c>
      <c r="D18" s="39">
        <f t="array" ref="D18">INDEX(Revenue_Model_Total_Customers,MATCH(D$1,Revenue_Model_Months,0))</f>
        <v>353</v>
      </c>
      <c r="E18" s="39">
        <f t="array" ref="E18">INDEX(Revenue_Model_Total_Customers,MATCH(E$1,Revenue_Model_Months,0))</f>
        <v>364</v>
      </c>
      <c r="F18" s="39">
        <f t="array" ref="F18">INDEX(Revenue_Model_Total_Customers,MATCH(F$1,Revenue_Model_Months,0))</f>
        <v>398</v>
      </c>
      <c r="G18" s="39">
        <f t="array" ref="G18">INDEX(Revenue_Model_Total_Customers,MATCH(G$1,Revenue_Model_Months,0))</f>
        <v>412</v>
      </c>
      <c r="H18" s="39">
        <f t="array" ref="H18">INDEX(Revenue_Model_Total_Customers,MATCH(H$1,Revenue_Model_Months,0))</f>
        <v>434</v>
      </c>
      <c r="I18" s="39">
        <f t="array" ref="I18">INDEX(Revenue_Model_Total_Customers,MATCH(I$1,Revenue_Model_Months,0))</f>
        <v>457</v>
      </c>
      <c r="J18" s="39">
        <f t="array" ref="J18">INDEX(Revenue_Model_Total_Customers,MATCH(J$1,Revenue_Model_Months,0))</f>
        <v>479</v>
      </c>
      <c r="K18" s="39">
        <f t="array" ref="K18">INDEX(Revenue_Model_Total_Customers,MATCH(K$1,Revenue_Model_Months,0))</f>
        <v>496</v>
      </c>
      <c r="L18" s="39">
        <f t="array" ref="L18">INDEX(Revenue_Model_Total_Customers,MATCH(L$1,Revenue_Model_Months,0))</f>
        <v>508</v>
      </c>
      <c r="M18" s="39">
        <f t="array" ref="M18">INDEX(Revenue_Model_Total_Customers,MATCH(M$1,Revenue_Model_Months,0))</f>
        <v>524</v>
      </c>
      <c r="N18" s="39">
        <f t="array" ref="N18">INDEX(Revenue_Model_Total_Customers,MATCH(N$1,Revenue_Model_Months,0))</f>
        <v>545</v>
      </c>
      <c r="O18" s="39">
        <f t="array" ref="O18">INDEX(Revenue_Model_Total_Customers,MATCH(O$1,Revenue_Model_Months,0))</f>
        <v>571</v>
      </c>
      <c r="P18" s="39">
        <f t="array" ref="P18">INDEX(Revenue_Model_Total_Customers,MATCH(P$1,Revenue_Model_Months,0))</f>
        <v>605</v>
      </c>
      <c r="Q18" s="39">
        <f t="array" ref="Q18">INDEX(Revenue_Model_Total_Customers,MATCH(Q$1,Revenue_Model_Months,0))</f>
        <v>616</v>
      </c>
      <c r="R18" s="39">
        <f t="array" ref="R18">INDEX(Revenue_Model_Total_Customers,MATCH(R$1,Revenue_Model_Months,0))</f>
        <v>618</v>
      </c>
      <c r="S18" s="39">
        <f t="array" ref="S18">INDEX(Revenue_Model_Total_Customers,MATCH(S$1,Revenue_Model_Months,0))</f>
        <v>623.258</v>
      </c>
      <c r="T18" s="39">
        <f t="array" ref="T18">INDEX(Revenue_Model_Total_Customers,MATCH(T$1,Revenue_Model_Months,0))</f>
        <v>631.90913</v>
      </c>
      <c r="U18" s="39">
        <f t="array" ref="U18">INDEX(Revenue_Model_Total_Customers,MATCH(U$1,Revenue_Model_Months,0))</f>
        <v>643.9581296</v>
      </c>
      <c r="V18" s="39">
        <f t="array" ref="V18">INDEX(Revenue_Model_Total_Customers,MATCH(V$1,Revenue_Model_Months,0))</f>
        <v>654.8745901</v>
      </c>
      <c r="W18" s="39">
        <f t="array" ref="W18">INDEX(Revenue_Model_Total_Customers,MATCH(W$1,Revenue_Model_Months,0))</f>
        <v>666.9807188</v>
      </c>
      <c r="X18" s="39">
        <f t="array" ref="X18">INDEX(Revenue_Model_Total_Customers,MATCH(X$1,Revenue_Model_Months,0))</f>
        <v>679.9778924</v>
      </c>
      <c r="Y18" s="39">
        <f t="array" ref="Y18">INDEX(Revenue_Model_Total_Customers,MATCH(Y$1,Revenue_Model_Months,0))</f>
        <v>692.8580913</v>
      </c>
      <c r="Z18" s="39">
        <f t="array" ref="Z18">INDEX(Revenue_Model_Total_Customers,MATCH(Z$1,Revenue_Model_Months,0))</f>
        <v>706.6223685</v>
      </c>
      <c r="AA18" s="39">
        <f t="array" ref="AA18">INDEX(Revenue_Model_Total_Customers,MATCH(AA$1,Revenue_Model_Months,0))</f>
        <v>720.2627672</v>
      </c>
      <c r="AB18" s="39">
        <f t="array" ref="AB18">INDEX(Revenue_Model_Total_Customers,MATCH(AB$1,Revenue_Model_Months,0))</f>
        <v>734.7804023</v>
      </c>
      <c r="AC18" s="39">
        <f t="array" ref="AC18">INDEX(Revenue_Model_Total_Customers,MATCH(AC$1,Revenue_Model_Months,0))</f>
        <v>749.1673787</v>
      </c>
      <c r="AD18" s="39">
        <f t="array" ref="AD18">INDEX(Revenue_Model_Total_Customers,MATCH(AD$1,Revenue_Model_Months,0))</f>
        <v>764.4248723</v>
      </c>
      <c r="AE18" s="39">
        <f t="array" ref="AE18">INDEX(Revenue_Model_Total_Customers,MATCH(AE$1,Revenue_Model_Months,0))</f>
        <v>780.5450484</v>
      </c>
      <c r="AF18" s="39">
        <f t="array" ref="AF18">INDEX(Revenue_Model_Total_Customers,MATCH(AF$1,Revenue_Model_Months,0))</f>
        <v>796.520143</v>
      </c>
      <c r="AG18" s="39">
        <f t="array" ref="AG18">INDEX(Revenue_Model_Total_Customers,MATCH(AG$1,Revenue_Model_Months,0))</f>
        <v>813.3514617</v>
      </c>
      <c r="AH18" s="39">
        <f t="array" ref="AH18">INDEX(Revenue_Model_Total_Customers,MATCH(AH$1,Revenue_Model_Months,0))</f>
        <v>830.0312985</v>
      </c>
      <c r="AI18" s="39">
        <f t="array" ref="AI18">INDEX(Revenue_Model_Total_Customers,MATCH(AI$1,Revenue_Model_Months,0))</f>
        <v>847.5610168</v>
      </c>
      <c r="AJ18" s="39">
        <f t="array" ref="AJ18">INDEX(Revenue_Model_Total_Customers,MATCH(AJ$1,Revenue_Model_Months,0))</f>
        <v>865.9329677</v>
      </c>
      <c r="AK18" s="39">
        <f t="array" ref="AK18">INDEX(Revenue_Model_Total_Customers,MATCH(AK$1,Revenue_Model_Months,0))</f>
        <v>884.139571</v>
      </c>
      <c r="AL18" s="39">
        <f t="array" ref="AL18">INDEX(Revenue_Model_Total_Customers,MATCH(AL$1,Revenue_Model_Months,0))</f>
        <v>903.1823148</v>
      </c>
    </row>
    <row r="19" ht="15.75" customHeight="1">
      <c r="A19" s="1" t="s">
        <v>38</v>
      </c>
      <c r="B19" s="40"/>
      <c r="C19" s="41">
        <f t="shared" ref="C19:AL19" si="6">C13/C18</f>
        <v>1516.690691</v>
      </c>
      <c r="D19" s="41">
        <f t="shared" si="6"/>
        <v>1488.490085</v>
      </c>
      <c r="E19" s="41">
        <f t="shared" si="6"/>
        <v>1491.024725</v>
      </c>
      <c r="F19" s="41">
        <f t="shared" si="6"/>
        <v>1504.741206</v>
      </c>
      <c r="G19" s="41">
        <f t="shared" si="6"/>
        <v>1490.419903</v>
      </c>
      <c r="H19" s="41">
        <f t="shared" si="6"/>
        <v>1468.866359</v>
      </c>
      <c r="I19" s="41">
        <f t="shared" si="6"/>
        <v>1438.765864</v>
      </c>
      <c r="J19" s="41">
        <f t="shared" si="6"/>
        <v>1431.070981</v>
      </c>
      <c r="K19" s="41">
        <f t="shared" si="6"/>
        <v>1449.141129</v>
      </c>
      <c r="L19" s="41">
        <f t="shared" si="6"/>
        <v>1485.318898</v>
      </c>
      <c r="M19" s="41">
        <f t="shared" si="6"/>
        <v>1502.965649</v>
      </c>
      <c r="N19" s="41">
        <f t="shared" si="6"/>
        <v>1482.653211</v>
      </c>
      <c r="O19" s="41">
        <f t="shared" si="6"/>
        <v>1444.008757</v>
      </c>
      <c r="P19" s="41">
        <f t="shared" si="6"/>
        <v>1396.076033</v>
      </c>
      <c r="Q19" s="41">
        <f t="shared" si="6"/>
        <v>1329.80875</v>
      </c>
      <c r="R19" s="41">
        <f t="shared" si="6"/>
        <v>1288.846278</v>
      </c>
      <c r="S19" s="41">
        <f t="shared" si="6"/>
        <v>1252.048797</v>
      </c>
      <c r="T19" s="41">
        <f t="shared" si="6"/>
        <v>1229.35223</v>
      </c>
      <c r="U19" s="41">
        <f t="shared" si="6"/>
        <v>1217.94797</v>
      </c>
      <c r="V19" s="41">
        <f t="shared" si="6"/>
        <v>1212.858355</v>
      </c>
      <c r="W19" s="41">
        <f t="shared" si="6"/>
        <v>1215.097969</v>
      </c>
      <c r="X19" s="41">
        <f t="shared" si="6"/>
        <v>1218.927046</v>
      </c>
      <c r="Y19" s="41">
        <f t="shared" si="6"/>
        <v>1221.319966</v>
      </c>
      <c r="Z19" s="41">
        <f t="shared" si="6"/>
        <v>1223.532047</v>
      </c>
      <c r="AA19" s="41">
        <f t="shared" si="6"/>
        <v>1225.71931</v>
      </c>
      <c r="AB19" s="41">
        <f t="shared" si="6"/>
        <v>1227.913261</v>
      </c>
      <c r="AC19" s="41">
        <f t="shared" si="6"/>
        <v>1230.023141</v>
      </c>
      <c r="AD19" s="41">
        <f t="shared" si="6"/>
        <v>1232.114439</v>
      </c>
      <c r="AE19" s="41">
        <f t="shared" si="6"/>
        <v>1234.176965</v>
      </c>
      <c r="AF19" s="41">
        <f t="shared" si="6"/>
        <v>1236.184398</v>
      </c>
      <c r="AG19" s="41">
        <f t="shared" si="6"/>
        <v>1238.16025</v>
      </c>
      <c r="AH19" s="41">
        <f t="shared" si="6"/>
        <v>1240.090767</v>
      </c>
      <c r="AI19" s="41">
        <f t="shared" si="6"/>
        <v>1241.984941</v>
      </c>
      <c r="AJ19" s="41">
        <f t="shared" si="6"/>
        <v>1243.842552</v>
      </c>
      <c r="AK19" s="41">
        <f t="shared" si="6"/>
        <v>1245.65944</v>
      </c>
      <c r="AL19" s="41">
        <f t="shared" si="6"/>
        <v>1247.438863</v>
      </c>
    </row>
    <row r="20" ht="15.75" customHeight="1">
      <c r="A20" s="1" t="s">
        <v>39</v>
      </c>
      <c r="B20" s="40"/>
      <c r="C20" s="41">
        <f t="shared" ref="C20:AL20" si="7">C19*C16</f>
        <v>1180.762763</v>
      </c>
      <c r="D20" s="41">
        <f t="shared" si="7"/>
        <v>1173.09915</v>
      </c>
      <c r="E20" s="41">
        <f t="shared" si="7"/>
        <v>1175.623626</v>
      </c>
      <c r="F20" s="41">
        <f t="shared" si="7"/>
        <v>1213.753769</v>
      </c>
      <c r="G20" s="41">
        <f t="shared" si="7"/>
        <v>1191.109223</v>
      </c>
      <c r="H20" s="41">
        <f t="shared" si="7"/>
        <v>1188.470046</v>
      </c>
      <c r="I20" s="41">
        <f t="shared" si="7"/>
        <v>1170.026258</v>
      </c>
      <c r="J20" s="41">
        <f t="shared" si="7"/>
        <v>1170.538622</v>
      </c>
      <c r="K20" s="41">
        <f t="shared" si="7"/>
        <v>1193.522177</v>
      </c>
      <c r="L20" s="41">
        <f t="shared" si="7"/>
        <v>1223.891732</v>
      </c>
      <c r="M20" s="41">
        <f t="shared" si="7"/>
        <v>1239.433206</v>
      </c>
      <c r="N20" s="41">
        <f t="shared" si="7"/>
        <v>1220.715596</v>
      </c>
      <c r="O20" s="41">
        <f t="shared" si="7"/>
        <v>1190.84063</v>
      </c>
      <c r="P20" s="41">
        <f t="shared" si="7"/>
        <v>1152.322314</v>
      </c>
      <c r="Q20" s="41">
        <f t="shared" si="7"/>
        <v>1091.425633</v>
      </c>
      <c r="R20" s="41">
        <f t="shared" si="7"/>
        <v>1052.970874</v>
      </c>
      <c r="S20" s="41">
        <f t="shared" si="7"/>
        <v>1021.286566</v>
      </c>
      <c r="T20" s="41">
        <f t="shared" si="7"/>
        <v>1002.282055</v>
      </c>
      <c r="U20" s="41">
        <f t="shared" si="7"/>
        <v>994.0141271</v>
      </c>
      <c r="V20" s="41">
        <f t="shared" si="7"/>
        <v>991.1983311</v>
      </c>
      <c r="W20" s="41">
        <f t="shared" si="7"/>
        <v>995.1350763</v>
      </c>
      <c r="X20" s="41">
        <f t="shared" si="7"/>
        <v>988.7596754</v>
      </c>
      <c r="Y20" s="41">
        <f t="shared" si="7"/>
        <v>993.0286301</v>
      </c>
      <c r="Z20" s="41">
        <f t="shared" si="7"/>
        <v>985.158815</v>
      </c>
      <c r="AA20" s="41">
        <f t="shared" si="7"/>
        <v>989.4283064</v>
      </c>
      <c r="AB20" s="41">
        <f t="shared" si="7"/>
        <v>982.8247921</v>
      </c>
      <c r="AC20" s="41">
        <f t="shared" si="7"/>
        <v>987.1773892</v>
      </c>
      <c r="AD20" s="41">
        <f t="shared" si="7"/>
        <v>991.5605726</v>
      </c>
      <c r="AE20" s="41">
        <f t="shared" si="7"/>
        <v>995.9528107</v>
      </c>
      <c r="AF20" s="41">
        <f t="shared" si="7"/>
        <v>1000.171563</v>
      </c>
      <c r="AG20" s="41">
        <f t="shared" si="7"/>
        <v>1004.388447</v>
      </c>
      <c r="AH20" s="41">
        <f t="shared" si="7"/>
        <v>1008.445224</v>
      </c>
      <c r="AI20" s="41">
        <f t="shared" si="7"/>
        <v>1012.488869</v>
      </c>
      <c r="AJ20" s="41">
        <f t="shared" si="7"/>
        <v>1016.510167</v>
      </c>
      <c r="AK20" s="41">
        <f t="shared" si="7"/>
        <v>1020.377556</v>
      </c>
      <c r="AL20" s="41">
        <f t="shared" si="7"/>
        <v>1024.217277</v>
      </c>
    </row>
    <row r="21" ht="15.75" customHeight="1"/>
    <row r="22" ht="15.75" customHeight="1">
      <c r="A22" s="1" t="s">
        <v>40</v>
      </c>
      <c r="B22" s="39">
        <f t="array" ref="B22">INDEX(Revenue_Model_Churn_Count_1m,MATCH(B$1,Revenue_Model_Months,0))+INDEX(Revenue_Model_Churn_Count_12m,MATCH(B$1,Revenue_Model_Months,0))</f>
        <v>5</v>
      </c>
      <c r="C22" s="39">
        <f t="array" ref="C22">INDEX(Revenue_Model_Churn_Count_1m,MATCH(C$1,Revenue_Model_Months,0))+INDEX(Revenue_Model_Churn_Count_12m,MATCH(C$1,Revenue_Model_Months,0))</f>
        <v>5</v>
      </c>
      <c r="D22" s="39">
        <f t="array" ref="D22">INDEX(Revenue_Model_Churn_Count_1m,MATCH(D$1,Revenue_Model_Months,0))+INDEX(Revenue_Model_Churn_Count_12m,MATCH(D$1,Revenue_Model_Months,0))</f>
        <v>5</v>
      </c>
      <c r="E22" s="39">
        <f t="array" ref="E22">INDEX(Revenue_Model_Churn_Count_1m,MATCH(E$1,Revenue_Model_Months,0))+INDEX(Revenue_Model_Churn_Count_12m,MATCH(E$1,Revenue_Model_Months,0))</f>
        <v>6</v>
      </c>
      <c r="F22" s="39">
        <f t="array" ref="F22">INDEX(Revenue_Model_Churn_Count_1m,MATCH(F$1,Revenue_Model_Months,0))+INDEX(Revenue_Model_Churn_Count_12m,MATCH(F$1,Revenue_Model_Months,0))</f>
        <v>4</v>
      </c>
      <c r="G22" s="39">
        <f t="array" ref="G22">INDEX(Revenue_Model_Churn_Count_1m,MATCH(G$1,Revenue_Model_Months,0))+INDEX(Revenue_Model_Churn_Count_12m,MATCH(G$1,Revenue_Model_Months,0))</f>
        <v>6</v>
      </c>
      <c r="H22" s="39">
        <f t="array" ref="H22">INDEX(Revenue_Model_Churn_Count_1m,MATCH(H$1,Revenue_Model_Months,0))+INDEX(Revenue_Model_Churn_Count_12m,MATCH(H$1,Revenue_Model_Months,0))</f>
        <v>7</v>
      </c>
      <c r="I22" s="39">
        <f t="array" ref="I22">INDEX(Revenue_Model_Churn_Count_1m,MATCH(I$1,Revenue_Model_Months,0))+INDEX(Revenue_Model_Churn_Count_12m,MATCH(I$1,Revenue_Model_Months,0))</f>
        <v>9</v>
      </c>
      <c r="J22" s="39">
        <f t="array" ref="J22">INDEX(Revenue_Model_Churn_Count_1m,MATCH(J$1,Revenue_Model_Months,0))+INDEX(Revenue_Model_Churn_Count_12m,MATCH(J$1,Revenue_Model_Months,0))</f>
        <v>6</v>
      </c>
      <c r="K22" s="39">
        <f t="array" ref="K22">INDEX(Revenue_Model_Churn_Count_1m,MATCH(K$1,Revenue_Model_Months,0))+INDEX(Revenue_Model_Churn_Count_12m,MATCH(K$1,Revenue_Model_Months,0))</f>
        <v>9</v>
      </c>
      <c r="L22" s="39">
        <f t="array" ref="L22">INDEX(Revenue_Model_Churn_Count_1m,MATCH(L$1,Revenue_Model_Months,0))+INDEX(Revenue_Model_Churn_Count_12m,MATCH(L$1,Revenue_Model_Months,0))</f>
        <v>9</v>
      </c>
      <c r="M22" s="39">
        <f t="array" ref="M22">INDEX(Revenue_Model_Churn_Count_1m,MATCH(M$1,Revenue_Model_Months,0))+INDEX(Revenue_Model_Churn_Count_12m,MATCH(M$1,Revenue_Model_Months,0))</f>
        <v>6</v>
      </c>
      <c r="N22" s="39">
        <f t="array" ref="N22">INDEX(Revenue_Model_Churn_Count_1m,MATCH(N$1,Revenue_Model_Months,0))+INDEX(Revenue_Model_Churn_Count_12m,MATCH(N$1,Revenue_Model_Months,0))</f>
        <v>4</v>
      </c>
      <c r="O22" s="39">
        <f t="array" ref="O22">INDEX(Revenue_Model_Churn_Count_1m,MATCH(O$1,Revenue_Model_Months,0))+INDEX(Revenue_Model_Churn_Count_12m,MATCH(O$1,Revenue_Model_Months,0))</f>
        <v>1</v>
      </c>
      <c r="P22" s="39">
        <f t="array" ref="P22">INDEX(Revenue_Model_Churn_Count_1m,MATCH(P$1,Revenue_Model_Months,0))+INDEX(Revenue_Model_Churn_Count_12m,MATCH(P$1,Revenue_Model_Months,0))</f>
        <v>6</v>
      </c>
      <c r="Q22" s="39">
        <f t="array" ref="Q22">INDEX(Revenue_Model_Churn_Count_1m,MATCH(Q$1,Revenue_Model_Months,0))+INDEX(Revenue_Model_Churn_Count_12m,MATCH(Q$1,Revenue_Model_Months,0))</f>
        <v>9</v>
      </c>
      <c r="R22" s="39">
        <f t="array" ref="R22">INDEX(Revenue_Model_Churn_Count_1m,MATCH(R$1,Revenue_Model_Months,0))+INDEX(Revenue_Model_Churn_Count_12m,MATCH(R$1,Revenue_Model_Months,0))</f>
        <v>12</v>
      </c>
      <c r="S22" s="39">
        <f t="array" ref="S22">INDEX(Revenue_Model_Churn_Count_1m,MATCH(S$1,Revenue_Model_Months,0))+INDEX(Revenue_Model_Churn_Count_12m,MATCH(S$1,Revenue_Model_Months,0))</f>
        <v>11.742</v>
      </c>
      <c r="T22" s="39">
        <f t="array" ref="T22">INDEX(Revenue_Model_Churn_Count_1m,MATCH(T$1,Revenue_Model_Months,0))+INDEX(Revenue_Model_Churn_Count_12m,MATCH(T$1,Revenue_Model_Months,0))</f>
        <v>9.34887</v>
      </c>
      <c r="U22" s="39">
        <f t="array" ref="U22">INDEX(Revenue_Model_Churn_Count_1m,MATCH(U$1,Revenue_Model_Months,0))+INDEX(Revenue_Model_Churn_Count_12m,MATCH(U$1,Revenue_Model_Months,0))</f>
        <v>6.95100043</v>
      </c>
      <c r="V22" s="39">
        <f t="array" ref="V22">INDEX(Revenue_Model_Churn_Count_1m,MATCH(V$1,Revenue_Model_Months,0))+INDEX(Revenue_Model_Churn_Count_12m,MATCH(V$1,Revenue_Model_Months,0))</f>
        <v>7.083539425</v>
      </c>
      <c r="W22" s="39">
        <f t="array" ref="W22">INDEX(Revenue_Model_Churn_Count_1m,MATCH(W$1,Revenue_Model_Months,0))+INDEX(Revenue_Model_Churn_Count_12m,MATCH(W$1,Revenue_Model_Months,0))</f>
        <v>5.893871311</v>
      </c>
      <c r="X22" s="39">
        <f t="array" ref="X22">INDEX(Revenue_Model_Churn_Count_1m,MATCH(X$1,Revenue_Model_Months,0))+INDEX(Revenue_Model_Churn_Count_12m,MATCH(X$1,Revenue_Model_Months,0))</f>
        <v>6.00282647</v>
      </c>
      <c r="Y22" s="39">
        <f t="array" ref="Y22">INDEX(Revenue_Model_Churn_Count_1m,MATCH(Y$1,Revenue_Model_Months,0))+INDEX(Revenue_Model_Churn_Count_12m,MATCH(Y$1,Revenue_Model_Months,0))</f>
        <v>6.119801031</v>
      </c>
      <c r="Z22" s="39">
        <f t="array" ref="Z22">INDEX(Revenue_Model_Churn_Count_1m,MATCH(Z$1,Revenue_Model_Months,0))+INDEX(Revenue_Model_Churn_Count_12m,MATCH(Z$1,Revenue_Model_Months,0))</f>
        <v>6.235722822</v>
      </c>
      <c r="AA22" s="39">
        <f t="array" ref="AA22">INDEX(Revenue_Model_Churn_Count_1m,MATCH(AA$1,Revenue_Model_Months,0))+INDEX(Revenue_Model_Churn_Count_12m,MATCH(AA$1,Revenue_Model_Months,0))</f>
        <v>6.359601317</v>
      </c>
      <c r="AB22" s="39">
        <f t="array" ref="AB22">INDEX(Revenue_Model_Churn_Count_1m,MATCH(AB$1,Revenue_Model_Months,0))+INDEX(Revenue_Model_Churn_Count_12m,MATCH(AB$1,Revenue_Model_Months,0))</f>
        <v>6.482364905</v>
      </c>
      <c r="AC22" s="39">
        <f t="array" ref="AC22">INDEX(Revenue_Model_Churn_Count_1m,MATCH(AC$1,Revenue_Model_Months,0))+INDEX(Revenue_Model_Churn_Count_12m,MATCH(AC$1,Revenue_Model_Months,0))</f>
        <v>6.613023621</v>
      </c>
      <c r="AD22" s="39">
        <f t="array" ref="AD22">INDEX(Revenue_Model_Churn_Count_1m,MATCH(AD$1,Revenue_Model_Months,0))+INDEX(Revenue_Model_Churn_Count_12m,MATCH(AD$1,Revenue_Model_Months,0))</f>
        <v>6.742506408</v>
      </c>
      <c r="AE22" s="39">
        <f t="array" ref="AE22">INDEX(Revenue_Model_Churn_Count_1m,MATCH(AE$1,Revenue_Model_Months,0))+INDEX(Revenue_Model_Churn_Count_12m,MATCH(AE$1,Revenue_Model_Months,0))</f>
        <v>6.87982385</v>
      </c>
      <c r="AF22" s="39">
        <f t="array" ref="AF22">INDEX(Revenue_Model_Churn_Count_1m,MATCH(AF$1,Revenue_Model_Months,0))+INDEX(Revenue_Model_Churn_Count_12m,MATCH(AF$1,Revenue_Model_Months,0))</f>
        <v>7.024905436</v>
      </c>
      <c r="AG22" s="39">
        <f t="array" ref="AG22">INDEX(Revenue_Model_Churn_Count_1m,MATCH(AG$1,Revenue_Model_Months,0))+INDEX(Revenue_Model_Churn_Count_12m,MATCH(AG$1,Revenue_Model_Months,0))</f>
        <v>7.168681287</v>
      </c>
      <c r="AH22" s="39">
        <f t="array" ref="AH22">INDEX(Revenue_Model_Churn_Count_1m,MATCH(AH$1,Revenue_Model_Months,0))+INDEX(Revenue_Model_Churn_Count_12m,MATCH(AH$1,Revenue_Model_Months,0))</f>
        <v>7.320163155</v>
      </c>
      <c r="AI22" s="39">
        <f t="array" ref="AI22">INDEX(Revenue_Model_Churn_Count_1m,MATCH(AI$1,Revenue_Model_Months,0))+INDEX(Revenue_Model_Churn_Count_12m,MATCH(AI$1,Revenue_Model_Months,0))</f>
        <v>7.470281687</v>
      </c>
      <c r="AJ22" s="39">
        <f t="array" ref="AJ22">INDEX(Revenue_Model_Churn_Count_1m,MATCH(AJ$1,Revenue_Model_Months,0))+INDEX(Revenue_Model_Churn_Count_12m,MATCH(AJ$1,Revenue_Model_Months,0))</f>
        <v>7.628049152</v>
      </c>
      <c r="AK22" s="39">
        <f t="array" ref="AK22">INDEX(Revenue_Model_Churn_Count_1m,MATCH(AK$1,Revenue_Model_Months,0))+INDEX(Revenue_Model_Churn_Count_12m,MATCH(AK$1,Revenue_Model_Months,0))</f>
        <v>7.793396709</v>
      </c>
      <c r="AL22" s="39">
        <f t="array" ref="AL22">INDEX(Revenue_Model_Churn_Count_1m,MATCH(AL$1,Revenue_Model_Months,0))+INDEX(Revenue_Model_Churn_Count_12m,MATCH(AL$1,Revenue_Model_Months,0))</f>
        <v>7.957256139</v>
      </c>
    </row>
    <row r="23" ht="15.75" customHeight="1">
      <c r="A23" s="1" t="s">
        <v>41</v>
      </c>
      <c r="C23" s="43">
        <f t="shared" ref="C23:AL23" si="8">C22/B$18</f>
        <v>0.01547987616</v>
      </c>
      <c r="D23" s="43">
        <f t="shared" si="8"/>
        <v>0.01501501502</v>
      </c>
      <c r="E23" s="43">
        <f t="shared" si="8"/>
        <v>0.01699716714</v>
      </c>
      <c r="F23" s="43">
        <f t="shared" si="8"/>
        <v>0.01098901099</v>
      </c>
      <c r="G23" s="43">
        <f t="shared" si="8"/>
        <v>0.01507537688</v>
      </c>
      <c r="H23" s="43">
        <f t="shared" si="8"/>
        <v>0.01699029126</v>
      </c>
      <c r="I23" s="43">
        <f t="shared" si="8"/>
        <v>0.02073732719</v>
      </c>
      <c r="J23" s="43">
        <f t="shared" si="8"/>
        <v>0.01312910284</v>
      </c>
      <c r="K23" s="43">
        <f t="shared" si="8"/>
        <v>0.01878914405</v>
      </c>
      <c r="L23" s="43">
        <f t="shared" si="8"/>
        <v>0.01814516129</v>
      </c>
      <c r="M23" s="43">
        <f t="shared" si="8"/>
        <v>0.01181102362</v>
      </c>
      <c r="N23" s="43">
        <f t="shared" si="8"/>
        <v>0.007633587786</v>
      </c>
      <c r="O23" s="43">
        <f t="shared" si="8"/>
        <v>0.001834862385</v>
      </c>
      <c r="P23" s="43">
        <f t="shared" si="8"/>
        <v>0.01050788091</v>
      </c>
      <c r="Q23" s="43">
        <f t="shared" si="8"/>
        <v>0.01487603306</v>
      </c>
      <c r="R23" s="43">
        <f t="shared" si="8"/>
        <v>0.01948051948</v>
      </c>
      <c r="S23" s="43">
        <f t="shared" si="8"/>
        <v>0.019</v>
      </c>
      <c r="T23" s="43">
        <f t="shared" si="8"/>
        <v>0.015</v>
      </c>
      <c r="U23" s="43">
        <f t="shared" si="8"/>
        <v>0.011</v>
      </c>
      <c r="V23" s="43">
        <f t="shared" si="8"/>
        <v>0.011</v>
      </c>
      <c r="W23" s="43">
        <f t="shared" si="8"/>
        <v>0.009</v>
      </c>
      <c r="X23" s="43">
        <f t="shared" si="8"/>
        <v>0.009</v>
      </c>
      <c r="Y23" s="43">
        <f t="shared" si="8"/>
        <v>0.009</v>
      </c>
      <c r="Z23" s="43">
        <f t="shared" si="8"/>
        <v>0.009</v>
      </c>
      <c r="AA23" s="43">
        <f t="shared" si="8"/>
        <v>0.009</v>
      </c>
      <c r="AB23" s="43">
        <f t="shared" si="8"/>
        <v>0.009</v>
      </c>
      <c r="AC23" s="43">
        <f t="shared" si="8"/>
        <v>0.009</v>
      </c>
      <c r="AD23" s="43">
        <f t="shared" si="8"/>
        <v>0.009</v>
      </c>
      <c r="AE23" s="43">
        <f t="shared" si="8"/>
        <v>0.009</v>
      </c>
      <c r="AF23" s="43">
        <f t="shared" si="8"/>
        <v>0.009</v>
      </c>
      <c r="AG23" s="43">
        <f t="shared" si="8"/>
        <v>0.009</v>
      </c>
      <c r="AH23" s="43">
        <f t="shared" si="8"/>
        <v>0.009</v>
      </c>
      <c r="AI23" s="43">
        <f t="shared" si="8"/>
        <v>0.009</v>
      </c>
      <c r="AJ23" s="43">
        <f t="shared" si="8"/>
        <v>0.009</v>
      </c>
      <c r="AK23" s="43">
        <f t="shared" si="8"/>
        <v>0.009</v>
      </c>
      <c r="AL23" s="43">
        <f t="shared" si="8"/>
        <v>0.009</v>
      </c>
    </row>
    <row r="24" ht="15.75" customHeight="1">
      <c r="A24" s="1" t="s">
        <v>42</v>
      </c>
      <c r="C24" s="44">
        <f t="shared" ref="C24:AL24" si="9">1/C23</f>
        <v>64.6</v>
      </c>
      <c r="D24" s="44">
        <f t="shared" si="9"/>
        <v>66.6</v>
      </c>
      <c r="E24" s="44">
        <f t="shared" si="9"/>
        <v>58.83333333</v>
      </c>
      <c r="F24" s="44">
        <f t="shared" si="9"/>
        <v>91</v>
      </c>
      <c r="G24" s="44">
        <f t="shared" si="9"/>
        <v>66.33333333</v>
      </c>
      <c r="H24" s="44">
        <f t="shared" si="9"/>
        <v>58.85714286</v>
      </c>
      <c r="I24" s="44">
        <f t="shared" si="9"/>
        <v>48.22222222</v>
      </c>
      <c r="J24" s="44">
        <f t="shared" si="9"/>
        <v>76.16666667</v>
      </c>
      <c r="K24" s="44">
        <f t="shared" si="9"/>
        <v>53.22222222</v>
      </c>
      <c r="L24" s="44">
        <f t="shared" si="9"/>
        <v>55.11111111</v>
      </c>
      <c r="M24" s="44">
        <f t="shared" si="9"/>
        <v>84.66666667</v>
      </c>
      <c r="N24" s="44">
        <f t="shared" si="9"/>
        <v>131</v>
      </c>
      <c r="O24" s="44">
        <f t="shared" si="9"/>
        <v>545</v>
      </c>
      <c r="P24" s="44">
        <f t="shared" si="9"/>
        <v>95.16666667</v>
      </c>
      <c r="Q24" s="44">
        <f t="shared" si="9"/>
        <v>67.22222222</v>
      </c>
      <c r="R24" s="44">
        <f t="shared" si="9"/>
        <v>51.33333333</v>
      </c>
      <c r="S24" s="44">
        <f t="shared" si="9"/>
        <v>52.63157895</v>
      </c>
      <c r="T24" s="44">
        <f t="shared" si="9"/>
        <v>66.66666667</v>
      </c>
      <c r="U24" s="44">
        <f t="shared" si="9"/>
        <v>90.90909091</v>
      </c>
      <c r="V24" s="44">
        <f t="shared" si="9"/>
        <v>90.90909091</v>
      </c>
      <c r="W24" s="44">
        <f t="shared" si="9"/>
        <v>111.1111111</v>
      </c>
      <c r="X24" s="44">
        <f t="shared" si="9"/>
        <v>111.1111111</v>
      </c>
      <c r="Y24" s="44">
        <f t="shared" si="9"/>
        <v>111.1111111</v>
      </c>
      <c r="Z24" s="44">
        <f t="shared" si="9"/>
        <v>111.1111111</v>
      </c>
      <c r="AA24" s="44">
        <f t="shared" si="9"/>
        <v>111.1111111</v>
      </c>
      <c r="AB24" s="44">
        <f t="shared" si="9"/>
        <v>111.1111111</v>
      </c>
      <c r="AC24" s="44">
        <f t="shared" si="9"/>
        <v>111.1111111</v>
      </c>
      <c r="AD24" s="44">
        <f t="shared" si="9"/>
        <v>111.1111111</v>
      </c>
      <c r="AE24" s="44">
        <f t="shared" si="9"/>
        <v>111.1111111</v>
      </c>
      <c r="AF24" s="44">
        <f t="shared" si="9"/>
        <v>111.1111111</v>
      </c>
      <c r="AG24" s="44">
        <f t="shared" si="9"/>
        <v>111.1111111</v>
      </c>
      <c r="AH24" s="44">
        <f t="shared" si="9"/>
        <v>111.1111111</v>
      </c>
      <c r="AI24" s="44">
        <f t="shared" si="9"/>
        <v>111.1111111</v>
      </c>
      <c r="AJ24" s="44">
        <f t="shared" si="9"/>
        <v>111.1111111</v>
      </c>
      <c r="AK24" s="44">
        <f t="shared" si="9"/>
        <v>111.1111111</v>
      </c>
      <c r="AL24" s="44">
        <f t="shared" si="9"/>
        <v>111.1111111</v>
      </c>
    </row>
    <row r="25" ht="15.75" customHeight="1">
      <c r="A25" s="1" t="s">
        <v>43</v>
      </c>
      <c r="C25" s="41">
        <f t="shared" ref="C25:AL25" si="10">C20*C24</f>
        <v>76277.27447</v>
      </c>
      <c r="D25" s="41">
        <f t="shared" si="10"/>
        <v>78128.4034</v>
      </c>
      <c r="E25" s="41">
        <f t="shared" si="10"/>
        <v>69165.85668</v>
      </c>
      <c r="F25" s="41">
        <f t="shared" si="10"/>
        <v>110451.593</v>
      </c>
      <c r="G25" s="41">
        <f t="shared" si="10"/>
        <v>79010.24515</v>
      </c>
      <c r="H25" s="41">
        <f t="shared" si="10"/>
        <v>69949.95128</v>
      </c>
      <c r="I25" s="41">
        <f t="shared" si="10"/>
        <v>56421.26623</v>
      </c>
      <c r="J25" s="41">
        <f t="shared" si="10"/>
        <v>89156.02505</v>
      </c>
      <c r="K25" s="41">
        <f t="shared" si="10"/>
        <v>63521.90255</v>
      </c>
      <c r="L25" s="41">
        <f t="shared" si="10"/>
        <v>67450.03325</v>
      </c>
      <c r="M25" s="41">
        <f t="shared" si="10"/>
        <v>104938.6781</v>
      </c>
      <c r="N25" s="41">
        <f t="shared" si="10"/>
        <v>159913.7431</v>
      </c>
      <c r="O25" s="41">
        <f t="shared" si="10"/>
        <v>649008.1436</v>
      </c>
      <c r="P25" s="41">
        <f t="shared" si="10"/>
        <v>109662.6736</v>
      </c>
      <c r="Q25" s="41">
        <f t="shared" si="10"/>
        <v>73368.05645</v>
      </c>
      <c r="R25" s="41">
        <f t="shared" si="10"/>
        <v>54052.50485</v>
      </c>
      <c r="S25" s="41">
        <f t="shared" si="10"/>
        <v>53751.92452</v>
      </c>
      <c r="T25" s="41">
        <f t="shared" si="10"/>
        <v>66818.80367</v>
      </c>
      <c r="U25" s="41">
        <f t="shared" si="10"/>
        <v>90364.92065</v>
      </c>
      <c r="V25" s="41">
        <f t="shared" si="10"/>
        <v>90108.93919</v>
      </c>
      <c r="W25" s="41">
        <f t="shared" si="10"/>
        <v>110570.564</v>
      </c>
      <c r="X25" s="41">
        <f t="shared" si="10"/>
        <v>109862.1862</v>
      </c>
      <c r="Y25" s="41">
        <f t="shared" si="10"/>
        <v>110336.5145</v>
      </c>
      <c r="Z25" s="41">
        <f t="shared" si="10"/>
        <v>109462.0906</v>
      </c>
      <c r="AA25" s="41">
        <f t="shared" si="10"/>
        <v>109936.4785</v>
      </c>
      <c r="AB25" s="41">
        <f t="shared" si="10"/>
        <v>109202.7547</v>
      </c>
      <c r="AC25" s="41">
        <f t="shared" si="10"/>
        <v>109686.3766</v>
      </c>
      <c r="AD25" s="41">
        <f t="shared" si="10"/>
        <v>110173.397</v>
      </c>
      <c r="AE25" s="41">
        <f t="shared" si="10"/>
        <v>110661.4234</v>
      </c>
      <c r="AF25" s="41">
        <f t="shared" si="10"/>
        <v>111130.1736</v>
      </c>
      <c r="AG25" s="41">
        <f t="shared" si="10"/>
        <v>111598.7164</v>
      </c>
      <c r="AH25" s="41">
        <f t="shared" si="10"/>
        <v>112049.4694</v>
      </c>
      <c r="AI25" s="41">
        <f t="shared" si="10"/>
        <v>112498.7632</v>
      </c>
      <c r="AJ25" s="41">
        <f t="shared" si="10"/>
        <v>112945.5741</v>
      </c>
      <c r="AK25" s="41">
        <f t="shared" si="10"/>
        <v>113375.284</v>
      </c>
      <c r="AL25" s="41">
        <f t="shared" si="10"/>
        <v>113801.9197</v>
      </c>
    </row>
    <row r="26" ht="15.75" customHeight="1"/>
    <row r="27" ht="15.75" customHeight="1">
      <c r="A27" s="7" t="s">
        <v>44</v>
      </c>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row>
    <row r="28" ht="15.75" customHeight="1">
      <c r="A28" s="1" t="s">
        <v>45</v>
      </c>
      <c r="B28" s="44"/>
      <c r="C28" s="44">
        <f t="shared" ref="C28:AL28" si="11">C$5/C$20</f>
        <v>13.36373444</v>
      </c>
      <c r="D28" s="44">
        <f t="shared" si="11"/>
        <v>9.077425381</v>
      </c>
      <c r="E28" s="44">
        <f t="shared" si="11"/>
        <v>13.53514419</v>
      </c>
      <c r="F28" s="44">
        <f t="shared" si="11"/>
        <v>5.816275506</v>
      </c>
      <c r="G28" s="44">
        <f t="shared" si="11"/>
        <v>12.11240726</v>
      </c>
      <c r="H28" s="44">
        <f t="shared" si="11"/>
        <v>8.284368773</v>
      </c>
      <c r="I28" s="44">
        <f t="shared" si="11"/>
        <v>7.588665158</v>
      </c>
      <c r="J28" s="44">
        <f t="shared" si="11"/>
        <v>8.174157166</v>
      </c>
      <c r="K28" s="44">
        <f t="shared" si="11"/>
        <v>9.48459705</v>
      </c>
      <c r="L28" s="44">
        <f t="shared" si="11"/>
        <v>10.796979</v>
      </c>
      <c r="M28" s="44">
        <f t="shared" si="11"/>
        <v>10.79588046</v>
      </c>
      <c r="N28" s="44">
        <f t="shared" si="11"/>
        <v>10.11459183</v>
      </c>
      <c r="O28" s="44">
        <f t="shared" si="11"/>
        <v>10.50289995</v>
      </c>
      <c r="P28" s="44">
        <f t="shared" si="11"/>
        <v>10.13109403</v>
      </c>
      <c r="Q28" s="44">
        <f t="shared" si="11"/>
        <v>13.589657</v>
      </c>
      <c r="R28" s="44">
        <f t="shared" si="11"/>
        <v>19.3042241</v>
      </c>
      <c r="S28" s="44">
        <f t="shared" si="11"/>
        <v>15.87551708</v>
      </c>
      <c r="T28" s="44">
        <f t="shared" si="11"/>
        <v>16.09865977</v>
      </c>
      <c r="U28" s="44">
        <f t="shared" si="11"/>
        <v>16.19402144</v>
      </c>
      <c r="V28" s="44">
        <f t="shared" si="11"/>
        <v>18.01344736</v>
      </c>
      <c r="W28" s="44">
        <f t="shared" si="11"/>
        <v>18.82886561</v>
      </c>
      <c r="X28" s="44">
        <f t="shared" si="11"/>
        <v>20.48860293</v>
      </c>
      <c r="Y28" s="44">
        <f t="shared" si="11"/>
        <v>21.24573336</v>
      </c>
      <c r="Z28" s="44">
        <f t="shared" si="11"/>
        <v>22.76234937</v>
      </c>
      <c r="AA28" s="44">
        <f t="shared" si="11"/>
        <v>23.47249838</v>
      </c>
      <c r="AB28" s="44">
        <f t="shared" si="11"/>
        <v>24.81570128</v>
      </c>
      <c r="AC28" s="44">
        <f t="shared" si="11"/>
        <v>25.48050188</v>
      </c>
      <c r="AD28" s="44">
        <f t="shared" si="11"/>
        <v>26.40345447</v>
      </c>
      <c r="AE28" s="44">
        <f t="shared" si="11"/>
        <v>25.85006386</v>
      </c>
      <c r="AF28" s="44">
        <f t="shared" si="11"/>
        <v>26.44364255</v>
      </c>
      <c r="AG28" s="44">
        <f t="shared" si="11"/>
        <v>25.9084264</v>
      </c>
      <c r="AH28" s="44">
        <f t="shared" si="11"/>
        <v>26.47413511</v>
      </c>
      <c r="AI28" s="44">
        <f t="shared" si="11"/>
        <v>25.95658241</v>
      </c>
      <c r="AJ28" s="44">
        <f t="shared" si="11"/>
        <v>25.47749421</v>
      </c>
      <c r="AK28" s="44">
        <f t="shared" si="11"/>
        <v>25.99620739</v>
      </c>
      <c r="AL28" s="44">
        <f t="shared" si="11"/>
        <v>25.53192567</v>
      </c>
    </row>
    <row r="29" ht="15.75" customHeight="1">
      <c r="A29" s="1" t="s">
        <v>46</v>
      </c>
      <c r="C29" s="44">
        <f t="shared" ref="C29:AL29" si="12">C$10/C$20</f>
        <v>14.31638135</v>
      </c>
      <c r="D29" s="44">
        <f t="shared" si="12"/>
        <v>11.10889334</v>
      </c>
      <c r="E29" s="44">
        <f t="shared" si="12"/>
        <v>14.95385999</v>
      </c>
      <c r="F29" s="44">
        <f t="shared" si="12"/>
        <v>6.442080923</v>
      </c>
      <c r="G29" s="44">
        <f t="shared" si="12"/>
        <v>14.36761606</v>
      </c>
      <c r="H29" s="44">
        <f t="shared" si="12"/>
        <v>14.2007786</v>
      </c>
      <c r="I29" s="44">
        <f t="shared" si="12"/>
        <v>9.470955535</v>
      </c>
      <c r="J29" s="44">
        <f t="shared" si="12"/>
        <v>8.443624199</v>
      </c>
      <c r="K29" s="44">
        <f t="shared" si="12"/>
        <v>10.30048488</v>
      </c>
      <c r="L29" s="44">
        <f t="shared" si="12"/>
        <v>12.42291258</v>
      </c>
      <c r="M29" s="44">
        <f t="shared" si="12"/>
        <v>11.95649161</v>
      </c>
      <c r="N29" s="44">
        <f t="shared" si="12"/>
        <v>11.97528459</v>
      </c>
      <c r="O29" s="44">
        <f t="shared" si="12"/>
        <v>12.55604622</v>
      </c>
      <c r="P29" s="44">
        <f t="shared" si="12"/>
        <v>11.51488345</v>
      </c>
      <c r="Q29" s="44">
        <f t="shared" si="12"/>
        <v>16.10407477</v>
      </c>
      <c r="R29" s="44">
        <f t="shared" si="12"/>
        <v>22.72061218</v>
      </c>
      <c r="S29" s="44">
        <f t="shared" si="12"/>
        <v>16.7087475</v>
      </c>
      <c r="T29" s="44">
        <f t="shared" si="12"/>
        <v>19.0812633</v>
      </c>
      <c r="U29" s="44">
        <f t="shared" si="12"/>
        <v>19.87792638</v>
      </c>
      <c r="V29" s="44">
        <f t="shared" si="12"/>
        <v>18.82553641</v>
      </c>
      <c r="W29" s="44">
        <f t="shared" si="12"/>
        <v>19.25102254</v>
      </c>
      <c r="X29" s="44">
        <f t="shared" si="12"/>
        <v>19.38445904</v>
      </c>
      <c r="Y29" s="44">
        <f t="shared" si="12"/>
        <v>19.13720423</v>
      </c>
      <c r="Z29" s="44">
        <f t="shared" si="12"/>
        <v>19.39334902</v>
      </c>
      <c r="AA29" s="44">
        <f t="shared" si="12"/>
        <v>19.29443669</v>
      </c>
      <c r="AB29" s="44">
        <f t="shared" si="12"/>
        <v>19.40141488</v>
      </c>
      <c r="AC29" s="44">
        <f t="shared" si="12"/>
        <v>19.33528573</v>
      </c>
      <c r="AD29" s="44">
        <f t="shared" si="12"/>
        <v>19.24435524</v>
      </c>
      <c r="AE29" s="44">
        <f t="shared" si="12"/>
        <v>19.15692169</v>
      </c>
      <c r="AF29" s="44">
        <f t="shared" si="12"/>
        <v>19.07949657</v>
      </c>
      <c r="AG29" s="44">
        <f t="shared" si="12"/>
        <v>18.99800858</v>
      </c>
      <c r="AH29" s="44">
        <f t="shared" si="12"/>
        <v>18.92141325</v>
      </c>
      <c r="AI29" s="44">
        <f t="shared" si="12"/>
        <v>18.84639449</v>
      </c>
      <c r="AJ29" s="44">
        <f t="shared" si="12"/>
        <v>18.77153522</v>
      </c>
      <c r="AK29" s="44">
        <f t="shared" si="12"/>
        <v>18.70041112</v>
      </c>
      <c r="AL29" s="44">
        <f t="shared" si="12"/>
        <v>18.6303862</v>
      </c>
    </row>
    <row r="30" ht="15.75" customHeight="1">
      <c r="A30" s="7"/>
      <c r="B30" s="44"/>
      <c r="C30" s="44"/>
      <c r="D30" s="45"/>
      <c r="E30" s="45"/>
      <c r="F30" s="45"/>
      <c r="G30" s="45"/>
      <c r="H30" s="45"/>
      <c r="I30" s="45"/>
      <c r="J30" s="45"/>
      <c r="K30" s="45"/>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c r="AL30" s="45"/>
    </row>
    <row r="31" ht="15.75" customHeight="1">
      <c r="A31" s="7" t="s">
        <v>47</v>
      </c>
      <c r="B31" s="44"/>
      <c r="C31" s="44"/>
      <c r="D31" s="45"/>
      <c r="E31" s="45"/>
      <c r="F31" s="45"/>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row>
    <row r="32" ht="15.75" customHeight="1">
      <c r="A32" s="1" t="s">
        <v>45</v>
      </c>
      <c r="B32" s="44"/>
      <c r="C32" s="45">
        <f t="shared" ref="C32:AL32" si="13">C$25/C$5</f>
        <v>4.833978128</v>
      </c>
      <c r="D32" s="45">
        <f t="shared" si="13"/>
        <v>7.336882123</v>
      </c>
      <c r="E32" s="45">
        <f t="shared" si="13"/>
        <v>4.34670902</v>
      </c>
      <c r="F32" s="45">
        <f t="shared" si="13"/>
        <v>15.64575129</v>
      </c>
      <c r="G32" s="45">
        <f t="shared" si="13"/>
        <v>5.476478121</v>
      </c>
      <c r="H32" s="45">
        <f t="shared" si="13"/>
        <v>7.104601988</v>
      </c>
      <c r="I32" s="45">
        <f t="shared" si="13"/>
        <v>6.354506519</v>
      </c>
      <c r="J32" s="45">
        <f t="shared" si="13"/>
        <v>9.317984119</v>
      </c>
      <c r="K32" s="45">
        <f t="shared" si="13"/>
        <v>5.611437359</v>
      </c>
      <c r="L32" s="45">
        <f t="shared" si="13"/>
        <v>5.104308446</v>
      </c>
      <c r="M32" s="45">
        <f t="shared" si="13"/>
        <v>7.842497609</v>
      </c>
      <c r="N32" s="45">
        <f t="shared" si="13"/>
        <v>12.95158541</v>
      </c>
      <c r="O32" s="45">
        <f t="shared" si="13"/>
        <v>51.8904305</v>
      </c>
      <c r="P32" s="45">
        <f t="shared" si="13"/>
        <v>9.393523187</v>
      </c>
      <c r="Q32" s="45">
        <f t="shared" si="13"/>
        <v>4.946572397</v>
      </c>
      <c r="R32" s="45">
        <f t="shared" si="13"/>
        <v>2.659176203</v>
      </c>
      <c r="S32" s="45">
        <f t="shared" si="13"/>
        <v>3.315267066</v>
      </c>
      <c r="T32" s="45">
        <f t="shared" si="13"/>
        <v>4.141131475</v>
      </c>
      <c r="U32" s="45">
        <f t="shared" si="13"/>
        <v>5.613744012</v>
      </c>
      <c r="V32" s="45">
        <f t="shared" si="13"/>
        <v>5.046734757</v>
      </c>
      <c r="W32" s="45">
        <f t="shared" si="13"/>
        <v>5.901104899</v>
      </c>
      <c r="X32" s="45">
        <f t="shared" si="13"/>
        <v>5.423069181</v>
      </c>
      <c r="Y32" s="45">
        <f t="shared" si="13"/>
        <v>5.229808227</v>
      </c>
      <c r="Z32" s="45">
        <f t="shared" si="13"/>
        <v>4.881355141</v>
      </c>
      <c r="AA32" s="45">
        <f t="shared" si="13"/>
        <v>4.733672117</v>
      </c>
      <c r="AB32" s="45">
        <f t="shared" si="13"/>
        <v>4.47745199</v>
      </c>
      <c r="AC32" s="45">
        <f t="shared" si="13"/>
        <v>4.360632755</v>
      </c>
      <c r="AD32" s="45">
        <f t="shared" si="13"/>
        <v>4.20820356</v>
      </c>
      <c r="AE32" s="45">
        <f t="shared" si="13"/>
        <v>4.298291552</v>
      </c>
      <c r="AF32" s="45">
        <f t="shared" si="13"/>
        <v>4.201808087</v>
      </c>
      <c r="AG32" s="45">
        <f t="shared" si="13"/>
        <v>4.288609018</v>
      </c>
      <c r="AH32" s="45">
        <f t="shared" si="13"/>
        <v>4.196968499</v>
      </c>
      <c r="AI32" s="45">
        <f t="shared" si="13"/>
        <v>4.280652566</v>
      </c>
      <c r="AJ32" s="45">
        <f t="shared" si="13"/>
        <v>4.361147537</v>
      </c>
      <c r="AK32" s="45">
        <f t="shared" si="13"/>
        <v>4.27412774</v>
      </c>
      <c r="AL32" s="45">
        <f t="shared" si="13"/>
        <v>4.351850015</v>
      </c>
    </row>
    <row r="33" ht="15.75" customHeight="1">
      <c r="A33" s="1" t="s">
        <v>46</v>
      </c>
      <c r="C33" s="45">
        <f t="shared" ref="C33:AL33" si="14">C$25/C$10</f>
        <v>4.51231344</v>
      </c>
      <c r="D33" s="45">
        <f t="shared" si="14"/>
        <v>5.995196639</v>
      </c>
      <c r="E33" s="45">
        <f t="shared" si="14"/>
        <v>3.934324206</v>
      </c>
      <c r="F33" s="45">
        <f t="shared" si="14"/>
        <v>14.12587036</v>
      </c>
      <c r="G33" s="45">
        <f t="shared" si="14"/>
        <v>4.616864279</v>
      </c>
      <c r="H33" s="45">
        <f t="shared" si="14"/>
        <v>4.14464196</v>
      </c>
      <c r="I33" s="45">
        <f t="shared" si="14"/>
        <v>5.091589971</v>
      </c>
      <c r="J33" s="45">
        <f t="shared" si="14"/>
        <v>9.020613054</v>
      </c>
      <c r="K33" s="45">
        <f t="shared" si="14"/>
        <v>5.166962802</v>
      </c>
      <c r="L33" s="45">
        <f t="shared" si="14"/>
        <v>4.436247196</v>
      </c>
      <c r="M33" s="45">
        <f t="shared" si="14"/>
        <v>7.081229966</v>
      </c>
      <c r="N33" s="45">
        <f t="shared" si="14"/>
        <v>10.93919723</v>
      </c>
      <c r="O33" s="45">
        <f t="shared" si="14"/>
        <v>43.40538338</v>
      </c>
      <c r="P33" s="45">
        <f t="shared" si="14"/>
        <v>8.26466608</v>
      </c>
      <c r="Q33" s="45">
        <f t="shared" si="14"/>
        <v>4.174236843</v>
      </c>
      <c r="R33" s="45">
        <f t="shared" si="14"/>
        <v>2.259328795</v>
      </c>
      <c r="S33" s="45">
        <f t="shared" si="14"/>
        <v>3.149941607</v>
      </c>
      <c r="T33" s="45">
        <f t="shared" si="14"/>
        <v>3.49382877</v>
      </c>
      <c r="U33" s="45">
        <f t="shared" si="14"/>
        <v>4.57336893</v>
      </c>
      <c r="V33" s="45">
        <f t="shared" si="14"/>
        <v>4.829030574</v>
      </c>
      <c r="W33" s="45">
        <f t="shared" si="14"/>
        <v>5.771699184</v>
      </c>
      <c r="X33" s="45">
        <f t="shared" si="14"/>
        <v>5.731968628</v>
      </c>
      <c r="Y33" s="45">
        <f t="shared" si="14"/>
        <v>5.806026302</v>
      </c>
      <c r="Z33" s="45">
        <f t="shared" si="14"/>
        <v>5.729341075</v>
      </c>
      <c r="AA33" s="45">
        <f t="shared" si="14"/>
        <v>5.758712362</v>
      </c>
      <c r="AB33" s="45">
        <f t="shared" si="14"/>
        <v>5.726959184</v>
      </c>
      <c r="AC33" s="45">
        <f t="shared" si="14"/>
        <v>5.746546116</v>
      </c>
      <c r="AD33" s="45">
        <f t="shared" si="14"/>
        <v>5.773698819</v>
      </c>
      <c r="AE33" s="45">
        <f t="shared" si="14"/>
        <v>5.800050389</v>
      </c>
      <c r="AF33" s="45">
        <f t="shared" si="14"/>
        <v>5.823587154</v>
      </c>
      <c r="AG33" s="45">
        <f t="shared" si="14"/>
        <v>5.848566214</v>
      </c>
      <c r="AH33" s="45">
        <f t="shared" si="14"/>
        <v>5.872241659</v>
      </c>
      <c r="AI33" s="45">
        <f t="shared" si="14"/>
        <v>5.895616329</v>
      </c>
      <c r="AJ33" s="45">
        <f t="shared" si="14"/>
        <v>5.919127542</v>
      </c>
      <c r="AK33" s="45">
        <f t="shared" si="14"/>
        <v>5.941640021</v>
      </c>
      <c r="AL33" s="45">
        <f t="shared" si="14"/>
        <v>5.963972507</v>
      </c>
    </row>
    <row r="34" ht="15.75" customHeight="1">
      <c r="A34" s="1"/>
      <c r="C34" s="46"/>
      <c r="N34" s="46"/>
    </row>
    <row r="35" ht="15.75" customHeight="1">
      <c r="A35" s="36" t="s">
        <v>48</v>
      </c>
      <c r="B35" s="47">
        <f>EDATE(C35,-3)</f>
        <v>43374</v>
      </c>
      <c r="C35" s="47">
        <v>43466.0</v>
      </c>
      <c r="D35" s="48">
        <f t="shared" ref="D35:O35" si="15">EDATE(C35,3)</f>
        <v>43556</v>
      </c>
      <c r="E35" s="49">
        <f t="shared" si="15"/>
        <v>43647</v>
      </c>
      <c r="F35" s="50">
        <f t="shared" si="15"/>
        <v>43739</v>
      </c>
      <c r="G35" s="47">
        <f t="shared" si="15"/>
        <v>43831</v>
      </c>
      <c r="H35" s="48">
        <f t="shared" si="15"/>
        <v>43922</v>
      </c>
      <c r="I35" s="49">
        <f t="shared" si="15"/>
        <v>44013</v>
      </c>
      <c r="J35" s="50">
        <f t="shared" si="15"/>
        <v>44105</v>
      </c>
      <c r="K35" s="47">
        <f t="shared" si="15"/>
        <v>44197</v>
      </c>
      <c r="L35" s="48">
        <f t="shared" si="15"/>
        <v>44287</v>
      </c>
      <c r="M35" s="49">
        <f t="shared" si="15"/>
        <v>44378</v>
      </c>
      <c r="N35" s="50">
        <f t="shared" si="15"/>
        <v>44470</v>
      </c>
      <c r="O35" s="47">
        <f t="shared" si="15"/>
        <v>44562</v>
      </c>
      <c r="P35" s="37"/>
      <c r="Q35" s="37"/>
      <c r="R35" s="37"/>
      <c r="S35" s="37"/>
      <c r="T35" s="37"/>
      <c r="U35" s="37"/>
      <c r="V35" s="37"/>
      <c r="W35" s="37"/>
      <c r="X35" s="37"/>
      <c r="Y35" s="37"/>
      <c r="Z35" s="37"/>
      <c r="AA35" s="37"/>
      <c r="AB35" s="37"/>
      <c r="AC35" s="37"/>
      <c r="AD35" s="37"/>
      <c r="AE35" s="37"/>
      <c r="AF35" s="37"/>
      <c r="AG35" s="37"/>
      <c r="AH35" s="37"/>
      <c r="AI35" s="37"/>
      <c r="AJ35" s="37"/>
      <c r="AK35" s="37"/>
      <c r="AL35" s="37"/>
    </row>
    <row r="36" ht="15.75" customHeight="1">
      <c r="A36" s="7" t="s">
        <v>30</v>
      </c>
      <c r="B36" s="38"/>
      <c r="C36" s="38"/>
    </row>
    <row r="37" ht="15.75" customHeight="1">
      <c r="A37" s="1" t="s">
        <v>31</v>
      </c>
      <c r="B37" s="39"/>
      <c r="C37" s="39">
        <f>SUMIFS(Oper_Model_Sales_and_Marketing,Oper_Model_Months,"&gt;="&amp;C$35,Oper_Model_Months,"&lt;"&amp;D$35)</f>
        <v>773417</v>
      </c>
      <c r="D37" s="39">
        <f>SUMIFS(Oper_Model_Sales_and_Marketing,Oper_Model_Months,"&gt;="&amp;D$35,Oper_Model_Months,"&lt;"&amp;E$35)</f>
        <v>842332</v>
      </c>
      <c r="E37" s="39">
        <f>SUMIFS(Oper_Model_Sales_and_Marketing,Oper_Model_Months,"&gt;="&amp;E$35,Oper_Model_Months,"&lt;"&amp;F$35)</f>
        <v>865493</v>
      </c>
      <c r="F37" s="39">
        <f>SUMIFS(Oper_Model_Sales_and_Marketing,Oper_Model_Months,"&gt;="&amp;F$35,Oper_Model_Months,"&lt;"&amp;G$35)</f>
        <v>880554</v>
      </c>
      <c r="G37" s="39">
        <f>SUMIFS(Oper_Model_Sales_and_Marketing,Oper_Model_Months,"&gt;="&amp;G$35,Oper_Model_Months,"&lt;"&amp;H$35)</f>
        <v>936204</v>
      </c>
      <c r="H37" s="39">
        <f>SUMIFS(Oper_Model_Sales_and_Marketing,Oper_Model_Months,"&gt;="&amp;H$35,Oper_Model_Months,"&lt;"&amp;I$35)</f>
        <v>850640.8498</v>
      </c>
      <c r="I37" s="39">
        <f>SUMIFS(Oper_Model_Sales_and_Marketing,Oper_Model_Months,"&gt;="&amp;I$35,Oper_Model_Months,"&lt;"&amp;J$35)</f>
        <v>964503.5802</v>
      </c>
      <c r="J37" s="39">
        <f>SUMIFS(Oper_Model_Sales_and_Marketing,Oper_Model_Months,"&gt;="&amp;J$35,Oper_Model_Months,"&lt;"&amp;K$35)</f>
        <v>1234253.174</v>
      </c>
      <c r="K37" s="39">
        <f>SUMIFS(Oper_Model_Sales_and_Marketing,Oper_Model_Months,"&gt;="&amp;K$35,Oper_Model_Months,"&lt;"&amp;L$35)</f>
        <v>1504895.584</v>
      </c>
      <c r="L37" s="39">
        <f>SUMIFS(Oper_Model_Sales_and_Marketing,Oper_Model_Months,"&gt;="&amp;L$35,Oper_Model_Months,"&lt;"&amp;M$35)</f>
        <v>1776427.068</v>
      </c>
      <c r="M37" s="39">
        <f>SUMIFS(Oper_Model_Sales_and_Marketing,Oper_Model_Months,"&gt;="&amp;M$35,Oper_Model_Months,"&lt;"&amp;N$35)</f>
        <v>1922294.913</v>
      </c>
      <c r="N37" s="39">
        <f>SUMIFS(Oper_Model_Sales_and_Marketing,Oper_Model_Months,"&gt;="&amp;N$35,Oper_Model_Months,"&lt;"&amp;O$35)</f>
        <v>2069082.503</v>
      </c>
    </row>
    <row r="38" ht="15.75" customHeight="1">
      <c r="A38" s="1" t="s">
        <v>49</v>
      </c>
      <c r="B38" s="38"/>
      <c r="C38" s="51">
        <f>SUMIFS(Revenue_Model_New_Count_1m,Revenue_Model_Months,"&gt;="&amp;C$35,Revenue_Model_Months,"&lt;"&amp;D$35)+SUMIFS(Revenue_Model_New_Count_12m,Revenue_Model_Months,"&gt;="&amp;C$35,Revenue_Model_Months,"&lt;"&amp;D$35)</f>
        <v>57</v>
      </c>
      <c r="D38" s="51">
        <f>SUMIFS(Revenue_Model_New_Count_1m,Revenue_Model_Months,"&gt;="&amp;D$35,Revenue_Model_Months,"&lt;"&amp;E$35)+SUMIFS(Revenue_Model_New_Count_12m,Revenue_Model_Months,"&gt;="&amp;D$35,Revenue_Model_Months,"&lt;"&amp;E$35)</f>
        <v>87</v>
      </c>
      <c r="E38" s="51">
        <f>SUMIFS(Revenue_Model_New_Count_1m,Revenue_Model_Months,"&gt;="&amp;E$35,Revenue_Model_Months,"&lt;"&amp;F$35)+SUMIFS(Revenue_Model_New_Count_12m,Revenue_Model_Months,"&gt;="&amp;E$35,Revenue_Model_Months,"&lt;"&amp;F$35)</f>
        <v>88</v>
      </c>
      <c r="F38" s="51">
        <f>SUMIFS(Revenue_Model_New_Count_1m,Revenue_Model_Months,"&gt;="&amp;F$35,Revenue_Model_Months,"&lt;"&amp;G$35)+SUMIFS(Revenue_Model_New_Count_12m,Revenue_Model_Months,"&gt;="&amp;F$35,Revenue_Model_Months,"&lt;"&amp;G$35)</f>
        <v>68</v>
      </c>
      <c r="G38" s="51">
        <f>SUMIFS(Revenue_Model_New_Count_1m,Revenue_Model_Months,"&gt;="&amp;G$35,Revenue_Model_Months,"&lt;"&amp;H$35)+SUMIFS(Revenue_Model_New_Count_12m,Revenue_Model_Months,"&gt;="&amp;G$35,Revenue_Model_Months,"&lt;"&amp;H$35)</f>
        <v>73</v>
      </c>
      <c r="H38" s="51">
        <f>SUMIFS(Revenue_Model_New_Count_1m,Revenue_Model_Months,"&gt;="&amp;H$35,Revenue_Model_Months,"&lt;"&amp;I$35)+SUMIFS(Revenue_Model_New_Count_12m,Revenue_Model_Months,"&gt;="&amp;H$35,Revenue_Model_Months,"&lt;"&amp;I$35)</f>
        <v>49</v>
      </c>
      <c r="I38" s="51">
        <f>SUMIFS(Revenue_Model_New_Count_1m,Revenue_Model_Months,"&gt;="&amp;I$35,Revenue_Model_Months,"&lt;"&amp;J$35)+SUMIFS(Revenue_Model_New_Count_12m,Revenue_Model_Months,"&gt;="&amp;I$35,Revenue_Model_Months,"&lt;"&amp;J$35)</f>
        <v>55</v>
      </c>
      <c r="J38" s="51">
        <f>SUMIFS(Revenue_Model_New_Count_1m,Revenue_Model_Months,"&gt;="&amp;J$35,Revenue_Model_Months,"&lt;"&amp;K$35)+SUMIFS(Revenue_Model_New_Count_12m,Revenue_Model_Months,"&gt;="&amp;J$35,Revenue_Model_Months,"&lt;"&amp;K$35)</f>
        <v>58</v>
      </c>
      <c r="K38" s="51">
        <f>SUMIFS(Revenue_Model_New_Count_1m,Revenue_Model_Months,"&gt;="&amp;K$35,Revenue_Model_Months,"&lt;"&amp;L$35)+SUMIFS(Revenue_Model_New_Count_12m,Revenue_Model_Months,"&gt;="&amp;K$35,Revenue_Model_Months,"&lt;"&amp;L$35)</f>
        <v>62</v>
      </c>
      <c r="L38" s="51">
        <f>SUMIFS(Revenue_Model_New_Count_1m,Revenue_Model_Months,"&gt;="&amp;L$35,Revenue_Model_Months,"&lt;"&amp;M$35)+SUMIFS(Revenue_Model_New_Count_12m,Revenue_Model_Months,"&gt;="&amp;L$35,Revenue_Model_Months,"&lt;"&amp;M$35)</f>
        <v>68</v>
      </c>
      <c r="M38" s="51">
        <f>SUMIFS(Revenue_Model_New_Count_1m,Revenue_Model_Months,"&gt;="&amp;M$35,Revenue_Model_Months,"&lt;"&amp;N$35)+SUMIFS(Revenue_Model_New_Count_12m,Revenue_Model_Months,"&gt;="&amp;M$35,Revenue_Model_Months,"&lt;"&amp;N$35)</f>
        <v>73</v>
      </c>
      <c r="N38" s="51">
        <f>SUMIFS(Revenue_Model_New_Count_1m,Revenue_Model_Months,"&gt;="&amp;N$35,Revenue_Model_Months,"&lt;"&amp;O$35)+SUMIFS(Revenue_Model_New_Count_12m,Revenue_Model_Months,"&gt;="&amp;N$35,Revenue_Model_Months,"&lt;"&amp;O$35)</f>
        <v>79</v>
      </c>
    </row>
    <row r="39" ht="15.75" customHeight="1">
      <c r="A39" s="1" t="s">
        <v>33</v>
      </c>
      <c r="B39" s="40"/>
      <c r="C39" s="41">
        <f t="shared" ref="C39:N39" si="16">C37/C38</f>
        <v>13568.7193</v>
      </c>
      <c r="D39" s="41">
        <f t="shared" si="16"/>
        <v>9681.977011</v>
      </c>
      <c r="E39" s="41">
        <f t="shared" si="16"/>
        <v>9835.147727</v>
      </c>
      <c r="F39" s="41">
        <f t="shared" si="16"/>
        <v>12949.32353</v>
      </c>
      <c r="G39" s="41">
        <f t="shared" si="16"/>
        <v>12824.71233</v>
      </c>
      <c r="H39" s="41">
        <f t="shared" si="16"/>
        <v>17360.01734</v>
      </c>
      <c r="I39" s="41">
        <f t="shared" si="16"/>
        <v>17536.42873</v>
      </c>
      <c r="J39" s="41">
        <f t="shared" si="16"/>
        <v>21280.22714</v>
      </c>
      <c r="K39" s="41">
        <f t="shared" si="16"/>
        <v>24272.50942</v>
      </c>
      <c r="L39" s="41">
        <f t="shared" si="16"/>
        <v>26123.92747</v>
      </c>
      <c r="M39" s="41">
        <f t="shared" si="16"/>
        <v>26332.80702</v>
      </c>
      <c r="N39" s="41">
        <f t="shared" si="16"/>
        <v>26190.91776</v>
      </c>
    </row>
    <row r="40" ht="15.75" customHeight="1">
      <c r="C40" s="52"/>
      <c r="D40" s="52"/>
      <c r="E40" s="52"/>
    </row>
    <row r="41" ht="15.75" customHeight="1">
      <c r="A41" s="7" t="s">
        <v>34</v>
      </c>
      <c r="D41" s="53"/>
    </row>
    <row r="42" ht="15.75" customHeight="1">
      <c r="A42" s="1" t="s">
        <v>35</v>
      </c>
      <c r="C42" s="39">
        <f>SUMIFS(Oper_Model_Advertising,Oper_Model_Months,"&gt;="&amp;C$35,Oper_Model_Months,"&lt;"&amp;D$35)</f>
        <v>449837</v>
      </c>
      <c r="D42" s="39">
        <f>SUMIFS(Oper_Model_Advertising,Oper_Model_Months,"&gt;="&amp;D$35,Oper_Model_Months,"&lt;"&amp;E$35)</f>
        <v>496288</v>
      </c>
      <c r="E42" s="39">
        <f>SUMIFS(Oper_Model_Advertising,Oper_Model_Months,"&gt;="&amp;E$35,Oper_Model_Months,"&lt;"&amp;F$35)</f>
        <v>506354</v>
      </c>
      <c r="F42" s="39">
        <f>SUMIFS(Oper_Model_Advertising,Oper_Model_Months,"&gt;="&amp;F$35,Oper_Model_Months,"&lt;"&amp;G$35)</f>
        <v>490476</v>
      </c>
      <c r="G42" s="39">
        <f>SUMIFS(Oper_Model_Advertising,Oper_Model_Months,"&gt;="&amp;G$35,Oper_Model_Months,"&lt;"&amp;H$35)</f>
        <v>540955</v>
      </c>
      <c r="H42" s="39">
        <f>SUMIFS(Oper_Model_Advertising,Oper_Model_Months,"&gt;="&amp;H$35,Oper_Model_Months,"&lt;"&amp;I$35)</f>
        <v>482469</v>
      </c>
      <c r="I42" s="39">
        <f>SUMIFS(Oper_Model_Advertising,Oper_Model_Months,"&gt;="&amp;I$35,Oper_Model_Months,"&lt;"&amp;J$35)</f>
        <v>585000</v>
      </c>
      <c r="J42" s="39">
        <f>SUMIFS(Oper_Model_Advertising,Oper_Model_Months,"&gt;="&amp;J$35,Oper_Model_Months,"&lt;"&amp;K$35)</f>
        <v>720000</v>
      </c>
      <c r="K42" s="39">
        <f>SUMIFS(Oper_Model_Advertising,Oper_Model_Months,"&gt;="&amp;K$35,Oper_Model_Months,"&lt;"&amp;L$35)</f>
        <v>855000</v>
      </c>
      <c r="L42" s="39">
        <f>SUMIFS(Oper_Model_Advertising,Oper_Model_Months,"&gt;="&amp;L$35,Oper_Model_Months,"&lt;"&amp;M$35)</f>
        <v>990000</v>
      </c>
      <c r="M42" s="39">
        <f>SUMIFS(Oper_Model_Advertising,Oper_Model_Months,"&gt;="&amp;M$35,Oper_Model_Months,"&lt;"&amp;N$35)</f>
        <v>1125000</v>
      </c>
      <c r="N42" s="39">
        <f>SUMIFS(Oper_Model_Advertising,Oper_Model_Months,"&gt;="&amp;N$35,Oper_Model_Months,"&lt;"&amp;O$35)</f>
        <v>1260000</v>
      </c>
      <c r="O42" s="38"/>
      <c r="P42" s="38"/>
      <c r="Q42" s="38"/>
      <c r="R42" s="38"/>
      <c r="S42" s="38"/>
      <c r="T42" s="38"/>
      <c r="U42" s="38"/>
      <c r="V42" s="38"/>
      <c r="W42" s="38"/>
      <c r="X42" s="38"/>
      <c r="Y42" s="38"/>
      <c r="Z42" s="38"/>
      <c r="AA42" s="38"/>
      <c r="AB42" s="38"/>
      <c r="AC42" s="38"/>
      <c r="AD42" s="38"/>
      <c r="AE42" s="38"/>
      <c r="AF42" s="38"/>
      <c r="AG42" s="38"/>
      <c r="AH42" s="38"/>
      <c r="AI42" s="38"/>
      <c r="AJ42" s="38"/>
      <c r="AK42" s="38"/>
      <c r="AL42" s="38"/>
    </row>
    <row r="43" ht="15.75" customHeight="1">
      <c r="A43" s="1" t="s">
        <v>50</v>
      </c>
      <c r="C43" s="51">
        <f>SUMIFS(Marketing_Funnel_New_Customers_AdWords,Marketing_Funnel_Months,"&gt;="&amp;C$35,Marketing_Funnel_Months,"&lt;"&amp;D$35)</f>
        <v>29</v>
      </c>
      <c r="D43" s="51">
        <f>SUMIFS(Marketing_Funnel_New_Customers_AdWords,Marketing_Funnel_Months,"&gt;="&amp;D$35,Marketing_Funnel_Months,"&lt;"&amp;E$35)</f>
        <v>40</v>
      </c>
      <c r="E43" s="51">
        <f>SUMIFS(Marketing_Funnel_New_Customers_AdWords,Marketing_Funnel_Months,"&gt;="&amp;E$35,Marketing_Funnel_Months,"&lt;"&amp;F$35)</f>
        <v>46</v>
      </c>
      <c r="F43" s="51">
        <f>SUMIFS(Marketing_Funnel_New_Customers_AdWords,Marketing_Funnel_Months,"&gt;="&amp;F$35,Marketing_Funnel_Months,"&lt;"&amp;G$35)</f>
        <v>33</v>
      </c>
      <c r="G43" s="51">
        <f>SUMIFS(Marketing_Funnel_New_Customers_AdWords,Marketing_Funnel_Months,"&gt;="&amp;G$35,Marketing_Funnel_Months,"&lt;"&amp;H$35)</f>
        <v>36</v>
      </c>
      <c r="H43" s="51">
        <f>SUMIFS(Marketing_Funnel_New_Customers_AdWords,Marketing_Funnel_Months,"&gt;="&amp;H$35,Marketing_Funnel_Months,"&lt;"&amp;I$35)</f>
        <v>24.41775767</v>
      </c>
      <c r="I43" s="51">
        <f>SUMIFS(Marketing_Funnel_New_Customers_AdWords,Marketing_Funnel_Months,"&gt;="&amp;I$35,Marketing_Funnel_Months,"&lt;"&amp;J$35)</f>
        <v>30.52189079</v>
      </c>
      <c r="J43" s="51">
        <f>SUMIFS(Marketing_Funnel_New_Customers_AdWords,Marketing_Funnel_Months,"&gt;="&amp;J$35,Marketing_Funnel_Months,"&lt;"&amp;K$35)</f>
        <v>37.71516932</v>
      </c>
      <c r="K43" s="51">
        <f>SUMIFS(Marketing_Funnel_New_Customers_AdWords,Marketing_Funnel_Months,"&gt;="&amp;K$35,Marketing_Funnel_Months,"&lt;"&amp;L$35)</f>
        <v>44.80675578</v>
      </c>
      <c r="L43" s="51">
        <f>SUMIFS(Marketing_Funnel_New_Customers_AdWords,Marketing_Funnel_Months,"&gt;="&amp;L$35,Marketing_Funnel_Months,"&lt;"&amp;M$35)</f>
        <v>51.88303898</v>
      </c>
      <c r="M43" s="51">
        <f>SUMIFS(Marketing_Funnel_New_Customers_AdWords,Marketing_Funnel_Months,"&gt;="&amp;M$35,Marketing_Funnel_Months,"&lt;"&amp;N$35)</f>
        <v>58.95776385</v>
      </c>
      <c r="N43" s="51">
        <f>SUMIFS(Marketing_Funnel_New_Customers_AdWords,Marketing_Funnel_Months,"&gt;="&amp;N$35,Marketing_Funnel_Months,"&lt;"&amp;O$35)</f>
        <v>66.03254064</v>
      </c>
      <c r="O43" s="51"/>
      <c r="P43" s="51"/>
      <c r="Q43" s="51"/>
      <c r="R43" s="51"/>
      <c r="S43" s="51"/>
      <c r="T43" s="51"/>
      <c r="U43" s="51"/>
      <c r="V43" s="51"/>
      <c r="W43" s="51"/>
      <c r="X43" s="51"/>
      <c r="Y43" s="51"/>
      <c r="Z43" s="51"/>
      <c r="AA43" s="51"/>
      <c r="AB43" s="51"/>
      <c r="AC43" s="51"/>
      <c r="AD43" s="51"/>
      <c r="AE43" s="51"/>
      <c r="AF43" s="51"/>
      <c r="AG43" s="51"/>
      <c r="AH43" s="51"/>
      <c r="AI43" s="51"/>
      <c r="AJ43" s="51"/>
      <c r="AK43" s="51"/>
      <c r="AL43" s="51"/>
    </row>
    <row r="44" ht="15.75" customHeight="1">
      <c r="A44" s="1" t="s">
        <v>33</v>
      </c>
      <c r="C44" s="41">
        <f t="shared" ref="C44:N44" si="17">C42/C43</f>
        <v>15511.62069</v>
      </c>
      <c r="D44" s="41">
        <f t="shared" si="17"/>
        <v>12407.2</v>
      </c>
      <c r="E44" s="41">
        <f t="shared" si="17"/>
        <v>11007.69565</v>
      </c>
      <c r="F44" s="41">
        <f t="shared" si="17"/>
        <v>14862.90909</v>
      </c>
      <c r="G44" s="41">
        <f t="shared" si="17"/>
        <v>15026.52778</v>
      </c>
      <c r="H44" s="41">
        <f t="shared" si="17"/>
        <v>19758.93964</v>
      </c>
      <c r="I44" s="41">
        <f t="shared" si="17"/>
        <v>19166.57143</v>
      </c>
      <c r="J44" s="41">
        <f t="shared" si="17"/>
        <v>19090.46182</v>
      </c>
      <c r="K44" s="41">
        <f t="shared" si="17"/>
        <v>19081.9439</v>
      </c>
      <c r="L44" s="41">
        <f t="shared" si="17"/>
        <v>19081.38034</v>
      </c>
      <c r="M44" s="41">
        <f t="shared" si="17"/>
        <v>19081.45639</v>
      </c>
      <c r="N44" s="41">
        <f t="shared" si="17"/>
        <v>19081.50115</v>
      </c>
      <c r="O44" s="40"/>
      <c r="P44" s="40"/>
      <c r="Q44" s="40"/>
      <c r="R44" s="40"/>
      <c r="S44" s="40"/>
      <c r="T44" s="40"/>
      <c r="U44" s="40"/>
      <c r="V44" s="40"/>
      <c r="W44" s="40"/>
      <c r="X44" s="40"/>
      <c r="Y44" s="40"/>
      <c r="Z44" s="40"/>
      <c r="AA44" s="40"/>
      <c r="AB44" s="40"/>
      <c r="AC44" s="40"/>
      <c r="AD44" s="40"/>
      <c r="AE44" s="40"/>
      <c r="AF44" s="40"/>
      <c r="AG44" s="40"/>
      <c r="AH44" s="40"/>
      <c r="AI44" s="40"/>
      <c r="AJ44" s="40"/>
      <c r="AK44" s="40"/>
      <c r="AL44" s="40"/>
    </row>
    <row r="45" ht="15.75" customHeight="1">
      <c r="A45" s="7"/>
    </row>
    <row r="46" ht="15.75" customHeight="1">
      <c r="A46" s="7" t="s">
        <v>51</v>
      </c>
    </row>
    <row r="47" ht="15.75" customHeight="1">
      <c r="A47" s="1" t="s">
        <v>12</v>
      </c>
      <c r="B47" s="39"/>
      <c r="C47" s="39">
        <f>SUMIFS(Oper_Model_Gross_Profit,Oper_Model_Months,"&gt;="&amp;C$35,Oper_Model_Months,"&lt;"&amp;D$35)</f>
        <v>1235225</v>
      </c>
      <c r="D47" s="39">
        <f>SUMIFS(Oper_Model_Gross_Profit,Oper_Model_Months,"&gt;="&amp;D$35,Oper_Model_Months,"&lt;"&amp;E$35)</f>
        <v>1489607</v>
      </c>
      <c r="E47" s="39">
        <f>SUMIFS(Oper_Model_Gross_Profit,Oper_Model_Months,"&gt;="&amp;E$35,Oper_Model_Months,"&lt;"&amp;F$35)</f>
        <v>1687377</v>
      </c>
      <c r="F47" s="39">
        <f>SUMIFS(Oper_Model_Gross_Profit,Oper_Model_Months,"&gt;="&amp;F$35,Oper_Model_Months,"&lt;"&amp;G$35)</f>
        <v>1936490</v>
      </c>
      <c r="G47" s="39">
        <f>SUMIFS(Oper_Model_Gross_Profit,Oper_Model_Months,"&gt;="&amp;G$35,Oper_Model_Months,"&lt;"&amp;H$35)</f>
        <v>2049443.19</v>
      </c>
      <c r="H47" s="39">
        <f>SUMIFS(Oper_Model_Gross_Profit,Oper_Model_Months,"&gt;="&amp;H$35,Oper_Model_Months,"&lt;"&amp;I$35)</f>
        <v>1920612.204</v>
      </c>
      <c r="I47" s="39">
        <f>SUMIFS(Oper_Model_Gross_Profit,Oper_Model_Months,"&gt;="&amp;I$35,Oper_Model_Months,"&lt;"&amp;J$35)</f>
        <v>1952949.987</v>
      </c>
      <c r="J47" s="39">
        <f>SUMIFS(Oper_Model_Gross_Profit,Oper_Model_Months,"&gt;="&amp;J$35,Oper_Model_Months,"&lt;"&amp;K$35)</f>
        <v>2056497.897</v>
      </c>
      <c r="K47" s="39">
        <f>SUMIFS(Oper_Model_Gross_Profit,Oper_Model_Months,"&gt;="&amp;K$35,Oper_Model_Months,"&lt;"&amp;L$35)</f>
        <v>2174369.863</v>
      </c>
      <c r="L47" s="39">
        <f>SUMIFS(Oper_Model_Gross_Profit,Oper_Model_Months,"&gt;="&amp;L$35,Oper_Model_Months,"&lt;"&amp;M$35)</f>
        <v>2332016.395</v>
      </c>
      <c r="M47" s="39">
        <f>SUMIFS(Oper_Model_Gross_Profit,Oper_Model_Months,"&gt;="&amp;M$35,Oper_Model_Months,"&lt;"&amp;N$35)</f>
        <v>2512108.006</v>
      </c>
      <c r="N47" s="39">
        <f>SUMIFS(Oper_Model_Gross_Profit,Oper_Model_Months,"&gt;="&amp;N$35,Oper_Model_Months,"&lt;"&amp;O$35)</f>
        <v>2707440.771</v>
      </c>
    </row>
    <row r="48" ht="15.75" customHeight="1">
      <c r="A48" s="1" t="s">
        <v>52</v>
      </c>
      <c r="B48" s="39">
        <f t="array" ref="B48">INDEX(Revenue_Model_Total_Customers,MATCH(DATE(YEAR(B$35),MONTH(B$35)+2,DAY(B$35)),Revenue_Model_Months,0))</f>
        <v>323</v>
      </c>
      <c r="C48" s="39">
        <f t="array" ref="C48">INDEX(Revenue_Model_Total_Customers,MATCH(DATE(YEAR(C$35),MONTH(C$35)+2,DAY(C$35)),Revenue_Model_Months,0))</f>
        <v>364</v>
      </c>
      <c r="D48" s="39">
        <f t="array" ref="D48">INDEX(Revenue_Model_Total_Customers,MATCH(DATE(YEAR(D$35),MONTH(D$35)+2,DAY(D$35)),Revenue_Model_Months,0))</f>
        <v>434</v>
      </c>
      <c r="E48" s="39">
        <f t="array" ref="E48">INDEX(Revenue_Model_Total_Customers,MATCH(DATE(YEAR(E$35),MONTH(E$35)+2,DAY(E$35)),Revenue_Model_Months,0))</f>
        <v>496</v>
      </c>
      <c r="F48" s="39">
        <f t="array" ref="F48">INDEX(Revenue_Model_Total_Customers,MATCH(DATE(YEAR(F$35),MONTH(F$35)+2,DAY(F$35)),Revenue_Model_Months,0))</f>
        <v>545</v>
      </c>
      <c r="G48" s="39">
        <f t="array" ref="G48">INDEX(Revenue_Model_Total_Customers,MATCH(DATE(YEAR(G$35),MONTH(G$35)+2,DAY(G$35)),Revenue_Model_Months,0))</f>
        <v>616</v>
      </c>
      <c r="H48" s="39">
        <f t="array" ref="H48">INDEX(Revenue_Model_Total_Customers,MATCH(DATE(YEAR(H$35),MONTH(H$35)+2,DAY(H$35)),Revenue_Model_Months,0))</f>
        <v>631.90913</v>
      </c>
      <c r="I48" s="39">
        <f t="array" ref="I48">INDEX(Revenue_Model_Total_Customers,MATCH(DATE(YEAR(I$35),MONTH(I$35)+2,DAY(I$35)),Revenue_Model_Months,0))</f>
        <v>666.9807188</v>
      </c>
      <c r="J48" s="39">
        <f t="array" ref="J48">INDEX(Revenue_Model_Total_Customers,MATCH(DATE(YEAR(J$35),MONTH(J$35)+2,DAY(J$35)),Revenue_Model_Months,0))</f>
        <v>706.6223685</v>
      </c>
      <c r="K48" s="39">
        <f t="array" ref="K48">INDEX(Revenue_Model_Total_Customers,MATCH(DATE(YEAR(K$35),MONTH(K$35)+2,DAY(K$35)),Revenue_Model_Months,0))</f>
        <v>749.1673787</v>
      </c>
      <c r="L48" s="39">
        <f t="array" ref="L48">INDEX(Revenue_Model_Total_Customers,MATCH(DATE(YEAR(L$35),MONTH(L$35)+2,DAY(L$35)),Revenue_Model_Months,0))</f>
        <v>796.520143</v>
      </c>
      <c r="M48" s="39">
        <f t="array" ref="M48">INDEX(Revenue_Model_Total_Customers,MATCH(DATE(YEAR(M$35),MONTH(M$35)+2,DAY(M$35)),Revenue_Model_Months,0))</f>
        <v>847.5610168</v>
      </c>
      <c r="N48" s="39">
        <f t="array" ref="N48">INDEX(Revenue_Model_Total_Customers,MATCH(DATE(YEAR(N$35),MONTH(N$35)+2,DAY(N$35)),Revenue_Model_Months,0))</f>
        <v>903.1823148</v>
      </c>
    </row>
    <row r="49" ht="15.75" customHeight="1">
      <c r="A49" s="1" t="s">
        <v>53</v>
      </c>
      <c r="B49" s="40"/>
      <c r="C49" s="41">
        <f t="shared" ref="C49:N49" si="18">C47/C48</f>
        <v>3393.475275</v>
      </c>
      <c r="D49" s="41">
        <f t="shared" si="18"/>
        <v>3432.274194</v>
      </c>
      <c r="E49" s="41">
        <f t="shared" si="18"/>
        <v>3401.969758</v>
      </c>
      <c r="F49" s="41">
        <f t="shared" si="18"/>
        <v>3553.192661</v>
      </c>
      <c r="G49" s="41">
        <f t="shared" si="18"/>
        <v>3327.018166</v>
      </c>
      <c r="H49" s="41">
        <f t="shared" si="18"/>
        <v>3039.380368</v>
      </c>
      <c r="I49" s="41">
        <f t="shared" si="18"/>
        <v>2928.045642</v>
      </c>
      <c r="J49" s="41">
        <f t="shared" si="18"/>
        <v>2910.32097</v>
      </c>
      <c r="K49" s="41">
        <f t="shared" si="18"/>
        <v>2902.381931</v>
      </c>
      <c r="L49" s="41">
        <f t="shared" si="18"/>
        <v>2927.755708</v>
      </c>
      <c r="M49" s="41">
        <f t="shared" si="18"/>
        <v>2963.925849</v>
      </c>
      <c r="N49" s="41">
        <f t="shared" si="18"/>
        <v>2997.668053</v>
      </c>
    </row>
    <row r="50" ht="15.75" customHeight="1"/>
    <row r="51" ht="15.75" customHeight="1">
      <c r="A51" s="1" t="s">
        <v>40</v>
      </c>
      <c r="B51" s="54"/>
      <c r="C51" s="54">
        <f>SUMIFS(Revenue_Model_Churn_Count_1m,Revenue_Model_Months,"&gt;="&amp;C$35,Revenue_Model_Months,"&lt;"&amp;D$35)+SUMIFS(Revenue_Model_Churn_Count_12m,Revenue_Model_Months,"&gt;="&amp;C$35,Revenue_Model_Months,"&lt;"&amp;D$35)</f>
        <v>16</v>
      </c>
      <c r="D51" s="54">
        <f>SUMIFS(Revenue_Model_Churn_Count_1m,Revenue_Model_Months,"&gt;="&amp;D$35,Revenue_Model_Months,"&lt;"&amp;E$35)+SUMIFS(Revenue_Model_Churn_Count_12m,Revenue_Model_Months,"&gt;="&amp;D$35,Revenue_Model_Months,"&lt;"&amp;E$35)</f>
        <v>17</v>
      </c>
      <c r="E51" s="54">
        <f>SUMIFS(Revenue_Model_Churn_Count_1m,Revenue_Model_Months,"&gt;="&amp;E$35,Revenue_Model_Months,"&lt;"&amp;F$35)+SUMIFS(Revenue_Model_Churn_Count_12m,Revenue_Model_Months,"&gt;="&amp;E$35,Revenue_Model_Months,"&lt;"&amp;F$35)</f>
        <v>24</v>
      </c>
      <c r="F51" s="54">
        <f>SUMIFS(Revenue_Model_Churn_Count_1m,Revenue_Model_Months,"&gt;="&amp;F$35,Revenue_Model_Months,"&lt;"&amp;G$35)+SUMIFS(Revenue_Model_Churn_Count_12m,Revenue_Model_Months,"&gt;="&amp;F$35,Revenue_Model_Months,"&lt;"&amp;G$35)</f>
        <v>19</v>
      </c>
      <c r="G51" s="54">
        <f>SUMIFS(Revenue_Model_Churn_Count_1m,Revenue_Model_Months,"&gt;="&amp;G$35,Revenue_Model_Months,"&lt;"&amp;H$35)+SUMIFS(Revenue_Model_Churn_Count_12m,Revenue_Model_Months,"&gt;="&amp;G$35,Revenue_Model_Months,"&lt;"&amp;H$35)</f>
        <v>16</v>
      </c>
      <c r="H51" s="54">
        <f>SUMIFS(Revenue_Model_Churn_Count_1m,Revenue_Model_Months,"&gt;="&amp;H$35,Revenue_Model_Months,"&lt;"&amp;I$35)+SUMIFS(Revenue_Model_Churn_Count_12m,Revenue_Model_Months,"&gt;="&amp;H$35,Revenue_Model_Months,"&lt;"&amp;I$35)</f>
        <v>33.09087</v>
      </c>
      <c r="I51" s="54">
        <f>SUMIFS(Revenue_Model_Churn_Count_1m,Revenue_Model_Months,"&gt;="&amp;I$35,Revenue_Model_Months,"&lt;"&amp;J$35)+SUMIFS(Revenue_Model_Churn_Count_12m,Revenue_Model_Months,"&gt;="&amp;I$35,Revenue_Model_Months,"&lt;"&amp;J$35)</f>
        <v>19.92841117</v>
      </c>
      <c r="J51" s="54">
        <f>SUMIFS(Revenue_Model_Churn_Count_1m,Revenue_Model_Months,"&gt;="&amp;J$35,Revenue_Model_Months,"&lt;"&amp;K$35)+SUMIFS(Revenue_Model_Churn_Count_12m,Revenue_Model_Months,"&gt;="&amp;J$35,Revenue_Model_Months,"&lt;"&amp;K$35)</f>
        <v>18.35835032</v>
      </c>
      <c r="K51" s="54">
        <f>SUMIFS(Revenue_Model_Churn_Count_1m,Revenue_Model_Months,"&gt;="&amp;K$35,Revenue_Model_Months,"&lt;"&amp;L$35)+SUMIFS(Revenue_Model_Churn_Count_12m,Revenue_Model_Months,"&gt;="&amp;K$35,Revenue_Model_Months,"&lt;"&amp;L$35)</f>
        <v>19.45498984</v>
      </c>
      <c r="L51" s="54">
        <f>SUMIFS(Revenue_Model_Churn_Count_1m,Revenue_Model_Months,"&gt;="&amp;L$35,Revenue_Model_Months,"&lt;"&amp;M$35)+SUMIFS(Revenue_Model_Churn_Count_12m,Revenue_Model_Months,"&gt;="&amp;L$35,Revenue_Model_Months,"&lt;"&amp;M$35)</f>
        <v>20.64723569</v>
      </c>
      <c r="M51" s="54">
        <f>SUMIFS(Revenue_Model_Churn_Count_1m,Revenue_Model_Months,"&gt;="&amp;M$35,Revenue_Model_Months,"&lt;"&amp;N$35)+SUMIFS(Revenue_Model_Churn_Count_12m,Revenue_Model_Months,"&gt;="&amp;M$35,Revenue_Model_Months,"&lt;"&amp;N$35)</f>
        <v>21.95912613</v>
      </c>
      <c r="N51" s="54">
        <f>SUMIFS(Revenue_Model_Churn_Count_1m,Revenue_Model_Months,"&gt;="&amp;N$35,Revenue_Model_Months,"&lt;"&amp;O$35)+SUMIFS(Revenue_Model_Churn_Count_12m,Revenue_Model_Months,"&gt;="&amp;N$35,Revenue_Model_Months,"&lt;"&amp;O$35)</f>
        <v>23.378702</v>
      </c>
    </row>
    <row r="52" ht="15.75" customHeight="1">
      <c r="A52" s="1" t="s">
        <v>41</v>
      </c>
      <c r="C52" s="43">
        <f t="shared" ref="C52:N52" si="19">C51/B48</f>
        <v>0.04953560372</v>
      </c>
      <c r="D52" s="43">
        <f t="shared" si="19"/>
        <v>0.0467032967</v>
      </c>
      <c r="E52" s="43">
        <f t="shared" si="19"/>
        <v>0.05529953917</v>
      </c>
      <c r="F52" s="43">
        <f t="shared" si="19"/>
        <v>0.03830645161</v>
      </c>
      <c r="G52" s="43">
        <f t="shared" si="19"/>
        <v>0.02935779817</v>
      </c>
      <c r="H52" s="43">
        <f t="shared" si="19"/>
        <v>0.05371894481</v>
      </c>
      <c r="I52" s="43">
        <f t="shared" si="19"/>
        <v>0.03153683057</v>
      </c>
      <c r="J52" s="43">
        <f t="shared" si="19"/>
        <v>0.02752455926</v>
      </c>
      <c r="K52" s="43">
        <f t="shared" si="19"/>
        <v>0.0275323719</v>
      </c>
      <c r="L52" s="43">
        <f t="shared" si="19"/>
        <v>0.02756024392</v>
      </c>
      <c r="M52" s="43">
        <f t="shared" si="19"/>
        <v>0.02756882713</v>
      </c>
      <c r="N52" s="43">
        <f t="shared" si="19"/>
        <v>0.02758350318</v>
      </c>
    </row>
    <row r="53" ht="15.75" customHeight="1">
      <c r="A53" s="1" t="s">
        <v>54</v>
      </c>
      <c r="C53" s="44">
        <f t="shared" ref="C53:N53" si="20">1/C52</f>
        <v>20.1875</v>
      </c>
      <c r="D53" s="44">
        <f t="shared" si="20"/>
        <v>21.41176471</v>
      </c>
      <c r="E53" s="44">
        <f t="shared" si="20"/>
        <v>18.08333333</v>
      </c>
      <c r="F53" s="44">
        <f t="shared" si="20"/>
        <v>26.10526316</v>
      </c>
      <c r="G53" s="44">
        <f t="shared" si="20"/>
        <v>34.0625</v>
      </c>
      <c r="H53" s="44">
        <f t="shared" si="20"/>
        <v>18.61540661</v>
      </c>
      <c r="I53" s="44">
        <f t="shared" si="20"/>
        <v>31.70895686</v>
      </c>
      <c r="J53" s="44">
        <f t="shared" si="20"/>
        <v>36.33119028</v>
      </c>
      <c r="K53" s="44">
        <f t="shared" si="20"/>
        <v>36.32088088</v>
      </c>
      <c r="L53" s="44">
        <f t="shared" si="20"/>
        <v>36.28414911</v>
      </c>
      <c r="M53" s="44">
        <f t="shared" si="20"/>
        <v>36.27285249</v>
      </c>
      <c r="N53" s="44">
        <f t="shared" si="20"/>
        <v>36.25355321</v>
      </c>
    </row>
    <row r="54" ht="15.75" customHeight="1">
      <c r="A54" s="1" t="s">
        <v>43</v>
      </c>
      <c r="C54" s="41">
        <f t="shared" ref="C54:N54" si="21">C49*C53</f>
        <v>68505.78211</v>
      </c>
      <c r="D54" s="41">
        <f t="shared" si="21"/>
        <v>73491.04744</v>
      </c>
      <c r="E54" s="41">
        <f t="shared" si="21"/>
        <v>61518.95313</v>
      </c>
      <c r="F54" s="41">
        <f t="shared" si="21"/>
        <v>92757.02945</v>
      </c>
      <c r="G54" s="41">
        <f t="shared" si="21"/>
        <v>113326.5563</v>
      </c>
      <c r="H54" s="41">
        <f t="shared" si="21"/>
        <v>56579.30138</v>
      </c>
      <c r="I54" s="41">
        <f t="shared" si="21"/>
        <v>92845.27297</v>
      </c>
      <c r="J54" s="41">
        <f t="shared" si="21"/>
        <v>105735.4249</v>
      </c>
      <c r="K54" s="41">
        <f t="shared" si="21"/>
        <v>105417.0684</v>
      </c>
      <c r="L54" s="41">
        <f t="shared" si="21"/>
        <v>106231.1247</v>
      </c>
      <c r="M54" s="41">
        <f t="shared" si="21"/>
        <v>107510.0451</v>
      </c>
      <c r="N54" s="41">
        <f t="shared" si="21"/>
        <v>108676.1183</v>
      </c>
    </row>
    <row r="55" ht="15.75" customHeight="1"/>
    <row r="56" ht="15.75" customHeight="1">
      <c r="A56" s="7" t="s">
        <v>55</v>
      </c>
      <c r="B56" s="44"/>
      <c r="C56" s="55"/>
      <c r="D56" s="55"/>
      <c r="E56" s="55"/>
      <c r="F56" s="55"/>
      <c r="G56" s="55"/>
      <c r="H56" s="55"/>
      <c r="I56" s="55"/>
      <c r="J56" s="55"/>
      <c r="K56" s="55"/>
      <c r="L56" s="55"/>
      <c r="M56" s="55"/>
      <c r="N56" s="55"/>
    </row>
    <row r="57" ht="15.75" customHeight="1">
      <c r="A57" s="1" t="s">
        <v>45</v>
      </c>
      <c r="B57" s="44"/>
      <c r="C57" s="55">
        <f t="shared" ref="C57:N57" si="22">C$39/C$49*3</f>
        <v>11.99541903</v>
      </c>
      <c r="D57" s="55">
        <f t="shared" si="22"/>
        <v>8.462590515</v>
      </c>
      <c r="E57" s="55">
        <f t="shared" si="22"/>
        <v>8.673046876</v>
      </c>
      <c r="F57" s="55">
        <f t="shared" si="22"/>
        <v>10.93325758</v>
      </c>
      <c r="G57" s="55">
        <f t="shared" si="22"/>
        <v>11.56414996</v>
      </c>
      <c r="H57" s="55">
        <f t="shared" si="22"/>
        <v>17.13508865</v>
      </c>
      <c r="I57" s="55">
        <f t="shared" si="22"/>
        <v>17.96737231</v>
      </c>
      <c r="J57" s="55">
        <f t="shared" si="22"/>
        <v>21.93595899</v>
      </c>
      <c r="K57" s="55">
        <f t="shared" si="22"/>
        <v>25.08888561</v>
      </c>
      <c r="L57" s="55">
        <f t="shared" si="22"/>
        <v>26.76855251</v>
      </c>
      <c r="M57" s="55">
        <f t="shared" si="22"/>
        <v>26.65330548</v>
      </c>
      <c r="N57" s="55">
        <f t="shared" si="22"/>
        <v>26.21129221</v>
      </c>
    </row>
    <row r="58" ht="15.75" customHeight="1">
      <c r="A58" s="1" t="s">
        <v>46</v>
      </c>
      <c r="C58" s="55">
        <f t="shared" ref="C58:N58" si="23">C$44/C$49*3</f>
        <v>13.71303997</v>
      </c>
      <c r="D58" s="55">
        <f t="shared" si="23"/>
        <v>10.84458814</v>
      </c>
      <c r="E58" s="55">
        <f t="shared" si="23"/>
        <v>9.707048947</v>
      </c>
      <c r="F58" s="55">
        <f t="shared" si="23"/>
        <v>12.54891911</v>
      </c>
      <c r="G58" s="55">
        <f t="shared" si="23"/>
        <v>13.5495453</v>
      </c>
      <c r="H58" s="55">
        <f t="shared" si="23"/>
        <v>19.5029288</v>
      </c>
      <c r="I58" s="55">
        <f t="shared" si="23"/>
        <v>19.63757445</v>
      </c>
      <c r="J58" s="55">
        <f t="shared" si="23"/>
        <v>19.67871794</v>
      </c>
      <c r="K58" s="55">
        <f t="shared" si="23"/>
        <v>19.72374176</v>
      </c>
      <c r="L58" s="55">
        <f t="shared" si="23"/>
        <v>19.55222591</v>
      </c>
      <c r="M58" s="55">
        <f t="shared" si="23"/>
        <v>19.31369815</v>
      </c>
      <c r="N58" s="55">
        <f t="shared" si="23"/>
        <v>19.09634504</v>
      </c>
    </row>
    <row r="59" ht="15.75" customHeight="1">
      <c r="A59" s="7"/>
      <c r="B59" s="45"/>
      <c r="C59" s="45"/>
      <c r="D59" s="45"/>
      <c r="E59" s="45"/>
      <c r="F59" s="45"/>
      <c r="G59" s="45"/>
      <c r="H59" s="45"/>
      <c r="I59" s="45"/>
      <c r="J59" s="45"/>
      <c r="K59" s="45"/>
      <c r="L59" s="45"/>
      <c r="M59" s="45"/>
      <c r="N59" s="45"/>
    </row>
    <row r="60" ht="15.75" customHeight="1">
      <c r="A60" s="7" t="s">
        <v>47</v>
      </c>
      <c r="B60" s="45"/>
      <c r="C60" s="45"/>
      <c r="D60" s="45"/>
      <c r="E60" s="45"/>
      <c r="F60" s="45"/>
      <c r="G60" s="45"/>
      <c r="H60" s="45"/>
      <c r="I60" s="45"/>
      <c r="J60" s="45"/>
      <c r="K60" s="45"/>
      <c r="L60" s="45"/>
      <c r="M60" s="45"/>
      <c r="N60" s="45"/>
    </row>
    <row r="61" ht="15.75" customHeight="1">
      <c r="A61" s="1" t="s">
        <v>45</v>
      </c>
      <c r="B61" s="45"/>
      <c r="C61" s="45">
        <f>C$54/C39</f>
        <v>5.048802367</v>
      </c>
      <c r="D61" s="45">
        <f t="shared" ref="D61:N61" si="24">D54/D39</f>
        <v>7.590500096</v>
      </c>
      <c r="E61" s="45">
        <f t="shared" si="24"/>
        <v>6.255010584</v>
      </c>
      <c r="F61" s="45">
        <f t="shared" si="24"/>
        <v>7.163079156</v>
      </c>
      <c r="G61" s="45">
        <f t="shared" si="24"/>
        <v>8.836576865</v>
      </c>
      <c r="H61" s="45">
        <f t="shared" si="24"/>
        <v>3.259173091</v>
      </c>
      <c r="I61" s="45">
        <f t="shared" si="24"/>
        <v>5.294423077</v>
      </c>
      <c r="J61" s="45">
        <f t="shared" si="24"/>
        <v>4.968716932</v>
      </c>
      <c r="K61" s="45">
        <f t="shared" si="24"/>
        <v>4.343064269</v>
      </c>
      <c r="L61" s="45">
        <f t="shared" si="24"/>
        <v>4.066430088</v>
      </c>
      <c r="M61" s="45">
        <f t="shared" si="24"/>
        <v>4.082741541</v>
      </c>
      <c r="N61" s="45">
        <f t="shared" si="24"/>
        <v>4.14938183</v>
      </c>
    </row>
    <row r="62" ht="15.75" customHeight="1">
      <c r="A62" s="1" t="s">
        <v>46</v>
      </c>
      <c r="C62" s="45">
        <f t="shared" ref="C62:N62" si="25">C$54/C$44</f>
        <v>4.416416794</v>
      </c>
      <c r="D62" s="45">
        <f t="shared" si="25"/>
        <v>5.923258063</v>
      </c>
      <c r="E62" s="45">
        <f t="shared" si="25"/>
        <v>5.588722206</v>
      </c>
      <c r="F62" s="45">
        <f t="shared" si="25"/>
        <v>6.240839454</v>
      </c>
      <c r="G62" s="45">
        <f t="shared" si="25"/>
        <v>7.541765998</v>
      </c>
      <c r="H62" s="45">
        <f t="shared" si="25"/>
        <v>2.863478628</v>
      </c>
      <c r="I62" s="45">
        <f t="shared" si="25"/>
        <v>4.844125268</v>
      </c>
      <c r="J62" s="45">
        <f t="shared" si="25"/>
        <v>5.53865202</v>
      </c>
      <c r="K62" s="45">
        <f t="shared" si="25"/>
        <v>5.524440745</v>
      </c>
      <c r="L62" s="45">
        <f t="shared" si="25"/>
        <v>5.567266245</v>
      </c>
      <c r="M62" s="45">
        <f t="shared" si="25"/>
        <v>5.634268313</v>
      </c>
      <c r="N62" s="45">
        <f t="shared" si="25"/>
        <v>5.695365235</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showGridLines="0" workbookViewId="0"/>
  </sheetViews>
  <sheetFormatPr customHeight="1" defaultColWidth="12.63" defaultRowHeight="15.0"/>
  <cols>
    <col customWidth="1" min="1" max="1" width="4.25"/>
    <col customWidth="1" min="2" max="3" width="14.38"/>
    <col customWidth="1" min="4" max="4" width="16.63"/>
    <col customWidth="1" min="5" max="5" width="16.88"/>
    <col customWidth="1" min="6" max="6" width="16.38"/>
    <col customWidth="1" min="7" max="7" width="16.63"/>
    <col customWidth="1" min="8" max="8" width="4.25"/>
    <col customWidth="1" min="9" max="10" width="14.38"/>
    <col customWidth="1" min="11" max="11" width="16.63"/>
    <col customWidth="1" min="12" max="12" width="15.88"/>
    <col customWidth="1" min="13" max="13" width="16.13"/>
    <col customWidth="1" min="14" max="14" width="16.38"/>
    <col customWidth="1" min="15" max="15" width="4.25"/>
    <col customWidth="1" min="16" max="17" width="14.38"/>
    <col customWidth="1" min="18" max="18" width="15.38"/>
    <col customWidth="1" min="19" max="19" width="16.38"/>
    <col customWidth="1" min="20" max="20" width="15.38"/>
    <col customWidth="1" min="21" max="39" width="14.38"/>
  </cols>
  <sheetData>
    <row r="1" ht="15.75" customHeight="1">
      <c r="A1" s="56"/>
      <c r="B1" s="36" t="s">
        <v>56</v>
      </c>
      <c r="C1" s="56"/>
      <c r="D1" s="56"/>
      <c r="E1" s="56"/>
      <c r="F1" s="56"/>
      <c r="G1" s="56"/>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row>
    <row r="2" ht="15.7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ht="15.75" customHeight="1">
      <c r="A3" s="1"/>
      <c r="B3" s="57" t="s">
        <v>57</v>
      </c>
      <c r="C3" s="58"/>
      <c r="D3" s="59">
        <v>2019.0</v>
      </c>
      <c r="E3" s="59">
        <v>2020.0</v>
      </c>
      <c r="F3" s="59" t="s">
        <v>58</v>
      </c>
      <c r="G3" s="59" t="s">
        <v>6</v>
      </c>
      <c r="H3" s="60"/>
      <c r="I3" s="57" t="s">
        <v>59</v>
      </c>
      <c r="J3" s="58"/>
      <c r="K3" s="59">
        <v>2019.0</v>
      </c>
      <c r="L3" s="59">
        <v>2020.0</v>
      </c>
      <c r="M3" s="59" t="s">
        <v>58</v>
      </c>
      <c r="N3" s="59" t="s">
        <v>6</v>
      </c>
      <c r="O3" s="60"/>
      <c r="P3" s="57" t="s">
        <v>60</v>
      </c>
      <c r="Q3" s="58"/>
      <c r="R3" s="59">
        <v>2019.0</v>
      </c>
      <c r="S3" s="59">
        <v>2020.0</v>
      </c>
      <c r="T3" s="59" t="s">
        <v>58</v>
      </c>
      <c r="U3" s="59" t="s">
        <v>6</v>
      </c>
      <c r="V3" s="1"/>
      <c r="W3" s="1"/>
      <c r="X3" s="1"/>
      <c r="Y3" s="1"/>
      <c r="Z3" s="1"/>
      <c r="AA3" s="1"/>
      <c r="AB3" s="1"/>
      <c r="AC3" s="1"/>
      <c r="AD3" s="1"/>
      <c r="AE3" s="1"/>
      <c r="AF3" s="1"/>
      <c r="AG3" s="1"/>
      <c r="AH3" s="1"/>
      <c r="AI3" s="1"/>
      <c r="AJ3" s="1"/>
      <c r="AK3" s="1"/>
      <c r="AL3" s="1"/>
      <c r="AM3" s="1"/>
    </row>
    <row r="4" ht="15.75" hidden="1" customHeight="1">
      <c r="A4" s="1"/>
      <c r="B4" s="61"/>
      <c r="C4" s="61"/>
      <c r="D4" s="62">
        <v>43466.0</v>
      </c>
      <c r="E4" s="62">
        <v>43831.0</v>
      </c>
      <c r="F4" s="61"/>
      <c r="G4" s="61"/>
      <c r="H4" s="1"/>
      <c r="I4" s="63"/>
      <c r="J4" s="63"/>
      <c r="K4" s="62">
        <v>43466.0</v>
      </c>
      <c r="L4" s="62">
        <v>43831.0</v>
      </c>
      <c r="M4" s="63"/>
      <c r="N4" s="63"/>
      <c r="O4" s="1"/>
      <c r="P4" s="61"/>
      <c r="Q4" s="61"/>
      <c r="R4" s="62">
        <v>43466.0</v>
      </c>
      <c r="S4" s="62">
        <v>43831.0</v>
      </c>
      <c r="T4" s="61"/>
      <c r="U4" s="61"/>
      <c r="V4" s="1"/>
      <c r="W4" s="1"/>
      <c r="X4" s="1"/>
      <c r="Y4" s="1"/>
      <c r="Z4" s="1"/>
      <c r="AA4" s="1"/>
      <c r="AB4" s="1"/>
      <c r="AC4" s="1"/>
      <c r="AD4" s="1"/>
      <c r="AE4" s="1"/>
      <c r="AF4" s="1"/>
      <c r="AG4" s="1"/>
      <c r="AH4" s="1"/>
      <c r="AI4" s="1"/>
      <c r="AJ4" s="1"/>
      <c r="AK4" s="1"/>
      <c r="AL4" s="1"/>
      <c r="AM4" s="1"/>
    </row>
    <row r="5" ht="15.75" hidden="1" customHeight="1">
      <c r="A5" s="1"/>
      <c r="B5" s="1"/>
      <c r="C5" s="1"/>
      <c r="D5" s="64">
        <v>43831.0</v>
      </c>
      <c r="E5" s="64">
        <v>44197.0</v>
      </c>
      <c r="F5" s="1"/>
      <c r="G5" s="1"/>
      <c r="H5" s="1"/>
      <c r="I5" s="1"/>
      <c r="J5" s="1"/>
      <c r="K5" s="64">
        <v>43831.0</v>
      </c>
      <c r="L5" s="64">
        <v>44197.0</v>
      </c>
      <c r="M5" s="1"/>
      <c r="N5" s="1"/>
      <c r="O5" s="1"/>
      <c r="P5" s="1"/>
      <c r="Q5" s="1"/>
      <c r="R5" s="64">
        <v>43831.0</v>
      </c>
      <c r="S5" s="64">
        <v>44197.0</v>
      </c>
      <c r="T5" s="1"/>
      <c r="U5" s="1"/>
      <c r="V5" s="1"/>
      <c r="W5" s="1"/>
      <c r="X5" s="1"/>
      <c r="Y5" s="1"/>
      <c r="Z5" s="1"/>
      <c r="AA5" s="1"/>
      <c r="AB5" s="1"/>
      <c r="AC5" s="1"/>
      <c r="AD5" s="1"/>
      <c r="AE5" s="1"/>
      <c r="AF5" s="1"/>
      <c r="AG5" s="1"/>
      <c r="AH5" s="1"/>
      <c r="AI5" s="1"/>
      <c r="AJ5" s="1"/>
      <c r="AK5" s="1"/>
      <c r="AL5" s="1"/>
      <c r="AM5" s="1"/>
    </row>
    <row r="6" ht="15.75" customHeight="1">
      <c r="A6" s="1"/>
      <c r="B6" s="1" t="s">
        <v>7</v>
      </c>
      <c r="C6" s="1"/>
      <c r="D6" s="65">
        <f t="array" ref="D6">INDEX(Revenue_Model_MRR,MATCH(DATE(YEAR(D4),MONTH(D4)+11,DAY(D4)),Revenue_Model_Months,0))*12</f>
        <v>9315420.73</v>
      </c>
      <c r="E6" s="65">
        <f t="array" ref="E6">INDEX(Revenue_Model_MRR,MATCH(DATE(YEAR(E4),MONTH(E4)+11,DAY(E4)),Revenue_Model_Months,0))*12</f>
        <v>10374901.36</v>
      </c>
      <c r="F6" s="65">
        <f>E6-D6</f>
        <v>1059480.627</v>
      </c>
      <c r="G6" s="66">
        <f>E6/D6-1</f>
        <v>0.1137340607</v>
      </c>
      <c r="H6" s="1"/>
      <c r="I6" s="1" t="s">
        <v>7</v>
      </c>
      <c r="J6" s="1"/>
      <c r="K6" s="65">
        <f t="array" ref="K6">INDEX(Revenue_Model_MRR_Worst_Case,MATCH(DATE(YEAR(K4),MONTH(K4)+11,DAY(K4)),Revenue_Model_Months_Worst_Case,0))*12</f>
        <v>9315420.73</v>
      </c>
      <c r="L6" s="65">
        <f t="array" ref="L6">INDEX(Revenue_Model_MRR_Worst_Case,MATCH(DATE(YEAR(L4),MONTH(L4)+11,DAY(L4)),Revenue_Model_Months_Worst_Case,0))*12</f>
        <v>8654797.747</v>
      </c>
      <c r="M6" s="65">
        <f>L6-K6</f>
        <v>-660622.9826</v>
      </c>
      <c r="N6" s="66">
        <f>L6/K6-1</f>
        <v>-0.07091713856</v>
      </c>
      <c r="O6" s="1"/>
      <c r="P6" s="1" t="s">
        <v>7</v>
      </c>
      <c r="Q6" s="1"/>
      <c r="R6" s="65">
        <f t="array" ref="R6">INDEX(Revenue_Model_MRR,MATCH(DATE(YEAR(R4),MONTH(R4)+11,DAY(R4)),Revenue_Model_Months,0))*12</f>
        <v>9315420.73</v>
      </c>
      <c r="S6" s="65">
        <f t="array" ref="S6">INDEX(Oper_Model_Revenue_2020_Target,MATCH(DATE(YEAR(S4),MONTH(S4)+11,DAY(S4)),Oper_Model_Months_2020_Target,0))*12</f>
        <v>12377461.31</v>
      </c>
      <c r="T6" s="65">
        <f>S6-R6</f>
        <v>3062040.581</v>
      </c>
      <c r="U6" s="66">
        <f>S6/R6-1</f>
        <v>0.3287066328</v>
      </c>
      <c r="V6" s="1"/>
      <c r="W6" s="1"/>
      <c r="X6" s="1"/>
      <c r="Y6" s="1"/>
      <c r="Z6" s="1"/>
      <c r="AA6" s="1"/>
      <c r="AB6" s="1"/>
      <c r="AC6" s="1"/>
      <c r="AD6" s="1"/>
      <c r="AE6" s="1"/>
      <c r="AF6" s="1"/>
      <c r="AG6" s="1"/>
      <c r="AH6" s="1"/>
      <c r="AI6" s="1"/>
      <c r="AJ6" s="1"/>
      <c r="AK6" s="1"/>
      <c r="AL6" s="1"/>
      <c r="AM6" s="1"/>
    </row>
    <row r="7" ht="15.75" customHeight="1">
      <c r="A7" s="1"/>
      <c r="B7" s="1"/>
      <c r="C7" s="1"/>
      <c r="D7" s="67"/>
      <c r="E7" s="67"/>
      <c r="F7" s="67"/>
      <c r="G7" s="1"/>
      <c r="H7" s="1"/>
      <c r="I7" s="1"/>
      <c r="J7" s="1"/>
      <c r="K7" s="67"/>
      <c r="L7" s="67"/>
      <c r="M7" s="67"/>
      <c r="N7" s="1"/>
      <c r="O7" s="1"/>
      <c r="P7" s="1"/>
      <c r="Q7" s="1"/>
      <c r="R7" s="67"/>
      <c r="S7" s="67"/>
      <c r="T7" s="67"/>
      <c r="U7" s="1"/>
      <c r="V7" s="1"/>
      <c r="W7" s="1"/>
      <c r="X7" s="1"/>
      <c r="Y7" s="1"/>
      <c r="Z7" s="1"/>
      <c r="AA7" s="1"/>
      <c r="AB7" s="1"/>
      <c r="AC7" s="1"/>
      <c r="AD7" s="1"/>
      <c r="AE7" s="1"/>
      <c r="AF7" s="1"/>
      <c r="AG7" s="1"/>
      <c r="AH7" s="1"/>
      <c r="AI7" s="1"/>
      <c r="AJ7" s="1"/>
      <c r="AK7" s="1"/>
      <c r="AL7" s="1"/>
      <c r="AM7" s="1"/>
    </row>
    <row r="8" ht="15.75" customHeight="1">
      <c r="A8" s="1"/>
      <c r="B8" s="1" t="s">
        <v>8</v>
      </c>
      <c r="C8" s="1"/>
      <c r="D8" s="65">
        <f>SUMIFS(Oper_Model_Revenue,Oper_Model_Months,"&gt;="&amp;D4,Oper_Model_Months,"&lt;"&amp;D5)</f>
        <v>7835571</v>
      </c>
      <c r="E8" s="65">
        <f>SUMIFS(Oper_Model_Revenue,Oper_Model_Months,"&gt;="&amp;E4,Oper_Model_Months,"&lt;"&amp;E5)</f>
        <v>9770657.027</v>
      </c>
      <c r="F8" s="65">
        <f>E8-D8</f>
        <v>1935086.027</v>
      </c>
      <c r="G8" s="66">
        <f>E8/D8-1</f>
        <v>0.2469617118</v>
      </c>
      <c r="H8" s="1"/>
      <c r="I8" s="1" t="s">
        <v>8</v>
      </c>
      <c r="J8" s="1"/>
      <c r="K8" s="65">
        <f>SUMIFS(Oper_Model_Revenue_Worst_Case,Oper_Model_Months_Worst_Case,"&gt;="&amp;K4,Oper_Model_Months_Worst_Case,"&lt;"&amp;K5)</f>
        <v>7835571</v>
      </c>
      <c r="L8" s="65">
        <f>SUMIFS(Oper_Model_Revenue_Worst_Case,Oper_Model_Months_Worst_Case,"&gt;="&amp;L4,Oper_Model_Months_Worst_Case,"&lt;"&amp;L5)</f>
        <v>8995226.364</v>
      </c>
      <c r="M8" s="65">
        <f>L8-K8</f>
        <v>1159655.364</v>
      </c>
      <c r="N8" s="66">
        <f>L8/K8-1</f>
        <v>0.147998833</v>
      </c>
      <c r="O8" s="1"/>
      <c r="P8" s="1" t="s">
        <v>8</v>
      </c>
      <c r="Q8" s="1"/>
      <c r="R8" s="65">
        <f>SUMIFS(Oper_Model_Revenue,Oper_Model_Months,"&gt;="&amp;R4,Oper_Model_Months,"&lt;"&amp;R5)</f>
        <v>7835571</v>
      </c>
      <c r="S8" s="65">
        <f>SUMIFS(Oper_Model_Revenue_2020_Target,Oper_Model_Months_2020_Target,"&gt;="&amp;S4,Oper_Model_Months_2020_Target,"&lt;"&amp;S5)</f>
        <v>10986788.27</v>
      </c>
      <c r="T8" s="65">
        <f>S8-R8</f>
        <v>3151217.275</v>
      </c>
      <c r="U8" s="66">
        <f>S8/R8-1</f>
        <v>0.4021681731</v>
      </c>
      <c r="V8" s="1"/>
      <c r="W8" s="1"/>
      <c r="X8" s="1"/>
      <c r="Y8" s="1"/>
      <c r="Z8" s="1"/>
      <c r="AA8" s="1"/>
      <c r="AB8" s="1"/>
      <c r="AC8" s="1"/>
      <c r="AD8" s="1"/>
      <c r="AE8" s="1"/>
      <c r="AF8" s="1"/>
      <c r="AG8" s="1"/>
      <c r="AH8" s="1"/>
      <c r="AI8" s="1"/>
      <c r="AJ8" s="1"/>
      <c r="AK8" s="1"/>
      <c r="AL8" s="1"/>
      <c r="AM8" s="1"/>
    </row>
    <row r="9" ht="15.75" customHeight="1">
      <c r="A9" s="1"/>
      <c r="B9" s="1" t="s">
        <v>9</v>
      </c>
      <c r="C9" s="1"/>
      <c r="D9" s="1"/>
      <c r="E9" s="1"/>
      <c r="F9" s="1"/>
      <c r="G9" s="1"/>
      <c r="H9" s="1"/>
      <c r="I9" s="1" t="s">
        <v>9</v>
      </c>
      <c r="J9" s="1"/>
      <c r="K9" s="1"/>
      <c r="L9" s="1"/>
      <c r="M9" s="1"/>
      <c r="N9" s="1"/>
      <c r="O9" s="1"/>
      <c r="P9" s="1" t="s">
        <v>9</v>
      </c>
      <c r="Q9" s="1"/>
      <c r="R9" s="1"/>
      <c r="S9" s="1"/>
      <c r="T9" s="1"/>
      <c r="U9" s="1"/>
      <c r="V9" s="1"/>
      <c r="W9" s="1"/>
      <c r="X9" s="1"/>
      <c r="Y9" s="1"/>
      <c r="Z9" s="1"/>
      <c r="AA9" s="1"/>
      <c r="AB9" s="1"/>
      <c r="AC9" s="1"/>
      <c r="AD9" s="1"/>
      <c r="AE9" s="1"/>
      <c r="AF9" s="1"/>
      <c r="AG9" s="1"/>
      <c r="AH9" s="1"/>
      <c r="AI9" s="1"/>
      <c r="AJ9" s="1"/>
      <c r="AK9" s="1"/>
      <c r="AL9" s="1"/>
      <c r="AM9" s="1"/>
    </row>
    <row r="10" ht="15.75" customHeight="1">
      <c r="A10" s="1"/>
      <c r="B10" s="1" t="s">
        <v>10</v>
      </c>
      <c r="C10" s="1"/>
      <c r="D10" s="68">
        <f>SUMIFS(Oper_Model_Support,Oper_Model_Months,"&gt;="&amp;D4,Oper_Model_Months,"&lt;"&amp;D5)</f>
        <v>884451</v>
      </c>
      <c r="E10" s="68">
        <f>SUMIFS(Oper_Model_Support,Oper_Model_Months,"&gt;="&amp;E4,Oper_Model_Months,"&lt;"&amp;E5)</f>
        <v>946631.9382</v>
      </c>
      <c r="F10" s="68">
        <f t="shared" ref="F10:F13" si="1">E10-D10</f>
        <v>62180.9382</v>
      </c>
      <c r="G10" s="66">
        <f t="shared" ref="G10:G13" si="2">E10/D10-1</f>
        <v>0.07030455977</v>
      </c>
      <c r="H10" s="1"/>
      <c r="I10" s="1" t="s">
        <v>10</v>
      </c>
      <c r="J10" s="1"/>
      <c r="K10" s="68">
        <f>SUMIFS(Oper_Model_Support_Worst_Case,Oper_Model_Months_Worst_Case,"&gt;="&amp;K4,Oper_Model_Months_Worst_Case,"&lt;"&amp;K5)</f>
        <v>884451</v>
      </c>
      <c r="L10" s="68">
        <f>SUMIFS(Oper_Model_Support_Worst_Case,Oper_Model_Months_Worst_Case,"&gt;="&amp;L4,Oper_Model_Months_Worst_Case,"&lt;"&amp;L5)</f>
        <v>793335.6806</v>
      </c>
      <c r="M10" s="68">
        <f t="shared" ref="M10:M13" si="3">L10-K10</f>
        <v>-91115.31938</v>
      </c>
      <c r="N10" s="66">
        <f t="shared" ref="N10:N13" si="4">L10/K10-1</f>
        <v>-0.1030190699</v>
      </c>
      <c r="O10" s="1"/>
      <c r="P10" s="1" t="s">
        <v>10</v>
      </c>
      <c r="Q10" s="1"/>
      <c r="R10" s="68">
        <f>SUMIFS(Oper_Model_Support,Oper_Model_Months,"&gt;="&amp;R4,Oper_Model_Months,"&lt;"&amp;R5)</f>
        <v>884451</v>
      </c>
      <c r="S10" s="68">
        <f>SUMIFS(Oper_Model_Support_2020_Target,Oper_Model_Months_2020_Target,"&gt;="&amp;S4,Oper_Model_Months_2020_Target,"&lt;"&amp;S5)</f>
        <v>1286639.53</v>
      </c>
      <c r="T10" s="68">
        <f t="shared" ref="T10:T13" si="5">S10-R10</f>
        <v>402188.5301</v>
      </c>
      <c r="U10" s="66">
        <f t="shared" ref="U10:U13" si="6">S10/R10-1</f>
        <v>0.4547324047</v>
      </c>
      <c r="V10" s="1"/>
      <c r="W10" s="1"/>
      <c r="X10" s="1"/>
      <c r="Y10" s="1"/>
      <c r="Z10" s="1"/>
      <c r="AA10" s="1"/>
      <c r="AB10" s="1"/>
      <c r="AC10" s="1"/>
      <c r="AD10" s="1"/>
      <c r="AE10" s="1"/>
      <c r="AF10" s="1"/>
      <c r="AG10" s="1"/>
      <c r="AH10" s="1"/>
      <c r="AI10" s="1"/>
      <c r="AJ10" s="1"/>
      <c r="AK10" s="1"/>
      <c r="AL10" s="1"/>
      <c r="AM10" s="1"/>
    </row>
    <row r="11" ht="15.75" customHeight="1">
      <c r="A11" s="1"/>
      <c r="B11" s="1" t="s">
        <v>11</v>
      </c>
      <c r="C11" s="1"/>
      <c r="D11" s="68">
        <f>SUMIFS(Oper_Model_Service_Delivery,Oper_Model_Months,"&gt;="&amp;D4,Oper_Model_Months,"&lt;"&amp;D5)</f>
        <v>602421</v>
      </c>
      <c r="E11" s="68">
        <f>SUMIFS(Oper_Model_Service_Delivery,Oper_Model_Months,"&gt;="&amp;E4,Oper_Model_Months,"&lt;"&amp;E5)</f>
        <v>844521.8105</v>
      </c>
      <c r="F11" s="68">
        <f t="shared" si="1"/>
        <v>242100.8105</v>
      </c>
      <c r="G11" s="66">
        <f t="shared" si="2"/>
        <v>0.4018797661</v>
      </c>
      <c r="H11" s="1"/>
      <c r="I11" s="1" t="s">
        <v>11</v>
      </c>
      <c r="J11" s="1"/>
      <c r="K11" s="68">
        <f>SUMIFS(Oper_Model_Service_Delivery_Worst_Case,Oper_Model_Months_Worst_Case,"&gt;="&amp;K4,Oper_Model_Months_Worst_Case,"&lt;"&amp;K5)</f>
        <v>602421</v>
      </c>
      <c r="L11" s="68">
        <f>SUMIFS(Oper_Model_Service_Delivery_Worst_Case,Oper_Model_Months_Worst_Case,"&gt;="&amp;L4,Oper_Model_Months_Worst_Case,"&lt;"&amp;L5)</f>
        <v>777174.9128</v>
      </c>
      <c r="M11" s="68">
        <f t="shared" si="3"/>
        <v>174753.9128</v>
      </c>
      <c r="N11" s="66">
        <f t="shared" si="4"/>
        <v>0.2900860243</v>
      </c>
      <c r="O11" s="1"/>
      <c r="P11" s="1" t="s">
        <v>11</v>
      </c>
      <c r="Q11" s="1"/>
      <c r="R11" s="68">
        <f>SUMIFS(Oper_Model_Service_Delivery,Oper_Model_Months,"&gt;="&amp;R4,Oper_Model_Months,"&lt;"&amp;R5)</f>
        <v>602421</v>
      </c>
      <c r="S11" s="68">
        <f>SUMIFS(Oper_Model_Service_Delivery_2020_Target,Oper_Model_Months_2020_Target,"&gt;="&amp;S4,Oper_Model_Months_2020_Target,"&lt;"&amp;S5)</f>
        <v>781467.7609</v>
      </c>
      <c r="T11" s="68">
        <f t="shared" si="5"/>
        <v>179046.7609</v>
      </c>
      <c r="U11" s="66">
        <f t="shared" si="6"/>
        <v>0.2972120177</v>
      </c>
      <c r="V11" s="1"/>
      <c r="W11" s="1"/>
      <c r="X11" s="1"/>
      <c r="Y11" s="1"/>
      <c r="Z11" s="1"/>
      <c r="AA11" s="1"/>
      <c r="AB11" s="1"/>
      <c r="AC11" s="1"/>
      <c r="AD11" s="1"/>
      <c r="AE11" s="1"/>
      <c r="AF11" s="1"/>
      <c r="AG11" s="1"/>
      <c r="AH11" s="1"/>
      <c r="AI11" s="1"/>
      <c r="AJ11" s="1"/>
      <c r="AK11" s="1"/>
      <c r="AL11" s="1"/>
      <c r="AM11" s="1"/>
    </row>
    <row r="12" ht="15.75" customHeight="1">
      <c r="A12" s="1"/>
      <c r="B12" s="69" t="s">
        <v>9</v>
      </c>
      <c r="C12" s="69"/>
      <c r="D12" s="70">
        <f t="shared" ref="D12:E12" si="7">SUM(D10:D11)</f>
        <v>1486872</v>
      </c>
      <c r="E12" s="70">
        <f t="shared" si="7"/>
        <v>1791153.749</v>
      </c>
      <c r="F12" s="70">
        <f t="shared" si="1"/>
        <v>304281.7487</v>
      </c>
      <c r="G12" s="71">
        <f t="shared" si="2"/>
        <v>0.2046455571</v>
      </c>
      <c r="H12" s="1"/>
      <c r="I12" s="69" t="s">
        <v>9</v>
      </c>
      <c r="J12" s="69"/>
      <c r="K12" s="70">
        <f t="shared" ref="K12:L12" si="8">SUM(K10:K11)</f>
        <v>1486872</v>
      </c>
      <c r="L12" s="70">
        <f t="shared" si="8"/>
        <v>1570510.593</v>
      </c>
      <c r="M12" s="70">
        <f t="shared" si="3"/>
        <v>83638.59345</v>
      </c>
      <c r="N12" s="71">
        <f t="shared" si="4"/>
        <v>0.05625137433</v>
      </c>
      <c r="O12" s="1"/>
      <c r="P12" s="69" t="s">
        <v>9</v>
      </c>
      <c r="Q12" s="69"/>
      <c r="R12" s="70">
        <f t="shared" ref="R12:S12" si="9">SUM(R10:R11)</f>
        <v>1486872</v>
      </c>
      <c r="S12" s="70">
        <f t="shared" si="9"/>
        <v>2068107.291</v>
      </c>
      <c r="T12" s="70">
        <f t="shared" si="5"/>
        <v>581235.291</v>
      </c>
      <c r="U12" s="71">
        <f t="shared" si="6"/>
        <v>0.390911451</v>
      </c>
      <c r="V12" s="1"/>
      <c r="W12" s="1"/>
      <c r="X12" s="1"/>
      <c r="Y12" s="1"/>
      <c r="Z12" s="1"/>
      <c r="AA12" s="1"/>
      <c r="AB12" s="1"/>
      <c r="AC12" s="1"/>
      <c r="AD12" s="1"/>
      <c r="AE12" s="1"/>
      <c r="AF12" s="1"/>
      <c r="AG12" s="1"/>
      <c r="AH12" s="1"/>
      <c r="AI12" s="1"/>
      <c r="AJ12" s="1"/>
      <c r="AK12" s="1"/>
      <c r="AL12" s="1"/>
      <c r="AM12" s="1"/>
    </row>
    <row r="13" ht="15.75" customHeight="1">
      <c r="A13" s="1"/>
      <c r="B13" s="69" t="s">
        <v>12</v>
      </c>
      <c r="C13" s="69"/>
      <c r="D13" s="70">
        <f t="shared" ref="D13:E13" si="10">D8-D12</f>
        <v>6348699</v>
      </c>
      <c r="E13" s="70">
        <f t="shared" si="10"/>
        <v>7979503.278</v>
      </c>
      <c r="F13" s="70">
        <f t="shared" si="1"/>
        <v>1630804.278</v>
      </c>
      <c r="G13" s="71">
        <f t="shared" si="2"/>
        <v>0.2568721998</v>
      </c>
      <c r="H13" s="1"/>
      <c r="I13" s="69" t="s">
        <v>12</v>
      </c>
      <c r="J13" s="69"/>
      <c r="K13" s="70">
        <f t="shared" ref="K13:L13" si="11">K8-K12</f>
        <v>6348699</v>
      </c>
      <c r="L13" s="70">
        <f t="shared" si="11"/>
        <v>7424715.771</v>
      </c>
      <c r="M13" s="70">
        <f t="shared" si="3"/>
        <v>1076016.771</v>
      </c>
      <c r="N13" s="71">
        <f t="shared" si="4"/>
        <v>0.1694861846</v>
      </c>
      <c r="O13" s="1"/>
      <c r="P13" s="69" t="s">
        <v>12</v>
      </c>
      <c r="Q13" s="69"/>
      <c r="R13" s="70">
        <f t="shared" ref="R13:S13" si="12">R8-R12</f>
        <v>6348699</v>
      </c>
      <c r="S13" s="70">
        <f t="shared" si="12"/>
        <v>8918680.984</v>
      </c>
      <c r="T13" s="70">
        <f t="shared" si="5"/>
        <v>2569981.984</v>
      </c>
      <c r="U13" s="71">
        <f t="shared" si="6"/>
        <v>0.4048045093</v>
      </c>
      <c r="V13" s="1"/>
      <c r="W13" s="1"/>
      <c r="X13" s="1"/>
      <c r="Y13" s="1"/>
      <c r="Z13" s="1"/>
      <c r="AA13" s="1"/>
      <c r="AB13" s="1"/>
      <c r="AC13" s="1"/>
      <c r="AD13" s="1"/>
      <c r="AE13" s="1"/>
      <c r="AF13" s="1"/>
      <c r="AG13" s="1"/>
      <c r="AH13" s="1"/>
      <c r="AI13" s="1"/>
      <c r="AJ13" s="1"/>
      <c r="AK13" s="1"/>
      <c r="AL13" s="1"/>
      <c r="AM13" s="1"/>
    </row>
    <row r="14" ht="15.75" customHeight="1">
      <c r="A14" s="1"/>
      <c r="B14" s="1" t="s">
        <v>13</v>
      </c>
      <c r="C14" s="1"/>
      <c r="D14" s="66">
        <f t="shared" ref="D14:E14" si="13">D13/D8</f>
        <v>0.8102407597</v>
      </c>
      <c r="E14" s="66">
        <f t="shared" si="13"/>
        <v>0.816680317</v>
      </c>
      <c r="F14" s="1"/>
      <c r="G14" s="1"/>
      <c r="H14" s="1"/>
      <c r="I14" s="1" t="s">
        <v>13</v>
      </c>
      <c r="J14" s="1"/>
      <c r="K14" s="66">
        <f t="shared" ref="K14:L14" si="14">K13/K8</f>
        <v>0.8102407597</v>
      </c>
      <c r="L14" s="66">
        <f t="shared" si="14"/>
        <v>0.8254062177</v>
      </c>
      <c r="M14" s="1"/>
      <c r="N14" s="1"/>
      <c r="O14" s="1"/>
      <c r="P14" s="1" t="s">
        <v>13</v>
      </c>
      <c r="Q14" s="1"/>
      <c r="R14" s="66">
        <f t="shared" ref="R14:S14" si="15">R13/R8</f>
        <v>0.8102407597</v>
      </c>
      <c r="S14" s="66">
        <f t="shared" si="15"/>
        <v>0.8117641626</v>
      </c>
      <c r="T14" s="1"/>
      <c r="U14" s="1"/>
      <c r="V14" s="1"/>
      <c r="W14" s="1"/>
      <c r="X14" s="1"/>
      <c r="Y14" s="1"/>
      <c r="Z14" s="1"/>
      <c r="AA14" s="1"/>
      <c r="AB14" s="1"/>
      <c r="AC14" s="1"/>
      <c r="AD14" s="1"/>
      <c r="AE14" s="1"/>
      <c r="AF14" s="1"/>
      <c r="AG14" s="1"/>
      <c r="AH14" s="1"/>
      <c r="AI14" s="1"/>
      <c r="AJ14" s="1"/>
      <c r="AK14" s="1"/>
      <c r="AL14" s="1"/>
      <c r="AM14" s="1"/>
    </row>
    <row r="15" ht="15.75" customHeight="1">
      <c r="A15" s="1"/>
      <c r="B15" s="1" t="s">
        <v>14</v>
      </c>
      <c r="C15" s="1"/>
      <c r="D15" s="1"/>
      <c r="E15" s="1"/>
      <c r="F15" s="1"/>
      <c r="G15" s="1"/>
      <c r="H15" s="1"/>
      <c r="I15" s="1" t="s">
        <v>14</v>
      </c>
      <c r="J15" s="1"/>
      <c r="K15" s="1"/>
      <c r="L15" s="1"/>
      <c r="M15" s="1"/>
      <c r="N15" s="1"/>
      <c r="O15" s="1"/>
      <c r="P15" s="1" t="s">
        <v>14</v>
      </c>
      <c r="Q15" s="1"/>
      <c r="R15" s="1"/>
      <c r="S15" s="1"/>
      <c r="T15" s="1"/>
      <c r="U15" s="1"/>
      <c r="V15" s="1"/>
      <c r="W15" s="1"/>
      <c r="X15" s="1"/>
      <c r="Y15" s="1"/>
      <c r="Z15" s="1"/>
      <c r="AA15" s="1"/>
      <c r="AB15" s="1"/>
      <c r="AC15" s="1"/>
      <c r="AD15" s="1"/>
      <c r="AE15" s="1"/>
      <c r="AF15" s="1"/>
      <c r="AG15" s="1"/>
      <c r="AH15" s="1"/>
      <c r="AI15" s="1"/>
      <c r="AJ15" s="1"/>
      <c r="AK15" s="1"/>
      <c r="AL15" s="1"/>
      <c r="AM15" s="1"/>
    </row>
    <row r="16" ht="15.75" customHeight="1">
      <c r="A16" s="1"/>
      <c r="B16" s="1" t="s">
        <v>15</v>
      </c>
      <c r="C16" s="1"/>
      <c r="D16" s="68">
        <f>SUMIFS(Oper_Model_Engineering,Oper_Model_Months,"&gt;="&amp;D4,Oper_Model_Months,"&lt;"&amp;D5)</f>
        <v>3225585</v>
      </c>
      <c r="E16" s="68">
        <f>SUMIFS(Oper_Model_Engineering,Oper_Model_Months,"&gt;="&amp;E4,Oper_Model_Months,"&lt;"&amp;E5)</f>
        <v>3011721.5</v>
      </c>
      <c r="F16" s="68">
        <f t="shared" ref="F16:F20" si="16">E16-D16</f>
        <v>-213863.5</v>
      </c>
      <c r="G16" s="66">
        <f t="shared" ref="G16:G20" si="17">E16/D16-1</f>
        <v>-0.06630223665</v>
      </c>
      <c r="H16" s="1"/>
      <c r="I16" s="1" t="s">
        <v>15</v>
      </c>
      <c r="J16" s="1"/>
      <c r="K16" s="68">
        <f>SUMIFS(Oper_Model_Engineering_Worst_Case,Oper_Model_Months_Worst_Case,"&gt;="&amp;K4,Oper_Model_Months_Worst_Case,"&lt;"&amp;K5)</f>
        <v>3225585</v>
      </c>
      <c r="L16" s="68">
        <f>SUMIFS(Oper_Model_Engineering_Worst_Case,Oper_Model_Months_Worst_Case,"&gt;="&amp;L4,Oper_Model_Months_Worst_Case,"&lt;"&amp;L5)</f>
        <v>2812709</v>
      </c>
      <c r="M16" s="68">
        <f t="shared" ref="M16:M20" si="18">L16-K16</f>
        <v>-412876</v>
      </c>
      <c r="N16" s="66">
        <f t="shared" ref="N16:N20" si="19">L16/K16-1</f>
        <v>-0.1280003472</v>
      </c>
      <c r="O16" s="1"/>
      <c r="P16" s="1" t="s">
        <v>15</v>
      </c>
      <c r="Q16" s="1"/>
      <c r="R16" s="68">
        <f>SUMIFS(Oper_Model_Engineering,Oper_Model_Months,"&gt;="&amp;R4,Oper_Model_Months,"&lt;"&amp;R5)</f>
        <v>3225585</v>
      </c>
      <c r="S16" s="68">
        <f>SUMIFS(Oper_Model_Engineering_2020_Target,Oper_Model_Months_2020_Target,"&gt;="&amp;S4,Oper_Model_Months_2020_Target,"&lt;"&amp;S5)</f>
        <v>3394390</v>
      </c>
      <c r="T16" s="68">
        <f t="shared" ref="T16:T20" si="20">S16-R16</f>
        <v>168805</v>
      </c>
      <c r="U16" s="66">
        <f t="shared" ref="U16:U20" si="21">S16/R16-1</f>
        <v>0.05233314267</v>
      </c>
      <c r="V16" s="1"/>
      <c r="W16" s="1"/>
      <c r="X16" s="1"/>
      <c r="Y16" s="1"/>
      <c r="Z16" s="1"/>
      <c r="AA16" s="1"/>
      <c r="AB16" s="1"/>
      <c r="AC16" s="1"/>
      <c r="AD16" s="1"/>
      <c r="AE16" s="1"/>
      <c r="AF16" s="1"/>
      <c r="AG16" s="1"/>
      <c r="AH16" s="1"/>
      <c r="AI16" s="1"/>
      <c r="AJ16" s="1"/>
      <c r="AK16" s="1"/>
      <c r="AL16" s="1"/>
      <c r="AM16" s="1"/>
    </row>
    <row r="17" ht="15.75" customHeight="1">
      <c r="A17" s="1"/>
      <c r="B17" s="1" t="s">
        <v>16</v>
      </c>
      <c r="C17" s="1"/>
      <c r="D17" s="68">
        <f>SUMIFS(Oper_Model_General,Oper_Model_Months,"&gt;="&amp;D4,Oper_Model_Months,"&lt;"&amp;D5)</f>
        <v>1030569</v>
      </c>
      <c r="E17" s="68">
        <f>SUMIFS(Oper_Model_General,Oper_Model_Months,"&gt;="&amp;E4,Oper_Model_Months,"&lt;"&amp;E5)</f>
        <v>1055560</v>
      </c>
      <c r="F17" s="68">
        <f t="shared" si="16"/>
        <v>24991</v>
      </c>
      <c r="G17" s="66">
        <f t="shared" si="17"/>
        <v>0.0242497106</v>
      </c>
      <c r="H17" s="1"/>
      <c r="I17" s="1" t="s">
        <v>16</v>
      </c>
      <c r="J17" s="1"/>
      <c r="K17" s="68">
        <f>SUMIFS(Oper_Model_General_Worst_Case,Oper_Model_Months_Worst_Case,"&gt;="&amp;K4,Oper_Model_Months_Worst_Case,"&lt;"&amp;K5)</f>
        <v>1030569</v>
      </c>
      <c r="L17" s="68">
        <f>SUMIFS(Oper_Model_General_Worst_Case,Oper_Model_Months_Worst_Case,"&gt;="&amp;L4,Oper_Model_Months_Worst_Case,"&lt;"&amp;L5)</f>
        <v>1046740.667</v>
      </c>
      <c r="M17" s="68">
        <f t="shared" si="18"/>
        <v>16171.66667</v>
      </c>
      <c r="N17" s="66">
        <f t="shared" si="19"/>
        <v>0.01569197857</v>
      </c>
      <c r="O17" s="1"/>
      <c r="P17" s="1" t="s">
        <v>16</v>
      </c>
      <c r="Q17" s="1"/>
      <c r="R17" s="68">
        <f>SUMIFS(Oper_Model_General,Oper_Model_Months,"&gt;="&amp;R4,Oper_Model_Months,"&lt;"&amp;R5)</f>
        <v>1030569</v>
      </c>
      <c r="S17" s="68">
        <f>SUMIFS(Oper_Model_General_2020_Target,Oper_Model_Months_2020_Target,"&gt;="&amp;S4,Oper_Model_Months_2020_Target,"&lt;"&amp;S5)</f>
        <v>1123732</v>
      </c>
      <c r="T17" s="68">
        <f t="shared" si="20"/>
        <v>93163</v>
      </c>
      <c r="U17" s="66">
        <f t="shared" si="21"/>
        <v>0.09039957538</v>
      </c>
      <c r="V17" s="1"/>
      <c r="W17" s="1"/>
      <c r="X17" s="1"/>
      <c r="Y17" s="1"/>
      <c r="Z17" s="1"/>
      <c r="AA17" s="1"/>
      <c r="AB17" s="1"/>
      <c r="AC17" s="1"/>
      <c r="AD17" s="1"/>
      <c r="AE17" s="1"/>
      <c r="AF17" s="1"/>
      <c r="AG17" s="1"/>
      <c r="AH17" s="1"/>
      <c r="AI17" s="1"/>
      <c r="AJ17" s="1"/>
      <c r="AK17" s="1"/>
      <c r="AL17" s="1"/>
      <c r="AM17" s="1"/>
    </row>
    <row r="18" ht="15.75" customHeight="1">
      <c r="A18" s="1"/>
      <c r="B18" s="1" t="s">
        <v>17</v>
      </c>
      <c r="C18" s="1"/>
      <c r="D18" s="68">
        <f>SUMIFS(Oper_Model_Sales_and_Marketing,Oper_Model_Months,"&gt;="&amp;D4,Oper_Model_Months,"&lt;"&amp;D5)</f>
        <v>3361796</v>
      </c>
      <c r="E18" s="68">
        <f>SUMIFS(Oper_Model_Sales_and_Marketing,Oper_Model_Months,"&gt;="&amp;E4,Oper_Model_Months,"&lt;"&amp;E5)</f>
        <v>3985601.604</v>
      </c>
      <c r="F18" s="68">
        <f t="shared" si="16"/>
        <v>623805.6043</v>
      </c>
      <c r="G18" s="66">
        <f t="shared" si="17"/>
        <v>0.1855572451</v>
      </c>
      <c r="H18" s="1"/>
      <c r="I18" s="1" t="s">
        <v>17</v>
      </c>
      <c r="J18" s="1"/>
      <c r="K18" s="68">
        <f>SUMIFS(Oper_Model_Sales_and_Marketing_Worst_Case,Oper_Model_Months_Worst_Case,"&gt;="&amp;K4,Oper_Model_Months_Worst_Case,"&lt;"&amp;K5)</f>
        <v>3361796</v>
      </c>
      <c r="L18" s="68">
        <f>SUMIFS(Oper_Model_Sales_and_Marketing_Worst_Case,Oper_Model_Months_Worst_Case,"&gt;="&amp;L4,Oper_Model_Months_Worst_Case,"&lt;"&amp;L5)</f>
        <v>3527674.333</v>
      </c>
      <c r="M18" s="68">
        <f t="shared" si="18"/>
        <v>165878.3333</v>
      </c>
      <c r="N18" s="66">
        <f t="shared" si="19"/>
        <v>0.04934217702</v>
      </c>
      <c r="O18" s="1"/>
      <c r="P18" s="1" t="s">
        <v>17</v>
      </c>
      <c r="Q18" s="1"/>
      <c r="R18" s="68">
        <f>SUMIFS(Oper_Model_Sales_and_Marketing,Oper_Model_Months,"&gt;="&amp;R4,Oper_Model_Months,"&lt;"&amp;R5)</f>
        <v>3361796</v>
      </c>
      <c r="S18" s="68">
        <f>SUMIFS(Oper_Model_Sales_and_Marketing_2020_Target,Oper_Model_Months_2020_Target,"&gt;="&amp;S4,Oper_Model_Months_2020_Target,"&lt;"&amp;S5)</f>
        <v>4629529.333</v>
      </c>
      <c r="T18" s="68">
        <f t="shared" si="20"/>
        <v>1267733.333</v>
      </c>
      <c r="U18" s="66">
        <f t="shared" si="21"/>
        <v>0.3771000184</v>
      </c>
      <c r="V18" s="1"/>
      <c r="W18" s="1"/>
      <c r="X18" s="1"/>
      <c r="Y18" s="1"/>
      <c r="Z18" s="1"/>
      <c r="AA18" s="1"/>
      <c r="AB18" s="1"/>
      <c r="AC18" s="1"/>
      <c r="AD18" s="1"/>
      <c r="AE18" s="1"/>
      <c r="AF18" s="1"/>
      <c r="AG18" s="1"/>
      <c r="AH18" s="1"/>
      <c r="AI18" s="1"/>
      <c r="AJ18" s="1"/>
      <c r="AK18" s="1"/>
      <c r="AL18" s="1"/>
      <c r="AM18" s="1"/>
    </row>
    <row r="19" ht="15.75" customHeight="1">
      <c r="A19" s="1"/>
      <c r="B19" s="69" t="s">
        <v>18</v>
      </c>
      <c r="C19" s="69"/>
      <c r="D19" s="70">
        <f t="shared" ref="D19:E19" si="22">SUM(D16:D18)</f>
        <v>7617950</v>
      </c>
      <c r="E19" s="70">
        <f t="shared" si="22"/>
        <v>8052883.104</v>
      </c>
      <c r="F19" s="70">
        <f t="shared" si="16"/>
        <v>434933.1043</v>
      </c>
      <c r="G19" s="71">
        <f t="shared" si="17"/>
        <v>0.05709319493</v>
      </c>
      <c r="H19" s="1"/>
      <c r="I19" s="69" t="s">
        <v>18</v>
      </c>
      <c r="J19" s="69"/>
      <c r="K19" s="70">
        <f t="shared" ref="K19:L19" si="23">SUM(K16:K18)</f>
        <v>7617950</v>
      </c>
      <c r="L19" s="70">
        <f t="shared" si="23"/>
        <v>7387124</v>
      </c>
      <c r="M19" s="70">
        <f t="shared" si="18"/>
        <v>-230826</v>
      </c>
      <c r="N19" s="71">
        <f t="shared" si="19"/>
        <v>-0.03030027763</v>
      </c>
      <c r="O19" s="1"/>
      <c r="P19" s="69" t="s">
        <v>18</v>
      </c>
      <c r="Q19" s="69"/>
      <c r="R19" s="70">
        <f t="shared" ref="R19:S19" si="24">SUM(R16:R18)</f>
        <v>7617950</v>
      </c>
      <c r="S19" s="70">
        <f t="shared" si="24"/>
        <v>9147651.333</v>
      </c>
      <c r="T19" s="70">
        <f t="shared" si="20"/>
        <v>1529701.333</v>
      </c>
      <c r="U19" s="71">
        <f t="shared" si="21"/>
        <v>0.2008022281</v>
      </c>
      <c r="V19" s="1"/>
      <c r="W19" s="1"/>
      <c r="X19" s="1"/>
      <c r="Y19" s="1"/>
      <c r="Z19" s="1"/>
      <c r="AA19" s="1"/>
      <c r="AB19" s="1"/>
      <c r="AC19" s="1"/>
      <c r="AD19" s="1"/>
      <c r="AE19" s="1"/>
      <c r="AF19" s="1"/>
      <c r="AG19" s="1"/>
      <c r="AH19" s="1"/>
      <c r="AI19" s="1"/>
      <c r="AJ19" s="1"/>
      <c r="AK19" s="1"/>
      <c r="AL19" s="1"/>
      <c r="AM19" s="1"/>
    </row>
    <row r="20" ht="15.75" customHeight="1">
      <c r="A20" s="1"/>
      <c r="B20" s="69" t="s">
        <v>19</v>
      </c>
      <c r="C20" s="72"/>
      <c r="D20" s="70">
        <f t="shared" ref="D20:E20" si="25">D13-D19</f>
        <v>-1269251</v>
      </c>
      <c r="E20" s="70">
        <f t="shared" si="25"/>
        <v>-73379.82632</v>
      </c>
      <c r="F20" s="70">
        <f t="shared" si="16"/>
        <v>1195871.174</v>
      </c>
      <c r="G20" s="71">
        <f t="shared" si="17"/>
        <v>-0.9421865129</v>
      </c>
      <c r="H20" s="1"/>
      <c r="I20" s="69" t="s">
        <v>19</v>
      </c>
      <c r="J20" s="72"/>
      <c r="K20" s="70">
        <f t="shared" ref="K20:L20" si="26">K13-K19</f>
        <v>-1269251</v>
      </c>
      <c r="L20" s="70">
        <f t="shared" si="26"/>
        <v>37591.77081</v>
      </c>
      <c r="M20" s="70">
        <f t="shared" si="18"/>
        <v>1306842.771</v>
      </c>
      <c r="N20" s="71">
        <f t="shared" si="19"/>
        <v>-1.029617287</v>
      </c>
      <c r="O20" s="1"/>
      <c r="P20" s="69" t="s">
        <v>19</v>
      </c>
      <c r="Q20" s="72"/>
      <c r="R20" s="70">
        <f t="shared" ref="R20:S20" si="27">R13-R19</f>
        <v>-1269251</v>
      </c>
      <c r="S20" s="70">
        <f t="shared" si="27"/>
        <v>-228970.3497</v>
      </c>
      <c r="T20" s="70">
        <f t="shared" si="20"/>
        <v>1040280.65</v>
      </c>
      <c r="U20" s="71">
        <f t="shared" si="21"/>
        <v>-0.8196019939</v>
      </c>
      <c r="V20" s="1"/>
      <c r="W20" s="1"/>
      <c r="X20" s="1"/>
      <c r="Y20" s="1"/>
      <c r="Z20" s="1"/>
      <c r="AA20" s="1"/>
      <c r="AB20" s="1"/>
      <c r="AC20" s="1"/>
      <c r="AD20" s="1"/>
      <c r="AE20" s="1"/>
      <c r="AF20" s="1"/>
      <c r="AG20" s="1"/>
      <c r="AH20" s="1"/>
      <c r="AI20" s="1"/>
      <c r="AJ20" s="1"/>
      <c r="AK20" s="1"/>
      <c r="AL20" s="1"/>
      <c r="AM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ht="15.75" customHeight="1">
      <c r="A22" s="1"/>
      <c r="B22" s="1" t="s">
        <v>25</v>
      </c>
      <c r="C22" s="1"/>
      <c r="D22" s="68">
        <f t="array" ref="D22">INDEX(Oper_Model_Bank_Accounts,MATCH(DATE(YEAR(D4),MONTH(D4)+11,DAY(D4)),Oper_Model_Months,0))</f>
        <v>295403</v>
      </c>
      <c r="E22" s="68" t="str">
        <f t="array" ref="E22">INDEX(Oper_Model_Bank_Accounts,MATCH(DATE(YEAR(E4),MONTH(E4)+11,DAY(E4)),Oper_Model_Months,0))</f>
        <v>#NAME?</v>
      </c>
      <c r="F22" s="68" t="str">
        <f>E22-D22</f>
        <v>#NAME?</v>
      </c>
      <c r="G22" s="66" t="str">
        <f>E22/D22-1</f>
        <v>#NAME?</v>
      </c>
      <c r="H22" s="1"/>
      <c r="I22" s="1" t="s">
        <v>25</v>
      </c>
      <c r="J22" s="1"/>
      <c r="K22" s="68">
        <f t="array" ref="K22">INDEX(Oper_Model_Bank_Accounts_Worst_Case,MATCH(DATE(YEAR(K4),MONTH(K4)+11,DAY(K4)),Oper_Model_Months_Worst_Case,0))</f>
        <v>295403</v>
      </c>
      <c r="L22" s="68" t="str">
        <f t="array" ref="L22">INDEX(Oper_Model_Bank_Accounts_Worst_Case,MATCH(DATE(YEAR(L4),MONTH(L4)+11,DAY(L4)),Oper_Model_Months_Worst_Case,0))</f>
        <v>#NAME?</v>
      </c>
      <c r="M22" s="68" t="str">
        <f>L22-K22</f>
        <v>#NAME?</v>
      </c>
      <c r="N22" s="66" t="str">
        <f>L22/K22-1</f>
        <v>#NAME?</v>
      </c>
      <c r="O22" s="1"/>
      <c r="P22" s="1" t="s">
        <v>25</v>
      </c>
      <c r="Q22" s="1"/>
      <c r="R22" s="68">
        <f t="array" ref="R22">INDEX(Oper_Model_Bank_Accounts,MATCH(DATE(YEAR(R4),MONTH(R4)+11,DAY(R4)),Oper_Model_Months,0))</f>
        <v>295403</v>
      </c>
      <c r="S22" s="68">
        <f t="array" ref="S22">INDEX(Oper_Model_Bank_Accounts_2020_Target,MATCH(DATE(YEAR(S4),MONTH(S4)+11,DAY(S4)),Oper_Model_Months_2020_Target,0))</f>
        <v>861446.1036</v>
      </c>
      <c r="T22" s="68">
        <f>S22-R22</f>
        <v>566043.1036</v>
      </c>
      <c r="U22" s="66">
        <f>S22/R22-1</f>
        <v>1.916172495</v>
      </c>
      <c r="V22" s="1"/>
      <c r="W22" s="1"/>
      <c r="X22" s="1"/>
      <c r="Y22" s="1"/>
      <c r="Z22" s="1"/>
      <c r="AA22" s="1"/>
      <c r="AB22" s="1"/>
      <c r="AC22" s="1"/>
      <c r="AD22" s="1"/>
      <c r="AE22" s="1"/>
      <c r="AF22" s="1"/>
      <c r="AG22" s="1"/>
      <c r="AH22" s="1"/>
      <c r="AI22" s="1"/>
      <c r="AJ22" s="1"/>
      <c r="AK22" s="1"/>
      <c r="AL22" s="1"/>
      <c r="AM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row>
    <row r="25" ht="15.75" customHeight="1">
      <c r="A25" s="1"/>
      <c r="B25" s="1"/>
      <c r="C25" s="1"/>
      <c r="D25" s="1"/>
      <c r="E25" s="1"/>
      <c r="F25" s="73"/>
      <c r="G25" s="73"/>
      <c r="H25" s="1"/>
      <c r="I25" s="1"/>
      <c r="J25" s="1"/>
      <c r="K25" s="1"/>
      <c r="L25" s="1"/>
      <c r="M25" s="73"/>
      <c r="N25" s="73"/>
      <c r="O25" s="1"/>
      <c r="P25" s="1"/>
      <c r="Q25" s="1"/>
      <c r="R25" s="1"/>
      <c r="S25" s="1"/>
      <c r="T25" s="1"/>
      <c r="U25" s="1"/>
      <c r="V25" s="1"/>
      <c r="W25" s="1"/>
      <c r="X25" s="1"/>
      <c r="Y25" s="1"/>
      <c r="Z25" s="1"/>
      <c r="AA25" s="1"/>
      <c r="AB25" s="1"/>
      <c r="AC25" s="1"/>
      <c r="AD25" s="1"/>
      <c r="AE25" s="1"/>
      <c r="AF25" s="1"/>
      <c r="AG25" s="1"/>
      <c r="AH25" s="1"/>
      <c r="AI25" s="1"/>
      <c r="AJ25" s="1"/>
      <c r="AK25" s="1"/>
      <c r="AL25" s="1"/>
      <c r="AM25" s="1"/>
    </row>
    <row r="26" ht="15.75" customHeight="1">
      <c r="A26" s="1"/>
      <c r="B26" s="57" t="s">
        <v>57</v>
      </c>
      <c r="C26" s="58"/>
      <c r="D26" s="59" t="s">
        <v>61</v>
      </c>
      <c r="E26" s="59" t="s">
        <v>62</v>
      </c>
      <c r="F26" s="59" t="s">
        <v>63</v>
      </c>
      <c r="G26" s="59" t="s">
        <v>64</v>
      </c>
      <c r="H26" s="60"/>
      <c r="I26" s="57" t="s">
        <v>59</v>
      </c>
      <c r="J26" s="58"/>
      <c r="K26" s="59" t="s">
        <v>61</v>
      </c>
      <c r="L26" s="59" t="s">
        <v>62</v>
      </c>
      <c r="M26" s="59" t="s">
        <v>63</v>
      </c>
      <c r="N26" s="59" t="s">
        <v>64</v>
      </c>
      <c r="O26" s="1"/>
      <c r="P26" s="1"/>
      <c r="Q26" s="1"/>
      <c r="R26" s="1"/>
      <c r="S26" s="1"/>
      <c r="T26" s="1"/>
      <c r="U26" s="1"/>
      <c r="V26" s="1"/>
      <c r="W26" s="1"/>
      <c r="X26" s="1"/>
      <c r="Y26" s="1"/>
      <c r="Z26" s="1"/>
      <c r="AA26" s="1"/>
      <c r="AB26" s="1"/>
      <c r="AC26" s="1"/>
      <c r="AD26" s="1"/>
      <c r="AE26" s="1"/>
      <c r="AF26" s="1"/>
      <c r="AG26" s="1"/>
      <c r="AH26" s="1"/>
      <c r="AI26" s="1"/>
      <c r="AJ26" s="1"/>
      <c r="AK26" s="1"/>
      <c r="AL26" s="1"/>
      <c r="AM26" s="1"/>
    </row>
    <row r="27" ht="15.75" hidden="1" customHeight="1">
      <c r="A27" s="1"/>
      <c r="B27" s="1"/>
      <c r="C27" s="1"/>
      <c r="D27" s="64">
        <v>43831.0</v>
      </c>
      <c r="E27" s="64">
        <v>43922.0</v>
      </c>
      <c r="F27" s="64">
        <v>44013.0</v>
      </c>
      <c r="G27" s="64">
        <v>44105.0</v>
      </c>
      <c r="H27" s="1"/>
      <c r="I27" s="1"/>
      <c r="J27" s="1"/>
      <c r="K27" s="64">
        <v>43831.0</v>
      </c>
      <c r="L27" s="64">
        <v>43922.0</v>
      </c>
      <c r="M27" s="64">
        <v>44013.0</v>
      </c>
      <c r="N27" s="64">
        <v>44105.0</v>
      </c>
      <c r="O27" s="1"/>
      <c r="P27" s="1"/>
      <c r="Q27" s="1"/>
      <c r="R27" s="1"/>
      <c r="S27" s="1"/>
      <c r="T27" s="1"/>
      <c r="U27" s="1"/>
      <c r="V27" s="1"/>
      <c r="W27" s="1"/>
      <c r="X27" s="1"/>
      <c r="Y27" s="1"/>
      <c r="Z27" s="1"/>
      <c r="AA27" s="1"/>
      <c r="AB27" s="1"/>
      <c r="AC27" s="1"/>
      <c r="AD27" s="1"/>
      <c r="AE27" s="1"/>
      <c r="AF27" s="1"/>
      <c r="AG27" s="1"/>
      <c r="AH27" s="1"/>
      <c r="AI27" s="1"/>
      <c r="AJ27" s="1"/>
      <c r="AK27" s="1"/>
      <c r="AL27" s="1"/>
      <c r="AM27" s="1"/>
    </row>
    <row r="28" ht="15.75" hidden="1" customHeight="1">
      <c r="A28" s="1"/>
      <c r="B28" s="1"/>
      <c r="C28" s="1"/>
      <c r="D28" s="64">
        <v>43922.0</v>
      </c>
      <c r="E28" s="64">
        <v>44013.0</v>
      </c>
      <c r="F28" s="64">
        <v>44105.0</v>
      </c>
      <c r="G28" s="64">
        <v>44197.0</v>
      </c>
      <c r="H28" s="1"/>
      <c r="I28" s="1"/>
      <c r="J28" s="1"/>
      <c r="K28" s="64">
        <v>43922.0</v>
      </c>
      <c r="L28" s="64">
        <v>44013.0</v>
      </c>
      <c r="M28" s="64">
        <v>44105.0</v>
      </c>
      <c r="N28" s="64">
        <v>44197.0</v>
      </c>
      <c r="O28" s="1"/>
      <c r="P28" s="1"/>
      <c r="Q28" s="1"/>
      <c r="R28" s="1"/>
      <c r="S28" s="1"/>
      <c r="T28" s="1"/>
      <c r="U28" s="1"/>
      <c r="V28" s="1"/>
      <c r="W28" s="1"/>
      <c r="X28" s="1"/>
      <c r="Y28" s="1"/>
      <c r="Z28" s="1"/>
      <c r="AA28" s="1"/>
      <c r="AB28" s="1"/>
      <c r="AC28" s="1"/>
      <c r="AD28" s="1"/>
      <c r="AE28" s="1"/>
      <c r="AF28" s="1"/>
      <c r="AG28" s="1"/>
      <c r="AH28" s="1"/>
      <c r="AI28" s="1"/>
      <c r="AJ28" s="1"/>
      <c r="AK28" s="1"/>
      <c r="AL28" s="1"/>
      <c r="AM28" s="1"/>
    </row>
    <row r="29" ht="15.75" customHeight="1">
      <c r="A29" s="1"/>
      <c r="B29" s="1" t="s">
        <v>7</v>
      </c>
      <c r="C29" s="1"/>
      <c r="D29" s="65">
        <f t="array" ref="D29">INDEX(Revenue_Model_MRR,MATCH(DATE(YEAR(D27),MONTH(D27)+2,DAY(D27)),Revenue_Model_Months,0))*12</f>
        <v>9841953.134</v>
      </c>
      <c r="E29" s="65">
        <f t="array" ref="E29">INDEX(Revenue_Model_MRR,MATCH(DATE(YEAR(E27),MONTH(E27)+2,DAY(E27)),Revenue_Model_Months,0))*12</f>
        <v>9322066.78</v>
      </c>
      <c r="F29" s="65">
        <f t="array" ref="F29">INDEX(Revenue_Model_MRR,MATCH(DATE(YEAR(F27),MONTH(F27)+2,DAY(F27)),Revenue_Model_Months,0))*12</f>
        <v>9725363.005</v>
      </c>
      <c r="G29" s="65">
        <f t="array" ref="G29">INDEX(Revenue_Model_MRR,MATCH(DATE(YEAR(G27),MONTH(G27)+2,DAY(G27)),Revenue_Model_Months,0))*12</f>
        <v>10374901.36</v>
      </c>
      <c r="H29" s="1"/>
      <c r="I29" s="1" t="s">
        <v>7</v>
      </c>
      <c r="J29" s="1"/>
      <c r="K29" s="65">
        <f t="array" ref="K29">INDEX(Revenue_Model_MRR_Worst_Case,MATCH(DATE(YEAR(K27),MONTH(K27)+2,DAY(K27)),Revenue_Model_Months_Worst_Case,0))*12</f>
        <v>9841953.134</v>
      </c>
      <c r="L29" s="65">
        <f t="array" ref="L29">INDEX(Revenue_Model_MRR_Worst_Case,MATCH(DATE(YEAR(L27),MONTH(L27)+2,DAY(L27)),Revenue_Model_Months_Worst_Case,0))*12</f>
        <v>8631184.688</v>
      </c>
      <c r="M29" s="65">
        <f t="array" ref="M29">INDEX(Revenue_Model_MRR_Worst_Case,MATCH(DATE(YEAR(M27),MONTH(M27)+2,DAY(M27)),Revenue_Model_Months_Worst_Case,0))*12</f>
        <v>8415286.682</v>
      </c>
      <c r="N29" s="65">
        <f t="array" ref="N29">INDEX(Revenue_Model_MRR_Worst_Case,MATCH(DATE(YEAR(N27),MONTH(N27)+2,DAY(N27)),Revenue_Model_Months_Worst_Case,0))*12</f>
        <v>8654797.747</v>
      </c>
      <c r="O29" s="1"/>
      <c r="P29" s="1"/>
      <c r="Q29" s="1"/>
      <c r="R29" s="1"/>
      <c r="S29" s="1"/>
      <c r="T29" s="1"/>
      <c r="U29" s="1"/>
      <c r="V29" s="1"/>
      <c r="W29" s="1"/>
      <c r="X29" s="1"/>
      <c r="Y29" s="1"/>
      <c r="Z29" s="1"/>
      <c r="AA29" s="1"/>
      <c r="AB29" s="1"/>
      <c r="AC29" s="1"/>
      <c r="AD29" s="1"/>
      <c r="AE29" s="1"/>
      <c r="AF29" s="1"/>
      <c r="AG29" s="1"/>
      <c r="AH29" s="1"/>
      <c r="AI29" s="1"/>
      <c r="AJ29" s="1"/>
      <c r="AK29" s="1"/>
      <c r="AL29" s="1"/>
      <c r="AM29" s="1"/>
    </row>
    <row r="30" ht="15.75" customHeight="1">
      <c r="A30" s="1"/>
      <c r="B30" s="1"/>
      <c r="C30" s="1"/>
      <c r="D30" s="67"/>
      <c r="E30" s="67"/>
      <c r="F30" s="67"/>
      <c r="G30" s="67"/>
      <c r="H30" s="1"/>
      <c r="I30" s="1"/>
      <c r="J30" s="1"/>
      <c r="K30" s="67"/>
      <c r="L30" s="67"/>
      <c r="M30" s="67"/>
      <c r="N30" s="67"/>
      <c r="O30" s="1"/>
      <c r="P30" s="1"/>
      <c r="Q30" s="1"/>
      <c r="R30" s="1"/>
      <c r="S30" s="1"/>
      <c r="T30" s="1"/>
      <c r="U30" s="1"/>
      <c r="V30" s="1"/>
      <c r="W30" s="1"/>
      <c r="X30" s="1"/>
      <c r="Y30" s="1"/>
      <c r="Z30" s="1"/>
      <c r="AA30" s="1"/>
      <c r="AB30" s="1"/>
      <c r="AC30" s="1"/>
      <c r="AD30" s="1"/>
      <c r="AE30" s="1"/>
      <c r="AF30" s="1"/>
      <c r="AG30" s="1"/>
      <c r="AH30" s="1"/>
      <c r="AI30" s="1"/>
      <c r="AJ30" s="1"/>
      <c r="AK30" s="1"/>
      <c r="AL30" s="1"/>
      <c r="AM30" s="1"/>
    </row>
    <row r="31" ht="15.75" customHeight="1">
      <c r="A31" s="1"/>
      <c r="B31" s="1" t="s">
        <v>8</v>
      </c>
      <c r="C31" s="1"/>
      <c r="D31" s="65">
        <f>SUMIFS(Oper_Model_Revenue,Oper_Model_Months,"&gt;="&amp;D27,Oper_Model_Months,"&lt;"&amp;D28)</f>
        <v>2488317.19</v>
      </c>
      <c r="E31" s="65">
        <f>SUMIFS(Oper_Model_Revenue,Oper_Model_Months,"&gt;="&amp;E27,Oper_Model_Months,"&lt;"&amp;E28)</f>
        <v>2353695.327</v>
      </c>
      <c r="F31" s="65">
        <f>SUMIFS(Oper_Model_Revenue,Oper_Model_Months,"&gt;="&amp;F27,Oper_Model_Months,"&lt;"&amp;F28)</f>
        <v>2389024.532</v>
      </c>
      <c r="G31" s="65">
        <f>SUMIFS(Oper_Model_Revenue,Oper_Model_Months,"&gt;="&amp;G27,Oper_Model_Months,"&lt;"&amp;G28)</f>
        <v>2539619.978</v>
      </c>
      <c r="H31" s="1"/>
      <c r="I31" s="1" t="s">
        <v>8</v>
      </c>
      <c r="J31" s="1"/>
      <c r="K31" s="65">
        <f>SUMIFS(Oper_Model_Revenue_Worst_Case,Oper_Model_Months_Worst_Case,"&gt;="&amp;K27,Oper_Model_Months_Worst_Case,"&lt;"&amp;K28)</f>
        <v>2488317.19</v>
      </c>
      <c r="L31" s="65">
        <f>SUMIFS(Oper_Model_Revenue_Worst_Case,Oper_Model_Months_Worst_Case,"&gt;="&amp;L27,Oper_Model_Months_Worst_Case,"&lt;"&amp;L28)</f>
        <v>2267123.559</v>
      </c>
      <c r="M31" s="65">
        <f>SUMIFS(Oper_Model_Revenue_Worst_Case,Oper_Model_Months_Worst_Case,"&gt;="&amp;M27,Oper_Model_Months_Worst_Case,"&lt;"&amp;M28)</f>
        <v>2096159.109</v>
      </c>
      <c r="N31" s="65">
        <f>SUMIFS(Oper_Model_Revenue_Worst_Case,Oper_Model_Months_Worst_Case,"&gt;="&amp;N27,Oper_Model_Months_Worst_Case,"&lt;"&amp;N28)</f>
        <v>2143626.506</v>
      </c>
      <c r="O31" s="1"/>
      <c r="P31" s="1"/>
      <c r="Q31" s="1"/>
      <c r="R31" s="1"/>
      <c r="S31" s="1"/>
      <c r="T31" s="1"/>
      <c r="U31" s="1"/>
      <c r="V31" s="1"/>
      <c r="W31" s="1"/>
      <c r="X31" s="1"/>
      <c r="Y31" s="1"/>
      <c r="Z31" s="1"/>
      <c r="AA31" s="1"/>
      <c r="AB31" s="1"/>
      <c r="AC31" s="1"/>
      <c r="AD31" s="1"/>
      <c r="AE31" s="1"/>
      <c r="AF31" s="1"/>
      <c r="AG31" s="1"/>
      <c r="AH31" s="1"/>
      <c r="AI31" s="1"/>
      <c r="AJ31" s="1"/>
      <c r="AK31" s="1"/>
      <c r="AL31" s="1"/>
      <c r="AM31" s="1"/>
    </row>
    <row r="32" ht="15.75" customHeight="1">
      <c r="A32" s="1"/>
      <c r="B32" s="1" t="s">
        <v>9</v>
      </c>
      <c r="C32" s="1"/>
      <c r="D32" s="1"/>
      <c r="E32" s="1"/>
      <c r="F32" s="1"/>
      <c r="G32" s="1"/>
      <c r="H32" s="1"/>
      <c r="I32" s="1" t="s">
        <v>9</v>
      </c>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row>
    <row r="33" ht="15.75" customHeight="1">
      <c r="A33" s="1"/>
      <c r="B33" s="1" t="s">
        <v>10</v>
      </c>
      <c r="C33" s="1"/>
      <c r="D33" s="68">
        <f>SUMIFS(Oper_Model_Support,Oper_Model_Months,"&gt;="&amp;D27,Oper_Model_Months,"&lt;"&amp;D28)</f>
        <v>228409</v>
      </c>
      <c r="E33" s="68">
        <f>SUMIFS(Oper_Model_Support,Oper_Model_Months,"&gt;="&amp;E27,Oper_Model_Months,"&lt;"&amp;E28)</f>
        <v>227083.8217</v>
      </c>
      <c r="F33" s="68">
        <f>SUMIFS(Oper_Model_Support,Oper_Model_Months,"&gt;="&amp;F27,Oper_Model_Months,"&lt;"&amp;F28)</f>
        <v>228585.4696</v>
      </c>
      <c r="G33" s="68">
        <f>SUMIFS(Oper_Model_Support,Oper_Model_Months,"&gt;="&amp;G27,Oper_Model_Months,"&lt;"&amp;G28)</f>
        <v>262553.6469</v>
      </c>
      <c r="H33" s="1"/>
      <c r="I33" s="1" t="s">
        <v>10</v>
      </c>
      <c r="J33" s="1"/>
      <c r="K33" s="68">
        <f>SUMIFS(Oper_Model_Support_Worst_Case,Oper_Model_Months_Worst_Case,"&gt;="&amp;K27,Oper_Model_Months_Worst_Case,"&lt;"&amp;K28)</f>
        <v>228409</v>
      </c>
      <c r="L33" s="68">
        <f>SUMIFS(Oper_Model_Support_Worst_Case,Oper_Model_Months_Worst_Case,"&gt;="&amp;L27,Oper_Model_Months_Worst_Case,"&lt;"&amp;L28)</f>
        <v>197882.5356</v>
      </c>
      <c r="M33" s="68">
        <f>SUMIFS(Oper_Model_Support_Worst_Case,Oper_Model_Months_Worst_Case,"&gt;="&amp;M27,Oper_Model_Months_Worst_Case,"&lt;"&amp;M28)</f>
        <v>183307.1058</v>
      </c>
      <c r="N33" s="68">
        <f>SUMIFS(Oper_Model_Support_Worst_Case,Oper_Model_Months_Worst_Case,"&gt;="&amp;N27,Oper_Model_Months_Worst_Case,"&lt;"&amp;N28)</f>
        <v>183737.0393</v>
      </c>
      <c r="O33" s="1"/>
      <c r="P33" s="1"/>
      <c r="Q33" s="1"/>
      <c r="R33" s="1"/>
      <c r="S33" s="1"/>
      <c r="T33" s="1"/>
      <c r="U33" s="1"/>
      <c r="V33" s="1"/>
      <c r="W33" s="1"/>
      <c r="X33" s="1"/>
      <c r="Y33" s="1"/>
      <c r="Z33" s="1"/>
      <c r="AA33" s="1"/>
      <c r="AB33" s="1"/>
      <c r="AC33" s="1"/>
      <c r="AD33" s="1"/>
      <c r="AE33" s="1"/>
      <c r="AF33" s="1"/>
      <c r="AG33" s="1"/>
      <c r="AH33" s="1"/>
      <c r="AI33" s="1"/>
      <c r="AJ33" s="1"/>
      <c r="AK33" s="1"/>
      <c r="AL33" s="1"/>
      <c r="AM33" s="1"/>
    </row>
    <row r="34" ht="15.75" customHeight="1">
      <c r="A34" s="1"/>
      <c r="B34" s="1" t="s">
        <v>11</v>
      </c>
      <c r="C34" s="1"/>
      <c r="D34" s="68">
        <f>SUMIFS(Oper_Model_Service_Delivery,Oper_Model_Months,"&gt;="&amp;D27,Oper_Model_Months,"&lt;"&amp;D28)</f>
        <v>210465</v>
      </c>
      <c r="E34" s="68">
        <f>SUMIFS(Oper_Model_Service_Delivery,Oper_Model_Months,"&gt;="&amp;E27,Oper_Model_Months,"&lt;"&amp;E28)</f>
        <v>205999.3017</v>
      </c>
      <c r="F34" s="68">
        <f>SUMIFS(Oper_Model_Service_Delivery,Oper_Model_Months,"&gt;="&amp;F27,Oper_Model_Months,"&lt;"&amp;F28)</f>
        <v>207489.0749</v>
      </c>
      <c r="G34" s="68">
        <f>SUMIFS(Oper_Model_Service_Delivery,Oper_Model_Months,"&gt;="&amp;G27,Oper_Model_Months,"&lt;"&amp;G28)</f>
        <v>220568.434</v>
      </c>
      <c r="H34" s="1"/>
      <c r="I34" s="1" t="s">
        <v>11</v>
      </c>
      <c r="J34" s="1"/>
      <c r="K34" s="68">
        <f>SUMIFS(Oper_Model_Service_Delivery_Worst_Case,Oper_Model_Months_Worst_Case,"&gt;="&amp;K27,Oper_Model_Months_Worst_Case,"&lt;"&amp;K28)</f>
        <v>210465</v>
      </c>
      <c r="L34" s="68">
        <f>SUMIFS(Oper_Model_Service_Delivery_Worst_Case,Oper_Model_Months_Worst_Case,"&gt;="&amp;L27,Oper_Model_Months_Worst_Case,"&lt;"&amp;L28)</f>
        <v>198480.4605</v>
      </c>
      <c r="M34" s="68">
        <f>SUMIFS(Oper_Model_Service_Delivery_Worst_Case,Oper_Model_Months_Worst_Case,"&gt;="&amp;M27,Oper_Model_Months_Worst_Case,"&lt;"&amp;M28)</f>
        <v>182053.4316</v>
      </c>
      <c r="N34" s="68">
        <f>SUMIFS(Oper_Model_Service_Delivery_Worst_Case,Oper_Model_Months_Worst_Case,"&gt;="&amp;N27,Oper_Model_Months_Worst_Case,"&lt;"&amp;N28)</f>
        <v>186176.0207</v>
      </c>
      <c r="O34" s="1"/>
      <c r="P34" s="1"/>
      <c r="Q34" s="1"/>
      <c r="R34" s="1"/>
      <c r="S34" s="1"/>
      <c r="T34" s="1"/>
      <c r="U34" s="1"/>
      <c r="V34" s="1"/>
      <c r="W34" s="1"/>
      <c r="X34" s="1"/>
      <c r="Y34" s="1"/>
      <c r="Z34" s="1"/>
      <c r="AA34" s="1"/>
      <c r="AB34" s="1"/>
      <c r="AC34" s="1"/>
      <c r="AD34" s="1"/>
      <c r="AE34" s="1"/>
      <c r="AF34" s="1"/>
      <c r="AG34" s="1"/>
      <c r="AH34" s="1"/>
      <c r="AI34" s="1"/>
      <c r="AJ34" s="1"/>
      <c r="AK34" s="1"/>
      <c r="AL34" s="1"/>
      <c r="AM34" s="1"/>
    </row>
    <row r="35" ht="15.75" customHeight="1">
      <c r="A35" s="1"/>
      <c r="B35" s="69" t="s">
        <v>9</v>
      </c>
      <c r="C35" s="69"/>
      <c r="D35" s="70">
        <f t="shared" ref="D35:G35" si="28">SUM(D33:D34)</f>
        <v>438874</v>
      </c>
      <c r="E35" s="70">
        <f t="shared" si="28"/>
        <v>433083.1233</v>
      </c>
      <c r="F35" s="70">
        <f t="shared" si="28"/>
        <v>436074.5445</v>
      </c>
      <c r="G35" s="70">
        <f t="shared" si="28"/>
        <v>483122.0809</v>
      </c>
      <c r="H35" s="1"/>
      <c r="I35" s="69" t="s">
        <v>9</v>
      </c>
      <c r="J35" s="69"/>
      <c r="K35" s="70">
        <f t="shared" ref="K35:N35" si="29">SUM(K33:K34)</f>
        <v>438874</v>
      </c>
      <c r="L35" s="70">
        <f t="shared" si="29"/>
        <v>396362.9961</v>
      </c>
      <c r="M35" s="70">
        <f t="shared" si="29"/>
        <v>365360.5374</v>
      </c>
      <c r="N35" s="70">
        <f t="shared" si="29"/>
        <v>369913.06</v>
      </c>
      <c r="O35" s="1"/>
      <c r="P35" s="1"/>
      <c r="Q35" s="1"/>
      <c r="R35" s="1"/>
      <c r="S35" s="1"/>
      <c r="T35" s="1"/>
      <c r="U35" s="1"/>
      <c r="V35" s="1"/>
      <c r="W35" s="1"/>
      <c r="X35" s="1"/>
      <c r="Y35" s="1"/>
      <c r="Z35" s="1"/>
      <c r="AA35" s="1"/>
      <c r="AB35" s="1"/>
      <c r="AC35" s="1"/>
      <c r="AD35" s="1"/>
      <c r="AE35" s="1"/>
      <c r="AF35" s="1"/>
      <c r="AG35" s="1"/>
      <c r="AH35" s="1"/>
      <c r="AI35" s="1"/>
      <c r="AJ35" s="1"/>
      <c r="AK35" s="1"/>
      <c r="AL35" s="1"/>
      <c r="AM35" s="1"/>
    </row>
    <row r="36" ht="15.75" customHeight="1">
      <c r="A36" s="1"/>
      <c r="B36" s="69" t="s">
        <v>12</v>
      </c>
      <c r="C36" s="69"/>
      <c r="D36" s="70">
        <f t="shared" ref="D36:G36" si="30">D31-D35</f>
        <v>2049443.19</v>
      </c>
      <c r="E36" s="70">
        <f t="shared" si="30"/>
        <v>1920612.204</v>
      </c>
      <c r="F36" s="70">
        <f t="shared" si="30"/>
        <v>1952949.987</v>
      </c>
      <c r="G36" s="70">
        <f t="shared" si="30"/>
        <v>2056497.897</v>
      </c>
      <c r="H36" s="1"/>
      <c r="I36" s="69" t="s">
        <v>12</v>
      </c>
      <c r="J36" s="69"/>
      <c r="K36" s="70">
        <f t="shared" ref="K36:N36" si="31">K31-K35</f>
        <v>2049443.19</v>
      </c>
      <c r="L36" s="70">
        <f t="shared" si="31"/>
        <v>1870760.563</v>
      </c>
      <c r="M36" s="70">
        <f t="shared" si="31"/>
        <v>1730798.571</v>
      </c>
      <c r="N36" s="70">
        <f t="shared" si="31"/>
        <v>1773713.446</v>
      </c>
      <c r="O36" s="1"/>
      <c r="P36" s="1"/>
      <c r="Q36" s="1"/>
      <c r="R36" s="1"/>
      <c r="S36" s="1"/>
      <c r="T36" s="1"/>
      <c r="U36" s="1"/>
      <c r="V36" s="1"/>
      <c r="W36" s="1"/>
      <c r="X36" s="1"/>
      <c r="Y36" s="1"/>
      <c r="Z36" s="1"/>
      <c r="AA36" s="1"/>
      <c r="AB36" s="1"/>
      <c r="AC36" s="1"/>
      <c r="AD36" s="1"/>
      <c r="AE36" s="1"/>
      <c r="AF36" s="1"/>
      <c r="AG36" s="1"/>
      <c r="AH36" s="1"/>
      <c r="AI36" s="1"/>
      <c r="AJ36" s="1"/>
      <c r="AK36" s="1"/>
      <c r="AL36" s="1"/>
      <c r="AM36" s="1"/>
    </row>
    <row r="37" ht="15.75" customHeight="1">
      <c r="A37" s="1"/>
      <c r="B37" s="1" t="s">
        <v>13</v>
      </c>
      <c r="C37" s="1"/>
      <c r="D37" s="66">
        <f t="shared" ref="D37:G37" si="32">D36/D31</f>
        <v>0.8236261833</v>
      </c>
      <c r="E37" s="66">
        <f t="shared" si="32"/>
        <v>0.8159986476</v>
      </c>
      <c r="F37" s="66">
        <f t="shared" si="32"/>
        <v>0.8174675318</v>
      </c>
      <c r="G37" s="66">
        <f t="shared" si="32"/>
        <v>0.8097659944</v>
      </c>
      <c r="H37" s="1"/>
      <c r="I37" s="1" t="s">
        <v>13</v>
      </c>
      <c r="J37" s="1"/>
      <c r="K37" s="66">
        <f t="shared" ref="K37:N37" si="33">K36/K31</f>
        <v>0.8236261833</v>
      </c>
      <c r="L37" s="66">
        <f t="shared" si="33"/>
        <v>0.825169213</v>
      </c>
      <c r="M37" s="66">
        <f t="shared" si="33"/>
        <v>0.8256999977</v>
      </c>
      <c r="N37" s="66">
        <f t="shared" si="33"/>
        <v>0.8274358621</v>
      </c>
      <c r="O37" s="1"/>
      <c r="P37" s="1"/>
      <c r="Q37" s="1"/>
      <c r="R37" s="1"/>
      <c r="S37" s="1"/>
      <c r="T37" s="1"/>
      <c r="U37" s="1"/>
      <c r="V37" s="1"/>
      <c r="W37" s="1"/>
      <c r="X37" s="1"/>
      <c r="Y37" s="1"/>
      <c r="Z37" s="1"/>
      <c r="AA37" s="1"/>
      <c r="AB37" s="1"/>
      <c r="AC37" s="1"/>
      <c r="AD37" s="1"/>
      <c r="AE37" s="1"/>
      <c r="AF37" s="1"/>
      <c r="AG37" s="1"/>
      <c r="AH37" s="1"/>
      <c r="AI37" s="1"/>
      <c r="AJ37" s="1"/>
      <c r="AK37" s="1"/>
      <c r="AL37" s="1"/>
      <c r="AM37" s="1"/>
    </row>
    <row r="38" ht="15.75" customHeight="1">
      <c r="A38" s="1"/>
      <c r="B38" s="1" t="s">
        <v>14</v>
      </c>
      <c r="C38" s="1"/>
      <c r="D38" s="1"/>
      <c r="E38" s="1"/>
      <c r="F38" s="1"/>
      <c r="G38" s="1"/>
      <c r="H38" s="1"/>
      <c r="I38" s="1" t="s">
        <v>14</v>
      </c>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row>
    <row r="39" ht="15.75" customHeight="1">
      <c r="A39" s="1"/>
      <c r="B39" s="1" t="s">
        <v>15</v>
      </c>
      <c r="C39" s="1"/>
      <c r="D39" s="68">
        <f>SUMIFS(Oper_Model_Engineering,Oper_Model_Months,"&gt;="&amp;D27,Oper_Model_Months,"&lt;"&amp;D28)</f>
        <v>844467</v>
      </c>
      <c r="E39" s="68">
        <f>SUMIFS(Oper_Model_Engineering,Oper_Model_Months,"&gt;="&amp;E27,Oper_Model_Months,"&lt;"&amp;E28)</f>
        <v>737137</v>
      </c>
      <c r="F39" s="68">
        <f>SUMIFS(Oper_Model_Engineering,Oper_Model_Months,"&gt;="&amp;F27,Oper_Model_Months,"&lt;"&amp;F28)</f>
        <v>688177.5</v>
      </c>
      <c r="G39" s="68">
        <f>SUMIFS(Oper_Model_Engineering,Oper_Model_Months,"&gt;="&amp;G27,Oper_Model_Months,"&lt;"&amp;G28)</f>
        <v>741940</v>
      </c>
      <c r="H39" s="1"/>
      <c r="I39" s="1" t="s">
        <v>15</v>
      </c>
      <c r="J39" s="1"/>
      <c r="K39" s="68">
        <f>SUMIFS(Oper_Model_Engineering_Worst_Case,Oper_Model_Months_Worst_Case,"&gt;="&amp;K27,Oper_Model_Months_Worst_Case,"&lt;"&amp;K28)</f>
        <v>844467</v>
      </c>
      <c r="L39" s="68">
        <f>SUMIFS(Oper_Model_Engineering_Worst_Case,Oper_Model_Months_Worst_Case,"&gt;="&amp;L27,Oper_Model_Months_Worst_Case,"&lt;"&amp;L28)</f>
        <v>700824.5</v>
      </c>
      <c r="M39" s="68">
        <f>SUMIFS(Oper_Model_Engineering_Worst_Case,Oper_Model_Months_Worst_Case,"&gt;="&amp;M27,Oper_Model_Months_Worst_Case,"&lt;"&amp;M28)</f>
        <v>633708.75</v>
      </c>
      <c r="N39" s="68">
        <f>SUMIFS(Oper_Model_Engineering_Worst_Case,Oper_Model_Months_Worst_Case,"&gt;="&amp;N27,Oper_Model_Months_Worst_Case,"&lt;"&amp;N28)</f>
        <v>633708.75</v>
      </c>
      <c r="O39" s="1"/>
      <c r="P39" s="1"/>
      <c r="Q39" s="1"/>
      <c r="R39" s="1"/>
      <c r="S39" s="1"/>
      <c r="T39" s="1"/>
      <c r="U39" s="1"/>
      <c r="V39" s="1"/>
      <c r="W39" s="1"/>
      <c r="X39" s="1"/>
      <c r="Y39" s="1"/>
      <c r="Z39" s="1"/>
      <c r="AA39" s="1"/>
      <c r="AB39" s="1"/>
      <c r="AC39" s="1"/>
      <c r="AD39" s="1"/>
      <c r="AE39" s="1"/>
      <c r="AF39" s="1"/>
      <c r="AG39" s="1"/>
      <c r="AH39" s="1"/>
      <c r="AI39" s="1"/>
      <c r="AJ39" s="1"/>
      <c r="AK39" s="1"/>
      <c r="AL39" s="1"/>
      <c r="AM39" s="1"/>
    </row>
    <row r="40" ht="15.75" customHeight="1">
      <c r="A40" s="1"/>
      <c r="B40" s="1" t="s">
        <v>16</v>
      </c>
      <c r="C40" s="1"/>
      <c r="D40" s="68">
        <f>SUMIFS(Oper_Model_General,Oper_Model_Months,"&gt;="&amp;D27,Oper_Model_Months,"&lt;"&amp;D28)</f>
        <v>300358</v>
      </c>
      <c r="E40" s="68">
        <f>SUMIFS(Oper_Model_General,Oper_Model_Months,"&gt;="&amp;E27,Oper_Model_Months,"&lt;"&amp;E28)</f>
        <v>244237.3333</v>
      </c>
      <c r="F40" s="68">
        <f>SUMIFS(Oper_Model_General,Oper_Model_Months,"&gt;="&amp;F27,Oper_Model_Months,"&lt;"&amp;F28)</f>
        <v>244974.6667</v>
      </c>
      <c r="G40" s="68">
        <f>SUMIFS(Oper_Model_General,Oper_Model_Months,"&gt;="&amp;G27,Oper_Model_Months,"&lt;"&amp;G28)</f>
        <v>265990</v>
      </c>
      <c r="H40" s="1"/>
      <c r="I40" s="1" t="s">
        <v>16</v>
      </c>
      <c r="J40" s="1"/>
      <c r="K40" s="68">
        <f>SUMIFS(Oper_Model_General_Worst_Case,Oper_Model_Months_Worst_Case,"&gt;="&amp;K27,Oper_Model_Months_Worst_Case,"&lt;"&amp;K28)</f>
        <v>300358</v>
      </c>
      <c r="L40" s="68">
        <f>SUMIFS(Oper_Model_General_Worst_Case,Oper_Model_Months_Worst_Case,"&gt;="&amp;L27,Oper_Model_Months_Worst_Case,"&lt;"&amp;L28)</f>
        <v>252540.1667</v>
      </c>
      <c r="M40" s="68">
        <f>SUMIFS(Oper_Model_General_Worst_Case,Oper_Model_Months_Worst_Case,"&gt;="&amp;M27,Oper_Model_Months_Worst_Case,"&lt;"&amp;M28)</f>
        <v>246921.25</v>
      </c>
      <c r="N40" s="68">
        <f>SUMIFS(Oper_Model_General_Worst_Case,Oper_Model_Months_Worst_Case,"&gt;="&amp;N27,Oper_Model_Months_Worst_Case,"&lt;"&amp;N28)</f>
        <v>246921.25</v>
      </c>
      <c r="O40" s="1"/>
      <c r="P40" s="1"/>
      <c r="Q40" s="1"/>
      <c r="R40" s="1"/>
      <c r="S40" s="1"/>
      <c r="T40" s="1"/>
      <c r="U40" s="1"/>
      <c r="V40" s="1"/>
      <c r="W40" s="1"/>
      <c r="X40" s="1"/>
      <c r="Y40" s="1"/>
      <c r="Z40" s="1"/>
      <c r="AA40" s="1"/>
      <c r="AB40" s="1"/>
      <c r="AC40" s="1"/>
      <c r="AD40" s="1"/>
      <c r="AE40" s="1"/>
      <c r="AF40" s="1"/>
      <c r="AG40" s="1"/>
      <c r="AH40" s="1"/>
      <c r="AI40" s="1"/>
      <c r="AJ40" s="1"/>
      <c r="AK40" s="1"/>
      <c r="AL40" s="1"/>
      <c r="AM40" s="1"/>
    </row>
    <row r="41" ht="15.75" customHeight="1">
      <c r="A41" s="1"/>
      <c r="B41" s="1" t="s">
        <v>17</v>
      </c>
      <c r="C41" s="1"/>
      <c r="D41" s="68">
        <f>SUMIFS(Oper_Model_Sales_and_Marketing,Oper_Model_Months,"&gt;="&amp;D27,Oper_Model_Months,"&lt;"&amp;D28)</f>
        <v>936204</v>
      </c>
      <c r="E41" s="68">
        <f>SUMIFS(Oper_Model_Sales_and_Marketing,Oper_Model_Months,"&gt;="&amp;E27,Oper_Model_Months,"&lt;"&amp;E28)</f>
        <v>850640.8498</v>
      </c>
      <c r="F41" s="68">
        <f>SUMIFS(Oper_Model_Sales_and_Marketing,Oper_Model_Months,"&gt;="&amp;F27,Oper_Model_Months,"&lt;"&amp;F28)</f>
        <v>964503.5802</v>
      </c>
      <c r="G41" s="68">
        <f>SUMIFS(Oper_Model_Sales_and_Marketing,Oper_Model_Months,"&gt;="&amp;G27,Oper_Model_Months,"&lt;"&amp;G28)</f>
        <v>1234253.174</v>
      </c>
      <c r="H41" s="1"/>
      <c r="I41" s="1" t="s">
        <v>17</v>
      </c>
      <c r="J41" s="1"/>
      <c r="K41" s="68">
        <f>SUMIFS(Oper_Model_Sales_and_Marketing_Worst_Case,Oper_Model_Months_Worst_Case,"&gt;="&amp;K27,Oper_Model_Months_Worst_Case,"&lt;"&amp;K28)</f>
        <v>936204</v>
      </c>
      <c r="L41" s="68">
        <f>SUMIFS(Oper_Model_Sales_and_Marketing_Worst_Case,Oper_Model_Months_Worst_Case,"&gt;="&amp;L27,Oper_Model_Months_Worst_Case,"&lt;"&amp;L28)</f>
        <v>803798.8333</v>
      </c>
      <c r="M41" s="68">
        <f>SUMIFS(Oper_Model_Sales_and_Marketing_Worst_Case,Oper_Model_Months_Worst_Case,"&gt;="&amp;M27,Oper_Model_Months_Worst_Case,"&lt;"&amp;M28)</f>
        <v>813835.75</v>
      </c>
      <c r="N41" s="68">
        <f>SUMIFS(Oper_Model_Sales_and_Marketing_Worst_Case,Oper_Model_Months_Worst_Case,"&gt;="&amp;N27,Oper_Model_Months_Worst_Case,"&lt;"&amp;N28)</f>
        <v>973835.75</v>
      </c>
      <c r="O41" s="1"/>
      <c r="P41" s="1"/>
      <c r="Q41" s="1"/>
      <c r="R41" s="1"/>
      <c r="S41" s="1"/>
      <c r="T41" s="1"/>
      <c r="U41" s="1"/>
      <c r="V41" s="1"/>
      <c r="W41" s="1"/>
      <c r="X41" s="1"/>
      <c r="Y41" s="1"/>
      <c r="Z41" s="1"/>
      <c r="AA41" s="1"/>
      <c r="AB41" s="1"/>
      <c r="AC41" s="1"/>
      <c r="AD41" s="1"/>
      <c r="AE41" s="1"/>
      <c r="AF41" s="1"/>
      <c r="AG41" s="1"/>
      <c r="AH41" s="1"/>
      <c r="AI41" s="1"/>
      <c r="AJ41" s="1"/>
      <c r="AK41" s="1"/>
      <c r="AL41" s="1"/>
      <c r="AM41" s="1"/>
    </row>
    <row r="42" ht="15.75" customHeight="1">
      <c r="A42" s="1"/>
      <c r="B42" s="69" t="s">
        <v>18</v>
      </c>
      <c r="C42" s="69"/>
      <c r="D42" s="70">
        <f t="shared" ref="D42:G42" si="34">SUM(D39:D41)</f>
        <v>2081029</v>
      </c>
      <c r="E42" s="70">
        <f t="shared" si="34"/>
        <v>1832015.183</v>
      </c>
      <c r="F42" s="70">
        <f t="shared" si="34"/>
        <v>1897655.747</v>
      </c>
      <c r="G42" s="70">
        <f t="shared" si="34"/>
        <v>2242183.174</v>
      </c>
      <c r="H42" s="1"/>
      <c r="I42" s="69" t="s">
        <v>18</v>
      </c>
      <c r="J42" s="69"/>
      <c r="K42" s="70">
        <f t="shared" ref="K42:N42" si="35">SUM(K39:K41)</f>
        <v>2081029</v>
      </c>
      <c r="L42" s="70">
        <f t="shared" si="35"/>
        <v>1757163.5</v>
      </c>
      <c r="M42" s="70">
        <f t="shared" si="35"/>
        <v>1694465.75</v>
      </c>
      <c r="N42" s="70">
        <f t="shared" si="35"/>
        <v>1854465.75</v>
      </c>
      <c r="O42" s="1"/>
      <c r="P42" s="1"/>
      <c r="Q42" s="1"/>
      <c r="R42" s="1"/>
      <c r="S42" s="1"/>
      <c r="T42" s="1"/>
      <c r="U42" s="1"/>
      <c r="V42" s="1"/>
      <c r="W42" s="1"/>
      <c r="X42" s="1"/>
      <c r="Y42" s="1"/>
      <c r="Z42" s="1"/>
      <c r="AA42" s="1"/>
      <c r="AB42" s="1"/>
      <c r="AC42" s="1"/>
      <c r="AD42" s="1"/>
      <c r="AE42" s="1"/>
      <c r="AF42" s="1"/>
      <c r="AG42" s="1"/>
      <c r="AH42" s="1"/>
      <c r="AI42" s="1"/>
      <c r="AJ42" s="1"/>
      <c r="AK42" s="1"/>
      <c r="AL42" s="1"/>
      <c r="AM42" s="1"/>
    </row>
    <row r="43" ht="15.75" customHeight="1">
      <c r="A43" s="1"/>
      <c r="B43" s="69" t="s">
        <v>19</v>
      </c>
      <c r="C43" s="69"/>
      <c r="D43" s="70">
        <f t="shared" ref="D43:G43" si="36">D36-D42</f>
        <v>-31585.81</v>
      </c>
      <c r="E43" s="70">
        <f t="shared" si="36"/>
        <v>88597.02079</v>
      </c>
      <c r="F43" s="70">
        <f t="shared" si="36"/>
        <v>55294.2405</v>
      </c>
      <c r="G43" s="70">
        <f t="shared" si="36"/>
        <v>-185685.2776</v>
      </c>
      <c r="H43" s="1"/>
      <c r="I43" s="69" t="s">
        <v>19</v>
      </c>
      <c r="J43" s="69"/>
      <c r="K43" s="70">
        <f t="shared" ref="K43:N43" si="37">K36-K42</f>
        <v>-31585.81</v>
      </c>
      <c r="L43" s="70">
        <f t="shared" si="37"/>
        <v>113597.0634</v>
      </c>
      <c r="M43" s="70">
        <f t="shared" si="37"/>
        <v>36332.82138</v>
      </c>
      <c r="N43" s="70">
        <f t="shared" si="37"/>
        <v>-80752.304</v>
      </c>
      <c r="O43" s="1"/>
      <c r="P43" s="1"/>
      <c r="Q43" s="1"/>
      <c r="R43" s="1"/>
      <c r="S43" s="1"/>
      <c r="T43" s="1"/>
      <c r="U43" s="1"/>
      <c r="V43" s="1"/>
      <c r="W43" s="1"/>
      <c r="X43" s="1"/>
      <c r="Y43" s="1"/>
      <c r="Z43" s="1"/>
      <c r="AA43" s="1"/>
      <c r="AB43" s="1"/>
      <c r="AC43" s="1"/>
      <c r="AD43" s="1"/>
      <c r="AE43" s="1"/>
      <c r="AF43" s="1"/>
      <c r="AG43" s="1"/>
      <c r="AH43" s="1"/>
      <c r="AI43" s="1"/>
      <c r="AJ43" s="1"/>
      <c r="AK43" s="1"/>
      <c r="AL43" s="1"/>
      <c r="AM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ht="15.75" customHeight="1">
      <c r="A45" s="1"/>
      <c r="B45" s="1" t="s">
        <v>25</v>
      </c>
      <c r="C45" s="1"/>
      <c r="D45" s="68">
        <f t="array" ref="D45">INDEX(Oper_Model_Bank_Accounts,MATCH(DATE(YEAR(D27),MONTH(D27)+2,DAY(D27)),Oper_Model_Months,0))</f>
        <v>263817.19</v>
      </c>
      <c r="E45" s="68" t="str">
        <f t="array" ref="E45">INDEX(Oper_Model_Bank_Accounts,MATCH(DATE(YEAR(E27),MONTH(E27)+2,DAY(E27)),Oper_Model_Months,0))</f>
        <v>#NAME?</v>
      </c>
      <c r="F45" s="68" t="str">
        <f t="array" ref="F45">INDEX(Oper_Model_Bank_Accounts,MATCH(DATE(YEAR(F27),MONTH(F27)+2,DAY(F27)),Oper_Model_Months,0))</f>
        <v>#NAME?</v>
      </c>
      <c r="G45" s="68" t="str">
        <f t="array" ref="G45">INDEX(Oper_Model_Bank_Accounts,MATCH(DATE(YEAR(G27),MONTH(G27)+2,DAY(G27)),Oper_Model_Months,0))</f>
        <v>#NAME?</v>
      </c>
      <c r="H45" s="1"/>
      <c r="I45" s="1" t="s">
        <v>25</v>
      </c>
      <c r="J45" s="1"/>
      <c r="K45" s="68">
        <f t="array" ref="K45">INDEX(Oper_Model_Bank_Accounts_Worst_Case,MATCH(DATE(YEAR(K27),MONTH(K27)+2,DAY(K27)),Oper_Model_Months_Worst_Case,0))</f>
        <v>263817.19</v>
      </c>
      <c r="L45" s="68" t="str">
        <f t="array" ref="L45">INDEX(Oper_Model_Bank_Accounts_Worst_Case,MATCH(DATE(YEAR(L27),MONTH(L27)+2,DAY(L27)),Oper_Model_Months_Worst_Case,0))</f>
        <v>#NAME?</v>
      </c>
      <c r="M45" s="68" t="str">
        <f t="array" ref="M45">INDEX(Oper_Model_Bank_Accounts_Worst_Case,MATCH(DATE(YEAR(M27),MONTH(M27)+2,DAY(M27)),Oper_Model_Months_Worst_Case,0))</f>
        <v>#NAME?</v>
      </c>
      <c r="N45" s="68" t="str">
        <f t="array" ref="N45">INDEX(Oper_Model_Bank_Accounts_Worst_Case,MATCH(DATE(YEAR(N27),MONTH(N27)+2,DAY(N27)),Oper_Model_Months_Worst_Case,0))</f>
        <v>#NAME?</v>
      </c>
      <c r="O45" s="1"/>
      <c r="P45" s="1"/>
      <c r="Q45" s="1"/>
      <c r="R45" s="1"/>
      <c r="S45" s="1"/>
      <c r="T45" s="1"/>
      <c r="U45" s="1"/>
      <c r="V45" s="1"/>
      <c r="W45" s="1"/>
      <c r="X45" s="1"/>
      <c r="Y45" s="1"/>
      <c r="Z45" s="1"/>
      <c r="AA45" s="1"/>
      <c r="AB45" s="1"/>
      <c r="AC45" s="1"/>
      <c r="AD45" s="1"/>
      <c r="AE45" s="1"/>
      <c r="AF45" s="1"/>
      <c r="AG45" s="1"/>
      <c r="AH45" s="1"/>
      <c r="AI45" s="1"/>
      <c r="AJ45" s="1"/>
      <c r="AK45" s="1"/>
      <c r="AL45" s="1"/>
      <c r="AM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ht="15.75" customHeight="1">
      <c r="A49" s="1"/>
      <c r="B49" s="57" t="s">
        <v>65</v>
      </c>
      <c r="C49" s="58"/>
      <c r="D49" s="59" t="str">
        <f>D26</f>
        <v>Q1</v>
      </c>
      <c r="E49" s="59" t="s">
        <v>62</v>
      </c>
      <c r="F49" s="59" t="s">
        <v>63</v>
      </c>
      <c r="G49" s="59" t="s">
        <v>64</v>
      </c>
      <c r="H49" s="60"/>
      <c r="I49" s="57" t="s">
        <v>65</v>
      </c>
      <c r="J49" s="58"/>
      <c r="K49" s="59" t="s">
        <v>61</v>
      </c>
      <c r="L49" s="59" t="s">
        <v>62</v>
      </c>
      <c r="M49" s="59" t="s">
        <v>63</v>
      </c>
      <c r="N49" s="59" t="s">
        <v>64</v>
      </c>
      <c r="O49" s="1"/>
      <c r="P49" s="1"/>
      <c r="Q49" s="1"/>
      <c r="R49" s="1"/>
      <c r="S49" s="1"/>
      <c r="T49" s="1"/>
      <c r="U49" s="1"/>
      <c r="V49" s="1"/>
      <c r="W49" s="1"/>
      <c r="X49" s="1"/>
      <c r="Y49" s="1"/>
      <c r="Z49" s="1"/>
      <c r="AA49" s="1"/>
      <c r="AB49" s="1"/>
      <c r="AC49" s="1"/>
      <c r="AD49" s="1"/>
      <c r="AE49" s="1"/>
      <c r="AF49" s="1"/>
      <c r="AG49" s="1"/>
      <c r="AH49" s="1"/>
      <c r="AI49" s="1"/>
      <c r="AJ49" s="1"/>
      <c r="AK49" s="1"/>
      <c r="AL49" s="1"/>
      <c r="AM49" s="1"/>
    </row>
    <row r="50" ht="15.75" customHeight="1">
      <c r="A50" s="1"/>
      <c r="B50" s="1" t="s">
        <v>8</v>
      </c>
      <c r="C50" s="1"/>
      <c r="D50" s="66">
        <v>1.0</v>
      </c>
      <c r="E50" s="66">
        <v>1.0</v>
      </c>
      <c r="F50" s="66">
        <v>1.0</v>
      </c>
      <c r="G50" s="66">
        <v>1.0</v>
      </c>
      <c r="H50" s="1"/>
      <c r="I50" s="1" t="s">
        <v>8</v>
      </c>
      <c r="J50" s="1"/>
      <c r="K50" s="66">
        <v>1.0</v>
      </c>
      <c r="L50" s="66">
        <v>1.0</v>
      </c>
      <c r="M50" s="66">
        <v>1.0</v>
      </c>
      <c r="N50" s="66">
        <v>1.0</v>
      </c>
      <c r="O50" s="1"/>
      <c r="P50" s="1"/>
      <c r="Q50" s="1"/>
      <c r="R50" s="1"/>
      <c r="S50" s="1"/>
      <c r="T50" s="1"/>
      <c r="U50" s="1"/>
      <c r="V50" s="1"/>
      <c r="W50" s="1"/>
      <c r="X50" s="1"/>
      <c r="Y50" s="1"/>
      <c r="Z50" s="1"/>
      <c r="AA50" s="1"/>
      <c r="AB50" s="1"/>
      <c r="AC50" s="1"/>
      <c r="AD50" s="1"/>
      <c r="AE50" s="1"/>
      <c r="AF50" s="1"/>
      <c r="AG50" s="1"/>
      <c r="AH50" s="1"/>
      <c r="AI50" s="1"/>
      <c r="AJ50" s="1"/>
      <c r="AK50" s="1"/>
      <c r="AL50" s="1"/>
      <c r="AM50" s="1"/>
    </row>
    <row r="51" ht="15.75" customHeight="1">
      <c r="A51" s="1"/>
      <c r="B51" s="1" t="s">
        <v>9</v>
      </c>
      <c r="C51" s="1"/>
      <c r="D51" s="1"/>
      <c r="E51" s="1"/>
      <c r="F51" s="1"/>
      <c r="G51" s="1"/>
      <c r="H51" s="1"/>
      <c r="I51" s="1" t="s">
        <v>9</v>
      </c>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ht="15.75" customHeight="1">
      <c r="A52" s="1"/>
      <c r="B52" s="1" t="s">
        <v>10</v>
      </c>
      <c r="C52" s="1"/>
      <c r="D52" s="15">
        <f t="shared" ref="D52:G52" si="38">D33/D$31</f>
        <v>0.09179255801</v>
      </c>
      <c r="E52" s="15">
        <f t="shared" si="38"/>
        <v>0.0964797011</v>
      </c>
      <c r="F52" s="15">
        <f t="shared" si="38"/>
        <v>0.09568150789</v>
      </c>
      <c r="G52" s="15">
        <f t="shared" si="38"/>
        <v>0.1033830452</v>
      </c>
      <c r="H52" s="1"/>
      <c r="I52" s="1" t="s">
        <v>10</v>
      </c>
      <c r="J52" s="1"/>
      <c r="K52" s="15">
        <f t="shared" ref="K52:N52" si="39">K33/K$31</f>
        <v>0.09179255801</v>
      </c>
      <c r="L52" s="15">
        <f t="shared" si="39"/>
        <v>0.08728352486</v>
      </c>
      <c r="M52" s="15">
        <f t="shared" si="39"/>
        <v>0.08744904191</v>
      </c>
      <c r="N52" s="15">
        <f t="shared" si="39"/>
        <v>0.08571317755</v>
      </c>
      <c r="O52" s="1"/>
      <c r="P52" s="1"/>
      <c r="Q52" s="1"/>
      <c r="R52" s="1"/>
      <c r="S52" s="1"/>
      <c r="T52" s="1"/>
      <c r="U52" s="1"/>
      <c r="V52" s="1"/>
      <c r="W52" s="1"/>
      <c r="X52" s="1"/>
      <c r="Y52" s="1"/>
      <c r="Z52" s="1"/>
      <c r="AA52" s="1"/>
      <c r="AB52" s="1"/>
      <c r="AC52" s="1"/>
      <c r="AD52" s="1"/>
      <c r="AE52" s="1"/>
      <c r="AF52" s="1"/>
      <c r="AG52" s="1"/>
      <c r="AH52" s="1"/>
      <c r="AI52" s="1"/>
      <c r="AJ52" s="1"/>
      <c r="AK52" s="1"/>
      <c r="AL52" s="1"/>
      <c r="AM52" s="1"/>
    </row>
    <row r="53" ht="15.75" customHeight="1">
      <c r="A53" s="1"/>
      <c r="B53" s="1" t="s">
        <v>11</v>
      </c>
      <c r="C53" s="1"/>
      <c r="D53" s="15">
        <f t="shared" ref="D53:G53" si="40">D34/D$31</f>
        <v>0.08458125871</v>
      </c>
      <c r="E53" s="15">
        <f t="shared" si="40"/>
        <v>0.08752165129</v>
      </c>
      <c r="F53" s="15">
        <f t="shared" si="40"/>
        <v>0.08685096035</v>
      </c>
      <c r="G53" s="15">
        <f t="shared" si="40"/>
        <v>0.08685096035</v>
      </c>
      <c r="H53" s="1"/>
      <c r="I53" s="1" t="s">
        <v>11</v>
      </c>
      <c r="J53" s="1"/>
      <c r="K53" s="15">
        <f t="shared" ref="K53:N53" si="41">K34/K$31</f>
        <v>0.08458125871</v>
      </c>
      <c r="L53" s="15">
        <f t="shared" si="41"/>
        <v>0.08754726211</v>
      </c>
      <c r="M53" s="15">
        <f t="shared" si="41"/>
        <v>0.08685096035</v>
      </c>
      <c r="N53" s="15">
        <f t="shared" si="41"/>
        <v>0.08685096035</v>
      </c>
      <c r="O53" s="1"/>
      <c r="P53" s="1"/>
      <c r="Q53" s="1"/>
      <c r="R53" s="1"/>
      <c r="S53" s="1"/>
      <c r="T53" s="1"/>
      <c r="U53" s="1"/>
      <c r="V53" s="1"/>
      <c r="W53" s="1"/>
      <c r="X53" s="1"/>
      <c r="Y53" s="1"/>
      <c r="Z53" s="1"/>
      <c r="AA53" s="1"/>
      <c r="AB53" s="1"/>
      <c r="AC53" s="1"/>
      <c r="AD53" s="1"/>
      <c r="AE53" s="1"/>
      <c r="AF53" s="1"/>
      <c r="AG53" s="1"/>
      <c r="AH53" s="1"/>
      <c r="AI53" s="1"/>
      <c r="AJ53" s="1"/>
      <c r="AK53" s="1"/>
      <c r="AL53" s="1"/>
      <c r="AM53" s="1"/>
    </row>
    <row r="54" ht="15.75" customHeight="1">
      <c r="A54" s="1"/>
      <c r="B54" s="69" t="s">
        <v>9</v>
      </c>
      <c r="C54" s="69"/>
      <c r="D54" s="25">
        <f t="shared" ref="D54:G54" si="42">D35/D$31</f>
        <v>0.1763738167</v>
      </c>
      <c r="E54" s="25">
        <f t="shared" si="42"/>
        <v>0.1840013524</v>
      </c>
      <c r="F54" s="25">
        <f t="shared" si="42"/>
        <v>0.1825324682</v>
      </c>
      <c r="G54" s="25">
        <f t="shared" si="42"/>
        <v>0.1902340056</v>
      </c>
      <c r="H54" s="1"/>
      <c r="I54" s="69" t="s">
        <v>9</v>
      </c>
      <c r="J54" s="69"/>
      <c r="K54" s="25">
        <f t="shared" ref="K54:N54" si="43">K35/K$31</f>
        <v>0.1763738167</v>
      </c>
      <c r="L54" s="25">
        <f t="shared" si="43"/>
        <v>0.174830787</v>
      </c>
      <c r="M54" s="25">
        <f t="shared" si="43"/>
        <v>0.1743000023</v>
      </c>
      <c r="N54" s="25">
        <f t="shared" si="43"/>
        <v>0.1725641379</v>
      </c>
      <c r="O54" s="1"/>
      <c r="P54" s="1"/>
      <c r="Q54" s="1"/>
      <c r="R54" s="1"/>
      <c r="S54" s="1"/>
      <c r="T54" s="1"/>
      <c r="U54" s="1"/>
      <c r="V54" s="1"/>
      <c r="W54" s="1"/>
      <c r="X54" s="1"/>
      <c r="Y54" s="1"/>
      <c r="Z54" s="1"/>
      <c r="AA54" s="1"/>
      <c r="AB54" s="1"/>
      <c r="AC54" s="1"/>
      <c r="AD54" s="1"/>
      <c r="AE54" s="1"/>
      <c r="AF54" s="1"/>
      <c r="AG54" s="1"/>
      <c r="AH54" s="1"/>
      <c r="AI54" s="1"/>
      <c r="AJ54" s="1"/>
      <c r="AK54" s="1"/>
      <c r="AL54" s="1"/>
      <c r="AM54" s="1"/>
    </row>
    <row r="55" ht="15.75" customHeight="1">
      <c r="A55" s="1"/>
      <c r="B55" s="69" t="s">
        <v>12</v>
      </c>
      <c r="C55" s="69"/>
      <c r="D55" s="25">
        <f t="shared" ref="D55:G55" si="44">D36/D$31</f>
        <v>0.8236261833</v>
      </c>
      <c r="E55" s="25">
        <f t="shared" si="44"/>
        <v>0.8159986476</v>
      </c>
      <c r="F55" s="25">
        <f t="shared" si="44"/>
        <v>0.8174675318</v>
      </c>
      <c r="G55" s="25">
        <f t="shared" si="44"/>
        <v>0.8097659944</v>
      </c>
      <c r="H55" s="1"/>
      <c r="I55" s="69" t="s">
        <v>12</v>
      </c>
      <c r="J55" s="69"/>
      <c r="K55" s="25">
        <f t="shared" ref="K55:N55" si="45">K36/K$31</f>
        <v>0.8236261833</v>
      </c>
      <c r="L55" s="25">
        <f t="shared" si="45"/>
        <v>0.825169213</v>
      </c>
      <c r="M55" s="25">
        <f t="shared" si="45"/>
        <v>0.8256999977</v>
      </c>
      <c r="N55" s="25">
        <f t="shared" si="45"/>
        <v>0.8274358621</v>
      </c>
      <c r="O55" s="1"/>
      <c r="P55" s="1"/>
      <c r="Q55" s="1"/>
      <c r="R55" s="1"/>
      <c r="S55" s="1"/>
      <c r="T55" s="1"/>
      <c r="U55" s="1"/>
      <c r="V55" s="1"/>
      <c r="W55" s="1"/>
      <c r="X55" s="1"/>
      <c r="Y55" s="1"/>
      <c r="Z55" s="1"/>
      <c r="AA55" s="1"/>
      <c r="AB55" s="1"/>
      <c r="AC55" s="1"/>
      <c r="AD55" s="1"/>
      <c r="AE55" s="1"/>
      <c r="AF55" s="1"/>
      <c r="AG55" s="1"/>
      <c r="AH55" s="1"/>
      <c r="AI55" s="1"/>
      <c r="AJ55" s="1"/>
      <c r="AK55" s="1"/>
      <c r="AL55" s="1"/>
      <c r="AM55" s="1"/>
    </row>
    <row r="56" ht="15.75" customHeight="1">
      <c r="A56" s="1"/>
      <c r="B56" s="1" t="s">
        <v>13</v>
      </c>
      <c r="C56" s="1"/>
      <c r="D56" s="1"/>
      <c r="E56" s="1"/>
      <c r="F56" s="1"/>
      <c r="G56" s="1"/>
      <c r="H56" s="1"/>
      <c r="I56" s="1" t="s">
        <v>13</v>
      </c>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ht="15.75" customHeight="1">
      <c r="A57" s="1"/>
      <c r="B57" s="1" t="s">
        <v>14</v>
      </c>
      <c r="C57" s="1"/>
      <c r="D57" s="1"/>
      <c r="E57" s="1"/>
      <c r="F57" s="1"/>
      <c r="G57" s="1"/>
      <c r="H57" s="1"/>
      <c r="I57" s="1" t="s">
        <v>14</v>
      </c>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ht="15.75" customHeight="1">
      <c r="A58" s="1"/>
      <c r="B58" s="1" t="s">
        <v>15</v>
      </c>
      <c r="C58" s="1"/>
      <c r="D58" s="15">
        <f t="shared" ref="D58:G58" si="46">D39/D$31</f>
        <v>0.3393727309</v>
      </c>
      <c r="E58" s="15">
        <f t="shared" si="46"/>
        <v>0.3131828455</v>
      </c>
      <c r="F58" s="15">
        <f t="shared" si="46"/>
        <v>0.2880579462</v>
      </c>
      <c r="G58" s="15">
        <f t="shared" si="46"/>
        <v>0.2921460717</v>
      </c>
      <c r="H58" s="1"/>
      <c r="I58" s="1" t="s">
        <v>15</v>
      </c>
      <c r="J58" s="1"/>
      <c r="K58" s="15">
        <f t="shared" ref="K58:N58" si="47">K39/K$31</f>
        <v>0.3393727309</v>
      </c>
      <c r="L58" s="15">
        <f t="shared" si="47"/>
        <v>0.309124969</v>
      </c>
      <c r="M58" s="15">
        <f t="shared" si="47"/>
        <v>0.3023190116</v>
      </c>
      <c r="N58" s="15">
        <f t="shared" si="47"/>
        <v>0.2956246101</v>
      </c>
      <c r="O58" s="1"/>
      <c r="P58" s="1"/>
      <c r="Q58" s="1"/>
      <c r="R58" s="1"/>
      <c r="S58" s="1"/>
      <c r="T58" s="1"/>
      <c r="U58" s="1"/>
      <c r="V58" s="1"/>
      <c r="W58" s="1"/>
      <c r="X58" s="1"/>
      <c r="Y58" s="1"/>
      <c r="Z58" s="1"/>
      <c r="AA58" s="1"/>
      <c r="AB58" s="1"/>
      <c r="AC58" s="1"/>
      <c r="AD58" s="1"/>
      <c r="AE58" s="1"/>
      <c r="AF58" s="1"/>
      <c r="AG58" s="1"/>
      <c r="AH58" s="1"/>
      <c r="AI58" s="1"/>
      <c r="AJ58" s="1"/>
      <c r="AK58" s="1"/>
      <c r="AL58" s="1"/>
      <c r="AM58" s="1"/>
    </row>
    <row r="59" ht="15.75" customHeight="1">
      <c r="A59" s="1"/>
      <c r="B59" s="1" t="s">
        <v>16</v>
      </c>
      <c r="C59" s="1"/>
      <c r="D59" s="15">
        <f t="shared" ref="D59:G59" si="48">D40/D$31</f>
        <v>0.1207072801</v>
      </c>
      <c r="E59" s="15">
        <f t="shared" si="48"/>
        <v>0.1037676077</v>
      </c>
      <c r="F59" s="15">
        <f t="shared" si="48"/>
        <v>0.1025417125</v>
      </c>
      <c r="G59" s="15">
        <f t="shared" si="48"/>
        <v>0.1047361426</v>
      </c>
      <c r="H59" s="1"/>
      <c r="I59" s="1" t="s">
        <v>16</v>
      </c>
      <c r="J59" s="1"/>
      <c r="K59" s="15">
        <f t="shared" ref="K59:N59" si="49">K40/K$31</f>
        <v>0.1207072801</v>
      </c>
      <c r="L59" s="15">
        <f t="shared" si="49"/>
        <v>0.111392326</v>
      </c>
      <c r="M59" s="15">
        <f t="shared" si="49"/>
        <v>0.1177969978</v>
      </c>
      <c r="N59" s="15">
        <f t="shared" si="49"/>
        <v>0.1151885598</v>
      </c>
      <c r="O59" s="1"/>
      <c r="P59" s="1"/>
      <c r="Q59" s="1"/>
      <c r="R59" s="1"/>
      <c r="S59" s="1"/>
      <c r="T59" s="1"/>
      <c r="U59" s="1"/>
      <c r="V59" s="1"/>
      <c r="W59" s="1"/>
      <c r="X59" s="1"/>
      <c r="Y59" s="1"/>
      <c r="Z59" s="1"/>
      <c r="AA59" s="1"/>
      <c r="AB59" s="1"/>
      <c r="AC59" s="1"/>
      <c r="AD59" s="1"/>
      <c r="AE59" s="1"/>
      <c r="AF59" s="1"/>
      <c r="AG59" s="1"/>
      <c r="AH59" s="1"/>
      <c r="AI59" s="1"/>
      <c r="AJ59" s="1"/>
      <c r="AK59" s="1"/>
      <c r="AL59" s="1"/>
      <c r="AM59" s="1"/>
    </row>
    <row r="60" ht="15.75" customHeight="1">
      <c r="A60" s="1"/>
      <c r="B60" s="1" t="s">
        <v>17</v>
      </c>
      <c r="C60" s="1"/>
      <c r="D60" s="15">
        <f t="shared" ref="D60:G60" si="50">D41/D$31</f>
        <v>0.3762398153</v>
      </c>
      <c r="E60" s="15">
        <f t="shared" si="50"/>
        <v>0.3614065253</v>
      </c>
      <c r="F60" s="15">
        <f t="shared" si="50"/>
        <v>0.4037227611</v>
      </c>
      <c r="G60" s="15">
        <f t="shared" si="50"/>
        <v>0.4859991594</v>
      </c>
      <c r="H60" s="1"/>
      <c r="I60" s="1" t="s">
        <v>17</v>
      </c>
      <c r="J60" s="1"/>
      <c r="K60" s="15">
        <f t="shared" ref="K60:N60" si="51">K41/K$31</f>
        <v>0.3762398153</v>
      </c>
      <c r="L60" s="15">
        <f t="shared" si="51"/>
        <v>0.3545456665</v>
      </c>
      <c r="M60" s="15">
        <f t="shared" si="51"/>
        <v>0.3882509427</v>
      </c>
      <c r="N60" s="15">
        <f t="shared" si="51"/>
        <v>0.4542935755</v>
      </c>
      <c r="O60" s="1"/>
      <c r="P60" s="1"/>
      <c r="Q60" s="1"/>
      <c r="R60" s="1"/>
      <c r="S60" s="1"/>
      <c r="T60" s="1"/>
      <c r="U60" s="1"/>
      <c r="V60" s="1"/>
      <c r="W60" s="1"/>
      <c r="X60" s="1"/>
      <c r="Y60" s="1"/>
      <c r="Z60" s="1"/>
      <c r="AA60" s="1"/>
      <c r="AB60" s="1"/>
      <c r="AC60" s="1"/>
      <c r="AD60" s="1"/>
      <c r="AE60" s="1"/>
      <c r="AF60" s="1"/>
      <c r="AG60" s="1"/>
      <c r="AH60" s="1"/>
      <c r="AI60" s="1"/>
      <c r="AJ60" s="1"/>
      <c r="AK60" s="1"/>
      <c r="AL60" s="1"/>
      <c r="AM60" s="1"/>
    </row>
    <row r="61" ht="15.75" customHeight="1">
      <c r="A61" s="1"/>
      <c r="B61" s="69" t="s">
        <v>18</v>
      </c>
      <c r="C61" s="69"/>
      <c r="D61" s="25">
        <f t="shared" ref="D61:G61" si="52">D42/D$31</f>
        <v>0.8363198263</v>
      </c>
      <c r="E61" s="25">
        <f t="shared" si="52"/>
        <v>0.7783569785</v>
      </c>
      <c r="F61" s="25">
        <f t="shared" si="52"/>
        <v>0.7943224197</v>
      </c>
      <c r="G61" s="25">
        <f t="shared" si="52"/>
        <v>0.8828813736</v>
      </c>
      <c r="H61" s="1"/>
      <c r="I61" s="69" t="s">
        <v>18</v>
      </c>
      <c r="J61" s="69"/>
      <c r="K61" s="25">
        <f t="shared" ref="K61:N61" si="53">K42/K$31</f>
        <v>0.8363198263</v>
      </c>
      <c r="L61" s="25">
        <f t="shared" si="53"/>
        <v>0.7750629615</v>
      </c>
      <c r="M61" s="25">
        <f t="shared" si="53"/>
        <v>0.8083669522</v>
      </c>
      <c r="N61" s="25">
        <f t="shared" si="53"/>
        <v>0.8651067454</v>
      </c>
      <c r="O61" s="1"/>
      <c r="P61" s="1"/>
      <c r="Q61" s="1"/>
      <c r="R61" s="1"/>
      <c r="S61" s="1"/>
      <c r="T61" s="1"/>
      <c r="U61" s="1"/>
      <c r="V61" s="1"/>
      <c r="W61" s="1"/>
      <c r="X61" s="1"/>
      <c r="Y61" s="1"/>
      <c r="Z61" s="1"/>
      <c r="AA61" s="1"/>
      <c r="AB61" s="1"/>
      <c r="AC61" s="1"/>
      <c r="AD61" s="1"/>
      <c r="AE61" s="1"/>
      <c r="AF61" s="1"/>
      <c r="AG61" s="1"/>
      <c r="AH61" s="1"/>
      <c r="AI61" s="1"/>
      <c r="AJ61" s="1"/>
      <c r="AK61" s="1"/>
      <c r="AL61" s="1"/>
      <c r="AM61" s="1"/>
    </row>
    <row r="62" ht="15.75" customHeight="1">
      <c r="A62" s="1"/>
      <c r="B62" s="69" t="s">
        <v>19</v>
      </c>
      <c r="C62" s="69"/>
      <c r="D62" s="25">
        <f t="shared" ref="D62:G62" si="54">D43/D$31</f>
        <v>-0.01269364297</v>
      </c>
      <c r="E62" s="25">
        <f t="shared" si="54"/>
        <v>0.03764166915</v>
      </c>
      <c r="F62" s="25">
        <f t="shared" si="54"/>
        <v>0.02314511206</v>
      </c>
      <c r="G62" s="25">
        <f t="shared" si="54"/>
        <v>-0.07311537917</v>
      </c>
      <c r="H62" s="1"/>
      <c r="I62" s="69" t="s">
        <v>19</v>
      </c>
      <c r="J62" s="69"/>
      <c r="K62" s="25">
        <f t="shared" ref="K62:N62" si="55">K43/K$31</f>
        <v>-0.01269364297</v>
      </c>
      <c r="L62" s="25">
        <f t="shared" si="55"/>
        <v>0.05010625158</v>
      </c>
      <c r="M62" s="25">
        <f t="shared" si="55"/>
        <v>0.01733304558</v>
      </c>
      <c r="N62" s="25">
        <f t="shared" si="55"/>
        <v>-0.03767088332</v>
      </c>
      <c r="O62" s="1"/>
      <c r="P62" s="1"/>
      <c r="Q62" s="1"/>
      <c r="R62" s="1"/>
      <c r="S62" s="1"/>
      <c r="T62" s="1"/>
      <c r="U62" s="1"/>
      <c r="V62" s="1"/>
      <c r="W62" s="1"/>
      <c r="X62" s="1"/>
      <c r="Y62" s="1"/>
      <c r="Z62" s="1"/>
      <c r="AA62" s="1"/>
      <c r="AB62" s="1"/>
      <c r="AC62" s="1"/>
      <c r="AD62" s="1"/>
      <c r="AE62" s="1"/>
      <c r="AF62" s="1"/>
      <c r="AG62" s="1"/>
      <c r="AH62" s="1"/>
      <c r="AI62" s="1"/>
      <c r="AJ62" s="1"/>
      <c r="AK62" s="1"/>
      <c r="AL62" s="1"/>
      <c r="AM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ht="15.75" customHeight="1">
      <c r="A66" s="1"/>
      <c r="B66" s="57" t="s">
        <v>57</v>
      </c>
      <c r="C66" s="58"/>
      <c r="D66" s="59" t="s">
        <v>66</v>
      </c>
      <c r="E66" s="59" t="s">
        <v>67</v>
      </c>
      <c r="F66" s="59" t="s">
        <v>58</v>
      </c>
      <c r="G66" s="59" t="s">
        <v>6</v>
      </c>
      <c r="H66" s="60"/>
      <c r="I66" s="57" t="s">
        <v>59</v>
      </c>
      <c r="J66" s="58"/>
      <c r="K66" s="59" t="s">
        <v>66</v>
      </c>
      <c r="L66" s="59" t="s">
        <v>67</v>
      </c>
      <c r="M66" s="59" t="s">
        <v>58</v>
      </c>
      <c r="N66" s="59" t="s">
        <v>6</v>
      </c>
      <c r="O66" s="1"/>
      <c r="P66" s="1"/>
      <c r="Q66" s="1"/>
      <c r="R66" s="1"/>
      <c r="S66" s="1"/>
      <c r="T66" s="1"/>
      <c r="U66" s="1"/>
      <c r="V66" s="1"/>
      <c r="W66" s="1"/>
      <c r="X66" s="1"/>
      <c r="Y66" s="1"/>
      <c r="Z66" s="1"/>
      <c r="AA66" s="1"/>
      <c r="AB66" s="1"/>
      <c r="AC66" s="1"/>
      <c r="AD66" s="1"/>
      <c r="AE66" s="1"/>
      <c r="AF66" s="1"/>
      <c r="AG66" s="1"/>
      <c r="AH66" s="1"/>
      <c r="AI66" s="1"/>
      <c r="AJ66" s="1"/>
      <c r="AK66" s="1"/>
      <c r="AL66" s="1"/>
      <c r="AM66" s="1"/>
    </row>
    <row r="67" ht="15.75" hidden="1" customHeight="1">
      <c r="A67" s="1"/>
      <c r="B67" s="1" t="s">
        <v>68</v>
      </c>
      <c r="C67" s="1"/>
      <c r="D67" s="64">
        <v>43586.0</v>
      </c>
      <c r="E67" s="64">
        <f>EDATE(D67,12)</f>
        <v>43952</v>
      </c>
      <c r="F67" s="1"/>
      <c r="G67" s="1"/>
      <c r="H67" s="1"/>
      <c r="I67" s="1"/>
      <c r="J67" s="1"/>
      <c r="K67" s="64">
        <v>43525.0</v>
      </c>
      <c r="L67" s="64">
        <v>43922.0</v>
      </c>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ht="15.75" hidden="1" customHeight="1">
      <c r="A68" s="1"/>
      <c r="B68" s="1" t="s">
        <v>69</v>
      </c>
      <c r="C68" s="1"/>
      <c r="D68" s="64">
        <f t="shared" ref="D68:E68" si="56">EDATE(D67,12)</f>
        <v>43952</v>
      </c>
      <c r="E68" s="64">
        <f t="shared" si="56"/>
        <v>44317</v>
      </c>
      <c r="F68" s="1"/>
      <c r="G68" s="1"/>
      <c r="H68" s="1"/>
      <c r="I68" s="1"/>
      <c r="J68" s="1"/>
      <c r="K68" s="64">
        <v>43891.0</v>
      </c>
      <c r="L68" s="64">
        <v>44287.0</v>
      </c>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ht="15.75" customHeight="1">
      <c r="A69" s="1"/>
      <c r="B69" s="1" t="s">
        <v>7</v>
      </c>
      <c r="C69" s="1"/>
      <c r="D69" s="65">
        <f t="array" ref="D69">INDEX(Revenue_Model_MRR,MATCH(DATE(YEAR(D67),MONTH(D67)+11,DAY(D67)),Revenue_Model_Months,0))*12</f>
        <v>9536481.134</v>
      </c>
      <c r="E69" s="65">
        <f t="array" ref="E69">INDEX(Revenue_Model_MRR,MATCH(DATE(YEAR(E67),MONTH(E67)+11,DAY(E67)),Revenue_Model_Months,0))*12</f>
        <v>11302307.07</v>
      </c>
      <c r="F69" s="65">
        <f>E69-D69</f>
        <v>1765825.935</v>
      </c>
      <c r="G69" s="66">
        <f>E69/D69-1</f>
        <v>0.1851653572</v>
      </c>
      <c r="H69" s="1"/>
      <c r="I69" s="1" t="s">
        <v>7</v>
      </c>
      <c r="J69" s="1"/>
      <c r="K69" s="65">
        <f t="array" ref="K69">INDEX(Revenue_Model_MRR_Worst_Case,MATCH(DATE(YEAR(K67),MONTH(K67)+11,DAY(K67)),Revenue_Model_Months_Worst_Case,0))*12</f>
        <v>9891693.134</v>
      </c>
      <c r="L69" s="65">
        <f t="array" ref="L69">INDEX(Revenue_Model_MRR_Worst_Case,MATCH(DATE(YEAR(L67),MONTH(L67)+11,DAY(L67)),Revenue_Model_Months_Worst_Case,0))*12</f>
        <v>8911472.426</v>
      </c>
      <c r="M69" s="65">
        <f>L69-K69</f>
        <v>-980220.7087</v>
      </c>
      <c r="N69" s="66">
        <f>L69/K69-1</f>
        <v>-0.09909534145</v>
      </c>
      <c r="O69" s="1"/>
      <c r="P69" s="1"/>
      <c r="Q69" s="1"/>
      <c r="R69" s="1"/>
      <c r="S69" s="1"/>
      <c r="T69" s="1"/>
      <c r="U69" s="1"/>
      <c r="V69" s="1"/>
      <c r="W69" s="1"/>
      <c r="X69" s="1"/>
      <c r="Y69" s="1"/>
      <c r="Z69" s="1"/>
      <c r="AA69" s="1"/>
      <c r="AB69" s="1"/>
      <c r="AC69" s="1"/>
      <c r="AD69" s="1"/>
      <c r="AE69" s="1"/>
      <c r="AF69" s="1"/>
      <c r="AG69" s="1"/>
      <c r="AH69" s="1"/>
      <c r="AI69" s="1"/>
      <c r="AJ69" s="1"/>
      <c r="AK69" s="1"/>
      <c r="AL69" s="1"/>
      <c r="AM69" s="1"/>
    </row>
    <row r="70" ht="15.75" customHeight="1">
      <c r="A70" s="1"/>
      <c r="B70" s="1"/>
      <c r="C70" s="1"/>
      <c r="D70" s="67"/>
      <c r="E70" s="67"/>
      <c r="F70" s="67"/>
      <c r="G70" s="1"/>
      <c r="H70" s="1"/>
      <c r="I70" s="1"/>
      <c r="J70" s="1"/>
      <c r="K70" s="67"/>
      <c r="L70" s="67"/>
      <c r="M70" s="67"/>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ht="15.75" customHeight="1">
      <c r="A71" s="1"/>
      <c r="B71" s="1" t="s">
        <v>8</v>
      </c>
      <c r="C71" s="1"/>
      <c r="D71" s="65">
        <f>SUMIFS(Oper_Model_Revenue,Oper_Model_Months,"&gt;="&amp;D67,Oper_Model_Months,"&lt;"&amp;D68)</f>
        <v>8948280.19</v>
      </c>
      <c r="E71" s="65">
        <f>SUMIFS(Oper_Model_Revenue,Oper_Model_Months,"&gt;="&amp;E67,Oper_Model_Months,"&lt;"&amp;E68)</f>
        <v>10134271.55</v>
      </c>
      <c r="F71" s="65">
        <f>E71-D71</f>
        <v>1185991.364</v>
      </c>
      <c r="G71" s="66">
        <f>E71/D71-1</f>
        <v>0.1325384698</v>
      </c>
      <c r="H71" s="1"/>
      <c r="I71" s="1" t="s">
        <v>8</v>
      </c>
      <c r="J71" s="1"/>
      <c r="K71" s="65">
        <f>SUMIFS(Oper_Model_Revenue_Worst_Case,Oper_Model_Months_Worst_Case,"&gt;="&amp;K67,Oper_Model_Months_Worst_Case,"&lt;"&amp;K68)</f>
        <v>8474231</v>
      </c>
      <c r="L71" s="65">
        <f>SUMIFS(Oper_Model_Revenue_Worst_Case,Oper_Model_Months_Worst_Case,"&gt;="&amp;L67,Oper_Model_Months_Worst_Case,"&lt;"&amp;L68)</f>
        <v>8712851</v>
      </c>
      <c r="M71" s="65">
        <f>L71-K71</f>
        <v>238620.0005</v>
      </c>
      <c r="N71" s="66">
        <f>L71/K71-1</f>
        <v>0.02815830728</v>
      </c>
      <c r="O71" s="1"/>
      <c r="P71" s="1"/>
      <c r="Q71" s="1"/>
      <c r="R71" s="1"/>
      <c r="S71" s="1"/>
      <c r="T71" s="1"/>
      <c r="U71" s="1"/>
      <c r="V71" s="1"/>
      <c r="W71" s="1"/>
      <c r="X71" s="1"/>
      <c r="Y71" s="1"/>
      <c r="Z71" s="1"/>
      <c r="AA71" s="1"/>
      <c r="AB71" s="1"/>
      <c r="AC71" s="1"/>
      <c r="AD71" s="1"/>
      <c r="AE71" s="1"/>
      <c r="AF71" s="1"/>
      <c r="AG71" s="1"/>
      <c r="AH71" s="1"/>
      <c r="AI71" s="1"/>
      <c r="AJ71" s="1"/>
      <c r="AK71" s="1"/>
      <c r="AL71" s="1"/>
      <c r="AM71" s="1"/>
    </row>
    <row r="72" ht="15.75" customHeight="1">
      <c r="A72" s="1"/>
      <c r="B72" s="1" t="s">
        <v>9</v>
      </c>
      <c r="C72" s="1"/>
      <c r="D72" s="1"/>
      <c r="E72" s="1"/>
      <c r="F72" s="1"/>
      <c r="G72" s="1"/>
      <c r="H72" s="1"/>
      <c r="I72" s="1" t="s">
        <v>9</v>
      </c>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ht="15.75" customHeight="1">
      <c r="A73" s="1"/>
      <c r="B73" s="1" t="s">
        <v>10</v>
      </c>
      <c r="C73" s="1"/>
      <c r="D73" s="68">
        <f>SUMIFS(Oper_Model_Support,Oper_Model_Months,"&gt;="&amp;D67,Oper_Model_Months,"&lt;"&amp;D68)</f>
        <v>908833</v>
      </c>
      <c r="E73" s="68">
        <f>SUMIFS(Oper_Model_Support,Oper_Model_Months,"&gt;="&amp;E67,Oper_Model_Months,"&lt;"&amp;E68)</f>
        <v>1042432.822</v>
      </c>
      <c r="F73" s="68">
        <f t="shared" ref="F73:F76" si="57">E73-D73</f>
        <v>133599.8218</v>
      </c>
      <c r="G73" s="66">
        <f t="shared" ref="G73:G76" si="58">E73/D73-1</f>
        <v>0.1470015083</v>
      </c>
      <c r="H73" s="1"/>
      <c r="I73" s="1" t="s">
        <v>10</v>
      </c>
      <c r="J73" s="1"/>
      <c r="K73" s="68">
        <f>SUMIFS(Oper_Model_Support_Worst_Case,Oper_Model_Months_Worst_Case,"&gt;="&amp;K67,Oper_Model_Months_Worst_Case,"&lt;"&amp;K68)</f>
        <v>899878</v>
      </c>
      <c r="L73" s="68">
        <f>SUMIFS(Oper_Model_Support_Worst_Case,Oper_Model_Months_Worst_Case,"&gt;="&amp;L67,Oper_Model_Months_Worst_Case,"&lt;"&amp;L68)</f>
        <v>749228.1378</v>
      </c>
      <c r="M73" s="68">
        <f t="shared" ref="M73:M76" si="59">L73-K73</f>
        <v>-150649.8622</v>
      </c>
      <c r="N73" s="66">
        <f t="shared" ref="N73:N76" si="60">L73/K73-1</f>
        <v>-0.1674114293</v>
      </c>
      <c r="O73" s="1"/>
      <c r="P73" s="1"/>
      <c r="Q73" s="1"/>
      <c r="R73" s="1"/>
      <c r="S73" s="1"/>
      <c r="T73" s="1"/>
      <c r="U73" s="1"/>
      <c r="V73" s="1"/>
      <c r="W73" s="1"/>
      <c r="X73" s="1"/>
      <c r="Y73" s="1"/>
      <c r="Z73" s="1"/>
      <c r="AA73" s="1"/>
      <c r="AB73" s="1"/>
      <c r="AC73" s="1"/>
      <c r="AD73" s="1"/>
      <c r="AE73" s="1"/>
      <c r="AF73" s="1"/>
      <c r="AG73" s="1"/>
      <c r="AH73" s="1"/>
      <c r="AI73" s="1"/>
      <c r="AJ73" s="1"/>
      <c r="AK73" s="1"/>
      <c r="AL73" s="1"/>
      <c r="AM73" s="1"/>
    </row>
    <row r="74" ht="15.75" customHeight="1">
      <c r="A74" s="1"/>
      <c r="B74" s="1" t="s">
        <v>11</v>
      </c>
      <c r="C74" s="1"/>
      <c r="D74" s="68">
        <f>SUMIFS(Oper_Model_Service_Delivery,Oper_Model_Months,"&gt;="&amp;D67,Oper_Model_Months,"&lt;"&amp;D68)</f>
        <v>708868</v>
      </c>
      <c r="E74" s="68">
        <f>SUMIFS(Oper_Model_Service_Delivery,Oper_Model_Months,"&gt;="&amp;E67,Oper_Model_Months,"&lt;"&amp;E68)</f>
        <v>880171.2169</v>
      </c>
      <c r="F74" s="68">
        <f t="shared" si="57"/>
        <v>171303.2169</v>
      </c>
      <c r="G74" s="66">
        <f t="shared" si="58"/>
        <v>0.2416574269</v>
      </c>
      <c r="H74" s="1"/>
      <c r="I74" s="1" t="s">
        <v>11</v>
      </c>
      <c r="J74" s="1"/>
      <c r="K74" s="68">
        <f>SUMIFS(Oper_Model_Service_Delivery_Worst_Case,Oper_Model_Months_Worst_Case,"&gt;="&amp;K67,Oper_Model_Months_Worst_Case,"&lt;"&amp;K68)</f>
        <v>655827</v>
      </c>
      <c r="L74" s="68">
        <f>SUMIFS(Oper_Model_Service_Delivery_Worst_Case,Oper_Model_Months_Worst_Case,"&gt;="&amp;L67,Oper_Model_Months_Worst_Case,"&lt;"&amp;L68)</f>
        <v>758298.0789</v>
      </c>
      <c r="M74" s="68">
        <f t="shared" si="59"/>
        <v>102471.0789</v>
      </c>
      <c r="N74" s="66">
        <f t="shared" si="60"/>
        <v>0.1562471184</v>
      </c>
      <c r="O74" s="1"/>
      <c r="P74" s="1"/>
      <c r="Q74" s="1"/>
      <c r="R74" s="1"/>
      <c r="S74" s="1"/>
      <c r="T74" s="1"/>
      <c r="U74" s="1"/>
      <c r="V74" s="1"/>
      <c r="W74" s="1"/>
      <c r="X74" s="1"/>
      <c r="Y74" s="1"/>
      <c r="Z74" s="1"/>
      <c r="AA74" s="1"/>
      <c r="AB74" s="1"/>
      <c r="AC74" s="1"/>
      <c r="AD74" s="1"/>
      <c r="AE74" s="1"/>
      <c r="AF74" s="1"/>
      <c r="AG74" s="1"/>
      <c r="AH74" s="1"/>
      <c r="AI74" s="1"/>
      <c r="AJ74" s="1"/>
      <c r="AK74" s="1"/>
      <c r="AL74" s="1"/>
      <c r="AM74" s="1"/>
    </row>
    <row r="75" ht="15.75" customHeight="1">
      <c r="A75" s="1"/>
      <c r="B75" s="69" t="s">
        <v>9</v>
      </c>
      <c r="C75" s="69"/>
      <c r="D75" s="70">
        <f t="shared" ref="D75:E75" si="61">SUM(D73:D74)</f>
        <v>1617701</v>
      </c>
      <c r="E75" s="70">
        <f t="shared" si="61"/>
        <v>1922604.039</v>
      </c>
      <c r="F75" s="70">
        <f t="shared" si="57"/>
        <v>304903.0387</v>
      </c>
      <c r="G75" s="71">
        <f t="shared" si="58"/>
        <v>0.1884792299</v>
      </c>
      <c r="H75" s="1"/>
      <c r="I75" s="69" t="s">
        <v>9</v>
      </c>
      <c r="J75" s="69"/>
      <c r="K75" s="70">
        <f t="shared" ref="K75:L75" si="62">SUM(K73:K74)</f>
        <v>1555705</v>
      </c>
      <c r="L75" s="70">
        <f t="shared" si="62"/>
        <v>1507526.217</v>
      </c>
      <c r="M75" s="70">
        <f t="shared" si="59"/>
        <v>-48178.78327</v>
      </c>
      <c r="N75" s="71">
        <f t="shared" si="60"/>
        <v>-0.03096909971</v>
      </c>
      <c r="O75" s="1"/>
      <c r="P75" s="1"/>
      <c r="Q75" s="1"/>
      <c r="R75" s="1"/>
      <c r="S75" s="1"/>
      <c r="T75" s="1"/>
      <c r="U75" s="1"/>
      <c r="V75" s="1"/>
      <c r="W75" s="1"/>
      <c r="X75" s="1"/>
      <c r="Y75" s="1"/>
      <c r="Z75" s="1"/>
      <c r="AA75" s="1"/>
      <c r="AB75" s="1"/>
      <c r="AC75" s="1"/>
      <c r="AD75" s="1"/>
      <c r="AE75" s="1"/>
      <c r="AF75" s="1"/>
      <c r="AG75" s="1"/>
      <c r="AH75" s="1"/>
      <c r="AI75" s="1"/>
      <c r="AJ75" s="1"/>
      <c r="AK75" s="1"/>
      <c r="AL75" s="1"/>
      <c r="AM75" s="1"/>
    </row>
    <row r="76" ht="15.75" customHeight="1">
      <c r="A76" s="1"/>
      <c r="B76" s="69" t="s">
        <v>12</v>
      </c>
      <c r="C76" s="69"/>
      <c r="D76" s="70">
        <f t="shared" ref="D76:E76" si="63">D71-D75</f>
        <v>7330579.19</v>
      </c>
      <c r="E76" s="70">
        <f t="shared" si="63"/>
        <v>8211667.515</v>
      </c>
      <c r="F76" s="70">
        <f t="shared" si="57"/>
        <v>881088.325</v>
      </c>
      <c r="G76" s="71">
        <f t="shared" si="58"/>
        <v>0.1201935484</v>
      </c>
      <c r="H76" s="1"/>
      <c r="I76" s="69" t="s">
        <v>12</v>
      </c>
      <c r="J76" s="69"/>
      <c r="K76" s="70">
        <f t="shared" ref="K76:L76" si="64">K71-K75</f>
        <v>6918526</v>
      </c>
      <c r="L76" s="70">
        <f t="shared" si="64"/>
        <v>7205324.784</v>
      </c>
      <c r="M76" s="70">
        <f t="shared" si="59"/>
        <v>286798.7837</v>
      </c>
      <c r="N76" s="71">
        <f t="shared" si="60"/>
        <v>0.04145374083</v>
      </c>
      <c r="O76" s="1"/>
      <c r="P76" s="1"/>
      <c r="Q76" s="1"/>
      <c r="R76" s="1"/>
      <c r="S76" s="1"/>
      <c r="T76" s="1"/>
      <c r="U76" s="1"/>
      <c r="V76" s="1"/>
      <c r="W76" s="1"/>
      <c r="X76" s="1"/>
      <c r="Y76" s="1"/>
      <c r="Z76" s="1"/>
      <c r="AA76" s="1"/>
      <c r="AB76" s="1"/>
      <c r="AC76" s="1"/>
      <c r="AD76" s="1"/>
      <c r="AE76" s="1"/>
      <c r="AF76" s="1"/>
      <c r="AG76" s="1"/>
      <c r="AH76" s="1"/>
      <c r="AI76" s="1"/>
      <c r="AJ76" s="1"/>
      <c r="AK76" s="1"/>
      <c r="AL76" s="1"/>
      <c r="AM76" s="1"/>
    </row>
    <row r="77" ht="15.75" customHeight="1">
      <c r="A77" s="1"/>
      <c r="B77" s="1" t="s">
        <v>13</v>
      </c>
      <c r="C77" s="1"/>
      <c r="D77" s="66">
        <f t="shared" ref="D77:E77" si="65">D76/D71</f>
        <v>0.819216546</v>
      </c>
      <c r="E77" s="66">
        <f t="shared" si="65"/>
        <v>0.8102869034</v>
      </c>
      <c r="F77" s="66"/>
      <c r="G77" s="1"/>
      <c r="H77" s="1"/>
      <c r="I77" s="1" t="s">
        <v>13</v>
      </c>
      <c r="J77" s="1"/>
      <c r="K77" s="66">
        <f t="shared" ref="K77:L77" si="66">K76/K71</f>
        <v>0.8164193306</v>
      </c>
      <c r="L77" s="66">
        <f t="shared" si="66"/>
        <v>0.8269767018</v>
      </c>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ht="15.75" customHeight="1">
      <c r="A78" s="1"/>
      <c r="B78" s="1" t="s">
        <v>14</v>
      </c>
      <c r="C78" s="1"/>
      <c r="D78" s="1"/>
      <c r="E78" s="1"/>
      <c r="F78" s="1"/>
      <c r="G78" s="1"/>
      <c r="H78" s="1"/>
      <c r="I78" s="1" t="s">
        <v>14</v>
      </c>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ht="15.75" customHeight="1">
      <c r="A79" s="1"/>
      <c r="B79" s="1" t="s">
        <v>15</v>
      </c>
      <c r="C79" s="1"/>
      <c r="D79" s="68">
        <f>SUMIFS(Oper_Model_Engineering,Oper_Model_Months,"&gt;="&amp;D67,Oper_Model_Months,"&lt;"&amp;D68)</f>
        <v>3300593</v>
      </c>
      <c r="E79" s="68">
        <f>SUMIFS(Oper_Model_Engineering,Oper_Model_Months,"&gt;="&amp;E67,Oper_Model_Months,"&lt;"&amp;E68)</f>
        <v>2963051.667</v>
      </c>
      <c r="F79" s="68">
        <f t="shared" ref="F79:F83" si="67">E79-D79</f>
        <v>-337541.3333</v>
      </c>
      <c r="G79" s="66">
        <f t="shared" ref="G79:G83" si="68">E79/D79-1</f>
        <v>-0.1022668755</v>
      </c>
      <c r="H79" s="1"/>
      <c r="I79" s="1" t="s">
        <v>15</v>
      </c>
      <c r="J79" s="1"/>
      <c r="K79" s="68">
        <f>SUMIFS(Oper_Model_Engineering_Worst_Case,Oper_Model_Months_Worst_Case,"&gt;="&amp;K67,Oper_Model_Months_Worst_Case,"&lt;"&amp;K68)</f>
        <v>3266675</v>
      </c>
      <c r="L79" s="68">
        <f>SUMIFS(Oper_Model_Engineering_Worst_Case,Oper_Model_Months_Worst_Case,"&gt;="&amp;L67,Oper_Model_Months_Worst_Case,"&lt;"&amp;L68)</f>
        <v>2601950.75</v>
      </c>
      <c r="M79" s="68">
        <f t="shared" ref="M79:M83" si="69">L79-K79</f>
        <v>-664724.25</v>
      </c>
      <c r="N79" s="66">
        <f t="shared" ref="N79:N83" si="70">L79/K79-1</f>
        <v>-0.2034864962</v>
      </c>
      <c r="O79" s="1"/>
      <c r="P79" s="1"/>
      <c r="Q79" s="1"/>
      <c r="R79" s="1"/>
      <c r="S79" s="1"/>
      <c r="T79" s="1"/>
      <c r="U79" s="1"/>
      <c r="V79" s="1"/>
      <c r="W79" s="1"/>
      <c r="X79" s="1"/>
      <c r="Y79" s="1"/>
      <c r="Z79" s="1"/>
      <c r="AA79" s="1"/>
      <c r="AB79" s="1"/>
      <c r="AC79" s="1"/>
      <c r="AD79" s="1"/>
      <c r="AE79" s="1"/>
      <c r="AF79" s="1"/>
      <c r="AG79" s="1"/>
      <c r="AH79" s="1"/>
      <c r="AI79" s="1"/>
      <c r="AJ79" s="1"/>
      <c r="AK79" s="1"/>
      <c r="AL79" s="1"/>
      <c r="AM79" s="1"/>
    </row>
    <row r="80" ht="15.75" customHeight="1">
      <c r="A80" s="1"/>
      <c r="B80" s="1" t="s">
        <v>16</v>
      </c>
      <c r="C80" s="1"/>
      <c r="D80" s="68">
        <f>SUMIFS(Oper_Model_General,Oper_Model_Months,"&gt;="&amp;D67,Oper_Model_Months,"&lt;"&amp;D68)</f>
        <v>1110273</v>
      </c>
      <c r="E80" s="68">
        <f>SUMIFS(Oper_Model_General,Oper_Model_Months,"&gt;="&amp;E67,Oper_Model_Months,"&lt;"&amp;E68)</f>
        <v>1021929.333</v>
      </c>
      <c r="F80" s="68">
        <f t="shared" si="67"/>
        <v>-88343.66667</v>
      </c>
      <c r="G80" s="66">
        <f t="shared" si="68"/>
        <v>-0.07956931914</v>
      </c>
      <c r="H80" s="1"/>
      <c r="I80" s="1" t="s">
        <v>16</v>
      </c>
      <c r="J80" s="1"/>
      <c r="K80" s="68">
        <f>SUMIFS(Oper_Model_General_Worst_Case,Oper_Model_Months_Worst_Case,"&gt;="&amp;K67,Oper_Model_Months_Worst_Case,"&lt;"&amp;K68)</f>
        <v>1095947</v>
      </c>
      <c r="L80" s="68">
        <f>SUMIFS(Oper_Model_General_Worst_Case,Oper_Model_Months_Worst_Case,"&gt;="&amp;L67,Oper_Model_Months_Worst_Case,"&lt;"&amp;L68)</f>
        <v>993303.9167</v>
      </c>
      <c r="M80" s="68">
        <f t="shared" si="69"/>
        <v>-102643.0833</v>
      </c>
      <c r="N80" s="66">
        <f t="shared" si="70"/>
        <v>-0.09365697733</v>
      </c>
      <c r="O80" s="1"/>
      <c r="P80" s="1"/>
      <c r="Q80" s="1"/>
      <c r="R80" s="1"/>
      <c r="S80" s="1"/>
      <c r="T80" s="1"/>
      <c r="U80" s="1"/>
      <c r="V80" s="1"/>
      <c r="W80" s="1"/>
      <c r="X80" s="1"/>
      <c r="Y80" s="1"/>
      <c r="Z80" s="1"/>
      <c r="AA80" s="1"/>
      <c r="AB80" s="1"/>
      <c r="AC80" s="1"/>
      <c r="AD80" s="1"/>
      <c r="AE80" s="1"/>
      <c r="AF80" s="1"/>
      <c r="AG80" s="1"/>
      <c r="AH80" s="1"/>
      <c r="AI80" s="1"/>
      <c r="AJ80" s="1"/>
      <c r="AK80" s="1"/>
      <c r="AL80" s="1"/>
      <c r="AM80" s="1"/>
    </row>
    <row r="81" ht="15.75" customHeight="1">
      <c r="A81" s="1"/>
      <c r="B81" s="1" t="s">
        <v>17</v>
      </c>
      <c r="C81" s="1"/>
      <c r="D81" s="68">
        <f>SUMIFS(Oper_Model_Sales_and_Marketing,Oper_Model_Months,"&gt;="&amp;D67,Oper_Model_Months,"&lt;"&amp;D68)</f>
        <v>3540896</v>
      </c>
      <c r="E81" s="68">
        <f>SUMIFS(Oper_Model_Sales_and_Marketing,Oper_Model_Months,"&gt;="&amp;E67,Oper_Model_Months,"&lt;"&amp;E68)</f>
        <v>4845691.926</v>
      </c>
      <c r="F81" s="68">
        <f t="shared" si="67"/>
        <v>1304795.926</v>
      </c>
      <c r="G81" s="66">
        <f t="shared" si="68"/>
        <v>0.3684931513</v>
      </c>
      <c r="H81" s="1"/>
      <c r="I81" s="1" t="s">
        <v>17</v>
      </c>
      <c r="J81" s="1"/>
      <c r="K81" s="68">
        <f>SUMIFS(Oper_Model_Sales_and_Marketing_Worst_Case,Oper_Model_Months_Worst_Case,"&gt;="&amp;K67,Oper_Model_Months_Worst_Case,"&lt;"&amp;K68)</f>
        <v>3498449</v>
      </c>
      <c r="L81" s="68">
        <f>SUMIFS(Oper_Model_Sales_and_Marketing_Worst_Case,Oper_Model_Months_Worst_Case,"&gt;="&amp;L67,Oper_Model_Months_Worst_Case,"&lt;"&amp;L68)</f>
        <v>3700306.083</v>
      </c>
      <c r="M81" s="68">
        <f t="shared" si="69"/>
        <v>201857.0833</v>
      </c>
      <c r="N81" s="66">
        <f t="shared" si="70"/>
        <v>0.05769902129</v>
      </c>
      <c r="O81" s="1"/>
      <c r="P81" s="1"/>
      <c r="Q81" s="1"/>
      <c r="R81" s="1"/>
      <c r="S81" s="1"/>
      <c r="T81" s="1"/>
      <c r="U81" s="1"/>
      <c r="V81" s="1"/>
      <c r="W81" s="1"/>
      <c r="X81" s="1"/>
      <c r="Y81" s="1"/>
      <c r="Z81" s="1"/>
      <c r="AA81" s="1"/>
      <c r="AB81" s="1"/>
      <c r="AC81" s="1"/>
      <c r="AD81" s="1"/>
      <c r="AE81" s="1"/>
      <c r="AF81" s="1"/>
      <c r="AG81" s="1"/>
      <c r="AH81" s="1"/>
      <c r="AI81" s="1"/>
      <c r="AJ81" s="1"/>
      <c r="AK81" s="1"/>
      <c r="AL81" s="1"/>
      <c r="AM81" s="1"/>
    </row>
    <row r="82" ht="15.75" customHeight="1">
      <c r="A82" s="1"/>
      <c r="B82" s="69" t="s">
        <v>18</v>
      </c>
      <c r="C82" s="69"/>
      <c r="D82" s="70">
        <f t="shared" ref="D82:E82" si="71">SUM(D79:D81)</f>
        <v>7951762</v>
      </c>
      <c r="E82" s="70">
        <f t="shared" si="71"/>
        <v>8830672.926</v>
      </c>
      <c r="F82" s="70">
        <f t="shared" si="67"/>
        <v>878910.9256</v>
      </c>
      <c r="G82" s="71">
        <f t="shared" si="68"/>
        <v>0.110530336</v>
      </c>
      <c r="H82" s="1"/>
      <c r="I82" s="69" t="s">
        <v>18</v>
      </c>
      <c r="J82" s="69"/>
      <c r="K82" s="70">
        <f t="shared" ref="K82:L82" si="72">SUM(K79:K81)</f>
        <v>7861071</v>
      </c>
      <c r="L82" s="70">
        <f t="shared" si="72"/>
        <v>7295560.75</v>
      </c>
      <c r="M82" s="70">
        <f t="shared" si="69"/>
        <v>-565510.25</v>
      </c>
      <c r="N82" s="71">
        <f t="shared" si="70"/>
        <v>-0.07193806671</v>
      </c>
      <c r="O82" s="1"/>
      <c r="P82" s="1"/>
      <c r="Q82" s="1"/>
      <c r="R82" s="1"/>
      <c r="S82" s="1"/>
      <c r="T82" s="1"/>
      <c r="U82" s="1"/>
      <c r="V82" s="1"/>
      <c r="W82" s="1"/>
      <c r="X82" s="1"/>
      <c r="Y82" s="1"/>
      <c r="Z82" s="1"/>
      <c r="AA82" s="1"/>
      <c r="AB82" s="1"/>
      <c r="AC82" s="1"/>
      <c r="AD82" s="1"/>
      <c r="AE82" s="1"/>
      <c r="AF82" s="1"/>
      <c r="AG82" s="1"/>
      <c r="AH82" s="1"/>
      <c r="AI82" s="1"/>
      <c r="AJ82" s="1"/>
      <c r="AK82" s="1"/>
      <c r="AL82" s="1"/>
      <c r="AM82" s="1"/>
    </row>
    <row r="83" ht="15.75" customHeight="1">
      <c r="A83" s="1"/>
      <c r="B83" s="69" t="s">
        <v>19</v>
      </c>
      <c r="C83" s="69"/>
      <c r="D83" s="70">
        <f t="shared" ref="D83:E83" si="73">D76-D82</f>
        <v>-621182.81</v>
      </c>
      <c r="E83" s="70">
        <f t="shared" si="73"/>
        <v>-619005.4106</v>
      </c>
      <c r="F83" s="70">
        <f t="shared" si="67"/>
        <v>2177.399376</v>
      </c>
      <c r="G83" s="71">
        <f t="shared" si="68"/>
        <v>-0.003505247314</v>
      </c>
      <c r="H83" s="1"/>
      <c r="I83" s="69" t="s">
        <v>19</v>
      </c>
      <c r="J83" s="69"/>
      <c r="K83" s="70">
        <f t="shared" ref="K83:L83" si="74">K76-K82</f>
        <v>-942545</v>
      </c>
      <c r="L83" s="70">
        <f t="shared" si="74"/>
        <v>-90235.96626</v>
      </c>
      <c r="M83" s="70">
        <f t="shared" si="69"/>
        <v>852309.0337</v>
      </c>
      <c r="N83" s="71">
        <f t="shared" si="70"/>
        <v>-0.9042634927</v>
      </c>
      <c r="O83" s="1"/>
      <c r="P83" s="1"/>
      <c r="Q83" s="1"/>
      <c r="R83" s="1"/>
      <c r="S83" s="1"/>
      <c r="T83" s="1"/>
      <c r="U83" s="1"/>
      <c r="V83" s="1"/>
      <c r="W83" s="1"/>
      <c r="X83" s="1"/>
      <c r="Y83" s="1"/>
      <c r="Z83" s="1"/>
      <c r="AA83" s="1"/>
      <c r="AB83" s="1"/>
      <c r="AC83" s="1"/>
      <c r="AD83" s="1"/>
      <c r="AE83" s="1"/>
      <c r="AF83" s="1"/>
      <c r="AG83" s="1"/>
      <c r="AH83" s="1"/>
      <c r="AI83" s="1"/>
      <c r="AJ83" s="1"/>
      <c r="AK83" s="1"/>
      <c r="AL83" s="1"/>
      <c r="AM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ht="15.75" customHeight="1">
      <c r="A85" s="1"/>
      <c r="B85" s="1" t="s">
        <v>25</v>
      </c>
      <c r="C85" s="1"/>
      <c r="D85" s="68">
        <f t="array" ref="D85">INDEX(Oper_Model_Bank_Accounts,MATCH(DATE(YEAR(D67),MONTH(D67)+11,DAY(D67)),Oper_Model_Months,0))</f>
        <v>263700.19</v>
      </c>
      <c r="E85" s="68" t="str">
        <f t="array" ref="E85">INDEX(Oper_Model_Bank_Accounts,MATCH(DATE(YEAR(E67),MONTH(E67)+11,DAY(E67)),Oper_Model_Months,0))</f>
        <v>#NAME?</v>
      </c>
      <c r="F85" s="68" t="str">
        <f>E85-D85</f>
        <v>#NAME?</v>
      </c>
      <c r="G85" s="66" t="str">
        <f>E85/D85-1</f>
        <v>#NAME?</v>
      </c>
      <c r="H85" s="1"/>
      <c r="I85" s="1" t="s">
        <v>25</v>
      </c>
      <c r="J85" s="1"/>
      <c r="K85" s="68">
        <f t="array" ref="K85">INDEX(Oper_Model_Bank_Accounts_Worst_Case,MATCH(DATE(YEAR(K67),MONTH(K67)+11,DAY(K67)),Oper_Model_Months_Worst_Case,0))</f>
        <v>255410</v>
      </c>
      <c r="L85" s="68" t="str">
        <f t="array" ref="L85">INDEX(Oper_Model_Bank_Accounts_Worst_Case,MATCH(DATE(YEAR(L67),MONTH(L67)+11,DAY(L67)),Oper_Model_Months_Worst_Case,0))</f>
        <v>#NAME?</v>
      </c>
      <c r="M85" s="68" t="str">
        <f>L85-K85</f>
        <v>#NAME?</v>
      </c>
      <c r="N85" s="66" t="str">
        <f>L85/K85-1</f>
        <v>#NAME?</v>
      </c>
      <c r="O85" s="1"/>
      <c r="P85" s="1"/>
      <c r="Q85" s="1"/>
      <c r="R85" s="1"/>
      <c r="S85" s="1"/>
      <c r="T85" s="1"/>
      <c r="U85" s="1"/>
      <c r="V85" s="1"/>
      <c r="W85" s="1"/>
      <c r="X85" s="1"/>
      <c r="Y85" s="1"/>
      <c r="Z85" s="1"/>
      <c r="AA85" s="1"/>
      <c r="AB85" s="1"/>
      <c r="AC85" s="1"/>
      <c r="AD85" s="1"/>
      <c r="AE85" s="1"/>
      <c r="AF85" s="1"/>
      <c r="AG85" s="1"/>
      <c r="AH85" s="1"/>
      <c r="AI85" s="1"/>
      <c r="AJ85" s="1"/>
      <c r="AK85" s="1"/>
      <c r="AL85" s="1"/>
      <c r="AM85" s="1"/>
    </row>
    <row r="86" ht="15.75" customHeight="1">
      <c r="A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ht="15.75" customHeight="1">
      <c r="A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ht="15.75" customHeight="1">
      <c r="A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ht="15.75" customHeight="1">
      <c r="A89" s="1"/>
      <c r="B89" s="57" t="s">
        <v>70</v>
      </c>
      <c r="C89" s="58"/>
      <c r="D89" s="59" t="s">
        <v>71</v>
      </c>
      <c r="E89" s="59" t="s">
        <v>72</v>
      </c>
      <c r="F89" s="59" t="s">
        <v>58</v>
      </c>
      <c r="G89" s="59" t="s">
        <v>6</v>
      </c>
      <c r="H89" s="60"/>
      <c r="I89" s="57" t="s">
        <v>73</v>
      </c>
      <c r="J89" s="58"/>
      <c r="K89" s="59" t="s">
        <v>71</v>
      </c>
      <c r="L89" s="59" t="s">
        <v>74</v>
      </c>
      <c r="M89" s="59" t="s">
        <v>58</v>
      </c>
      <c r="N89" s="59" t="s">
        <v>6</v>
      </c>
      <c r="O89" s="1"/>
      <c r="P89" s="1"/>
      <c r="Q89" s="1"/>
      <c r="R89" s="1"/>
      <c r="S89" s="1"/>
      <c r="T89" s="1"/>
      <c r="U89" s="1"/>
      <c r="V89" s="1"/>
      <c r="W89" s="1"/>
      <c r="X89" s="1"/>
      <c r="Y89" s="1"/>
      <c r="Z89" s="1"/>
      <c r="AA89" s="1"/>
      <c r="AB89" s="1"/>
      <c r="AC89" s="1"/>
      <c r="AD89" s="1"/>
      <c r="AE89" s="1"/>
      <c r="AF89" s="1"/>
      <c r="AG89" s="1"/>
      <c r="AH89" s="1"/>
      <c r="AI89" s="1"/>
      <c r="AJ89" s="1"/>
      <c r="AK89" s="1"/>
      <c r="AL89" s="1"/>
      <c r="AM89" s="1"/>
    </row>
    <row r="90" ht="15.75" hidden="1" customHeight="1">
      <c r="A90" s="1"/>
      <c r="B90" s="1"/>
      <c r="C90" s="1"/>
      <c r="D90" s="64">
        <v>43831.0</v>
      </c>
      <c r="E90" s="64">
        <v>43831.0</v>
      </c>
      <c r="F90" s="1"/>
      <c r="G90" s="1"/>
      <c r="H90" s="1"/>
      <c r="I90" s="1"/>
      <c r="J90" s="1"/>
      <c r="K90" s="64">
        <v>43831.0</v>
      </c>
      <c r="L90" s="64">
        <v>43831.0</v>
      </c>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ht="15.75" hidden="1" customHeight="1">
      <c r="A91" s="1"/>
      <c r="B91" s="1"/>
      <c r="C91" s="1"/>
      <c r="D91" s="64">
        <v>44197.0</v>
      </c>
      <c r="E91" s="64">
        <v>44197.0</v>
      </c>
      <c r="F91" s="1"/>
      <c r="G91" s="1"/>
      <c r="H91" s="1"/>
      <c r="I91" s="1"/>
      <c r="J91" s="1"/>
      <c r="K91" s="64">
        <v>44197.0</v>
      </c>
      <c r="L91" s="64">
        <v>44197.0</v>
      </c>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ht="15.75" customHeight="1">
      <c r="A92" s="1"/>
      <c r="B92" s="1" t="s">
        <v>7</v>
      </c>
      <c r="C92" s="1"/>
      <c r="D92" s="65">
        <f t="array" ref="D92">INDEX(Oper_Model_Revenue_2020_Target,MATCH(DATE(YEAR(D90),MONTH(D90)+11,DAY(D90)),Oper_Model_Months_2020_Target,0))*12</f>
        <v>12377461.31</v>
      </c>
      <c r="E92" s="65">
        <f t="array" ref="E92">INDEX(Revenue_Model_MRR,MATCH(DATE(YEAR(E90),MONTH(E90)+11,DAY(E90)),Revenue_Model_Months,0))*12</f>
        <v>10374901.36</v>
      </c>
      <c r="F92" s="65">
        <f>E92-D92</f>
        <v>-2002559.955</v>
      </c>
      <c r="G92" s="66">
        <f>E92/D92-1</f>
        <v>-0.1617908474</v>
      </c>
      <c r="H92" s="1"/>
      <c r="I92" s="1" t="s">
        <v>7</v>
      </c>
      <c r="J92" s="1"/>
      <c r="K92" s="65">
        <f t="array" ref="K92">INDEX(Oper_Model_Revenue_2020_Target,MATCH(DATE(YEAR(K90),MONTH(K90)+11,DAY(K90)),Oper_Model_Months_2020_Target,0))*12</f>
        <v>12377461.31</v>
      </c>
      <c r="L92" s="65">
        <f t="array" ref="L92">INDEX(Revenue_Model_MRR_Worst_Case,MATCH(DATE(YEAR(L90),MONTH(L90)+11,DAY(L90)),Revenue_Model_Months_Worst_Case,0))*12</f>
        <v>8654797.747</v>
      </c>
      <c r="M92" s="65">
        <f>L92-K92</f>
        <v>-3722663.564</v>
      </c>
      <c r="N92" s="66">
        <f>L92/K92-1</f>
        <v>-0.3007614785</v>
      </c>
      <c r="O92" s="1"/>
      <c r="P92" s="1"/>
      <c r="Q92" s="1"/>
      <c r="R92" s="1"/>
      <c r="S92" s="1"/>
      <c r="T92" s="1"/>
      <c r="U92" s="1"/>
      <c r="V92" s="1"/>
      <c r="W92" s="1"/>
      <c r="X92" s="1"/>
      <c r="Y92" s="1"/>
      <c r="Z92" s="1"/>
      <c r="AA92" s="1"/>
      <c r="AB92" s="1"/>
      <c r="AC92" s="1"/>
      <c r="AD92" s="1"/>
      <c r="AE92" s="1"/>
      <c r="AF92" s="1"/>
      <c r="AG92" s="1"/>
      <c r="AH92" s="1"/>
      <c r="AI92" s="1"/>
      <c r="AJ92" s="1"/>
      <c r="AK92" s="1"/>
      <c r="AL92" s="1"/>
      <c r="AM92" s="1"/>
    </row>
    <row r="93" ht="15.75" customHeight="1">
      <c r="A93" s="1"/>
      <c r="B93" s="1"/>
      <c r="C93" s="1"/>
      <c r="D93" s="67"/>
      <c r="E93" s="67"/>
      <c r="F93" s="67"/>
      <c r="G93" s="1"/>
      <c r="H93" s="1"/>
      <c r="I93" s="1"/>
      <c r="J93" s="1"/>
      <c r="K93" s="67"/>
      <c r="L93" s="67"/>
      <c r="M93" s="67"/>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ht="15.75" customHeight="1">
      <c r="A94" s="1"/>
      <c r="B94" s="1" t="s">
        <v>8</v>
      </c>
      <c r="C94" s="1"/>
      <c r="D94" s="65">
        <f>SUMIFS(Oper_Model_Revenue_2020_Target,Oper_Model_Months_2020_Target,"&gt;="&amp;D90,Oper_Model_Months_2020_Target,"&lt;"&amp;D91)</f>
        <v>10986788.27</v>
      </c>
      <c r="E94" s="65">
        <f>SUMIFS(Oper_Model_Revenue,Oper_Model_Months,"&gt;="&amp;E90,Oper_Model_Months,"&lt;"&amp;E91)</f>
        <v>9770657.027</v>
      </c>
      <c r="F94" s="65">
        <f>E94-D94</f>
        <v>-1216131.248</v>
      </c>
      <c r="G94" s="66">
        <f>E94/D94-1</f>
        <v>-0.1106903326</v>
      </c>
      <c r="H94" s="1"/>
      <c r="I94" s="1" t="s">
        <v>8</v>
      </c>
      <c r="J94" s="1"/>
      <c r="K94" s="65">
        <f>SUMIFS(Oper_Model_Revenue_2020_Target,Oper_Model_Months_2020_Target,"&gt;="&amp;K90,Oper_Model_Months_2020_Target,"&lt;"&amp;K91)</f>
        <v>10986788.27</v>
      </c>
      <c r="L94" s="65">
        <f>SUMIFS(Oper_Model_Revenue_Worst_Case,Oper_Model_Months_Worst_Case,"&gt;="&amp;L90,Oper_Model_Months_Worst_Case,"&lt;"&amp;L91)</f>
        <v>8995226.364</v>
      </c>
      <c r="M94" s="65">
        <f>L94-K94</f>
        <v>-1991561.91</v>
      </c>
      <c r="N94" s="66">
        <f>L94/K94-1</f>
        <v>-0.1812687985</v>
      </c>
      <c r="O94" s="1"/>
      <c r="P94" s="1"/>
      <c r="Q94" s="1"/>
      <c r="R94" s="1"/>
      <c r="S94" s="1"/>
      <c r="T94" s="1"/>
      <c r="U94" s="1"/>
      <c r="V94" s="1"/>
      <c r="W94" s="1"/>
      <c r="X94" s="1"/>
      <c r="Y94" s="1"/>
      <c r="Z94" s="1"/>
      <c r="AA94" s="1"/>
      <c r="AB94" s="1"/>
      <c r="AC94" s="1"/>
      <c r="AD94" s="1"/>
      <c r="AE94" s="1"/>
      <c r="AF94" s="1"/>
      <c r="AG94" s="1"/>
      <c r="AH94" s="1"/>
      <c r="AI94" s="1"/>
      <c r="AJ94" s="1"/>
      <c r="AK94" s="1"/>
      <c r="AL94" s="1"/>
      <c r="AM94" s="1"/>
    </row>
    <row r="95" ht="15.75" customHeight="1">
      <c r="A95" s="1"/>
      <c r="B95" s="1" t="s">
        <v>9</v>
      </c>
      <c r="C95" s="1"/>
      <c r="D95" s="1"/>
      <c r="E95" s="1"/>
      <c r="F95" s="1"/>
      <c r="G95" s="1"/>
      <c r="H95" s="1"/>
      <c r="I95" s="1" t="s">
        <v>9</v>
      </c>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ht="15.75" customHeight="1">
      <c r="A96" s="1"/>
      <c r="B96" s="1" t="s">
        <v>10</v>
      </c>
      <c r="C96" s="1"/>
      <c r="D96" s="68">
        <f>SUMIFS(Oper_Model_Support_2020_Target,Oper_Model_Months_2020_Target,"&gt;="&amp;D90,Oper_Model_Months_2020_Target,"&lt;"&amp;D91)</f>
        <v>1286639.53</v>
      </c>
      <c r="E96" s="68">
        <f>SUMIFS(Oper_Model_Support,Oper_Model_Months,"&gt;="&amp;E90,Oper_Model_Months,"&lt;"&amp;E91)</f>
        <v>946631.9382</v>
      </c>
      <c r="F96" s="68">
        <f t="shared" ref="F96:F99" si="75">E96-D96</f>
        <v>-340007.5919</v>
      </c>
      <c r="G96" s="66">
        <f t="shared" ref="G96:G99" si="76">E96/D96-1</f>
        <v>-0.2642601785</v>
      </c>
      <c r="H96" s="1"/>
      <c r="I96" s="1" t="s">
        <v>10</v>
      </c>
      <c r="J96" s="1"/>
      <c r="K96" s="68">
        <f>SUMIFS(Oper_Model_Support_2020_Target,Oper_Model_Months_2020_Target,"&gt;="&amp;K90,Oper_Model_Months_2020_Target,"&lt;"&amp;K91)</f>
        <v>1286639.53</v>
      </c>
      <c r="L96" s="68">
        <f>SUMIFS(Oper_Model_Support_Worst_Case,Oper_Model_Months_Worst_Case,"&gt;="&amp;L90,Oper_Model_Months_Worst_Case,"&lt;"&amp;L91)</f>
        <v>793335.6806</v>
      </c>
      <c r="M96" s="68">
        <f t="shared" ref="M96:M99" si="77">L96-K96</f>
        <v>-493303.8495</v>
      </c>
      <c r="N96" s="66">
        <f t="shared" ref="N96:N99" si="78">L96/K96-1</f>
        <v>-0.3834048604</v>
      </c>
      <c r="O96" s="1"/>
      <c r="P96" s="1"/>
      <c r="Q96" s="1"/>
      <c r="R96" s="1"/>
      <c r="S96" s="1"/>
      <c r="T96" s="1"/>
      <c r="U96" s="1"/>
      <c r="V96" s="1"/>
      <c r="W96" s="1"/>
      <c r="X96" s="1"/>
      <c r="Y96" s="1"/>
      <c r="Z96" s="1"/>
      <c r="AA96" s="1"/>
      <c r="AB96" s="1"/>
      <c r="AC96" s="1"/>
      <c r="AD96" s="1"/>
      <c r="AE96" s="1"/>
      <c r="AF96" s="1"/>
      <c r="AG96" s="1"/>
      <c r="AH96" s="1"/>
      <c r="AI96" s="1"/>
      <c r="AJ96" s="1"/>
      <c r="AK96" s="1"/>
      <c r="AL96" s="1"/>
      <c r="AM96" s="1"/>
    </row>
    <row r="97" ht="15.75" customHeight="1">
      <c r="A97" s="1"/>
      <c r="B97" s="1" t="s">
        <v>11</v>
      </c>
      <c r="C97" s="1"/>
      <c r="D97" s="68">
        <f>SUMIFS(Oper_Model_Service_Delivery_2020_Target,Oper_Model_Months_2020_Target,"&gt;="&amp;D90,Oper_Model_Months_2020_Target,"&lt;"&amp;D91)</f>
        <v>781467.7609</v>
      </c>
      <c r="E97" s="68">
        <f>SUMIFS(Oper_Model_Service_Delivery,Oper_Model_Months,"&gt;="&amp;E90,Oper_Model_Months,"&lt;"&amp;E91)</f>
        <v>844521.8105</v>
      </c>
      <c r="F97" s="68">
        <f t="shared" si="75"/>
        <v>63054.04966</v>
      </c>
      <c r="G97" s="66">
        <f t="shared" si="76"/>
        <v>0.08068669345</v>
      </c>
      <c r="H97" s="1"/>
      <c r="I97" s="1" t="s">
        <v>11</v>
      </c>
      <c r="J97" s="1"/>
      <c r="K97" s="68">
        <f>SUMIFS(Oper_Model_Service_Delivery_2020_Target,Oper_Model_Months_2020_Target,"&gt;="&amp;K90,Oper_Model_Months_2020_Target,"&lt;"&amp;K91)</f>
        <v>781467.7609</v>
      </c>
      <c r="L97" s="68">
        <f>SUMIFS(Oper_Model_Service_Delivery_Worst_Case,Oper_Model_Months_Worst_Case,"&gt;="&amp;L90,Oper_Model_Months_Worst_Case,"&lt;"&amp;L91)</f>
        <v>777174.9128</v>
      </c>
      <c r="M97" s="68">
        <f t="shared" si="77"/>
        <v>-4292.848059</v>
      </c>
      <c r="N97" s="66">
        <f t="shared" si="78"/>
        <v>-0.005493314342</v>
      </c>
      <c r="O97" s="1"/>
      <c r="P97" s="1"/>
      <c r="Q97" s="1"/>
      <c r="R97" s="1"/>
      <c r="S97" s="1"/>
      <c r="T97" s="1"/>
      <c r="U97" s="1"/>
      <c r="V97" s="1"/>
      <c r="W97" s="1"/>
      <c r="X97" s="1"/>
      <c r="Y97" s="1"/>
      <c r="Z97" s="1"/>
      <c r="AA97" s="1"/>
      <c r="AB97" s="1"/>
      <c r="AC97" s="1"/>
      <c r="AD97" s="1"/>
      <c r="AE97" s="1"/>
      <c r="AF97" s="1"/>
      <c r="AG97" s="1"/>
      <c r="AH97" s="1"/>
      <c r="AI97" s="1"/>
      <c r="AJ97" s="1"/>
      <c r="AK97" s="1"/>
      <c r="AL97" s="1"/>
      <c r="AM97" s="1"/>
    </row>
    <row r="98" ht="15.75" customHeight="1">
      <c r="A98" s="1"/>
      <c r="B98" s="69" t="s">
        <v>9</v>
      </c>
      <c r="C98" s="69"/>
      <c r="D98" s="70">
        <f t="shared" ref="D98:E98" si="79">SUM(D96:D97)</f>
        <v>2068107.291</v>
      </c>
      <c r="E98" s="70">
        <f t="shared" si="79"/>
        <v>1791153.749</v>
      </c>
      <c r="F98" s="70">
        <f t="shared" si="75"/>
        <v>-276953.5422</v>
      </c>
      <c r="G98" s="71">
        <f t="shared" si="76"/>
        <v>-0.1339164285</v>
      </c>
      <c r="H98" s="1"/>
      <c r="I98" s="69" t="s">
        <v>9</v>
      </c>
      <c r="J98" s="69"/>
      <c r="K98" s="70">
        <f t="shared" ref="K98:L98" si="80">SUM(K96:K97)</f>
        <v>2068107.291</v>
      </c>
      <c r="L98" s="70">
        <f t="shared" si="80"/>
        <v>1570510.593</v>
      </c>
      <c r="M98" s="70">
        <f t="shared" si="77"/>
        <v>-497596.6975</v>
      </c>
      <c r="N98" s="71">
        <f t="shared" si="78"/>
        <v>-0.2406048756</v>
      </c>
      <c r="O98" s="1"/>
      <c r="P98" s="1"/>
      <c r="Q98" s="1"/>
      <c r="R98" s="1"/>
      <c r="S98" s="1"/>
      <c r="T98" s="1"/>
      <c r="U98" s="1"/>
      <c r="V98" s="1"/>
      <c r="W98" s="1"/>
      <c r="X98" s="1"/>
      <c r="Y98" s="1"/>
      <c r="Z98" s="1"/>
      <c r="AA98" s="1"/>
      <c r="AB98" s="1"/>
      <c r="AC98" s="1"/>
      <c r="AD98" s="1"/>
      <c r="AE98" s="1"/>
      <c r="AF98" s="1"/>
      <c r="AG98" s="1"/>
      <c r="AH98" s="1"/>
      <c r="AI98" s="1"/>
      <c r="AJ98" s="1"/>
      <c r="AK98" s="1"/>
      <c r="AL98" s="1"/>
      <c r="AM98" s="1"/>
    </row>
    <row r="99" ht="15.75" customHeight="1">
      <c r="A99" s="1"/>
      <c r="B99" s="69" t="s">
        <v>12</v>
      </c>
      <c r="C99" s="69"/>
      <c r="D99" s="70">
        <f t="shared" ref="D99:E99" si="81">D94-D98</f>
        <v>8918680.984</v>
      </c>
      <c r="E99" s="70">
        <f t="shared" si="81"/>
        <v>7979503.278</v>
      </c>
      <c r="F99" s="70">
        <f t="shared" si="75"/>
        <v>-939177.7057</v>
      </c>
      <c r="G99" s="71">
        <f t="shared" si="76"/>
        <v>-0.105304552</v>
      </c>
      <c r="H99" s="1"/>
      <c r="I99" s="69" t="s">
        <v>12</v>
      </c>
      <c r="J99" s="69"/>
      <c r="K99" s="70">
        <f t="shared" ref="K99:L99" si="82">K94-K98</f>
        <v>8918680.984</v>
      </c>
      <c r="L99" s="70">
        <f t="shared" si="82"/>
        <v>7424715.771</v>
      </c>
      <c r="M99" s="70">
        <f t="shared" si="77"/>
        <v>-1493965.213</v>
      </c>
      <c r="N99" s="71">
        <f t="shared" si="78"/>
        <v>-0.1675096593</v>
      </c>
      <c r="O99" s="1"/>
      <c r="P99" s="1"/>
      <c r="Q99" s="1"/>
      <c r="R99" s="1"/>
      <c r="S99" s="1"/>
      <c r="T99" s="1"/>
      <c r="U99" s="1"/>
      <c r="V99" s="1"/>
      <c r="W99" s="1"/>
      <c r="X99" s="1"/>
      <c r="Y99" s="1"/>
      <c r="Z99" s="1"/>
      <c r="AA99" s="1"/>
      <c r="AB99" s="1"/>
      <c r="AC99" s="1"/>
      <c r="AD99" s="1"/>
      <c r="AE99" s="1"/>
      <c r="AF99" s="1"/>
      <c r="AG99" s="1"/>
      <c r="AH99" s="1"/>
      <c r="AI99" s="1"/>
      <c r="AJ99" s="1"/>
      <c r="AK99" s="1"/>
      <c r="AL99" s="1"/>
      <c r="AM99" s="1"/>
    </row>
    <row r="100" ht="15.75" customHeight="1">
      <c r="A100" s="1"/>
      <c r="B100" s="1" t="s">
        <v>13</v>
      </c>
      <c r="C100" s="1"/>
      <c r="D100" s="66">
        <f t="shared" ref="D100:E100" si="83">D99/D94</f>
        <v>0.8117641626</v>
      </c>
      <c r="E100" s="66">
        <f t="shared" si="83"/>
        <v>0.816680317</v>
      </c>
      <c r="F100" s="1"/>
      <c r="G100" s="1"/>
      <c r="H100" s="1"/>
      <c r="I100" s="1" t="s">
        <v>13</v>
      </c>
      <c r="J100" s="1"/>
      <c r="K100" s="66">
        <f t="shared" ref="K100:L100" si="84">K99/K94</f>
        <v>0.8117641626</v>
      </c>
      <c r="L100" s="66">
        <f t="shared" si="84"/>
        <v>0.8254062177</v>
      </c>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ht="15.75" customHeight="1">
      <c r="A101" s="1"/>
      <c r="B101" s="1" t="s">
        <v>14</v>
      </c>
      <c r="C101" s="1"/>
      <c r="D101" s="1"/>
      <c r="E101" s="1"/>
      <c r="F101" s="1"/>
      <c r="G101" s="1"/>
      <c r="H101" s="1"/>
      <c r="I101" s="1" t="s">
        <v>14</v>
      </c>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ht="15.75" customHeight="1">
      <c r="A102" s="1"/>
      <c r="B102" s="1" t="s">
        <v>15</v>
      </c>
      <c r="C102" s="1"/>
      <c r="D102" s="68">
        <f>SUMIFS(Oper_Model_Engineering_2020_Target,Oper_Model_Months_2020_Target,"&gt;="&amp;D90,Oper_Model_Months_2020_Target,"&lt;"&amp;D91)</f>
        <v>3394390</v>
      </c>
      <c r="E102" s="68">
        <f>SUMIFS(Oper_Model_Engineering,Oper_Model_Months,"&gt;="&amp;E90,Oper_Model_Months,"&lt;"&amp;E91)</f>
        <v>3011721.5</v>
      </c>
      <c r="F102" s="68">
        <f t="shared" ref="F102:F106" si="85">E102-D102</f>
        <v>-382668.5</v>
      </c>
      <c r="G102" s="66">
        <f t="shared" ref="G102:G106" si="86">E102/D102-1</f>
        <v>-0.1127355725</v>
      </c>
      <c r="H102" s="1"/>
      <c r="I102" s="1" t="s">
        <v>15</v>
      </c>
      <c r="J102" s="1"/>
      <c r="K102" s="68">
        <f>SUMIFS(Oper_Model_Engineering_2020_Target,Oper_Model_Months_2020_Target,"&gt;="&amp;K90,Oper_Model_Months_2020_Target,"&lt;"&amp;K91)</f>
        <v>3394390</v>
      </c>
      <c r="L102" s="68">
        <f>SUMIFS(Oper_Model_Engineering_Worst_Case,Oper_Model_Months_Worst_Case,"&gt;="&amp;L90,Oper_Model_Months_Worst_Case,"&lt;"&amp;L91)</f>
        <v>2812709</v>
      </c>
      <c r="M102" s="68">
        <f t="shared" ref="M102:M106" si="87">L102-K102</f>
        <v>-581681</v>
      </c>
      <c r="N102" s="66">
        <f t="shared" ref="N102:N106" si="88">L102/K102-1</f>
        <v>-0.1713654</v>
      </c>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ht="15.75" customHeight="1">
      <c r="A103" s="1"/>
      <c r="B103" s="1" t="s">
        <v>16</v>
      </c>
      <c r="C103" s="1"/>
      <c r="D103" s="68">
        <f>SUMIFS(Oper_Model_General_2020_Target,Oper_Model_Months_2020_Target,"&gt;="&amp;D90,Oper_Model_Months_2020_Target,"&lt;"&amp;D91)</f>
        <v>1123732</v>
      </c>
      <c r="E103" s="68">
        <f>SUMIFS(Oper_Model_General,Oper_Model_Months,"&gt;="&amp;E90,Oper_Model_Months,"&lt;"&amp;E91)</f>
        <v>1055560</v>
      </c>
      <c r="F103" s="68">
        <f t="shared" si="85"/>
        <v>-68172</v>
      </c>
      <c r="G103" s="66">
        <f t="shared" si="86"/>
        <v>-0.06066571033</v>
      </c>
      <c r="H103" s="1"/>
      <c r="I103" s="1" t="s">
        <v>16</v>
      </c>
      <c r="J103" s="1"/>
      <c r="K103" s="68">
        <f>SUMIFS(Oper_Model_General_2020_Target,Oper_Model_Months_2020_Target,"&gt;="&amp;K90,Oper_Model_Months_2020_Target,"&lt;"&amp;K91)</f>
        <v>1123732</v>
      </c>
      <c r="L103" s="68">
        <f>SUMIFS(Oper_Model_General_Worst_Case,Oper_Model_Months_Worst_Case,"&gt;="&amp;L90,Oper_Model_Months_Worst_Case,"&lt;"&amp;L91)</f>
        <v>1046740.667</v>
      </c>
      <c r="M103" s="68">
        <f t="shared" si="87"/>
        <v>-76991.33333</v>
      </c>
      <c r="N103" s="66">
        <f t="shared" si="88"/>
        <v>-0.06851396359</v>
      </c>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ht="15.75" customHeight="1">
      <c r="A104" s="1"/>
      <c r="B104" s="1" t="s">
        <v>17</v>
      </c>
      <c r="C104" s="1"/>
      <c r="D104" s="68">
        <f>SUMIFS(Oper_Model_Sales_and_Marketing_2020_Target,Oper_Model_Months_2020_Target,"&gt;="&amp;D90,Oper_Model_Months_2020_Target,"&lt;"&amp;D91)</f>
        <v>4629529.333</v>
      </c>
      <c r="E104" s="68">
        <f>SUMIFS(Oper_Model_Sales_and_Marketing,Oper_Model_Months,"&gt;="&amp;E90,Oper_Model_Months,"&lt;"&amp;E91)</f>
        <v>3985601.604</v>
      </c>
      <c r="F104" s="68">
        <f t="shared" si="85"/>
        <v>-643927.729</v>
      </c>
      <c r="G104" s="66">
        <f t="shared" si="86"/>
        <v>-0.1390914028</v>
      </c>
      <c r="H104" s="1"/>
      <c r="I104" s="1" t="s">
        <v>17</v>
      </c>
      <c r="J104" s="1"/>
      <c r="K104" s="68">
        <f>SUMIFS(Oper_Model_Sales_and_Marketing_2020_Target,Oper_Model_Months_2020_Target,"&gt;="&amp;K90,Oper_Model_Months_2020_Target,"&lt;"&amp;K91)</f>
        <v>4629529.333</v>
      </c>
      <c r="L104" s="68">
        <f>SUMIFS(Oper_Model_Sales_and_Marketing_Worst_Case,Oper_Model_Months_Worst_Case,"&gt;="&amp;L90,Oper_Model_Months_Worst_Case,"&lt;"&amp;L91)</f>
        <v>3527674.333</v>
      </c>
      <c r="M104" s="68">
        <f t="shared" si="87"/>
        <v>-1101855</v>
      </c>
      <c r="N104" s="66">
        <f t="shared" si="88"/>
        <v>-0.2380058362</v>
      </c>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ht="15.75" customHeight="1">
      <c r="A105" s="1"/>
      <c r="B105" s="69" t="s">
        <v>18</v>
      </c>
      <c r="C105" s="69"/>
      <c r="D105" s="70">
        <f t="shared" ref="D105:E105" si="89">SUM(D102:D104)</f>
        <v>9147651.333</v>
      </c>
      <c r="E105" s="70">
        <f t="shared" si="89"/>
        <v>8052883.104</v>
      </c>
      <c r="F105" s="70">
        <f t="shared" si="85"/>
        <v>-1094768.229</v>
      </c>
      <c r="G105" s="71">
        <f t="shared" si="86"/>
        <v>-0.1196775204</v>
      </c>
      <c r="H105" s="1"/>
      <c r="I105" s="69" t="s">
        <v>18</v>
      </c>
      <c r="J105" s="69"/>
      <c r="K105" s="70">
        <f t="shared" ref="K105:L105" si="90">SUM(K102:K104)</f>
        <v>9147651.333</v>
      </c>
      <c r="L105" s="70">
        <f t="shared" si="90"/>
        <v>7387124</v>
      </c>
      <c r="M105" s="70">
        <f t="shared" si="87"/>
        <v>-1760527.333</v>
      </c>
      <c r="N105" s="71">
        <f t="shared" si="88"/>
        <v>-0.1924567596</v>
      </c>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ht="15.75" customHeight="1">
      <c r="A106" s="1"/>
      <c r="B106" s="69" t="s">
        <v>19</v>
      </c>
      <c r="C106" s="72"/>
      <c r="D106" s="70">
        <f t="shared" ref="D106:E106" si="91">D99-D105</f>
        <v>-228970.3497</v>
      </c>
      <c r="E106" s="70">
        <f t="shared" si="91"/>
        <v>-73379.82632</v>
      </c>
      <c r="F106" s="70">
        <f t="shared" si="85"/>
        <v>155590.5234</v>
      </c>
      <c r="G106" s="71">
        <f t="shared" si="86"/>
        <v>-0.6795225826</v>
      </c>
      <c r="H106" s="1"/>
      <c r="I106" s="69" t="s">
        <v>19</v>
      </c>
      <c r="J106" s="72"/>
      <c r="K106" s="70">
        <f t="shared" ref="K106:L106" si="92">K99-K105</f>
        <v>-228970.3497</v>
      </c>
      <c r="L106" s="70">
        <f t="shared" si="92"/>
        <v>37591.77081</v>
      </c>
      <c r="M106" s="70">
        <f t="shared" si="87"/>
        <v>266562.1205</v>
      </c>
      <c r="N106" s="71">
        <f t="shared" si="88"/>
        <v>-1.164177462</v>
      </c>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ht="15.75" customHeight="1">
      <c r="A108" s="1"/>
      <c r="B108" s="1" t="s">
        <v>25</v>
      </c>
      <c r="C108" s="1"/>
      <c r="D108" s="68">
        <f t="array" ref="D108">INDEX(Oper_Model_Bank_Accounts_2020_Target,MATCH(DATE(YEAR(D90),MONTH(D90)+11,DAY(D90)),Oper_Model_Months_2020_Target,0))</f>
        <v>861446.1036</v>
      </c>
      <c r="E108" s="68" t="str">
        <f t="array" ref="E108">INDEX(Oper_Model_Bank_Accounts,MATCH(DATE(YEAR(E90),MONTH(E90)+11,DAY(E90)),Oper_Model_Months,0))</f>
        <v>#NAME?</v>
      </c>
      <c r="F108" s="68" t="str">
        <f>E108-D108</f>
        <v>#NAME?</v>
      </c>
      <c r="G108" s="66" t="str">
        <f>E108/D108-1</f>
        <v>#NAME?</v>
      </c>
      <c r="H108" s="1"/>
      <c r="I108" s="1" t="s">
        <v>25</v>
      </c>
      <c r="J108" s="1"/>
      <c r="K108" s="68">
        <f t="array" ref="K108">INDEX(Oper_Model_Bank_Accounts_2020_Target,MATCH(DATE(YEAR(K90),MONTH(K90)+11,DAY(K90)),Oper_Model_Months_2020_Target,0))</f>
        <v>861446.1036</v>
      </c>
      <c r="L108" s="68" t="str">
        <f t="array" ref="L108">INDEX(Oper_Model_Bank_Accounts_Worst_Case,MATCH(DATE(YEAR(L90),MONTH(L90)+11,DAY(L90)),Oper_Model_Months_Worst_Case,0))</f>
        <v>#NAME?</v>
      </c>
      <c r="M108" s="68" t="str">
        <f>L108-K108</f>
        <v>#NAME?</v>
      </c>
      <c r="N108" s="66" t="str">
        <f>L108/K108-1</f>
        <v>#NAME?</v>
      </c>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ht="15.75" customHeight="1">
      <c r="A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ht="15.75" customHeight="1">
      <c r="A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ht="15.75" customHeight="1">
      <c r="A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ht="15.75" customHeight="1">
      <c r="A112" s="1"/>
      <c r="B112" s="57" t="s">
        <v>57</v>
      </c>
      <c r="C112" s="58"/>
      <c r="D112" s="59">
        <v>2019.0</v>
      </c>
      <c r="E112" s="59">
        <v>2020.0</v>
      </c>
      <c r="F112" s="59">
        <v>2021.0</v>
      </c>
      <c r="G112" s="59">
        <v>2022.0</v>
      </c>
      <c r="H112" s="60"/>
      <c r="I112" s="57" t="s">
        <v>59</v>
      </c>
      <c r="J112" s="58"/>
      <c r="K112" s="59">
        <v>2019.0</v>
      </c>
      <c r="L112" s="59">
        <v>2020.0</v>
      </c>
      <c r="M112" s="59">
        <v>2021.0</v>
      </c>
      <c r="N112" s="59">
        <v>2022.0</v>
      </c>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ht="15.75" hidden="1" customHeight="1">
      <c r="A113" s="1"/>
      <c r="B113" s="61"/>
      <c r="C113" s="61"/>
      <c r="D113" s="62">
        <v>43466.0</v>
      </c>
      <c r="E113" s="62">
        <f t="shared" ref="E113:G113" si="93">EDATE(D113,12)</f>
        <v>43831</v>
      </c>
      <c r="F113" s="62">
        <f t="shared" si="93"/>
        <v>44197</v>
      </c>
      <c r="G113" s="62">
        <f t="shared" si="93"/>
        <v>44562</v>
      </c>
      <c r="H113" s="1"/>
      <c r="I113" s="63"/>
      <c r="J113" s="63"/>
      <c r="K113" s="62">
        <v>43466.0</v>
      </c>
      <c r="L113" s="62">
        <f t="shared" ref="L113:N113" si="94">EDATE(K113,12)</f>
        <v>43831</v>
      </c>
      <c r="M113" s="62">
        <f t="shared" si="94"/>
        <v>44197</v>
      </c>
      <c r="N113" s="62">
        <f t="shared" si="94"/>
        <v>44562</v>
      </c>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ht="15.75" hidden="1" customHeight="1">
      <c r="A114" s="1"/>
      <c r="B114" s="1"/>
      <c r="C114" s="1"/>
      <c r="D114" s="64">
        <f t="shared" ref="D114:G114" si="95">EDATE(D113,12)</f>
        <v>43831</v>
      </c>
      <c r="E114" s="64">
        <f t="shared" si="95"/>
        <v>44197</v>
      </c>
      <c r="F114" s="64">
        <f t="shared" si="95"/>
        <v>44562</v>
      </c>
      <c r="G114" s="64">
        <f t="shared" si="95"/>
        <v>44927</v>
      </c>
      <c r="H114" s="1"/>
      <c r="I114" s="1"/>
      <c r="J114" s="1"/>
      <c r="K114" s="64">
        <f t="shared" ref="K114:N114" si="96">EDATE(K113,12)</f>
        <v>43831</v>
      </c>
      <c r="L114" s="64">
        <f t="shared" si="96"/>
        <v>44197</v>
      </c>
      <c r="M114" s="64">
        <f t="shared" si="96"/>
        <v>44562</v>
      </c>
      <c r="N114" s="64">
        <f t="shared" si="96"/>
        <v>44927</v>
      </c>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ht="15.75" customHeight="1">
      <c r="A115" s="1"/>
      <c r="B115" s="1" t="s">
        <v>7</v>
      </c>
      <c r="C115" s="1"/>
      <c r="D115" s="65">
        <f t="array" ref="D115">INDEX(Revenue_Model_MRR,MATCH(DATE(YEAR(D113),MONTH(D113)+11,DAY(D113)),Revenue_Model_Months,0))*12</f>
        <v>9315420.73</v>
      </c>
      <c r="E115" s="65">
        <f t="array" ref="E115">INDEX(Revenue_Model_MRR,MATCH(DATE(YEAR(E113),MONTH(E113)+11,DAY(E113)),Revenue_Model_Months,0))*12</f>
        <v>10374901.36</v>
      </c>
      <c r="F115" s="65">
        <f t="array" ref="F115">INDEX(Revenue_Model_MRR,MATCH(DATE(YEAR(F113),MONTH(F113)+11,DAY(F113)),Revenue_Model_Months,0))*12</f>
        <v>13519976.64</v>
      </c>
      <c r="G115" s="65">
        <f t="array" ref="G115">INDEX(Revenue_Model_MRR,MATCH(DATE(YEAR(G113),MONTH(G113)+11,DAY(G113)),Revenue_Model_Months,0))*12</f>
        <v>19276253.88</v>
      </c>
      <c r="H115" s="1"/>
      <c r="I115" s="1" t="s">
        <v>7</v>
      </c>
      <c r="J115" s="1"/>
      <c r="K115" s="65">
        <f t="array" ref="K115">INDEX(Revenue_Model_MRR_Worst_Case,MATCH(DATE(YEAR(K113),MONTH(K113)+11,DAY(K113)),Revenue_Model_Months_Worst_Case,0))*12</f>
        <v>9315420.73</v>
      </c>
      <c r="L115" s="65">
        <f t="array" ref="L115">INDEX(Revenue_Model_MRR_Worst_Case,MATCH(DATE(YEAR(L113),MONTH(L113)+11,DAY(L113)),Revenue_Model_Months_Worst_Case,0))*12</f>
        <v>8654797.747</v>
      </c>
      <c r="M115" s="65">
        <f t="array" ref="M115">INDEX(Revenue_Model_MRR_Worst_Case,MATCH(DATE(YEAR(M113),MONTH(M113)+11,DAY(M113)),Revenue_Model_Months_Worst_Case,0))*12</f>
        <v>9933734.662</v>
      </c>
      <c r="N115" s="65">
        <f t="array" ref="N115">INDEX(Revenue_Model_MRR_Worst_Case,MATCH(DATE(YEAR(N113),MONTH(N113)+11,DAY(N113)),Revenue_Model_Months_Worst_Case,0))*12</f>
        <v>14163130.34</v>
      </c>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ht="15.75" customHeight="1">
      <c r="A116" s="1"/>
      <c r="B116" s="1"/>
      <c r="C116" s="1"/>
      <c r="D116" s="67"/>
      <c r="E116" s="67"/>
      <c r="F116" s="67"/>
      <c r="G116" s="67"/>
      <c r="H116" s="1"/>
      <c r="I116" s="1"/>
      <c r="J116" s="1"/>
      <c r="K116" s="67"/>
      <c r="L116" s="67"/>
      <c r="M116" s="67"/>
      <c r="N116" s="67"/>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ht="15.75" customHeight="1">
      <c r="A117" s="1"/>
      <c r="B117" s="1" t="s">
        <v>8</v>
      </c>
      <c r="C117" s="1"/>
      <c r="D117" s="65">
        <f>SUMIFS(Oper_Model_Revenue,Oper_Model_Months,"&gt;="&amp;D113,Oper_Model_Months,"&lt;"&amp;D114)</f>
        <v>7835571</v>
      </c>
      <c r="E117" s="65">
        <f>SUMIFS(Oper_Model_Revenue,Oper_Model_Months,"&gt;="&amp;E113,Oper_Model_Months,"&lt;"&amp;E114)</f>
        <v>9770657.027</v>
      </c>
      <c r="F117" s="65">
        <f>SUMIFS(Oper_Model_Revenue,Oper_Model_Months,"&gt;="&amp;F113,Oper_Model_Months,"&lt;"&amp;F114)</f>
        <v>11990532.62</v>
      </c>
      <c r="G117" s="65">
        <f>SUMIFS(Oper_Model_Revenue,Oper_Model_Months,"&gt;="&amp;G113,Oper_Model_Months,"&lt;"&amp;G114)</f>
        <v>16469348.78</v>
      </c>
      <c r="H117" s="1"/>
      <c r="I117" s="1" t="s">
        <v>8</v>
      </c>
      <c r="J117" s="1"/>
      <c r="K117" s="65">
        <f>SUMIFS(Oper_Model_Revenue_Worst_Case,Oper_Model_Months_Worst_Case,"&gt;="&amp;K113,Oper_Model_Months_Worst_Case,"&lt;"&amp;K114)</f>
        <v>7835571</v>
      </c>
      <c r="L117" s="65">
        <f>SUMIFS(Oper_Model_Revenue_Worst_Case,Oper_Model_Months_Worst_Case,"&gt;="&amp;L113,Oper_Model_Months_Worst_Case,"&lt;"&amp;L114)</f>
        <v>8995226.364</v>
      </c>
      <c r="M117" s="65">
        <f>SUMIFS(Oper_Model_Revenue_Worst_Case,Oper_Model_Months_Worst_Case,"&gt;="&amp;M113,Oper_Model_Months_Worst_Case,"&lt;"&amp;M114)</f>
        <v>9296214.022</v>
      </c>
      <c r="N117" s="65">
        <f>SUMIFS(Oper_Model_Revenue_Worst_Case,Oper_Model_Months_Worst_Case,"&gt;="&amp;N113,Oper_Model_Months_Worst_Case,"&lt;"&amp;N114)</f>
        <v>12100770.97</v>
      </c>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ht="15.75" customHeight="1">
      <c r="A118" s="1"/>
      <c r="B118" s="1" t="s">
        <v>9</v>
      </c>
      <c r="C118" s="1"/>
      <c r="D118" s="1"/>
      <c r="E118" s="1"/>
      <c r="F118" s="1"/>
      <c r="G118" s="1"/>
      <c r="H118" s="1"/>
      <c r="I118" s="1" t="s">
        <v>9</v>
      </c>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ht="15.75" customHeight="1">
      <c r="A119" s="1"/>
      <c r="B119" s="1" t="s">
        <v>10</v>
      </c>
      <c r="C119" s="1"/>
      <c r="D119" s="68">
        <f>SUMIFS(Oper_Model_Support,Oper_Model_Months,"&gt;="&amp;D113,Oper_Model_Months,"&lt;"&amp;D114)</f>
        <v>884451</v>
      </c>
      <c r="E119" s="68">
        <f>SUMIFS(Oper_Model_Support,Oper_Model_Months,"&gt;="&amp;E113,Oper_Model_Months,"&lt;"&amp;E114)</f>
        <v>946631.9382</v>
      </c>
      <c r="F119" s="68">
        <f>SUMIFS(Oper_Model_Support,Oper_Model_Months,"&gt;="&amp;F113,Oper_Model_Months,"&lt;"&amp;F114)</f>
        <v>1223208.313</v>
      </c>
      <c r="G119" s="68">
        <f>SUMIFS(Oper_Model_Support,Oper_Model_Months,"&gt;="&amp;G113,Oper_Model_Months,"&lt;"&amp;G114)</f>
        <v>1271808.299</v>
      </c>
      <c r="H119" s="1"/>
      <c r="I119" s="1" t="s">
        <v>10</v>
      </c>
      <c r="J119" s="1"/>
      <c r="K119" s="68">
        <f>SUMIFS(Oper_Model_Support_Worst_Case,Oper_Model_Months_Worst_Case,"&gt;="&amp;K113,Oper_Model_Months_Worst_Case,"&lt;"&amp;K114)</f>
        <v>884451</v>
      </c>
      <c r="L119" s="68">
        <f>SUMIFS(Oper_Model_Support_Worst_Case,Oper_Model_Months_Worst_Case,"&gt;="&amp;L113,Oper_Model_Months_Worst_Case,"&lt;"&amp;L114)</f>
        <v>793335.6806</v>
      </c>
      <c r="M119" s="68">
        <f>SUMIFS(Oper_Model_Support_Worst_Case,Oper_Model_Months_Worst_Case,"&gt;="&amp;M113,Oper_Model_Months_Worst_Case,"&lt;"&amp;M114)</f>
        <v>741484.9912</v>
      </c>
      <c r="N119" s="68">
        <f>SUMIFS(Oper_Model_Support_Worst_Case,Oper_Model_Months_Worst_Case,"&gt;="&amp;N113,Oper_Model_Months_Worst_Case,"&lt;"&amp;N114)</f>
        <v>766887.1248</v>
      </c>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ht="15.75" customHeight="1">
      <c r="A120" s="1"/>
      <c r="B120" s="1" t="s">
        <v>11</v>
      </c>
      <c r="C120" s="1"/>
      <c r="D120" s="68">
        <f>SUMIFS(Oper_Model_Service_Delivery,Oper_Model_Months,"&gt;="&amp;D113,Oper_Model_Months,"&lt;"&amp;D114)</f>
        <v>602421</v>
      </c>
      <c r="E120" s="68">
        <f>SUMIFS(Oper_Model_Service_Delivery,Oper_Model_Months,"&gt;="&amp;E113,Oper_Model_Months,"&lt;"&amp;E114)</f>
        <v>844521.8105</v>
      </c>
      <c r="F120" s="68">
        <f>SUMIFS(Oper_Model_Service_Delivery,Oper_Model_Months,"&gt;="&amp;F113,Oper_Model_Months,"&lt;"&amp;F114)</f>
        <v>1041389.273</v>
      </c>
      <c r="G120" s="68">
        <f>SUMIFS(Oper_Model_Service_Delivery,Oper_Model_Months,"&gt;="&amp;G113,Oper_Model_Months,"&lt;"&amp;G114)</f>
        <v>1430378.758</v>
      </c>
      <c r="H120" s="1"/>
      <c r="I120" s="1" t="s">
        <v>11</v>
      </c>
      <c r="J120" s="1"/>
      <c r="K120" s="68">
        <f>SUMIFS(Oper_Model_Service_Delivery_Worst_Case,Oper_Model_Months_Worst_Case,"&gt;="&amp;K113,Oper_Model_Months_Worst_Case,"&lt;"&amp;K114)</f>
        <v>602421</v>
      </c>
      <c r="L120" s="68">
        <f>SUMIFS(Oper_Model_Service_Delivery_Worst_Case,Oper_Model_Months_Worst_Case,"&gt;="&amp;L113,Oper_Model_Months_Worst_Case,"&lt;"&amp;L114)</f>
        <v>777174.9128</v>
      </c>
      <c r="M120" s="68">
        <f>SUMIFS(Oper_Model_Service_Delivery_Worst_Case,Oper_Model_Months_Worst_Case,"&gt;="&amp;M113,Oper_Model_Months_Worst_Case,"&lt;"&amp;M114)</f>
        <v>807385.1155</v>
      </c>
      <c r="N120" s="68">
        <f>SUMIFS(Oper_Model_Service_Delivery_Worst_Case,Oper_Model_Months_Worst_Case,"&gt;="&amp;N113,Oper_Model_Months_Worst_Case,"&lt;"&amp;N114)</f>
        <v>1050963.58</v>
      </c>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ht="15.75" customHeight="1">
      <c r="A121" s="1"/>
      <c r="B121" s="69" t="s">
        <v>9</v>
      </c>
      <c r="C121" s="69"/>
      <c r="D121" s="70">
        <f t="shared" ref="D121:G121" si="97">SUM(D119:D120)</f>
        <v>1486872</v>
      </c>
      <c r="E121" s="70">
        <f t="shared" si="97"/>
        <v>1791153.749</v>
      </c>
      <c r="F121" s="70">
        <f t="shared" si="97"/>
        <v>2264597.586</v>
      </c>
      <c r="G121" s="70">
        <f t="shared" si="97"/>
        <v>2702187.057</v>
      </c>
      <c r="H121" s="1"/>
      <c r="I121" s="69" t="s">
        <v>9</v>
      </c>
      <c r="J121" s="69"/>
      <c r="K121" s="70">
        <f t="shared" ref="K121:N121" si="98">SUM(K119:K120)</f>
        <v>1486872</v>
      </c>
      <c r="L121" s="70">
        <f t="shared" si="98"/>
        <v>1570510.593</v>
      </c>
      <c r="M121" s="70">
        <f t="shared" si="98"/>
        <v>1548870.107</v>
      </c>
      <c r="N121" s="70">
        <f t="shared" si="98"/>
        <v>1817850.705</v>
      </c>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ht="15.75" customHeight="1">
      <c r="A122" s="1"/>
      <c r="B122" s="69" t="s">
        <v>12</v>
      </c>
      <c r="C122" s="69"/>
      <c r="D122" s="70">
        <f t="shared" ref="D122:G122" si="99">D117-D121</f>
        <v>6348699</v>
      </c>
      <c r="E122" s="70">
        <f t="shared" si="99"/>
        <v>7979503.278</v>
      </c>
      <c r="F122" s="70">
        <f t="shared" si="99"/>
        <v>9725935.036</v>
      </c>
      <c r="G122" s="70">
        <f t="shared" si="99"/>
        <v>13767161.72</v>
      </c>
      <c r="H122" s="1"/>
      <c r="I122" s="69" t="s">
        <v>12</v>
      </c>
      <c r="J122" s="69"/>
      <c r="K122" s="70">
        <f t="shared" ref="K122:N122" si="100">K117-K121</f>
        <v>6348699</v>
      </c>
      <c r="L122" s="70">
        <f t="shared" si="100"/>
        <v>7424715.771</v>
      </c>
      <c r="M122" s="70">
        <f t="shared" si="100"/>
        <v>7747343.916</v>
      </c>
      <c r="N122" s="70">
        <f t="shared" si="100"/>
        <v>10282920.27</v>
      </c>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ht="15.75" customHeight="1">
      <c r="A123" s="1"/>
      <c r="B123" s="1" t="s">
        <v>13</v>
      </c>
      <c r="C123" s="1"/>
      <c r="D123" s="66">
        <f t="shared" ref="D123:G123" si="101">D122/D117</f>
        <v>0.8102407597</v>
      </c>
      <c r="E123" s="66">
        <f t="shared" si="101"/>
        <v>0.816680317</v>
      </c>
      <c r="F123" s="66">
        <f t="shared" si="101"/>
        <v>0.8111345294</v>
      </c>
      <c r="G123" s="66">
        <f t="shared" si="101"/>
        <v>0.835926296</v>
      </c>
      <c r="H123" s="1"/>
      <c r="I123" s="1" t="s">
        <v>13</v>
      </c>
      <c r="J123" s="1"/>
      <c r="K123" s="66">
        <f t="shared" ref="K123:N123" si="102">K122/K117</f>
        <v>0.8102407597</v>
      </c>
      <c r="L123" s="66">
        <f t="shared" si="102"/>
        <v>0.8254062177</v>
      </c>
      <c r="M123" s="66">
        <f t="shared" si="102"/>
        <v>0.833387</v>
      </c>
      <c r="N123" s="66">
        <f t="shared" si="102"/>
        <v>0.8497739765</v>
      </c>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ht="15.75" customHeight="1">
      <c r="A124" s="1"/>
      <c r="B124" s="1" t="s">
        <v>14</v>
      </c>
      <c r="C124" s="1"/>
      <c r="D124" s="1"/>
      <c r="E124" s="1"/>
      <c r="F124" s="1"/>
      <c r="G124" s="1"/>
      <c r="H124" s="1"/>
      <c r="I124" s="1" t="s">
        <v>14</v>
      </c>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ht="15.75" customHeight="1">
      <c r="A125" s="1"/>
      <c r="B125" s="1" t="s">
        <v>15</v>
      </c>
      <c r="C125" s="1"/>
      <c r="D125" s="68">
        <f>SUMIFS(Oper_Model_Engineering,Oper_Model_Months,"&gt;="&amp;D113,Oper_Model_Months,"&lt;"&amp;D114)</f>
        <v>3225585</v>
      </c>
      <c r="E125" s="68">
        <f>SUMIFS(Oper_Model_Engineering,Oper_Model_Months,"&gt;="&amp;E113,Oper_Model_Months,"&lt;"&amp;E114)</f>
        <v>3011721.5</v>
      </c>
      <c r="F125" s="68">
        <f>SUMIFS(Oper_Model_Engineering,Oper_Model_Months,"&gt;="&amp;F113,Oper_Model_Months,"&lt;"&amp;F114)</f>
        <v>3478265</v>
      </c>
      <c r="G125" s="68">
        <f>SUMIFS(Oper_Model_Engineering,Oper_Model_Months,"&gt;="&amp;G113,Oper_Model_Months,"&lt;"&amp;G114)</f>
        <v>4260495</v>
      </c>
      <c r="H125" s="1"/>
      <c r="I125" s="1" t="s">
        <v>15</v>
      </c>
      <c r="J125" s="1"/>
      <c r="K125" s="68">
        <f>SUMIFS(Oper_Model_Engineering_Worst_Case,Oper_Model_Months_Worst_Case,"&gt;="&amp;K113,Oper_Model_Months_Worst_Case,"&lt;"&amp;K114)</f>
        <v>3225585</v>
      </c>
      <c r="L125" s="68">
        <f>SUMIFS(Oper_Model_Engineering_Worst_Case,Oper_Model_Months_Worst_Case,"&gt;="&amp;L113,Oper_Model_Months_Worst_Case,"&lt;"&amp;L114)</f>
        <v>2812709</v>
      </c>
      <c r="M125" s="68">
        <f>SUMIFS(Oper_Model_Engineering_Worst_Case,Oper_Model_Months_Worst_Case,"&gt;="&amp;M113,Oper_Model_Months_Worst_Case,"&lt;"&amp;M114)</f>
        <v>2534835</v>
      </c>
      <c r="N125" s="68">
        <f>SUMIFS(Oper_Model_Engineering_Worst_Case,Oper_Model_Months_Worst_Case,"&gt;="&amp;N113,Oper_Model_Months_Worst_Case,"&lt;"&amp;N114)</f>
        <v>2534835</v>
      </c>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ht="15.75" customHeight="1">
      <c r="A126" s="1"/>
      <c r="B126" s="1" t="s">
        <v>16</v>
      </c>
      <c r="C126" s="1"/>
      <c r="D126" s="68">
        <f>SUMIFS(Oper_Model_General,Oper_Model_Months,"&gt;="&amp;D113,Oper_Model_Months,"&lt;"&amp;D114)</f>
        <v>1030569</v>
      </c>
      <c r="E126" s="68">
        <f>SUMIFS(Oper_Model_General,Oper_Model_Months,"&gt;="&amp;E113,Oper_Model_Months,"&lt;"&amp;E114)</f>
        <v>1055560</v>
      </c>
      <c r="F126" s="68">
        <f>SUMIFS(Oper_Model_General,Oper_Model_Months,"&gt;="&amp;F113,Oper_Model_Months,"&lt;"&amp;F114)</f>
        <v>1063960</v>
      </c>
      <c r="G126" s="68">
        <f>SUMIFS(Oper_Model_General,Oper_Model_Months,"&gt;="&amp;G113,Oper_Model_Months,"&lt;"&amp;G114)</f>
        <v>1063960</v>
      </c>
      <c r="H126" s="1"/>
      <c r="I126" s="1" t="s">
        <v>16</v>
      </c>
      <c r="J126" s="1"/>
      <c r="K126" s="68">
        <f>SUMIFS(Oper_Model_General_Worst_Case,Oper_Model_Months_Worst_Case,"&gt;="&amp;K113,Oper_Model_Months_Worst_Case,"&lt;"&amp;K114)</f>
        <v>1030569</v>
      </c>
      <c r="L126" s="68">
        <f>SUMIFS(Oper_Model_General_Worst_Case,Oper_Model_Months_Worst_Case,"&gt;="&amp;L113,Oper_Model_Months_Worst_Case,"&lt;"&amp;L114)</f>
        <v>1046740.667</v>
      </c>
      <c r="M126" s="68">
        <f>SUMIFS(Oper_Model_General_Worst_Case,Oper_Model_Months_Worst_Case,"&gt;="&amp;M113,Oper_Model_Months_Worst_Case,"&lt;"&amp;M114)</f>
        <v>987685</v>
      </c>
      <c r="N126" s="68">
        <f>SUMIFS(Oper_Model_General_Worst_Case,Oper_Model_Months_Worst_Case,"&gt;="&amp;N113,Oper_Model_Months_Worst_Case,"&lt;"&amp;N114)</f>
        <v>987685</v>
      </c>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ht="15.75" customHeight="1">
      <c r="A127" s="1"/>
      <c r="B127" s="1" t="s">
        <v>17</v>
      </c>
      <c r="C127" s="1"/>
      <c r="D127" s="68">
        <f>SUMIFS(Oper_Model_Sales_and_Marketing,Oper_Model_Months,"&gt;="&amp;D113,Oper_Model_Months,"&lt;"&amp;D114)</f>
        <v>3361796</v>
      </c>
      <c r="E127" s="68">
        <f>SUMIFS(Oper_Model_Sales_and_Marketing,Oper_Model_Months,"&gt;="&amp;E113,Oper_Model_Months,"&lt;"&amp;E114)</f>
        <v>3985601.604</v>
      </c>
      <c r="F127" s="68">
        <f>SUMIFS(Oper_Model_Sales_and_Marketing,Oper_Model_Months,"&gt;="&amp;F113,Oper_Model_Months,"&lt;"&amp;F114)</f>
        <v>7272700.067</v>
      </c>
      <c r="G127" s="68">
        <f>SUMIFS(Oper_Model_Sales_and_Marketing,Oper_Model_Months,"&gt;="&amp;G113,Oper_Model_Months,"&lt;"&amp;G114)</f>
        <v>9129162.505</v>
      </c>
      <c r="H127" s="1"/>
      <c r="I127" s="1" t="s">
        <v>17</v>
      </c>
      <c r="J127" s="1"/>
      <c r="K127" s="68">
        <f>SUMIFS(Oper_Model_Sales_and_Marketing_Worst_Case,Oper_Model_Months_Worst_Case,"&gt;="&amp;K113,Oper_Model_Months_Worst_Case,"&lt;"&amp;K114)</f>
        <v>3361796</v>
      </c>
      <c r="L127" s="68">
        <f>SUMIFS(Oper_Model_Sales_and_Marketing_Worst_Case,Oper_Model_Months_Worst_Case,"&gt;="&amp;L113,Oper_Model_Months_Worst_Case,"&lt;"&amp;L114)</f>
        <v>3527674.333</v>
      </c>
      <c r="M127" s="68">
        <f>SUMIFS(Oper_Model_Sales_and_Marketing_Worst_Case,Oper_Model_Months_Worst_Case,"&gt;="&amp;M113,Oper_Model_Months_Worst_Case,"&lt;"&amp;M114)</f>
        <v>5245343</v>
      </c>
      <c r="N127" s="68">
        <f>SUMIFS(Oper_Model_Sales_and_Marketing_Worst_Case,Oper_Model_Months_Worst_Case,"&gt;="&amp;N113,Oper_Model_Months_Worst_Case,"&lt;"&amp;N114)</f>
        <v>6638002.695</v>
      </c>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ht="15.75" customHeight="1">
      <c r="A128" s="1"/>
      <c r="B128" s="69" t="s">
        <v>18</v>
      </c>
      <c r="C128" s="69"/>
      <c r="D128" s="70">
        <f t="shared" ref="D128:G128" si="103">SUM(D125:D127)</f>
        <v>7617950</v>
      </c>
      <c r="E128" s="70">
        <f t="shared" si="103"/>
        <v>8052883.104</v>
      </c>
      <c r="F128" s="70">
        <f t="shared" si="103"/>
        <v>11814925.07</v>
      </c>
      <c r="G128" s="70">
        <f t="shared" si="103"/>
        <v>14453617.51</v>
      </c>
      <c r="H128" s="1"/>
      <c r="I128" s="69" t="s">
        <v>18</v>
      </c>
      <c r="J128" s="69"/>
      <c r="K128" s="70">
        <f t="shared" ref="K128:N128" si="104">SUM(K125:K127)</f>
        <v>7617950</v>
      </c>
      <c r="L128" s="70">
        <f t="shared" si="104"/>
        <v>7387124</v>
      </c>
      <c r="M128" s="70">
        <f t="shared" si="104"/>
        <v>8767863</v>
      </c>
      <c r="N128" s="70">
        <f t="shared" si="104"/>
        <v>10160522.7</v>
      </c>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ht="15.75" customHeight="1">
      <c r="A129" s="1"/>
      <c r="B129" s="69" t="s">
        <v>19</v>
      </c>
      <c r="C129" s="72"/>
      <c r="D129" s="70">
        <f t="shared" ref="D129:G129" si="105">D122-D128</f>
        <v>-1269251</v>
      </c>
      <c r="E129" s="70">
        <f t="shared" si="105"/>
        <v>-73379.82632</v>
      </c>
      <c r="F129" s="70">
        <f t="shared" si="105"/>
        <v>-2088990.031</v>
      </c>
      <c r="G129" s="70">
        <f t="shared" si="105"/>
        <v>-686455.7819</v>
      </c>
      <c r="H129" s="1"/>
      <c r="I129" s="69" t="s">
        <v>19</v>
      </c>
      <c r="J129" s="72"/>
      <c r="K129" s="70">
        <f t="shared" ref="K129:N129" si="106">K122-K128</f>
        <v>-1269251</v>
      </c>
      <c r="L129" s="70">
        <f t="shared" si="106"/>
        <v>37591.77081</v>
      </c>
      <c r="M129" s="70">
        <f t="shared" si="106"/>
        <v>-1020519.084</v>
      </c>
      <c r="N129" s="70">
        <f t="shared" si="106"/>
        <v>122397.5722</v>
      </c>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ht="15.75" customHeight="1">
      <c r="A131" s="1"/>
      <c r="B131" s="1" t="s">
        <v>25</v>
      </c>
      <c r="C131" s="1"/>
      <c r="D131" s="68">
        <f t="array" ref="D131">INDEX(Oper_Model_Bank_Accounts,MATCH(DATE(YEAR(D113),MONTH(D113)+11,DAY(D113)),Oper_Model_Months,0))</f>
        <v>295403</v>
      </c>
      <c r="E131" s="68" t="str">
        <f t="array" ref="E131">INDEX(Oper_Model_Bank_Accounts,MATCH(DATE(YEAR(E113),MONTH(E113)+11,DAY(E113)),Oper_Model_Months,0))</f>
        <v>#NAME?</v>
      </c>
      <c r="F131" s="68" t="str">
        <f t="array" ref="F131">INDEX(Oper_Model_Bank_Accounts,MATCH(DATE(YEAR(F113),MONTH(F113)+11,DAY(F113)),Oper_Model_Months,0))</f>
        <v>#NAME?</v>
      </c>
      <c r="G131" s="68" t="str">
        <f t="array" ref="G131">INDEX(Oper_Model_Bank_Accounts,MATCH(DATE(YEAR(G113),MONTH(G113)+11,DAY(G113)),Oper_Model_Months,0))</f>
        <v>#NAME?</v>
      </c>
      <c r="H131" s="1"/>
      <c r="I131" s="1" t="s">
        <v>25</v>
      </c>
      <c r="J131" s="1"/>
      <c r="K131" s="68">
        <f t="array" ref="K131">INDEX(Oper_Model_Bank_Accounts_Worst_Case,MATCH(DATE(YEAR(K113),MONTH(K113)+11,DAY(K113)),Oper_Model_Months_Worst_Case,0))</f>
        <v>295403</v>
      </c>
      <c r="L131" s="68" t="str">
        <f t="array" ref="L131">INDEX(Oper_Model_Bank_Accounts_Worst_Case,MATCH(DATE(YEAR(L113),MONTH(L113)+11,DAY(L113)),Oper_Model_Months_Worst_Case,0))</f>
        <v>#NAME?</v>
      </c>
      <c r="M131" s="68" t="str">
        <f t="array" ref="M131">INDEX(Oper_Model_Bank_Accounts_Worst_Case,MATCH(DATE(YEAR(M113),MONTH(M113)+11,DAY(M113)),Oper_Model_Months_Worst_Case,0))</f>
        <v>#NAME?</v>
      </c>
      <c r="N131" s="68" t="str">
        <f t="array" ref="N131">INDEX(Oper_Model_Bank_Accounts_Worst_Case,MATCH(DATE(YEAR(N113),MONTH(N113)+11,DAY(N113)),Oper_Model_Months_Worst_Case,0))</f>
        <v>#NAME?</v>
      </c>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ht="15.75" customHeight="1">
      <c r="A135" s="1"/>
      <c r="B135" s="57" t="s">
        <v>65</v>
      </c>
      <c r="C135" s="58"/>
      <c r="D135" s="59">
        <v>2019.0</v>
      </c>
      <c r="E135" s="59">
        <v>2020.0</v>
      </c>
      <c r="F135" s="59">
        <v>2021.0</v>
      </c>
      <c r="G135" s="59">
        <v>2022.0</v>
      </c>
      <c r="H135" s="60"/>
      <c r="I135" s="57" t="s">
        <v>75</v>
      </c>
      <c r="J135" s="58"/>
      <c r="K135" s="59">
        <v>2019.0</v>
      </c>
      <c r="L135" s="59">
        <v>2020.0</v>
      </c>
      <c r="M135" s="59">
        <v>2021.0</v>
      </c>
      <c r="N135" s="59">
        <v>2022.0</v>
      </c>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ht="15.75" customHeight="1">
      <c r="A136" s="1"/>
      <c r="B136" s="1" t="s">
        <v>8</v>
      </c>
      <c r="C136" s="1"/>
      <c r="D136" s="66">
        <v>1.0</v>
      </c>
      <c r="E136" s="66">
        <v>1.0</v>
      </c>
      <c r="F136" s="66">
        <v>1.0</v>
      </c>
      <c r="G136" s="66">
        <v>1.0</v>
      </c>
      <c r="H136" s="1"/>
      <c r="I136" s="1" t="s">
        <v>8</v>
      </c>
      <c r="J136" s="1"/>
      <c r="K136" s="66">
        <v>1.0</v>
      </c>
      <c r="L136" s="66">
        <v>1.0</v>
      </c>
      <c r="M136" s="66">
        <v>1.0</v>
      </c>
      <c r="N136" s="66">
        <v>1.0</v>
      </c>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ht="15.75" customHeight="1">
      <c r="A137" s="1"/>
      <c r="B137" s="1" t="s">
        <v>9</v>
      </c>
      <c r="C137" s="1"/>
      <c r="D137" s="1"/>
      <c r="E137" s="1"/>
      <c r="F137" s="1"/>
      <c r="G137" s="1"/>
      <c r="H137" s="1"/>
      <c r="I137" s="1" t="s">
        <v>9</v>
      </c>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ht="15.75" customHeight="1">
      <c r="A138" s="1"/>
      <c r="B138" s="1" t="s">
        <v>10</v>
      </c>
      <c r="C138" s="1"/>
      <c r="D138" s="15">
        <f t="shared" ref="D138:G138" si="107">D119/D$117</f>
        <v>0.1128763941</v>
      </c>
      <c r="E138" s="15">
        <f t="shared" si="107"/>
        <v>0.09688518752</v>
      </c>
      <c r="F138" s="15">
        <f t="shared" si="107"/>
        <v>0.1020145103</v>
      </c>
      <c r="G138" s="15">
        <f t="shared" si="107"/>
        <v>0.07722274363</v>
      </c>
      <c r="H138" s="1"/>
      <c r="I138" s="1" t="s">
        <v>10</v>
      </c>
      <c r="J138" s="1"/>
      <c r="K138" s="15">
        <f t="shared" ref="K138:N138" si="108">K119/K$117</f>
        <v>0.1128763941</v>
      </c>
      <c r="L138" s="15">
        <f t="shared" si="108"/>
        <v>0.08819518804</v>
      </c>
      <c r="M138" s="15">
        <f t="shared" si="108"/>
        <v>0.07976203962</v>
      </c>
      <c r="N138" s="15">
        <f t="shared" si="108"/>
        <v>0.06337506317</v>
      </c>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ht="15.75" customHeight="1">
      <c r="A139" s="1"/>
      <c r="B139" s="1" t="s">
        <v>11</v>
      </c>
      <c r="C139" s="1"/>
      <c r="D139" s="15">
        <f t="shared" ref="D139:G139" si="109">D120/D$117</f>
        <v>0.07688284619</v>
      </c>
      <c r="E139" s="15">
        <f t="shared" si="109"/>
        <v>0.08643449547</v>
      </c>
      <c r="F139" s="15">
        <f t="shared" si="109"/>
        <v>0.08685096035</v>
      </c>
      <c r="G139" s="15">
        <f t="shared" si="109"/>
        <v>0.08685096035</v>
      </c>
      <c r="H139" s="1"/>
      <c r="I139" s="1" t="s">
        <v>11</v>
      </c>
      <c r="J139" s="1"/>
      <c r="K139" s="15">
        <f t="shared" ref="K139:N139" si="110">K120/K$117</f>
        <v>0.07688284619</v>
      </c>
      <c r="L139" s="15">
        <f t="shared" si="110"/>
        <v>0.08639859425</v>
      </c>
      <c r="M139" s="15">
        <f t="shared" si="110"/>
        <v>0.08685096035</v>
      </c>
      <c r="N139" s="15">
        <f t="shared" si="110"/>
        <v>0.08685096035</v>
      </c>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ht="15.75" customHeight="1">
      <c r="A140" s="1"/>
      <c r="B140" s="69" t="s">
        <v>9</v>
      </c>
      <c r="C140" s="69"/>
      <c r="D140" s="25">
        <f t="shared" ref="D140:G140" si="111">D121/D$117</f>
        <v>0.1897592403</v>
      </c>
      <c r="E140" s="25">
        <f t="shared" si="111"/>
        <v>0.183319683</v>
      </c>
      <c r="F140" s="25">
        <f t="shared" si="111"/>
        <v>0.1888654706</v>
      </c>
      <c r="G140" s="25">
        <f t="shared" si="111"/>
        <v>0.164073704</v>
      </c>
      <c r="H140" s="1"/>
      <c r="I140" s="69" t="s">
        <v>9</v>
      </c>
      <c r="J140" s="69"/>
      <c r="K140" s="25">
        <f t="shared" ref="K140:N140" si="112">K121/K$117</f>
        <v>0.1897592403</v>
      </c>
      <c r="L140" s="25">
        <f t="shared" si="112"/>
        <v>0.1745937823</v>
      </c>
      <c r="M140" s="25">
        <f t="shared" si="112"/>
        <v>0.166613</v>
      </c>
      <c r="N140" s="25">
        <f t="shared" si="112"/>
        <v>0.1502260235</v>
      </c>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ht="15.75" customHeight="1">
      <c r="A141" s="1"/>
      <c r="B141" s="69" t="s">
        <v>12</v>
      </c>
      <c r="C141" s="69"/>
      <c r="D141" s="25">
        <f t="shared" ref="D141:G141" si="113">D122/D$117</f>
        <v>0.8102407597</v>
      </c>
      <c r="E141" s="25">
        <f t="shared" si="113"/>
        <v>0.816680317</v>
      </c>
      <c r="F141" s="25">
        <f t="shared" si="113"/>
        <v>0.8111345294</v>
      </c>
      <c r="G141" s="25">
        <f t="shared" si="113"/>
        <v>0.835926296</v>
      </c>
      <c r="H141" s="1"/>
      <c r="I141" s="69" t="s">
        <v>12</v>
      </c>
      <c r="J141" s="69"/>
      <c r="K141" s="25">
        <f t="shared" ref="K141:N141" si="114">K122/K$117</f>
        <v>0.8102407597</v>
      </c>
      <c r="L141" s="25">
        <f t="shared" si="114"/>
        <v>0.8254062177</v>
      </c>
      <c r="M141" s="25">
        <f t="shared" si="114"/>
        <v>0.833387</v>
      </c>
      <c r="N141" s="25">
        <f t="shared" si="114"/>
        <v>0.8497739765</v>
      </c>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ht="15.75" customHeight="1">
      <c r="A142" s="1"/>
      <c r="B142" s="1" t="s">
        <v>13</v>
      </c>
      <c r="C142" s="1"/>
      <c r="D142" s="1"/>
      <c r="E142" s="1"/>
      <c r="F142" s="1"/>
      <c r="G142" s="1"/>
      <c r="H142" s="1"/>
      <c r="I142" s="1" t="s">
        <v>13</v>
      </c>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ht="15.75" customHeight="1">
      <c r="A143" s="1"/>
      <c r="B143" s="1" t="s">
        <v>14</v>
      </c>
      <c r="C143" s="1"/>
      <c r="D143" s="1"/>
      <c r="E143" s="1"/>
      <c r="F143" s="1"/>
      <c r="G143" s="1"/>
      <c r="H143" s="1"/>
      <c r="I143" s="1" t="s">
        <v>14</v>
      </c>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ht="15.75" customHeight="1">
      <c r="A144" s="1"/>
      <c r="B144" s="1" t="s">
        <v>15</v>
      </c>
      <c r="C144" s="1"/>
      <c r="D144" s="15">
        <f t="shared" ref="D144:G144" si="115">D125/D$117</f>
        <v>0.4116592141</v>
      </c>
      <c r="E144" s="15">
        <f t="shared" si="115"/>
        <v>0.3082414511</v>
      </c>
      <c r="F144" s="15">
        <f t="shared" si="115"/>
        <v>0.2900842781</v>
      </c>
      <c r="G144" s="15">
        <f t="shared" si="115"/>
        <v>0.258692378</v>
      </c>
      <c r="H144" s="1"/>
      <c r="I144" s="1" t="s">
        <v>15</v>
      </c>
      <c r="J144" s="1"/>
      <c r="K144" s="15">
        <f t="shared" ref="K144:N144" si="116">K125/K$117</f>
        <v>0.4116592141</v>
      </c>
      <c r="L144" s="15">
        <f t="shared" si="116"/>
        <v>0.3126890737</v>
      </c>
      <c r="M144" s="15">
        <f t="shared" si="116"/>
        <v>0.2726739072</v>
      </c>
      <c r="N144" s="15">
        <f t="shared" si="116"/>
        <v>0.2094771487</v>
      </c>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ht="15.75" customHeight="1">
      <c r="A145" s="1"/>
      <c r="B145" s="1" t="s">
        <v>16</v>
      </c>
      <c r="C145" s="1"/>
      <c r="D145" s="15">
        <f t="shared" ref="D145:G145" si="117">D126/D$117</f>
        <v>0.1315244288</v>
      </c>
      <c r="E145" s="15">
        <f t="shared" si="117"/>
        <v>0.1080336765</v>
      </c>
      <c r="F145" s="15">
        <f t="shared" si="117"/>
        <v>0.08873333934</v>
      </c>
      <c r="G145" s="15">
        <f t="shared" si="117"/>
        <v>0.06460243293</v>
      </c>
      <c r="H145" s="1"/>
      <c r="I145" s="1" t="s">
        <v>16</v>
      </c>
      <c r="J145" s="1"/>
      <c r="K145" s="15">
        <f t="shared" ref="K145:N145" si="118">K126/K$117</f>
        <v>0.1315244288</v>
      </c>
      <c r="L145" s="15">
        <f t="shared" si="118"/>
        <v>0.1163662396</v>
      </c>
      <c r="M145" s="15">
        <f t="shared" si="118"/>
        <v>0.1062459403</v>
      </c>
      <c r="N145" s="15">
        <f t="shared" si="118"/>
        <v>0.08162165884</v>
      </c>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ht="15.75" customHeight="1">
      <c r="A146" s="1"/>
      <c r="B146" s="1" t="s">
        <v>17</v>
      </c>
      <c r="C146" s="1"/>
      <c r="D146" s="15">
        <f t="shared" ref="D146:G146" si="119">D127/D$117</f>
        <v>0.4290428866</v>
      </c>
      <c r="E146" s="15">
        <f t="shared" si="119"/>
        <v>0.4079154138</v>
      </c>
      <c r="F146" s="15">
        <f t="shared" si="119"/>
        <v>0.6065368651</v>
      </c>
      <c r="G146" s="15">
        <f t="shared" si="119"/>
        <v>0.5543122941</v>
      </c>
      <c r="H146" s="1"/>
      <c r="I146" s="1" t="s">
        <v>17</v>
      </c>
      <c r="J146" s="1"/>
      <c r="K146" s="15">
        <f t="shared" ref="K146:N146" si="120">K127/K$117</f>
        <v>0.4290428866</v>
      </c>
      <c r="L146" s="15">
        <f t="shared" si="120"/>
        <v>0.3921718243</v>
      </c>
      <c r="M146" s="15">
        <f t="shared" si="120"/>
        <v>0.5642450773</v>
      </c>
      <c r="N146" s="15">
        <f t="shared" si="120"/>
        <v>0.5485603116</v>
      </c>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ht="15.75" customHeight="1">
      <c r="A147" s="1"/>
      <c r="B147" s="69" t="s">
        <v>18</v>
      </c>
      <c r="C147" s="69"/>
      <c r="D147" s="25">
        <f t="shared" ref="D147:G147" si="121">D128/D$117</f>
        <v>0.9722265295</v>
      </c>
      <c r="E147" s="25">
        <f t="shared" si="121"/>
        <v>0.8241905414</v>
      </c>
      <c r="F147" s="25">
        <f t="shared" si="121"/>
        <v>0.9853544825</v>
      </c>
      <c r="G147" s="25">
        <f t="shared" si="121"/>
        <v>0.8776071051</v>
      </c>
      <c r="H147" s="1"/>
      <c r="I147" s="69" t="s">
        <v>18</v>
      </c>
      <c r="J147" s="69"/>
      <c r="K147" s="25">
        <f t="shared" ref="K147:N147" si="122">K128/K$117</f>
        <v>0.9722265295</v>
      </c>
      <c r="L147" s="25">
        <f t="shared" si="122"/>
        <v>0.8212271377</v>
      </c>
      <c r="M147" s="25">
        <f t="shared" si="122"/>
        <v>0.9431649249</v>
      </c>
      <c r="N147" s="25">
        <f t="shared" si="122"/>
        <v>0.8396591191</v>
      </c>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ht="15.75" customHeight="1">
      <c r="A148" s="1"/>
      <c r="B148" s="69" t="s">
        <v>19</v>
      </c>
      <c r="C148" s="69"/>
      <c r="D148" s="25">
        <f t="shared" ref="D148:G148" si="123">D129/D$117</f>
        <v>-0.1619857698</v>
      </c>
      <c r="E148" s="25">
        <f t="shared" si="123"/>
        <v>-0.007510224351</v>
      </c>
      <c r="F148" s="25">
        <f t="shared" si="123"/>
        <v>-0.1742199531</v>
      </c>
      <c r="G148" s="25">
        <f t="shared" si="123"/>
        <v>-0.04168080906</v>
      </c>
      <c r="H148" s="1"/>
      <c r="I148" s="69" t="s">
        <v>19</v>
      </c>
      <c r="J148" s="69"/>
      <c r="K148" s="25">
        <f t="shared" ref="K148:N148" si="124">K129/K$117</f>
        <v>-0.1619857698</v>
      </c>
      <c r="L148" s="25">
        <f t="shared" si="124"/>
        <v>0.004179080024</v>
      </c>
      <c r="M148" s="25">
        <f t="shared" si="124"/>
        <v>-0.1097779248</v>
      </c>
      <c r="N148" s="25">
        <f t="shared" si="124"/>
        <v>0.01011485735</v>
      </c>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scale="85"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20.88"/>
    <col customWidth="1" min="2" max="26" width="14.38"/>
  </cols>
  <sheetData>
    <row r="1" ht="22.5" customHeight="1">
      <c r="A1" s="36" t="s">
        <v>76</v>
      </c>
      <c r="B1" s="37"/>
      <c r="C1" s="37">
        <v>43831.0</v>
      </c>
      <c r="D1" s="37">
        <f t="shared" ref="D1:Z1" si="1">EDATE(C1,1)</f>
        <v>43862</v>
      </c>
      <c r="E1" s="37">
        <f t="shared" si="1"/>
        <v>43891</v>
      </c>
      <c r="F1" s="37">
        <f t="shared" si="1"/>
        <v>43922</v>
      </c>
      <c r="G1" s="37">
        <f t="shared" si="1"/>
        <v>43952</v>
      </c>
      <c r="H1" s="37">
        <f t="shared" si="1"/>
        <v>43983</v>
      </c>
      <c r="I1" s="37">
        <f t="shared" si="1"/>
        <v>44013</v>
      </c>
      <c r="J1" s="37">
        <f t="shared" si="1"/>
        <v>44044</v>
      </c>
      <c r="K1" s="37">
        <f t="shared" si="1"/>
        <v>44075</v>
      </c>
      <c r="L1" s="37">
        <f t="shared" si="1"/>
        <v>44105</v>
      </c>
      <c r="M1" s="37">
        <f t="shared" si="1"/>
        <v>44136</v>
      </c>
      <c r="N1" s="37">
        <f t="shared" si="1"/>
        <v>44166</v>
      </c>
      <c r="O1" s="37">
        <f t="shared" si="1"/>
        <v>44197</v>
      </c>
      <c r="P1" s="37">
        <f t="shared" si="1"/>
        <v>44228</v>
      </c>
      <c r="Q1" s="37">
        <f t="shared" si="1"/>
        <v>44256</v>
      </c>
      <c r="R1" s="37">
        <f t="shared" si="1"/>
        <v>44287</v>
      </c>
      <c r="S1" s="37">
        <f t="shared" si="1"/>
        <v>44317</v>
      </c>
      <c r="T1" s="37">
        <f t="shared" si="1"/>
        <v>44348</v>
      </c>
      <c r="U1" s="37">
        <f t="shared" si="1"/>
        <v>44378</v>
      </c>
      <c r="V1" s="37">
        <f t="shared" si="1"/>
        <v>44409</v>
      </c>
      <c r="W1" s="37">
        <f t="shared" si="1"/>
        <v>44440</v>
      </c>
      <c r="X1" s="37">
        <f t="shared" si="1"/>
        <v>44470</v>
      </c>
      <c r="Y1" s="37">
        <f t="shared" si="1"/>
        <v>44501</v>
      </c>
      <c r="Z1" s="37">
        <f t="shared" si="1"/>
        <v>44531</v>
      </c>
    </row>
    <row r="2" ht="15.75" customHeight="1">
      <c r="B2" s="1" t="s">
        <v>2</v>
      </c>
      <c r="C2" s="74">
        <f t="array" ref="C2">INDEX(Oper_Model_Revenue,MATCH(C$1,Oper_Model_Months,0))</f>
        <v>824529</v>
      </c>
      <c r="D2" s="74">
        <f t="array" ref="D2">INDEX(Oper_Model_Revenue,MATCH(D$1,Oper_Model_Months,0))</f>
        <v>844626</v>
      </c>
      <c r="E2" s="74">
        <f t="array" ref="E2">INDEX(Oper_Model_Revenue,MATCH(E$1,Oper_Model_Months,0))</f>
        <v>819162.19</v>
      </c>
      <c r="F2" s="74">
        <f t="array" ref="F2">INDEX(Oper_Model_Revenue,MATCH(F$1,Oper_Model_Months,0))</f>
        <v>796507</v>
      </c>
      <c r="G2" s="60"/>
      <c r="H2" s="60"/>
      <c r="I2" s="60"/>
      <c r="J2" s="60"/>
      <c r="K2" s="60"/>
      <c r="L2" s="60"/>
      <c r="M2" s="60"/>
      <c r="N2" s="60"/>
      <c r="O2" s="60"/>
      <c r="P2" s="60"/>
      <c r="Q2" s="60"/>
      <c r="R2" s="60"/>
      <c r="S2" s="60"/>
      <c r="T2" s="60"/>
      <c r="U2" s="60"/>
      <c r="V2" s="60"/>
      <c r="W2" s="60"/>
      <c r="X2" s="60"/>
      <c r="Y2" s="60"/>
      <c r="Z2" s="60"/>
    </row>
    <row r="3" ht="15.75" customHeight="1">
      <c r="B3" s="1" t="s">
        <v>72</v>
      </c>
      <c r="C3" s="60"/>
      <c r="D3" s="60"/>
      <c r="E3" s="60"/>
      <c r="F3" s="74">
        <f t="array" ref="F3">INDEX(Oper_Model_Revenue,MATCH(F$1,Oper_Model_Months,0))</f>
        <v>796507</v>
      </c>
      <c r="G3" s="74">
        <f t="array" ref="G3">INDEX(Oper_Model_Revenue,MATCH(G$1,Oper_Model_Months,0))</f>
        <v>780349.4289</v>
      </c>
      <c r="H3" s="74">
        <f t="array" ref="H3">INDEX(Oper_Model_Revenue,MATCH(H$1,Oper_Model_Months,0))</f>
        <v>776838.8983</v>
      </c>
      <c r="I3" s="74">
        <f t="array" ref="I3">INDEX(Oper_Model_Revenue,MATCH(I$1,Oper_Model_Months,0))</f>
        <v>784307.4964</v>
      </c>
      <c r="J3" s="74">
        <f t="array" ref="J3">INDEX(Oper_Model_Revenue,MATCH(J$1,Oper_Model_Months,0))</f>
        <v>794270.1184</v>
      </c>
      <c r="K3" s="74">
        <f t="array" ref="K3">INDEX(Oper_Model_Revenue,MATCH(K$1,Oper_Model_Months,0))</f>
        <v>810446.9171</v>
      </c>
      <c r="L3" s="74">
        <f t="array" ref="L3">INDEX(Oper_Model_Revenue,MATCH(L$1,Oper_Model_Months,0))</f>
        <v>828843.4437</v>
      </c>
      <c r="M3" s="74">
        <f t="array" ref="M3">INDEX(Oper_Model_Revenue,MATCH(M$1,Oper_Model_Months,0))</f>
        <v>846201.4208</v>
      </c>
      <c r="N3" s="74">
        <f t="array" ref="N3">INDEX(Oper_Model_Revenue,MATCH(N$1,Oper_Model_Months,0))</f>
        <v>864575.1131</v>
      </c>
      <c r="O3" s="74">
        <f t="array" ref="O3">INDEX(Oper_Model_Revenue,MATCH(O$1,Oper_Model_Months,0))</f>
        <v>882839.9823</v>
      </c>
      <c r="P3" s="74">
        <f t="array" ref="P3">INDEX(Oper_Model_Revenue,MATCH(P$1,Oper_Model_Months,0))</f>
        <v>902246.5996</v>
      </c>
      <c r="Q3" s="74">
        <f t="array" ref="Q3">INDEX(Oper_Model_Revenue,MATCH(Q$1,Oper_Model_Months,0))</f>
        <v>921493.2125</v>
      </c>
      <c r="R3" s="74">
        <f t="array" ref="R3">INDEX(Oper_Model_Revenue,MATCH(R$1,Oper_Model_Months,0))</f>
        <v>941858.9225</v>
      </c>
      <c r="S3" s="74">
        <f t="array" ref="S3">INDEX(Oper_Model_Revenue,MATCH(S$1,Oper_Model_Months,0))</f>
        <v>963330.7191</v>
      </c>
      <c r="T3" s="74">
        <f t="array" ref="T3">INDEX(Oper_Model_Revenue,MATCH(T$1,Oper_Model_Months,0))</f>
        <v>984645.7735</v>
      </c>
      <c r="U3" s="74">
        <f t="array" ref="U3">INDEX(Oper_Model_Revenue,MATCH(U$1,Oper_Model_Months,0))</f>
        <v>1007059.449</v>
      </c>
      <c r="V3" s="74">
        <f t="array" ref="V3">INDEX(Oper_Model_Revenue,MATCH(V$1,Oper_Model_Months,0))</f>
        <v>1029314.149</v>
      </c>
      <c r="W3" s="74">
        <f t="array" ref="W3">INDEX(Oper_Model_Revenue,MATCH(W$1,Oper_Model_Months,0))</f>
        <v>1052658.019</v>
      </c>
      <c r="X3" s="74">
        <f t="array" ref="X3">INDEX(Oper_Model_Revenue,MATCH(X$1,Oper_Model_Months,0))</f>
        <v>1077084.272</v>
      </c>
      <c r="Y3" s="74">
        <f t="array" ref="Y3">INDEX(Oper_Model_Revenue,MATCH(Y$1,Oper_Model_Months,0))</f>
        <v>1101336.803</v>
      </c>
      <c r="Z3" s="74">
        <f t="array" ref="Z3">INDEX(Oper_Model_Revenue,MATCH(Z$1,Oper_Model_Months,0))</f>
        <v>1126664.72</v>
      </c>
    </row>
    <row r="4" ht="15.75" customHeight="1">
      <c r="B4" s="1" t="s">
        <v>74</v>
      </c>
      <c r="C4" s="60"/>
      <c r="D4" s="60"/>
      <c r="E4" s="60"/>
      <c r="F4" s="74">
        <f t="array" ref="F4">INDEX(Oper_Model_Revenue_Worst_Case,MATCH(F$1,Oper_Model_Months_Worst_Case,0))</f>
        <v>796507</v>
      </c>
      <c r="G4" s="74">
        <f t="array" ref="G4">INDEX(Oper_Model_Revenue_Worst_Case,MATCH(G$1,Oper_Model_Months_Worst_Case,0))</f>
        <v>751351.1689</v>
      </c>
      <c r="H4" s="74">
        <f t="array" ref="H4">INDEX(Oper_Model_Revenue_Worst_Case,MATCH(H$1,Oper_Model_Months_Worst_Case,0))</f>
        <v>719265.3906</v>
      </c>
      <c r="I4" s="74">
        <f t="array" ref="I4">INDEX(Oper_Model_Revenue_Worst_Case,MATCH(I$1,Oper_Model_Months_Worst_Case,0))</f>
        <v>698975.914</v>
      </c>
      <c r="J4" s="74">
        <f t="array" ref="J4">INDEX(Oper_Model_Revenue_Worst_Case,MATCH(J$1,Oper_Model_Months_Worst_Case,0))</f>
        <v>695909.3046</v>
      </c>
      <c r="K4" s="74">
        <f t="array" ref="K4">INDEX(Oper_Model_Revenue_Worst_Case,MATCH(K$1,Oper_Model_Months_Worst_Case,0))</f>
        <v>701273.8902</v>
      </c>
      <c r="L4" s="74">
        <f t="array" ref="L4">INDEX(Oper_Model_Revenue_Worst_Case,MATCH(L$1,Oper_Model_Months_Worst_Case,0))</f>
        <v>708129.5599</v>
      </c>
      <c r="M4" s="74">
        <f t="array" ref="M4">INDEX(Oper_Model_Revenue_Worst_Case,MATCH(M$1,Oper_Model_Months_Worst_Case,0))</f>
        <v>714263.8005</v>
      </c>
      <c r="N4" s="74">
        <f t="array" ref="N4">INDEX(Oper_Model_Revenue_Worst_Case,MATCH(N$1,Oper_Model_Months_Worst_Case,0))</f>
        <v>721233.1456</v>
      </c>
      <c r="O4" s="74">
        <f t="array" ref="O4">INDEX(Oper_Model_Revenue_Worst_Case,MATCH(O$1,Oper_Model_Months_Worst_Case,0))</f>
        <v>727877.0234</v>
      </c>
      <c r="P4" s="74">
        <f t="array" ref="P4">INDEX(Oper_Model_Revenue_Worst_Case,MATCH(P$1,Oper_Model_Months_Worst_Case,0))</f>
        <v>735442.1007</v>
      </c>
      <c r="Q4" s="74">
        <f t="array" ref="Q4">INDEX(Oper_Model_Revenue_Worst_Case,MATCH(Q$1,Oper_Model_Months_Worst_Case,0))</f>
        <v>742622.7021</v>
      </c>
      <c r="R4" s="74">
        <f t="array" ref="R4">INDEX(Oper_Model_Revenue_Worst_Case,MATCH(R$1,Oper_Model_Months_Worst_Case,0))</f>
        <v>750695.624</v>
      </c>
      <c r="S4" s="74">
        <f t="array" ref="S4">INDEX(Oper_Model_Revenue_Worst_Case,MATCH(S$1,Oper_Model_Months_Worst_Case,0))</f>
        <v>759632.5881</v>
      </c>
      <c r="T4" s="74">
        <f t="array" ref="T4">INDEX(Oper_Model_Revenue_Worst_Case,MATCH(T$1,Oper_Model_Months_Worst_Case,0))</f>
        <v>768157.6205</v>
      </c>
      <c r="U4" s="74">
        <f t="array" ref="U4">INDEX(Oper_Model_Revenue_Worst_Case,MATCH(U$1,Oper_Model_Months_Worst_Case,0))</f>
        <v>777528.2852</v>
      </c>
      <c r="V4" s="74">
        <f t="array" ref="V4">INDEX(Oper_Model_Revenue_Worst_Case,MATCH(V$1,Oper_Model_Months_Worst_Case,0))</f>
        <v>786472.115</v>
      </c>
      <c r="W4" s="74">
        <f t="array" ref="W4">INDEX(Oper_Model_Revenue_Worst_Case,MATCH(W$1,Oper_Model_Months_Worst_Case,0))</f>
        <v>796241.2033</v>
      </c>
      <c r="X4" s="74">
        <f t="array" ref="X4">INDEX(Oper_Model_Revenue_Worst_Case,MATCH(X$1,Oper_Model_Months_Worst_Case,0))</f>
        <v>806813.9473</v>
      </c>
      <c r="Y4" s="74">
        <f t="array" ref="Y4">INDEX(Oper_Model_Revenue_Worst_Case,MATCH(Y$1,Oper_Model_Months_Worst_Case,0))</f>
        <v>816919.591</v>
      </c>
      <c r="Z4" s="74">
        <f t="array" ref="Z4">INDEX(Oper_Model_Revenue_Worst_Case,MATCH(Z$1,Oper_Model_Months_Worst_Case,0))</f>
        <v>827811.2219</v>
      </c>
    </row>
    <row r="5" ht="15.75" customHeight="1">
      <c r="B5" s="1" t="s">
        <v>1</v>
      </c>
      <c r="C5" s="74">
        <f t="array" ref="C5">INDEX(Oper_Model_Revenue_2020_Target,MATCH(C$1,Oper_Model_Months_2020_Target,0))</f>
        <v>798842.7476</v>
      </c>
      <c r="D5" s="74">
        <f t="array" ref="D5">INDEX(Oper_Model_Revenue_2020_Target,MATCH(D$1,Oper_Model_Months_2020_Target,0))</f>
        <v>820160.9929</v>
      </c>
      <c r="E5" s="74">
        <f t="array" ref="E5">INDEX(Oper_Model_Revenue_2020_Target,MATCH(E$1,Oper_Model_Months_2020_Target,0))</f>
        <v>841306.6033</v>
      </c>
      <c r="F5" s="74">
        <f t="array" ref="F5">INDEX(Oper_Model_Revenue_2020_Target,MATCH(F$1,Oper_Model_Months_2020_Target,0))</f>
        <v>862039.1992</v>
      </c>
      <c r="G5" s="74">
        <f t="array" ref="G5">INDEX(Oper_Model_Revenue_2020_Target,MATCH(G$1,Oper_Model_Months_2020_Target,0))</f>
        <v>882494.2771</v>
      </c>
      <c r="H5" s="74">
        <f t="array" ref="H5">INDEX(Oper_Model_Revenue_2020_Target,MATCH(H$1,Oper_Model_Months_2020_Target,0))</f>
        <v>904725.0885</v>
      </c>
      <c r="I5" s="74">
        <f t="array" ref="I5">INDEX(Oper_Model_Revenue_2020_Target,MATCH(I$1,Oper_Model_Months_2020_Target,0))</f>
        <v>926611.5341</v>
      </c>
      <c r="J5" s="74">
        <f t="array" ref="J5">INDEX(Oper_Model_Revenue_2020_Target,MATCH(J$1,Oper_Model_Months_2020_Target,0))</f>
        <v>948189.3869</v>
      </c>
      <c r="K5" s="74">
        <f t="array" ref="K5">INDEX(Oper_Model_Revenue_2020_Target,MATCH(K$1,Oper_Model_Months_2020_Target,0))</f>
        <v>969459.1116</v>
      </c>
      <c r="L5" s="74">
        <f t="array" ref="L5">INDEX(Oper_Model_Revenue_2020_Target,MATCH(L$1,Oper_Model_Months_2020_Target,0))</f>
        <v>990420.0502</v>
      </c>
      <c r="M5" s="74">
        <f t="array" ref="M5">INDEX(Oper_Model_Revenue_2020_Target,MATCH(M$1,Oper_Model_Months_2020_Target,0))</f>
        <v>1011084.174</v>
      </c>
      <c r="N5" s="74">
        <f t="array" ref="N5">INDEX(Oper_Model_Revenue_2020_Target,MATCH(N$1,Oper_Model_Months_2020_Target,0))</f>
        <v>1031455.109</v>
      </c>
      <c r="O5" s="74">
        <f t="array" ref="O5">INDEX(Oper_Model_Revenue_2020_Target,MATCH(O$1,Oper_Model_Months_2020_Target,0))</f>
        <v>1053588.151</v>
      </c>
      <c r="P5" s="74">
        <f t="array" ref="P5">INDEX(Oper_Model_Revenue_2020_Target,MATCH(P$1,Oper_Model_Months_2020_Target,0))</f>
        <v>1075406.749</v>
      </c>
      <c r="Q5" s="74">
        <f t="array" ref="Q5">INDEX(Oper_Model_Revenue_2020_Target,MATCH(Q$1,Oper_Model_Months_2020_Target,0))</f>
        <v>1096916.273</v>
      </c>
      <c r="R5" s="74">
        <f t="array" ref="R5">INDEX(Oper_Model_Revenue_2020_Target,MATCH(R$1,Oper_Model_Months_2020_Target,0))</f>
        <v>1118122.485</v>
      </c>
      <c r="S5" s="74">
        <f t="array" ref="S5">INDEX(Oper_Model_Revenue_2020_Target,MATCH(S$1,Oper_Model_Months_2020_Target,0))</f>
        <v>1139031.297</v>
      </c>
      <c r="T5" s="74">
        <f t="array" ref="T5">INDEX(Oper_Model_Revenue_2020_Target,MATCH(T$1,Oper_Model_Months_2020_Target,0))</f>
        <v>1159648.17</v>
      </c>
      <c r="U5" s="74">
        <f t="array" ref="U5">INDEX(Oper_Model_Revenue_2020_Target,MATCH(U$1,Oper_Model_Months_2020_Target,0))</f>
        <v>1182029.18</v>
      </c>
      <c r="V5" s="74">
        <f t="array" ref="V5">INDEX(Oper_Model_Revenue_2020_Target,MATCH(V$1,Oper_Model_Months_2020_Target,0))</f>
        <v>1204096.576</v>
      </c>
      <c r="W5" s="74">
        <f t="array" ref="W5">INDEX(Oper_Model_Revenue_2020_Target,MATCH(W$1,Oper_Model_Months_2020_Target,0))</f>
        <v>1225856.221</v>
      </c>
      <c r="X5" s="74">
        <f t="array" ref="X5">INDEX(Oper_Model_Revenue_2020_Target,MATCH(X$1,Oper_Model_Months_2020_Target,0))</f>
        <v>1247313.906</v>
      </c>
      <c r="Y5" s="74">
        <f t="array" ref="Y5">INDEX(Oper_Model_Revenue_2020_Target,MATCH(Y$1,Oper_Model_Months_2020_Target,0))</f>
        <v>1268475.307</v>
      </c>
      <c r="Z5" s="74">
        <f t="array" ref="Z5">INDEX(Oper_Model_Revenue_2020_Target,MATCH(Z$1,Oper_Model_Months_2020_Target,0))</f>
        <v>1291396.566</v>
      </c>
    </row>
    <row r="6" ht="15.75" customHeight="1">
      <c r="A6" s="1"/>
      <c r="B6" s="38"/>
      <c r="C6" s="60"/>
      <c r="D6" s="60"/>
      <c r="E6" s="60"/>
      <c r="F6" s="60"/>
      <c r="G6" s="60"/>
      <c r="H6" s="60"/>
      <c r="I6" s="60"/>
      <c r="J6" s="60"/>
      <c r="K6" s="60"/>
      <c r="L6" s="60"/>
      <c r="M6" s="60"/>
      <c r="N6" s="60"/>
      <c r="O6" s="60"/>
      <c r="P6" s="60"/>
      <c r="Q6" s="60"/>
      <c r="R6" s="60"/>
      <c r="S6" s="60"/>
      <c r="T6" s="60"/>
      <c r="U6" s="60"/>
      <c r="V6" s="60"/>
      <c r="W6" s="60"/>
      <c r="X6" s="60"/>
      <c r="Y6" s="60"/>
      <c r="Z6" s="60"/>
    </row>
    <row r="7" ht="15.75" customHeight="1">
      <c r="B7" s="30" t="s">
        <v>77</v>
      </c>
      <c r="C7" s="74">
        <f t="array" ref="C7">INDEX(Oper_Model_General,MATCH(C$1,Oper_Model_Months,0))</f>
        <v>102338</v>
      </c>
      <c r="D7" s="74">
        <f t="array" ref="D7">INDEX(Oper_Model_General,MATCH(D$1,Oper_Model_Months,0))</f>
        <v>111703</v>
      </c>
      <c r="E7" s="74">
        <f t="array" ref="E7">INDEX(Oper_Model_General,MATCH(E$1,Oper_Model_Months,0))</f>
        <v>86317</v>
      </c>
      <c r="F7" s="74">
        <f t="array" ref="F7">INDEX(Oper_Model_General,MATCH(F$1,Oper_Model_Months,0))</f>
        <v>87926</v>
      </c>
      <c r="G7" s="74">
        <f t="array" ref="G7">INDEX(Oper_Model_General,MATCH(G$1,Oper_Model_Months,0))</f>
        <v>78155.66667</v>
      </c>
      <c r="H7" s="74">
        <f t="array" ref="H7">INDEX(Oper_Model_General,MATCH(H$1,Oper_Model_Months,0))</f>
        <v>78155.66667</v>
      </c>
      <c r="I7" s="74">
        <f t="array" ref="I7">INDEX(Oper_Model_General,MATCH(I$1,Oper_Model_Months,0))</f>
        <v>78155.66667</v>
      </c>
      <c r="J7" s="74">
        <f t="array" ref="J7">INDEX(Oper_Model_General,MATCH(J$1,Oper_Model_Months,0))</f>
        <v>83409.5</v>
      </c>
      <c r="K7" s="74">
        <f t="array" ref="K7">INDEX(Oper_Model_General,MATCH(K$1,Oper_Model_Months,0))</f>
        <v>83409.5</v>
      </c>
      <c r="L7" s="74">
        <f t="array" ref="L7">INDEX(Oper_Model_General,MATCH(L$1,Oper_Model_Months,0))</f>
        <v>88663.33333</v>
      </c>
      <c r="M7" s="74">
        <f t="array" ref="M7">INDEX(Oper_Model_General,MATCH(M$1,Oper_Model_Months,0))</f>
        <v>88663.33333</v>
      </c>
      <c r="N7" s="74">
        <f t="array" ref="N7">INDEX(Oper_Model_General,MATCH(N$1,Oper_Model_Months,0))</f>
        <v>88663.33333</v>
      </c>
      <c r="O7" s="74">
        <f t="array" ref="O7">INDEX(Oper_Model_General,MATCH(O$1,Oper_Model_Months,0))</f>
        <v>88663.33333</v>
      </c>
      <c r="P7" s="74">
        <f t="array" ref="P7">INDEX(Oper_Model_General,MATCH(P$1,Oper_Model_Months,0))</f>
        <v>88663.33333</v>
      </c>
      <c r="Q7" s="74">
        <f t="array" ref="Q7">INDEX(Oper_Model_General,MATCH(Q$1,Oper_Model_Months,0))</f>
        <v>88663.33333</v>
      </c>
      <c r="R7" s="74">
        <f t="array" ref="R7">INDEX(Oper_Model_General,MATCH(R$1,Oper_Model_Months,0))</f>
        <v>88663.33333</v>
      </c>
      <c r="S7" s="74">
        <f t="array" ref="S7">INDEX(Oper_Model_General,MATCH(S$1,Oper_Model_Months,0))</f>
        <v>88663.33333</v>
      </c>
      <c r="T7" s="74">
        <f t="array" ref="T7">INDEX(Oper_Model_General,MATCH(T$1,Oper_Model_Months,0))</f>
        <v>88663.33333</v>
      </c>
      <c r="U7" s="74">
        <f t="array" ref="U7">INDEX(Oper_Model_General,MATCH(U$1,Oper_Model_Months,0))</f>
        <v>88663.33333</v>
      </c>
      <c r="V7" s="74">
        <f t="array" ref="V7">INDEX(Oper_Model_General,MATCH(V$1,Oper_Model_Months,0))</f>
        <v>88663.33333</v>
      </c>
      <c r="W7" s="74">
        <f t="array" ref="W7">INDEX(Oper_Model_General,MATCH(W$1,Oper_Model_Months,0))</f>
        <v>88663.33333</v>
      </c>
      <c r="X7" s="74">
        <f t="array" ref="X7">INDEX(Oper_Model_General,MATCH(X$1,Oper_Model_Months,0))</f>
        <v>88663.33333</v>
      </c>
      <c r="Y7" s="74">
        <f t="array" ref="Y7">INDEX(Oper_Model_General,MATCH(Y$1,Oper_Model_Months,0))</f>
        <v>88663.33333</v>
      </c>
      <c r="Z7" s="74">
        <f t="array" ref="Z7">INDEX(Oper_Model_General,MATCH(Z$1,Oper_Model_Months,0))</f>
        <v>88663.33333</v>
      </c>
    </row>
    <row r="8" ht="15.75" customHeight="1">
      <c r="B8" s="30" t="s">
        <v>31</v>
      </c>
      <c r="C8" s="74">
        <f t="array" ref="C8">INDEX(Oper_Model_Sales_and_Marketing,MATCH(C$1,Oper_Model_Months,0))</f>
        <v>312682</v>
      </c>
      <c r="D8" s="74">
        <f t="array" ref="D8">INDEX(Oper_Model_Sales_and_Marketing,MATCH(D$1,Oper_Model_Months,0))</f>
        <v>326880</v>
      </c>
      <c r="E8" s="74">
        <f t="array" ref="E8">INDEX(Oper_Model_Sales_and_Marketing,MATCH(E$1,Oper_Model_Months,0))</f>
        <v>296642</v>
      </c>
      <c r="F8" s="74">
        <f t="array" ref="F8">INDEX(Oper_Model_Sales_and_Marketing,MATCH(F$1,Oper_Model_Months,0))</f>
        <v>284575</v>
      </c>
      <c r="G8" s="74">
        <f t="array" ref="G8">INDEX(Oper_Model_Sales_and_Marketing,MATCH(G$1,Oper_Model_Months,0))</f>
        <v>275628.6895</v>
      </c>
      <c r="H8" s="74">
        <f t="array" ref="H8">INDEX(Oper_Model_Sales_and_Marketing,MATCH(H$1,Oper_Model_Months,0))</f>
        <v>290437.1603</v>
      </c>
      <c r="I8" s="74">
        <f t="array" ref="I8">INDEX(Oper_Model_Sales_and_Marketing,MATCH(I$1,Oper_Model_Months,0))</f>
        <v>305844.6357</v>
      </c>
      <c r="J8" s="74">
        <f t="array" ref="J8">INDEX(Oper_Model_Sales_and_Marketing,MATCH(J$1,Oper_Model_Months,0))</f>
        <v>321388.1814</v>
      </c>
      <c r="K8" s="74">
        <f t="array" ref="K8">INDEX(Oper_Model_Sales_and_Marketing,MATCH(K$1,Oper_Model_Months,0))</f>
        <v>337270.7631</v>
      </c>
      <c r="L8" s="74">
        <f t="array" ref="L8">INDEX(Oper_Model_Sales_and_Marketing,MATCH(L$1,Oper_Model_Months,0))</f>
        <v>384907.7833</v>
      </c>
      <c r="M8" s="74">
        <f t="array" ref="M8">INDEX(Oper_Model_Sales_and_Marketing,MATCH(M$1,Oper_Model_Months,0))</f>
        <v>400854.8084</v>
      </c>
      <c r="N8" s="74">
        <f t="array" ref="N8">INDEX(Oper_Model_Sales_and_Marketing,MATCH(N$1,Oper_Model_Months,0))</f>
        <v>448490.5827</v>
      </c>
      <c r="O8" s="74">
        <f t="array" ref="O8">INDEX(Oper_Model_Sales_and_Marketing,MATCH(O$1,Oper_Model_Months,0))</f>
        <v>464487.0864</v>
      </c>
      <c r="P8" s="74">
        <f t="array" ref="P8">INDEX(Oper_Model_Sales_and_Marketing,MATCH(P$1,Oper_Model_Months,0))</f>
        <v>512179.2156</v>
      </c>
      <c r="Q8" s="74">
        <f t="array" ref="Q8">INDEX(Oper_Model_Sales_and_Marketing,MATCH(Q$1,Oper_Model_Months,0))</f>
        <v>528229.2818</v>
      </c>
      <c r="R8" s="74">
        <f t="array" ref="R8">INDEX(Oper_Model_Sales_and_Marketing,MATCH(R$1,Oper_Model_Months,0))</f>
        <v>575973.7376</v>
      </c>
      <c r="S8" s="74">
        <f t="array" ref="S8">INDEX(Oper_Model_Sales_and_Marketing,MATCH(S$1,Oper_Model_Months,0))</f>
        <v>592145.2065</v>
      </c>
      <c r="T8" s="74">
        <f t="array" ref="T8">INDEX(Oper_Model_Sales_and_Marketing,MATCH(T$1,Oper_Model_Months,0))</f>
        <v>608308.1237</v>
      </c>
      <c r="U8" s="74">
        <f t="array" ref="U8">INDEX(Oper_Model_Sales_and_Marketing,MATCH(U$1,Oper_Model_Months,0))</f>
        <v>624530.9801</v>
      </c>
      <c r="V8" s="74">
        <f t="array" ref="V8">INDEX(Oper_Model_Sales_and_Marketing,MATCH(V$1,Oper_Model_Months,0))</f>
        <v>640745.163</v>
      </c>
      <c r="W8" s="74">
        <f t="array" ref="W8">INDEX(Oper_Model_Sales_and_Marketing,MATCH(W$1,Oper_Model_Months,0))</f>
        <v>657018.7694</v>
      </c>
      <c r="X8" s="74">
        <f t="array" ref="X8">INDEX(Oper_Model_Sales_and_Marketing,MATCH(X$1,Oper_Model_Months,0))</f>
        <v>673351.429</v>
      </c>
      <c r="Y8" s="74">
        <f t="array" ref="Y8">INDEX(Oper_Model_Sales_and_Marketing,MATCH(Y$1,Oper_Model_Months,0))</f>
        <v>689674.6105</v>
      </c>
      <c r="Z8" s="74">
        <f t="array" ref="Z8">INDEX(Oper_Model_Sales_and_Marketing,MATCH(Z$1,Oper_Model_Months,0))</f>
        <v>706056.4635</v>
      </c>
    </row>
    <row r="9" ht="15.75" customHeight="1">
      <c r="B9" s="30" t="s">
        <v>78</v>
      </c>
      <c r="C9" s="74">
        <f t="array" ref="C9">INDEX(Oper_Model_Engineering,MATCH(C$1,Oper_Model_Months,0))</f>
        <v>278774</v>
      </c>
      <c r="D9" s="74">
        <f t="array" ref="D9">INDEX(Oper_Model_Engineering,MATCH(D$1,Oper_Model_Months,0))</f>
        <v>284741</v>
      </c>
      <c r="E9" s="74">
        <f t="array" ref="E9">INDEX(Oper_Model_Engineering,MATCH(E$1,Oper_Model_Months,0))</f>
        <v>280952</v>
      </c>
      <c r="F9" s="74">
        <f t="array" ref="F9">INDEX(Oper_Model_Engineering,MATCH(F$1,Oper_Model_Months,0))</f>
        <v>278352</v>
      </c>
      <c r="G9" s="74">
        <f t="array" ref="G9">INDEX(Oper_Model_Engineering,MATCH(G$1,Oper_Model_Months,0))</f>
        <v>229392.5</v>
      </c>
      <c r="H9" s="74">
        <f t="array" ref="H9">INDEX(Oper_Model_Engineering,MATCH(H$1,Oper_Model_Months,0))</f>
        <v>229392.5</v>
      </c>
      <c r="I9" s="74">
        <f t="array" ref="I9">INDEX(Oper_Model_Engineering,MATCH(I$1,Oper_Model_Months,0))</f>
        <v>229392.5</v>
      </c>
      <c r="J9" s="74">
        <f t="array" ref="J9">INDEX(Oper_Model_Engineering,MATCH(J$1,Oper_Model_Months,0))</f>
        <v>229392.5</v>
      </c>
      <c r="K9" s="74">
        <f t="array" ref="K9">INDEX(Oper_Model_Engineering,MATCH(K$1,Oper_Model_Months,0))</f>
        <v>229392.5</v>
      </c>
      <c r="L9" s="74">
        <f t="array" ref="L9">INDEX(Oper_Model_Engineering,MATCH(L$1,Oper_Model_Months,0))</f>
        <v>247313.3333</v>
      </c>
      <c r="M9" s="74">
        <f t="array" ref="M9">INDEX(Oper_Model_Engineering,MATCH(M$1,Oper_Model_Months,0))</f>
        <v>247313.3333</v>
      </c>
      <c r="N9" s="74">
        <f t="array" ref="N9">INDEX(Oper_Model_Engineering,MATCH(N$1,Oper_Model_Months,0))</f>
        <v>247313.3333</v>
      </c>
      <c r="O9" s="74">
        <f t="array" ref="O9">INDEX(Oper_Model_Engineering,MATCH(O$1,Oper_Model_Months,0))</f>
        <v>264292.5</v>
      </c>
      <c r="P9" s="74">
        <f t="array" ref="P9">INDEX(Oper_Model_Engineering,MATCH(P$1,Oper_Model_Months,0))</f>
        <v>264292.5</v>
      </c>
      <c r="Q9" s="74">
        <f t="array" ref="Q9">INDEX(Oper_Model_Engineering,MATCH(Q$1,Oper_Model_Months,0))</f>
        <v>264292.5</v>
      </c>
      <c r="R9" s="74">
        <f t="array" ref="R9">INDEX(Oper_Model_Engineering,MATCH(R$1,Oper_Model_Months,0))</f>
        <v>281271.6667</v>
      </c>
      <c r="S9" s="74">
        <f t="array" ref="S9">INDEX(Oper_Model_Engineering,MATCH(S$1,Oper_Model_Months,0))</f>
        <v>281271.6667</v>
      </c>
      <c r="T9" s="74">
        <f t="array" ref="T9">INDEX(Oper_Model_Engineering,MATCH(T$1,Oper_Model_Months,0))</f>
        <v>281271.6667</v>
      </c>
      <c r="U9" s="74">
        <f t="array" ref="U9">INDEX(Oper_Model_Engineering,MATCH(U$1,Oper_Model_Months,0))</f>
        <v>298910</v>
      </c>
      <c r="V9" s="74">
        <f t="array" ref="V9">INDEX(Oper_Model_Engineering,MATCH(V$1,Oper_Model_Months,0))</f>
        <v>298910</v>
      </c>
      <c r="W9" s="74">
        <f t="array" ref="W9">INDEX(Oper_Model_Engineering,MATCH(W$1,Oper_Model_Months,0))</f>
        <v>298910</v>
      </c>
      <c r="X9" s="74">
        <f t="array" ref="X9">INDEX(Oper_Model_Engineering,MATCH(X$1,Oper_Model_Months,0))</f>
        <v>314947.5</v>
      </c>
      <c r="Y9" s="74">
        <f t="array" ref="Y9">INDEX(Oper_Model_Engineering,MATCH(Y$1,Oper_Model_Months,0))</f>
        <v>314947.5</v>
      </c>
      <c r="Z9" s="74">
        <f t="array" ref="Z9">INDEX(Oper_Model_Engineering,MATCH(Z$1,Oper_Model_Months,0))</f>
        <v>314947.5</v>
      </c>
    </row>
    <row r="10" ht="15.75" customHeight="1">
      <c r="B10" s="30" t="s">
        <v>9</v>
      </c>
      <c r="C10" s="74">
        <f t="array" ref="C10">INDEX(Oper_Model_Cost_of_Revenue,MATCH(C$1,Oper_Model_Months,0))</f>
        <v>144559</v>
      </c>
      <c r="D10" s="74">
        <f t="array" ref="D10">INDEX(Oper_Model_Cost_of_Revenue,MATCH(D$1,Oper_Model_Months,0))</f>
        <v>147471</v>
      </c>
      <c r="E10" s="74">
        <f t="array" ref="E10">INDEX(Oper_Model_Cost_of_Revenue,MATCH(E$1,Oper_Model_Months,0))</f>
        <v>146844</v>
      </c>
      <c r="F10" s="74">
        <f t="array" ref="F10">INDEX(Oper_Model_Cost_of_Revenue,MATCH(F$1,Oper_Model_Months,0))</f>
        <v>145771</v>
      </c>
      <c r="G10" s="74">
        <f t="array" ref="G10">INDEX(Oper_Model_Cost_of_Revenue,MATCH(G$1,Oper_Model_Months,0))</f>
        <v>143824.4064</v>
      </c>
      <c r="H10" s="74">
        <f t="array" ref="H10">INDEX(Oper_Model_Cost_of_Revenue,MATCH(H$1,Oper_Model_Months,0))</f>
        <v>143487.717</v>
      </c>
      <c r="I10" s="74">
        <f t="array" ref="I10">INDEX(Oper_Model_Cost_of_Revenue,MATCH(I$1,Oper_Model_Months,0))</f>
        <v>144204.0183</v>
      </c>
      <c r="J10" s="74">
        <f t="array" ref="J10">INDEX(Oper_Model_Cost_of_Revenue,MATCH(J$1,Oper_Model_Months,0))</f>
        <v>145159.5176</v>
      </c>
      <c r="K10" s="74">
        <f t="array" ref="K10">INDEX(Oper_Model_Cost_of_Revenue,MATCH(K$1,Oper_Model_Months,0))</f>
        <v>146711.0086</v>
      </c>
      <c r="L10" s="74">
        <f t="array" ref="L10">INDEX(Oper_Model_Cost_of_Revenue,MATCH(L$1,Oper_Model_Months,0))</f>
        <v>156508.7236</v>
      </c>
      <c r="M10" s="74">
        <f t="array" ref="M10">INDEX(Oper_Model_Cost_of_Revenue,MATCH(M$1,Oper_Model_Months,0))</f>
        <v>158173.4995</v>
      </c>
      <c r="N10" s="74">
        <f t="array" ref="N10">INDEX(Oper_Model_Cost_of_Revenue,MATCH(N$1,Oper_Model_Months,0))</f>
        <v>168439.8578</v>
      </c>
      <c r="O10" s="74">
        <f t="array" ref="O10">INDEX(Oper_Model_Cost_of_Revenue,MATCH(O$1,Oper_Model_Months,0))</f>
        <v>170191.6124</v>
      </c>
      <c r="P10" s="74">
        <f t="array" ref="P10">INDEX(Oper_Model_Cost_of_Revenue,MATCH(P$1,Oper_Model_Months,0))</f>
        <v>180086.2035</v>
      </c>
      <c r="Q10" s="74">
        <f t="array" ref="Q10">INDEX(Oper_Model_Cost_of_Revenue,MATCH(Q$1,Oper_Model_Months,0))</f>
        <v>181932.1156</v>
      </c>
      <c r="R10" s="74">
        <f t="array" ref="R10">INDEX(Oper_Model_Cost_of_Revenue,MATCH(R$1,Oper_Model_Months,0))</f>
        <v>183885.3584</v>
      </c>
      <c r="S10" s="74">
        <f t="array" ref="S10">INDEX(Oper_Model_Cost_of_Revenue,MATCH(S$1,Oper_Model_Months,0))</f>
        <v>185944.6843</v>
      </c>
      <c r="T10" s="74">
        <f t="array" ref="T10">INDEX(Oper_Model_Cost_of_Revenue,MATCH(T$1,Oper_Model_Months,0))</f>
        <v>187988.9773</v>
      </c>
      <c r="U10" s="74">
        <f t="array" ref="U10">INDEX(Oper_Model_Cost_of_Revenue,MATCH(U$1,Oper_Model_Months,0))</f>
        <v>190138.6373</v>
      </c>
      <c r="V10" s="74">
        <f t="array" ref="V10">INDEX(Oper_Model_Cost_of_Revenue,MATCH(V$1,Oper_Model_Months,0))</f>
        <v>192273.0502</v>
      </c>
      <c r="W10" s="74">
        <f t="array" ref="W10">INDEX(Oper_Model_Cost_of_Revenue,MATCH(W$1,Oper_Model_Months,0))</f>
        <v>194511.9236</v>
      </c>
      <c r="X10" s="74">
        <f t="array" ref="X10">INDEX(Oper_Model_Cost_of_Revenue,MATCH(X$1,Oper_Model_Months,0))</f>
        <v>196854.6067</v>
      </c>
      <c r="Y10" s="74">
        <f t="array" ref="Y10">INDEX(Oper_Model_Cost_of_Revenue,MATCH(Y$1,Oper_Model_Months,0))</f>
        <v>199180.6284</v>
      </c>
      <c r="Z10" s="74">
        <f t="array" ref="Z10">INDEX(Oper_Model_Cost_of_Revenue,MATCH(Z$1,Oper_Model_Months,0))</f>
        <v>201609.7886</v>
      </c>
    </row>
    <row r="11" ht="15.75" customHeight="1">
      <c r="C11" s="60"/>
      <c r="D11" s="60"/>
      <c r="E11" s="60"/>
      <c r="F11" s="60"/>
      <c r="G11" s="60"/>
      <c r="H11" s="60"/>
      <c r="I11" s="60"/>
      <c r="J11" s="60"/>
      <c r="K11" s="60"/>
      <c r="L11" s="60"/>
      <c r="M11" s="60"/>
      <c r="N11" s="60"/>
      <c r="O11" s="60"/>
      <c r="P11" s="60"/>
      <c r="Q11" s="60"/>
      <c r="R11" s="60"/>
      <c r="S11" s="60"/>
      <c r="T11" s="60"/>
      <c r="U11" s="60"/>
      <c r="V11" s="60"/>
      <c r="W11" s="60"/>
      <c r="X11" s="60"/>
      <c r="Y11" s="60"/>
      <c r="Z11" s="60"/>
    </row>
    <row r="12" ht="15.75" customHeight="1">
      <c r="B12" s="1" t="s">
        <v>2</v>
      </c>
      <c r="C12" s="74">
        <f t="array" ref="C12">INDEX(Oper_Model_Bank_Accounts,MATCH(C$1,Oper_Model_Months,0))</f>
        <v>281579</v>
      </c>
      <c r="D12" s="74">
        <f t="array" ref="D12">INDEX(Oper_Model_Bank_Accounts,MATCH(D$1,Oper_Model_Months,0))</f>
        <v>255410</v>
      </c>
      <c r="E12" s="74">
        <f t="array" ref="E12">INDEX(Oper_Model_Bank_Accounts,MATCH(E$1,Oper_Model_Months,0))</f>
        <v>263817.19</v>
      </c>
      <c r="F12" s="74">
        <f t="array" ref="F12">INDEX(Oper_Model_Bank_Accounts,MATCH(F$1,Oper_Model_Months,0))</f>
        <v>263700.19</v>
      </c>
      <c r="G12" s="60"/>
      <c r="H12" s="60"/>
      <c r="I12" s="60"/>
      <c r="J12" s="60"/>
      <c r="K12" s="60"/>
      <c r="L12" s="60"/>
      <c r="M12" s="60"/>
      <c r="N12" s="60"/>
      <c r="O12" s="60"/>
      <c r="P12" s="60"/>
      <c r="Q12" s="60"/>
      <c r="R12" s="60"/>
      <c r="S12" s="60"/>
      <c r="T12" s="60"/>
      <c r="U12" s="60"/>
      <c r="V12" s="60"/>
      <c r="W12" s="60"/>
      <c r="X12" s="60"/>
      <c r="Y12" s="60"/>
      <c r="Z12" s="60"/>
    </row>
    <row r="13" ht="15.75" customHeight="1">
      <c r="B13" s="1" t="s">
        <v>72</v>
      </c>
      <c r="C13" s="60"/>
      <c r="D13" s="60"/>
      <c r="E13" s="60"/>
      <c r="F13" s="74">
        <f t="array" ref="F13">INDEX(Oper_Model_Bank_Accounts,MATCH(F$1,Oper_Model_Months,0))</f>
        <v>263700.19</v>
      </c>
      <c r="G13" s="74" t="str">
        <f t="array" ref="G13">INDEX(Oper_Model_Bank_Accounts,MATCH(G$1,Oper_Model_Months,0))</f>
        <v>#NAME?</v>
      </c>
      <c r="H13" s="74" t="str">
        <f t="array" ref="H13">INDEX(Oper_Model_Bank_Accounts,MATCH(H$1,Oper_Model_Months,0))</f>
        <v>#NAME?</v>
      </c>
      <c r="I13" s="74" t="str">
        <f t="array" ref="I13">INDEX(Oper_Model_Bank_Accounts,MATCH(I$1,Oper_Model_Months,0))</f>
        <v>#NAME?</v>
      </c>
      <c r="J13" s="74" t="str">
        <f t="array" ref="J13">INDEX(Oper_Model_Bank_Accounts,MATCH(J$1,Oper_Model_Months,0))</f>
        <v>#NAME?</v>
      </c>
      <c r="K13" s="74" t="str">
        <f t="array" ref="K13">INDEX(Oper_Model_Bank_Accounts,MATCH(K$1,Oper_Model_Months,0))</f>
        <v>#NAME?</v>
      </c>
      <c r="L13" s="74" t="str">
        <f t="array" ref="L13">INDEX(Oper_Model_Bank_Accounts,MATCH(L$1,Oper_Model_Months,0))</f>
        <v>#NAME?</v>
      </c>
      <c r="M13" s="74" t="str">
        <f t="array" ref="M13">INDEX(Oper_Model_Bank_Accounts,MATCH(M$1,Oper_Model_Months,0))</f>
        <v>#NAME?</v>
      </c>
      <c r="N13" s="74" t="str">
        <f t="array" ref="N13">INDEX(Oper_Model_Bank_Accounts,MATCH(N$1,Oper_Model_Months,0))</f>
        <v>#NAME?</v>
      </c>
      <c r="O13" s="74" t="str">
        <f t="array" ref="O13">INDEX(Oper_Model_Bank_Accounts,MATCH(O$1,Oper_Model_Months,0))</f>
        <v>#NAME?</v>
      </c>
      <c r="P13" s="74" t="str">
        <f t="array" ref="P13">INDEX(Oper_Model_Bank_Accounts,MATCH(P$1,Oper_Model_Months,0))</f>
        <v>#NAME?</v>
      </c>
      <c r="Q13" s="74" t="str">
        <f t="array" ref="Q13">INDEX(Oper_Model_Bank_Accounts,MATCH(Q$1,Oper_Model_Months,0))</f>
        <v>#NAME?</v>
      </c>
      <c r="R13" s="74" t="str">
        <f t="array" ref="R13">INDEX(Oper_Model_Bank_Accounts,MATCH(R$1,Oper_Model_Months,0))</f>
        <v>#NAME?</v>
      </c>
      <c r="S13" s="74" t="str">
        <f t="array" ref="S13">INDEX(Oper_Model_Bank_Accounts,MATCH(S$1,Oper_Model_Months,0))</f>
        <v>#NAME?</v>
      </c>
      <c r="T13" s="74" t="str">
        <f t="array" ref="T13">INDEX(Oper_Model_Bank_Accounts,MATCH(T$1,Oper_Model_Months,0))</f>
        <v>#NAME?</v>
      </c>
      <c r="U13" s="74" t="str">
        <f t="array" ref="U13">INDEX(Oper_Model_Bank_Accounts,MATCH(U$1,Oper_Model_Months,0))</f>
        <v>#NAME?</v>
      </c>
      <c r="V13" s="74" t="str">
        <f t="array" ref="V13">INDEX(Oper_Model_Bank_Accounts,MATCH(V$1,Oper_Model_Months,0))</f>
        <v>#NAME?</v>
      </c>
      <c r="W13" s="74" t="str">
        <f t="array" ref="W13">INDEX(Oper_Model_Bank_Accounts,MATCH(W$1,Oper_Model_Months,0))</f>
        <v>#NAME?</v>
      </c>
      <c r="X13" s="74" t="str">
        <f t="array" ref="X13">INDEX(Oper_Model_Bank_Accounts,MATCH(X$1,Oper_Model_Months,0))</f>
        <v>#NAME?</v>
      </c>
      <c r="Y13" s="74" t="str">
        <f t="array" ref="Y13">INDEX(Oper_Model_Bank_Accounts,MATCH(Y$1,Oper_Model_Months,0))</f>
        <v>#NAME?</v>
      </c>
      <c r="Z13" s="74" t="str">
        <f t="array" ref="Z13">INDEX(Oper_Model_Bank_Accounts,MATCH(Z$1,Oper_Model_Months,0))</f>
        <v>#NAME?</v>
      </c>
    </row>
    <row r="14" ht="15.75" customHeight="1">
      <c r="B14" s="1" t="s">
        <v>74</v>
      </c>
      <c r="C14" s="60"/>
      <c r="D14" s="60"/>
      <c r="E14" s="60"/>
      <c r="F14" s="74">
        <f t="array" ref="F14">INDEX(Oper_Model_Bank_Accounts_Worst_Case,MATCH(F$1,Oper_Model_Months_Worst_Case,0))</f>
        <v>263700.19</v>
      </c>
      <c r="G14" s="74" t="str">
        <f t="array" ref="G14">INDEX(Oper_Model_Bank_Accounts_Worst_Case,MATCH(G$1,Oper_Model_Months_Worst_Case,0))</f>
        <v>#NAME?</v>
      </c>
      <c r="H14" s="74" t="str">
        <f t="array" ref="H14">INDEX(Oper_Model_Bank_Accounts_Worst_Case,MATCH(H$1,Oper_Model_Months_Worst_Case,0))</f>
        <v>#NAME?</v>
      </c>
      <c r="I14" s="74" t="str">
        <f t="array" ref="I14">INDEX(Oper_Model_Bank_Accounts_Worst_Case,MATCH(I$1,Oper_Model_Months_Worst_Case,0))</f>
        <v>#NAME?</v>
      </c>
      <c r="J14" s="74" t="str">
        <f t="array" ref="J14">INDEX(Oper_Model_Bank_Accounts_Worst_Case,MATCH(J$1,Oper_Model_Months_Worst_Case,0))</f>
        <v>#NAME?</v>
      </c>
      <c r="K14" s="74" t="str">
        <f t="array" ref="K14">INDEX(Oper_Model_Bank_Accounts_Worst_Case,MATCH(K$1,Oper_Model_Months_Worst_Case,0))</f>
        <v>#NAME?</v>
      </c>
      <c r="L14" s="74" t="str">
        <f t="array" ref="L14">INDEX(Oper_Model_Bank_Accounts_Worst_Case,MATCH(L$1,Oper_Model_Months_Worst_Case,0))</f>
        <v>#NAME?</v>
      </c>
      <c r="M14" s="74" t="str">
        <f t="array" ref="M14">INDEX(Oper_Model_Bank_Accounts_Worst_Case,MATCH(M$1,Oper_Model_Months_Worst_Case,0))</f>
        <v>#NAME?</v>
      </c>
      <c r="N14" s="74" t="str">
        <f t="array" ref="N14">INDEX(Oper_Model_Bank_Accounts_Worst_Case,MATCH(N$1,Oper_Model_Months_Worst_Case,0))</f>
        <v>#NAME?</v>
      </c>
      <c r="O14" s="74" t="str">
        <f t="array" ref="O14">INDEX(Oper_Model_Bank_Accounts_Worst_Case,MATCH(O$1,Oper_Model_Months_Worst_Case,0))</f>
        <v>#NAME?</v>
      </c>
      <c r="P14" s="74" t="str">
        <f t="array" ref="P14">INDEX(Oper_Model_Bank_Accounts_Worst_Case,MATCH(P$1,Oper_Model_Months_Worst_Case,0))</f>
        <v>#NAME?</v>
      </c>
      <c r="Q14" s="74" t="str">
        <f t="array" ref="Q14">INDEX(Oper_Model_Bank_Accounts_Worst_Case,MATCH(Q$1,Oper_Model_Months_Worst_Case,0))</f>
        <v>#NAME?</v>
      </c>
      <c r="R14" s="74" t="str">
        <f t="array" ref="R14">INDEX(Oper_Model_Bank_Accounts_Worst_Case,MATCH(R$1,Oper_Model_Months_Worst_Case,0))</f>
        <v>#NAME?</v>
      </c>
      <c r="S14" s="74" t="str">
        <f t="array" ref="S14">INDEX(Oper_Model_Bank_Accounts_Worst_Case,MATCH(S$1,Oper_Model_Months_Worst_Case,0))</f>
        <v>#NAME?</v>
      </c>
      <c r="T14" s="74" t="str">
        <f t="array" ref="T14">INDEX(Oper_Model_Bank_Accounts_Worst_Case,MATCH(T$1,Oper_Model_Months_Worst_Case,0))</f>
        <v>#NAME?</v>
      </c>
      <c r="U14" s="74" t="str">
        <f t="array" ref="U14">INDEX(Oper_Model_Bank_Accounts_Worst_Case,MATCH(U$1,Oper_Model_Months_Worst_Case,0))</f>
        <v>#NAME?</v>
      </c>
      <c r="V14" s="74" t="str">
        <f t="array" ref="V14">INDEX(Oper_Model_Bank_Accounts_Worst_Case,MATCH(V$1,Oper_Model_Months_Worst_Case,0))</f>
        <v>#NAME?</v>
      </c>
      <c r="W14" s="74" t="str">
        <f t="array" ref="W14">INDEX(Oper_Model_Bank_Accounts_Worst_Case,MATCH(W$1,Oper_Model_Months_Worst_Case,0))</f>
        <v>#NAME?</v>
      </c>
      <c r="X14" s="74" t="str">
        <f t="array" ref="X14">INDEX(Oper_Model_Bank_Accounts_Worst_Case,MATCH(X$1,Oper_Model_Months_Worst_Case,0))</f>
        <v>#NAME?</v>
      </c>
      <c r="Y14" s="74" t="str">
        <f t="array" ref="Y14">INDEX(Oper_Model_Bank_Accounts_Worst_Case,MATCH(Y$1,Oper_Model_Months_Worst_Case,0))</f>
        <v>#NAME?</v>
      </c>
      <c r="Z14" s="74" t="str">
        <f t="array" ref="Z14">INDEX(Oper_Model_Bank_Accounts_Worst_Case,MATCH(Z$1,Oper_Model_Months_Worst_Case,0))</f>
        <v>#NAME?</v>
      </c>
    </row>
    <row r="15" ht="15.75" customHeight="1">
      <c r="B15" s="1" t="s">
        <v>1</v>
      </c>
      <c r="C15" s="74">
        <f t="array" ref="C15">INDEX(Oper_Model_Bank_Accounts_2020_Target,MATCH(C$1,Oper_Model_Months_2020_Target,0))</f>
        <v>181284.2501</v>
      </c>
      <c r="D15" s="74">
        <f t="array" ref="D15">INDEX(Oper_Model_Bank_Accounts_2020_Target,MATCH(D$1,Oper_Model_Months_2020_Target,0))</f>
        <v>258722.645</v>
      </c>
      <c r="E15" s="74">
        <f t="array" ref="E15">INDEX(Oper_Model_Bank_Accounts_2020_Target,MATCH(E$1,Oper_Model_Months_2020_Target,0))</f>
        <v>220739.8221</v>
      </c>
      <c r="F15" s="74">
        <f t="array" ref="F15">INDEX(Oper_Model_Bank_Accounts_2020_Target,MATCH(F$1,Oper_Model_Months_2020_Target,0))</f>
        <v>243356.6255</v>
      </c>
      <c r="G15" s="74">
        <f t="array" ref="G15">INDEX(Oper_Model_Bank_Accounts_2020_Target,MATCH(G$1,Oper_Model_Months_2020_Target,0))</f>
        <v>269751.6211</v>
      </c>
      <c r="H15" s="74">
        <f t="array" ref="H15">INDEX(Oper_Model_Bank_Accounts_2020_Target,MATCH(H$1,Oper_Model_Months_2020_Target,0))</f>
        <v>312554.9697</v>
      </c>
      <c r="I15" s="74">
        <f t="array" ref="I15">INDEX(Oper_Model_Bank_Accounts_2020_Target,MATCH(I$1,Oper_Model_Months_2020_Target,0))</f>
        <v>359450.5362</v>
      </c>
      <c r="J15" s="74">
        <f t="array" ref="J15">INDEX(Oper_Model_Bank_Accounts_2020_Target,MATCH(J$1,Oper_Model_Months_2020_Target,0))</f>
        <v>410155.026</v>
      </c>
      <c r="K15" s="74">
        <f t="array" ref="K15">INDEX(Oper_Model_Bank_Accounts_2020_Target,MATCH(K$1,Oper_Model_Months_2020_Target,0))</f>
        <v>464385.5709</v>
      </c>
      <c r="L15" s="74">
        <f t="array" ref="L15">INDEX(Oper_Model_Bank_Accounts_2020_Target,MATCH(L$1,Oper_Model_Months_2020_Target,0))</f>
        <v>557858.6988</v>
      </c>
      <c r="M15" s="74">
        <f t="array" ref="M15">INDEX(Oper_Model_Bank_Accounts_2020_Target,MATCH(M$1,Oper_Model_Months_2020_Target,0))</f>
        <v>690301.9274</v>
      </c>
      <c r="N15" s="74">
        <f t="array" ref="N15">INDEX(Oper_Model_Bank_Accounts_2020_Target,MATCH(N$1,Oper_Model_Months_2020_Target,0))</f>
        <v>861446.1036</v>
      </c>
      <c r="O15" s="74">
        <f t="array" ref="O15">INDEX(Oper_Model_Bank_Accounts_2020_Target,MATCH(O$1,Oper_Model_Months_2020_Target,0))</f>
        <v>1083908.878</v>
      </c>
      <c r="P15" s="74">
        <f t="array" ref="P15">INDEX(Oper_Model_Bank_Accounts_2020_Target,MATCH(P$1,Oper_Model_Months_2020_Target,0))</f>
        <v>1345401.585</v>
      </c>
      <c r="Q15" s="74">
        <f t="array" ref="Q15">INDEX(Oper_Model_Bank_Accounts_2020_Target,MATCH(Q$1,Oper_Model_Months_2020_Target,0))</f>
        <v>1609640.488</v>
      </c>
      <c r="R15" s="74">
        <f t="array" ref="R15">INDEX(Oper_Model_Bank_Accounts_2020_Target,MATCH(R$1,Oper_Model_Months_2020_Target,0))</f>
        <v>1876347.14</v>
      </c>
      <c r="S15" s="74">
        <f t="array" ref="S15">INDEX(Oper_Model_Bank_Accounts_2020_Target,MATCH(S$1,Oper_Model_Months_2020_Target,0))</f>
        <v>2145248.522</v>
      </c>
      <c r="T15" s="74">
        <f t="array" ref="T15">INDEX(Oper_Model_Bank_Accounts_2020_Target,MATCH(T$1,Oper_Model_Months_2020_Target,0))</f>
        <v>2428076.627</v>
      </c>
      <c r="U15" s="74">
        <f t="array" ref="U15">INDEX(Oper_Model_Bank_Accounts_2020_Target,MATCH(U$1,Oper_Model_Months_2020_Target,0))</f>
        <v>2725450.971</v>
      </c>
      <c r="V15" s="74">
        <f t="array" ref="V15">INDEX(Oper_Model_Bank_Accounts_2020_Target,MATCH(V$1,Oper_Model_Months_2020_Target,0))</f>
        <v>3025083.649</v>
      </c>
      <c r="W15" s="74">
        <f t="array" ref="W15">INDEX(Oper_Model_Bank_Accounts_2020_Target,MATCH(W$1,Oper_Model_Months_2020_Target,0))</f>
        <v>3326692.14</v>
      </c>
      <c r="X15" s="74">
        <f t="array" ref="X15">INDEX(Oper_Model_Bank_Accounts_2020_Target,MATCH(X$1,Oper_Model_Months_2020_Target,0))</f>
        <v>3665999.236</v>
      </c>
      <c r="Y15" s="74">
        <f t="array" ref="Y15">INDEX(Oper_Model_Bank_Accounts_2020_Target,MATCH(Y$1,Oper_Model_Months_2020_Target,0))</f>
        <v>4042732.945</v>
      </c>
      <c r="Z15" s="74">
        <f t="array" ref="Z15">INDEX(Oper_Model_Bank_Accounts_2020_Target,MATCH(Z$1,Oper_Model_Months_2020_Target,0))</f>
        <v>4469508.852</v>
      </c>
    </row>
    <row r="16" ht="15.75" customHeight="1">
      <c r="B16" s="38"/>
      <c r="C16" s="38"/>
      <c r="D16" s="38"/>
      <c r="E16" s="38"/>
      <c r="F16" s="38"/>
      <c r="G16" s="38"/>
      <c r="H16" s="38"/>
      <c r="I16" s="38"/>
      <c r="J16" s="38"/>
      <c r="K16" s="38"/>
      <c r="L16" s="38"/>
      <c r="M16" s="38"/>
      <c r="N16" s="38"/>
      <c r="O16" s="38"/>
      <c r="P16" s="38"/>
      <c r="Q16" s="38"/>
      <c r="R16" s="38"/>
      <c r="S16" s="38"/>
      <c r="T16" s="38"/>
      <c r="U16" s="38"/>
      <c r="V16" s="38"/>
      <c r="W16" s="38"/>
      <c r="X16" s="38"/>
      <c r="Y16" s="38"/>
      <c r="Z16" s="38"/>
    </row>
    <row r="17" ht="15.75" customHeight="1">
      <c r="B17" s="38"/>
      <c r="C17" s="38"/>
      <c r="D17" s="38"/>
      <c r="E17" s="38"/>
      <c r="F17" s="38"/>
      <c r="G17" s="38"/>
      <c r="H17" s="38"/>
      <c r="I17" s="38"/>
      <c r="J17" s="38"/>
      <c r="K17" s="38"/>
      <c r="L17" s="38"/>
      <c r="M17" s="38"/>
      <c r="N17" s="38"/>
      <c r="O17" s="38"/>
      <c r="P17" s="38"/>
      <c r="Q17" s="38"/>
      <c r="R17" s="38"/>
      <c r="S17" s="38"/>
      <c r="T17" s="38"/>
      <c r="U17" s="38"/>
      <c r="V17" s="38"/>
      <c r="W17" s="38"/>
      <c r="X17" s="38"/>
      <c r="Y17" s="38"/>
      <c r="Z17" s="38"/>
    </row>
    <row r="18" ht="15.75" customHeight="1"/>
    <row r="19" ht="15.75" customHeight="1"/>
    <row r="20" ht="15.75" customHeight="1"/>
    <row r="21" ht="15.75" customHeight="1">
      <c r="B21" s="30" t="s">
        <v>79</v>
      </c>
      <c r="C21" s="74">
        <f t="array" ref="C21">INDEX(Oper_Model_Financing_Activities,MATCH(C$1,Oper_Model_Months,0))</f>
        <v>0</v>
      </c>
      <c r="D21" s="74">
        <f t="array" ref="D21">INDEX(Oper_Model_Financing_Activities,MATCH(D$1,Oper_Model_Months,0))</f>
        <v>0</v>
      </c>
      <c r="E21" s="74">
        <f t="array" ref="E21">INDEX(Oper_Model_Financing_Activities,MATCH(E$1,Oper_Model_Months,0))</f>
        <v>0</v>
      </c>
      <c r="F21" s="74">
        <f t="array" ref="F21">INDEX(Oper_Model_Financing_Activities,MATCH(F$1,Oper_Model_Months,0))</f>
        <v>0</v>
      </c>
      <c r="G21" s="74" t="str">
        <f t="array" ref="G21">INDEX(Oper_Model_Financing_Activities,MATCH(G$1,Oper_Model_Months,0))</f>
        <v>#NAME?</v>
      </c>
      <c r="H21" s="74" t="str">
        <f t="array" ref="H21">INDEX(Oper_Model_Financing_Activities,MATCH(H$1,Oper_Model_Months,0))</f>
        <v>#NAME?</v>
      </c>
      <c r="I21" s="74" t="str">
        <f t="array" ref="I21">INDEX(Oper_Model_Financing_Activities,MATCH(I$1,Oper_Model_Months,0))</f>
        <v>#NAME?</v>
      </c>
      <c r="J21" s="74" t="str">
        <f t="array" ref="J21">INDEX(Oper_Model_Financing_Activities,MATCH(J$1,Oper_Model_Months,0))</f>
        <v>#NAME?</v>
      </c>
      <c r="K21" s="74" t="str">
        <f t="array" ref="K21">INDEX(Oper_Model_Financing_Activities,MATCH(K$1,Oper_Model_Months,0))</f>
        <v>#NAME?</v>
      </c>
      <c r="L21" s="74" t="str">
        <f t="array" ref="L21">INDEX(Oper_Model_Financing_Activities,MATCH(L$1,Oper_Model_Months,0))</f>
        <v>#NAME?</v>
      </c>
      <c r="M21" s="74" t="str">
        <f t="array" ref="M21">INDEX(Oper_Model_Financing_Activities,MATCH(M$1,Oper_Model_Months,0))</f>
        <v>#NAME?</v>
      </c>
      <c r="N21" s="74" t="str">
        <f t="array" ref="N21">INDEX(Oper_Model_Financing_Activities,MATCH(N$1,Oper_Model_Months,0))</f>
        <v>#NAME?</v>
      </c>
      <c r="O21" s="74" t="str">
        <f t="array" ref="O21">INDEX(Oper_Model_Financing_Activities,MATCH(O$1,Oper_Model_Months,0))</f>
        <v>#NAME?</v>
      </c>
      <c r="P21" s="74" t="str">
        <f t="array" ref="P21">INDEX(Oper_Model_Financing_Activities,MATCH(P$1,Oper_Model_Months,0))</f>
        <v>#NAME?</v>
      </c>
      <c r="Q21" s="74" t="str">
        <f t="array" ref="Q21">INDEX(Oper_Model_Financing_Activities,MATCH(Q$1,Oper_Model_Months,0))</f>
        <v>#NAME?</v>
      </c>
      <c r="R21" s="74" t="str">
        <f t="array" ref="R21">INDEX(Oper_Model_Financing_Activities,MATCH(R$1,Oper_Model_Months,0))</f>
        <v>#NAME?</v>
      </c>
      <c r="S21" s="74" t="str">
        <f t="array" ref="S21">INDEX(Oper_Model_Financing_Activities,MATCH(S$1,Oper_Model_Months,0))</f>
        <v>#NAME?</v>
      </c>
      <c r="T21" s="74" t="str">
        <f t="array" ref="T21">INDEX(Oper_Model_Financing_Activities,MATCH(T$1,Oper_Model_Months,0))</f>
        <v>#NAME?</v>
      </c>
      <c r="U21" s="74" t="str">
        <f t="array" ref="U21">INDEX(Oper_Model_Financing_Activities,MATCH(U$1,Oper_Model_Months,0))</f>
        <v>#NAME?</v>
      </c>
      <c r="V21" s="74" t="str">
        <f t="array" ref="V21">INDEX(Oper_Model_Financing_Activities,MATCH(V$1,Oper_Model_Months,0))</f>
        <v>#NAME?</v>
      </c>
      <c r="W21" s="74" t="str">
        <f t="array" ref="W21">INDEX(Oper_Model_Financing_Activities,MATCH(W$1,Oper_Model_Months,0))</f>
        <v>#NAME?</v>
      </c>
      <c r="X21" s="74" t="str">
        <f t="array" ref="X21">INDEX(Oper_Model_Financing_Activities,MATCH(X$1,Oper_Model_Months,0))</f>
        <v>#NAME?</v>
      </c>
      <c r="Y21" s="74" t="str">
        <f t="array" ref="Y21">INDEX(Oper_Model_Financing_Activities,MATCH(Y$1,Oper_Model_Months,0))</f>
        <v>#NAME?</v>
      </c>
      <c r="Z21" s="74" t="str">
        <f t="array" ref="Z21">INDEX(Oper_Model_Financing_Activities,MATCH(Z$1,Oper_Model_Months,0))</f>
        <v>#NAME?</v>
      </c>
    </row>
    <row r="22" ht="15.75" customHeight="1">
      <c r="B22" s="30" t="s">
        <v>80</v>
      </c>
      <c r="C22" s="74">
        <f t="array" ref="C22">INDEX(Oper_Model_Investing_Activities,MATCH(C$1,Oper_Model_Months,0))</f>
        <v>0</v>
      </c>
      <c r="D22" s="74">
        <f t="array" ref="D22">INDEX(Oper_Model_Investing_Activities,MATCH(D$1,Oper_Model_Months,0))</f>
        <v>0</v>
      </c>
      <c r="E22" s="74">
        <f t="array" ref="E22">INDEX(Oper_Model_Investing_Activities,MATCH(E$1,Oper_Model_Months,0))</f>
        <v>0</v>
      </c>
      <c r="F22" s="74">
        <f t="array" ref="F22">INDEX(Oper_Model_Investing_Activities,MATCH(F$1,Oper_Model_Months,0))</f>
        <v>0</v>
      </c>
      <c r="G22" s="74">
        <f t="array" ref="G22">INDEX(Oper_Model_Investing_Activities,MATCH(G$1,Oper_Model_Months,0))</f>
        <v>0</v>
      </c>
      <c r="H22" s="74">
        <f t="array" ref="H22">INDEX(Oper_Model_Investing_Activities,MATCH(H$1,Oper_Model_Months,0))</f>
        <v>0</v>
      </c>
      <c r="I22" s="74">
        <f t="array" ref="I22">INDEX(Oper_Model_Investing_Activities,MATCH(I$1,Oper_Model_Months,0))</f>
        <v>0</v>
      </c>
      <c r="J22" s="74">
        <f t="array" ref="J22">INDEX(Oper_Model_Investing_Activities,MATCH(J$1,Oper_Model_Months,0))</f>
        <v>0</v>
      </c>
      <c r="K22" s="74">
        <f t="array" ref="K22">INDEX(Oper_Model_Investing_Activities,MATCH(K$1,Oper_Model_Months,0))</f>
        <v>0</v>
      </c>
      <c r="L22" s="74">
        <f t="array" ref="L22">INDEX(Oper_Model_Investing_Activities,MATCH(L$1,Oper_Model_Months,0))</f>
        <v>0</v>
      </c>
      <c r="M22" s="74">
        <f t="array" ref="M22">INDEX(Oper_Model_Investing_Activities,MATCH(M$1,Oper_Model_Months,0))</f>
        <v>0</v>
      </c>
      <c r="N22" s="74">
        <f t="array" ref="N22">INDEX(Oper_Model_Investing_Activities,MATCH(N$1,Oper_Model_Months,0))</f>
        <v>0</v>
      </c>
      <c r="O22" s="74">
        <f t="array" ref="O22">INDEX(Oper_Model_Investing_Activities,MATCH(O$1,Oper_Model_Months,0))</f>
        <v>0</v>
      </c>
      <c r="P22" s="74">
        <f t="array" ref="P22">INDEX(Oper_Model_Investing_Activities,MATCH(P$1,Oper_Model_Months,0))</f>
        <v>0</v>
      </c>
      <c r="Q22" s="74">
        <f t="array" ref="Q22">INDEX(Oper_Model_Investing_Activities,MATCH(Q$1,Oper_Model_Months,0))</f>
        <v>0</v>
      </c>
      <c r="R22" s="74">
        <f t="array" ref="R22">INDEX(Oper_Model_Investing_Activities,MATCH(R$1,Oper_Model_Months,0))</f>
        <v>0</v>
      </c>
      <c r="S22" s="74">
        <f t="array" ref="S22">INDEX(Oper_Model_Investing_Activities,MATCH(S$1,Oper_Model_Months,0))</f>
        <v>0</v>
      </c>
      <c r="T22" s="74">
        <f t="array" ref="T22">INDEX(Oper_Model_Investing_Activities,MATCH(T$1,Oper_Model_Months,0))</f>
        <v>0</v>
      </c>
      <c r="U22" s="74">
        <f t="array" ref="U22">INDEX(Oper_Model_Investing_Activities,MATCH(U$1,Oper_Model_Months,0))</f>
        <v>0</v>
      </c>
      <c r="V22" s="74">
        <f t="array" ref="V22">INDEX(Oper_Model_Investing_Activities,MATCH(V$1,Oper_Model_Months,0))</f>
        <v>0</v>
      </c>
      <c r="W22" s="74">
        <f t="array" ref="W22">INDEX(Oper_Model_Investing_Activities,MATCH(W$1,Oper_Model_Months,0))</f>
        <v>0</v>
      </c>
      <c r="X22" s="74">
        <f t="array" ref="X22">INDEX(Oper_Model_Investing_Activities,MATCH(X$1,Oper_Model_Months,0))</f>
        <v>0</v>
      </c>
      <c r="Y22" s="74">
        <f t="array" ref="Y22">INDEX(Oper_Model_Investing_Activities,MATCH(Y$1,Oper_Model_Months,0))</f>
        <v>0</v>
      </c>
      <c r="Z22" s="74">
        <f t="array" ref="Z22">INDEX(Oper_Model_Investing_Activities,MATCH(Z$1,Oper_Model_Months,0))</f>
        <v>0</v>
      </c>
    </row>
    <row r="23" ht="15.75" customHeight="1">
      <c r="B23" s="30" t="s">
        <v>81</v>
      </c>
      <c r="C23" s="74">
        <f t="array" ref="C23">INDEX(Oper_Model_Operating_Activities,MATCH(C$1,Oper_Model_Months,0))</f>
        <v>-13824</v>
      </c>
      <c r="D23" s="74">
        <f t="array" ref="D23">INDEX(Oper_Model_Operating_Activities,MATCH(D$1,Oper_Model_Months,0))</f>
        <v>-26169</v>
      </c>
      <c r="E23" s="74">
        <f t="array" ref="E23">INDEX(Oper_Model_Operating_Activities,MATCH(E$1,Oper_Model_Months,0))</f>
        <v>8407.19</v>
      </c>
      <c r="F23" s="74">
        <f t="array" ref="F23">INDEX(Oper_Model_Operating_Activities,MATCH(F$1,Oper_Model_Months,0))</f>
        <v>-117</v>
      </c>
      <c r="G23" s="74" t="str">
        <f t="array" ref="G23">INDEX(Oper_Model_Operating_Activities,MATCH(G$1,Oper_Model_Months,0))</f>
        <v>#NAME?</v>
      </c>
      <c r="H23" s="74" t="str">
        <f t="array" ref="H23">INDEX(Oper_Model_Operating_Activities,MATCH(H$1,Oper_Model_Months,0))</f>
        <v>#NAME?</v>
      </c>
      <c r="I23" s="74" t="str">
        <f t="array" ref="I23">INDEX(Oper_Model_Operating_Activities,MATCH(I$1,Oper_Model_Months,0))</f>
        <v>#NAME?</v>
      </c>
      <c r="J23" s="74" t="str">
        <f t="array" ref="J23">INDEX(Oper_Model_Operating_Activities,MATCH(J$1,Oper_Model_Months,0))</f>
        <v>#NAME?</v>
      </c>
      <c r="K23" s="74" t="str">
        <f t="array" ref="K23">INDEX(Oper_Model_Operating_Activities,MATCH(K$1,Oper_Model_Months,0))</f>
        <v>#NAME?</v>
      </c>
      <c r="L23" s="74" t="str">
        <f t="array" ref="L23">INDEX(Oper_Model_Operating_Activities,MATCH(L$1,Oper_Model_Months,0))</f>
        <v>#NAME?</v>
      </c>
      <c r="M23" s="74" t="str">
        <f t="array" ref="M23">INDEX(Oper_Model_Operating_Activities,MATCH(M$1,Oper_Model_Months,0))</f>
        <v>#NAME?</v>
      </c>
      <c r="N23" s="74" t="str">
        <f t="array" ref="N23">INDEX(Oper_Model_Operating_Activities,MATCH(N$1,Oper_Model_Months,0))</f>
        <v>#NAME?</v>
      </c>
      <c r="O23" s="74" t="str">
        <f t="array" ref="O23">INDEX(Oper_Model_Operating_Activities,MATCH(O$1,Oper_Model_Months,0))</f>
        <v>#NAME?</v>
      </c>
      <c r="P23" s="74" t="str">
        <f t="array" ref="P23">INDEX(Oper_Model_Operating_Activities,MATCH(P$1,Oper_Model_Months,0))</f>
        <v>#NAME?</v>
      </c>
      <c r="Q23" s="74" t="str">
        <f t="array" ref="Q23">INDEX(Oper_Model_Operating_Activities,MATCH(Q$1,Oper_Model_Months,0))</f>
        <v>#NAME?</v>
      </c>
      <c r="R23" s="74" t="str">
        <f t="array" ref="R23">INDEX(Oper_Model_Operating_Activities,MATCH(R$1,Oper_Model_Months,0))</f>
        <v>#NAME?</v>
      </c>
      <c r="S23" s="74" t="str">
        <f t="array" ref="S23">INDEX(Oper_Model_Operating_Activities,MATCH(S$1,Oper_Model_Months,0))</f>
        <v>#NAME?</v>
      </c>
      <c r="T23" s="74" t="str">
        <f t="array" ref="T23">INDEX(Oper_Model_Operating_Activities,MATCH(T$1,Oper_Model_Months,0))</f>
        <v>#NAME?</v>
      </c>
      <c r="U23" s="74" t="str">
        <f t="array" ref="U23">INDEX(Oper_Model_Operating_Activities,MATCH(U$1,Oper_Model_Months,0))</f>
        <v>#NAME?</v>
      </c>
      <c r="V23" s="74" t="str">
        <f t="array" ref="V23">INDEX(Oper_Model_Operating_Activities,MATCH(V$1,Oper_Model_Months,0))</f>
        <v>#NAME?</v>
      </c>
      <c r="W23" s="74" t="str">
        <f t="array" ref="W23">INDEX(Oper_Model_Operating_Activities,MATCH(W$1,Oper_Model_Months,0))</f>
        <v>#NAME?</v>
      </c>
      <c r="X23" s="74" t="str">
        <f t="array" ref="X23">INDEX(Oper_Model_Operating_Activities,MATCH(X$1,Oper_Model_Months,0))</f>
        <v>#NAME?</v>
      </c>
      <c r="Y23" s="74" t="str">
        <f t="array" ref="Y23">INDEX(Oper_Model_Operating_Activities,MATCH(Y$1,Oper_Model_Months,0))</f>
        <v>#NAME?</v>
      </c>
      <c r="Z23" s="74" t="str">
        <f t="array" ref="Z23">INDEX(Oper_Model_Operating_Activities,MATCH(Z$1,Oper_Model_Months,0))</f>
        <v>#NAME?</v>
      </c>
    </row>
    <row r="24" ht="15.75" customHeight="1">
      <c r="B24" s="30" t="s">
        <v>82</v>
      </c>
      <c r="C24" s="74">
        <f t="array" ref="C24">INDEX(Oper_Model_Net_Cash_Increase,MATCH(C$1,Oper_Model_Months,0))</f>
        <v>-13824</v>
      </c>
      <c r="D24" s="74">
        <f t="array" ref="D24">INDEX(Oper_Model_Net_Cash_Increase,MATCH(D$1,Oper_Model_Months,0))</f>
        <v>-26169</v>
      </c>
      <c r="E24" s="74">
        <f t="array" ref="E24">INDEX(Oper_Model_Net_Cash_Increase,MATCH(E$1,Oper_Model_Months,0))</f>
        <v>8407.19</v>
      </c>
      <c r="F24" s="74">
        <f t="array" ref="F24">INDEX(Oper_Model_Net_Cash_Increase,MATCH(F$1,Oper_Model_Months,0))</f>
        <v>-117</v>
      </c>
      <c r="G24" s="74" t="str">
        <f t="array" ref="G24">INDEX(Oper_Model_Net_Cash_Increase,MATCH(G$1,Oper_Model_Months,0))</f>
        <v>#NAME?</v>
      </c>
      <c r="H24" s="74" t="str">
        <f t="array" ref="H24">INDEX(Oper_Model_Net_Cash_Increase,MATCH(H$1,Oper_Model_Months,0))</f>
        <v>#NAME?</v>
      </c>
      <c r="I24" s="74" t="str">
        <f t="array" ref="I24">INDEX(Oper_Model_Net_Cash_Increase,MATCH(I$1,Oper_Model_Months,0))</f>
        <v>#NAME?</v>
      </c>
      <c r="J24" s="74" t="str">
        <f t="array" ref="J24">INDEX(Oper_Model_Net_Cash_Increase,MATCH(J$1,Oper_Model_Months,0))</f>
        <v>#NAME?</v>
      </c>
      <c r="K24" s="74" t="str">
        <f t="array" ref="K24">INDEX(Oper_Model_Net_Cash_Increase,MATCH(K$1,Oper_Model_Months,0))</f>
        <v>#NAME?</v>
      </c>
      <c r="L24" s="74" t="str">
        <f t="array" ref="L24">INDEX(Oper_Model_Net_Cash_Increase,MATCH(L$1,Oper_Model_Months,0))</f>
        <v>#NAME?</v>
      </c>
      <c r="M24" s="74" t="str">
        <f t="array" ref="M24">INDEX(Oper_Model_Net_Cash_Increase,MATCH(M$1,Oper_Model_Months,0))</f>
        <v>#NAME?</v>
      </c>
      <c r="N24" s="74" t="str">
        <f t="array" ref="N24">INDEX(Oper_Model_Net_Cash_Increase,MATCH(N$1,Oper_Model_Months,0))</f>
        <v>#NAME?</v>
      </c>
      <c r="O24" s="74" t="str">
        <f t="array" ref="O24">INDEX(Oper_Model_Net_Cash_Increase,MATCH(O$1,Oper_Model_Months,0))</f>
        <v>#NAME?</v>
      </c>
      <c r="P24" s="74" t="str">
        <f t="array" ref="P24">INDEX(Oper_Model_Net_Cash_Increase,MATCH(P$1,Oper_Model_Months,0))</f>
        <v>#NAME?</v>
      </c>
      <c r="Q24" s="74" t="str">
        <f t="array" ref="Q24">INDEX(Oper_Model_Net_Cash_Increase,MATCH(Q$1,Oper_Model_Months,0))</f>
        <v>#NAME?</v>
      </c>
      <c r="R24" s="74" t="str">
        <f t="array" ref="R24">INDEX(Oper_Model_Net_Cash_Increase,MATCH(R$1,Oper_Model_Months,0))</f>
        <v>#NAME?</v>
      </c>
      <c r="S24" s="74" t="str">
        <f t="array" ref="S24">INDEX(Oper_Model_Net_Cash_Increase,MATCH(S$1,Oper_Model_Months,0))</f>
        <v>#NAME?</v>
      </c>
      <c r="T24" s="74" t="str">
        <f t="array" ref="T24">INDEX(Oper_Model_Net_Cash_Increase,MATCH(T$1,Oper_Model_Months,0))</f>
        <v>#NAME?</v>
      </c>
      <c r="U24" s="74" t="str">
        <f t="array" ref="U24">INDEX(Oper_Model_Net_Cash_Increase,MATCH(U$1,Oper_Model_Months,0))</f>
        <v>#NAME?</v>
      </c>
      <c r="V24" s="74" t="str">
        <f t="array" ref="V24">INDEX(Oper_Model_Net_Cash_Increase,MATCH(V$1,Oper_Model_Months,0))</f>
        <v>#NAME?</v>
      </c>
      <c r="W24" s="74" t="str">
        <f t="array" ref="W24">INDEX(Oper_Model_Net_Cash_Increase,MATCH(W$1,Oper_Model_Months,0))</f>
        <v>#NAME?</v>
      </c>
      <c r="X24" s="74" t="str">
        <f t="array" ref="X24">INDEX(Oper_Model_Net_Cash_Increase,MATCH(X$1,Oper_Model_Months,0))</f>
        <v>#NAME?</v>
      </c>
      <c r="Y24" s="74" t="str">
        <f t="array" ref="Y24">INDEX(Oper_Model_Net_Cash_Increase,MATCH(Y$1,Oper_Model_Months,0))</f>
        <v>#NAME?</v>
      </c>
      <c r="Z24" s="74" t="str">
        <f t="array" ref="Z24">INDEX(Oper_Model_Net_Cash_Increase,MATCH(Z$1,Oper_Model_Months,0))</f>
        <v>#NAME?</v>
      </c>
    </row>
    <row r="25" ht="15.75" customHeight="1">
      <c r="B25" s="30" t="s">
        <v>19</v>
      </c>
      <c r="C25" s="74">
        <f t="array" ref="C25">INDEX(Oper_Model_Net_Income,MATCH(C$1,Oper_Model_Months,0))</f>
        <v>-13824</v>
      </c>
      <c r="D25" s="74">
        <f t="array" ref="D25">INDEX(Oper_Model_Net_Income,MATCH(D$1,Oper_Model_Months,0))</f>
        <v>-26169</v>
      </c>
      <c r="E25" s="74">
        <f t="array" ref="E25">INDEX(Oper_Model_Net_Income,MATCH(E$1,Oper_Model_Months,0))</f>
        <v>8407.19</v>
      </c>
      <c r="F25" s="74">
        <f t="array" ref="F25">INDEX(Oper_Model_Net_Income,MATCH(F$1,Oper_Model_Months,0))</f>
        <v>-117</v>
      </c>
      <c r="G25" s="74" t="str">
        <f t="array" ref="G25">INDEX(Oper_Model_Net_Income,MATCH(G$1,Oper_Model_Months,0))</f>
        <v>#NAME?</v>
      </c>
      <c r="H25" s="74" t="str">
        <f t="array" ref="H25">INDEX(Oper_Model_Net_Income,MATCH(H$1,Oper_Model_Months,0))</f>
        <v>#NAME?</v>
      </c>
      <c r="I25" s="74" t="str">
        <f t="array" ref="I25">INDEX(Oper_Model_Net_Income,MATCH(I$1,Oper_Model_Months,0))</f>
        <v>#NAME?</v>
      </c>
      <c r="J25" s="74" t="str">
        <f t="array" ref="J25">INDEX(Oper_Model_Net_Income,MATCH(J$1,Oper_Model_Months,0))</f>
        <v>#NAME?</v>
      </c>
      <c r="K25" s="74" t="str">
        <f t="array" ref="K25">INDEX(Oper_Model_Net_Income,MATCH(K$1,Oper_Model_Months,0))</f>
        <v>#NAME?</v>
      </c>
      <c r="L25" s="74" t="str">
        <f t="array" ref="L25">INDEX(Oper_Model_Net_Income,MATCH(L$1,Oper_Model_Months,0))</f>
        <v>#NAME?</v>
      </c>
      <c r="M25" s="74" t="str">
        <f t="array" ref="M25">INDEX(Oper_Model_Net_Income,MATCH(M$1,Oper_Model_Months,0))</f>
        <v>#NAME?</v>
      </c>
      <c r="N25" s="74" t="str">
        <f t="array" ref="N25">INDEX(Oper_Model_Net_Income,MATCH(N$1,Oper_Model_Months,0))</f>
        <v>#NAME?</v>
      </c>
      <c r="O25" s="74" t="str">
        <f t="array" ref="O25">INDEX(Oper_Model_Net_Income,MATCH(O$1,Oper_Model_Months,0))</f>
        <v>#NAME?</v>
      </c>
      <c r="P25" s="74" t="str">
        <f t="array" ref="P25">INDEX(Oper_Model_Net_Income,MATCH(P$1,Oper_Model_Months,0))</f>
        <v>#NAME?</v>
      </c>
      <c r="Q25" s="74" t="str">
        <f t="array" ref="Q25">INDEX(Oper_Model_Net_Income,MATCH(Q$1,Oper_Model_Months,0))</f>
        <v>#NAME?</v>
      </c>
      <c r="R25" s="74" t="str">
        <f t="array" ref="R25">INDEX(Oper_Model_Net_Income,MATCH(R$1,Oper_Model_Months,0))</f>
        <v>#NAME?</v>
      </c>
      <c r="S25" s="74" t="str">
        <f t="array" ref="S25">INDEX(Oper_Model_Net_Income,MATCH(S$1,Oper_Model_Months,0))</f>
        <v>#NAME?</v>
      </c>
      <c r="T25" s="74" t="str">
        <f t="array" ref="T25">INDEX(Oper_Model_Net_Income,MATCH(T$1,Oper_Model_Months,0))</f>
        <v>#NAME?</v>
      </c>
      <c r="U25" s="74" t="str">
        <f t="array" ref="U25">INDEX(Oper_Model_Net_Income,MATCH(U$1,Oper_Model_Months,0))</f>
        <v>#NAME?</v>
      </c>
      <c r="V25" s="74" t="str">
        <f t="array" ref="V25">INDEX(Oper_Model_Net_Income,MATCH(V$1,Oper_Model_Months,0))</f>
        <v>#NAME?</v>
      </c>
      <c r="W25" s="74" t="str">
        <f t="array" ref="W25">INDEX(Oper_Model_Net_Income,MATCH(W$1,Oper_Model_Months,0))</f>
        <v>#NAME?</v>
      </c>
      <c r="X25" s="74" t="str">
        <f t="array" ref="X25">INDEX(Oper_Model_Net_Income,MATCH(X$1,Oper_Model_Months,0))</f>
        <v>#NAME?</v>
      </c>
      <c r="Y25" s="74" t="str">
        <f t="array" ref="Y25">INDEX(Oper_Model_Net_Income,MATCH(Y$1,Oper_Model_Months,0))</f>
        <v>#NAME?</v>
      </c>
      <c r="Z25" s="74" t="str">
        <f t="array" ref="Z25">INDEX(Oper_Model_Net_Income,MATCH(Z$1,Oper_Model_Months,0))</f>
        <v>#NAME?</v>
      </c>
    </row>
    <row r="26" ht="15.75" customHeight="1">
      <c r="C26" s="60"/>
      <c r="D26" s="60"/>
      <c r="E26" s="60"/>
      <c r="F26" s="60"/>
      <c r="G26" s="60"/>
      <c r="H26" s="60"/>
      <c r="I26" s="60"/>
      <c r="J26" s="60"/>
      <c r="K26" s="60"/>
      <c r="L26" s="60"/>
      <c r="M26" s="60"/>
      <c r="N26" s="60"/>
      <c r="O26" s="60"/>
      <c r="P26" s="60"/>
      <c r="Q26" s="60"/>
      <c r="R26" s="60"/>
      <c r="S26" s="60"/>
      <c r="T26" s="60"/>
      <c r="U26" s="60"/>
      <c r="V26" s="60"/>
      <c r="W26" s="60"/>
      <c r="X26" s="60"/>
      <c r="Y26" s="60"/>
      <c r="Z26" s="60"/>
    </row>
    <row r="27" ht="15.75" customHeight="1">
      <c r="B27" s="30" t="s">
        <v>8</v>
      </c>
      <c r="C27" s="74">
        <f t="array" ref="C27">INDEX(Oper_Model_Revenue,MATCH(C$1,Oper_Model_Months,0))</f>
        <v>824529</v>
      </c>
      <c r="D27" s="74">
        <f t="array" ref="D27">INDEX(Oper_Model_Revenue,MATCH(D$1,Oper_Model_Months,0))</f>
        <v>844626</v>
      </c>
      <c r="E27" s="74">
        <f t="array" ref="E27">INDEX(Oper_Model_Revenue,MATCH(E$1,Oper_Model_Months,0))</f>
        <v>819162.19</v>
      </c>
      <c r="F27" s="74">
        <f t="array" ref="F27">INDEX(Oper_Model_Revenue,MATCH(F$1,Oper_Model_Months,0))</f>
        <v>796507</v>
      </c>
      <c r="G27" s="74">
        <f t="array" ref="G27">INDEX(Oper_Model_Revenue,MATCH(G$1,Oper_Model_Months,0))</f>
        <v>780349.4289</v>
      </c>
      <c r="H27" s="74">
        <f t="array" ref="H27">INDEX(Oper_Model_Revenue,MATCH(H$1,Oper_Model_Months,0))</f>
        <v>776838.8983</v>
      </c>
      <c r="I27" s="74">
        <f t="array" ref="I27">INDEX(Oper_Model_Revenue,MATCH(I$1,Oper_Model_Months,0))</f>
        <v>784307.4964</v>
      </c>
      <c r="J27" s="74">
        <f t="array" ref="J27">INDEX(Oper_Model_Revenue,MATCH(J$1,Oper_Model_Months,0))</f>
        <v>794270.1184</v>
      </c>
      <c r="K27" s="74">
        <f t="array" ref="K27">INDEX(Oper_Model_Revenue,MATCH(K$1,Oper_Model_Months,0))</f>
        <v>810446.9171</v>
      </c>
      <c r="L27" s="74">
        <f t="array" ref="L27">INDEX(Oper_Model_Revenue,MATCH(L$1,Oper_Model_Months,0))</f>
        <v>828843.4437</v>
      </c>
      <c r="M27" s="74">
        <f t="array" ref="M27">INDEX(Oper_Model_Revenue,MATCH(M$1,Oper_Model_Months,0))</f>
        <v>846201.4208</v>
      </c>
      <c r="N27" s="74">
        <f t="array" ref="N27">INDEX(Oper_Model_Revenue,MATCH(N$1,Oper_Model_Months,0))</f>
        <v>864575.1131</v>
      </c>
      <c r="O27" s="74">
        <f t="array" ref="O27">INDEX(Oper_Model_Revenue,MATCH(O$1,Oper_Model_Months,0))</f>
        <v>882839.9823</v>
      </c>
      <c r="P27" s="74">
        <f t="array" ref="P27">INDEX(Oper_Model_Revenue,MATCH(P$1,Oper_Model_Months,0))</f>
        <v>902246.5996</v>
      </c>
      <c r="Q27" s="74">
        <f t="array" ref="Q27">INDEX(Oper_Model_Revenue,MATCH(Q$1,Oper_Model_Months,0))</f>
        <v>921493.2125</v>
      </c>
      <c r="R27" s="74">
        <f t="array" ref="R27">INDEX(Oper_Model_Revenue,MATCH(R$1,Oper_Model_Months,0))</f>
        <v>941858.9225</v>
      </c>
      <c r="S27" s="74">
        <f t="array" ref="S27">INDEX(Oper_Model_Revenue,MATCH(S$1,Oper_Model_Months,0))</f>
        <v>963330.7191</v>
      </c>
      <c r="T27" s="74">
        <f t="array" ref="T27">INDEX(Oper_Model_Revenue,MATCH(T$1,Oper_Model_Months,0))</f>
        <v>984645.7735</v>
      </c>
      <c r="U27" s="74">
        <f t="array" ref="U27">INDEX(Oper_Model_Revenue,MATCH(U$1,Oper_Model_Months,0))</f>
        <v>1007059.449</v>
      </c>
      <c r="V27" s="74">
        <f t="array" ref="V27">INDEX(Oper_Model_Revenue,MATCH(V$1,Oper_Model_Months,0))</f>
        <v>1029314.149</v>
      </c>
      <c r="W27" s="74">
        <f t="array" ref="W27">INDEX(Oper_Model_Revenue,MATCH(W$1,Oper_Model_Months,0))</f>
        <v>1052658.019</v>
      </c>
      <c r="X27" s="74">
        <f t="array" ref="X27">INDEX(Oper_Model_Revenue,MATCH(X$1,Oper_Model_Months,0))</f>
        <v>1077084.272</v>
      </c>
      <c r="Y27" s="74">
        <f t="array" ref="Y27">INDEX(Oper_Model_Revenue,MATCH(Y$1,Oper_Model_Months,0))</f>
        <v>1101336.803</v>
      </c>
      <c r="Z27" s="74">
        <f t="array" ref="Z27">INDEX(Oper_Model_Revenue,MATCH(Z$1,Oper_Model_Months,0))</f>
        <v>1126664.72</v>
      </c>
    </row>
    <row r="28" ht="15.75" customHeight="1">
      <c r="B28" s="30" t="s">
        <v>83</v>
      </c>
      <c r="C28" s="74" t="str">
        <f t="array" ref="C28">INDEX(Oper_Model_Deferred_Revenue_CFS,MATCH(C$1,Oper_Model_Months,0))</f>
        <v/>
      </c>
      <c r="D28" s="74" t="str">
        <f t="array" ref="D28">INDEX(Oper_Model_Deferred_Revenue_CFS,MATCH(D$1,Oper_Model_Months,0))</f>
        <v/>
      </c>
      <c r="E28" s="74" t="str">
        <f t="array" ref="E28">INDEX(Oper_Model_Deferred_Revenue_CFS,MATCH(E$1,Oper_Model_Months,0))</f>
        <v/>
      </c>
      <c r="F28" s="74" t="str">
        <f t="array" ref="F28">INDEX(Oper_Model_Deferred_Revenue_CFS,MATCH(F$1,Oper_Model_Months,0))</f>
        <v/>
      </c>
      <c r="G28" s="74">
        <f t="array" ref="G28">INDEX(Oper_Model_Deferred_Revenue_CFS,MATCH(G$1,Oper_Model_Months,0))</f>
        <v>0</v>
      </c>
      <c r="H28" s="74">
        <f t="array" ref="H28">INDEX(Oper_Model_Deferred_Revenue_CFS,MATCH(H$1,Oper_Model_Months,0))</f>
        <v>0</v>
      </c>
      <c r="I28" s="74">
        <f t="array" ref="I28">INDEX(Oper_Model_Deferred_Revenue_CFS,MATCH(I$1,Oper_Model_Months,0))</f>
        <v>0</v>
      </c>
      <c r="J28" s="74">
        <f t="array" ref="J28">INDEX(Oper_Model_Deferred_Revenue_CFS,MATCH(J$1,Oper_Model_Months,0))</f>
        <v>0</v>
      </c>
      <c r="K28" s="74">
        <f t="array" ref="K28">INDEX(Oper_Model_Deferred_Revenue_CFS,MATCH(K$1,Oper_Model_Months,0))</f>
        <v>0</v>
      </c>
      <c r="L28" s="74">
        <f t="array" ref="L28">INDEX(Oper_Model_Deferred_Revenue_CFS,MATCH(L$1,Oper_Model_Months,0))</f>
        <v>0</v>
      </c>
      <c r="M28" s="74">
        <f t="array" ref="M28">INDEX(Oper_Model_Deferred_Revenue_CFS,MATCH(M$1,Oper_Model_Months,0))</f>
        <v>0</v>
      </c>
      <c r="N28" s="74">
        <f t="array" ref="N28">INDEX(Oper_Model_Deferred_Revenue_CFS,MATCH(N$1,Oper_Model_Months,0))</f>
        <v>0</v>
      </c>
      <c r="O28" s="74">
        <f t="array" ref="O28">INDEX(Oper_Model_Deferred_Revenue_CFS,MATCH(O$1,Oper_Model_Months,0))</f>
        <v>0</v>
      </c>
      <c r="P28" s="74">
        <f t="array" ref="P28">INDEX(Oper_Model_Deferred_Revenue_CFS,MATCH(P$1,Oper_Model_Months,0))</f>
        <v>0</v>
      </c>
      <c r="Q28" s="74">
        <f t="array" ref="Q28">INDEX(Oper_Model_Deferred_Revenue_CFS,MATCH(Q$1,Oper_Model_Months,0))</f>
        <v>0</v>
      </c>
      <c r="R28" s="74">
        <f t="array" ref="R28">INDEX(Oper_Model_Deferred_Revenue_CFS,MATCH(R$1,Oper_Model_Months,0))</f>
        <v>0</v>
      </c>
      <c r="S28" s="74">
        <f t="array" ref="S28">INDEX(Oper_Model_Deferred_Revenue_CFS,MATCH(S$1,Oper_Model_Months,0))</f>
        <v>0</v>
      </c>
      <c r="T28" s="74">
        <f t="array" ref="T28">INDEX(Oper_Model_Deferred_Revenue_CFS,MATCH(T$1,Oper_Model_Months,0))</f>
        <v>0</v>
      </c>
      <c r="U28" s="74">
        <f t="array" ref="U28">INDEX(Oper_Model_Deferred_Revenue_CFS,MATCH(U$1,Oper_Model_Months,0))</f>
        <v>0</v>
      </c>
      <c r="V28" s="74">
        <f t="array" ref="V28">INDEX(Oper_Model_Deferred_Revenue_CFS,MATCH(V$1,Oper_Model_Months,0))</f>
        <v>0</v>
      </c>
      <c r="W28" s="74">
        <f t="array" ref="W28">INDEX(Oper_Model_Deferred_Revenue_CFS,MATCH(W$1,Oper_Model_Months,0))</f>
        <v>0</v>
      </c>
      <c r="X28" s="74">
        <f t="array" ref="X28">INDEX(Oper_Model_Deferred_Revenue_CFS,MATCH(X$1,Oper_Model_Months,0))</f>
        <v>0</v>
      </c>
      <c r="Y28" s="74">
        <f t="array" ref="Y28">INDEX(Oper_Model_Deferred_Revenue_CFS,MATCH(Y$1,Oper_Model_Months,0))</f>
        <v>0</v>
      </c>
      <c r="Z28" s="74">
        <f t="array" ref="Z28">INDEX(Oper_Model_Deferred_Revenue_CFS,MATCH(Z$1,Oper_Model_Months,0))</f>
        <v>0</v>
      </c>
    </row>
    <row r="29" ht="15.75" customHeight="1">
      <c r="B29" s="30" t="s">
        <v>84</v>
      </c>
      <c r="C29" s="42">
        <f t="shared" ref="C29:Z29" si="2">SUM(C27:C28)</f>
        <v>824529</v>
      </c>
      <c r="D29" s="42">
        <f t="shared" si="2"/>
        <v>844626</v>
      </c>
      <c r="E29" s="42">
        <f t="shared" si="2"/>
        <v>819162.19</v>
      </c>
      <c r="F29" s="42">
        <f t="shared" si="2"/>
        <v>796507</v>
      </c>
      <c r="G29" s="42">
        <f t="shared" si="2"/>
        <v>780349.4289</v>
      </c>
      <c r="H29" s="42">
        <f t="shared" si="2"/>
        <v>776838.8983</v>
      </c>
      <c r="I29" s="42">
        <f t="shared" si="2"/>
        <v>784307.4964</v>
      </c>
      <c r="J29" s="42">
        <f t="shared" si="2"/>
        <v>794270.1184</v>
      </c>
      <c r="K29" s="42">
        <f t="shared" si="2"/>
        <v>810446.9171</v>
      </c>
      <c r="L29" s="42">
        <f t="shared" si="2"/>
        <v>828843.4437</v>
      </c>
      <c r="M29" s="42">
        <f t="shared" si="2"/>
        <v>846201.4208</v>
      </c>
      <c r="N29" s="42">
        <f t="shared" si="2"/>
        <v>864575.1131</v>
      </c>
      <c r="O29" s="42">
        <f t="shared" si="2"/>
        <v>882839.9823</v>
      </c>
      <c r="P29" s="42">
        <f t="shared" si="2"/>
        <v>902246.5996</v>
      </c>
      <c r="Q29" s="42">
        <f t="shared" si="2"/>
        <v>921493.2125</v>
      </c>
      <c r="R29" s="42">
        <f t="shared" si="2"/>
        <v>941858.9225</v>
      </c>
      <c r="S29" s="42">
        <f t="shared" si="2"/>
        <v>963330.7191</v>
      </c>
      <c r="T29" s="42">
        <f t="shared" si="2"/>
        <v>984645.7735</v>
      </c>
      <c r="U29" s="42">
        <f t="shared" si="2"/>
        <v>1007059.449</v>
      </c>
      <c r="V29" s="42">
        <f t="shared" si="2"/>
        <v>1029314.149</v>
      </c>
      <c r="W29" s="42">
        <f t="shared" si="2"/>
        <v>1052658.019</v>
      </c>
      <c r="X29" s="42">
        <f t="shared" si="2"/>
        <v>1077084.272</v>
      </c>
      <c r="Y29" s="42">
        <f t="shared" si="2"/>
        <v>1101336.803</v>
      </c>
      <c r="Z29" s="42">
        <f t="shared" si="2"/>
        <v>1126664.72</v>
      </c>
    </row>
    <row r="30" ht="15.75" customHeight="1"/>
    <row r="31" ht="15.75" customHeight="1">
      <c r="B31" s="30" t="s">
        <v>8</v>
      </c>
      <c r="C31" s="74">
        <f t="array" ref="C31">INDEX(Oper_Model_Revenue,MATCH(C$1,Oper_Model_Months,0))</f>
        <v>824529</v>
      </c>
      <c r="D31" s="74">
        <f t="array" ref="D31">INDEX(Oper_Model_Revenue,MATCH(D$1,Oper_Model_Months,0))</f>
        <v>844626</v>
      </c>
      <c r="E31" s="74">
        <f t="array" ref="E31">INDEX(Oper_Model_Revenue,MATCH(E$1,Oper_Model_Months,0))</f>
        <v>819162.19</v>
      </c>
      <c r="F31" s="74">
        <f t="array" ref="F31">INDEX(Oper_Model_Revenue,MATCH(F$1,Oper_Model_Months,0))</f>
        <v>796507</v>
      </c>
      <c r="G31" s="74">
        <f t="array" ref="G31">INDEX(Oper_Model_Revenue,MATCH(G$1,Oper_Model_Months,0))</f>
        <v>780349.4289</v>
      </c>
      <c r="H31" s="74">
        <f t="array" ref="H31">INDEX(Oper_Model_Revenue,MATCH(H$1,Oper_Model_Months,0))</f>
        <v>776838.8983</v>
      </c>
      <c r="I31" s="74">
        <f t="array" ref="I31">INDEX(Oper_Model_Revenue,MATCH(I$1,Oper_Model_Months,0))</f>
        <v>784307.4964</v>
      </c>
      <c r="J31" s="74">
        <f t="array" ref="J31">INDEX(Oper_Model_Revenue,MATCH(J$1,Oper_Model_Months,0))</f>
        <v>794270.1184</v>
      </c>
      <c r="K31" s="74">
        <f t="array" ref="K31">INDEX(Oper_Model_Revenue,MATCH(K$1,Oper_Model_Months,0))</f>
        <v>810446.9171</v>
      </c>
      <c r="L31" s="74">
        <f t="array" ref="L31">INDEX(Oper_Model_Revenue,MATCH(L$1,Oper_Model_Months,0))</f>
        <v>828843.4437</v>
      </c>
      <c r="M31" s="74">
        <f t="array" ref="M31">INDEX(Oper_Model_Revenue,MATCH(M$1,Oper_Model_Months,0))</f>
        <v>846201.4208</v>
      </c>
      <c r="N31" s="74">
        <f t="array" ref="N31">INDEX(Oper_Model_Revenue,MATCH(N$1,Oper_Model_Months,0))</f>
        <v>864575.1131</v>
      </c>
      <c r="O31" s="74">
        <f t="array" ref="O31">INDEX(Oper_Model_Revenue,MATCH(O$1,Oper_Model_Months,0))</f>
        <v>882839.9823</v>
      </c>
      <c r="P31" s="74">
        <f t="array" ref="P31">INDEX(Oper_Model_Revenue,MATCH(P$1,Oper_Model_Months,0))</f>
        <v>902246.5996</v>
      </c>
      <c r="Q31" s="74">
        <f t="array" ref="Q31">INDEX(Oper_Model_Revenue,MATCH(Q$1,Oper_Model_Months,0))</f>
        <v>921493.2125</v>
      </c>
      <c r="R31" s="74">
        <f t="array" ref="R31">INDEX(Oper_Model_Revenue,MATCH(R$1,Oper_Model_Months,0))</f>
        <v>941858.9225</v>
      </c>
      <c r="S31" s="74">
        <f t="array" ref="S31">INDEX(Oper_Model_Revenue,MATCH(S$1,Oper_Model_Months,0))</f>
        <v>963330.7191</v>
      </c>
      <c r="T31" s="74">
        <f t="array" ref="T31">INDEX(Oper_Model_Revenue,MATCH(T$1,Oper_Model_Months,0))</f>
        <v>984645.7735</v>
      </c>
      <c r="U31" s="74">
        <f t="array" ref="U31">INDEX(Oper_Model_Revenue,MATCH(U$1,Oper_Model_Months,0))</f>
        <v>1007059.449</v>
      </c>
      <c r="V31" s="74">
        <f t="array" ref="V31">INDEX(Oper_Model_Revenue,MATCH(V$1,Oper_Model_Months,0))</f>
        <v>1029314.149</v>
      </c>
      <c r="W31" s="74">
        <f t="array" ref="W31">INDEX(Oper_Model_Revenue,MATCH(W$1,Oper_Model_Months,0))</f>
        <v>1052658.019</v>
      </c>
      <c r="X31" s="74">
        <f t="array" ref="X31">INDEX(Oper_Model_Revenue,MATCH(X$1,Oper_Model_Months,0))</f>
        <v>1077084.272</v>
      </c>
      <c r="Y31" s="74">
        <f t="array" ref="Y31">INDEX(Oper_Model_Revenue,MATCH(Y$1,Oper_Model_Months,0))</f>
        <v>1101336.803</v>
      </c>
      <c r="Z31" s="74">
        <f t="array" ref="Z31">INDEX(Oper_Model_Revenue,MATCH(Z$1,Oper_Model_Months,0))</f>
        <v>1126664.72</v>
      </c>
    </row>
    <row r="32" ht="15.75" customHeight="1">
      <c r="B32" s="30" t="s">
        <v>85</v>
      </c>
      <c r="C32" s="74">
        <f t="array" ref="C32">INDEX(Oper_Model_Cost_of_Revenue,MATCH(C$1,Oper_Model_Months,0))+INDEX(Oper_Model_Total_Expenses,MATCH(C$1,Oper_Model_Months,0))</f>
        <v>838353</v>
      </c>
      <c r="D32" s="74">
        <f t="array" ref="D32">INDEX(Oper_Model_Cost_of_Revenue,MATCH(D$1,Oper_Model_Months,0))+INDEX(Oper_Model_Total_Expenses,MATCH(D$1,Oper_Model_Months,0))</f>
        <v>870795</v>
      </c>
      <c r="E32" s="74">
        <f t="array" ref="E32">INDEX(Oper_Model_Cost_of_Revenue,MATCH(E$1,Oper_Model_Months,0))+INDEX(Oper_Model_Total_Expenses,MATCH(E$1,Oper_Model_Months,0))</f>
        <v>810755</v>
      </c>
      <c r="F32" s="74">
        <f t="array" ref="F32">INDEX(Oper_Model_Cost_of_Revenue,MATCH(F$1,Oper_Model_Months,0))+INDEX(Oper_Model_Total_Expenses,MATCH(F$1,Oper_Model_Months,0))</f>
        <v>796624</v>
      </c>
      <c r="G32" s="74">
        <f t="array" ref="G32">INDEX(Oper_Model_Cost_of_Revenue,MATCH(G$1,Oper_Model_Months,0))+INDEX(Oper_Model_Total_Expenses,MATCH(G$1,Oper_Model_Months,0))</f>
        <v>727001.2626</v>
      </c>
      <c r="H32" s="74">
        <f t="array" ref="H32">INDEX(Oper_Model_Cost_of_Revenue,MATCH(H$1,Oper_Model_Months,0))+INDEX(Oper_Model_Total_Expenses,MATCH(H$1,Oper_Model_Months,0))</f>
        <v>741473.0439</v>
      </c>
      <c r="I32" s="74">
        <f t="array" ref="I32">INDEX(Oper_Model_Cost_of_Revenue,MATCH(I$1,Oper_Model_Months,0))+INDEX(Oper_Model_Total_Expenses,MATCH(I$1,Oper_Model_Months,0))</f>
        <v>757596.8207</v>
      </c>
      <c r="J32" s="74">
        <f t="array" ref="J32">INDEX(Oper_Model_Cost_of_Revenue,MATCH(J$1,Oper_Model_Months,0))+INDEX(Oper_Model_Total_Expenses,MATCH(J$1,Oper_Model_Months,0))</f>
        <v>779349.6989</v>
      </c>
      <c r="K32" s="74">
        <f t="array" ref="K32">INDEX(Oper_Model_Cost_of_Revenue,MATCH(K$1,Oper_Model_Months,0))+INDEX(Oper_Model_Total_Expenses,MATCH(K$1,Oper_Model_Months,0))</f>
        <v>796783.7718</v>
      </c>
      <c r="L32" s="74">
        <f t="array" ref="L32">INDEX(Oper_Model_Cost_of_Revenue,MATCH(L$1,Oper_Model_Months,0))+INDEX(Oper_Model_Total_Expenses,MATCH(L$1,Oper_Model_Months,0))</f>
        <v>877393.1735</v>
      </c>
      <c r="M32" s="74">
        <f t="array" ref="M32">INDEX(Oper_Model_Cost_of_Revenue,MATCH(M$1,Oper_Model_Months,0))+INDEX(Oper_Model_Total_Expenses,MATCH(M$1,Oper_Model_Months,0))</f>
        <v>895004.9746</v>
      </c>
      <c r="N32" s="74">
        <f t="array" ref="N32">INDEX(Oper_Model_Cost_of_Revenue,MATCH(N$1,Oper_Model_Months,0))+INDEX(Oper_Model_Total_Expenses,MATCH(N$1,Oper_Model_Months,0))</f>
        <v>952907.1071</v>
      </c>
      <c r="O32" s="74">
        <f t="array" ref="O32">INDEX(Oper_Model_Cost_of_Revenue,MATCH(O$1,Oper_Model_Months,0))+INDEX(Oper_Model_Total_Expenses,MATCH(O$1,Oper_Model_Months,0))</f>
        <v>987634.5321</v>
      </c>
      <c r="P32" s="74">
        <f t="array" ref="P32">INDEX(Oper_Model_Cost_of_Revenue,MATCH(P$1,Oper_Model_Months,0))+INDEX(Oper_Model_Total_Expenses,MATCH(P$1,Oper_Model_Months,0))</f>
        <v>1045221.252</v>
      </c>
      <c r="Q32" s="74">
        <f t="array" ref="Q32">INDEX(Oper_Model_Cost_of_Revenue,MATCH(Q$1,Oper_Model_Months,0))+INDEX(Oper_Model_Total_Expenses,MATCH(Q$1,Oper_Model_Months,0))</f>
        <v>1063117.231</v>
      </c>
      <c r="R32" s="74">
        <f t="array" ref="R32">INDEX(Oper_Model_Cost_of_Revenue,MATCH(R$1,Oper_Model_Months,0))+INDEX(Oper_Model_Total_Expenses,MATCH(R$1,Oper_Model_Months,0))</f>
        <v>1129794.096</v>
      </c>
      <c r="S32" s="74">
        <f t="array" ref="S32">INDEX(Oper_Model_Cost_of_Revenue,MATCH(S$1,Oper_Model_Months,0))+INDEX(Oper_Model_Total_Expenses,MATCH(S$1,Oper_Model_Months,0))</f>
        <v>1148024.891</v>
      </c>
      <c r="T32" s="74">
        <f t="array" ref="T32">INDEX(Oper_Model_Cost_of_Revenue,MATCH(T$1,Oper_Model_Months,0))+INDEX(Oper_Model_Total_Expenses,MATCH(T$1,Oper_Model_Months,0))</f>
        <v>1166232.101</v>
      </c>
      <c r="U32" s="74">
        <f t="array" ref="U32">INDEX(Oper_Model_Cost_of_Revenue,MATCH(U$1,Oper_Model_Months,0))+INDEX(Oper_Model_Total_Expenses,MATCH(U$1,Oper_Model_Months,0))</f>
        <v>1202242.951</v>
      </c>
      <c r="V32" s="74">
        <f t="array" ref="V32">INDEX(Oper_Model_Cost_of_Revenue,MATCH(V$1,Oper_Model_Months,0))+INDEX(Oper_Model_Total_Expenses,MATCH(V$1,Oper_Model_Months,0))</f>
        <v>1220591.547</v>
      </c>
      <c r="W32" s="74">
        <f t="array" ref="W32">INDEX(Oper_Model_Cost_of_Revenue,MATCH(W$1,Oper_Model_Months,0))+INDEX(Oper_Model_Total_Expenses,MATCH(W$1,Oper_Model_Months,0))</f>
        <v>1239104.026</v>
      </c>
      <c r="X32" s="74">
        <f t="array" ref="X32">INDEX(Oper_Model_Cost_of_Revenue,MATCH(X$1,Oper_Model_Months,0))+INDEX(Oper_Model_Total_Expenses,MATCH(X$1,Oper_Model_Months,0))</f>
        <v>1273816.869</v>
      </c>
      <c r="Y32" s="74">
        <f t="array" ref="Y32">INDEX(Oper_Model_Cost_of_Revenue,MATCH(Y$1,Oper_Model_Months,0))+INDEX(Oper_Model_Total_Expenses,MATCH(Y$1,Oper_Model_Months,0))</f>
        <v>1292466.072</v>
      </c>
      <c r="Z32" s="74">
        <f t="array" ref="Z32">INDEX(Oper_Model_Cost_of_Revenue,MATCH(Z$1,Oper_Model_Months,0))+INDEX(Oper_Model_Total_Expenses,MATCH(Z$1,Oper_Model_Months,0))</f>
        <v>1311277.085</v>
      </c>
    </row>
    <row r="33" ht="15.75" customHeight="1">
      <c r="B33" s="30" t="s">
        <v>19</v>
      </c>
      <c r="C33" s="75">
        <f t="array" ref="C33">INDEX(Oper_Model_Net_Income,MATCH(C$1,Oper_Model_Months,0))</f>
        <v>-13824</v>
      </c>
      <c r="D33" s="75">
        <f t="array" ref="D33">INDEX(Oper_Model_Net_Income,MATCH(D$1,Oper_Model_Months,0))</f>
        <v>-26169</v>
      </c>
      <c r="E33" s="75">
        <f t="array" ref="E33">INDEX(Oper_Model_Net_Income,MATCH(E$1,Oper_Model_Months,0))</f>
        <v>8407.19</v>
      </c>
      <c r="F33" s="75">
        <f t="array" ref="F33">INDEX(Oper_Model_Net_Income,MATCH(F$1,Oper_Model_Months,0))</f>
        <v>-117</v>
      </c>
      <c r="G33" s="75" t="str">
        <f t="array" ref="G33">INDEX(Oper_Model_Net_Income,MATCH(G$1,Oper_Model_Months,0))</f>
        <v>#NAME?</v>
      </c>
      <c r="H33" s="75" t="str">
        <f t="array" ref="H33">INDEX(Oper_Model_Net_Income,MATCH(H$1,Oper_Model_Months,0))</f>
        <v>#NAME?</v>
      </c>
      <c r="I33" s="75" t="str">
        <f t="array" ref="I33">INDEX(Oper_Model_Net_Income,MATCH(I$1,Oper_Model_Months,0))</f>
        <v>#NAME?</v>
      </c>
      <c r="J33" s="75" t="str">
        <f t="array" ref="J33">INDEX(Oper_Model_Net_Income,MATCH(J$1,Oper_Model_Months,0))</f>
        <v>#NAME?</v>
      </c>
      <c r="K33" s="75" t="str">
        <f t="array" ref="K33">INDEX(Oper_Model_Net_Income,MATCH(K$1,Oper_Model_Months,0))</f>
        <v>#NAME?</v>
      </c>
      <c r="L33" s="75" t="str">
        <f t="array" ref="L33">INDEX(Oper_Model_Net_Income,MATCH(L$1,Oper_Model_Months,0))</f>
        <v>#NAME?</v>
      </c>
      <c r="M33" s="75" t="str">
        <f t="array" ref="M33">INDEX(Oper_Model_Net_Income,MATCH(M$1,Oper_Model_Months,0))</f>
        <v>#NAME?</v>
      </c>
      <c r="N33" s="75" t="str">
        <f t="array" ref="N33">INDEX(Oper_Model_Net_Income,MATCH(N$1,Oper_Model_Months,0))</f>
        <v>#NAME?</v>
      </c>
      <c r="O33" s="75" t="str">
        <f t="array" ref="O33">INDEX(Oper_Model_Net_Income,MATCH(O$1,Oper_Model_Months,0))</f>
        <v>#NAME?</v>
      </c>
      <c r="P33" s="75" t="str">
        <f t="array" ref="P33">INDEX(Oper_Model_Net_Income,MATCH(P$1,Oper_Model_Months,0))</f>
        <v>#NAME?</v>
      </c>
      <c r="Q33" s="75" t="str">
        <f t="array" ref="Q33">INDEX(Oper_Model_Net_Income,MATCH(Q$1,Oper_Model_Months,0))</f>
        <v>#NAME?</v>
      </c>
      <c r="R33" s="75" t="str">
        <f t="array" ref="R33">INDEX(Oper_Model_Net_Income,MATCH(R$1,Oper_Model_Months,0))</f>
        <v>#NAME?</v>
      </c>
      <c r="S33" s="75" t="str">
        <f t="array" ref="S33">INDEX(Oper_Model_Net_Income,MATCH(S$1,Oper_Model_Months,0))</f>
        <v>#NAME?</v>
      </c>
      <c r="T33" s="75" t="str">
        <f t="array" ref="T33">INDEX(Oper_Model_Net_Income,MATCH(T$1,Oper_Model_Months,0))</f>
        <v>#NAME?</v>
      </c>
      <c r="U33" s="75" t="str">
        <f t="array" ref="U33">INDEX(Oper_Model_Net_Income,MATCH(U$1,Oper_Model_Months,0))</f>
        <v>#NAME?</v>
      </c>
      <c r="V33" s="75" t="str">
        <f t="array" ref="V33">INDEX(Oper_Model_Net_Income,MATCH(V$1,Oper_Model_Months,0))</f>
        <v>#NAME?</v>
      </c>
      <c r="W33" s="75" t="str">
        <f t="array" ref="W33">INDEX(Oper_Model_Net_Income,MATCH(W$1,Oper_Model_Months,0))</f>
        <v>#NAME?</v>
      </c>
      <c r="X33" s="75" t="str">
        <f t="array" ref="X33">INDEX(Oper_Model_Net_Income,MATCH(X$1,Oper_Model_Months,0))</f>
        <v>#NAME?</v>
      </c>
      <c r="Y33" s="75" t="str">
        <f t="array" ref="Y33">INDEX(Oper_Model_Net_Income,MATCH(Y$1,Oper_Model_Months,0))</f>
        <v>#NAME?</v>
      </c>
      <c r="Z33" s="75" t="str">
        <f t="array" ref="Z33">INDEX(Oper_Model_Net_Income,MATCH(Z$1,Oper_Model_Months,0))</f>
        <v>#NAME?</v>
      </c>
    </row>
    <row r="34" ht="15.75" customHeight="1">
      <c r="B34" s="30" t="s">
        <v>86</v>
      </c>
      <c r="C34" s="74" t="str">
        <f t="array" ref="C34">INDEX(Oper_Model_Deferred_Revenue_CFS,MATCH(C$1,Oper_Model_Months,0))</f>
        <v/>
      </c>
      <c r="D34" s="74" t="str">
        <f t="array" ref="D34">INDEX(Oper_Model_Deferred_Revenue_CFS,MATCH(D$1,Oper_Model_Months,0))</f>
        <v/>
      </c>
      <c r="E34" s="74" t="str">
        <f t="array" ref="E34">INDEX(Oper_Model_Deferred_Revenue_CFS,MATCH(E$1,Oper_Model_Months,0))</f>
        <v/>
      </c>
      <c r="F34" s="74" t="str">
        <f t="array" ref="F34">INDEX(Oper_Model_Deferred_Revenue_CFS,MATCH(F$1,Oper_Model_Months,0))</f>
        <v/>
      </c>
      <c r="G34" s="74">
        <f t="array" ref="G34">INDEX(Oper_Model_Deferred_Revenue_CFS,MATCH(G$1,Oper_Model_Months,0))</f>
        <v>0</v>
      </c>
      <c r="H34" s="74">
        <f t="array" ref="H34">INDEX(Oper_Model_Deferred_Revenue_CFS,MATCH(H$1,Oper_Model_Months,0))</f>
        <v>0</v>
      </c>
      <c r="I34" s="74">
        <f t="array" ref="I34">INDEX(Oper_Model_Deferred_Revenue_CFS,MATCH(I$1,Oper_Model_Months,0))</f>
        <v>0</v>
      </c>
      <c r="J34" s="74">
        <f t="array" ref="J34">INDEX(Oper_Model_Deferred_Revenue_CFS,MATCH(J$1,Oper_Model_Months,0))</f>
        <v>0</v>
      </c>
      <c r="K34" s="74">
        <f t="array" ref="K34">INDEX(Oper_Model_Deferred_Revenue_CFS,MATCH(K$1,Oper_Model_Months,0))</f>
        <v>0</v>
      </c>
      <c r="L34" s="74">
        <f t="array" ref="L34">INDEX(Oper_Model_Deferred_Revenue_CFS,MATCH(L$1,Oper_Model_Months,0))</f>
        <v>0</v>
      </c>
      <c r="M34" s="74">
        <f t="array" ref="M34">INDEX(Oper_Model_Deferred_Revenue_CFS,MATCH(M$1,Oper_Model_Months,0))</f>
        <v>0</v>
      </c>
      <c r="N34" s="74">
        <f t="array" ref="N34">INDEX(Oper_Model_Deferred_Revenue_CFS,MATCH(N$1,Oper_Model_Months,0))</f>
        <v>0</v>
      </c>
      <c r="O34" s="74">
        <f t="array" ref="O34">INDEX(Oper_Model_Deferred_Revenue_CFS,MATCH(O$1,Oper_Model_Months,0))</f>
        <v>0</v>
      </c>
      <c r="P34" s="74">
        <f t="array" ref="P34">INDEX(Oper_Model_Deferred_Revenue_CFS,MATCH(P$1,Oper_Model_Months,0))</f>
        <v>0</v>
      </c>
      <c r="Q34" s="74">
        <f t="array" ref="Q34">INDEX(Oper_Model_Deferred_Revenue_CFS,MATCH(Q$1,Oper_Model_Months,0))</f>
        <v>0</v>
      </c>
      <c r="R34" s="74">
        <f t="array" ref="R34">INDEX(Oper_Model_Deferred_Revenue_CFS,MATCH(R$1,Oper_Model_Months,0))</f>
        <v>0</v>
      </c>
      <c r="S34" s="74">
        <f t="array" ref="S34">INDEX(Oper_Model_Deferred_Revenue_CFS,MATCH(S$1,Oper_Model_Months,0))</f>
        <v>0</v>
      </c>
      <c r="T34" s="74">
        <f t="array" ref="T34">INDEX(Oper_Model_Deferred_Revenue_CFS,MATCH(T$1,Oper_Model_Months,0))</f>
        <v>0</v>
      </c>
      <c r="U34" s="74">
        <f t="array" ref="U34">INDEX(Oper_Model_Deferred_Revenue_CFS,MATCH(U$1,Oper_Model_Months,0))</f>
        <v>0</v>
      </c>
      <c r="V34" s="74">
        <f t="array" ref="V34">INDEX(Oper_Model_Deferred_Revenue_CFS,MATCH(V$1,Oper_Model_Months,0))</f>
        <v>0</v>
      </c>
      <c r="W34" s="74">
        <f t="array" ref="W34">INDEX(Oper_Model_Deferred_Revenue_CFS,MATCH(W$1,Oper_Model_Months,0))</f>
        <v>0</v>
      </c>
      <c r="X34" s="74">
        <f t="array" ref="X34">INDEX(Oper_Model_Deferred_Revenue_CFS,MATCH(X$1,Oper_Model_Months,0))</f>
        <v>0</v>
      </c>
      <c r="Y34" s="74">
        <f t="array" ref="Y34">INDEX(Oper_Model_Deferred_Revenue_CFS,MATCH(Y$1,Oper_Model_Months,0))</f>
        <v>0</v>
      </c>
      <c r="Z34" s="74">
        <f t="array" ref="Z34">INDEX(Oper_Model_Deferred_Revenue_CFS,MATCH(Z$1,Oper_Model_Months,0))</f>
        <v>0</v>
      </c>
    </row>
    <row r="35" ht="15.75" customHeight="1">
      <c r="B35" s="30" t="s">
        <v>87</v>
      </c>
      <c r="C35" s="74">
        <f t="array" ref="C35">INDEX(Oper_Model_Adjustments_to_Net_Income,MATCH(C$1,Oper_Model_Months,0))-INDEX(Oper_Model_Deferred_Revenue_CFS,MATCH(C$1,Oper_Model_Months,0))+INDEX(Oper_Model_Investing_Activities,MATCH(C$1,Oper_Model_Months,0))+INDEX(Oper_Model_Financing_Activities,MATCH(C$1,Oper_Model_Months,0))</f>
        <v>0</v>
      </c>
      <c r="D35" s="74">
        <f t="array" ref="D35">INDEX(Oper_Model_Adjustments_to_Net_Income,MATCH(D$1,Oper_Model_Months,0))-INDEX(Oper_Model_Deferred_Revenue_CFS,MATCH(D$1,Oper_Model_Months,0))+INDEX(Oper_Model_Investing_Activities,MATCH(D$1,Oper_Model_Months,0))+INDEX(Oper_Model_Financing_Activities,MATCH(D$1,Oper_Model_Months,0))</f>
        <v>0</v>
      </c>
      <c r="E35" s="74">
        <f t="array" ref="E35">INDEX(Oper_Model_Adjustments_to_Net_Income,MATCH(E$1,Oper_Model_Months,0))-INDEX(Oper_Model_Deferred_Revenue_CFS,MATCH(E$1,Oper_Model_Months,0))+INDEX(Oper_Model_Investing_Activities,MATCH(E$1,Oper_Model_Months,0))+INDEX(Oper_Model_Financing_Activities,MATCH(E$1,Oper_Model_Months,0))</f>
        <v>0</v>
      </c>
      <c r="F35" s="74">
        <f t="array" ref="F35">INDEX(Oper_Model_Adjustments_to_Net_Income,MATCH(F$1,Oper_Model_Months,0))-INDEX(Oper_Model_Deferred_Revenue_CFS,MATCH(F$1,Oper_Model_Months,0))+INDEX(Oper_Model_Investing_Activities,MATCH(F$1,Oper_Model_Months,0))+INDEX(Oper_Model_Financing_Activities,MATCH(F$1,Oper_Model_Months,0))</f>
        <v>0</v>
      </c>
      <c r="G35" s="74" t="str">
        <f t="array" ref="G35">INDEX(Oper_Model_Adjustments_to_Net_Income,MATCH(G$1,Oper_Model_Months,0))-INDEX(Oper_Model_Deferred_Revenue_CFS,MATCH(G$1,Oper_Model_Months,0))+INDEX(Oper_Model_Investing_Activities,MATCH(G$1,Oper_Model_Months,0))+INDEX(Oper_Model_Financing_Activities,MATCH(G$1,Oper_Model_Months,0))</f>
        <v>#NAME?</v>
      </c>
      <c r="H35" s="74" t="str">
        <f t="array" ref="H35">INDEX(Oper_Model_Adjustments_to_Net_Income,MATCH(H$1,Oper_Model_Months,0))-INDEX(Oper_Model_Deferred_Revenue_CFS,MATCH(H$1,Oper_Model_Months,0))+INDEX(Oper_Model_Investing_Activities,MATCH(H$1,Oper_Model_Months,0))+INDEX(Oper_Model_Financing_Activities,MATCH(H$1,Oper_Model_Months,0))</f>
        <v>#NAME?</v>
      </c>
      <c r="I35" s="74" t="str">
        <f t="array" ref="I35">INDEX(Oper_Model_Adjustments_to_Net_Income,MATCH(I$1,Oper_Model_Months,0))-INDEX(Oper_Model_Deferred_Revenue_CFS,MATCH(I$1,Oper_Model_Months,0))+INDEX(Oper_Model_Investing_Activities,MATCH(I$1,Oper_Model_Months,0))+INDEX(Oper_Model_Financing_Activities,MATCH(I$1,Oper_Model_Months,0))</f>
        <v>#NAME?</v>
      </c>
      <c r="J35" s="74" t="str">
        <f t="array" ref="J35">INDEX(Oper_Model_Adjustments_to_Net_Income,MATCH(J$1,Oper_Model_Months,0))-INDEX(Oper_Model_Deferred_Revenue_CFS,MATCH(J$1,Oper_Model_Months,0))+INDEX(Oper_Model_Investing_Activities,MATCH(J$1,Oper_Model_Months,0))+INDEX(Oper_Model_Financing_Activities,MATCH(J$1,Oper_Model_Months,0))</f>
        <v>#NAME?</v>
      </c>
      <c r="K35" s="74" t="str">
        <f t="array" ref="K35">INDEX(Oper_Model_Adjustments_to_Net_Income,MATCH(K$1,Oper_Model_Months,0))-INDEX(Oper_Model_Deferred_Revenue_CFS,MATCH(K$1,Oper_Model_Months,0))+INDEX(Oper_Model_Investing_Activities,MATCH(K$1,Oper_Model_Months,0))+INDEX(Oper_Model_Financing_Activities,MATCH(K$1,Oper_Model_Months,0))</f>
        <v>#NAME?</v>
      </c>
      <c r="L35" s="74" t="str">
        <f t="array" ref="L35">INDEX(Oper_Model_Adjustments_to_Net_Income,MATCH(L$1,Oper_Model_Months,0))-INDEX(Oper_Model_Deferred_Revenue_CFS,MATCH(L$1,Oper_Model_Months,0))+INDEX(Oper_Model_Investing_Activities,MATCH(L$1,Oper_Model_Months,0))+INDEX(Oper_Model_Financing_Activities,MATCH(L$1,Oper_Model_Months,0))</f>
        <v>#NAME?</v>
      </c>
      <c r="M35" s="74" t="str">
        <f t="array" ref="M35">INDEX(Oper_Model_Adjustments_to_Net_Income,MATCH(M$1,Oper_Model_Months,0))-INDEX(Oper_Model_Deferred_Revenue_CFS,MATCH(M$1,Oper_Model_Months,0))+INDEX(Oper_Model_Investing_Activities,MATCH(M$1,Oper_Model_Months,0))+INDEX(Oper_Model_Financing_Activities,MATCH(M$1,Oper_Model_Months,0))</f>
        <v>#NAME?</v>
      </c>
      <c r="N35" s="74" t="str">
        <f t="array" ref="N35">INDEX(Oper_Model_Adjustments_to_Net_Income,MATCH(N$1,Oper_Model_Months,0))-INDEX(Oper_Model_Deferred_Revenue_CFS,MATCH(N$1,Oper_Model_Months,0))+INDEX(Oper_Model_Investing_Activities,MATCH(N$1,Oper_Model_Months,0))+INDEX(Oper_Model_Financing_Activities,MATCH(N$1,Oper_Model_Months,0))</f>
        <v>#NAME?</v>
      </c>
      <c r="O35" s="74" t="str">
        <f t="array" ref="O35">INDEX(Oper_Model_Adjustments_to_Net_Income,MATCH(O$1,Oper_Model_Months,0))-INDEX(Oper_Model_Deferred_Revenue_CFS,MATCH(O$1,Oper_Model_Months,0))+INDEX(Oper_Model_Investing_Activities,MATCH(O$1,Oper_Model_Months,0))+INDEX(Oper_Model_Financing_Activities,MATCH(O$1,Oper_Model_Months,0))</f>
        <v>#NAME?</v>
      </c>
      <c r="P35" s="74" t="str">
        <f t="array" ref="P35">INDEX(Oper_Model_Adjustments_to_Net_Income,MATCH(P$1,Oper_Model_Months,0))-INDEX(Oper_Model_Deferred_Revenue_CFS,MATCH(P$1,Oper_Model_Months,0))+INDEX(Oper_Model_Investing_Activities,MATCH(P$1,Oper_Model_Months,0))+INDEX(Oper_Model_Financing_Activities,MATCH(P$1,Oper_Model_Months,0))</f>
        <v>#NAME?</v>
      </c>
      <c r="Q35" s="74" t="str">
        <f t="array" ref="Q35">INDEX(Oper_Model_Adjustments_to_Net_Income,MATCH(Q$1,Oper_Model_Months,0))-INDEX(Oper_Model_Deferred_Revenue_CFS,MATCH(Q$1,Oper_Model_Months,0))+INDEX(Oper_Model_Investing_Activities,MATCH(Q$1,Oper_Model_Months,0))+INDEX(Oper_Model_Financing_Activities,MATCH(Q$1,Oper_Model_Months,0))</f>
        <v>#NAME?</v>
      </c>
      <c r="R35" s="74" t="str">
        <f t="array" ref="R35">INDEX(Oper_Model_Adjustments_to_Net_Income,MATCH(R$1,Oper_Model_Months,0))-INDEX(Oper_Model_Deferred_Revenue_CFS,MATCH(R$1,Oper_Model_Months,0))+INDEX(Oper_Model_Investing_Activities,MATCH(R$1,Oper_Model_Months,0))+INDEX(Oper_Model_Financing_Activities,MATCH(R$1,Oper_Model_Months,0))</f>
        <v>#NAME?</v>
      </c>
      <c r="S35" s="74" t="str">
        <f t="array" ref="S35">INDEX(Oper_Model_Adjustments_to_Net_Income,MATCH(S$1,Oper_Model_Months,0))-INDEX(Oper_Model_Deferred_Revenue_CFS,MATCH(S$1,Oper_Model_Months,0))+INDEX(Oper_Model_Investing_Activities,MATCH(S$1,Oper_Model_Months,0))+INDEX(Oper_Model_Financing_Activities,MATCH(S$1,Oper_Model_Months,0))</f>
        <v>#NAME?</v>
      </c>
      <c r="T35" s="74" t="str">
        <f t="array" ref="T35">INDEX(Oper_Model_Adjustments_to_Net_Income,MATCH(T$1,Oper_Model_Months,0))-INDEX(Oper_Model_Deferred_Revenue_CFS,MATCH(T$1,Oper_Model_Months,0))+INDEX(Oper_Model_Investing_Activities,MATCH(T$1,Oper_Model_Months,0))+INDEX(Oper_Model_Financing_Activities,MATCH(T$1,Oper_Model_Months,0))</f>
        <v>#NAME?</v>
      </c>
      <c r="U35" s="74" t="str">
        <f t="array" ref="U35">INDEX(Oper_Model_Adjustments_to_Net_Income,MATCH(U$1,Oper_Model_Months,0))-INDEX(Oper_Model_Deferred_Revenue_CFS,MATCH(U$1,Oper_Model_Months,0))+INDEX(Oper_Model_Investing_Activities,MATCH(U$1,Oper_Model_Months,0))+INDEX(Oper_Model_Financing_Activities,MATCH(U$1,Oper_Model_Months,0))</f>
        <v>#NAME?</v>
      </c>
      <c r="V35" s="74" t="str">
        <f t="array" ref="V35">INDEX(Oper_Model_Adjustments_to_Net_Income,MATCH(V$1,Oper_Model_Months,0))-INDEX(Oper_Model_Deferred_Revenue_CFS,MATCH(V$1,Oper_Model_Months,0))+INDEX(Oper_Model_Investing_Activities,MATCH(V$1,Oper_Model_Months,0))+INDEX(Oper_Model_Financing_Activities,MATCH(V$1,Oper_Model_Months,0))</f>
        <v>#NAME?</v>
      </c>
      <c r="W35" s="74" t="str">
        <f t="array" ref="W35">INDEX(Oper_Model_Adjustments_to_Net_Income,MATCH(W$1,Oper_Model_Months,0))-INDEX(Oper_Model_Deferred_Revenue_CFS,MATCH(W$1,Oper_Model_Months,0))+INDEX(Oper_Model_Investing_Activities,MATCH(W$1,Oper_Model_Months,0))+INDEX(Oper_Model_Financing_Activities,MATCH(W$1,Oper_Model_Months,0))</f>
        <v>#NAME?</v>
      </c>
      <c r="X35" s="74" t="str">
        <f t="array" ref="X35">INDEX(Oper_Model_Adjustments_to_Net_Income,MATCH(X$1,Oper_Model_Months,0))-INDEX(Oper_Model_Deferred_Revenue_CFS,MATCH(X$1,Oper_Model_Months,0))+INDEX(Oper_Model_Investing_Activities,MATCH(X$1,Oper_Model_Months,0))+INDEX(Oper_Model_Financing_Activities,MATCH(X$1,Oper_Model_Months,0))</f>
        <v>#NAME?</v>
      </c>
      <c r="Y35" s="74" t="str">
        <f t="array" ref="Y35">INDEX(Oper_Model_Adjustments_to_Net_Income,MATCH(Y$1,Oper_Model_Months,0))-INDEX(Oper_Model_Deferred_Revenue_CFS,MATCH(Y$1,Oper_Model_Months,0))+INDEX(Oper_Model_Investing_Activities,MATCH(Y$1,Oper_Model_Months,0))+INDEX(Oper_Model_Financing_Activities,MATCH(Y$1,Oper_Model_Months,0))</f>
        <v>#NAME?</v>
      </c>
      <c r="Z35" s="74" t="str">
        <f t="array" ref="Z35">INDEX(Oper_Model_Adjustments_to_Net_Income,MATCH(Z$1,Oper_Model_Months,0))-INDEX(Oper_Model_Deferred_Revenue_CFS,MATCH(Z$1,Oper_Model_Months,0))+INDEX(Oper_Model_Investing_Activities,MATCH(Z$1,Oper_Model_Months,0))+INDEX(Oper_Model_Financing_Activities,MATCH(Z$1,Oper_Model_Months,0))</f>
        <v>#NAME?</v>
      </c>
    </row>
    <row r="36" ht="15.75" customHeight="1">
      <c r="B36" s="30" t="s">
        <v>82</v>
      </c>
      <c r="C36" s="42">
        <f t="shared" ref="C36:Z36" si="3">SUM(C33:C35)</f>
        <v>-13824</v>
      </c>
      <c r="D36" s="42">
        <f t="shared" si="3"/>
        <v>-26169</v>
      </c>
      <c r="E36" s="42">
        <f t="shared" si="3"/>
        <v>8407.19</v>
      </c>
      <c r="F36" s="42">
        <f t="shared" si="3"/>
        <v>-117</v>
      </c>
      <c r="G36" s="42" t="str">
        <f t="shared" si="3"/>
        <v>#NAME?</v>
      </c>
      <c r="H36" s="42" t="str">
        <f t="shared" si="3"/>
        <v>#NAME?</v>
      </c>
      <c r="I36" s="42" t="str">
        <f t="shared" si="3"/>
        <v>#NAME?</v>
      </c>
      <c r="J36" s="42" t="str">
        <f t="shared" si="3"/>
        <v>#NAME?</v>
      </c>
      <c r="K36" s="42" t="str">
        <f t="shared" si="3"/>
        <v>#NAME?</v>
      </c>
      <c r="L36" s="42" t="str">
        <f t="shared" si="3"/>
        <v>#NAME?</v>
      </c>
      <c r="M36" s="42" t="str">
        <f t="shared" si="3"/>
        <v>#NAME?</v>
      </c>
      <c r="N36" s="42" t="str">
        <f t="shared" si="3"/>
        <v>#NAME?</v>
      </c>
      <c r="O36" s="42" t="str">
        <f t="shared" si="3"/>
        <v>#NAME?</v>
      </c>
      <c r="P36" s="42" t="str">
        <f t="shared" si="3"/>
        <v>#NAME?</v>
      </c>
      <c r="Q36" s="42" t="str">
        <f t="shared" si="3"/>
        <v>#NAME?</v>
      </c>
      <c r="R36" s="42" t="str">
        <f t="shared" si="3"/>
        <v>#NAME?</v>
      </c>
      <c r="S36" s="42" t="str">
        <f t="shared" si="3"/>
        <v>#NAME?</v>
      </c>
      <c r="T36" s="42" t="str">
        <f t="shared" si="3"/>
        <v>#NAME?</v>
      </c>
      <c r="U36" s="42" t="str">
        <f t="shared" si="3"/>
        <v>#NAME?</v>
      </c>
      <c r="V36" s="42" t="str">
        <f t="shared" si="3"/>
        <v>#NAME?</v>
      </c>
      <c r="W36" s="42" t="str">
        <f t="shared" si="3"/>
        <v>#NAME?</v>
      </c>
      <c r="X36" s="42" t="str">
        <f t="shared" si="3"/>
        <v>#NAME?</v>
      </c>
      <c r="Y36" s="42" t="str">
        <f t="shared" si="3"/>
        <v>#NAME?</v>
      </c>
      <c r="Z36" s="42" t="str">
        <f t="shared" si="3"/>
        <v>#NAME?</v>
      </c>
    </row>
    <row r="37" ht="15.75" customHeight="1"/>
    <row r="38" ht="15.75" customHeight="1">
      <c r="B38" s="31"/>
      <c r="C38" s="76">
        <f t="shared" ref="C38:Z38" si="4">C36-C24</f>
        <v>0</v>
      </c>
      <c r="D38" s="76">
        <f t="shared" si="4"/>
        <v>0</v>
      </c>
      <c r="E38" s="76">
        <f t="shared" si="4"/>
        <v>0</v>
      </c>
      <c r="F38" s="76">
        <f t="shared" si="4"/>
        <v>0</v>
      </c>
      <c r="G38" s="76" t="str">
        <f t="shared" si="4"/>
        <v>#NAME?</v>
      </c>
      <c r="H38" s="76" t="str">
        <f t="shared" si="4"/>
        <v>#NAME?</v>
      </c>
      <c r="I38" s="76" t="str">
        <f t="shared" si="4"/>
        <v>#NAME?</v>
      </c>
      <c r="J38" s="76" t="str">
        <f t="shared" si="4"/>
        <v>#NAME?</v>
      </c>
      <c r="K38" s="76" t="str">
        <f t="shared" si="4"/>
        <v>#NAME?</v>
      </c>
      <c r="L38" s="76" t="str">
        <f t="shared" si="4"/>
        <v>#NAME?</v>
      </c>
      <c r="M38" s="76" t="str">
        <f t="shared" si="4"/>
        <v>#NAME?</v>
      </c>
      <c r="N38" s="76" t="str">
        <f t="shared" si="4"/>
        <v>#NAME?</v>
      </c>
      <c r="O38" s="76" t="str">
        <f t="shared" si="4"/>
        <v>#NAME?</v>
      </c>
      <c r="P38" s="76" t="str">
        <f t="shared" si="4"/>
        <v>#NAME?</v>
      </c>
      <c r="Q38" s="76" t="str">
        <f t="shared" si="4"/>
        <v>#NAME?</v>
      </c>
      <c r="R38" s="76" t="str">
        <f t="shared" si="4"/>
        <v>#NAME?</v>
      </c>
      <c r="S38" s="76" t="str">
        <f t="shared" si="4"/>
        <v>#NAME?</v>
      </c>
      <c r="T38" s="76" t="str">
        <f t="shared" si="4"/>
        <v>#NAME?</v>
      </c>
      <c r="U38" s="76" t="str">
        <f t="shared" si="4"/>
        <v>#NAME?</v>
      </c>
      <c r="V38" s="76" t="str">
        <f t="shared" si="4"/>
        <v>#NAME?</v>
      </c>
      <c r="W38" s="76" t="str">
        <f t="shared" si="4"/>
        <v>#NAME?</v>
      </c>
      <c r="X38" s="76" t="str">
        <f t="shared" si="4"/>
        <v>#NAME?</v>
      </c>
      <c r="Y38" s="76" t="str">
        <f t="shared" si="4"/>
        <v>#NAME?</v>
      </c>
      <c r="Z38" s="76" t="str">
        <f t="shared" si="4"/>
        <v>#NAME?</v>
      </c>
    </row>
    <row r="39" ht="15.75" customHeight="1"/>
    <row r="40" ht="15.75" customHeight="1"/>
    <row r="41" ht="15.75" customHeight="1">
      <c r="B41" s="1" t="s">
        <v>88</v>
      </c>
      <c r="C41" s="74">
        <f t="array" ref="C41">INDEX(Revenue_Model_Net_New_MRR,MATCH(C$1,Revenue_Model_Months,0))</f>
        <v>22458.85019</v>
      </c>
      <c r="D41" s="74">
        <f t="array" ref="D41">INDEX(Revenue_Model_Net_New_MRR,MATCH(D$1,Revenue_Model_Months,0))</f>
        <v>25563.85019</v>
      </c>
      <c r="E41" s="74">
        <f t="array" ref="E41">INDEX(Revenue_Model_Net_New_MRR,MATCH(E$1,Revenue_Model_Months,0))</f>
        <v>-4145</v>
      </c>
      <c r="F41" s="74">
        <f t="array" ref="F41">INDEX(Revenue_Model_Net_New_MRR,MATCH(F$1,Revenue_Model_Months,0))</f>
        <v>-25456</v>
      </c>
      <c r="G41" s="74">
        <f t="array" ref="G41">INDEX(Revenue_Model_Net_New_MRR,MATCH(G$1,Revenue_Model_Months,0))</f>
        <v>-14357.33231</v>
      </c>
      <c r="H41" s="74">
        <f t="array" ref="H41">INDEX(Revenue_Model_Net_New_MRR,MATCH(H$1,Revenue_Model_Months,0))</f>
        <v>-3510.530546</v>
      </c>
      <c r="I41" s="74">
        <f t="array" ref="I41">INDEX(Revenue_Model_Net_New_MRR,MATCH(I$1,Revenue_Model_Months,0))</f>
        <v>7468.598051</v>
      </c>
      <c r="J41" s="74">
        <f t="array" ref="J41">INDEX(Revenue_Model_Net_New_MRR,MATCH(J$1,Revenue_Model_Months,0))</f>
        <v>9962.622002</v>
      </c>
      <c r="K41" s="74">
        <f t="array" ref="K41">INDEX(Revenue_Model_Net_New_MRR,MATCH(K$1,Revenue_Model_Months,0))</f>
        <v>16176.79871</v>
      </c>
      <c r="L41" s="74">
        <f t="array" ref="L41">INDEX(Revenue_Model_Net_New_MRR,MATCH(L$1,Revenue_Model_Months,0))</f>
        <v>18396.52658</v>
      </c>
      <c r="M41" s="74">
        <f t="array" ref="M41">INDEX(Revenue_Model_Net_New_MRR,MATCH(M$1,Revenue_Model_Months,0))</f>
        <v>17357.97715</v>
      </c>
      <c r="N41" s="74">
        <f t="array" ref="N41">INDEX(Revenue_Model_Net_New_MRR,MATCH(N$1,Revenue_Model_Months,0))</f>
        <v>18373.69222</v>
      </c>
      <c r="O41" s="74">
        <f t="array" ref="O41">INDEX(Revenue_Model_Net_New_MRR,MATCH(O$1,Revenue_Model_Months,0))</f>
        <v>18264.86926</v>
      </c>
      <c r="P41" s="74">
        <f t="array" ref="P41">INDEX(Revenue_Model_Net_New_MRR,MATCH(P$1,Revenue_Model_Months,0))</f>
        <v>19406.61733</v>
      </c>
      <c r="Q41" s="74">
        <f t="array" ref="Q41">INDEX(Revenue_Model_Net_New_MRR,MATCH(Q$1,Revenue_Model_Months,0))</f>
        <v>19246.61287</v>
      </c>
      <c r="R41" s="74">
        <f t="array" ref="R41">INDEX(Revenue_Model_Net_New_MRR,MATCH(R$1,Revenue_Model_Months,0))</f>
        <v>20365.70998</v>
      </c>
      <c r="S41" s="74">
        <f t="array" ref="S41">INDEX(Revenue_Model_Net_New_MRR,MATCH(S$1,Revenue_Model_Months,0))</f>
        <v>21471.79665</v>
      </c>
      <c r="T41" s="74">
        <f t="array" ref="T41">INDEX(Revenue_Model_Net_New_MRR,MATCH(T$1,Revenue_Model_Months,0))</f>
        <v>21315.05435</v>
      </c>
      <c r="U41" s="74">
        <f t="array" ref="U41">INDEX(Revenue_Model_Net_New_MRR,MATCH(U$1,Revenue_Model_Months,0))</f>
        <v>22413.67557</v>
      </c>
      <c r="V41" s="74">
        <f t="array" ref="V41">INDEX(Revenue_Model_Net_New_MRR,MATCH(V$1,Revenue_Model_Months,0))</f>
        <v>22254.70029</v>
      </c>
      <c r="W41" s="74">
        <f t="array" ref="W41">INDEX(Revenue_Model_Net_New_MRR,MATCH(W$1,Revenue_Model_Months,0))</f>
        <v>23343.86986</v>
      </c>
      <c r="X41" s="74">
        <f t="array" ref="X41">INDEX(Revenue_Model_Net_New_MRR,MATCH(X$1,Revenue_Model_Months,0))</f>
        <v>24426.25283</v>
      </c>
      <c r="Y41" s="74">
        <f t="array" ref="Y41">INDEX(Revenue_Model_Net_New_MRR,MATCH(Y$1,Revenue_Model_Months,0))</f>
        <v>24252.53104</v>
      </c>
      <c r="Z41" s="74">
        <f t="array" ref="Z41">INDEX(Revenue_Model_Net_New_MRR,MATCH(Z$1,Revenue_Model_Months,0))</f>
        <v>25327.91673</v>
      </c>
    </row>
    <row r="42" ht="15.75" customHeight="1">
      <c r="B42" s="1" t="s">
        <v>89</v>
      </c>
      <c r="C42" s="74">
        <f t="array" ref="C42">INDEX(Revenue_Model_Contraction_MRR_1m,MATCH(C$1,Revenue_Model_Months,0))+INDEX(Revenue_Model_Contraction_MRR_12m,MATCH(C$1,Revenue_Model_Months,0))</f>
        <v>-14719.34074</v>
      </c>
      <c r="D42" s="74">
        <f t="array" ref="D42">INDEX(Revenue_Model_Contraction_MRR_1m,MATCH(D$1,Revenue_Model_Months,0))+INDEX(Revenue_Model_Contraction_MRR_12m,MATCH(D$1,Revenue_Model_Months,0))</f>
        <v>-12226.34074</v>
      </c>
      <c r="E42" s="74">
        <f t="array" ref="E42">INDEX(Revenue_Model_Contraction_MRR_1m,MATCH(E$1,Revenue_Model_Months,0))+INDEX(Revenue_Model_Contraction_MRR_12m,MATCH(E$1,Revenue_Model_Months,0))</f>
        <v>-15131</v>
      </c>
      <c r="F42" s="74">
        <f t="array" ref="F42">INDEX(Revenue_Model_Contraction_MRR_1m,MATCH(F$1,Revenue_Model_Months,0))+INDEX(Revenue_Model_Contraction_MRR_12m,MATCH(F$1,Revenue_Model_Months,0))</f>
        <v>-14756</v>
      </c>
      <c r="G42" s="74">
        <f t="array" ref="G42">INDEX(Revenue_Model_Contraction_MRR_1m,MATCH(G$1,Revenue_Model_Months,0))+INDEX(Revenue_Model_Contraction_MRR_12m,MATCH(G$1,Revenue_Model_Months,0))</f>
        <v>-13258.55101</v>
      </c>
      <c r="H42" s="74">
        <f t="array" ref="H42">INDEX(Revenue_Model_Contraction_MRR_1m,MATCH(H$1,Revenue_Model_Months,0))+INDEX(Revenue_Model_Contraction_MRR_12m,MATCH(H$1,Revenue_Model_Months,0))</f>
        <v>-12759.94089</v>
      </c>
      <c r="I42" s="74">
        <f t="array" ref="I42">INDEX(Revenue_Model_Contraction_MRR_1m,MATCH(I$1,Revenue_Model_Months,0))+INDEX(Revenue_Model_Contraction_MRR_12m,MATCH(I$1,Revenue_Model_Months,0))</f>
        <v>-11056.66503</v>
      </c>
      <c r="J42" s="74">
        <f t="array" ref="J42">INDEX(Revenue_Model_Contraction_MRR_1m,MATCH(J$1,Revenue_Model_Months,0))+INDEX(Revenue_Model_Contraction_MRR_12m,MATCH(J$1,Revenue_Model_Months,0))</f>
        <v>-10859.38458</v>
      </c>
      <c r="K42" s="74">
        <f t="array" ref="K42">INDEX(Revenue_Model_Contraction_MRR_1m,MATCH(K$1,Revenue_Model_Months,0))+INDEX(Revenue_Model_Contraction_MRR_12m,MATCH(K$1,Revenue_Model_Months,0))</f>
        <v>-10560.44425</v>
      </c>
      <c r="L42" s="74">
        <f t="array" ref="L42">INDEX(Revenue_Model_Contraction_MRR_1m,MATCH(L$1,Revenue_Model_Months,0))+INDEX(Revenue_Model_Contraction_MRR_12m,MATCH(L$1,Revenue_Model_Months,0))</f>
        <v>-9621.825479</v>
      </c>
      <c r="M42" s="74">
        <f t="array" ref="M42">INDEX(Revenue_Model_Contraction_MRR_1m,MATCH(M$1,Revenue_Model_Months,0))+INDEX(Revenue_Model_Contraction_MRR_12m,MATCH(M$1,Revenue_Model_Months,0))</f>
        <v>-10929.16357</v>
      </c>
      <c r="N42" s="74">
        <f t="array" ref="N42">INDEX(Revenue_Model_Contraction_MRR_1m,MATCH(N$1,Revenue_Model_Months,0))+INDEX(Revenue_Model_Contraction_MRR_12m,MATCH(N$1,Revenue_Model_Months,0))</f>
        <v>-11139.17471</v>
      </c>
      <c r="O42" s="74">
        <f t="array" ref="O42">INDEX(Revenue_Model_Contraction_MRR_1m,MATCH(O$1,Revenue_Model_Months,0))+INDEX(Revenue_Model_Contraction_MRR_12m,MATCH(O$1,Revenue_Model_Months,0))</f>
        <v>-11349.02799</v>
      </c>
      <c r="P42" s="74">
        <f t="array" ref="P42">INDEX(Revenue_Model_Contraction_MRR_1m,MATCH(P$1,Revenue_Model_Months,0))+INDEX(Revenue_Model_Contraction_MRR_12m,MATCH(P$1,Revenue_Model_Months,0))</f>
        <v>-11574.78566</v>
      </c>
      <c r="Q42" s="74">
        <f t="array" ref="Q42">INDEX(Revenue_Model_Contraction_MRR_1m,MATCH(Q$1,Revenue_Model_Months,0))+INDEX(Revenue_Model_Contraction_MRR_12m,MATCH(Q$1,Revenue_Model_Months,0))</f>
        <v>-11807.47553</v>
      </c>
      <c r="R42" s="74">
        <f t="array" ref="R42">INDEX(Revenue_Model_Contraction_MRR_1m,MATCH(R$1,Revenue_Model_Months,0))+INDEX(Revenue_Model_Contraction_MRR_12m,MATCH(R$1,Revenue_Model_Months,0))</f>
        <v>-12036.80607</v>
      </c>
      <c r="S42" s="74">
        <f t="array" ref="S42">INDEX(Revenue_Model_Contraction_MRR_1m,MATCH(S$1,Revenue_Model_Months,0))+INDEX(Revenue_Model_Contraction_MRR_12m,MATCH(S$1,Revenue_Model_Months,0))</f>
        <v>-12283.40731</v>
      </c>
      <c r="T42" s="74">
        <f t="array" ref="T42">INDEX(Revenue_Model_Contraction_MRR_1m,MATCH(T$1,Revenue_Model_Months,0))+INDEX(Revenue_Model_Contraction_MRR_12m,MATCH(T$1,Revenue_Model_Months,0))</f>
        <v>-12542.08845</v>
      </c>
      <c r="U42" s="74">
        <f t="array" ref="U42">INDEX(Revenue_Model_Contraction_MRR_1m,MATCH(U$1,Revenue_Model_Months,0))+INDEX(Revenue_Model_Contraction_MRR_12m,MATCH(U$1,Revenue_Model_Months,0))</f>
        <v>-12798.52167</v>
      </c>
      <c r="V42" s="74">
        <f t="array" ref="V42">INDEX(Revenue_Model_Contraction_MRR_1m,MATCH(V$1,Revenue_Model_Months,0))+INDEX(Revenue_Model_Contraction_MRR_12m,MATCH(V$1,Revenue_Model_Months,0))</f>
        <v>-13069.26305</v>
      </c>
      <c r="W42" s="74">
        <f t="array" ref="W42">INDEX(Revenue_Model_Contraction_MRR_1m,MATCH(W$1,Revenue_Model_Months,0))+INDEX(Revenue_Model_Contraction_MRR_12m,MATCH(W$1,Revenue_Model_Months,0))</f>
        <v>-13337.17152</v>
      </c>
      <c r="X42" s="74">
        <f t="array" ref="X42">INDEX(Revenue_Model_Contraction_MRR_1m,MATCH(X$1,Revenue_Model_Months,0))+INDEX(Revenue_Model_Contraction_MRR_12m,MATCH(X$1,Revenue_Model_Months,0))</f>
        <v>-13618.81759</v>
      </c>
      <c r="Y42" s="74">
        <f t="array" ref="Y42">INDEX(Revenue_Model_Contraction_MRR_1m,MATCH(Y$1,Revenue_Model_Months,0))+INDEX(Revenue_Model_Contraction_MRR_12m,MATCH(Y$1,Revenue_Model_Months,0))</f>
        <v>-13914.07775</v>
      </c>
      <c r="Z42" s="74">
        <f t="array" ref="Z42">INDEX(Revenue_Model_Contraction_MRR_1m,MATCH(Z$1,Revenue_Model_Months,0))+INDEX(Revenue_Model_Contraction_MRR_12m,MATCH(Z$1,Revenue_Model_Months,0))</f>
        <v>-14206.59886</v>
      </c>
    </row>
    <row r="43" ht="15.75" customHeight="1">
      <c r="B43" s="1" t="s">
        <v>90</v>
      </c>
      <c r="C43" s="74">
        <f t="array" ref="C43">INDEX(Revenue_Model_Churn_MRR_1m,MATCH(C$1,Revenue_Model_Months,0))+INDEX(Revenue_Model_Churn_MRR_12m,MATCH(C$1,Revenue_Model_Months,0))</f>
        <v>-19092.46331</v>
      </c>
      <c r="D43" s="74">
        <f t="array" ref="D43">INDEX(Revenue_Model_Churn_MRR_1m,MATCH(D$1,Revenue_Model_Months,0))+INDEX(Revenue_Model_Churn_MRR_12m,MATCH(D$1,Revenue_Model_Months,0))</f>
        <v>-21654.46331</v>
      </c>
      <c r="E43" s="74">
        <f t="array" ref="E43">INDEX(Revenue_Model_Churn_MRR_1m,MATCH(E$1,Revenue_Model_Months,0))+INDEX(Revenue_Model_Churn_MRR_12m,MATCH(E$1,Revenue_Model_Months,0))</f>
        <v>-34418</v>
      </c>
      <c r="F43" s="74">
        <f t="array" ref="F43">INDEX(Revenue_Model_Churn_MRR_1m,MATCH(F$1,Revenue_Model_Months,0))+INDEX(Revenue_Model_Churn_MRR_12m,MATCH(F$1,Revenue_Model_Months,0))</f>
        <v>-38975</v>
      </c>
      <c r="G43" s="74">
        <f t="array" ref="G43">INDEX(Revenue_Model_Churn_MRR_1m,MATCH(G$1,Revenue_Model_Months,0))+INDEX(Revenue_Model_Churn_MRR_12m,MATCH(G$1,Revenue_Model_Months,0))</f>
        <v>-41335.08571</v>
      </c>
      <c r="H43" s="74">
        <f t="array" ref="H43">INDEX(Revenue_Model_Churn_MRR_1m,MATCH(H$1,Revenue_Model_Months,0))+INDEX(Revenue_Model_Churn_MRR_12m,MATCH(H$1,Revenue_Model_Months,0))</f>
        <v>-32758.47409</v>
      </c>
      <c r="I43" s="74">
        <f t="array" ref="I43">INDEX(Revenue_Model_Churn_MRR_1m,MATCH(I$1,Revenue_Model_Months,0))+INDEX(Revenue_Model_Churn_MRR_12m,MATCH(I$1,Revenue_Model_Months,0))</f>
        <v>-23750.95027</v>
      </c>
      <c r="J43" s="74">
        <f t="array" ref="J43">INDEX(Revenue_Model_Churn_MRR_1m,MATCH(J$1,Revenue_Model_Months,0))+INDEX(Revenue_Model_Churn_MRR_12m,MATCH(J$1,Revenue_Model_Months,0))</f>
        <v>-24716.09183</v>
      </c>
      <c r="K43" s="74">
        <f t="array" ref="K43">INDEX(Revenue_Model_Churn_MRR_1m,MATCH(K$1,Revenue_Model_Months,0))+INDEX(Revenue_Model_Churn_MRR_12m,MATCH(K$1,Revenue_Model_Months,0))</f>
        <v>-20473.17917</v>
      </c>
      <c r="L43" s="74">
        <f t="array" ref="L43">INDEX(Revenue_Model_Churn_MRR_1m,MATCH(L$1,Revenue_Model_Months,0))+INDEX(Revenue_Model_Churn_MRR_12m,MATCH(L$1,Revenue_Model_Months,0))</f>
        <v>-20766.14044</v>
      </c>
      <c r="M43" s="74">
        <f t="array" ref="M43">INDEX(Revenue_Model_Churn_MRR_1m,MATCH(M$1,Revenue_Model_Months,0))+INDEX(Revenue_Model_Churn_MRR_12m,MATCH(M$1,Revenue_Model_Months,0))</f>
        <v>-21266.01425</v>
      </c>
      <c r="N43" s="74">
        <f t="array" ref="N43">INDEX(Revenue_Model_Churn_MRR_1m,MATCH(N$1,Revenue_Model_Months,0))+INDEX(Revenue_Model_Churn_MRR_12m,MATCH(N$1,Revenue_Model_Months,0))</f>
        <v>-21633.83357</v>
      </c>
      <c r="O43" s="74">
        <f t="array" ref="O43">INDEX(Revenue_Model_Churn_MRR_1m,MATCH(O$1,Revenue_Model_Months,0))+INDEX(Revenue_Model_Churn_MRR_12m,MATCH(O$1,Revenue_Model_Months,0))</f>
        <v>-22054.8304</v>
      </c>
      <c r="P43" s="74">
        <f t="array" ref="P43">INDEX(Revenue_Model_Churn_MRR_1m,MATCH(P$1,Revenue_Model_Months,0))+INDEX(Revenue_Model_Churn_MRR_12m,MATCH(P$1,Revenue_Model_Months,0))</f>
        <v>-22498.37619</v>
      </c>
      <c r="Q43" s="74">
        <f t="array" ref="Q43">INDEX(Revenue_Model_Churn_MRR_1m,MATCH(Q$1,Revenue_Model_Months,0))+INDEX(Revenue_Model_Churn_MRR_12m,MATCH(Q$1,Revenue_Model_Months,0))</f>
        <v>-22942.84486</v>
      </c>
      <c r="R43" s="74">
        <f t="array" ref="R43">INDEX(Revenue_Model_Churn_MRR_1m,MATCH(R$1,Revenue_Model_Months,0))+INDEX(Revenue_Model_Churn_MRR_12m,MATCH(R$1,Revenue_Model_Months,0))</f>
        <v>-23392.07387</v>
      </c>
      <c r="S43" s="74">
        <f t="array" ref="S43">INDEX(Revenue_Model_Churn_MRR_1m,MATCH(S$1,Revenue_Model_Months,0))+INDEX(Revenue_Model_Churn_MRR_12m,MATCH(S$1,Revenue_Model_Months,0))</f>
        <v>-23871.53202</v>
      </c>
      <c r="T43" s="74">
        <f t="array" ref="T43">INDEX(Revenue_Model_Churn_MRR_1m,MATCH(T$1,Revenue_Model_Months,0))+INDEX(Revenue_Model_Churn_MRR_12m,MATCH(T$1,Revenue_Model_Months,0))</f>
        <v>-24372.87138</v>
      </c>
      <c r="U43" s="74">
        <f t="array" ref="U43">INDEX(Revenue_Model_Churn_MRR_1m,MATCH(U$1,Revenue_Model_Months,0))+INDEX(Revenue_Model_Churn_MRR_12m,MATCH(U$1,Revenue_Model_Months,0))</f>
        <v>-24872.04978</v>
      </c>
      <c r="V43" s="74">
        <f t="array" ref="V43">INDEX(Revenue_Model_Churn_MRR_1m,MATCH(V$1,Revenue_Model_Months,0))+INDEX(Revenue_Model_Churn_MRR_12m,MATCH(V$1,Revenue_Model_Months,0))</f>
        <v>-25398.08944</v>
      </c>
      <c r="W43" s="74">
        <f t="array" ref="W43">INDEX(Revenue_Model_Churn_MRR_1m,MATCH(W$1,Revenue_Model_Months,0))+INDEX(Revenue_Model_Churn_MRR_12m,MATCH(W$1,Revenue_Model_Months,0))</f>
        <v>-25918.50878</v>
      </c>
      <c r="X43" s="74">
        <f t="array" ref="X43">INDEX(Revenue_Model_Churn_MRR_1m,MATCH(X$1,Revenue_Model_Months,0))+INDEX(Revenue_Model_Churn_MRR_12m,MATCH(X$1,Revenue_Model_Months,0))</f>
        <v>-26466.02367</v>
      </c>
      <c r="Y43" s="74">
        <f t="array" ref="Y43">INDEX(Revenue_Model_Churn_MRR_1m,MATCH(Y$1,Revenue_Model_Months,0))+INDEX(Revenue_Model_Churn_MRR_12m,MATCH(Y$1,Revenue_Model_Months,0))</f>
        <v>-27039.7659</v>
      </c>
      <c r="Z43" s="74">
        <f t="array" ref="Z43">INDEX(Revenue_Model_Churn_MRR_1m,MATCH(Z$1,Revenue_Model_Months,0))+INDEX(Revenue_Model_Churn_MRR_12m,MATCH(Z$1,Revenue_Model_Months,0))</f>
        <v>-27608.20407</v>
      </c>
    </row>
    <row r="44" ht="15.75" customHeight="1">
      <c r="B44" s="1" t="s">
        <v>91</v>
      </c>
      <c r="C44" s="74">
        <f t="array" ref="C44">INDEX(Revenue_Model_Expansion_MRR_1m,MATCH(C$1,Revenue_Model_Months,0))+INDEX(Revenue_Model_Expansion_MRR_12m,MATCH(C$1,Revenue_Model_Months,0))</f>
        <v>23189.70185</v>
      </c>
      <c r="D44" s="74">
        <f t="array" ref="D44">INDEX(Revenue_Model_Expansion_MRR_1m,MATCH(D$1,Revenue_Model_Months,0))+INDEX(Revenue_Model_Expansion_MRR_12m,MATCH(D$1,Revenue_Model_Months,0))</f>
        <v>25376.70185</v>
      </c>
      <c r="E44" s="74">
        <f t="array" ref="E44">INDEX(Revenue_Model_Expansion_MRR_1m,MATCH(E$1,Revenue_Model_Months,0))+INDEX(Revenue_Model_Expansion_MRR_12m,MATCH(E$1,Revenue_Model_Months,0))</f>
        <v>20276</v>
      </c>
      <c r="F44" s="74">
        <f t="array" ref="F44">INDEX(Revenue_Model_Expansion_MRR_1m,MATCH(F$1,Revenue_Model_Months,0))+INDEX(Revenue_Model_Expansion_MRR_12m,MATCH(F$1,Revenue_Model_Months,0))</f>
        <v>10675</v>
      </c>
      <c r="G44" s="74">
        <f t="array" ref="G44">INDEX(Revenue_Model_Expansion_MRR_1m,MATCH(G$1,Revenue_Model_Months,0))+INDEX(Revenue_Model_Expansion_MRR_12m,MATCH(G$1,Revenue_Model_Months,0))</f>
        <v>19179.34972</v>
      </c>
      <c r="H44" s="74">
        <f t="array" ref="H44">INDEX(Revenue_Model_Expansion_MRR_1m,MATCH(H$1,Revenue_Model_Months,0))+INDEX(Revenue_Model_Expansion_MRR_12m,MATCH(H$1,Revenue_Model_Months,0))</f>
        <v>19495.54749</v>
      </c>
      <c r="I44" s="74">
        <f t="array" ref="I44">INDEX(Revenue_Model_Expansion_MRR_1m,MATCH(I$1,Revenue_Model_Months,0))+INDEX(Revenue_Model_Expansion_MRR_12m,MATCH(I$1,Revenue_Model_Months,0))</f>
        <v>18557.50843</v>
      </c>
      <c r="J44" s="74">
        <f t="array" ref="J44">INDEX(Revenue_Model_Expansion_MRR_1m,MATCH(J$1,Revenue_Model_Months,0))+INDEX(Revenue_Model_Expansion_MRR_12m,MATCH(J$1,Revenue_Model_Months,0))</f>
        <v>23108.76623</v>
      </c>
      <c r="K44" s="74">
        <f t="array" ref="K44">INDEX(Revenue_Model_Expansion_MRR_1m,MATCH(K$1,Revenue_Model_Months,0))+INDEX(Revenue_Model_Expansion_MRR_12m,MATCH(K$1,Revenue_Model_Months,0))</f>
        <v>24739.75426</v>
      </c>
      <c r="L44" s="74">
        <f t="array" ref="L44">INDEX(Revenue_Model_Expansion_MRR_1m,MATCH(L$1,Revenue_Model_Months,0))+INDEX(Revenue_Model_Expansion_MRR_12m,MATCH(L$1,Revenue_Model_Months,0))</f>
        <v>25079.84896</v>
      </c>
      <c r="M44" s="74">
        <f t="array" ref="M44">INDEX(Revenue_Model_Expansion_MRR_1m,MATCH(M$1,Revenue_Model_Months,0))+INDEX(Revenue_Model_Expansion_MRR_12m,MATCH(M$1,Revenue_Model_Months,0))</f>
        <v>25853.36901</v>
      </c>
      <c r="N44" s="74">
        <f t="array" ref="N44">INDEX(Revenue_Model_Expansion_MRR_1m,MATCH(N$1,Revenue_Model_Months,0))+INDEX(Revenue_Model_Expansion_MRR_12m,MATCH(N$1,Revenue_Model_Months,0))</f>
        <v>26191.30858</v>
      </c>
      <c r="O44" s="74">
        <f t="array" ref="O44">INDEX(Revenue_Model_Expansion_MRR_1m,MATCH(O$1,Revenue_Model_Months,0))+INDEX(Revenue_Model_Expansion_MRR_12m,MATCH(O$1,Revenue_Model_Months,0))</f>
        <v>26717.0651</v>
      </c>
      <c r="P44" s="74">
        <f t="array" ref="P44">INDEX(Revenue_Model_Expansion_MRR_1m,MATCH(P$1,Revenue_Model_Months,0))+INDEX(Revenue_Model_Expansion_MRR_12m,MATCH(P$1,Revenue_Model_Months,0))</f>
        <v>27280.73427</v>
      </c>
      <c r="Q44" s="74">
        <f t="array" ref="Q44">INDEX(Revenue_Model_Expansion_MRR_1m,MATCH(Q$1,Revenue_Model_Months,0))+INDEX(Revenue_Model_Expansion_MRR_12m,MATCH(Q$1,Revenue_Model_Months,0))</f>
        <v>27796.47282</v>
      </c>
      <c r="R44" s="74">
        <f t="array" ref="R44">INDEX(Revenue_Model_Expansion_MRR_1m,MATCH(R$1,Revenue_Model_Months,0))+INDEX(Revenue_Model_Expansion_MRR_12m,MATCH(R$1,Revenue_Model_Months,0))</f>
        <v>28347.4013</v>
      </c>
      <c r="S44" s="74">
        <f t="array" ref="S44">INDEX(Revenue_Model_Expansion_MRR_1m,MATCH(S$1,Revenue_Model_Months,0))+INDEX(Revenue_Model_Expansion_MRR_12m,MATCH(S$1,Revenue_Model_Months,0))</f>
        <v>28931.83034</v>
      </c>
      <c r="T44" s="74">
        <f t="array" ref="T44">INDEX(Revenue_Model_Expansion_MRR_1m,MATCH(T$1,Revenue_Model_Months,0))+INDEX(Revenue_Model_Expansion_MRR_12m,MATCH(T$1,Revenue_Model_Months,0))</f>
        <v>29534.88149</v>
      </c>
      <c r="U44" s="74">
        <f t="array" ref="U44">INDEX(Revenue_Model_Expansion_MRR_1m,MATCH(U$1,Revenue_Model_Months,0))+INDEX(Revenue_Model_Expansion_MRR_12m,MATCH(U$1,Revenue_Model_Months,0))</f>
        <v>30141.69633</v>
      </c>
      <c r="V44" s="74">
        <f t="array" ref="V44">INDEX(Revenue_Model_Expansion_MRR_1m,MATCH(V$1,Revenue_Model_Months,0))+INDEX(Revenue_Model_Expansion_MRR_12m,MATCH(V$1,Revenue_Model_Months,0))</f>
        <v>30779.45083</v>
      </c>
      <c r="W44" s="74">
        <f t="array" ref="W44">INDEX(Revenue_Model_Expansion_MRR_1m,MATCH(W$1,Revenue_Model_Months,0))+INDEX(Revenue_Model_Expansion_MRR_12m,MATCH(W$1,Revenue_Model_Months,0))</f>
        <v>31409.30884</v>
      </c>
      <c r="X44" s="74">
        <f t="array" ref="X44">INDEX(Revenue_Model_Expansion_MRR_1m,MATCH(X$1,Revenue_Model_Months,0))+INDEX(Revenue_Model_Expansion_MRR_12m,MATCH(X$1,Revenue_Model_Months,0))</f>
        <v>32073.28254</v>
      </c>
      <c r="Y44" s="74">
        <f t="array" ref="Y44">INDEX(Revenue_Model_Expansion_MRR_1m,MATCH(Y$1,Revenue_Model_Months,0))+INDEX(Revenue_Model_Expansion_MRR_12m,MATCH(Y$1,Revenue_Model_Months,0))</f>
        <v>32768.54769</v>
      </c>
      <c r="Z44" s="74">
        <f t="array" ref="Z44">INDEX(Revenue_Model_Expansion_MRR_1m,MATCH(Z$1,Revenue_Model_Months,0))+INDEX(Revenue_Model_Expansion_MRR_12m,MATCH(Z$1,Revenue_Model_Months,0))</f>
        <v>33457.28127</v>
      </c>
    </row>
    <row r="45" ht="15.75" customHeight="1">
      <c r="B45" s="1" t="s">
        <v>92</v>
      </c>
      <c r="C45" s="74">
        <f t="array" ref="C45">INDEX(Revenue_Model_New_MRR_1m,MATCH(C$1,Revenue_Model_Months,0))+INDEX(Revenue_Model_New_MRR_12m,MATCH(C$1,Revenue_Model_Months,0))+INDEX(Revenue_Model_Reactivation_MRR_1m,MATCH(C$1,Revenue_Model_Months,0))</f>
        <v>33080.95238</v>
      </c>
      <c r="D45" s="74">
        <f t="array" ref="D45">INDEX(Revenue_Model_New_MRR_1m,MATCH(D$1,Revenue_Model_Months,0))+INDEX(Revenue_Model_New_MRR_12m,MATCH(D$1,Revenue_Model_Months,0))+INDEX(Revenue_Model_Reactivation_MRR_1m,MATCH(D$1,Revenue_Model_Months,0))</f>
        <v>34067.95238</v>
      </c>
      <c r="E45" s="74">
        <f t="array" ref="E45">INDEX(Revenue_Model_New_MRR_1m,MATCH(E$1,Revenue_Model_Months,0))+INDEX(Revenue_Model_New_MRR_12m,MATCH(E$1,Revenue_Model_Months,0))+INDEX(Revenue_Model_Reactivation_MRR_1m,MATCH(E$1,Revenue_Model_Months,0))</f>
        <v>25128</v>
      </c>
      <c r="F45" s="74">
        <f t="array" ref="F45">INDEX(Revenue_Model_New_MRR_1m,MATCH(F$1,Revenue_Model_Months,0))+INDEX(Revenue_Model_New_MRR_12m,MATCH(F$1,Revenue_Model_Months,0))+INDEX(Revenue_Model_Reactivation_MRR_1m,MATCH(F$1,Revenue_Model_Months,0))</f>
        <v>17600</v>
      </c>
      <c r="G45" s="74">
        <f t="array" ref="G45">INDEX(Revenue_Model_New_MRR_1m,MATCH(G$1,Revenue_Model_Months,0))+INDEX(Revenue_Model_New_MRR_12m,MATCH(G$1,Revenue_Model_Months,0))+INDEX(Revenue_Model_Reactivation_MRR_1m,MATCH(G$1,Revenue_Model_Months,0))</f>
        <v>21056.95469</v>
      </c>
      <c r="H45" s="74">
        <f t="array" ref="H45">INDEX(Revenue_Model_New_MRR_1m,MATCH(H$1,Revenue_Model_Months,0))+INDEX(Revenue_Model_New_MRR_12m,MATCH(H$1,Revenue_Model_Months,0))+INDEX(Revenue_Model_Reactivation_MRR_1m,MATCH(H$1,Revenue_Model_Months,0))</f>
        <v>22512.33695</v>
      </c>
      <c r="I45" s="74">
        <f t="array" ref="I45">INDEX(Revenue_Model_New_MRR_1m,MATCH(I$1,Revenue_Model_Months,0))+INDEX(Revenue_Model_New_MRR_12m,MATCH(I$1,Revenue_Model_Months,0))+INDEX(Revenue_Model_Reactivation_MRR_1m,MATCH(I$1,Revenue_Model_Months,0))</f>
        <v>23718.70492</v>
      </c>
      <c r="J45" s="74">
        <f t="array" ref="J45">INDEX(Revenue_Model_New_MRR_1m,MATCH(J$1,Revenue_Model_Months,0))+INDEX(Revenue_Model_New_MRR_12m,MATCH(J$1,Revenue_Model_Months,0))+INDEX(Revenue_Model_Reactivation_MRR_1m,MATCH(J$1,Revenue_Model_Months,0))</f>
        <v>22429.33218</v>
      </c>
      <c r="K45" s="74">
        <f t="array" ref="K45">INDEX(Revenue_Model_New_MRR_1m,MATCH(K$1,Revenue_Model_Months,0))+INDEX(Revenue_Model_New_MRR_12m,MATCH(K$1,Revenue_Model_Months,0))+INDEX(Revenue_Model_Reactivation_MRR_1m,MATCH(K$1,Revenue_Model_Months,0))</f>
        <v>22470.66787</v>
      </c>
      <c r="L45" s="74">
        <f t="array" ref="L45">INDEX(Revenue_Model_New_MRR_1m,MATCH(L$1,Revenue_Model_Months,0))+INDEX(Revenue_Model_New_MRR_12m,MATCH(L$1,Revenue_Model_Months,0))+INDEX(Revenue_Model_Reactivation_MRR_1m,MATCH(L$1,Revenue_Model_Months,0))</f>
        <v>23704.64354</v>
      </c>
      <c r="M45" s="74">
        <f t="array" ref="M45">INDEX(Revenue_Model_New_MRR_1m,MATCH(M$1,Revenue_Model_Months,0))+INDEX(Revenue_Model_New_MRR_12m,MATCH(M$1,Revenue_Model_Months,0))+INDEX(Revenue_Model_Reactivation_MRR_1m,MATCH(M$1,Revenue_Model_Months,0))</f>
        <v>23699.78597</v>
      </c>
      <c r="N45" s="74">
        <f t="array" ref="N45">INDEX(Revenue_Model_New_MRR_1m,MATCH(N$1,Revenue_Model_Months,0))+INDEX(Revenue_Model_New_MRR_12m,MATCH(N$1,Revenue_Model_Months,0))+INDEX(Revenue_Model_Reactivation_MRR_1m,MATCH(N$1,Revenue_Model_Months,0))</f>
        <v>24955.39192</v>
      </c>
      <c r="O45" s="74">
        <f t="array" ref="O45">INDEX(Revenue_Model_New_MRR_1m,MATCH(O$1,Revenue_Model_Months,0))+INDEX(Revenue_Model_New_MRR_12m,MATCH(O$1,Revenue_Model_Months,0))+INDEX(Revenue_Model_Reactivation_MRR_1m,MATCH(O$1,Revenue_Model_Months,0))</f>
        <v>24951.66256</v>
      </c>
      <c r="P45" s="74">
        <f t="array" ref="P45">INDEX(Revenue_Model_New_MRR_1m,MATCH(P$1,Revenue_Model_Months,0))+INDEX(Revenue_Model_New_MRR_12m,MATCH(P$1,Revenue_Model_Months,0))+INDEX(Revenue_Model_Reactivation_MRR_1m,MATCH(P$1,Revenue_Model_Months,0))</f>
        <v>26199.04491</v>
      </c>
      <c r="Q45" s="74">
        <f t="array" ref="Q45">INDEX(Revenue_Model_New_MRR_1m,MATCH(Q$1,Revenue_Model_Months,0))+INDEX(Revenue_Model_New_MRR_12m,MATCH(Q$1,Revenue_Model_Months,0))+INDEX(Revenue_Model_Reactivation_MRR_1m,MATCH(Q$1,Revenue_Model_Months,0))</f>
        <v>26200.46044</v>
      </c>
      <c r="R45" s="74">
        <f t="array" ref="R45">INDEX(Revenue_Model_New_MRR_1m,MATCH(R$1,Revenue_Model_Months,0))+INDEX(Revenue_Model_New_MRR_12m,MATCH(R$1,Revenue_Model_Months,0))+INDEX(Revenue_Model_Reactivation_MRR_1m,MATCH(R$1,Revenue_Model_Months,0))</f>
        <v>27447.18861</v>
      </c>
      <c r="S45" s="74">
        <f t="array" ref="S45">INDEX(Revenue_Model_New_MRR_1m,MATCH(S$1,Revenue_Model_Months,0))+INDEX(Revenue_Model_New_MRR_12m,MATCH(S$1,Revenue_Model_Months,0))+INDEX(Revenue_Model_Reactivation_MRR_1m,MATCH(S$1,Revenue_Model_Months,0))</f>
        <v>28694.90564</v>
      </c>
      <c r="T45" s="74">
        <f t="array" ref="T45">INDEX(Revenue_Model_New_MRR_1m,MATCH(T$1,Revenue_Model_Months,0))+INDEX(Revenue_Model_New_MRR_12m,MATCH(T$1,Revenue_Model_Months,0))+INDEX(Revenue_Model_Reactivation_MRR_1m,MATCH(T$1,Revenue_Model_Months,0))</f>
        <v>28695.1327</v>
      </c>
      <c r="U45" s="74">
        <f t="array" ref="U45">INDEX(Revenue_Model_New_MRR_1m,MATCH(U$1,Revenue_Model_Months,0))+INDEX(Revenue_Model_New_MRR_12m,MATCH(U$1,Revenue_Model_Months,0))+INDEX(Revenue_Model_Reactivation_MRR_1m,MATCH(U$1,Revenue_Model_Months,0))</f>
        <v>29942.55069</v>
      </c>
      <c r="V45" s="74">
        <f t="array" ref="V45">INDEX(Revenue_Model_New_MRR_1m,MATCH(V$1,Revenue_Model_Months,0))+INDEX(Revenue_Model_New_MRR_12m,MATCH(V$1,Revenue_Model_Months,0))+INDEX(Revenue_Model_Reactivation_MRR_1m,MATCH(V$1,Revenue_Model_Months,0))</f>
        <v>29942.60195</v>
      </c>
      <c r="W45" s="74">
        <f t="array" ref="W45">INDEX(Revenue_Model_New_MRR_1m,MATCH(W$1,Revenue_Model_Months,0))+INDEX(Revenue_Model_New_MRR_12m,MATCH(W$1,Revenue_Model_Months,0))+INDEX(Revenue_Model_Reactivation_MRR_1m,MATCH(W$1,Revenue_Model_Months,0))</f>
        <v>31190.24132</v>
      </c>
      <c r="X45" s="74">
        <f t="array" ref="X45">INDEX(Revenue_Model_New_MRR_1m,MATCH(X$1,Revenue_Model_Months,0))+INDEX(Revenue_Model_New_MRR_12m,MATCH(X$1,Revenue_Model_Months,0))+INDEX(Revenue_Model_Reactivation_MRR_1m,MATCH(X$1,Revenue_Model_Months,0))</f>
        <v>32437.81155</v>
      </c>
      <c r="Y45" s="74">
        <f t="array" ref="Y45">INDEX(Revenue_Model_New_MRR_1m,MATCH(Y$1,Revenue_Model_Months,0))+INDEX(Revenue_Model_New_MRR_12m,MATCH(Y$1,Revenue_Model_Months,0))+INDEX(Revenue_Model_Reactivation_MRR_1m,MATCH(Y$1,Revenue_Model_Months,0))</f>
        <v>32437.827</v>
      </c>
      <c r="Z45" s="74">
        <f t="array" ref="Z45">INDEX(Revenue_Model_New_MRR_1m,MATCH(Z$1,Revenue_Model_Months,0))+INDEX(Revenue_Model_New_MRR_12m,MATCH(Z$1,Revenue_Model_Months,0))+INDEX(Revenue_Model_Reactivation_MRR_1m,MATCH(Z$1,Revenue_Model_Months,0))</f>
        <v>33685.4384</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8:Z38">
    <cfRule type="cellIs" dxfId="0" priority="1" operator="equal">
      <formula>0</formula>
    </cfRule>
  </conditionalFormatting>
  <conditionalFormatting sqref="C38:Z38">
    <cfRule type="cellIs" dxfId="1" priority="2" operator="notEqual">
      <formula>0</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outlinePr summaryBelow="0" summaryRight="0"/>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48.75"/>
    <col customWidth="1" min="2" max="74" width="14.38"/>
  </cols>
  <sheetData>
    <row r="1" ht="15.75" customHeight="1">
      <c r="A1" s="77" t="s">
        <v>93</v>
      </c>
      <c r="B1" s="78"/>
      <c r="C1" s="78">
        <v>43101.0</v>
      </c>
      <c r="D1" s="78">
        <f t="shared" ref="D1:BV1" si="1">EDATE(C1,1)</f>
        <v>43132</v>
      </c>
      <c r="E1" s="78">
        <f t="shared" si="1"/>
        <v>43160</v>
      </c>
      <c r="F1" s="78">
        <f t="shared" si="1"/>
        <v>43191</v>
      </c>
      <c r="G1" s="78">
        <f t="shared" si="1"/>
        <v>43221</v>
      </c>
      <c r="H1" s="78">
        <f t="shared" si="1"/>
        <v>43252</v>
      </c>
      <c r="I1" s="78">
        <f t="shared" si="1"/>
        <v>43282</v>
      </c>
      <c r="J1" s="78">
        <f t="shared" si="1"/>
        <v>43313</v>
      </c>
      <c r="K1" s="78">
        <f t="shared" si="1"/>
        <v>43344</v>
      </c>
      <c r="L1" s="78">
        <f t="shared" si="1"/>
        <v>43374</v>
      </c>
      <c r="M1" s="78">
        <f t="shared" si="1"/>
        <v>43405</v>
      </c>
      <c r="N1" s="78">
        <f t="shared" si="1"/>
        <v>43435</v>
      </c>
      <c r="O1" s="78">
        <f t="shared" si="1"/>
        <v>43466</v>
      </c>
      <c r="P1" s="78">
        <f t="shared" si="1"/>
        <v>43497</v>
      </c>
      <c r="Q1" s="78">
        <f t="shared" si="1"/>
        <v>43525</v>
      </c>
      <c r="R1" s="78">
        <f t="shared" si="1"/>
        <v>43556</v>
      </c>
      <c r="S1" s="78">
        <f t="shared" si="1"/>
        <v>43586</v>
      </c>
      <c r="T1" s="78">
        <f t="shared" si="1"/>
        <v>43617</v>
      </c>
      <c r="U1" s="78">
        <f t="shared" si="1"/>
        <v>43647</v>
      </c>
      <c r="V1" s="78">
        <f t="shared" si="1"/>
        <v>43678</v>
      </c>
      <c r="W1" s="78">
        <f t="shared" si="1"/>
        <v>43709</v>
      </c>
      <c r="X1" s="78">
        <f t="shared" si="1"/>
        <v>43739</v>
      </c>
      <c r="Y1" s="78">
        <f t="shared" si="1"/>
        <v>43770</v>
      </c>
      <c r="Z1" s="78">
        <f t="shared" si="1"/>
        <v>43800</v>
      </c>
      <c r="AA1" s="78">
        <f t="shared" si="1"/>
        <v>43831</v>
      </c>
      <c r="AB1" s="78">
        <f t="shared" si="1"/>
        <v>43862</v>
      </c>
      <c r="AC1" s="78">
        <f t="shared" si="1"/>
        <v>43891</v>
      </c>
      <c r="AD1" s="78">
        <f t="shared" si="1"/>
        <v>43922</v>
      </c>
      <c r="AE1" s="78">
        <f t="shared" si="1"/>
        <v>43952</v>
      </c>
      <c r="AF1" s="78">
        <f t="shared" si="1"/>
        <v>43983</v>
      </c>
      <c r="AG1" s="78">
        <f t="shared" si="1"/>
        <v>44013</v>
      </c>
      <c r="AH1" s="78">
        <f t="shared" si="1"/>
        <v>44044</v>
      </c>
      <c r="AI1" s="78">
        <f t="shared" si="1"/>
        <v>44075</v>
      </c>
      <c r="AJ1" s="78">
        <f t="shared" si="1"/>
        <v>44105</v>
      </c>
      <c r="AK1" s="78">
        <f t="shared" si="1"/>
        <v>44136</v>
      </c>
      <c r="AL1" s="78">
        <f t="shared" si="1"/>
        <v>44166</v>
      </c>
      <c r="AM1" s="78">
        <f t="shared" si="1"/>
        <v>44197</v>
      </c>
      <c r="AN1" s="78">
        <f t="shared" si="1"/>
        <v>44228</v>
      </c>
      <c r="AO1" s="78">
        <f t="shared" si="1"/>
        <v>44256</v>
      </c>
      <c r="AP1" s="78">
        <f t="shared" si="1"/>
        <v>44287</v>
      </c>
      <c r="AQ1" s="78">
        <f t="shared" si="1"/>
        <v>44317</v>
      </c>
      <c r="AR1" s="78">
        <f t="shared" si="1"/>
        <v>44348</v>
      </c>
      <c r="AS1" s="78">
        <f t="shared" si="1"/>
        <v>44378</v>
      </c>
      <c r="AT1" s="78">
        <f t="shared" si="1"/>
        <v>44409</v>
      </c>
      <c r="AU1" s="78">
        <f t="shared" si="1"/>
        <v>44440</v>
      </c>
      <c r="AV1" s="78">
        <f t="shared" si="1"/>
        <v>44470</v>
      </c>
      <c r="AW1" s="78">
        <f t="shared" si="1"/>
        <v>44501</v>
      </c>
      <c r="AX1" s="78">
        <f t="shared" si="1"/>
        <v>44531</v>
      </c>
      <c r="AY1" s="78">
        <f t="shared" si="1"/>
        <v>44562</v>
      </c>
      <c r="AZ1" s="78">
        <f t="shared" si="1"/>
        <v>44593</v>
      </c>
      <c r="BA1" s="78">
        <f t="shared" si="1"/>
        <v>44621</v>
      </c>
      <c r="BB1" s="78">
        <f t="shared" si="1"/>
        <v>44652</v>
      </c>
      <c r="BC1" s="78">
        <f t="shared" si="1"/>
        <v>44682</v>
      </c>
      <c r="BD1" s="78">
        <f t="shared" si="1"/>
        <v>44713</v>
      </c>
      <c r="BE1" s="78">
        <f t="shared" si="1"/>
        <v>44743</v>
      </c>
      <c r="BF1" s="78">
        <f t="shared" si="1"/>
        <v>44774</v>
      </c>
      <c r="BG1" s="78">
        <f t="shared" si="1"/>
        <v>44805</v>
      </c>
      <c r="BH1" s="78">
        <f t="shared" si="1"/>
        <v>44835</v>
      </c>
      <c r="BI1" s="78">
        <f t="shared" si="1"/>
        <v>44866</v>
      </c>
      <c r="BJ1" s="78">
        <f t="shared" si="1"/>
        <v>44896</v>
      </c>
      <c r="BK1" s="78">
        <f t="shared" si="1"/>
        <v>44927</v>
      </c>
      <c r="BL1" s="78">
        <f t="shared" si="1"/>
        <v>44958</v>
      </c>
      <c r="BM1" s="78">
        <f t="shared" si="1"/>
        <v>44986</v>
      </c>
      <c r="BN1" s="78">
        <f t="shared" si="1"/>
        <v>45017</v>
      </c>
      <c r="BO1" s="78">
        <f t="shared" si="1"/>
        <v>45047</v>
      </c>
      <c r="BP1" s="78">
        <f t="shared" si="1"/>
        <v>45078</v>
      </c>
      <c r="BQ1" s="78">
        <f t="shared" si="1"/>
        <v>45108</v>
      </c>
      <c r="BR1" s="78">
        <f t="shared" si="1"/>
        <v>45139</v>
      </c>
      <c r="BS1" s="78">
        <f t="shared" si="1"/>
        <v>45170</v>
      </c>
      <c r="BT1" s="78">
        <f t="shared" si="1"/>
        <v>45200</v>
      </c>
      <c r="BU1" s="78">
        <f t="shared" si="1"/>
        <v>45231</v>
      </c>
      <c r="BV1" s="78">
        <f t="shared" si="1"/>
        <v>45261</v>
      </c>
    </row>
    <row r="2" ht="15.75" customHeight="1">
      <c r="A2" s="79" t="s">
        <v>94</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c r="AH2" s="80"/>
      <c r="AI2" s="80"/>
      <c r="AJ2" s="80"/>
      <c r="AK2" s="80"/>
      <c r="AL2" s="80"/>
      <c r="AM2" s="80"/>
      <c r="AN2" s="80"/>
      <c r="AO2" s="80"/>
      <c r="AP2" s="80"/>
      <c r="AQ2" s="80"/>
      <c r="AR2" s="80"/>
      <c r="AS2" s="80"/>
      <c r="AT2" s="80"/>
      <c r="AU2" s="80"/>
      <c r="AV2" s="80"/>
      <c r="AW2" s="80"/>
      <c r="AX2" s="80"/>
      <c r="AY2" s="81" t="s">
        <v>95</v>
      </c>
      <c r="AZ2" s="81"/>
      <c r="BA2" s="81"/>
      <c r="BB2" s="81"/>
      <c r="BC2" s="81"/>
      <c r="BD2" s="81"/>
      <c r="BE2" s="81"/>
      <c r="BF2" s="81"/>
      <c r="BG2" s="81"/>
      <c r="BH2" s="81"/>
      <c r="BI2" s="81"/>
      <c r="BJ2" s="81"/>
      <c r="BK2" s="81"/>
      <c r="BL2" s="81"/>
      <c r="BM2" s="81"/>
      <c r="BN2" s="81"/>
      <c r="BO2" s="81"/>
      <c r="BP2" s="81"/>
      <c r="BQ2" s="81"/>
      <c r="BR2" s="81"/>
      <c r="BS2" s="81"/>
      <c r="BT2" s="81"/>
      <c r="BU2" s="81"/>
      <c r="BV2" s="81"/>
    </row>
    <row r="3" ht="15.75" customHeight="1">
      <c r="A3" s="82" t="s">
        <v>96</v>
      </c>
      <c r="B3" s="1"/>
      <c r="C3" s="1"/>
      <c r="D3" s="1"/>
      <c r="E3" s="1"/>
      <c r="F3" s="1"/>
      <c r="G3" s="1"/>
      <c r="H3" s="1"/>
      <c r="I3" s="1"/>
      <c r="J3" s="1"/>
      <c r="K3" s="1"/>
      <c r="L3" s="1"/>
      <c r="M3" s="1"/>
      <c r="N3" s="1"/>
      <c r="O3" s="1"/>
      <c r="P3" s="1"/>
      <c r="Q3" s="1"/>
      <c r="R3" s="1"/>
      <c r="S3" s="1"/>
      <c r="T3" s="1"/>
      <c r="U3" s="1"/>
      <c r="V3" s="1"/>
      <c r="W3" s="1"/>
      <c r="X3" s="1"/>
      <c r="Y3" s="1"/>
      <c r="Z3" s="1"/>
      <c r="AA3" s="1"/>
      <c r="AB3" s="1"/>
      <c r="AC3" s="1"/>
      <c r="AD3" s="1"/>
      <c r="AE3" s="74">
        <f t="array" ref="AE3">INDEX(Marketing_Funnel_Total_New_Customers,MATCH(AE$1,Marketing_Funnel_Months,0))</f>
        <v>18.27763754</v>
      </c>
      <c r="AF3" s="74">
        <f t="array" ref="AF3">INDEX(Marketing_Funnel_Total_New_Customers,MATCH(AF$1,Marketing_Funnel_Months,0))</f>
        <v>16.77382934</v>
      </c>
      <c r="AG3" s="74">
        <f t="array" ref="AG3">INDEX(Marketing_Funnel_Total_New_Customers,MATCH(AG$1,Marketing_Funnel_Months,0))</f>
        <v>16.6859782</v>
      </c>
      <c r="AH3" s="74">
        <f t="array" ref="AH3">INDEX(Marketing_Funnel_Total_New_Customers,MATCH(AH$1,Marketing_Funnel_Months,0))</f>
        <v>18.20363313</v>
      </c>
      <c r="AI3" s="74">
        <f t="array" ref="AI3">INDEX(Marketing_Funnel_Total_New_Customers,MATCH(AI$1,Marketing_Funnel_Months,0))</f>
        <v>18.18191487</v>
      </c>
      <c r="AJ3" s="74">
        <f t="array" ref="AJ3">INDEX(Marketing_Funnel_Total_New_Customers,MATCH(AJ$1,Marketing_Funnel_Months,0))</f>
        <v>18.67440268</v>
      </c>
      <c r="AK3" s="74">
        <f t="array" ref="AK3">INDEX(Marketing_Funnel_Total_New_Customers,MATCH(AK$1,Marketing_Funnel_Months,0))</f>
        <v>19.36714209</v>
      </c>
      <c r="AL3" s="74">
        <f t="array" ref="AL3">INDEX(Marketing_Funnel_Total_New_Customers,MATCH(AL$1,Marketing_Funnel_Months,0))</f>
        <v>19.77274668</v>
      </c>
      <c r="AM3" s="74">
        <f t="array" ref="AM3">INDEX(Marketing_Funnel_Total_New_Customers,MATCH(AM$1,Marketing_Funnel_Months,0))</f>
        <v>20.32473906</v>
      </c>
      <c r="AN3" s="74">
        <f t="array" ref="AN3">INDEX(Marketing_Funnel_Total_New_Customers,MATCH(AN$1,Marketing_Funnel_Months,0))</f>
        <v>20.89611604</v>
      </c>
      <c r="AO3" s="74">
        <f t="array" ref="AO3">INDEX(Marketing_Funnel_Total_New_Customers,MATCH(AO$1,Marketing_Funnel_Months,0))</f>
        <v>21.42451735</v>
      </c>
      <c r="AP3" s="74">
        <f t="array" ref="AP3">INDEX(Marketing_Funnel_Total_New_Customers,MATCH(AP$1,Marketing_Funnel_Months,0))</f>
        <v>21.99407686</v>
      </c>
      <c r="AQ3" s="74">
        <f t="array" ref="AQ3">INDEX(Marketing_Funnel_Total_New_Customers,MATCH(AQ$1,Marketing_Funnel_Months,0))</f>
        <v>22.56865622</v>
      </c>
      <c r="AR3" s="74">
        <f t="array" ref="AR3">INDEX(Marketing_Funnel_Total_New_Customers,MATCH(AR$1,Marketing_Funnel_Months,0))</f>
        <v>23.14335075</v>
      </c>
      <c r="AS3" s="74">
        <f t="array" ref="AS3">INDEX(Marketing_Funnel_Total_New_Customers,MATCH(AS$1,Marketing_Funnel_Months,0))</f>
        <v>23.73298868</v>
      </c>
      <c r="AT3" s="74">
        <f t="array" ref="AT3">INDEX(Marketing_Funnel_Total_New_Customers,MATCH(AT$1,Marketing_Funnel_Months,0))</f>
        <v>24.32862104</v>
      </c>
      <c r="AU3" s="74">
        <f t="array" ref="AU3">INDEX(Marketing_Funnel_Total_New_Customers,MATCH(AU$1,Marketing_Funnel_Months,0))</f>
        <v>24.93061386</v>
      </c>
      <c r="AV3" s="74">
        <f t="array" ref="AV3">INDEX(Marketing_Funnel_Total_New_Customers,MATCH(AV$1,Marketing_Funnel_Months,0))</f>
        <v>25.54113885</v>
      </c>
      <c r="AW3" s="74">
        <f t="array" ref="AW3">INDEX(Marketing_Funnel_Total_New_Customers,MATCH(AW$1,Marketing_Funnel_Months,0))</f>
        <v>26.15803488</v>
      </c>
      <c r="AX3" s="74">
        <f t="array" ref="AX3">INDEX(Marketing_Funnel_Total_New_Customers,MATCH(AX$1,Marketing_Funnel_Months,0))</f>
        <v>26.78146032</v>
      </c>
      <c r="AY3" s="83">
        <f t="array" ref="AY3">INDEX(Marketing_Funnel_Total_New_Customers,MATCH(AY$1,Marketing_Funnel_Months,0))</f>
        <v>26.18498222</v>
      </c>
      <c r="AZ3" s="83">
        <f t="array" ref="AZ3">INDEX(Marketing_Funnel_Total_New_Customers,MATCH(AZ$1,Marketing_Funnel_Months,0))</f>
        <v>26.64809066</v>
      </c>
      <c r="BA3" s="83">
        <f t="array" ref="BA3">INDEX(Marketing_Funnel_Total_New_Customers,MATCH(BA$1,Marketing_Funnel_Months,0))</f>
        <v>27.03796727</v>
      </c>
      <c r="BB3" s="83">
        <f t="array" ref="BB3">INDEX(Marketing_Funnel_Total_New_Customers,MATCH(BB$1,Marketing_Funnel_Months,0))</f>
        <v>27.32786789</v>
      </c>
      <c r="BC3" s="83">
        <f t="array" ref="BC3">INDEX(Marketing_Funnel_Total_New_Customers,MATCH(BC$1,Marketing_Funnel_Months,0))</f>
        <v>27.49128281</v>
      </c>
      <c r="BD3" s="83">
        <f t="array" ref="BD3">INDEX(Marketing_Funnel_Total_New_Customers,MATCH(BD$1,Marketing_Funnel_Months,0))</f>
        <v>27.85239782</v>
      </c>
      <c r="BE3" s="83">
        <f t="array" ref="BE3">INDEX(Marketing_Funnel_Total_New_Customers,MATCH(BE$1,Marketing_Funnel_Months,0))</f>
        <v>28.1860926</v>
      </c>
      <c r="BF3" s="83">
        <f t="array" ref="BF3">INDEX(Marketing_Funnel_Total_New_Customers,MATCH(BF$1,Marketing_Funnel_Months,0))</f>
        <v>28.50435153</v>
      </c>
      <c r="BG3" s="83">
        <f t="array" ref="BG3">INDEX(Marketing_Funnel_Total_New_Customers,MATCH(BG$1,Marketing_Funnel_Months,0))</f>
        <v>28.82930469</v>
      </c>
      <c r="BH3" s="83">
        <f t="array" ref="BH3">INDEX(Marketing_Funnel_Total_New_Customers,MATCH(BH$1,Marketing_Funnel_Months,0))</f>
        <v>29.19575665</v>
      </c>
      <c r="BI3" s="83">
        <f t="array" ref="BI3">INDEX(Marketing_Funnel_Total_New_Customers,MATCH(BI$1,Marketing_Funnel_Months,0))</f>
        <v>29.56293566</v>
      </c>
      <c r="BJ3" s="83">
        <f t="array" ref="BJ3">INDEX(Marketing_Funnel_Total_New_Customers,MATCH(BJ$1,Marketing_Funnel_Months,0))</f>
        <v>29.93822298</v>
      </c>
      <c r="BK3" s="83">
        <f t="array" ref="BK3">INDEX(Marketing_Funnel_Total_New_Customers,MATCH(BK$1,Marketing_Funnel_Months,0))</f>
        <v>30.3277911</v>
      </c>
      <c r="BL3" s="83">
        <f t="array" ref="BL3">INDEX(Marketing_Funnel_Total_New_Customers,MATCH(BL$1,Marketing_Funnel_Months,0))</f>
        <v>30.73364589</v>
      </c>
      <c r="BM3" s="83">
        <f t="array" ref="BM3">INDEX(Marketing_Funnel_Total_New_Customers,MATCH(BM$1,Marketing_Funnel_Months,0))</f>
        <v>31.14922582</v>
      </c>
      <c r="BN3" s="83">
        <f t="array" ref="BN3">INDEX(Marketing_Funnel_Total_New_Customers,MATCH(BN$1,Marketing_Funnel_Months,0))</f>
        <v>31.57690287</v>
      </c>
      <c r="BO3" s="83">
        <f t="array" ref="BO3">INDEX(Marketing_Funnel_Total_New_Customers,MATCH(BO$1,Marketing_Funnel_Months,0))</f>
        <v>32.01774036</v>
      </c>
      <c r="BP3" s="83">
        <f t="array" ref="BP3">INDEX(Marketing_Funnel_Total_New_Customers,MATCH(BP$1,Marketing_Funnel_Months,0))</f>
        <v>32.47146624</v>
      </c>
      <c r="BQ3" s="83">
        <f t="array" ref="BQ3">INDEX(Marketing_Funnel_Total_New_Customers,MATCH(BQ$1,Marketing_Funnel_Months,0))</f>
        <v>32.93721253</v>
      </c>
      <c r="BR3" s="83">
        <f t="array" ref="BR3">INDEX(Marketing_Funnel_Total_New_Customers,MATCH(BR$1,Marketing_Funnel_Months,0))</f>
        <v>33.41559769</v>
      </c>
      <c r="BS3" s="83">
        <f t="array" ref="BS3">INDEX(Marketing_Funnel_Total_New_Customers,MATCH(BS$1,Marketing_Funnel_Months,0))</f>
        <v>33.90678142</v>
      </c>
      <c r="BT3" s="83">
        <f t="array" ref="BT3">INDEX(Marketing_Funnel_Total_New_Customers,MATCH(BT$1,Marketing_Funnel_Months,0))</f>
        <v>34.41068667</v>
      </c>
      <c r="BU3" s="83">
        <f t="array" ref="BU3">INDEX(Marketing_Funnel_Total_New_Customers,MATCH(BU$1,Marketing_Funnel_Months,0))</f>
        <v>34.92728666</v>
      </c>
      <c r="BV3" s="83">
        <f t="array" ref="BV3">INDEX(Marketing_Funnel_Total_New_Customers,MATCH(BV$1,Marketing_Funnel_Months,0))</f>
        <v>35.45677364</v>
      </c>
    </row>
    <row r="4" ht="15.75" customHeight="1">
      <c r="A4" s="82" t="s">
        <v>97</v>
      </c>
      <c r="B4" s="1"/>
      <c r="C4" s="1"/>
      <c r="D4" s="1"/>
      <c r="E4" s="1"/>
      <c r="F4" s="1"/>
      <c r="G4" s="1"/>
      <c r="H4" s="1"/>
      <c r="I4" s="1"/>
      <c r="J4" s="1"/>
      <c r="K4" s="1"/>
      <c r="L4" s="1"/>
      <c r="M4" s="1"/>
      <c r="N4" s="1"/>
      <c r="O4" s="1"/>
      <c r="P4" s="1"/>
      <c r="Q4" s="1"/>
      <c r="R4" s="1"/>
      <c r="S4" s="1"/>
      <c r="T4" s="1"/>
      <c r="U4" s="1"/>
      <c r="V4" s="1"/>
      <c r="W4" s="1"/>
      <c r="X4" s="1"/>
      <c r="Y4" s="1"/>
      <c r="Z4" s="1"/>
      <c r="AA4" s="1"/>
      <c r="AB4" s="1"/>
      <c r="AC4" s="1"/>
      <c r="AD4" s="1"/>
      <c r="AE4" s="26">
        <f t="shared" ref="AE4:BV4" si="2">1-AE5</f>
        <v>1</v>
      </c>
      <c r="AF4" s="26">
        <f t="shared" si="2"/>
        <v>1</v>
      </c>
      <c r="AG4" s="26">
        <f t="shared" si="2"/>
        <v>1</v>
      </c>
      <c r="AH4" s="26">
        <f t="shared" si="2"/>
        <v>1</v>
      </c>
      <c r="AI4" s="26">
        <f t="shared" si="2"/>
        <v>1</v>
      </c>
      <c r="AJ4" s="26">
        <f t="shared" si="2"/>
        <v>1</v>
      </c>
      <c r="AK4" s="26">
        <f t="shared" si="2"/>
        <v>1</v>
      </c>
      <c r="AL4" s="26">
        <f t="shared" si="2"/>
        <v>1</v>
      </c>
      <c r="AM4" s="26">
        <f t="shared" si="2"/>
        <v>1</v>
      </c>
      <c r="AN4" s="26">
        <f t="shared" si="2"/>
        <v>1</v>
      </c>
      <c r="AO4" s="26">
        <f t="shared" si="2"/>
        <v>1</v>
      </c>
      <c r="AP4" s="26">
        <f t="shared" si="2"/>
        <v>1</v>
      </c>
      <c r="AQ4" s="26">
        <f t="shared" si="2"/>
        <v>1</v>
      </c>
      <c r="AR4" s="26">
        <f t="shared" si="2"/>
        <v>1</v>
      </c>
      <c r="AS4" s="26">
        <f t="shared" si="2"/>
        <v>1</v>
      </c>
      <c r="AT4" s="26">
        <f t="shared" si="2"/>
        <v>1</v>
      </c>
      <c r="AU4" s="26">
        <f t="shared" si="2"/>
        <v>1</v>
      </c>
      <c r="AV4" s="26">
        <f t="shared" si="2"/>
        <v>1</v>
      </c>
      <c r="AW4" s="26">
        <f t="shared" si="2"/>
        <v>1</v>
      </c>
      <c r="AX4" s="26">
        <f t="shared" si="2"/>
        <v>1</v>
      </c>
      <c r="AY4" s="84">
        <f t="shared" si="2"/>
        <v>1</v>
      </c>
      <c r="AZ4" s="84">
        <f t="shared" si="2"/>
        <v>1</v>
      </c>
      <c r="BA4" s="84">
        <f t="shared" si="2"/>
        <v>1</v>
      </c>
      <c r="BB4" s="84">
        <f t="shared" si="2"/>
        <v>1</v>
      </c>
      <c r="BC4" s="84">
        <f t="shared" si="2"/>
        <v>1</v>
      </c>
      <c r="BD4" s="84">
        <f t="shared" si="2"/>
        <v>1</v>
      </c>
      <c r="BE4" s="84">
        <f t="shared" si="2"/>
        <v>1</v>
      </c>
      <c r="BF4" s="84">
        <f t="shared" si="2"/>
        <v>1</v>
      </c>
      <c r="BG4" s="84">
        <f t="shared" si="2"/>
        <v>1</v>
      </c>
      <c r="BH4" s="84">
        <f t="shared" si="2"/>
        <v>1</v>
      </c>
      <c r="BI4" s="84">
        <f t="shared" si="2"/>
        <v>1</v>
      </c>
      <c r="BJ4" s="84">
        <f t="shared" si="2"/>
        <v>1</v>
      </c>
      <c r="BK4" s="84">
        <f t="shared" si="2"/>
        <v>1</v>
      </c>
      <c r="BL4" s="84">
        <f t="shared" si="2"/>
        <v>1</v>
      </c>
      <c r="BM4" s="84">
        <f t="shared" si="2"/>
        <v>1</v>
      </c>
      <c r="BN4" s="84">
        <f t="shared" si="2"/>
        <v>1</v>
      </c>
      <c r="BO4" s="84">
        <f t="shared" si="2"/>
        <v>1</v>
      </c>
      <c r="BP4" s="84">
        <f t="shared" si="2"/>
        <v>1</v>
      </c>
      <c r="BQ4" s="84">
        <f t="shared" si="2"/>
        <v>1</v>
      </c>
      <c r="BR4" s="84">
        <f t="shared" si="2"/>
        <v>1</v>
      </c>
      <c r="BS4" s="84">
        <f t="shared" si="2"/>
        <v>1</v>
      </c>
      <c r="BT4" s="84">
        <f t="shared" si="2"/>
        <v>1</v>
      </c>
      <c r="BU4" s="84">
        <f t="shared" si="2"/>
        <v>1</v>
      </c>
      <c r="BV4" s="84">
        <f t="shared" si="2"/>
        <v>1</v>
      </c>
    </row>
    <row r="5" ht="15.75" customHeight="1">
      <c r="A5" s="82" t="s">
        <v>98</v>
      </c>
      <c r="B5" s="1"/>
      <c r="C5" s="1"/>
      <c r="D5" s="1"/>
      <c r="E5" s="1"/>
      <c r="F5" s="1"/>
      <c r="G5" s="1"/>
      <c r="H5" s="1"/>
      <c r="I5" s="1"/>
      <c r="J5" s="1"/>
      <c r="K5" s="1"/>
      <c r="L5" s="1"/>
      <c r="M5" s="1"/>
      <c r="N5" s="1"/>
      <c r="O5" s="1"/>
      <c r="P5" s="1"/>
      <c r="Q5" s="1"/>
      <c r="R5" s="1"/>
      <c r="S5" s="1"/>
      <c r="T5" s="1"/>
      <c r="U5" s="1"/>
      <c r="V5" s="1"/>
      <c r="W5" s="1"/>
      <c r="X5" s="1"/>
      <c r="Y5" s="1"/>
      <c r="Z5" s="1"/>
      <c r="AA5" s="1"/>
      <c r="AB5" s="1"/>
      <c r="AC5" s="1"/>
      <c r="AD5" s="1"/>
      <c r="AE5" s="85" t="str">
        <f t="shared" ref="AE5:BV5" si="3">AD5</f>
        <v/>
      </c>
      <c r="AF5" s="85" t="str">
        <f t="shared" si="3"/>
        <v/>
      </c>
      <c r="AG5" s="85" t="str">
        <f t="shared" si="3"/>
        <v/>
      </c>
      <c r="AH5" s="85" t="str">
        <f t="shared" si="3"/>
        <v/>
      </c>
      <c r="AI5" s="85" t="str">
        <f t="shared" si="3"/>
        <v/>
      </c>
      <c r="AJ5" s="85" t="str">
        <f t="shared" si="3"/>
        <v/>
      </c>
      <c r="AK5" s="85" t="str">
        <f t="shared" si="3"/>
        <v/>
      </c>
      <c r="AL5" s="85" t="str">
        <f t="shared" si="3"/>
        <v/>
      </c>
      <c r="AM5" s="85" t="str">
        <f t="shared" si="3"/>
        <v/>
      </c>
      <c r="AN5" s="85" t="str">
        <f t="shared" si="3"/>
        <v/>
      </c>
      <c r="AO5" s="85" t="str">
        <f t="shared" si="3"/>
        <v/>
      </c>
      <c r="AP5" s="85" t="str">
        <f t="shared" si="3"/>
        <v/>
      </c>
      <c r="AQ5" s="85" t="str">
        <f t="shared" si="3"/>
        <v/>
      </c>
      <c r="AR5" s="85" t="str">
        <f t="shared" si="3"/>
        <v/>
      </c>
      <c r="AS5" s="85" t="str">
        <f t="shared" si="3"/>
        <v/>
      </c>
      <c r="AT5" s="85" t="str">
        <f t="shared" si="3"/>
        <v/>
      </c>
      <c r="AU5" s="85" t="str">
        <f t="shared" si="3"/>
        <v/>
      </c>
      <c r="AV5" s="85" t="str">
        <f t="shared" si="3"/>
        <v/>
      </c>
      <c r="AW5" s="85" t="str">
        <f t="shared" si="3"/>
        <v/>
      </c>
      <c r="AX5" s="85" t="str">
        <f t="shared" si="3"/>
        <v/>
      </c>
      <c r="AY5" s="86" t="str">
        <f t="shared" si="3"/>
        <v/>
      </c>
      <c r="AZ5" s="86" t="str">
        <f t="shared" si="3"/>
        <v/>
      </c>
      <c r="BA5" s="86" t="str">
        <f t="shared" si="3"/>
        <v/>
      </c>
      <c r="BB5" s="86" t="str">
        <f t="shared" si="3"/>
        <v/>
      </c>
      <c r="BC5" s="86" t="str">
        <f t="shared" si="3"/>
        <v/>
      </c>
      <c r="BD5" s="86" t="str">
        <f t="shared" si="3"/>
        <v/>
      </c>
      <c r="BE5" s="86" t="str">
        <f t="shared" si="3"/>
        <v/>
      </c>
      <c r="BF5" s="86" t="str">
        <f t="shared" si="3"/>
        <v/>
      </c>
      <c r="BG5" s="86" t="str">
        <f t="shared" si="3"/>
        <v/>
      </c>
      <c r="BH5" s="86" t="str">
        <f t="shared" si="3"/>
        <v/>
      </c>
      <c r="BI5" s="86" t="str">
        <f t="shared" si="3"/>
        <v/>
      </c>
      <c r="BJ5" s="86" t="str">
        <f t="shared" si="3"/>
        <v/>
      </c>
      <c r="BK5" s="86" t="str">
        <f t="shared" si="3"/>
        <v/>
      </c>
      <c r="BL5" s="86" t="str">
        <f t="shared" si="3"/>
        <v/>
      </c>
      <c r="BM5" s="86" t="str">
        <f t="shared" si="3"/>
        <v/>
      </c>
      <c r="BN5" s="86" t="str">
        <f t="shared" si="3"/>
        <v/>
      </c>
      <c r="BO5" s="86" t="str">
        <f t="shared" si="3"/>
        <v/>
      </c>
      <c r="BP5" s="86" t="str">
        <f t="shared" si="3"/>
        <v/>
      </c>
      <c r="BQ5" s="86" t="str">
        <f t="shared" si="3"/>
        <v/>
      </c>
      <c r="BR5" s="86" t="str">
        <f t="shared" si="3"/>
        <v/>
      </c>
      <c r="BS5" s="86" t="str">
        <f t="shared" si="3"/>
        <v/>
      </c>
      <c r="BT5" s="86" t="str">
        <f t="shared" si="3"/>
        <v/>
      </c>
      <c r="BU5" s="86" t="str">
        <f t="shared" si="3"/>
        <v/>
      </c>
      <c r="BV5" s="86" t="str">
        <f t="shared" si="3"/>
        <v/>
      </c>
    </row>
    <row r="6" ht="15.75" customHeight="1">
      <c r="A6" s="87" t="s">
        <v>99</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88"/>
      <c r="AZ6" s="88"/>
      <c r="BA6" s="88"/>
      <c r="BB6" s="88"/>
      <c r="BC6" s="88"/>
      <c r="BD6" s="88"/>
      <c r="BE6" s="88"/>
      <c r="BF6" s="88"/>
      <c r="BG6" s="88"/>
      <c r="BH6" s="88"/>
      <c r="BI6" s="88"/>
      <c r="BJ6" s="88"/>
      <c r="BK6" s="88"/>
      <c r="BL6" s="88"/>
      <c r="BM6" s="88"/>
      <c r="BN6" s="88"/>
      <c r="BO6" s="88"/>
      <c r="BP6" s="88"/>
      <c r="BQ6" s="88"/>
      <c r="BR6" s="88"/>
      <c r="BS6" s="88"/>
      <c r="BT6" s="88"/>
      <c r="BU6" s="88"/>
      <c r="BV6" s="88"/>
    </row>
    <row r="7" ht="15.75" customHeight="1">
      <c r="A7" s="82" t="s">
        <v>32</v>
      </c>
      <c r="B7" s="89"/>
      <c r="C7" s="90">
        <f>SUMIFS(MRR_Export_New_Count,MRR_Export_Months,"&gt;="&amp;C$1,MRR_Export_Months,"&lt;"&amp;D$1)</f>
        <v>10</v>
      </c>
      <c r="D7" s="90">
        <f>SUMIFS(MRR_Export_New_Count,MRR_Export_Months,"&gt;="&amp;D$1,MRR_Export_Months,"&lt;"&amp;E$1)</f>
        <v>11</v>
      </c>
      <c r="E7" s="90">
        <f>SUMIFS(MRR_Export_New_Count,MRR_Export_Months,"&gt;="&amp;E$1,MRR_Export_Months,"&lt;"&amp;F$1)</f>
        <v>12</v>
      </c>
      <c r="F7" s="90">
        <f>SUMIFS(MRR_Export_New_Count,MRR_Export_Months,"&gt;="&amp;F$1,MRR_Export_Months,"&lt;"&amp;G$1)</f>
        <v>13</v>
      </c>
      <c r="G7" s="90">
        <f>SUMIFS(MRR_Export_New_Count,MRR_Export_Months,"&gt;="&amp;G$1,MRR_Export_Months,"&lt;"&amp;H$1)</f>
        <v>14</v>
      </c>
      <c r="H7" s="90">
        <f>SUMIFS(MRR_Export_New_Count,MRR_Export_Months,"&gt;="&amp;H$1,MRR_Export_Months,"&lt;"&amp;I$1)</f>
        <v>10</v>
      </c>
      <c r="I7" s="90">
        <f>SUMIFS(MRR_Export_New_Count,MRR_Export_Months,"&gt;="&amp;I$1,MRR_Export_Months,"&lt;"&amp;J$1)</f>
        <v>21</v>
      </c>
      <c r="J7" s="90">
        <f>SUMIFS(MRR_Export_New_Count,MRR_Export_Months,"&gt;="&amp;J$1,MRR_Export_Months,"&lt;"&amp;K$1)</f>
        <v>14</v>
      </c>
      <c r="K7" s="90">
        <f>SUMIFS(MRR_Export_New_Count,MRR_Export_Months,"&gt;="&amp;K$1,MRR_Export_Months,"&lt;"&amp;L$1)</f>
        <v>14</v>
      </c>
      <c r="L7" s="90">
        <f>SUMIFS(MRR_Export_New_Count,MRR_Export_Months,"&gt;="&amp;L$1,MRR_Export_Months,"&lt;"&amp;M$1)</f>
        <v>14</v>
      </c>
      <c r="M7" s="90">
        <f>SUMIFS(MRR_Export_New_Count,MRR_Export_Months,"&gt;="&amp;M$1,MRR_Export_Months,"&lt;"&amp;N$1)</f>
        <v>14</v>
      </c>
      <c r="N7" s="90">
        <f>SUMIFS(MRR_Export_New_Count,MRR_Export_Months,"&gt;="&amp;N$1,MRR_Export_Months,"&lt;"&amp;O$1)</f>
        <v>16</v>
      </c>
      <c r="O7" s="90">
        <f>SUMIFS(MRR_Export_New_Count,MRR_Export_Months,"&gt;="&amp;O$1,MRR_Export_Months,"&lt;"&amp;P$1)</f>
        <v>15</v>
      </c>
      <c r="P7" s="90">
        <f>SUMIFS(MRR_Export_New_Count,MRR_Export_Months,"&gt;="&amp;P$1,MRR_Export_Months,"&lt;"&amp;Q$1)</f>
        <v>25</v>
      </c>
      <c r="Q7" s="90">
        <f>SUMIFS(MRR_Export_New_Count,MRR_Export_Months,"&gt;="&amp;Q$1,MRR_Export_Months,"&lt;"&amp;R$1)</f>
        <v>17</v>
      </c>
      <c r="R7" s="90">
        <f>SUMIFS(MRR_Export_New_Count,MRR_Export_Months,"&gt;="&amp;R$1,MRR_Export_Months,"&lt;"&amp;S$1)</f>
        <v>38</v>
      </c>
      <c r="S7" s="90">
        <f>SUMIFS(MRR_Export_New_Count,MRR_Export_Months,"&gt;="&amp;S$1,MRR_Export_Months,"&lt;"&amp;T$1)</f>
        <v>20</v>
      </c>
      <c r="T7" s="90">
        <f>SUMIFS(MRR_Export_New_Count,MRR_Export_Months,"&gt;="&amp;T$1,MRR_Export_Months,"&lt;"&amp;U$1)</f>
        <v>29</v>
      </c>
      <c r="U7" s="90">
        <f>SUMIFS(MRR_Export_New_Count,MRR_Export_Months,"&gt;="&amp;U$1,MRR_Export_Months,"&lt;"&amp;V$1)</f>
        <v>32</v>
      </c>
      <c r="V7" s="90">
        <f>SUMIFS(MRR_Export_New_Count,MRR_Export_Months,"&gt;="&amp;V$1,MRR_Export_Months,"&lt;"&amp;W$1)</f>
        <v>30</v>
      </c>
      <c r="W7" s="90">
        <f>SUMIFS(MRR_Export_New_Count,MRR_Export_Months,"&gt;="&amp;W$1,MRR_Export_Months,"&lt;"&amp;X$1)</f>
        <v>26</v>
      </c>
      <c r="X7" s="90">
        <f>SUMIFS(MRR_Export_New_Count,MRR_Export_Months,"&gt;="&amp;X$1,MRR_Export_Months,"&lt;"&amp;Y$1)</f>
        <v>21</v>
      </c>
      <c r="Y7" s="90">
        <f>SUMIFS(MRR_Export_New_Count,MRR_Export_Months,"&gt;="&amp;Y$1,MRR_Export_Months,"&lt;"&amp;Z$1)</f>
        <v>22</v>
      </c>
      <c r="Z7" s="90">
        <f>SUMIFS(MRR_Export_New_Count,MRR_Export_Months,"&gt;="&amp;Z$1,MRR_Export_Months,"&lt;"&amp;AA$1)</f>
        <v>25</v>
      </c>
      <c r="AA7" s="90">
        <f>SUMIFS(MRR_Export_New_Count,MRR_Export_Months,"&gt;="&amp;AA$1,MRR_Export_Months,"&lt;"&amp;AB$1)</f>
        <v>25</v>
      </c>
      <c r="AB7" s="90">
        <f>SUMIFS(MRR_Export_New_Count,MRR_Export_Months,"&gt;="&amp;AB$1,MRR_Export_Months,"&lt;"&amp;AC$1)</f>
        <v>28</v>
      </c>
      <c r="AC7" s="90">
        <f>SUMIFS(MRR_Export_New_Count,MRR_Export_Months,"&gt;="&amp;AC$1,MRR_Export_Months,"&lt;"&amp;AD$1)</f>
        <v>20</v>
      </c>
      <c r="AD7" s="90">
        <f>SUMIFS(MRR_Export_New_Count,MRR_Export_Months,"&gt;="&amp;AD$1,MRR_Export_Months,"&lt;"&amp;AE$1)</f>
        <v>14</v>
      </c>
      <c r="AE7" s="91">
        <v>17.0</v>
      </c>
      <c r="AF7" s="91">
        <v>18.0</v>
      </c>
      <c r="AG7" s="91">
        <v>19.0</v>
      </c>
      <c r="AH7" s="90">
        <f t="shared" ref="AH7:BV7" si="4">ROUND(AH$3*AH$4,0)</f>
        <v>18</v>
      </c>
      <c r="AI7" s="90">
        <f t="shared" si="4"/>
        <v>18</v>
      </c>
      <c r="AJ7" s="90">
        <f t="shared" si="4"/>
        <v>19</v>
      </c>
      <c r="AK7" s="90">
        <f t="shared" si="4"/>
        <v>19</v>
      </c>
      <c r="AL7" s="90">
        <f t="shared" si="4"/>
        <v>20</v>
      </c>
      <c r="AM7" s="90">
        <f t="shared" si="4"/>
        <v>20</v>
      </c>
      <c r="AN7" s="90">
        <f t="shared" si="4"/>
        <v>21</v>
      </c>
      <c r="AO7" s="90">
        <f t="shared" si="4"/>
        <v>21</v>
      </c>
      <c r="AP7" s="90">
        <f t="shared" si="4"/>
        <v>22</v>
      </c>
      <c r="AQ7" s="90">
        <f t="shared" si="4"/>
        <v>23</v>
      </c>
      <c r="AR7" s="90">
        <f t="shared" si="4"/>
        <v>23</v>
      </c>
      <c r="AS7" s="90">
        <f t="shared" si="4"/>
        <v>24</v>
      </c>
      <c r="AT7" s="90">
        <f t="shared" si="4"/>
        <v>24</v>
      </c>
      <c r="AU7" s="90">
        <f t="shared" si="4"/>
        <v>25</v>
      </c>
      <c r="AV7" s="90">
        <f t="shared" si="4"/>
        <v>26</v>
      </c>
      <c r="AW7" s="90">
        <f t="shared" si="4"/>
        <v>26</v>
      </c>
      <c r="AX7" s="90">
        <f t="shared" si="4"/>
        <v>27</v>
      </c>
      <c r="AY7" s="92">
        <f t="shared" si="4"/>
        <v>26</v>
      </c>
      <c r="AZ7" s="92">
        <f t="shared" si="4"/>
        <v>27</v>
      </c>
      <c r="BA7" s="92">
        <f t="shared" si="4"/>
        <v>27</v>
      </c>
      <c r="BB7" s="92">
        <f t="shared" si="4"/>
        <v>27</v>
      </c>
      <c r="BC7" s="92">
        <f t="shared" si="4"/>
        <v>27</v>
      </c>
      <c r="BD7" s="92">
        <f t="shared" si="4"/>
        <v>28</v>
      </c>
      <c r="BE7" s="92">
        <f t="shared" si="4"/>
        <v>28</v>
      </c>
      <c r="BF7" s="92">
        <f t="shared" si="4"/>
        <v>29</v>
      </c>
      <c r="BG7" s="92">
        <f t="shared" si="4"/>
        <v>29</v>
      </c>
      <c r="BH7" s="92">
        <f t="shared" si="4"/>
        <v>29</v>
      </c>
      <c r="BI7" s="92">
        <f t="shared" si="4"/>
        <v>30</v>
      </c>
      <c r="BJ7" s="92">
        <f t="shared" si="4"/>
        <v>30</v>
      </c>
      <c r="BK7" s="92">
        <f t="shared" si="4"/>
        <v>30</v>
      </c>
      <c r="BL7" s="92">
        <f t="shared" si="4"/>
        <v>31</v>
      </c>
      <c r="BM7" s="92">
        <f t="shared" si="4"/>
        <v>31</v>
      </c>
      <c r="BN7" s="92">
        <f t="shared" si="4"/>
        <v>32</v>
      </c>
      <c r="BO7" s="92">
        <f t="shared" si="4"/>
        <v>32</v>
      </c>
      <c r="BP7" s="92">
        <f t="shared" si="4"/>
        <v>32</v>
      </c>
      <c r="BQ7" s="92">
        <f t="shared" si="4"/>
        <v>33</v>
      </c>
      <c r="BR7" s="92">
        <f t="shared" si="4"/>
        <v>33</v>
      </c>
      <c r="BS7" s="92">
        <f t="shared" si="4"/>
        <v>34</v>
      </c>
      <c r="BT7" s="92">
        <f t="shared" si="4"/>
        <v>34</v>
      </c>
      <c r="BU7" s="92">
        <f t="shared" si="4"/>
        <v>35</v>
      </c>
      <c r="BV7" s="92">
        <f t="shared" si="4"/>
        <v>35</v>
      </c>
    </row>
    <row r="8" ht="15.75" customHeight="1">
      <c r="A8" s="82" t="s">
        <v>100</v>
      </c>
      <c r="B8" s="93"/>
      <c r="C8" s="76">
        <f t="shared" ref="C8:AD8" si="5">IFERROR(C9/C7," ")</f>
        <v>1066.4</v>
      </c>
      <c r="D8" s="76">
        <f t="shared" si="5"/>
        <v>1125.545455</v>
      </c>
      <c r="E8" s="76">
        <f t="shared" si="5"/>
        <v>1135.416667</v>
      </c>
      <c r="F8" s="76">
        <f t="shared" si="5"/>
        <v>1090.307692</v>
      </c>
      <c r="G8" s="76">
        <f t="shared" si="5"/>
        <v>1262.714286</v>
      </c>
      <c r="H8" s="76">
        <f t="shared" si="5"/>
        <v>1080.9</v>
      </c>
      <c r="I8" s="76">
        <f t="shared" si="5"/>
        <v>1153</v>
      </c>
      <c r="J8" s="76">
        <f t="shared" si="5"/>
        <v>1171.071429</v>
      </c>
      <c r="K8" s="76">
        <f t="shared" si="5"/>
        <v>1142.571429</v>
      </c>
      <c r="L8" s="76">
        <f t="shared" si="5"/>
        <v>1155.214286</v>
      </c>
      <c r="M8" s="76">
        <f t="shared" si="5"/>
        <v>1151.357143</v>
      </c>
      <c r="N8" s="76">
        <f t="shared" si="5"/>
        <v>1011.75</v>
      </c>
      <c r="O8" s="76">
        <f t="shared" si="5"/>
        <v>1154.266667</v>
      </c>
      <c r="P8" s="76">
        <f t="shared" si="5"/>
        <v>1102.68</v>
      </c>
      <c r="Q8" s="76">
        <f t="shared" si="5"/>
        <v>1090.529412</v>
      </c>
      <c r="R8" s="76">
        <f t="shared" si="5"/>
        <v>1112.631579</v>
      </c>
      <c r="S8" s="76">
        <f t="shared" si="5"/>
        <v>1104.85</v>
      </c>
      <c r="T8" s="76">
        <f t="shared" si="5"/>
        <v>1105.551724</v>
      </c>
      <c r="U8" s="76">
        <f t="shared" si="5"/>
        <v>1005.3125</v>
      </c>
      <c r="V8" s="76">
        <f t="shared" si="5"/>
        <v>1065.777778</v>
      </c>
      <c r="W8" s="76">
        <f t="shared" si="5"/>
        <v>1057.190476</v>
      </c>
      <c r="X8" s="76">
        <f t="shared" si="5"/>
        <v>1367.854875</v>
      </c>
      <c r="Y8" s="76">
        <f t="shared" si="5"/>
        <v>1279.361472</v>
      </c>
      <c r="Z8" s="76">
        <f t="shared" si="5"/>
        <v>1234.038095</v>
      </c>
      <c r="AA8" s="76">
        <f t="shared" si="5"/>
        <v>1323.238095</v>
      </c>
      <c r="AB8" s="76">
        <f t="shared" si="5"/>
        <v>1216.712585</v>
      </c>
      <c r="AC8" s="76">
        <f t="shared" si="5"/>
        <v>1256.4</v>
      </c>
      <c r="AD8" s="76">
        <f t="shared" si="5"/>
        <v>1257.142857</v>
      </c>
      <c r="AE8" s="76">
        <f t="shared" ref="AE8:BV8" si="6">IFERROR(SUM(AB9:AD9)/SUM(AB7:AD7),0)</f>
        <v>1238.644393</v>
      </c>
      <c r="AF8" s="76">
        <f t="shared" si="6"/>
        <v>1250.685386</v>
      </c>
      <c r="AG8" s="76">
        <f t="shared" si="6"/>
        <v>1248.35289</v>
      </c>
      <c r="AH8" s="76">
        <f t="shared" si="6"/>
        <v>1246.07401</v>
      </c>
      <c r="AI8" s="76">
        <f t="shared" si="6"/>
        <v>1248.370437</v>
      </c>
      <c r="AJ8" s="76">
        <f t="shared" si="6"/>
        <v>1247.612818</v>
      </c>
      <c r="AK8" s="76">
        <f t="shared" si="6"/>
        <v>1247.357156</v>
      </c>
      <c r="AL8" s="76">
        <f t="shared" si="6"/>
        <v>1247.769596</v>
      </c>
      <c r="AM8" s="76">
        <f t="shared" si="6"/>
        <v>1247.583128</v>
      </c>
      <c r="AN8" s="76">
        <f t="shared" si="6"/>
        <v>1247.573567</v>
      </c>
      <c r="AO8" s="76">
        <f t="shared" si="6"/>
        <v>1247.640974</v>
      </c>
      <c r="AP8" s="76">
        <f t="shared" si="6"/>
        <v>1247.599482</v>
      </c>
      <c r="AQ8" s="76">
        <f t="shared" si="6"/>
        <v>1247.604593</v>
      </c>
      <c r="AR8" s="76">
        <f t="shared" si="6"/>
        <v>1247.614465</v>
      </c>
      <c r="AS8" s="76">
        <f t="shared" si="6"/>
        <v>1247.606279</v>
      </c>
      <c r="AT8" s="76">
        <f t="shared" si="6"/>
        <v>1247.608415</v>
      </c>
      <c r="AU8" s="76">
        <f t="shared" si="6"/>
        <v>1247.609653</v>
      </c>
      <c r="AV8" s="76">
        <f t="shared" si="6"/>
        <v>1247.608136</v>
      </c>
      <c r="AW8" s="76">
        <f t="shared" si="6"/>
        <v>1247.608731</v>
      </c>
      <c r="AX8" s="76">
        <f t="shared" si="6"/>
        <v>1247.608829</v>
      </c>
      <c r="AY8" s="94">
        <f t="shared" si="6"/>
        <v>1247.608569</v>
      </c>
      <c r="AZ8" s="94">
        <f t="shared" si="6"/>
        <v>1247.608711</v>
      </c>
      <c r="BA8" s="94">
        <f t="shared" si="6"/>
        <v>1247.608705</v>
      </c>
      <c r="BB8" s="94">
        <f t="shared" si="6"/>
        <v>1247.608663</v>
      </c>
      <c r="BC8" s="94">
        <f t="shared" si="6"/>
        <v>1247.608693</v>
      </c>
      <c r="BD8" s="94">
        <f t="shared" si="6"/>
        <v>1247.608687</v>
      </c>
      <c r="BE8" s="94">
        <f t="shared" si="6"/>
        <v>1247.608681</v>
      </c>
      <c r="BF8" s="94">
        <f t="shared" si="6"/>
        <v>1247.608687</v>
      </c>
      <c r="BG8" s="94">
        <f t="shared" si="6"/>
        <v>1247.608685</v>
      </c>
      <c r="BH8" s="94">
        <f t="shared" si="6"/>
        <v>1247.608684</v>
      </c>
      <c r="BI8" s="94">
        <f t="shared" si="6"/>
        <v>1247.608685</v>
      </c>
      <c r="BJ8" s="94">
        <f t="shared" si="6"/>
        <v>1247.608685</v>
      </c>
      <c r="BK8" s="94">
        <f t="shared" si="6"/>
        <v>1247.608685</v>
      </c>
      <c r="BL8" s="94">
        <f t="shared" si="6"/>
        <v>1247.608685</v>
      </c>
      <c r="BM8" s="94">
        <f t="shared" si="6"/>
        <v>1247.608685</v>
      </c>
      <c r="BN8" s="94">
        <f t="shared" si="6"/>
        <v>1247.608685</v>
      </c>
      <c r="BO8" s="94">
        <f t="shared" si="6"/>
        <v>1247.608685</v>
      </c>
      <c r="BP8" s="94">
        <f t="shared" si="6"/>
        <v>1247.608685</v>
      </c>
      <c r="BQ8" s="94">
        <f t="shared" si="6"/>
        <v>1247.608685</v>
      </c>
      <c r="BR8" s="94">
        <f t="shared" si="6"/>
        <v>1247.608685</v>
      </c>
      <c r="BS8" s="94">
        <f t="shared" si="6"/>
        <v>1247.608685</v>
      </c>
      <c r="BT8" s="94">
        <f t="shared" si="6"/>
        <v>1247.608685</v>
      </c>
      <c r="BU8" s="94">
        <f t="shared" si="6"/>
        <v>1247.608685</v>
      </c>
      <c r="BV8" s="94">
        <f t="shared" si="6"/>
        <v>1247.608685</v>
      </c>
    </row>
    <row r="9" ht="15.75" customHeight="1">
      <c r="A9" s="82" t="s">
        <v>101</v>
      </c>
      <c r="B9" s="95"/>
      <c r="C9" s="90">
        <f>SUMIFS(MRR_Export_New_MRR,MRR_Export_Months,"&gt;="&amp;C$1,MRR_Export_Months,"&lt;"&amp;D$1)</f>
        <v>10664</v>
      </c>
      <c r="D9" s="90">
        <f>SUMIFS(MRR_Export_New_MRR,MRR_Export_Months,"&gt;="&amp;D$1,MRR_Export_Months,"&lt;"&amp;E$1)</f>
        <v>12381</v>
      </c>
      <c r="E9" s="90">
        <f>SUMIFS(MRR_Export_New_MRR,MRR_Export_Months,"&gt;="&amp;E$1,MRR_Export_Months,"&lt;"&amp;F$1)</f>
        <v>13625</v>
      </c>
      <c r="F9" s="90">
        <f>SUMIFS(MRR_Export_New_MRR,MRR_Export_Months,"&gt;="&amp;F$1,MRR_Export_Months,"&lt;"&amp;G$1)</f>
        <v>14174</v>
      </c>
      <c r="G9" s="90">
        <f>SUMIFS(MRR_Export_New_MRR,MRR_Export_Months,"&gt;="&amp;G$1,MRR_Export_Months,"&lt;"&amp;H$1)</f>
        <v>17678</v>
      </c>
      <c r="H9" s="90">
        <f>SUMIFS(MRR_Export_New_MRR,MRR_Export_Months,"&gt;="&amp;H$1,MRR_Export_Months,"&lt;"&amp;I$1)</f>
        <v>10809</v>
      </c>
      <c r="I9" s="90">
        <f>SUMIFS(MRR_Export_New_MRR,MRR_Export_Months,"&gt;="&amp;I$1,MRR_Export_Months,"&lt;"&amp;J$1)</f>
        <v>24213</v>
      </c>
      <c r="J9" s="90">
        <f>SUMIFS(MRR_Export_New_MRR,MRR_Export_Months,"&gt;="&amp;J$1,MRR_Export_Months,"&lt;"&amp;K$1)</f>
        <v>16395</v>
      </c>
      <c r="K9" s="90">
        <f>SUMIFS(MRR_Export_New_MRR,MRR_Export_Months,"&gt;="&amp;K$1,MRR_Export_Months,"&lt;"&amp;L$1)</f>
        <v>15996</v>
      </c>
      <c r="L9" s="90">
        <f>SUMIFS(MRR_Export_New_MRR,MRR_Export_Months,"&gt;="&amp;L$1,MRR_Export_Months,"&lt;"&amp;M$1)</f>
        <v>16173</v>
      </c>
      <c r="M9" s="90">
        <f>SUMIFS(MRR_Export_New_MRR,MRR_Export_Months,"&gt;="&amp;M$1,MRR_Export_Months,"&lt;"&amp;N$1)</f>
        <v>16119</v>
      </c>
      <c r="N9" s="90">
        <f>SUMIFS(MRR_Export_New_MRR,MRR_Export_Months,"&gt;="&amp;N$1,MRR_Export_Months,"&lt;"&amp;O$1)</f>
        <v>16188</v>
      </c>
      <c r="O9" s="90">
        <f>SUMIFS(MRR_Export_New_MRR,MRR_Export_Months,"&gt;="&amp;O$1,MRR_Export_Months,"&lt;"&amp;P$1)</f>
        <v>17314</v>
      </c>
      <c r="P9" s="90">
        <f>SUMIFS(MRR_Export_New_MRR,MRR_Export_Months,"&gt;="&amp;P$1,MRR_Export_Months,"&lt;"&amp;Q$1)</f>
        <v>27567</v>
      </c>
      <c r="Q9" s="90">
        <f>SUMIFS(MRR_Export_New_MRR,MRR_Export_Months,"&gt;="&amp;Q$1,MRR_Export_Months,"&lt;"&amp;R$1)</f>
        <v>18539</v>
      </c>
      <c r="R9" s="90">
        <f>SUMIFS(MRR_Export_New_MRR,MRR_Export_Months,"&gt;="&amp;R$1,MRR_Export_Months,"&lt;"&amp;S$1)</f>
        <v>42280</v>
      </c>
      <c r="S9" s="90">
        <f>SUMIFS(MRR_Export_New_MRR,MRR_Export_Months,"&gt;="&amp;S$1,MRR_Export_Months,"&lt;"&amp;T$1)</f>
        <v>22097</v>
      </c>
      <c r="T9" s="90">
        <f>SUMIFS(MRR_Export_New_MRR,MRR_Export_Months,"&gt;="&amp;T$1,MRR_Export_Months,"&lt;"&amp;U$1)</f>
        <v>32061</v>
      </c>
      <c r="U9" s="90">
        <f>SUMIFS(MRR_Export_New_MRR,MRR_Export_Months,"&gt;="&amp;U$1,MRR_Export_Months,"&lt;"&amp;V$1)</f>
        <v>32170</v>
      </c>
      <c r="V9" s="90">
        <f>SUMIFS(MRR_Export_New_MRR,MRR_Export_Months,"&gt;="&amp;V$1,MRR_Export_Months,"&lt;"&amp;W$1)</f>
        <v>31973.33333</v>
      </c>
      <c r="W9" s="90">
        <f>SUMIFS(MRR_Export_New_MRR,MRR_Export_Months,"&gt;="&amp;W$1,MRR_Export_Months,"&lt;"&amp;X$1)</f>
        <v>27486.95238</v>
      </c>
      <c r="X9" s="90">
        <f>SUMIFS(MRR_Export_New_MRR,MRR_Export_Months,"&gt;="&amp;X$1,MRR_Export_Months,"&lt;"&amp;Y$1)</f>
        <v>28724.95238</v>
      </c>
      <c r="Y9" s="90">
        <f>SUMIFS(MRR_Export_New_MRR,MRR_Export_Months,"&gt;="&amp;Y$1,MRR_Export_Months,"&lt;"&amp;Z$1)</f>
        <v>28145.95238</v>
      </c>
      <c r="Z9" s="90">
        <f>SUMIFS(MRR_Export_New_MRR,MRR_Export_Months,"&gt;="&amp;Z$1,MRR_Export_Months,"&lt;"&amp;AA$1)</f>
        <v>30850.95238</v>
      </c>
      <c r="AA9" s="90">
        <f>SUMIFS(MRR_Export_New_MRR,MRR_Export_Months,"&gt;="&amp;AA$1,MRR_Export_Months,"&lt;"&amp;AB$1)</f>
        <v>33080.95238</v>
      </c>
      <c r="AB9" s="90">
        <f>SUMIFS(MRR_Export_New_MRR,MRR_Export_Months,"&gt;="&amp;AB$1,MRR_Export_Months,"&lt;"&amp;AC$1)</f>
        <v>34067.95238</v>
      </c>
      <c r="AC9" s="90">
        <f>SUMIFS(MRR_Export_New_MRR,MRR_Export_Months,"&gt;="&amp;AC$1,MRR_Export_Months,"&lt;"&amp;AD$1)</f>
        <v>25128</v>
      </c>
      <c r="AD9" s="90">
        <f>SUMIFS(MRR_Export_New_MRR,MRR_Export_Months,"&gt;="&amp;AD$1,MRR_Export_Months,"&lt;"&amp;AE$1)</f>
        <v>17600</v>
      </c>
      <c r="AE9" s="96">
        <f t="shared" ref="AE9:BV9" si="7">AE7*AE8</f>
        <v>21056.95469</v>
      </c>
      <c r="AF9" s="96">
        <f t="shared" si="7"/>
        <v>22512.33695</v>
      </c>
      <c r="AG9" s="96">
        <f t="shared" si="7"/>
        <v>23718.70492</v>
      </c>
      <c r="AH9" s="96">
        <f t="shared" si="7"/>
        <v>22429.33218</v>
      </c>
      <c r="AI9" s="96">
        <f t="shared" si="7"/>
        <v>22470.66787</v>
      </c>
      <c r="AJ9" s="96">
        <f t="shared" si="7"/>
        <v>23704.64354</v>
      </c>
      <c r="AK9" s="96">
        <f t="shared" si="7"/>
        <v>23699.78597</v>
      </c>
      <c r="AL9" s="96">
        <f t="shared" si="7"/>
        <v>24955.39192</v>
      </c>
      <c r="AM9" s="96">
        <f t="shared" si="7"/>
        <v>24951.66256</v>
      </c>
      <c r="AN9" s="96">
        <f t="shared" si="7"/>
        <v>26199.04491</v>
      </c>
      <c r="AO9" s="96">
        <f t="shared" si="7"/>
        <v>26200.46044</v>
      </c>
      <c r="AP9" s="96">
        <f t="shared" si="7"/>
        <v>27447.18861</v>
      </c>
      <c r="AQ9" s="96">
        <f t="shared" si="7"/>
        <v>28694.90564</v>
      </c>
      <c r="AR9" s="96">
        <f t="shared" si="7"/>
        <v>28695.1327</v>
      </c>
      <c r="AS9" s="96">
        <f t="shared" si="7"/>
        <v>29942.55069</v>
      </c>
      <c r="AT9" s="96">
        <f t="shared" si="7"/>
        <v>29942.60195</v>
      </c>
      <c r="AU9" s="96">
        <f t="shared" si="7"/>
        <v>31190.24132</v>
      </c>
      <c r="AV9" s="96">
        <f t="shared" si="7"/>
        <v>32437.81155</v>
      </c>
      <c r="AW9" s="96">
        <f t="shared" si="7"/>
        <v>32437.827</v>
      </c>
      <c r="AX9" s="96">
        <f t="shared" si="7"/>
        <v>33685.4384</v>
      </c>
      <c r="AY9" s="97">
        <f t="shared" si="7"/>
        <v>32437.82279</v>
      </c>
      <c r="AZ9" s="97">
        <f t="shared" si="7"/>
        <v>33685.4352</v>
      </c>
      <c r="BA9" s="97">
        <f t="shared" si="7"/>
        <v>33685.43503</v>
      </c>
      <c r="BB9" s="97">
        <f t="shared" si="7"/>
        <v>33685.4339</v>
      </c>
      <c r="BC9" s="97">
        <f t="shared" si="7"/>
        <v>33685.43471</v>
      </c>
      <c r="BD9" s="97">
        <f t="shared" si="7"/>
        <v>34933.04323</v>
      </c>
      <c r="BE9" s="97">
        <f t="shared" si="7"/>
        <v>34933.04307</v>
      </c>
      <c r="BF9" s="97">
        <f t="shared" si="7"/>
        <v>36180.65192</v>
      </c>
      <c r="BG9" s="97">
        <f t="shared" si="7"/>
        <v>36180.65186</v>
      </c>
      <c r="BH9" s="97">
        <f t="shared" si="7"/>
        <v>36180.65185</v>
      </c>
      <c r="BI9" s="97">
        <f t="shared" si="7"/>
        <v>37428.26056</v>
      </c>
      <c r="BJ9" s="97">
        <f t="shared" si="7"/>
        <v>37428.26055</v>
      </c>
      <c r="BK9" s="97">
        <f t="shared" si="7"/>
        <v>37428.26055</v>
      </c>
      <c r="BL9" s="97">
        <f t="shared" si="7"/>
        <v>38675.86924</v>
      </c>
      <c r="BM9" s="97">
        <f t="shared" si="7"/>
        <v>38675.86923</v>
      </c>
      <c r="BN9" s="97">
        <f t="shared" si="7"/>
        <v>39923.47792</v>
      </c>
      <c r="BO9" s="97">
        <f t="shared" si="7"/>
        <v>39923.47792</v>
      </c>
      <c r="BP9" s="97">
        <f t="shared" si="7"/>
        <v>39923.47792</v>
      </c>
      <c r="BQ9" s="97">
        <f t="shared" si="7"/>
        <v>41171.0866</v>
      </c>
      <c r="BR9" s="97">
        <f t="shared" si="7"/>
        <v>41171.0866</v>
      </c>
      <c r="BS9" s="97">
        <f t="shared" si="7"/>
        <v>42418.69529</v>
      </c>
      <c r="BT9" s="97">
        <f t="shared" si="7"/>
        <v>42418.69529</v>
      </c>
      <c r="BU9" s="97">
        <f t="shared" si="7"/>
        <v>43666.30397</v>
      </c>
      <c r="BV9" s="97">
        <f t="shared" si="7"/>
        <v>43666.30397</v>
      </c>
    </row>
    <row r="10" ht="15.75" customHeight="1">
      <c r="A10" s="87"/>
      <c r="B10" s="96"/>
      <c r="C10" s="96"/>
      <c r="D10" s="96"/>
      <c r="E10" s="96"/>
      <c r="F10" s="96"/>
      <c r="G10" s="96"/>
      <c r="H10" s="96"/>
      <c r="I10" s="96"/>
      <c r="J10" s="96"/>
      <c r="K10" s="96"/>
      <c r="L10" s="96"/>
      <c r="M10" s="96"/>
      <c r="N10" s="96"/>
      <c r="O10" s="96"/>
      <c r="P10" s="96"/>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row>
    <row r="11" ht="15.75" customHeight="1">
      <c r="A11" s="87" t="s">
        <v>102</v>
      </c>
      <c r="B11" s="96"/>
      <c r="C11" s="96"/>
      <c r="D11" s="96"/>
      <c r="E11" s="96"/>
      <c r="F11" s="96"/>
      <c r="G11" s="96"/>
      <c r="H11" s="96"/>
      <c r="I11" s="96"/>
      <c r="J11" s="96"/>
      <c r="K11" s="96"/>
      <c r="L11" s="96"/>
      <c r="M11" s="96"/>
      <c r="N11" s="96"/>
      <c r="O11" s="96"/>
      <c r="P11" s="96"/>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7"/>
      <c r="AZ11" s="97"/>
      <c r="BA11" s="97"/>
      <c r="BB11" s="97"/>
      <c r="BC11" s="97"/>
      <c r="BD11" s="97"/>
      <c r="BE11" s="97"/>
      <c r="BF11" s="97"/>
      <c r="BG11" s="97"/>
      <c r="BH11" s="97"/>
      <c r="BI11" s="97"/>
      <c r="BJ11" s="97"/>
      <c r="BK11" s="97"/>
      <c r="BL11" s="97"/>
      <c r="BM11" s="97"/>
      <c r="BN11" s="97"/>
      <c r="BO11" s="97"/>
      <c r="BP11" s="97"/>
      <c r="BQ11" s="97"/>
      <c r="BR11" s="97"/>
      <c r="BS11" s="97"/>
      <c r="BT11" s="97"/>
      <c r="BU11" s="97"/>
      <c r="BV11" s="97"/>
    </row>
    <row r="12" ht="15.75" customHeight="1">
      <c r="A12" s="82" t="s">
        <v>32</v>
      </c>
      <c r="B12" s="1"/>
      <c r="C12" s="96"/>
      <c r="D12" s="96"/>
      <c r="E12" s="96"/>
      <c r="F12" s="96"/>
      <c r="G12" s="96"/>
      <c r="H12" s="96"/>
      <c r="I12" s="96"/>
      <c r="J12" s="96"/>
      <c r="K12" s="96"/>
      <c r="L12" s="96"/>
      <c r="M12" s="96"/>
      <c r="N12" s="96"/>
      <c r="O12" s="96"/>
      <c r="P12" s="96"/>
      <c r="Q12" s="96"/>
      <c r="R12" s="96"/>
      <c r="S12" s="96"/>
      <c r="T12" s="96"/>
      <c r="U12" s="96"/>
      <c r="V12" s="96"/>
      <c r="W12" s="96"/>
      <c r="X12" s="96"/>
      <c r="Y12" s="96"/>
      <c r="Z12" s="96"/>
      <c r="AA12" s="96"/>
      <c r="AB12" s="96"/>
      <c r="AC12" s="96"/>
      <c r="AD12" s="96"/>
      <c r="AE12" s="76">
        <f t="shared" ref="AE12:BV12" si="8">ROUND(AE$3*AE$5,0)</f>
        <v>0</v>
      </c>
      <c r="AF12" s="76">
        <f t="shared" si="8"/>
        <v>0</v>
      </c>
      <c r="AG12" s="76">
        <f t="shared" si="8"/>
        <v>0</v>
      </c>
      <c r="AH12" s="76">
        <f t="shared" si="8"/>
        <v>0</v>
      </c>
      <c r="AI12" s="76">
        <f t="shared" si="8"/>
        <v>0</v>
      </c>
      <c r="AJ12" s="76">
        <f t="shared" si="8"/>
        <v>0</v>
      </c>
      <c r="AK12" s="76">
        <f t="shared" si="8"/>
        <v>0</v>
      </c>
      <c r="AL12" s="76">
        <f t="shared" si="8"/>
        <v>0</v>
      </c>
      <c r="AM12" s="76">
        <f t="shared" si="8"/>
        <v>0</v>
      </c>
      <c r="AN12" s="76">
        <f t="shared" si="8"/>
        <v>0</v>
      </c>
      <c r="AO12" s="76">
        <f t="shared" si="8"/>
        <v>0</v>
      </c>
      <c r="AP12" s="76">
        <f t="shared" si="8"/>
        <v>0</v>
      </c>
      <c r="AQ12" s="76">
        <f t="shared" si="8"/>
        <v>0</v>
      </c>
      <c r="AR12" s="76">
        <f t="shared" si="8"/>
        <v>0</v>
      </c>
      <c r="AS12" s="76">
        <f t="shared" si="8"/>
        <v>0</v>
      </c>
      <c r="AT12" s="76">
        <f t="shared" si="8"/>
        <v>0</v>
      </c>
      <c r="AU12" s="76">
        <f t="shared" si="8"/>
        <v>0</v>
      </c>
      <c r="AV12" s="76">
        <f t="shared" si="8"/>
        <v>0</v>
      </c>
      <c r="AW12" s="76">
        <f t="shared" si="8"/>
        <v>0</v>
      </c>
      <c r="AX12" s="76">
        <f t="shared" si="8"/>
        <v>0</v>
      </c>
      <c r="AY12" s="94">
        <f t="shared" si="8"/>
        <v>0</v>
      </c>
      <c r="AZ12" s="94">
        <f t="shared" si="8"/>
        <v>0</v>
      </c>
      <c r="BA12" s="94">
        <f t="shared" si="8"/>
        <v>0</v>
      </c>
      <c r="BB12" s="94">
        <f t="shared" si="8"/>
        <v>0</v>
      </c>
      <c r="BC12" s="94">
        <f t="shared" si="8"/>
        <v>0</v>
      </c>
      <c r="BD12" s="94">
        <f t="shared" si="8"/>
        <v>0</v>
      </c>
      <c r="BE12" s="94">
        <f t="shared" si="8"/>
        <v>0</v>
      </c>
      <c r="BF12" s="94">
        <f t="shared" si="8"/>
        <v>0</v>
      </c>
      <c r="BG12" s="94">
        <f t="shared" si="8"/>
        <v>0</v>
      </c>
      <c r="BH12" s="94">
        <f t="shared" si="8"/>
        <v>0</v>
      </c>
      <c r="BI12" s="94">
        <f t="shared" si="8"/>
        <v>0</v>
      </c>
      <c r="BJ12" s="94">
        <f t="shared" si="8"/>
        <v>0</v>
      </c>
      <c r="BK12" s="94">
        <f t="shared" si="8"/>
        <v>0</v>
      </c>
      <c r="BL12" s="94">
        <f t="shared" si="8"/>
        <v>0</v>
      </c>
      <c r="BM12" s="94">
        <f t="shared" si="8"/>
        <v>0</v>
      </c>
      <c r="BN12" s="94">
        <f t="shared" si="8"/>
        <v>0</v>
      </c>
      <c r="BO12" s="94">
        <f t="shared" si="8"/>
        <v>0</v>
      </c>
      <c r="BP12" s="94">
        <f t="shared" si="8"/>
        <v>0</v>
      </c>
      <c r="BQ12" s="94">
        <f t="shared" si="8"/>
        <v>0</v>
      </c>
      <c r="BR12" s="94">
        <f t="shared" si="8"/>
        <v>0</v>
      </c>
      <c r="BS12" s="94">
        <f t="shared" si="8"/>
        <v>0</v>
      </c>
      <c r="BT12" s="94">
        <f t="shared" si="8"/>
        <v>0</v>
      </c>
      <c r="BU12" s="94">
        <f t="shared" si="8"/>
        <v>0</v>
      </c>
      <c r="BV12" s="94">
        <f t="shared" si="8"/>
        <v>0</v>
      </c>
    </row>
    <row r="13" ht="15.75" customHeight="1">
      <c r="A13" s="82" t="s">
        <v>100</v>
      </c>
      <c r="B13" s="1"/>
      <c r="C13" s="96"/>
      <c r="D13" s="96"/>
      <c r="E13" s="96"/>
      <c r="F13" s="96"/>
      <c r="G13" s="96"/>
      <c r="H13" s="96"/>
      <c r="I13" s="96"/>
      <c r="J13" s="96"/>
      <c r="K13" s="96"/>
      <c r="L13" s="96"/>
      <c r="M13" s="96"/>
      <c r="N13" s="96"/>
      <c r="O13" s="96"/>
      <c r="P13" s="96"/>
      <c r="Q13" s="96"/>
      <c r="R13" s="96"/>
      <c r="S13" s="96"/>
      <c r="T13" s="96"/>
      <c r="U13" s="96"/>
      <c r="V13" s="96"/>
      <c r="W13" s="96"/>
      <c r="X13" s="96"/>
      <c r="Y13" s="96"/>
      <c r="Z13" s="96"/>
      <c r="AA13" s="96"/>
      <c r="AB13" s="96"/>
      <c r="AC13" s="96"/>
      <c r="AD13" s="96"/>
      <c r="AE13" s="98">
        <v>1000.0</v>
      </c>
      <c r="AF13" s="98">
        <v>1000.0</v>
      </c>
      <c r="AG13" s="98">
        <v>1000.0</v>
      </c>
      <c r="AH13" s="98">
        <v>1000.0</v>
      </c>
      <c r="AI13" s="98">
        <v>1000.0</v>
      </c>
      <c r="AJ13" s="98">
        <v>1000.0</v>
      </c>
      <c r="AK13" s="98">
        <v>1000.0</v>
      </c>
      <c r="AL13" s="98">
        <v>1000.0</v>
      </c>
      <c r="AM13" s="98">
        <v>1000.0</v>
      </c>
      <c r="AN13" s="98">
        <v>1000.0</v>
      </c>
      <c r="AO13" s="98">
        <v>1000.0</v>
      </c>
      <c r="AP13" s="98">
        <v>1000.0</v>
      </c>
      <c r="AQ13" s="98">
        <v>1000.0</v>
      </c>
      <c r="AR13" s="98">
        <v>1000.0</v>
      </c>
      <c r="AS13" s="98">
        <v>1000.0</v>
      </c>
      <c r="AT13" s="98">
        <v>1000.0</v>
      </c>
      <c r="AU13" s="98">
        <v>1000.0</v>
      </c>
      <c r="AV13" s="98">
        <v>1000.0</v>
      </c>
      <c r="AW13" s="98">
        <v>1000.0</v>
      </c>
      <c r="AX13" s="98">
        <v>1000.0</v>
      </c>
      <c r="AY13" s="99">
        <v>1000.0</v>
      </c>
      <c r="AZ13" s="99">
        <v>1000.0</v>
      </c>
      <c r="BA13" s="99">
        <v>1000.0</v>
      </c>
      <c r="BB13" s="99">
        <v>1000.0</v>
      </c>
      <c r="BC13" s="99">
        <v>1000.0</v>
      </c>
      <c r="BD13" s="99">
        <v>1000.0</v>
      </c>
      <c r="BE13" s="99">
        <v>1000.0</v>
      </c>
      <c r="BF13" s="99">
        <v>1000.0</v>
      </c>
      <c r="BG13" s="99">
        <v>1000.0</v>
      </c>
      <c r="BH13" s="99">
        <v>1000.0</v>
      </c>
      <c r="BI13" s="99">
        <v>1000.0</v>
      </c>
      <c r="BJ13" s="99">
        <v>1000.0</v>
      </c>
      <c r="BK13" s="99">
        <v>1000.0</v>
      </c>
      <c r="BL13" s="99">
        <v>1000.0</v>
      </c>
      <c r="BM13" s="99">
        <v>1000.0</v>
      </c>
      <c r="BN13" s="99">
        <v>1000.0</v>
      </c>
      <c r="BO13" s="99">
        <v>1000.0</v>
      </c>
      <c r="BP13" s="99">
        <v>1000.0</v>
      </c>
      <c r="BQ13" s="99">
        <v>1000.0</v>
      </c>
      <c r="BR13" s="99">
        <v>1000.0</v>
      </c>
      <c r="BS13" s="99">
        <v>1000.0</v>
      </c>
      <c r="BT13" s="99">
        <v>1000.0</v>
      </c>
      <c r="BU13" s="99">
        <v>1000.0</v>
      </c>
      <c r="BV13" s="99">
        <v>1000.0</v>
      </c>
    </row>
    <row r="14" ht="15.75" customHeight="1">
      <c r="A14" s="82" t="s">
        <v>101</v>
      </c>
      <c r="B14" s="1"/>
      <c r="C14" s="96"/>
      <c r="D14" s="96"/>
      <c r="E14" s="96"/>
      <c r="F14" s="96"/>
      <c r="G14" s="96"/>
      <c r="H14" s="96"/>
      <c r="I14" s="96"/>
      <c r="J14" s="96"/>
      <c r="K14" s="96"/>
      <c r="L14" s="96"/>
      <c r="M14" s="96"/>
      <c r="N14" s="96"/>
      <c r="O14" s="96"/>
      <c r="P14" s="96"/>
      <c r="Q14" s="96"/>
      <c r="R14" s="96"/>
      <c r="S14" s="96"/>
      <c r="T14" s="96"/>
      <c r="U14" s="96"/>
      <c r="V14" s="96"/>
      <c r="W14" s="96"/>
      <c r="X14" s="96"/>
      <c r="Y14" s="96"/>
      <c r="Z14" s="96"/>
      <c r="AA14" s="96"/>
      <c r="AB14" s="96"/>
      <c r="AC14" s="96"/>
      <c r="AD14" s="96"/>
      <c r="AE14" s="96">
        <f t="shared" ref="AE14:BV14" si="9">AE12*AE13</f>
        <v>0</v>
      </c>
      <c r="AF14" s="96">
        <f t="shared" si="9"/>
        <v>0</v>
      </c>
      <c r="AG14" s="96">
        <f t="shared" si="9"/>
        <v>0</v>
      </c>
      <c r="AH14" s="96">
        <f t="shared" si="9"/>
        <v>0</v>
      </c>
      <c r="AI14" s="96">
        <f t="shared" si="9"/>
        <v>0</v>
      </c>
      <c r="AJ14" s="96">
        <f t="shared" si="9"/>
        <v>0</v>
      </c>
      <c r="AK14" s="96">
        <f t="shared" si="9"/>
        <v>0</v>
      </c>
      <c r="AL14" s="96">
        <f t="shared" si="9"/>
        <v>0</v>
      </c>
      <c r="AM14" s="96">
        <f t="shared" si="9"/>
        <v>0</v>
      </c>
      <c r="AN14" s="96">
        <f t="shared" si="9"/>
        <v>0</v>
      </c>
      <c r="AO14" s="96">
        <f t="shared" si="9"/>
        <v>0</v>
      </c>
      <c r="AP14" s="96">
        <f t="shared" si="9"/>
        <v>0</v>
      </c>
      <c r="AQ14" s="96">
        <f t="shared" si="9"/>
        <v>0</v>
      </c>
      <c r="AR14" s="96">
        <f t="shared" si="9"/>
        <v>0</v>
      </c>
      <c r="AS14" s="96">
        <f t="shared" si="9"/>
        <v>0</v>
      </c>
      <c r="AT14" s="96">
        <f t="shared" si="9"/>
        <v>0</v>
      </c>
      <c r="AU14" s="96">
        <f t="shared" si="9"/>
        <v>0</v>
      </c>
      <c r="AV14" s="96">
        <f t="shared" si="9"/>
        <v>0</v>
      </c>
      <c r="AW14" s="96">
        <f t="shared" si="9"/>
        <v>0</v>
      </c>
      <c r="AX14" s="96">
        <f t="shared" si="9"/>
        <v>0</v>
      </c>
      <c r="AY14" s="97">
        <f t="shared" si="9"/>
        <v>0</v>
      </c>
      <c r="AZ14" s="97">
        <f t="shared" si="9"/>
        <v>0</v>
      </c>
      <c r="BA14" s="97">
        <f t="shared" si="9"/>
        <v>0</v>
      </c>
      <c r="BB14" s="97">
        <f t="shared" si="9"/>
        <v>0</v>
      </c>
      <c r="BC14" s="97">
        <f t="shared" si="9"/>
        <v>0</v>
      </c>
      <c r="BD14" s="97">
        <f t="shared" si="9"/>
        <v>0</v>
      </c>
      <c r="BE14" s="97">
        <f t="shared" si="9"/>
        <v>0</v>
      </c>
      <c r="BF14" s="97">
        <f t="shared" si="9"/>
        <v>0</v>
      </c>
      <c r="BG14" s="97">
        <f t="shared" si="9"/>
        <v>0</v>
      </c>
      <c r="BH14" s="97">
        <f t="shared" si="9"/>
        <v>0</v>
      </c>
      <c r="BI14" s="97">
        <f t="shared" si="9"/>
        <v>0</v>
      </c>
      <c r="BJ14" s="97">
        <f t="shared" si="9"/>
        <v>0</v>
      </c>
      <c r="BK14" s="97">
        <f t="shared" si="9"/>
        <v>0</v>
      </c>
      <c r="BL14" s="97">
        <f t="shared" si="9"/>
        <v>0</v>
      </c>
      <c r="BM14" s="97">
        <f t="shared" si="9"/>
        <v>0</v>
      </c>
      <c r="BN14" s="97">
        <f t="shared" si="9"/>
        <v>0</v>
      </c>
      <c r="BO14" s="97">
        <f t="shared" si="9"/>
        <v>0</v>
      </c>
      <c r="BP14" s="97">
        <f t="shared" si="9"/>
        <v>0</v>
      </c>
      <c r="BQ14" s="97">
        <f t="shared" si="9"/>
        <v>0</v>
      </c>
      <c r="BR14" s="97">
        <f t="shared" si="9"/>
        <v>0</v>
      </c>
      <c r="BS14" s="97">
        <f t="shared" si="9"/>
        <v>0</v>
      </c>
      <c r="BT14" s="97">
        <f t="shared" si="9"/>
        <v>0</v>
      </c>
      <c r="BU14" s="97">
        <f t="shared" si="9"/>
        <v>0</v>
      </c>
      <c r="BV14" s="97">
        <f t="shared" si="9"/>
        <v>0</v>
      </c>
    </row>
    <row r="15" ht="15.75" customHeight="1">
      <c r="A15" s="87"/>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row>
    <row r="16" ht="15.75" customHeight="1">
      <c r="A16" s="100" t="s">
        <v>103</v>
      </c>
      <c r="B16" s="80"/>
      <c r="C16" s="80"/>
      <c r="D16" s="80"/>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row>
    <row r="17" ht="15.75" customHeight="1">
      <c r="A17" s="87" t="s">
        <v>99</v>
      </c>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row>
    <row r="18" ht="15.75" customHeight="1">
      <c r="A18" s="82" t="s">
        <v>104</v>
      </c>
      <c r="B18" s="89"/>
      <c r="C18" s="90">
        <f>SUMIFS(MRR_Export_Expansion_Count,MRR_Export_Months,"&gt;="&amp;C$1,MRR_Export_Months,"&lt;"&amp;D$1)</f>
        <v>3</v>
      </c>
      <c r="D18" s="90">
        <f>SUMIFS(MRR_Export_Expansion_Count,MRR_Export_Months,"&gt;="&amp;D$1,MRR_Export_Months,"&lt;"&amp;E$1)</f>
        <v>4</v>
      </c>
      <c r="E18" s="90">
        <f>SUMIFS(MRR_Export_Expansion_Count,MRR_Export_Months,"&gt;="&amp;E$1,MRR_Export_Months,"&lt;"&amp;F$1)</f>
        <v>3</v>
      </c>
      <c r="F18" s="90">
        <f>SUMIFS(MRR_Export_Expansion_Count,MRR_Export_Months,"&gt;="&amp;F$1,MRR_Export_Months,"&lt;"&amp;G$1)</f>
        <v>5</v>
      </c>
      <c r="G18" s="90">
        <f>SUMIFS(MRR_Export_Expansion_Count,MRR_Export_Months,"&gt;="&amp;G$1,MRR_Export_Months,"&lt;"&amp;H$1)</f>
        <v>7</v>
      </c>
      <c r="H18" s="90">
        <f>SUMIFS(MRR_Export_Expansion_Count,MRR_Export_Months,"&gt;="&amp;H$1,MRR_Export_Months,"&lt;"&amp;I$1)</f>
        <v>5</v>
      </c>
      <c r="I18" s="90">
        <f>SUMIFS(MRR_Export_Expansion_Count,MRR_Export_Months,"&gt;="&amp;I$1,MRR_Export_Months,"&lt;"&amp;J$1)</f>
        <v>5</v>
      </c>
      <c r="J18" s="90">
        <f>SUMIFS(MRR_Export_Expansion_Count,MRR_Export_Months,"&gt;="&amp;J$1,MRR_Export_Months,"&lt;"&amp;K$1)</f>
        <v>5</v>
      </c>
      <c r="K18" s="90">
        <f>SUMIFS(MRR_Export_Expansion_Count,MRR_Export_Months,"&gt;="&amp;K$1,MRR_Export_Months,"&lt;"&amp;L$1)</f>
        <v>5</v>
      </c>
      <c r="L18" s="90">
        <f>SUMIFS(MRR_Export_Expansion_Count,MRR_Export_Months,"&gt;="&amp;L$1,MRR_Export_Months,"&lt;"&amp;M$1)</f>
        <v>5</v>
      </c>
      <c r="M18" s="90">
        <f>SUMIFS(MRR_Export_Expansion_Count,MRR_Export_Months,"&gt;="&amp;M$1,MRR_Export_Months,"&lt;"&amp;N$1)</f>
        <v>5</v>
      </c>
      <c r="N18" s="90">
        <f>SUMIFS(MRR_Export_Expansion_Count,MRR_Export_Months,"&gt;="&amp;N$1,MRR_Export_Months,"&lt;"&amp;O$1)</f>
        <v>5</v>
      </c>
      <c r="O18" s="90">
        <f>SUMIFS(MRR_Export_Expansion_Count,MRR_Export_Months,"&gt;="&amp;O$1,MRR_Export_Months,"&lt;"&amp;P$1)</f>
        <v>5</v>
      </c>
      <c r="P18" s="90">
        <f>SUMIFS(MRR_Export_Expansion_Count,MRR_Export_Months,"&gt;="&amp;P$1,MRR_Export_Months,"&lt;"&amp;Q$1)</f>
        <v>5</v>
      </c>
      <c r="Q18" s="90">
        <f>SUMIFS(MRR_Export_Expansion_Count,MRR_Export_Months,"&gt;="&amp;Q$1,MRR_Export_Months,"&lt;"&amp;R$1)</f>
        <v>5</v>
      </c>
      <c r="R18" s="90">
        <f>SUMIFS(MRR_Export_Expansion_Count,MRR_Export_Months,"&gt;="&amp;R$1,MRR_Export_Months,"&lt;"&amp;S$1)</f>
        <v>10</v>
      </c>
      <c r="S18" s="90">
        <f>SUMIFS(MRR_Export_Expansion_Count,MRR_Export_Months,"&gt;="&amp;S$1,MRR_Export_Months,"&lt;"&amp;T$1)</f>
        <v>5</v>
      </c>
      <c r="T18" s="90">
        <f>SUMIFS(MRR_Export_Expansion_Count,MRR_Export_Months,"&gt;="&amp;T$1,MRR_Export_Months,"&lt;"&amp;U$1)</f>
        <v>5</v>
      </c>
      <c r="U18" s="90">
        <f>SUMIFS(MRR_Export_Expansion_Count,MRR_Export_Months,"&gt;="&amp;U$1,MRR_Export_Months,"&lt;"&amp;V$1)</f>
        <v>5</v>
      </c>
      <c r="V18" s="90">
        <f>SUMIFS(MRR_Export_Expansion_Count,MRR_Export_Months,"&gt;="&amp;V$1,MRR_Export_Months,"&lt;"&amp;W$1)</f>
        <v>8</v>
      </c>
      <c r="W18" s="90">
        <f>SUMIFS(MRR_Export_Expansion_Count,MRR_Export_Months,"&gt;="&amp;W$1,MRR_Export_Months,"&lt;"&amp;X$1)</f>
        <v>11</v>
      </c>
      <c r="X18" s="90">
        <f>SUMIFS(MRR_Export_Expansion_Count,MRR_Export_Months,"&gt;="&amp;X$1,MRR_Export_Months,"&lt;"&amp;Y$1)</f>
        <v>11</v>
      </c>
      <c r="Y18" s="90">
        <f>SUMIFS(MRR_Export_Expansion_Count,MRR_Export_Months,"&gt;="&amp;Y$1,MRR_Export_Months,"&lt;"&amp;Z$1)</f>
        <v>11</v>
      </c>
      <c r="Z18" s="90">
        <f>SUMIFS(MRR_Export_Expansion_Count,MRR_Export_Months,"&gt;="&amp;Z$1,MRR_Export_Months,"&lt;"&amp;AA$1)</f>
        <v>14</v>
      </c>
      <c r="AA18" s="90">
        <f>SUMIFS(MRR_Export_Expansion_Count,MRR_Export_Months,"&gt;="&amp;AA$1,MRR_Export_Months,"&lt;"&amp;AB$1)</f>
        <v>14</v>
      </c>
      <c r="AB18" s="90">
        <f>SUMIFS(MRR_Export_Expansion_Count,MRR_Export_Months,"&gt;="&amp;AB$1,MRR_Export_Months,"&lt;"&amp;AC$1)</f>
        <v>13</v>
      </c>
      <c r="AC18" s="90">
        <f>SUMIFS(MRR_Export_Expansion_Count,MRR_Export_Months,"&gt;="&amp;AC$1,MRR_Export_Months,"&lt;"&amp;AD$1)</f>
        <v>12</v>
      </c>
      <c r="AD18" s="90">
        <f>SUMIFS(MRR_Export_Expansion_Count,MRR_Export_Months,"&gt;="&amp;AD$1,MRR_Export_Months,"&lt;"&amp;AE$1)</f>
        <v>11</v>
      </c>
      <c r="AE18" s="96">
        <f t="shared" ref="AE18:BV18" si="10">AE19*AD$65</f>
        <v>12.25785124</v>
      </c>
      <c r="AF18" s="96">
        <f t="shared" si="10"/>
        <v>13.711676</v>
      </c>
      <c r="AG18" s="96">
        <f t="shared" si="10"/>
        <v>13.90200086</v>
      </c>
      <c r="AH18" s="96">
        <f t="shared" si="10"/>
        <v>16.09895324</v>
      </c>
      <c r="AI18" s="96">
        <f t="shared" si="10"/>
        <v>17.68161393</v>
      </c>
      <c r="AJ18" s="96">
        <f t="shared" si="10"/>
        <v>18.00847941</v>
      </c>
      <c r="AK18" s="96">
        <f t="shared" si="10"/>
        <v>18.35940309</v>
      </c>
      <c r="AL18" s="96">
        <f t="shared" si="10"/>
        <v>18.70716847</v>
      </c>
      <c r="AM18" s="96">
        <f t="shared" si="10"/>
        <v>19.07880395</v>
      </c>
      <c r="AN18" s="96">
        <f t="shared" si="10"/>
        <v>19.44709471</v>
      </c>
      <c r="AO18" s="96">
        <f t="shared" si="10"/>
        <v>19.83907086</v>
      </c>
      <c r="AP18" s="96">
        <f t="shared" si="10"/>
        <v>20.22751922</v>
      </c>
      <c r="AQ18" s="96">
        <f t="shared" si="10"/>
        <v>20.63947155</v>
      </c>
      <c r="AR18" s="96">
        <f t="shared" si="10"/>
        <v>21.07471631</v>
      </c>
      <c r="AS18" s="96">
        <f t="shared" si="10"/>
        <v>21.50604386</v>
      </c>
      <c r="AT18" s="96">
        <f t="shared" si="10"/>
        <v>21.96048947</v>
      </c>
      <c r="AU18" s="96">
        <f t="shared" si="10"/>
        <v>22.41084506</v>
      </c>
      <c r="AV18" s="96">
        <f t="shared" si="10"/>
        <v>22.88414745</v>
      </c>
      <c r="AW18" s="96">
        <f t="shared" si="10"/>
        <v>23.38019013</v>
      </c>
      <c r="AX18" s="96">
        <f t="shared" si="10"/>
        <v>23.87176842</v>
      </c>
      <c r="AY18" s="97">
        <f t="shared" si="10"/>
        <v>24.3859225</v>
      </c>
      <c r="AZ18" s="97">
        <f t="shared" si="10"/>
        <v>24.8684492</v>
      </c>
      <c r="BA18" s="97">
        <f t="shared" si="10"/>
        <v>25.37363316</v>
      </c>
      <c r="BB18" s="97">
        <f t="shared" si="10"/>
        <v>25.87427046</v>
      </c>
      <c r="BC18" s="97">
        <f t="shared" si="10"/>
        <v>26.37040202</v>
      </c>
      <c r="BD18" s="97">
        <f t="shared" si="10"/>
        <v>26.8620684</v>
      </c>
      <c r="BE18" s="97">
        <f t="shared" si="10"/>
        <v>27.37630979</v>
      </c>
      <c r="BF18" s="97">
        <f t="shared" si="10"/>
        <v>27.885923</v>
      </c>
      <c r="BG18" s="97">
        <f t="shared" si="10"/>
        <v>28.41794969</v>
      </c>
      <c r="BH18" s="97">
        <f t="shared" si="10"/>
        <v>28.94518815</v>
      </c>
      <c r="BI18" s="97">
        <f t="shared" si="10"/>
        <v>29.46768145</v>
      </c>
      <c r="BJ18" s="97">
        <f t="shared" si="10"/>
        <v>30.01247232</v>
      </c>
      <c r="BK18" s="97">
        <f t="shared" si="10"/>
        <v>30.55236007</v>
      </c>
      <c r="BL18" s="97">
        <f t="shared" si="10"/>
        <v>31.08738883</v>
      </c>
      <c r="BM18" s="97">
        <f t="shared" si="10"/>
        <v>31.64460233</v>
      </c>
      <c r="BN18" s="97">
        <f t="shared" si="10"/>
        <v>32.19680091</v>
      </c>
      <c r="BO18" s="97">
        <f t="shared" si="10"/>
        <v>32.7710297</v>
      </c>
      <c r="BP18" s="97">
        <f t="shared" si="10"/>
        <v>33.34009043</v>
      </c>
      <c r="BQ18" s="97">
        <f t="shared" si="10"/>
        <v>33.90402962</v>
      </c>
      <c r="BR18" s="97">
        <f t="shared" si="10"/>
        <v>34.48989335</v>
      </c>
      <c r="BS18" s="97">
        <f t="shared" si="10"/>
        <v>35.07048431</v>
      </c>
      <c r="BT18" s="97">
        <f t="shared" si="10"/>
        <v>35.67284995</v>
      </c>
      <c r="BU18" s="97">
        <f t="shared" si="10"/>
        <v>36.2697943</v>
      </c>
      <c r="BV18" s="97">
        <f t="shared" si="10"/>
        <v>36.88836616</v>
      </c>
    </row>
    <row r="19" ht="15.75" customHeight="1">
      <c r="A19" s="82" t="s">
        <v>105</v>
      </c>
      <c r="B19" s="93"/>
      <c r="C19" s="43" t="str">
        <f t="shared" ref="C19:AD19" si="11">IFERROR(C18/B$65," ")</f>
        <v> </v>
      </c>
      <c r="D19" s="43">
        <f t="shared" si="11"/>
        <v>0.01687763713</v>
      </c>
      <c r="E19" s="43">
        <f t="shared" si="11"/>
        <v>0.01376146789</v>
      </c>
      <c r="F19" s="43">
        <f t="shared" si="11"/>
        <v>0.02192982456</v>
      </c>
      <c r="G19" s="43">
        <f t="shared" si="11"/>
        <v>0.02941176471</v>
      </c>
      <c r="H19" s="43">
        <f t="shared" si="11"/>
        <v>0.01992031873</v>
      </c>
      <c r="I19" s="43">
        <f t="shared" si="11"/>
        <v>0.01930501931</v>
      </c>
      <c r="J19" s="43">
        <f t="shared" si="11"/>
        <v>0.01811594203</v>
      </c>
      <c r="K19" s="43">
        <f t="shared" si="11"/>
        <v>0.01754385965</v>
      </c>
      <c r="L19" s="43">
        <f t="shared" si="11"/>
        <v>0.01700680272</v>
      </c>
      <c r="M19" s="43">
        <f t="shared" si="11"/>
        <v>0.01650165017</v>
      </c>
      <c r="N19" s="43">
        <f t="shared" si="11"/>
        <v>0.01602564103</v>
      </c>
      <c r="O19" s="43">
        <f t="shared" si="11"/>
        <v>0.01547987616</v>
      </c>
      <c r="P19" s="43">
        <f t="shared" si="11"/>
        <v>0.01501501502</v>
      </c>
      <c r="Q19" s="43">
        <f t="shared" si="11"/>
        <v>0.01416430595</v>
      </c>
      <c r="R19" s="43">
        <f t="shared" si="11"/>
        <v>0.02747252747</v>
      </c>
      <c r="S19" s="43">
        <f t="shared" si="11"/>
        <v>0.01256281407</v>
      </c>
      <c r="T19" s="43">
        <f t="shared" si="11"/>
        <v>0.01213592233</v>
      </c>
      <c r="U19" s="43">
        <f t="shared" si="11"/>
        <v>0.01152073733</v>
      </c>
      <c r="V19" s="43">
        <f t="shared" si="11"/>
        <v>0.01750547046</v>
      </c>
      <c r="W19" s="43">
        <f t="shared" si="11"/>
        <v>0.02296450939</v>
      </c>
      <c r="X19" s="43">
        <f t="shared" si="11"/>
        <v>0.02217741935</v>
      </c>
      <c r="Y19" s="43">
        <f t="shared" si="11"/>
        <v>0.02165354331</v>
      </c>
      <c r="Z19" s="43">
        <f t="shared" si="11"/>
        <v>0.02671755725</v>
      </c>
      <c r="AA19" s="43">
        <f t="shared" si="11"/>
        <v>0.02568807339</v>
      </c>
      <c r="AB19" s="43">
        <f t="shared" si="11"/>
        <v>0.02276707531</v>
      </c>
      <c r="AC19" s="43">
        <f t="shared" si="11"/>
        <v>0.01983471074</v>
      </c>
      <c r="AD19" s="43">
        <f t="shared" si="11"/>
        <v>0.01785714286</v>
      </c>
      <c r="AE19" s="101">
        <f>IFERROR(MEDIAN(AB19:AD19),0)</f>
        <v>0.01983471074</v>
      </c>
      <c r="AF19" s="101">
        <v>0.022</v>
      </c>
      <c r="AG19" s="101">
        <v>0.022</v>
      </c>
      <c r="AH19" s="101">
        <v>0.025</v>
      </c>
      <c r="AI19" s="101">
        <v>0.027</v>
      </c>
      <c r="AJ19" s="101">
        <v>0.027</v>
      </c>
      <c r="AK19" s="102">
        <f t="shared" ref="AK19:BV19" si="12">IFERROR(MEDIAN(AH19:AJ19),0)</f>
        <v>0.027</v>
      </c>
      <c r="AL19" s="102">
        <f t="shared" si="12"/>
        <v>0.027</v>
      </c>
      <c r="AM19" s="102">
        <f t="shared" si="12"/>
        <v>0.027</v>
      </c>
      <c r="AN19" s="102">
        <f t="shared" si="12"/>
        <v>0.027</v>
      </c>
      <c r="AO19" s="102">
        <f t="shared" si="12"/>
        <v>0.027</v>
      </c>
      <c r="AP19" s="102">
        <f t="shared" si="12"/>
        <v>0.027</v>
      </c>
      <c r="AQ19" s="102">
        <f t="shared" si="12"/>
        <v>0.027</v>
      </c>
      <c r="AR19" s="102">
        <f t="shared" si="12"/>
        <v>0.027</v>
      </c>
      <c r="AS19" s="102">
        <f t="shared" si="12"/>
        <v>0.027</v>
      </c>
      <c r="AT19" s="102">
        <f t="shared" si="12"/>
        <v>0.027</v>
      </c>
      <c r="AU19" s="102">
        <f t="shared" si="12"/>
        <v>0.027</v>
      </c>
      <c r="AV19" s="102">
        <f t="shared" si="12"/>
        <v>0.027</v>
      </c>
      <c r="AW19" s="102">
        <f t="shared" si="12"/>
        <v>0.027</v>
      </c>
      <c r="AX19" s="102">
        <f t="shared" si="12"/>
        <v>0.027</v>
      </c>
      <c r="AY19" s="103">
        <f t="shared" si="12"/>
        <v>0.027</v>
      </c>
      <c r="AZ19" s="103">
        <f t="shared" si="12"/>
        <v>0.027</v>
      </c>
      <c r="BA19" s="103">
        <f t="shared" si="12"/>
        <v>0.027</v>
      </c>
      <c r="BB19" s="103">
        <f t="shared" si="12"/>
        <v>0.027</v>
      </c>
      <c r="BC19" s="103">
        <f t="shared" si="12"/>
        <v>0.027</v>
      </c>
      <c r="BD19" s="103">
        <f t="shared" si="12"/>
        <v>0.027</v>
      </c>
      <c r="BE19" s="103">
        <f t="shared" si="12"/>
        <v>0.027</v>
      </c>
      <c r="BF19" s="103">
        <f t="shared" si="12"/>
        <v>0.027</v>
      </c>
      <c r="BG19" s="103">
        <f t="shared" si="12"/>
        <v>0.027</v>
      </c>
      <c r="BH19" s="103">
        <f t="shared" si="12"/>
        <v>0.027</v>
      </c>
      <c r="BI19" s="103">
        <f t="shared" si="12"/>
        <v>0.027</v>
      </c>
      <c r="BJ19" s="103">
        <f t="shared" si="12"/>
        <v>0.027</v>
      </c>
      <c r="BK19" s="103">
        <f t="shared" si="12"/>
        <v>0.027</v>
      </c>
      <c r="BL19" s="103">
        <f t="shared" si="12"/>
        <v>0.027</v>
      </c>
      <c r="BM19" s="103">
        <f t="shared" si="12"/>
        <v>0.027</v>
      </c>
      <c r="BN19" s="103">
        <f t="shared" si="12"/>
        <v>0.027</v>
      </c>
      <c r="BO19" s="103">
        <f t="shared" si="12"/>
        <v>0.027</v>
      </c>
      <c r="BP19" s="103">
        <f t="shared" si="12"/>
        <v>0.027</v>
      </c>
      <c r="BQ19" s="103">
        <f t="shared" si="12"/>
        <v>0.027</v>
      </c>
      <c r="BR19" s="103">
        <f t="shared" si="12"/>
        <v>0.027</v>
      </c>
      <c r="BS19" s="103">
        <f t="shared" si="12"/>
        <v>0.027</v>
      </c>
      <c r="BT19" s="103">
        <f t="shared" si="12"/>
        <v>0.027</v>
      </c>
      <c r="BU19" s="103">
        <f t="shared" si="12"/>
        <v>0.027</v>
      </c>
      <c r="BV19" s="103">
        <f t="shared" si="12"/>
        <v>0.027</v>
      </c>
    </row>
    <row r="20" ht="15.75" customHeight="1">
      <c r="A20" s="82" t="s">
        <v>100</v>
      </c>
      <c r="B20" s="93"/>
      <c r="C20" s="76">
        <f t="shared" ref="C20:AD20" si="13">IFERROR(C21/C18," ")</f>
        <v>2128.666667</v>
      </c>
      <c r="D20" s="76">
        <f t="shared" si="13"/>
        <v>2442.75</v>
      </c>
      <c r="E20" s="76">
        <f t="shared" si="13"/>
        <v>3609.666667</v>
      </c>
      <c r="F20" s="76">
        <f t="shared" si="13"/>
        <v>2859.2</v>
      </c>
      <c r="G20" s="76">
        <f t="shared" si="13"/>
        <v>1525</v>
      </c>
      <c r="H20" s="76">
        <f t="shared" si="13"/>
        <v>1586</v>
      </c>
      <c r="I20" s="76">
        <f t="shared" si="13"/>
        <v>1935.4</v>
      </c>
      <c r="J20" s="76">
        <f t="shared" si="13"/>
        <v>1663.6</v>
      </c>
      <c r="K20" s="76">
        <f t="shared" si="13"/>
        <v>1728.4</v>
      </c>
      <c r="L20" s="76">
        <f t="shared" si="13"/>
        <v>1775.8</v>
      </c>
      <c r="M20" s="76">
        <f t="shared" si="13"/>
        <v>1722.6</v>
      </c>
      <c r="N20" s="76">
        <f t="shared" si="13"/>
        <v>1742.2</v>
      </c>
      <c r="O20" s="76">
        <f t="shared" si="13"/>
        <v>1746.8</v>
      </c>
      <c r="P20" s="76">
        <f t="shared" si="13"/>
        <v>1737.2</v>
      </c>
      <c r="Q20" s="76">
        <f t="shared" si="13"/>
        <v>1742.2</v>
      </c>
      <c r="R20" s="76">
        <f t="shared" si="13"/>
        <v>1742.1</v>
      </c>
      <c r="S20" s="76">
        <f t="shared" si="13"/>
        <v>1740.8</v>
      </c>
      <c r="T20" s="76">
        <f t="shared" si="13"/>
        <v>1741.8</v>
      </c>
      <c r="U20" s="76">
        <f t="shared" si="13"/>
        <v>1741.7</v>
      </c>
      <c r="V20" s="76">
        <f t="shared" si="13"/>
        <v>1741.433333</v>
      </c>
      <c r="W20" s="76">
        <f t="shared" si="13"/>
        <v>1741.609259</v>
      </c>
      <c r="X20" s="76">
        <f t="shared" si="13"/>
        <v>1838.245623</v>
      </c>
      <c r="Y20" s="76">
        <f t="shared" si="13"/>
        <v>1819.336532</v>
      </c>
      <c r="Z20" s="76">
        <f t="shared" si="13"/>
        <v>1438.407275</v>
      </c>
      <c r="AA20" s="76">
        <f t="shared" si="13"/>
        <v>1656.407275</v>
      </c>
      <c r="AB20" s="76">
        <f t="shared" si="13"/>
        <v>1952.053989</v>
      </c>
      <c r="AC20" s="76">
        <f t="shared" si="13"/>
        <v>1689.666667</v>
      </c>
      <c r="AD20" s="76">
        <f t="shared" si="13"/>
        <v>970.4545455</v>
      </c>
      <c r="AE20" s="76">
        <f t="shared" ref="AE20:BV20" si="14">IFERROR(SUM(AB21:AD21)/SUM(AB18:AD18),0)</f>
        <v>1564.658385</v>
      </c>
      <c r="AF20" s="76">
        <f t="shared" si="14"/>
        <v>1421.820898</v>
      </c>
      <c r="AG20" s="76">
        <f t="shared" si="14"/>
        <v>1334.880397</v>
      </c>
      <c r="AH20" s="76">
        <f t="shared" si="14"/>
        <v>1435.420421</v>
      </c>
      <c r="AI20" s="76">
        <f t="shared" si="14"/>
        <v>1399.179642</v>
      </c>
      <c r="AJ20" s="76">
        <f t="shared" si="14"/>
        <v>1392.668886</v>
      </c>
      <c r="AK20" s="76">
        <f t="shared" si="14"/>
        <v>1408.181349</v>
      </c>
      <c r="AL20" s="76">
        <f t="shared" si="14"/>
        <v>1400.068034</v>
      </c>
      <c r="AM20" s="76">
        <f t="shared" si="14"/>
        <v>1400.353249</v>
      </c>
      <c r="AN20" s="76">
        <f t="shared" si="14"/>
        <v>1402.817988</v>
      </c>
      <c r="AO20" s="76">
        <f t="shared" si="14"/>
        <v>1401.097512</v>
      </c>
      <c r="AP20" s="76">
        <f t="shared" si="14"/>
        <v>1401.42748</v>
      </c>
      <c r="AQ20" s="76">
        <f t="shared" si="14"/>
        <v>1401.771856</v>
      </c>
      <c r="AR20" s="76">
        <f t="shared" si="14"/>
        <v>1401.436729</v>
      </c>
      <c r="AS20" s="76">
        <f t="shared" si="14"/>
        <v>1401.545376</v>
      </c>
      <c r="AT20" s="76">
        <f t="shared" si="14"/>
        <v>1401.583097</v>
      </c>
      <c r="AU20" s="76">
        <f t="shared" si="14"/>
        <v>1401.522734</v>
      </c>
      <c r="AV20" s="76">
        <f t="shared" si="14"/>
        <v>1401.550248</v>
      </c>
      <c r="AW20" s="76">
        <f t="shared" si="14"/>
        <v>1401.551806</v>
      </c>
      <c r="AX20" s="76">
        <f t="shared" si="14"/>
        <v>1401.5418</v>
      </c>
      <c r="AY20" s="94">
        <f t="shared" si="14"/>
        <v>1401.547892</v>
      </c>
      <c r="AZ20" s="94">
        <f t="shared" si="14"/>
        <v>1401.547139</v>
      </c>
      <c r="BA20" s="94">
        <f t="shared" si="14"/>
        <v>1401.545647</v>
      </c>
      <c r="BB20" s="94">
        <f t="shared" si="14"/>
        <v>1401.546878</v>
      </c>
      <c r="BC20" s="94">
        <f t="shared" si="14"/>
        <v>1401.546553</v>
      </c>
      <c r="BD20" s="94">
        <f t="shared" si="14"/>
        <v>1401.546365</v>
      </c>
      <c r="BE20" s="94">
        <f t="shared" si="14"/>
        <v>1401.546595</v>
      </c>
      <c r="BF20" s="94">
        <f t="shared" si="14"/>
        <v>1401.546505</v>
      </c>
      <c r="BG20" s="94">
        <f t="shared" si="14"/>
        <v>1401.546489</v>
      </c>
      <c r="BH20" s="94">
        <f t="shared" si="14"/>
        <v>1401.546529</v>
      </c>
      <c r="BI20" s="94">
        <f t="shared" si="14"/>
        <v>1401.546508</v>
      </c>
      <c r="BJ20" s="94">
        <f t="shared" si="14"/>
        <v>1401.546509</v>
      </c>
      <c r="BK20" s="94">
        <f t="shared" si="14"/>
        <v>1401.546515</v>
      </c>
      <c r="BL20" s="94">
        <f t="shared" si="14"/>
        <v>1401.546511</v>
      </c>
      <c r="BM20" s="94">
        <f t="shared" si="14"/>
        <v>1401.546511</v>
      </c>
      <c r="BN20" s="94">
        <f t="shared" si="14"/>
        <v>1401.546512</v>
      </c>
      <c r="BO20" s="94">
        <f t="shared" si="14"/>
        <v>1401.546511</v>
      </c>
      <c r="BP20" s="94">
        <f t="shared" si="14"/>
        <v>1401.546512</v>
      </c>
      <c r="BQ20" s="94">
        <f t="shared" si="14"/>
        <v>1401.546512</v>
      </c>
      <c r="BR20" s="94">
        <f t="shared" si="14"/>
        <v>1401.546512</v>
      </c>
      <c r="BS20" s="94">
        <f t="shared" si="14"/>
        <v>1401.546512</v>
      </c>
      <c r="BT20" s="94">
        <f t="shared" si="14"/>
        <v>1401.546512</v>
      </c>
      <c r="BU20" s="94">
        <f t="shared" si="14"/>
        <v>1401.546512</v>
      </c>
      <c r="BV20" s="94">
        <f t="shared" si="14"/>
        <v>1401.546512</v>
      </c>
    </row>
    <row r="21" ht="15.75" customHeight="1">
      <c r="A21" s="82" t="s">
        <v>106</v>
      </c>
      <c r="B21" s="95"/>
      <c r="C21" s="90">
        <f>SUMIFS(MRR_Export_Expansion_MRR,MRR_Export_Months,"&gt;="&amp;C$1,MRR_Export_Months,"&lt;"&amp;D$1)</f>
        <v>6386</v>
      </c>
      <c r="D21" s="90">
        <f>SUMIFS(MRR_Export_Expansion_MRR,MRR_Export_Months,"&gt;="&amp;D$1,MRR_Export_Months,"&lt;"&amp;E$1)</f>
        <v>9771</v>
      </c>
      <c r="E21" s="90">
        <f>SUMIFS(MRR_Export_Expansion_MRR,MRR_Export_Months,"&gt;="&amp;E$1,MRR_Export_Months,"&lt;"&amp;F$1)</f>
        <v>10829</v>
      </c>
      <c r="F21" s="90">
        <f>SUMIFS(MRR_Export_Expansion_MRR,MRR_Export_Months,"&gt;="&amp;F$1,MRR_Export_Months,"&lt;"&amp;G$1)</f>
        <v>14296</v>
      </c>
      <c r="G21" s="90">
        <f>SUMIFS(MRR_Export_Expansion_MRR,MRR_Export_Months,"&gt;="&amp;G$1,MRR_Export_Months,"&lt;"&amp;H$1)</f>
        <v>10675</v>
      </c>
      <c r="H21" s="90">
        <f>SUMIFS(MRR_Export_Expansion_MRR,MRR_Export_Months,"&gt;="&amp;H$1,MRR_Export_Months,"&lt;"&amp;I$1)</f>
        <v>7930</v>
      </c>
      <c r="I21" s="90">
        <f>SUMIFS(MRR_Export_Expansion_MRR,MRR_Export_Months,"&gt;="&amp;I$1,MRR_Export_Months,"&lt;"&amp;J$1)</f>
        <v>9677</v>
      </c>
      <c r="J21" s="90">
        <f>SUMIFS(MRR_Export_Expansion_MRR,MRR_Export_Months,"&gt;="&amp;J$1,MRR_Export_Months,"&lt;"&amp;K$1)</f>
        <v>8318</v>
      </c>
      <c r="K21" s="90">
        <f>SUMIFS(MRR_Export_Expansion_MRR,MRR_Export_Months,"&gt;="&amp;K$1,MRR_Export_Months,"&lt;"&amp;L$1)</f>
        <v>8642</v>
      </c>
      <c r="L21" s="90">
        <f>SUMIFS(MRR_Export_Expansion_MRR,MRR_Export_Months,"&gt;="&amp;L$1,MRR_Export_Months,"&lt;"&amp;M$1)</f>
        <v>8879</v>
      </c>
      <c r="M21" s="90">
        <f>SUMIFS(MRR_Export_Expansion_MRR,MRR_Export_Months,"&gt;="&amp;M$1,MRR_Export_Months,"&lt;"&amp;N$1)</f>
        <v>8613</v>
      </c>
      <c r="N21" s="90">
        <f>SUMIFS(MRR_Export_Expansion_MRR,MRR_Export_Months,"&gt;="&amp;N$1,MRR_Export_Months,"&lt;"&amp;O$1)</f>
        <v>8711</v>
      </c>
      <c r="O21" s="90">
        <f>SUMIFS(MRR_Export_Expansion_MRR,MRR_Export_Months,"&gt;="&amp;O$1,MRR_Export_Months,"&lt;"&amp;P$1)</f>
        <v>8734</v>
      </c>
      <c r="P21" s="90">
        <f>SUMIFS(MRR_Export_Expansion_MRR,MRR_Export_Months,"&gt;="&amp;P$1,MRR_Export_Months,"&lt;"&amp;Q$1)</f>
        <v>8686</v>
      </c>
      <c r="Q21" s="90">
        <f>SUMIFS(MRR_Export_Expansion_MRR,MRR_Export_Months,"&gt;="&amp;Q$1,MRR_Export_Months,"&lt;"&amp;R$1)</f>
        <v>8711</v>
      </c>
      <c r="R21" s="90">
        <f>SUMIFS(MRR_Export_Expansion_MRR,MRR_Export_Months,"&gt;="&amp;R$1,MRR_Export_Months,"&lt;"&amp;S$1)</f>
        <v>17421</v>
      </c>
      <c r="S21" s="90">
        <f>SUMIFS(MRR_Export_Expansion_MRR,MRR_Export_Months,"&gt;="&amp;S$1,MRR_Export_Months,"&lt;"&amp;T$1)</f>
        <v>8704</v>
      </c>
      <c r="T21" s="90">
        <f>SUMIFS(MRR_Export_Expansion_MRR,MRR_Export_Months,"&gt;="&amp;T$1,MRR_Export_Months,"&lt;"&amp;U$1)</f>
        <v>8709</v>
      </c>
      <c r="U21" s="90">
        <f>SUMIFS(MRR_Export_Expansion_MRR,MRR_Export_Months,"&gt;="&amp;U$1,MRR_Export_Months,"&lt;"&amp;V$1)</f>
        <v>8708.5</v>
      </c>
      <c r="V21" s="90">
        <f>SUMIFS(MRR_Export_Expansion_MRR,MRR_Export_Months,"&gt;="&amp;V$1,MRR_Export_Months,"&lt;"&amp;W$1)</f>
        <v>13931.46667</v>
      </c>
      <c r="W21" s="90">
        <f>SUMIFS(MRR_Export_Expansion_MRR,MRR_Export_Months,"&gt;="&amp;W$1,MRR_Export_Months,"&lt;"&amp;X$1)</f>
        <v>19157.70185</v>
      </c>
      <c r="X21" s="90">
        <f>SUMIFS(MRR_Export_Expansion_MRR,MRR_Export_Months,"&gt;="&amp;X$1,MRR_Export_Months,"&lt;"&amp;Y$1)</f>
        <v>20220.70185</v>
      </c>
      <c r="Y21" s="90">
        <f>SUMIFS(MRR_Export_Expansion_MRR,MRR_Export_Months,"&gt;="&amp;Y$1,MRR_Export_Months,"&lt;"&amp;Z$1)</f>
        <v>20012.70185</v>
      </c>
      <c r="Z21" s="90">
        <f>SUMIFS(MRR_Export_Expansion_MRR,MRR_Export_Months,"&gt;="&amp;Z$1,MRR_Export_Months,"&lt;"&amp;AA$1)</f>
        <v>20137.70185</v>
      </c>
      <c r="AA21" s="90">
        <f>SUMIFS(MRR_Export_Expansion_MRR,MRR_Export_Months,"&gt;="&amp;AA$1,MRR_Export_Months,"&lt;"&amp;AB$1)</f>
        <v>23189.70185</v>
      </c>
      <c r="AB21" s="90">
        <f>SUMIFS(MRR_Export_Expansion_MRR,MRR_Export_Months,"&gt;="&amp;AB$1,MRR_Export_Months,"&lt;"&amp;AC$1)</f>
        <v>25376.70185</v>
      </c>
      <c r="AC21" s="90">
        <f>SUMIFS(MRR_Export_Expansion_MRR,MRR_Export_Months,"&gt;="&amp;AC$1,MRR_Export_Months,"&lt;"&amp;AD$1)</f>
        <v>20276</v>
      </c>
      <c r="AD21" s="90">
        <f>SUMIFS(MRR_Export_Expansion_MRR,MRR_Export_Months,"&gt;="&amp;AD$1,MRR_Export_Months,"&lt;"&amp;AE$1)</f>
        <v>10675</v>
      </c>
      <c r="AE21" s="96">
        <f t="shared" ref="AE21:BV21" si="15">AE18*AE20</f>
        <v>19179.34972</v>
      </c>
      <c r="AF21" s="96">
        <f t="shared" si="15"/>
        <v>19495.54749</v>
      </c>
      <c r="AG21" s="96">
        <f t="shared" si="15"/>
        <v>18557.50843</v>
      </c>
      <c r="AH21" s="96">
        <f t="shared" si="15"/>
        <v>23108.76623</v>
      </c>
      <c r="AI21" s="96">
        <f t="shared" si="15"/>
        <v>24739.75426</v>
      </c>
      <c r="AJ21" s="96">
        <f t="shared" si="15"/>
        <v>25079.84896</v>
      </c>
      <c r="AK21" s="96">
        <f t="shared" si="15"/>
        <v>25853.36901</v>
      </c>
      <c r="AL21" s="96">
        <f t="shared" si="15"/>
        <v>26191.30858</v>
      </c>
      <c r="AM21" s="96">
        <f t="shared" si="15"/>
        <v>26717.0651</v>
      </c>
      <c r="AN21" s="96">
        <f t="shared" si="15"/>
        <v>27280.73427</v>
      </c>
      <c r="AO21" s="96">
        <f t="shared" si="15"/>
        <v>27796.47282</v>
      </c>
      <c r="AP21" s="96">
        <f t="shared" si="15"/>
        <v>28347.4013</v>
      </c>
      <c r="AQ21" s="96">
        <f t="shared" si="15"/>
        <v>28931.83034</v>
      </c>
      <c r="AR21" s="96">
        <f t="shared" si="15"/>
        <v>29534.88149</v>
      </c>
      <c r="AS21" s="96">
        <f t="shared" si="15"/>
        <v>30141.69633</v>
      </c>
      <c r="AT21" s="96">
        <f t="shared" si="15"/>
        <v>30779.45083</v>
      </c>
      <c r="AU21" s="96">
        <f t="shared" si="15"/>
        <v>31409.30884</v>
      </c>
      <c r="AV21" s="96">
        <f t="shared" si="15"/>
        <v>32073.28254</v>
      </c>
      <c r="AW21" s="96">
        <f t="shared" si="15"/>
        <v>32768.54769</v>
      </c>
      <c r="AX21" s="96">
        <f t="shared" si="15"/>
        <v>33457.28127</v>
      </c>
      <c r="AY21" s="97">
        <f t="shared" si="15"/>
        <v>34178.03827</v>
      </c>
      <c r="AZ21" s="97">
        <f t="shared" si="15"/>
        <v>34854.30383</v>
      </c>
      <c r="BA21" s="97">
        <f t="shared" si="15"/>
        <v>35562.3051</v>
      </c>
      <c r="BB21" s="97">
        <f t="shared" si="15"/>
        <v>36264.00297</v>
      </c>
      <c r="BC21" s="97">
        <f t="shared" si="15"/>
        <v>36959.34605</v>
      </c>
      <c r="BD21" s="97">
        <f t="shared" si="15"/>
        <v>37648.43433</v>
      </c>
      <c r="BE21" s="97">
        <f t="shared" si="15"/>
        <v>38369.17378</v>
      </c>
      <c r="BF21" s="97">
        <f t="shared" si="15"/>
        <v>39083.41791</v>
      </c>
      <c r="BG21" s="97">
        <f t="shared" si="15"/>
        <v>39829.07762</v>
      </c>
      <c r="BH21" s="97">
        <f t="shared" si="15"/>
        <v>40568.02798</v>
      </c>
      <c r="BI21" s="97">
        <f t="shared" si="15"/>
        <v>41300.32603</v>
      </c>
      <c r="BJ21" s="97">
        <f t="shared" si="15"/>
        <v>42063.8758</v>
      </c>
      <c r="BK21" s="97">
        <f t="shared" si="15"/>
        <v>42820.55378</v>
      </c>
      <c r="BL21" s="97">
        <f t="shared" si="15"/>
        <v>43570.42134</v>
      </c>
      <c r="BM21" s="97">
        <f t="shared" si="15"/>
        <v>44351.382</v>
      </c>
      <c r="BN21" s="97">
        <f t="shared" si="15"/>
        <v>45125.31402</v>
      </c>
      <c r="BO21" s="97">
        <f t="shared" si="15"/>
        <v>45930.12235</v>
      </c>
      <c r="BP21" s="97">
        <f t="shared" si="15"/>
        <v>46727.68745</v>
      </c>
      <c r="BQ21" s="97">
        <f t="shared" si="15"/>
        <v>47518.07445</v>
      </c>
      <c r="BR21" s="97">
        <f t="shared" si="15"/>
        <v>48339.18972</v>
      </c>
      <c r="BS21" s="97">
        <f t="shared" si="15"/>
        <v>49152.91495</v>
      </c>
      <c r="BT21" s="97">
        <f t="shared" si="15"/>
        <v>49997.15842</v>
      </c>
      <c r="BU21" s="97">
        <f t="shared" si="15"/>
        <v>50833.80369</v>
      </c>
      <c r="BV21" s="97">
        <f t="shared" si="15"/>
        <v>51700.76091</v>
      </c>
    </row>
    <row r="22" ht="15.75" hidden="1" customHeight="1">
      <c r="A22" s="1"/>
      <c r="B22" s="96"/>
      <c r="C22" s="96"/>
      <c r="D22" s="96"/>
      <c r="E22" s="96"/>
      <c r="F22" s="96"/>
      <c r="G22" s="96"/>
      <c r="H22" s="96"/>
      <c r="I22" s="96"/>
      <c r="J22" s="96"/>
      <c r="K22" s="96"/>
      <c r="L22" s="96"/>
      <c r="M22" s="96"/>
      <c r="N22" s="96"/>
      <c r="O22" s="96"/>
      <c r="P22" s="96"/>
      <c r="Q22" s="96"/>
      <c r="R22" s="96"/>
      <c r="S22" s="96"/>
      <c r="T22" s="96"/>
      <c r="U22" s="96"/>
      <c r="V22" s="96"/>
      <c r="W22" s="96"/>
      <c r="X22" s="96"/>
      <c r="Y22" s="96"/>
      <c r="Z22" s="96"/>
      <c r="AA22" s="96"/>
      <c r="AB22" s="96"/>
      <c r="AC22" s="96"/>
      <c r="AD22" s="96"/>
      <c r="AE22" s="96"/>
      <c r="AF22" s="96"/>
      <c r="AG22" s="96"/>
      <c r="AH22" s="96"/>
      <c r="AI22" s="96"/>
      <c r="AJ22" s="96"/>
      <c r="AK22" s="96"/>
      <c r="AL22" s="96"/>
      <c r="AM22" s="96"/>
      <c r="AN22" s="96"/>
      <c r="AO22" s="96"/>
      <c r="AP22" s="96"/>
      <c r="AQ22" s="96"/>
      <c r="AR22" s="96"/>
      <c r="AS22" s="96"/>
      <c r="AT22" s="96"/>
      <c r="AU22" s="96"/>
      <c r="AV22" s="96"/>
      <c r="AW22" s="96"/>
      <c r="AX22" s="96"/>
      <c r="AY22" s="97"/>
      <c r="AZ22" s="97"/>
      <c r="BA22" s="97"/>
      <c r="BB22" s="97"/>
      <c r="BC22" s="97"/>
      <c r="BD22" s="97"/>
      <c r="BE22" s="97"/>
      <c r="BF22" s="97"/>
      <c r="BG22" s="97"/>
      <c r="BH22" s="97"/>
      <c r="BI22" s="97"/>
      <c r="BJ22" s="97"/>
      <c r="BK22" s="97"/>
      <c r="BL22" s="97"/>
      <c r="BM22" s="97"/>
      <c r="BN22" s="97"/>
      <c r="BO22" s="97"/>
      <c r="BP22" s="97"/>
      <c r="BQ22" s="97"/>
      <c r="BR22" s="97"/>
      <c r="BS22" s="97"/>
      <c r="BT22" s="97"/>
      <c r="BU22" s="97"/>
      <c r="BV22" s="97"/>
    </row>
    <row r="23" ht="15.75" hidden="1" customHeight="1">
      <c r="A23" s="87" t="s">
        <v>107</v>
      </c>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row>
    <row r="24" ht="15.75" hidden="1" customHeight="1">
      <c r="A24" s="82" t="s">
        <v>104</v>
      </c>
      <c r="B24" s="89"/>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6"/>
      <c r="AD24" s="96"/>
      <c r="AE24" s="104">
        <v>0.0</v>
      </c>
      <c r="AF24" s="104">
        <v>0.0</v>
      </c>
      <c r="AG24" s="104">
        <v>0.0</v>
      </c>
      <c r="AH24" s="104">
        <v>0.0</v>
      </c>
      <c r="AI24" s="104">
        <v>0.0</v>
      </c>
      <c r="AJ24" s="104">
        <v>0.0</v>
      </c>
      <c r="AK24" s="104">
        <v>0.0</v>
      </c>
      <c r="AL24" s="104">
        <v>0.0</v>
      </c>
      <c r="AM24" s="104">
        <v>0.0</v>
      </c>
      <c r="AN24" s="104">
        <v>0.0</v>
      </c>
      <c r="AO24" s="104">
        <v>0.0</v>
      </c>
      <c r="AP24" s="104">
        <v>0.0</v>
      </c>
      <c r="AQ24" s="104">
        <v>0.0</v>
      </c>
      <c r="AR24" s="104">
        <v>0.0</v>
      </c>
      <c r="AS24" s="104">
        <v>0.0</v>
      </c>
      <c r="AT24" s="104">
        <v>0.0</v>
      </c>
      <c r="AU24" s="104">
        <v>0.0</v>
      </c>
      <c r="AV24" s="104">
        <v>0.0</v>
      </c>
      <c r="AW24" s="104">
        <v>0.0</v>
      </c>
      <c r="AX24" s="104">
        <v>0.0</v>
      </c>
      <c r="AY24" s="105">
        <v>0.0</v>
      </c>
      <c r="AZ24" s="105">
        <v>0.0</v>
      </c>
      <c r="BA24" s="105">
        <v>0.0</v>
      </c>
      <c r="BB24" s="105">
        <v>0.0</v>
      </c>
      <c r="BC24" s="105">
        <v>0.0</v>
      </c>
      <c r="BD24" s="105">
        <v>0.0</v>
      </c>
      <c r="BE24" s="105">
        <v>0.0</v>
      </c>
      <c r="BF24" s="105">
        <v>0.0</v>
      </c>
      <c r="BG24" s="105">
        <v>0.0</v>
      </c>
      <c r="BH24" s="105">
        <v>0.0</v>
      </c>
      <c r="BI24" s="105">
        <v>0.0</v>
      </c>
      <c r="BJ24" s="105">
        <v>0.0</v>
      </c>
      <c r="BK24" s="105">
        <v>0.0</v>
      </c>
      <c r="BL24" s="105">
        <v>0.0</v>
      </c>
      <c r="BM24" s="105">
        <v>0.0</v>
      </c>
      <c r="BN24" s="105">
        <v>0.0</v>
      </c>
      <c r="BO24" s="105">
        <v>0.0</v>
      </c>
      <c r="BP24" s="105">
        <v>0.0</v>
      </c>
      <c r="BQ24" s="105">
        <v>0.0</v>
      </c>
      <c r="BR24" s="105">
        <v>0.0</v>
      </c>
      <c r="BS24" s="105">
        <v>0.0</v>
      </c>
      <c r="BT24" s="105">
        <v>0.0</v>
      </c>
      <c r="BU24" s="105">
        <v>0.0</v>
      </c>
      <c r="BV24" s="105">
        <v>0.0</v>
      </c>
    </row>
    <row r="25" ht="15.75" hidden="1" customHeight="1">
      <c r="A25" s="82" t="s">
        <v>105</v>
      </c>
      <c r="B25" s="93"/>
      <c r="C25" s="96"/>
      <c r="D25" s="96"/>
      <c r="E25" s="96"/>
      <c r="F25" s="96"/>
      <c r="G25" s="96"/>
      <c r="H25" s="96"/>
      <c r="I25" s="96"/>
      <c r="J25" s="96"/>
      <c r="K25" s="96"/>
      <c r="L25" s="96"/>
      <c r="M25" s="96"/>
      <c r="N25" s="96"/>
      <c r="O25" s="96"/>
      <c r="P25" s="96"/>
      <c r="Q25" s="96"/>
      <c r="R25" s="96"/>
      <c r="S25" s="96"/>
      <c r="T25" s="96"/>
      <c r="U25" s="96"/>
      <c r="V25" s="96"/>
      <c r="W25" s="96"/>
      <c r="X25" s="96"/>
      <c r="Y25" s="96"/>
      <c r="Z25" s="96"/>
      <c r="AA25" s="96"/>
      <c r="AB25" s="96"/>
      <c r="AC25" s="96"/>
      <c r="AD25" s="96"/>
      <c r="AE25" s="76"/>
      <c r="AF25" s="76"/>
      <c r="AG25" s="76"/>
      <c r="AH25" s="76"/>
      <c r="AI25" s="76"/>
      <c r="AJ25" s="76"/>
      <c r="AK25" s="76"/>
      <c r="AL25" s="76"/>
      <c r="AM25" s="76"/>
      <c r="AN25" s="76"/>
      <c r="AO25" s="76"/>
      <c r="AP25" s="76"/>
      <c r="AQ25" s="76"/>
      <c r="AR25" s="76"/>
      <c r="AS25" s="76"/>
      <c r="AT25" s="76"/>
      <c r="AU25" s="76"/>
      <c r="AV25" s="76"/>
      <c r="AW25" s="76"/>
      <c r="AX25" s="76"/>
      <c r="AY25" s="94"/>
      <c r="AZ25" s="94"/>
      <c r="BA25" s="94"/>
      <c r="BB25" s="94"/>
      <c r="BC25" s="94"/>
      <c r="BD25" s="94"/>
      <c r="BE25" s="94"/>
      <c r="BF25" s="94"/>
      <c r="BG25" s="94"/>
      <c r="BH25" s="94"/>
      <c r="BI25" s="94"/>
      <c r="BJ25" s="94"/>
      <c r="BK25" s="94"/>
      <c r="BL25" s="94"/>
      <c r="BM25" s="94"/>
      <c r="BN25" s="94"/>
      <c r="BO25" s="94"/>
      <c r="BP25" s="94"/>
      <c r="BQ25" s="94"/>
      <c r="BR25" s="94"/>
      <c r="BS25" s="94"/>
      <c r="BT25" s="94"/>
      <c r="BU25" s="94"/>
      <c r="BV25" s="94"/>
    </row>
    <row r="26" ht="15.75" hidden="1" customHeight="1">
      <c r="A26" s="82" t="s">
        <v>100</v>
      </c>
      <c r="B26" s="93"/>
      <c r="C26" s="96"/>
      <c r="D26" s="96"/>
      <c r="E26" s="96"/>
      <c r="F26" s="96"/>
      <c r="G26" s="96"/>
      <c r="H26" s="96"/>
      <c r="I26" s="96"/>
      <c r="J26" s="96"/>
      <c r="K26" s="96"/>
      <c r="L26" s="96"/>
      <c r="M26" s="96"/>
      <c r="N26" s="96"/>
      <c r="O26" s="96"/>
      <c r="P26" s="96"/>
      <c r="Q26" s="96"/>
      <c r="R26" s="96"/>
      <c r="S26" s="96"/>
      <c r="T26" s="96"/>
      <c r="U26" s="96"/>
      <c r="V26" s="96"/>
      <c r="W26" s="96"/>
      <c r="X26" s="96"/>
      <c r="Y26" s="96"/>
      <c r="Z26" s="96"/>
      <c r="AA26" s="96"/>
      <c r="AB26" s="96"/>
      <c r="AC26" s="96"/>
      <c r="AD26" s="96"/>
      <c r="AE26" s="76">
        <f t="shared" ref="AE26:BV26" si="16">IFERROR(IF(AE24&gt;0,SUM(AB27:AD27)/SUM(AB24:AD24),0),0)</f>
        <v>0</v>
      </c>
      <c r="AF26" s="76">
        <f t="shared" si="16"/>
        <v>0</v>
      </c>
      <c r="AG26" s="76">
        <f t="shared" si="16"/>
        <v>0</v>
      </c>
      <c r="AH26" s="76">
        <f t="shared" si="16"/>
        <v>0</v>
      </c>
      <c r="AI26" s="76">
        <f t="shared" si="16"/>
        <v>0</v>
      </c>
      <c r="AJ26" s="76">
        <f t="shared" si="16"/>
        <v>0</v>
      </c>
      <c r="AK26" s="76">
        <f t="shared" si="16"/>
        <v>0</v>
      </c>
      <c r="AL26" s="76">
        <f t="shared" si="16"/>
        <v>0</v>
      </c>
      <c r="AM26" s="76">
        <f t="shared" si="16"/>
        <v>0</v>
      </c>
      <c r="AN26" s="76">
        <f t="shared" si="16"/>
        <v>0</v>
      </c>
      <c r="AO26" s="76">
        <f t="shared" si="16"/>
        <v>0</v>
      </c>
      <c r="AP26" s="76">
        <f t="shared" si="16"/>
        <v>0</v>
      </c>
      <c r="AQ26" s="76">
        <f t="shared" si="16"/>
        <v>0</v>
      </c>
      <c r="AR26" s="76">
        <f t="shared" si="16"/>
        <v>0</v>
      </c>
      <c r="AS26" s="76">
        <f t="shared" si="16"/>
        <v>0</v>
      </c>
      <c r="AT26" s="76">
        <f t="shared" si="16"/>
        <v>0</v>
      </c>
      <c r="AU26" s="76">
        <f t="shared" si="16"/>
        <v>0</v>
      </c>
      <c r="AV26" s="76">
        <f t="shared" si="16"/>
        <v>0</v>
      </c>
      <c r="AW26" s="76">
        <f t="shared" si="16"/>
        <v>0</v>
      </c>
      <c r="AX26" s="76">
        <f t="shared" si="16"/>
        <v>0</v>
      </c>
      <c r="AY26" s="94">
        <f t="shared" si="16"/>
        <v>0</v>
      </c>
      <c r="AZ26" s="94">
        <f t="shared" si="16"/>
        <v>0</v>
      </c>
      <c r="BA26" s="94">
        <f t="shared" si="16"/>
        <v>0</v>
      </c>
      <c r="BB26" s="94">
        <f t="shared" si="16"/>
        <v>0</v>
      </c>
      <c r="BC26" s="94">
        <f t="shared" si="16"/>
        <v>0</v>
      </c>
      <c r="BD26" s="94">
        <f t="shared" si="16"/>
        <v>0</v>
      </c>
      <c r="BE26" s="94">
        <f t="shared" si="16"/>
        <v>0</v>
      </c>
      <c r="BF26" s="94">
        <f t="shared" si="16"/>
        <v>0</v>
      </c>
      <c r="BG26" s="94">
        <f t="shared" si="16"/>
        <v>0</v>
      </c>
      <c r="BH26" s="94">
        <f t="shared" si="16"/>
        <v>0</v>
      </c>
      <c r="BI26" s="94">
        <f t="shared" si="16"/>
        <v>0</v>
      </c>
      <c r="BJ26" s="94">
        <f t="shared" si="16"/>
        <v>0</v>
      </c>
      <c r="BK26" s="94">
        <f t="shared" si="16"/>
        <v>0</v>
      </c>
      <c r="BL26" s="94">
        <f t="shared" si="16"/>
        <v>0</v>
      </c>
      <c r="BM26" s="94">
        <f t="shared" si="16"/>
        <v>0</v>
      </c>
      <c r="BN26" s="94">
        <f t="shared" si="16"/>
        <v>0</v>
      </c>
      <c r="BO26" s="94">
        <f t="shared" si="16"/>
        <v>0</v>
      </c>
      <c r="BP26" s="94">
        <f t="shared" si="16"/>
        <v>0</v>
      </c>
      <c r="BQ26" s="94">
        <f t="shared" si="16"/>
        <v>0</v>
      </c>
      <c r="BR26" s="94">
        <f t="shared" si="16"/>
        <v>0</v>
      </c>
      <c r="BS26" s="94">
        <f t="shared" si="16"/>
        <v>0</v>
      </c>
      <c r="BT26" s="94">
        <f t="shared" si="16"/>
        <v>0</v>
      </c>
      <c r="BU26" s="94">
        <f t="shared" si="16"/>
        <v>0</v>
      </c>
      <c r="BV26" s="94">
        <f t="shared" si="16"/>
        <v>0</v>
      </c>
    </row>
    <row r="27" ht="15.75" hidden="1" customHeight="1">
      <c r="A27" s="82" t="s">
        <v>106</v>
      </c>
      <c r="B27" s="95"/>
      <c r="C27" s="96"/>
      <c r="D27" s="96"/>
      <c r="E27" s="96"/>
      <c r="F27" s="96"/>
      <c r="G27" s="96"/>
      <c r="H27" s="96"/>
      <c r="I27" s="96"/>
      <c r="J27" s="96"/>
      <c r="K27" s="96"/>
      <c r="L27" s="96"/>
      <c r="M27" s="96"/>
      <c r="N27" s="96"/>
      <c r="O27" s="96"/>
      <c r="P27" s="96"/>
      <c r="Q27" s="96"/>
      <c r="R27" s="96"/>
      <c r="S27" s="96"/>
      <c r="T27" s="96"/>
      <c r="U27" s="96"/>
      <c r="V27" s="96"/>
      <c r="W27" s="96"/>
      <c r="X27" s="96"/>
      <c r="Y27" s="96"/>
      <c r="Z27" s="96"/>
      <c r="AA27" s="96"/>
      <c r="AB27" s="96"/>
      <c r="AC27" s="96"/>
      <c r="AD27" s="96"/>
      <c r="AE27" s="96">
        <f t="shared" ref="AE27:BV27" si="17">AE24*AE26</f>
        <v>0</v>
      </c>
      <c r="AF27" s="96">
        <f t="shared" si="17"/>
        <v>0</v>
      </c>
      <c r="AG27" s="96">
        <f t="shared" si="17"/>
        <v>0</v>
      </c>
      <c r="AH27" s="96">
        <f t="shared" si="17"/>
        <v>0</v>
      </c>
      <c r="AI27" s="96">
        <f t="shared" si="17"/>
        <v>0</v>
      </c>
      <c r="AJ27" s="96">
        <f t="shared" si="17"/>
        <v>0</v>
      </c>
      <c r="AK27" s="96">
        <f t="shared" si="17"/>
        <v>0</v>
      </c>
      <c r="AL27" s="96">
        <f t="shared" si="17"/>
        <v>0</v>
      </c>
      <c r="AM27" s="96">
        <f t="shared" si="17"/>
        <v>0</v>
      </c>
      <c r="AN27" s="96">
        <f t="shared" si="17"/>
        <v>0</v>
      </c>
      <c r="AO27" s="96">
        <f t="shared" si="17"/>
        <v>0</v>
      </c>
      <c r="AP27" s="96">
        <f t="shared" si="17"/>
        <v>0</v>
      </c>
      <c r="AQ27" s="96">
        <f t="shared" si="17"/>
        <v>0</v>
      </c>
      <c r="AR27" s="96">
        <f t="shared" si="17"/>
        <v>0</v>
      </c>
      <c r="AS27" s="96">
        <f t="shared" si="17"/>
        <v>0</v>
      </c>
      <c r="AT27" s="96">
        <f t="shared" si="17"/>
        <v>0</v>
      </c>
      <c r="AU27" s="96">
        <f t="shared" si="17"/>
        <v>0</v>
      </c>
      <c r="AV27" s="96">
        <f t="shared" si="17"/>
        <v>0</v>
      </c>
      <c r="AW27" s="96">
        <f t="shared" si="17"/>
        <v>0</v>
      </c>
      <c r="AX27" s="96">
        <f t="shared" si="17"/>
        <v>0</v>
      </c>
      <c r="AY27" s="97">
        <f t="shared" si="17"/>
        <v>0</v>
      </c>
      <c r="AZ27" s="97">
        <f t="shared" si="17"/>
        <v>0</v>
      </c>
      <c r="BA27" s="97">
        <f t="shared" si="17"/>
        <v>0</v>
      </c>
      <c r="BB27" s="97">
        <f t="shared" si="17"/>
        <v>0</v>
      </c>
      <c r="BC27" s="97">
        <f t="shared" si="17"/>
        <v>0</v>
      </c>
      <c r="BD27" s="97">
        <f t="shared" si="17"/>
        <v>0</v>
      </c>
      <c r="BE27" s="97">
        <f t="shared" si="17"/>
        <v>0</v>
      </c>
      <c r="BF27" s="97">
        <f t="shared" si="17"/>
        <v>0</v>
      </c>
      <c r="BG27" s="97">
        <f t="shared" si="17"/>
        <v>0</v>
      </c>
      <c r="BH27" s="97">
        <f t="shared" si="17"/>
        <v>0</v>
      </c>
      <c r="BI27" s="97">
        <f t="shared" si="17"/>
        <v>0</v>
      </c>
      <c r="BJ27" s="97">
        <f t="shared" si="17"/>
        <v>0</v>
      </c>
      <c r="BK27" s="97">
        <f t="shared" si="17"/>
        <v>0</v>
      </c>
      <c r="BL27" s="97">
        <f t="shared" si="17"/>
        <v>0</v>
      </c>
      <c r="BM27" s="97">
        <f t="shared" si="17"/>
        <v>0</v>
      </c>
      <c r="BN27" s="97">
        <f t="shared" si="17"/>
        <v>0</v>
      </c>
      <c r="BO27" s="97">
        <f t="shared" si="17"/>
        <v>0</v>
      </c>
      <c r="BP27" s="97">
        <f t="shared" si="17"/>
        <v>0</v>
      </c>
      <c r="BQ27" s="97">
        <f t="shared" si="17"/>
        <v>0</v>
      </c>
      <c r="BR27" s="97">
        <f t="shared" si="17"/>
        <v>0</v>
      </c>
      <c r="BS27" s="97">
        <f t="shared" si="17"/>
        <v>0</v>
      </c>
      <c r="BT27" s="97">
        <f t="shared" si="17"/>
        <v>0</v>
      </c>
      <c r="BU27" s="97">
        <f t="shared" si="17"/>
        <v>0</v>
      </c>
      <c r="BV27" s="97">
        <f t="shared" si="17"/>
        <v>0</v>
      </c>
    </row>
    <row r="28" ht="15.75" customHeight="1">
      <c r="A28" s="1"/>
      <c r="B28" s="96"/>
      <c r="C28" s="96"/>
      <c r="D28" s="96"/>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7"/>
      <c r="AZ28" s="97"/>
      <c r="BA28" s="97"/>
      <c r="BB28" s="97"/>
      <c r="BC28" s="97"/>
      <c r="BD28" s="97"/>
      <c r="BE28" s="97"/>
      <c r="BF28" s="97"/>
      <c r="BG28" s="97"/>
      <c r="BH28" s="97"/>
      <c r="BI28" s="97"/>
      <c r="BJ28" s="97"/>
      <c r="BK28" s="97"/>
      <c r="BL28" s="97"/>
      <c r="BM28" s="97"/>
      <c r="BN28" s="97"/>
      <c r="BO28" s="97"/>
      <c r="BP28" s="97"/>
      <c r="BQ28" s="97"/>
      <c r="BR28" s="97"/>
      <c r="BS28" s="97"/>
      <c r="BT28" s="97"/>
      <c r="BU28" s="97"/>
      <c r="BV28" s="97"/>
    </row>
    <row r="29" ht="15.75" customHeight="1">
      <c r="A29" s="100" t="s">
        <v>108</v>
      </c>
      <c r="B29" s="80"/>
      <c r="C29" s="80"/>
      <c r="D29" s="80"/>
      <c r="E29" s="80"/>
      <c r="F29" s="80"/>
      <c r="G29" s="80"/>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row>
    <row r="30" ht="15.75" hidden="1" customHeight="1">
      <c r="A30" s="87" t="s">
        <v>99</v>
      </c>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row>
    <row r="31" ht="15.75" customHeight="1">
      <c r="A31" s="82" t="s">
        <v>109</v>
      </c>
      <c r="B31" s="89"/>
      <c r="C31" s="106">
        <f>SUMIFS(MRR_Export_Reactivation_Count,MRR_Export_Months,"&gt;="&amp;C$1,MRR_Export_Months,"&lt;"&amp;D$1)</f>
        <v>0</v>
      </c>
      <c r="D31" s="106">
        <f>SUMIFS(MRR_Export_Reactivation_Count,MRR_Export_Months,"&gt;="&amp;D$1,MRR_Export_Months,"&lt;"&amp;E$1)</f>
        <v>0</v>
      </c>
      <c r="E31" s="106">
        <f>SUMIFS(MRR_Export_Reactivation_Count,MRR_Export_Months,"&gt;="&amp;E$1,MRR_Export_Months,"&lt;"&amp;F$1)</f>
        <v>0</v>
      </c>
      <c r="F31" s="106">
        <f>SUMIFS(MRR_Export_Reactivation_Count,MRR_Export_Months,"&gt;="&amp;F$1,MRR_Export_Months,"&lt;"&amp;G$1)</f>
        <v>0</v>
      </c>
      <c r="G31" s="106">
        <f>SUMIFS(MRR_Export_Reactivation_Count,MRR_Export_Months,"&gt;="&amp;G$1,MRR_Export_Months,"&lt;"&amp;H$1)</f>
        <v>0</v>
      </c>
      <c r="H31" s="106">
        <f>SUMIFS(MRR_Export_Reactivation_Count,MRR_Export_Months,"&gt;="&amp;H$1,MRR_Export_Months,"&lt;"&amp;I$1)</f>
        <v>0</v>
      </c>
      <c r="I31" s="106">
        <f>SUMIFS(MRR_Export_Reactivation_Count,MRR_Export_Months,"&gt;="&amp;I$1,MRR_Export_Months,"&lt;"&amp;J$1)</f>
        <v>0</v>
      </c>
      <c r="J31" s="106">
        <f>SUMIFS(MRR_Export_Reactivation_Count,MRR_Export_Months,"&gt;="&amp;J$1,MRR_Export_Months,"&lt;"&amp;K$1)</f>
        <v>0</v>
      </c>
      <c r="K31" s="106">
        <f>SUMIFS(MRR_Export_Reactivation_Count,MRR_Export_Months,"&gt;="&amp;K$1,MRR_Export_Months,"&lt;"&amp;L$1)</f>
        <v>0</v>
      </c>
      <c r="L31" s="106">
        <f>SUMIFS(MRR_Export_Reactivation_Count,MRR_Export_Months,"&gt;="&amp;L$1,MRR_Export_Months,"&lt;"&amp;M$1)</f>
        <v>0</v>
      </c>
      <c r="M31" s="106">
        <f>SUMIFS(MRR_Export_Reactivation_Count,MRR_Export_Months,"&gt;="&amp;M$1,MRR_Export_Months,"&lt;"&amp;N$1)</f>
        <v>0</v>
      </c>
      <c r="N31" s="106">
        <f>SUMIFS(MRR_Export_Reactivation_Count,MRR_Export_Months,"&gt;="&amp;N$1,MRR_Export_Months,"&lt;"&amp;O$1)</f>
        <v>0</v>
      </c>
      <c r="O31" s="106">
        <f>SUMIFS(MRR_Export_Reactivation_Count,MRR_Export_Months,"&gt;="&amp;O$1,MRR_Export_Months,"&lt;"&amp;P$1)</f>
        <v>0</v>
      </c>
      <c r="P31" s="106">
        <f>SUMIFS(MRR_Export_Reactivation_Count,MRR_Export_Months,"&gt;="&amp;P$1,MRR_Export_Months,"&lt;"&amp;Q$1)</f>
        <v>0</v>
      </c>
      <c r="Q31" s="106">
        <f>SUMIFS(MRR_Export_Reactivation_Count,MRR_Export_Months,"&gt;="&amp;Q$1,MRR_Export_Months,"&lt;"&amp;R$1)</f>
        <v>0</v>
      </c>
      <c r="R31" s="106">
        <f>SUMIFS(MRR_Export_Reactivation_Count,MRR_Export_Months,"&gt;="&amp;R$1,MRR_Export_Months,"&lt;"&amp;S$1)</f>
        <v>0</v>
      </c>
      <c r="S31" s="106">
        <f>SUMIFS(MRR_Export_Reactivation_Count,MRR_Export_Months,"&gt;="&amp;S$1,MRR_Export_Months,"&lt;"&amp;T$1)</f>
        <v>0</v>
      </c>
      <c r="T31" s="106">
        <f>SUMIFS(MRR_Export_Reactivation_Count,MRR_Export_Months,"&gt;="&amp;T$1,MRR_Export_Months,"&lt;"&amp;U$1)</f>
        <v>0</v>
      </c>
      <c r="U31" s="106">
        <f>SUMIFS(MRR_Export_Reactivation_Count,MRR_Export_Months,"&gt;="&amp;U$1,MRR_Export_Months,"&lt;"&amp;V$1)</f>
        <v>0</v>
      </c>
      <c r="V31" s="106">
        <f>SUMIFS(MRR_Export_Reactivation_Count,MRR_Export_Months,"&gt;="&amp;V$1,MRR_Export_Months,"&lt;"&amp;W$1)</f>
        <v>0</v>
      </c>
      <c r="W31" s="106">
        <f>SUMIFS(MRR_Export_Reactivation_Count,MRR_Export_Months,"&gt;="&amp;W$1,MRR_Export_Months,"&lt;"&amp;X$1)</f>
        <v>0</v>
      </c>
      <c r="X31" s="106">
        <f>SUMIFS(MRR_Export_Reactivation_Count,MRR_Export_Months,"&gt;="&amp;X$1,MRR_Export_Months,"&lt;"&amp;Y$1)</f>
        <v>0</v>
      </c>
      <c r="Y31" s="106">
        <f>SUMIFS(MRR_Export_Reactivation_Count,MRR_Export_Months,"&gt;="&amp;Y$1,MRR_Export_Months,"&lt;"&amp;Z$1)</f>
        <v>0</v>
      </c>
      <c r="Z31" s="106">
        <f>SUMIFS(MRR_Export_Reactivation_Count,MRR_Export_Months,"&gt;="&amp;Z$1,MRR_Export_Months,"&lt;"&amp;AA$1)</f>
        <v>0</v>
      </c>
      <c r="AA31" s="106">
        <f>SUMIFS(MRR_Export_Reactivation_Count,MRR_Export_Months,"&gt;="&amp;AA$1,MRR_Export_Months,"&lt;"&amp;AB$1)</f>
        <v>0</v>
      </c>
      <c r="AB31" s="106">
        <f>SUMIFS(MRR_Export_Reactivation_Count,MRR_Export_Months,"&gt;="&amp;AB$1,MRR_Export_Months,"&lt;"&amp;AC$1)</f>
        <v>0</v>
      </c>
      <c r="AC31" s="106">
        <f>SUMIFS(MRR_Export_Reactivation_Count,MRR_Export_Months,"&gt;="&amp;AC$1,MRR_Export_Months,"&lt;"&amp;AD$1)</f>
        <v>0</v>
      </c>
      <c r="AD31" s="106">
        <f>SUMIFS(MRR_Export_Reactivation_Count,MRR_Export_Months,"&gt;="&amp;AD$1,MRR_Export_Months,"&lt;"&amp;AE$1)</f>
        <v>0</v>
      </c>
      <c r="AE31" s="1"/>
      <c r="AF31" s="1"/>
      <c r="AG31" s="1"/>
      <c r="AH31" s="1"/>
      <c r="AI31" s="1"/>
      <c r="AJ31" s="1"/>
      <c r="AK31" s="1"/>
      <c r="AL31" s="1"/>
      <c r="AM31" s="1"/>
      <c r="AN31" s="1"/>
      <c r="AO31" s="1"/>
      <c r="AP31" s="1"/>
      <c r="AQ31" s="1"/>
      <c r="AR31" s="1"/>
      <c r="AS31" s="1"/>
      <c r="AT31" s="1"/>
      <c r="AU31" s="1"/>
      <c r="AV31" s="1"/>
      <c r="AW31" s="1"/>
      <c r="AX31" s="1"/>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row>
    <row r="32" ht="15.75" customHeight="1">
      <c r="A32" s="82" t="s">
        <v>100</v>
      </c>
      <c r="B32" s="93"/>
      <c r="C32" s="76" t="str">
        <f t="shared" ref="C32:AD32" si="18">IFERROR(C33/C31," ")</f>
        <v> </v>
      </c>
      <c r="D32" s="76" t="str">
        <f t="shared" si="18"/>
        <v> </v>
      </c>
      <c r="E32" s="76" t="str">
        <f t="shared" si="18"/>
        <v> </v>
      </c>
      <c r="F32" s="76" t="str">
        <f t="shared" si="18"/>
        <v> </v>
      </c>
      <c r="G32" s="76" t="str">
        <f t="shared" si="18"/>
        <v> </v>
      </c>
      <c r="H32" s="76" t="str">
        <f t="shared" si="18"/>
        <v> </v>
      </c>
      <c r="I32" s="76" t="str">
        <f t="shared" si="18"/>
        <v> </v>
      </c>
      <c r="J32" s="76" t="str">
        <f t="shared" si="18"/>
        <v> </v>
      </c>
      <c r="K32" s="76" t="str">
        <f t="shared" si="18"/>
        <v> </v>
      </c>
      <c r="L32" s="76" t="str">
        <f t="shared" si="18"/>
        <v> </v>
      </c>
      <c r="M32" s="76" t="str">
        <f t="shared" si="18"/>
        <v> </v>
      </c>
      <c r="N32" s="76" t="str">
        <f t="shared" si="18"/>
        <v> </v>
      </c>
      <c r="O32" s="76" t="str">
        <f t="shared" si="18"/>
        <v> </v>
      </c>
      <c r="P32" s="76" t="str">
        <f t="shared" si="18"/>
        <v> </v>
      </c>
      <c r="Q32" s="76" t="str">
        <f t="shared" si="18"/>
        <v> </v>
      </c>
      <c r="R32" s="76" t="str">
        <f t="shared" si="18"/>
        <v> </v>
      </c>
      <c r="S32" s="76" t="str">
        <f t="shared" si="18"/>
        <v> </v>
      </c>
      <c r="T32" s="76" t="str">
        <f t="shared" si="18"/>
        <v> </v>
      </c>
      <c r="U32" s="76" t="str">
        <f t="shared" si="18"/>
        <v> </v>
      </c>
      <c r="V32" s="76" t="str">
        <f t="shared" si="18"/>
        <v> </v>
      </c>
      <c r="W32" s="76" t="str">
        <f t="shared" si="18"/>
        <v> </v>
      </c>
      <c r="X32" s="76" t="str">
        <f t="shared" si="18"/>
        <v> </v>
      </c>
      <c r="Y32" s="76" t="str">
        <f t="shared" si="18"/>
        <v> </v>
      </c>
      <c r="Z32" s="76" t="str">
        <f t="shared" si="18"/>
        <v> </v>
      </c>
      <c r="AA32" s="76" t="str">
        <f t="shared" si="18"/>
        <v> </v>
      </c>
      <c r="AB32" s="76" t="str">
        <f t="shared" si="18"/>
        <v> </v>
      </c>
      <c r="AC32" s="76" t="str">
        <f t="shared" si="18"/>
        <v> </v>
      </c>
      <c r="AD32" s="76" t="str">
        <f t="shared" si="18"/>
        <v> </v>
      </c>
      <c r="AE32" s="96"/>
      <c r="AF32" s="96"/>
      <c r="AG32" s="96"/>
      <c r="AH32" s="96"/>
      <c r="AI32" s="96"/>
      <c r="AJ32" s="96"/>
      <c r="AK32" s="96"/>
      <c r="AL32" s="96"/>
      <c r="AM32" s="96"/>
      <c r="AN32" s="96"/>
      <c r="AO32" s="96"/>
      <c r="AP32" s="96"/>
      <c r="AQ32" s="96"/>
      <c r="AR32" s="96"/>
      <c r="AS32" s="96"/>
      <c r="AT32" s="96"/>
      <c r="AU32" s="96"/>
      <c r="AV32" s="96"/>
      <c r="AW32" s="96"/>
      <c r="AX32" s="96"/>
      <c r="AY32" s="97"/>
      <c r="AZ32" s="97"/>
      <c r="BA32" s="97"/>
      <c r="BB32" s="97"/>
      <c r="BC32" s="97"/>
      <c r="BD32" s="97"/>
      <c r="BE32" s="97"/>
      <c r="BF32" s="97"/>
      <c r="BG32" s="97"/>
      <c r="BH32" s="97"/>
      <c r="BI32" s="97"/>
      <c r="BJ32" s="97"/>
      <c r="BK32" s="97"/>
      <c r="BL32" s="97"/>
      <c r="BM32" s="97"/>
      <c r="BN32" s="97"/>
      <c r="BO32" s="97"/>
      <c r="BP32" s="97"/>
      <c r="BQ32" s="97"/>
      <c r="BR32" s="97"/>
      <c r="BS32" s="97"/>
      <c r="BT32" s="97"/>
      <c r="BU32" s="97"/>
      <c r="BV32" s="97"/>
    </row>
    <row r="33" ht="15.75" customHeight="1">
      <c r="A33" s="1" t="s">
        <v>110</v>
      </c>
      <c r="B33" s="95"/>
      <c r="C33" s="106">
        <f>SUMIFS(MRR_Export_Reactivation_MRR,MRR_Export_Months,"&gt;="&amp;C$1,MRR_Export_Months,"&lt;"&amp;D$1)</f>
        <v>0</v>
      </c>
      <c r="D33" s="106">
        <f>SUMIFS(MRR_Export_Reactivation_MRR,MRR_Export_Months,"&gt;="&amp;D$1,MRR_Export_Months,"&lt;"&amp;E$1)</f>
        <v>0</v>
      </c>
      <c r="E33" s="106">
        <f>SUMIFS(MRR_Export_Reactivation_MRR,MRR_Export_Months,"&gt;="&amp;E$1,MRR_Export_Months,"&lt;"&amp;F$1)</f>
        <v>0</v>
      </c>
      <c r="F33" s="106">
        <f>SUMIFS(MRR_Export_Reactivation_MRR,MRR_Export_Months,"&gt;="&amp;F$1,MRR_Export_Months,"&lt;"&amp;G$1)</f>
        <v>0</v>
      </c>
      <c r="G33" s="106">
        <f>SUMIFS(MRR_Export_Reactivation_MRR,MRR_Export_Months,"&gt;="&amp;G$1,MRR_Export_Months,"&lt;"&amp;H$1)</f>
        <v>0</v>
      </c>
      <c r="H33" s="106">
        <f>SUMIFS(MRR_Export_Reactivation_MRR,MRR_Export_Months,"&gt;="&amp;H$1,MRR_Export_Months,"&lt;"&amp;I$1)</f>
        <v>0</v>
      </c>
      <c r="I33" s="106">
        <f>SUMIFS(MRR_Export_Reactivation_MRR,MRR_Export_Months,"&gt;="&amp;I$1,MRR_Export_Months,"&lt;"&amp;J$1)</f>
        <v>0</v>
      </c>
      <c r="J33" s="106">
        <f>SUMIFS(MRR_Export_Reactivation_MRR,MRR_Export_Months,"&gt;="&amp;J$1,MRR_Export_Months,"&lt;"&amp;K$1)</f>
        <v>0</v>
      </c>
      <c r="K33" s="106">
        <f>SUMIFS(MRR_Export_Reactivation_MRR,MRR_Export_Months,"&gt;="&amp;K$1,MRR_Export_Months,"&lt;"&amp;L$1)</f>
        <v>0</v>
      </c>
      <c r="L33" s="106">
        <f>SUMIFS(MRR_Export_Reactivation_MRR,MRR_Export_Months,"&gt;="&amp;L$1,MRR_Export_Months,"&lt;"&amp;M$1)</f>
        <v>0</v>
      </c>
      <c r="M33" s="106">
        <f>SUMIFS(MRR_Export_Reactivation_MRR,MRR_Export_Months,"&gt;="&amp;M$1,MRR_Export_Months,"&lt;"&amp;N$1)</f>
        <v>0</v>
      </c>
      <c r="N33" s="106">
        <f>SUMIFS(MRR_Export_Reactivation_MRR,MRR_Export_Months,"&gt;="&amp;N$1,MRR_Export_Months,"&lt;"&amp;O$1)</f>
        <v>0</v>
      </c>
      <c r="O33" s="106">
        <f>SUMIFS(MRR_Export_Reactivation_MRR,MRR_Export_Months,"&gt;="&amp;O$1,MRR_Export_Months,"&lt;"&amp;P$1)</f>
        <v>0</v>
      </c>
      <c r="P33" s="106">
        <f>SUMIFS(MRR_Export_Reactivation_MRR,MRR_Export_Months,"&gt;="&amp;P$1,MRR_Export_Months,"&lt;"&amp;Q$1)</f>
        <v>0</v>
      </c>
      <c r="Q33" s="106">
        <f>SUMIFS(MRR_Export_Reactivation_MRR,MRR_Export_Months,"&gt;="&amp;Q$1,MRR_Export_Months,"&lt;"&amp;R$1)</f>
        <v>0</v>
      </c>
      <c r="R33" s="106">
        <f>SUMIFS(MRR_Export_Reactivation_MRR,MRR_Export_Months,"&gt;="&amp;R$1,MRR_Export_Months,"&lt;"&amp;S$1)</f>
        <v>0</v>
      </c>
      <c r="S33" s="106">
        <f>SUMIFS(MRR_Export_Reactivation_MRR,MRR_Export_Months,"&gt;="&amp;S$1,MRR_Export_Months,"&lt;"&amp;T$1)</f>
        <v>0</v>
      </c>
      <c r="T33" s="106">
        <f>SUMIFS(MRR_Export_Reactivation_MRR,MRR_Export_Months,"&gt;="&amp;T$1,MRR_Export_Months,"&lt;"&amp;U$1)</f>
        <v>0</v>
      </c>
      <c r="U33" s="106">
        <f>SUMIFS(MRR_Export_Reactivation_MRR,MRR_Export_Months,"&gt;="&amp;U$1,MRR_Export_Months,"&lt;"&amp;V$1)</f>
        <v>0</v>
      </c>
      <c r="V33" s="106">
        <f>SUMIFS(MRR_Export_Reactivation_MRR,MRR_Export_Months,"&gt;="&amp;V$1,MRR_Export_Months,"&lt;"&amp;W$1)</f>
        <v>0</v>
      </c>
      <c r="W33" s="106">
        <f>SUMIFS(MRR_Export_Reactivation_MRR,MRR_Export_Months,"&gt;="&amp;W$1,MRR_Export_Months,"&lt;"&amp;X$1)</f>
        <v>0</v>
      </c>
      <c r="X33" s="106">
        <f>SUMIFS(MRR_Export_Reactivation_MRR,MRR_Export_Months,"&gt;="&amp;X$1,MRR_Export_Months,"&lt;"&amp;Y$1)</f>
        <v>0</v>
      </c>
      <c r="Y33" s="106">
        <f>SUMIFS(MRR_Export_Reactivation_MRR,MRR_Export_Months,"&gt;="&amp;Y$1,MRR_Export_Months,"&lt;"&amp;Z$1)</f>
        <v>0</v>
      </c>
      <c r="Z33" s="106">
        <f>SUMIFS(MRR_Export_Reactivation_MRR,MRR_Export_Months,"&gt;="&amp;Z$1,MRR_Export_Months,"&lt;"&amp;AA$1)</f>
        <v>0</v>
      </c>
      <c r="AA33" s="106">
        <f>SUMIFS(MRR_Export_Reactivation_MRR,MRR_Export_Months,"&gt;="&amp;AA$1,MRR_Export_Months,"&lt;"&amp;AB$1)</f>
        <v>0</v>
      </c>
      <c r="AB33" s="106">
        <f>SUMIFS(MRR_Export_Reactivation_MRR,MRR_Export_Months,"&gt;="&amp;AB$1,MRR_Export_Months,"&lt;"&amp;AC$1)</f>
        <v>0</v>
      </c>
      <c r="AC33" s="106">
        <f>SUMIFS(MRR_Export_Reactivation_MRR,MRR_Export_Months,"&gt;="&amp;AC$1,MRR_Export_Months,"&lt;"&amp;AD$1)</f>
        <v>0</v>
      </c>
      <c r="AD33" s="106">
        <f>SUMIFS(MRR_Export_Reactivation_MRR,MRR_Export_Months,"&gt;="&amp;AD$1,MRR_Export_Months,"&lt;"&amp;AE$1)</f>
        <v>0</v>
      </c>
      <c r="AE33" s="1"/>
      <c r="AF33" s="1"/>
      <c r="AG33" s="1"/>
      <c r="AH33" s="1"/>
      <c r="AI33" s="1"/>
      <c r="AJ33" s="1"/>
      <c r="AK33" s="1"/>
      <c r="AL33" s="1"/>
      <c r="AM33" s="1"/>
      <c r="AN33" s="1"/>
      <c r="AO33" s="1"/>
      <c r="AP33" s="1"/>
      <c r="AQ33" s="1"/>
      <c r="AR33" s="1"/>
      <c r="AS33" s="1"/>
      <c r="AT33" s="1"/>
      <c r="AU33" s="1"/>
      <c r="AV33" s="1"/>
      <c r="AW33" s="1"/>
      <c r="AX33" s="1"/>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row>
    <row r="34" ht="15.75" customHeight="1">
      <c r="A34" s="82"/>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row>
    <row r="35" ht="15.75" customHeight="1">
      <c r="A35" s="100" t="s">
        <v>111</v>
      </c>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row>
    <row r="36" ht="15.75" customHeight="1">
      <c r="A36" s="87" t="s">
        <v>99</v>
      </c>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row>
    <row r="37" ht="15.75" customHeight="1">
      <c r="A37" s="82" t="s">
        <v>112</v>
      </c>
      <c r="B37" s="89"/>
      <c r="C37" s="90">
        <f>SUMIFS(MRR_Export_Churn_Count,MRR_Export_Months,"&gt;="&amp;C$1,MRR_Export_Months,"&lt;"&amp;D$1)</f>
        <v>1</v>
      </c>
      <c r="D37" s="90">
        <f>SUMIFS(MRR_Export_Churn_Count,MRR_Export_Months,"&gt;="&amp;D$1,MRR_Export_Months,"&lt;"&amp;E$1)</f>
        <v>2</v>
      </c>
      <c r="E37" s="90">
        <f>SUMIFS(MRR_Export_Churn_Count,MRR_Export_Months,"&gt;="&amp;E$1,MRR_Export_Months,"&lt;"&amp;F$1)</f>
        <v>2</v>
      </c>
      <c r="F37" s="90">
        <f>SUMIFS(MRR_Export_Churn_Count,MRR_Export_Months,"&gt;="&amp;F$1,MRR_Export_Months,"&lt;"&amp;G$1)</f>
        <v>3</v>
      </c>
      <c r="G37" s="90">
        <f>SUMIFS(MRR_Export_Churn_Count,MRR_Export_Months,"&gt;="&amp;G$1,MRR_Export_Months,"&lt;"&amp;H$1)</f>
        <v>1</v>
      </c>
      <c r="H37" s="90">
        <f>SUMIFS(MRR_Export_Churn_Count,MRR_Export_Months,"&gt;="&amp;H$1,MRR_Export_Months,"&lt;"&amp;I$1)</f>
        <v>2</v>
      </c>
      <c r="I37" s="90">
        <f>SUMIFS(MRR_Export_Churn_Count,MRR_Export_Months,"&gt;="&amp;I$1,MRR_Export_Months,"&lt;"&amp;J$1)</f>
        <v>4</v>
      </c>
      <c r="J37" s="90">
        <f>SUMIFS(MRR_Export_Churn_Count,MRR_Export_Months,"&gt;="&amp;J$1,MRR_Export_Months,"&lt;"&amp;K$1)</f>
        <v>5</v>
      </c>
      <c r="K37" s="90">
        <f>SUMIFS(MRR_Export_Churn_Count,MRR_Export_Months,"&gt;="&amp;K$1,MRR_Export_Months,"&lt;"&amp;L$1)</f>
        <v>5</v>
      </c>
      <c r="L37" s="90">
        <f>SUMIFS(MRR_Export_Churn_Count,MRR_Export_Months,"&gt;="&amp;L$1,MRR_Export_Months,"&lt;"&amp;M$1)</f>
        <v>5</v>
      </c>
      <c r="M37" s="90">
        <f>SUMIFS(MRR_Export_Churn_Count,MRR_Export_Months,"&gt;="&amp;M$1,MRR_Export_Months,"&lt;"&amp;N$1)</f>
        <v>5</v>
      </c>
      <c r="N37" s="90">
        <f>SUMIFS(MRR_Export_Churn_Count,MRR_Export_Months,"&gt;="&amp;N$1,MRR_Export_Months,"&lt;"&amp;O$1)</f>
        <v>5</v>
      </c>
      <c r="O37" s="90">
        <f>SUMIFS(MRR_Export_Churn_Count,MRR_Export_Months,"&gt;="&amp;O$1,MRR_Export_Months,"&lt;"&amp;P$1)</f>
        <v>5</v>
      </c>
      <c r="P37" s="90">
        <f>SUMIFS(MRR_Export_Churn_Count,MRR_Export_Months,"&gt;="&amp;P$1,MRR_Export_Months,"&lt;"&amp;Q$1)</f>
        <v>5</v>
      </c>
      <c r="Q37" s="90">
        <f>SUMIFS(MRR_Export_Churn_Count,MRR_Export_Months,"&gt;="&amp;Q$1,MRR_Export_Months,"&lt;"&amp;R$1)</f>
        <v>6</v>
      </c>
      <c r="R37" s="90">
        <f>SUMIFS(MRR_Export_Churn_Count,MRR_Export_Months,"&gt;="&amp;R$1,MRR_Export_Months,"&lt;"&amp;S$1)</f>
        <v>4</v>
      </c>
      <c r="S37" s="90">
        <f>SUMIFS(MRR_Export_Churn_Count,MRR_Export_Months,"&gt;="&amp;S$1,MRR_Export_Months,"&lt;"&amp;T$1)</f>
        <v>6</v>
      </c>
      <c r="T37" s="90">
        <f>SUMIFS(MRR_Export_Churn_Count,MRR_Export_Months,"&gt;="&amp;T$1,MRR_Export_Months,"&lt;"&amp;U$1)</f>
        <v>7</v>
      </c>
      <c r="U37" s="90">
        <f>SUMIFS(MRR_Export_Churn_Count,MRR_Export_Months,"&gt;="&amp;U$1,MRR_Export_Months,"&lt;"&amp;V$1)</f>
        <v>9</v>
      </c>
      <c r="V37" s="90">
        <f>SUMIFS(MRR_Export_Churn_Count,MRR_Export_Months,"&gt;="&amp;V$1,MRR_Export_Months,"&lt;"&amp;W$1)</f>
        <v>6</v>
      </c>
      <c r="W37" s="90">
        <f>SUMIFS(MRR_Export_Churn_Count,MRR_Export_Months,"&gt;="&amp;W$1,MRR_Export_Months,"&lt;"&amp;X$1)</f>
        <v>9</v>
      </c>
      <c r="X37" s="90">
        <f>SUMIFS(MRR_Export_Churn_Count,MRR_Export_Months,"&gt;="&amp;X$1,MRR_Export_Months,"&lt;"&amp;Y$1)</f>
        <v>9</v>
      </c>
      <c r="Y37" s="90">
        <f>SUMIFS(MRR_Export_Churn_Count,MRR_Export_Months,"&gt;="&amp;Y$1,MRR_Export_Months,"&lt;"&amp;Z$1)</f>
        <v>6</v>
      </c>
      <c r="Z37" s="90">
        <f>SUMIFS(MRR_Export_Churn_Count,MRR_Export_Months,"&gt;="&amp;Z$1,MRR_Export_Months,"&lt;"&amp;AA$1)</f>
        <v>4</v>
      </c>
      <c r="AA37" s="90">
        <f>SUMIFS(MRR_Export_Churn_Count,MRR_Export_Months,"&gt;="&amp;AA$1,MRR_Export_Months,"&lt;"&amp;AB$1)</f>
        <v>1</v>
      </c>
      <c r="AB37" s="90">
        <f>SUMIFS(MRR_Export_Churn_Count,MRR_Export_Months,"&gt;="&amp;AB$1,MRR_Export_Months,"&lt;"&amp;AC$1)</f>
        <v>6</v>
      </c>
      <c r="AC37" s="90">
        <f>SUMIFS(MRR_Export_Churn_Count,MRR_Export_Months,"&gt;="&amp;AC$1,MRR_Export_Months,"&lt;"&amp;AD$1)</f>
        <v>9</v>
      </c>
      <c r="AD37" s="90">
        <f>SUMIFS(MRR_Export_Churn_Count,MRR_Export_Months,"&gt;="&amp;AD$1,MRR_Export_Months,"&lt;"&amp;AE$1)</f>
        <v>12</v>
      </c>
      <c r="AE37" s="96">
        <f t="shared" ref="AE37:BV37" si="19">AE38*AD$65</f>
        <v>11.742</v>
      </c>
      <c r="AF37" s="96">
        <f t="shared" si="19"/>
        <v>9.34887</v>
      </c>
      <c r="AG37" s="96">
        <f t="shared" si="19"/>
        <v>6.95100043</v>
      </c>
      <c r="AH37" s="96">
        <f t="shared" si="19"/>
        <v>7.083539425</v>
      </c>
      <c r="AI37" s="96">
        <f t="shared" si="19"/>
        <v>5.893871311</v>
      </c>
      <c r="AJ37" s="96">
        <f t="shared" si="19"/>
        <v>6.00282647</v>
      </c>
      <c r="AK37" s="96">
        <f t="shared" si="19"/>
        <v>6.119801031</v>
      </c>
      <c r="AL37" s="96">
        <f t="shared" si="19"/>
        <v>6.235722822</v>
      </c>
      <c r="AM37" s="96">
        <f t="shared" si="19"/>
        <v>6.359601317</v>
      </c>
      <c r="AN37" s="96">
        <f t="shared" si="19"/>
        <v>6.482364905</v>
      </c>
      <c r="AO37" s="96">
        <f t="shared" si="19"/>
        <v>6.613023621</v>
      </c>
      <c r="AP37" s="96">
        <f t="shared" si="19"/>
        <v>6.742506408</v>
      </c>
      <c r="AQ37" s="96">
        <f t="shared" si="19"/>
        <v>6.87982385</v>
      </c>
      <c r="AR37" s="96">
        <f t="shared" si="19"/>
        <v>7.024905436</v>
      </c>
      <c r="AS37" s="96">
        <f t="shared" si="19"/>
        <v>7.168681287</v>
      </c>
      <c r="AT37" s="96">
        <f t="shared" si="19"/>
        <v>7.320163155</v>
      </c>
      <c r="AU37" s="96">
        <f t="shared" si="19"/>
        <v>7.470281687</v>
      </c>
      <c r="AV37" s="96">
        <f t="shared" si="19"/>
        <v>7.628049152</v>
      </c>
      <c r="AW37" s="96">
        <f t="shared" si="19"/>
        <v>7.793396709</v>
      </c>
      <c r="AX37" s="96">
        <f t="shared" si="19"/>
        <v>7.957256139</v>
      </c>
      <c r="AY37" s="97">
        <f t="shared" si="19"/>
        <v>8.128640834</v>
      </c>
      <c r="AZ37" s="97">
        <f t="shared" si="19"/>
        <v>8.289483066</v>
      </c>
      <c r="BA37" s="97">
        <f t="shared" si="19"/>
        <v>8.457877719</v>
      </c>
      <c r="BB37" s="97">
        <f t="shared" si="19"/>
        <v>8.624756819</v>
      </c>
      <c r="BC37" s="97">
        <f t="shared" si="19"/>
        <v>8.790134008</v>
      </c>
      <c r="BD37" s="97">
        <f t="shared" si="19"/>
        <v>8.954022802</v>
      </c>
      <c r="BE37" s="97">
        <f t="shared" si="19"/>
        <v>9.125436596</v>
      </c>
      <c r="BF37" s="97">
        <f t="shared" si="19"/>
        <v>9.295307667</v>
      </c>
      <c r="BG37" s="97">
        <f t="shared" si="19"/>
        <v>9.472649898</v>
      </c>
      <c r="BH37" s="97">
        <f t="shared" si="19"/>
        <v>9.648396049</v>
      </c>
      <c r="BI37" s="97">
        <f t="shared" si="19"/>
        <v>9.822560485</v>
      </c>
      <c r="BJ37" s="97">
        <f t="shared" si="19"/>
        <v>10.00415744</v>
      </c>
      <c r="BK37" s="97">
        <f t="shared" si="19"/>
        <v>10.18412002</v>
      </c>
      <c r="BL37" s="97">
        <f t="shared" si="19"/>
        <v>10.36246294</v>
      </c>
      <c r="BM37" s="97">
        <f t="shared" si="19"/>
        <v>10.54820078</v>
      </c>
      <c r="BN37" s="97">
        <f t="shared" si="19"/>
        <v>10.73226697</v>
      </c>
      <c r="BO37" s="97">
        <f t="shared" si="19"/>
        <v>10.92367657</v>
      </c>
      <c r="BP37" s="97">
        <f t="shared" si="19"/>
        <v>11.11336348</v>
      </c>
      <c r="BQ37" s="97">
        <f t="shared" si="19"/>
        <v>11.30134321</v>
      </c>
      <c r="BR37" s="97">
        <f t="shared" si="19"/>
        <v>11.49663112</v>
      </c>
      <c r="BS37" s="97">
        <f t="shared" si="19"/>
        <v>11.69016144</v>
      </c>
      <c r="BT37" s="97">
        <f t="shared" si="19"/>
        <v>11.89094998</v>
      </c>
      <c r="BU37" s="97">
        <f t="shared" si="19"/>
        <v>12.08993143</v>
      </c>
      <c r="BV37" s="97">
        <f t="shared" si="19"/>
        <v>12.29612205</v>
      </c>
    </row>
    <row r="38" ht="15.75" customHeight="1">
      <c r="A38" s="82" t="s">
        <v>113</v>
      </c>
      <c r="B38" s="43"/>
      <c r="C38" s="43" t="str">
        <f t="shared" ref="C38:AD38" si="20">IFERROR(C37/B$65," ")</f>
        <v> </v>
      </c>
      <c r="D38" s="43">
        <f t="shared" si="20"/>
        <v>0.008438818565</v>
      </c>
      <c r="E38" s="43">
        <f t="shared" si="20"/>
        <v>0.009174311927</v>
      </c>
      <c r="F38" s="43">
        <f t="shared" si="20"/>
        <v>0.01315789474</v>
      </c>
      <c r="G38" s="43">
        <f t="shared" si="20"/>
        <v>0.004201680672</v>
      </c>
      <c r="H38" s="43">
        <f t="shared" si="20"/>
        <v>0.00796812749</v>
      </c>
      <c r="I38" s="43">
        <f t="shared" si="20"/>
        <v>0.01544401544</v>
      </c>
      <c r="J38" s="43">
        <f t="shared" si="20"/>
        <v>0.01811594203</v>
      </c>
      <c r="K38" s="43">
        <f t="shared" si="20"/>
        <v>0.01754385965</v>
      </c>
      <c r="L38" s="43">
        <f t="shared" si="20"/>
        <v>0.01700680272</v>
      </c>
      <c r="M38" s="43">
        <f t="shared" si="20"/>
        <v>0.01650165017</v>
      </c>
      <c r="N38" s="43">
        <f t="shared" si="20"/>
        <v>0.01602564103</v>
      </c>
      <c r="O38" s="43">
        <f t="shared" si="20"/>
        <v>0.01547987616</v>
      </c>
      <c r="P38" s="43">
        <f t="shared" si="20"/>
        <v>0.01501501502</v>
      </c>
      <c r="Q38" s="43">
        <f t="shared" si="20"/>
        <v>0.01699716714</v>
      </c>
      <c r="R38" s="43">
        <f t="shared" si="20"/>
        <v>0.01098901099</v>
      </c>
      <c r="S38" s="43">
        <f t="shared" si="20"/>
        <v>0.01507537688</v>
      </c>
      <c r="T38" s="43">
        <f t="shared" si="20"/>
        <v>0.01699029126</v>
      </c>
      <c r="U38" s="43">
        <f t="shared" si="20"/>
        <v>0.02073732719</v>
      </c>
      <c r="V38" s="43">
        <f t="shared" si="20"/>
        <v>0.01312910284</v>
      </c>
      <c r="W38" s="43">
        <f t="shared" si="20"/>
        <v>0.01878914405</v>
      </c>
      <c r="X38" s="43">
        <f t="shared" si="20"/>
        <v>0.01814516129</v>
      </c>
      <c r="Y38" s="43">
        <f t="shared" si="20"/>
        <v>0.01181102362</v>
      </c>
      <c r="Z38" s="43">
        <f t="shared" si="20"/>
        <v>0.007633587786</v>
      </c>
      <c r="AA38" s="43">
        <f t="shared" si="20"/>
        <v>0.001834862385</v>
      </c>
      <c r="AB38" s="43">
        <f t="shared" si="20"/>
        <v>0.01050788091</v>
      </c>
      <c r="AC38" s="43">
        <f t="shared" si="20"/>
        <v>0.01487603306</v>
      </c>
      <c r="AD38" s="43">
        <f t="shared" si="20"/>
        <v>0.01948051948</v>
      </c>
      <c r="AE38" s="101">
        <v>0.019</v>
      </c>
      <c r="AF38" s="101">
        <v>0.015</v>
      </c>
      <c r="AG38" s="101">
        <v>0.011</v>
      </c>
      <c r="AH38" s="101">
        <v>0.011</v>
      </c>
      <c r="AI38" s="101">
        <v>0.009</v>
      </c>
      <c r="AJ38" s="101">
        <v>0.009</v>
      </c>
      <c r="AK38" s="102">
        <f t="shared" ref="AK38:BV38" si="21">IFERROR(MEDIAN(AH38:AJ38),0)</f>
        <v>0.009</v>
      </c>
      <c r="AL38" s="102">
        <f t="shared" si="21"/>
        <v>0.009</v>
      </c>
      <c r="AM38" s="102">
        <f t="shared" si="21"/>
        <v>0.009</v>
      </c>
      <c r="AN38" s="102">
        <f t="shared" si="21"/>
        <v>0.009</v>
      </c>
      <c r="AO38" s="102">
        <f t="shared" si="21"/>
        <v>0.009</v>
      </c>
      <c r="AP38" s="102">
        <f t="shared" si="21"/>
        <v>0.009</v>
      </c>
      <c r="AQ38" s="102">
        <f t="shared" si="21"/>
        <v>0.009</v>
      </c>
      <c r="AR38" s="102">
        <f t="shared" si="21"/>
        <v>0.009</v>
      </c>
      <c r="AS38" s="102">
        <f t="shared" si="21"/>
        <v>0.009</v>
      </c>
      <c r="AT38" s="102">
        <f t="shared" si="21"/>
        <v>0.009</v>
      </c>
      <c r="AU38" s="102">
        <f t="shared" si="21"/>
        <v>0.009</v>
      </c>
      <c r="AV38" s="102">
        <f t="shared" si="21"/>
        <v>0.009</v>
      </c>
      <c r="AW38" s="102">
        <f t="shared" si="21"/>
        <v>0.009</v>
      </c>
      <c r="AX38" s="102">
        <f t="shared" si="21"/>
        <v>0.009</v>
      </c>
      <c r="AY38" s="103">
        <f t="shared" si="21"/>
        <v>0.009</v>
      </c>
      <c r="AZ38" s="103">
        <f t="shared" si="21"/>
        <v>0.009</v>
      </c>
      <c r="BA38" s="103">
        <f t="shared" si="21"/>
        <v>0.009</v>
      </c>
      <c r="BB38" s="103">
        <f t="shared" si="21"/>
        <v>0.009</v>
      </c>
      <c r="BC38" s="103">
        <f t="shared" si="21"/>
        <v>0.009</v>
      </c>
      <c r="BD38" s="103">
        <f t="shared" si="21"/>
        <v>0.009</v>
      </c>
      <c r="BE38" s="103">
        <f t="shared" si="21"/>
        <v>0.009</v>
      </c>
      <c r="BF38" s="103">
        <f t="shared" si="21"/>
        <v>0.009</v>
      </c>
      <c r="BG38" s="103">
        <f t="shared" si="21"/>
        <v>0.009</v>
      </c>
      <c r="BH38" s="103">
        <f t="shared" si="21"/>
        <v>0.009</v>
      </c>
      <c r="BI38" s="103">
        <f t="shared" si="21"/>
        <v>0.009</v>
      </c>
      <c r="BJ38" s="103">
        <f t="shared" si="21"/>
        <v>0.009</v>
      </c>
      <c r="BK38" s="103">
        <f t="shared" si="21"/>
        <v>0.009</v>
      </c>
      <c r="BL38" s="103">
        <f t="shared" si="21"/>
        <v>0.009</v>
      </c>
      <c r="BM38" s="103">
        <f t="shared" si="21"/>
        <v>0.009</v>
      </c>
      <c r="BN38" s="103">
        <f t="shared" si="21"/>
        <v>0.009</v>
      </c>
      <c r="BO38" s="103">
        <f t="shared" si="21"/>
        <v>0.009</v>
      </c>
      <c r="BP38" s="103">
        <f t="shared" si="21"/>
        <v>0.009</v>
      </c>
      <c r="BQ38" s="103">
        <f t="shared" si="21"/>
        <v>0.009</v>
      </c>
      <c r="BR38" s="103">
        <f t="shared" si="21"/>
        <v>0.009</v>
      </c>
      <c r="BS38" s="103">
        <f t="shared" si="21"/>
        <v>0.009</v>
      </c>
      <c r="BT38" s="103">
        <f t="shared" si="21"/>
        <v>0.009</v>
      </c>
      <c r="BU38" s="103">
        <f t="shared" si="21"/>
        <v>0.009</v>
      </c>
      <c r="BV38" s="103">
        <f t="shared" si="21"/>
        <v>0.009</v>
      </c>
    </row>
    <row r="39" ht="15.75" customHeight="1">
      <c r="A39" s="82" t="s">
        <v>100</v>
      </c>
      <c r="B39" s="93"/>
      <c r="C39" s="76">
        <f t="shared" ref="C39:AD39" si="22">IFERROR(C40/C37," ")</f>
        <v>-1016</v>
      </c>
      <c r="D39" s="76">
        <f t="shared" si="22"/>
        <v>-1522.5</v>
      </c>
      <c r="E39" s="76">
        <f t="shared" si="22"/>
        <v>-2000</v>
      </c>
      <c r="F39" s="76">
        <f t="shared" si="22"/>
        <v>-2607</v>
      </c>
      <c r="G39" s="76">
        <f t="shared" si="22"/>
        <v>-1299</v>
      </c>
      <c r="H39" s="76">
        <f t="shared" si="22"/>
        <v>-1299</v>
      </c>
      <c r="I39" s="76">
        <f t="shared" si="22"/>
        <v>-1953</v>
      </c>
      <c r="J39" s="76">
        <f t="shared" si="22"/>
        <v>-1672.8</v>
      </c>
      <c r="K39" s="76">
        <f t="shared" si="22"/>
        <v>-1706.6</v>
      </c>
      <c r="L39" s="76">
        <f t="shared" si="22"/>
        <v>-1765</v>
      </c>
      <c r="M39" s="76">
        <f t="shared" si="22"/>
        <v>-1714.8</v>
      </c>
      <c r="N39" s="76">
        <f t="shared" si="22"/>
        <v>-1728.8</v>
      </c>
      <c r="O39" s="76">
        <f t="shared" si="22"/>
        <v>-1736.2</v>
      </c>
      <c r="P39" s="76">
        <f t="shared" si="22"/>
        <v>-1726.6</v>
      </c>
      <c r="Q39" s="76">
        <f t="shared" si="22"/>
        <v>-1730.5</v>
      </c>
      <c r="R39" s="76">
        <f t="shared" si="22"/>
        <v>-587.5</v>
      </c>
      <c r="S39" s="76">
        <f t="shared" si="22"/>
        <v>-1729</v>
      </c>
      <c r="T39" s="76">
        <f t="shared" si="22"/>
        <v>-1729.857143</v>
      </c>
      <c r="U39" s="76">
        <f t="shared" si="22"/>
        <v>-1740.54799</v>
      </c>
      <c r="V39" s="76">
        <f t="shared" si="22"/>
        <v>-2364.614297</v>
      </c>
      <c r="W39" s="76">
        <f t="shared" si="22"/>
        <v>-1708.718145</v>
      </c>
      <c r="X39" s="76">
        <f t="shared" si="22"/>
        <v>-1851.16259</v>
      </c>
      <c r="Y39" s="76">
        <f t="shared" si="22"/>
        <v>-2532.577218</v>
      </c>
      <c r="Z39" s="76">
        <f t="shared" si="22"/>
        <v>-4701.865827</v>
      </c>
      <c r="AA39" s="76">
        <f t="shared" si="22"/>
        <v>-19092.46331</v>
      </c>
      <c r="AB39" s="76">
        <f t="shared" si="22"/>
        <v>-3609.077218</v>
      </c>
      <c r="AC39" s="76">
        <f t="shared" si="22"/>
        <v>-3824.222222</v>
      </c>
      <c r="AD39" s="76">
        <f t="shared" si="22"/>
        <v>-3247.916667</v>
      </c>
      <c r="AE39" s="76">
        <f t="shared" ref="AE39:BV39" si="23">IFERROR(SUM(AB40:AD40)/SUM(AB37:AD37),0)</f>
        <v>-3520.276419</v>
      </c>
      <c r="AF39" s="76">
        <f t="shared" si="23"/>
        <v>-3504.003595</v>
      </c>
      <c r="AG39" s="76">
        <f t="shared" si="23"/>
        <v>-3416.911063</v>
      </c>
      <c r="AH39" s="76">
        <f t="shared" si="23"/>
        <v>-3489.229091</v>
      </c>
      <c r="AI39" s="76">
        <f t="shared" si="23"/>
        <v>-3473.638648</v>
      </c>
      <c r="AJ39" s="76">
        <f t="shared" si="23"/>
        <v>-3459.393762</v>
      </c>
      <c r="AK39" s="76">
        <f t="shared" si="23"/>
        <v>-3474.951905</v>
      </c>
      <c r="AL39" s="76">
        <f t="shared" si="23"/>
        <v>-3469.33855</v>
      </c>
      <c r="AM39" s="76">
        <f t="shared" si="23"/>
        <v>-3467.958022</v>
      </c>
      <c r="AN39" s="76">
        <f t="shared" si="23"/>
        <v>-3470.704985</v>
      </c>
      <c r="AO39" s="76">
        <f t="shared" si="23"/>
        <v>-3469.342645</v>
      </c>
      <c r="AP39" s="76">
        <f t="shared" si="23"/>
        <v>-3469.343958</v>
      </c>
      <c r="AQ39" s="76">
        <f t="shared" si="23"/>
        <v>-3469.788259</v>
      </c>
      <c r="AR39" s="76">
        <f t="shared" si="23"/>
        <v>-3469.494587</v>
      </c>
      <c r="AS39" s="76">
        <f t="shared" si="23"/>
        <v>-3469.543252</v>
      </c>
      <c r="AT39" s="76">
        <f t="shared" si="23"/>
        <v>-3469.607016</v>
      </c>
      <c r="AU39" s="76">
        <f t="shared" si="23"/>
        <v>-3469.549057</v>
      </c>
      <c r="AV39" s="76">
        <f t="shared" si="23"/>
        <v>-3469.566483</v>
      </c>
      <c r="AW39" s="76">
        <f t="shared" si="23"/>
        <v>-3469.573911</v>
      </c>
      <c r="AX39" s="76">
        <f t="shared" si="23"/>
        <v>-3469.563325</v>
      </c>
      <c r="AY39" s="94">
        <f t="shared" si="23"/>
        <v>-3469.567885</v>
      </c>
      <c r="AZ39" s="94">
        <f t="shared" si="23"/>
        <v>-3469.568332</v>
      </c>
      <c r="BA39" s="94">
        <f t="shared" si="23"/>
        <v>-3469.566548</v>
      </c>
      <c r="BB39" s="94">
        <f t="shared" si="23"/>
        <v>-3469.567579</v>
      </c>
      <c r="BC39" s="94">
        <f t="shared" si="23"/>
        <v>-3469.567482</v>
      </c>
      <c r="BD39" s="94">
        <f t="shared" si="23"/>
        <v>-3469.567209</v>
      </c>
      <c r="BE39" s="94">
        <f t="shared" si="23"/>
        <v>-3469.567421</v>
      </c>
      <c r="BF39" s="94">
        <f t="shared" si="23"/>
        <v>-3469.56737</v>
      </c>
      <c r="BG39" s="94">
        <f t="shared" si="23"/>
        <v>-3469.567335</v>
      </c>
      <c r="BH39" s="94">
        <f t="shared" si="23"/>
        <v>-3469.567375</v>
      </c>
      <c r="BI39" s="94">
        <f t="shared" si="23"/>
        <v>-3469.56736</v>
      </c>
      <c r="BJ39" s="94">
        <f t="shared" si="23"/>
        <v>-3469.567357</v>
      </c>
      <c r="BK39" s="94">
        <f t="shared" si="23"/>
        <v>-3469.567364</v>
      </c>
      <c r="BL39" s="94">
        <f t="shared" si="23"/>
        <v>-3469.56736</v>
      </c>
      <c r="BM39" s="94">
        <f t="shared" si="23"/>
        <v>-3469.56736</v>
      </c>
      <c r="BN39" s="94">
        <f t="shared" si="23"/>
        <v>-3469.567361</v>
      </c>
      <c r="BO39" s="94">
        <f t="shared" si="23"/>
        <v>-3469.567361</v>
      </c>
      <c r="BP39" s="94">
        <f t="shared" si="23"/>
        <v>-3469.567361</v>
      </c>
      <c r="BQ39" s="94">
        <f t="shared" si="23"/>
        <v>-3469.567361</v>
      </c>
      <c r="BR39" s="94">
        <f t="shared" si="23"/>
        <v>-3469.567361</v>
      </c>
      <c r="BS39" s="94">
        <f t="shared" si="23"/>
        <v>-3469.567361</v>
      </c>
      <c r="BT39" s="94">
        <f t="shared" si="23"/>
        <v>-3469.567361</v>
      </c>
      <c r="BU39" s="94">
        <f t="shared" si="23"/>
        <v>-3469.567361</v>
      </c>
      <c r="BV39" s="94">
        <f t="shared" si="23"/>
        <v>-3469.567361</v>
      </c>
    </row>
    <row r="40" ht="15.75" customHeight="1">
      <c r="A40" s="82" t="s">
        <v>114</v>
      </c>
      <c r="B40" s="95"/>
      <c r="C40" s="90">
        <f>SUMIFS(MRR_Export_Churned_MRR,MRR_Export_Months,"&gt;="&amp;C$1,MRR_Export_Months,"&lt;"&amp;D$1)</f>
        <v>-1016</v>
      </c>
      <c r="D40" s="90">
        <f>SUMIFS(MRR_Export_Churned_MRR,MRR_Export_Months,"&gt;="&amp;D$1,MRR_Export_Months,"&lt;"&amp;E$1)</f>
        <v>-3045</v>
      </c>
      <c r="E40" s="90">
        <f>SUMIFS(MRR_Export_Churned_MRR,MRR_Export_Months,"&gt;="&amp;E$1,MRR_Export_Months,"&lt;"&amp;F$1)</f>
        <v>-4000</v>
      </c>
      <c r="F40" s="90">
        <f>SUMIFS(MRR_Export_Churned_MRR,MRR_Export_Months,"&gt;="&amp;F$1,MRR_Export_Months,"&lt;"&amp;G$1)</f>
        <v>-7821</v>
      </c>
      <c r="G40" s="90">
        <f>SUMIFS(MRR_Export_Churned_MRR,MRR_Export_Months,"&gt;="&amp;G$1,MRR_Export_Months,"&lt;"&amp;H$1)</f>
        <v>-1299</v>
      </c>
      <c r="H40" s="90">
        <f>SUMIFS(MRR_Export_Churned_MRR,MRR_Export_Months,"&gt;="&amp;H$1,MRR_Export_Months,"&lt;"&amp;I$1)</f>
        <v>-2598</v>
      </c>
      <c r="I40" s="90">
        <f>SUMIFS(MRR_Export_Churned_MRR,MRR_Export_Months,"&gt;="&amp;I$1,MRR_Export_Months,"&lt;"&amp;J$1)</f>
        <v>-7812</v>
      </c>
      <c r="J40" s="90">
        <f>SUMIFS(MRR_Export_Churned_MRR,MRR_Export_Months,"&gt;="&amp;J$1,MRR_Export_Months,"&lt;"&amp;K$1)</f>
        <v>-8364</v>
      </c>
      <c r="K40" s="90">
        <f>SUMIFS(MRR_Export_Churned_MRR,MRR_Export_Months,"&gt;="&amp;K$1,MRR_Export_Months,"&lt;"&amp;L$1)</f>
        <v>-8533</v>
      </c>
      <c r="L40" s="90">
        <f>SUMIFS(MRR_Export_Churned_MRR,MRR_Export_Months,"&gt;="&amp;L$1,MRR_Export_Months,"&lt;"&amp;M$1)</f>
        <v>-8825</v>
      </c>
      <c r="M40" s="90">
        <f>SUMIFS(MRR_Export_Churned_MRR,MRR_Export_Months,"&gt;="&amp;M$1,MRR_Export_Months,"&lt;"&amp;N$1)</f>
        <v>-8574</v>
      </c>
      <c r="N40" s="90">
        <f>SUMIFS(MRR_Export_Churned_MRR,MRR_Export_Months,"&gt;="&amp;N$1,MRR_Export_Months,"&lt;"&amp;O$1)</f>
        <v>-8644</v>
      </c>
      <c r="O40" s="90">
        <f>SUMIFS(MRR_Export_Churned_MRR,MRR_Export_Months,"&gt;="&amp;O$1,MRR_Export_Months,"&lt;"&amp;P$1)</f>
        <v>-8681</v>
      </c>
      <c r="P40" s="90">
        <f>SUMIFS(MRR_Export_Churned_MRR,MRR_Export_Months,"&gt;="&amp;P$1,MRR_Export_Months,"&lt;"&amp;Q$1)</f>
        <v>-8633</v>
      </c>
      <c r="Q40" s="90">
        <f>SUMIFS(MRR_Export_Churned_MRR,MRR_Export_Months,"&gt;="&amp;Q$1,MRR_Export_Months,"&lt;"&amp;R$1)</f>
        <v>-10383</v>
      </c>
      <c r="R40" s="90">
        <f>SUMIFS(MRR_Export_Churned_MRR,MRR_Export_Months,"&gt;="&amp;R$1,MRR_Export_Months,"&lt;"&amp;S$1)</f>
        <v>-2350</v>
      </c>
      <c r="S40" s="90">
        <f>SUMIFS(MRR_Export_Churned_MRR,MRR_Export_Months,"&gt;="&amp;S$1,MRR_Export_Months,"&lt;"&amp;T$1)</f>
        <v>-10374</v>
      </c>
      <c r="T40" s="90">
        <f>SUMIFS(MRR_Export_Churned_MRR,MRR_Export_Months,"&gt;="&amp;T$1,MRR_Export_Months,"&lt;"&amp;U$1)</f>
        <v>-12109</v>
      </c>
      <c r="U40" s="90">
        <f>SUMIFS(MRR_Export_Churned_MRR,MRR_Export_Months,"&gt;="&amp;U$1,MRR_Export_Months,"&lt;"&amp;V$1)</f>
        <v>-15664.93191</v>
      </c>
      <c r="V40" s="90">
        <f>SUMIFS(MRR_Export_Churned_MRR,MRR_Export_Months,"&gt;="&amp;V$1,MRR_Export_Months,"&lt;"&amp;W$1)</f>
        <v>-14187.68578</v>
      </c>
      <c r="W40" s="90">
        <f>SUMIFS(MRR_Export_Churned_MRR,MRR_Export_Months,"&gt;="&amp;W$1,MRR_Export_Months,"&lt;"&amp;X$1)</f>
        <v>-15378.46331</v>
      </c>
      <c r="X40" s="90">
        <f>SUMIFS(MRR_Export_Churned_MRR,MRR_Export_Months,"&gt;="&amp;X$1,MRR_Export_Months,"&lt;"&amp;Y$1)</f>
        <v>-16660.46331</v>
      </c>
      <c r="Y40" s="90">
        <f>SUMIFS(MRR_Export_Churned_MRR,MRR_Export_Months,"&gt;="&amp;Y$1,MRR_Export_Months,"&lt;"&amp;Z$1)</f>
        <v>-15195.46331</v>
      </c>
      <c r="Z40" s="90">
        <f>SUMIFS(MRR_Export_Churned_MRR,MRR_Export_Months,"&gt;="&amp;Z$1,MRR_Export_Months,"&lt;"&amp;AA$1)</f>
        <v>-18807.46331</v>
      </c>
      <c r="AA40" s="90">
        <f>SUMIFS(MRR_Export_Churned_MRR,MRR_Export_Months,"&gt;="&amp;AA$1,MRR_Export_Months,"&lt;"&amp;AB$1)</f>
        <v>-19092.46331</v>
      </c>
      <c r="AB40" s="90">
        <f>SUMIFS(MRR_Export_Churned_MRR,MRR_Export_Months,"&gt;="&amp;AB$1,MRR_Export_Months,"&lt;"&amp;AC$1)</f>
        <v>-21654.46331</v>
      </c>
      <c r="AC40" s="90">
        <f>SUMIFS(MRR_Export_Churned_MRR,MRR_Export_Months,"&gt;="&amp;AC$1,MRR_Export_Months,"&lt;"&amp;AD$1)</f>
        <v>-34418</v>
      </c>
      <c r="AD40" s="90">
        <f>SUMIFS(MRR_Export_Churned_MRR,MRR_Export_Months,"&gt;="&amp;AD$1,MRR_Export_Months,"&lt;"&amp;AE$1)</f>
        <v>-38975</v>
      </c>
      <c r="AE40" s="96">
        <f t="shared" ref="AE40:BV40" si="24">AE37*AE39</f>
        <v>-41335.08571</v>
      </c>
      <c r="AF40" s="96">
        <f t="shared" si="24"/>
        <v>-32758.47409</v>
      </c>
      <c r="AG40" s="96">
        <f t="shared" si="24"/>
        <v>-23750.95027</v>
      </c>
      <c r="AH40" s="96">
        <f t="shared" si="24"/>
        <v>-24716.09183</v>
      </c>
      <c r="AI40" s="96">
        <f t="shared" si="24"/>
        <v>-20473.17917</v>
      </c>
      <c r="AJ40" s="96">
        <f t="shared" si="24"/>
        <v>-20766.14044</v>
      </c>
      <c r="AK40" s="96">
        <f t="shared" si="24"/>
        <v>-21266.01425</v>
      </c>
      <c r="AL40" s="96">
        <f t="shared" si="24"/>
        <v>-21633.83357</v>
      </c>
      <c r="AM40" s="96">
        <f t="shared" si="24"/>
        <v>-22054.8304</v>
      </c>
      <c r="AN40" s="96">
        <f t="shared" si="24"/>
        <v>-22498.37619</v>
      </c>
      <c r="AO40" s="96">
        <f t="shared" si="24"/>
        <v>-22942.84486</v>
      </c>
      <c r="AP40" s="96">
        <f t="shared" si="24"/>
        <v>-23392.07387</v>
      </c>
      <c r="AQ40" s="96">
        <f t="shared" si="24"/>
        <v>-23871.53202</v>
      </c>
      <c r="AR40" s="96">
        <f t="shared" si="24"/>
        <v>-24372.87138</v>
      </c>
      <c r="AS40" s="96">
        <f t="shared" si="24"/>
        <v>-24872.04978</v>
      </c>
      <c r="AT40" s="96">
        <f t="shared" si="24"/>
        <v>-25398.08944</v>
      </c>
      <c r="AU40" s="96">
        <f t="shared" si="24"/>
        <v>-25918.50878</v>
      </c>
      <c r="AV40" s="96">
        <f t="shared" si="24"/>
        <v>-26466.02367</v>
      </c>
      <c r="AW40" s="96">
        <f t="shared" si="24"/>
        <v>-27039.7659</v>
      </c>
      <c r="AX40" s="96">
        <f t="shared" si="24"/>
        <v>-27608.20407</v>
      </c>
      <c r="AY40" s="97">
        <f t="shared" si="24"/>
        <v>-28202.87118</v>
      </c>
      <c r="AZ40" s="97">
        <f t="shared" si="24"/>
        <v>-28760.92794</v>
      </c>
      <c r="BA40" s="97">
        <f t="shared" si="24"/>
        <v>-29345.1696</v>
      </c>
      <c r="BB40" s="97">
        <f t="shared" si="24"/>
        <v>-29924.17664</v>
      </c>
      <c r="BC40" s="97">
        <f t="shared" si="24"/>
        <v>-30497.96311</v>
      </c>
      <c r="BD40" s="97">
        <f t="shared" si="24"/>
        <v>-31066.5839</v>
      </c>
      <c r="BE40" s="97">
        <f t="shared" si="24"/>
        <v>-31661.31752</v>
      </c>
      <c r="BF40" s="97">
        <f t="shared" si="24"/>
        <v>-32250.69618</v>
      </c>
      <c r="BG40" s="97">
        <f t="shared" si="24"/>
        <v>-32865.99666</v>
      </c>
      <c r="BH40" s="97">
        <f t="shared" si="24"/>
        <v>-33475.76015</v>
      </c>
      <c r="BI40" s="97">
        <f t="shared" si="24"/>
        <v>-34080.03525</v>
      </c>
      <c r="BJ40" s="97">
        <f t="shared" si="24"/>
        <v>-34710.09808</v>
      </c>
      <c r="BK40" s="97">
        <f t="shared" si="24"/>
        <v>-35334.49046</v>
      </c>
      <c r="BL40" s="97">
        <f t="shared" si="24"/>
        <v>-35953.2632</v>
      </c>
      <c r="BM40" s="97">
        <f t="shared" si="24"/>
        <v>-36597.69312</v>
      </c>
      <c r="BN40" s="97">
        <f t="shared" si="24"/>
        <v>-37236.32319</v>
      </c>
      <c r="BO40" s="97">
        <f t="shared" si="24"/>
        <v>-37900.43167</v>
      </c>
      <c r="BP40" s="97">
        <f t="shared" si="24"/>
        <v>-38558.56319</v>
      </c>
      <c r="BQ40" s="97">
        <f t="shared" si="24"/>
        <v>-39210.77152</v>
      </c>
      <c r="BR40" s="97">
        <f t="shared" si="24"/>
        <v>-39888.33608</v>
      </c>
      <c r="BS40" s="97">
        <f t="shared" si="24"/>
        <v>-40559.80257</v>
      </c>
      <c r="BT40" s="97">
        <f t="shared" si="24"/>
        <v>-41256.45195</v>
      </c>
      <c r="BU40" s="97">
        <f t="shared" si="24"/>
        <v>-41946.8315</v>
      </c>
      <c r="BV40" s="97">
        <f t="shared" si="24"/>
        <v>-42662.22373</v>
      </c>
    </row>
    <row r="41" ht="15.75" customHeight="1">
      <c r="A41" s="87"/>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row>
    <row r="42" ht="15.75" customHeight="1">
      <c r="A42" s="87" t="s">
        <v>102</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row>
    <row r="43" ht="15.75" hidden="1" customHeight="1">
      <c r="A43" s="82" t="s">
        <v>115</v>
      </c>
      <c r="B43" s="107"/>
      <c r="C43" s="108">
        <v>0.0</v>
      </c>
      <c r="D43" s="108">
        <v>0.0</v>
      </c>
      <c r="E43" s="108">
        <v>0.0</v>
      </c>
      <c r="F43" s="108">
        <v>0.0</v>
      </c>
      <c r="G43" s="108">
        <v>0.0</v>
      </c>
      <c r="H43" s="108">
        <v>0.0</v>
      </c>
      <c r="I43" s="108">
        <v>0.0</v>
      </c>
      <c r="J43" s="108">
        <v>0.0</v>
      </c>
      <c r="K43" s="108">
        <v>0.0</v>
      </c>
      <c r="L43" s="108">
        <v>0.0</v>
      </c>
      <c r="M43" s="108">
        <v>0.0</v>
      </c>
      <c r="N43" s="108">
        <v>0.0</v>
      </c>
      <c r="O43" s="108">
        <v>0.0</v>
      </c>
      <c r="P43" s="108">
        <v>0.0</v>
      </c>
      <c r="Q43" s="108">
        <v>0.0</v>
      </c>
      <c r="R43" s="108">
        <v>0.0</v>
      </c>
      <c r="S43" s="108">
        <v>0.0</v>
      </c>
      <c r="T43" s="108">
        <v>0.0</v>
      </c>
      <c r="U43" s="108">
        <v>0.0</v>
      </c>
      <c r="V43" s="108">
        <v>0.0</v>
      </c>
      <c r="W43" s="108">
        <v>0.0</v>
      </c>
      <c r="X43" s="108">
        <v>0.0</v>
      </c>
      <c r="Y43" s="108">
        <v>0.0</v>
      </c>
      <c r="Z43" s="108">
        <v>0.0</v>
      </c>
      <c r="AA43" s="108">
        <v>0.0</v>
      </c>
      <c r="AB43" s="108">
        <v>0.0</v>
      </c>
      <c r="AC43" s="108">
        <v>0.0</v>
      </c>
      <c r="AD43" s="108">
        <v>0.0</v>
      </c>
      <c r="AE43" s="104">
        <f t="shared" ref="AE43:BV43" si="25">S43-S45+S12</f>
        <v>0</v>
      </c>
      <c r="AF43" s="104">
        <f t="shared" si="25"/>
        <v>0</v>
      </c>
      <c r="AG43" s="104">
        <f t="shared" si="25"/>
        <v>0</v>
      </c>
      <c r="AH43" s="104">
        <f t="shared" si="25"/>
        <v>0</v>
      </c>
      <c r="AI43" s="104">
        <f t="shared" si="25"/>
        <v>0</v>
      </c>
      <c r="AJ43" s="104">
        <f t="shared" si="25"/>
        <v>0</v>
      </c>
      <c r="AK43" s="104">
        <f t="shared" si="25"/>
        <v>0</v>
      </c>
      <c r="AL43" s="104">
        <f t="shared" si="25"/>
        <v>0</v>
      </c>
      <c r="AM43" s="104">
        <f t="shared" si="25"/>
        <v>0</v>
      </c>
      <c r="AN43" s="104">
        <f t="shared" si="25"/>
        <v>0</v>
      </c>
      <c r="AO43" s="104">
        <f t="shared" si="25"/>
        <v>0</v>
      </c>
      <c r="AP43" s="104">
        <f t="shared" si="25"/>
        <v>0</v>
      </c>
      <c r="AQ43" s="104">
        <f t="shared" si="25"/>
        <v>0</v>
      </c>
      <c r="AR43" s="104">
        <f t="shared" si="25"/>
        <v>0</v>
      </c>
      <c r="AS43" s="104">
        <f t="shared" si="25"/>
        <v>0</v>
      </c>
      <c r="AT43" s="104">
        <f t="shared" si="25"/>
        <v>0</v>
      </c>
      <c r="AU43" s="104">
        <f t="shared" si="25"/>
        <v>0</v>
      </c>
      <c r="AV43" s="104">
        <f t="shared" si="25"/>
        <v>0</v>
      </c>
      <c r="AW43" s="104">
        <f t="shared" si="25"/>
        <v>0</v>
      </c>
      <c r="AX43" s="104">
        <f t="shared" si="25"/>
        <v>0</v>
      </c>
      <c r="AY43" s="105">
        <f t="shared" si="25"/>
        <v>0</v>
      </c>
      <c r="AZ43" s="105">
        <f t="shared" si="25"/>
        <v>0</v>
      </c>
      <c r="BA43" s="105">
        <f t="shared" si="25"/>
        <v>0</v>
      </c>
      <c r="BB43" s="105">
        <f t="shared" si="25"/>
        <v>0</v>
      </c>
      <c r="BC43" s="105">
        <f t="shared" si="25"/>
        <v>0</v>
      </c>
      <c r="BD43" s="105">
        <f t="shared" si="25"/>
        <v>0</v>
      </c>
      <c r="BE43" s="105">
        <f t="shared" si="25"/>
        <v>0</v>
      </c>
      <c r="BF43" s="105">
        <f t="shared" si="25"/>
        <v>0</v>
      </c>
      <c r="BG43" s="105">
        <f t="shared" si="25"/>
        <v>0</v>
      </c>
      <c r="BH43" s="105">
        <f t="shared" si="25"/>
        <v>0</v>
      </c>
      <c r="BI43" s="105">
        <f t="shared" si="25"/>
        <v>0</v>
      </c>
      <c r="BJ43" s="105">
        <f t="shared" si="25"/>
        <v>0</v>
      </c>
      <c r="BK43" s="105">
        <f t="shared" si="25"/>
        <v>0</v>
      </c>
      <c r="BL43" s="105">
        <f t="shared" si="25"/>
        <v>0</v>
      </c>
      <c r="BM43" s="105">
        <f t="shared" si="25"/>
        <v>0</v>
      </c>
      <c r="BN43" s="105">
        <f t="shared" si="25"/>
        <v>0</v>
      </c>
      <c r="BO43" s="105">
        <f t="shared" si="25"/>
        <v>0</v>
      </c>
      <c r="BP43" s="105">
        <f t="shared" si="25"/>
        <v>0</v>
      </c>
      <c r="BQ43" s="105">
        <f t="shared" si="25"/>
        <v>0</v>
      </c>
      <c r="BR43" s="105">
        <f t="shared" si="25"/>
        <v>0</v>
      </c>
      <c r="BS43" s="105">
        <f t="shared" si="25"/>
        <v>0</v>
      </c>
      <c r="BT43" s="105">
        <f t="shared" si="25"/>
        <v>0</v>
      </c>
      <c r="BU43" s="105">
        <f t="shared" si="25"/>
        <v>0</v>
      </c>
      <c r="BV43" s="105">
        <f t="shared" si="25"/>
        <v>0</v>
      </c>
    </row>
    <row r="44" ht="15.75" hidden="1" customHeight="1">
      <c r="A44" s="82" t="s">
        <v>116</v>
      </c>
      <c r="B44" s="1"/>
      <c r="C44" s="109">
        <f t="shared" ref="C44:AD44" si="26">IFERROR(C45/C43,0)</f>
        <v>0</v>
      </c>
      <c r="D44" s="109">
        <f t="shared" si="26"/>
        <v>0</v>
      </c>
      <c r="E44" s="109">
        <f t="shared" si="26"/>
        <v>0</v>
      </c>
      <c r="F44" s="109">
        <f t="shared" si="26"/>
        <v>0</v>
      </c>
      <c r="G44" s="109">
        <f t="shared" si="26"/>
        <v>0</v>
      </c>
      <c r="H44" s="109">
        <f t="shared" si="26"/>
        <v>0</v>
      </c>
      <c r="I44" s="109">
        <f t="shared" si="26"/>
        <v>0</v>
      </c>
      <c r="J44" s="109">
        <f t="shared" si="26"/>
        <v>0</v>
      </c>
      <c r="K44" s="109">
        <f t="shared" si="26"/>
        <v>0</v>
      </c>
      <c r="L44" s="109">
        <f t="shared" si="26"/>
        <v>0</v>
      </c>
      <c r="M44" s="109">
        <f t="shared" si="26"/>
        <v>0</v>
      </c>
      <c r="N44" s="109">
        <f t="shared" si="26"/>
        <v>0</v>
      </c>
      <c r="O44" s="109">
        <f t="shared" si="26"/>
        <v>0</v>
      </c>
      <c r="P44" s="109">
        <f t="shared" si="26"/>
        <v>0</v>
      </c>
      <c r="Q44" s="109">
        <f t="shared" si="26"/>
        <v>0</v>
      </c>
      <c r="R44" s="109">
        <f t="shared" si="26"/>
        <v>0</v>
      </c>
      <c r="S44" s="109">
        <f t="shared" si="26"/>
        <v>0</v>
      </c>
      <c r="T44" s="109">
        <f t="shared" si="26"/>
        <v>0</v>
      </c>
      <c r="U44" s="109">
        <f t="shared" si="26"/>
        <v>0</v>
      </c>
      <c r="V44" s="109">
        <f t="shared" si="26"/>
        <v>0</v>
      </c>
      <c r="W44" s="109">
        <f t="shared" si="26"/>
        <v>0</v>
      </c>
      <c r="X44" s="109">
        <f t="shared" si="26"/>
        <v>0</v>
      </c>
      <c r="Y44" s="109">
        <f t="shared" si="26"/>
        <v>0</v>
      </c>
      <c r="Z44" s="109">
        <f t="shared" si="26"/>
        <v>0</v>
      </c>
      <c r="AA44" s="109">
        <f t="shared" si="26"/>
        <v>0</v>
      </c>
      <c r="AB44" s="109">
        <f t="shared" si="26"/>
        <v>0</v>
      </c>
      <c r="AC44" s="109">
        <f t="shared" si="26"/>
        <v>0</v>
      </c>
      <c r="AD44" s="109">
        <f t="shared" si="26"/>
        <v>0</v>
      </c>
      <c r="AE44" s="102">
        <f t="shared" ref="AE44:BV44" si="27">IFERROR(MEDIAN(AB44:AD44),0)</f>
        <v>0</v>
      </c>
      <c r="AF44" s="102">
        <f t="shared" si="27"/>
        <v>0</v>
      </c>
      <c r="AG44" s="102">
        <f t="shared" si="27"/>
        <v>0</v>
      </c>
      <c r="AH44" s="102">
        <f t="shared" si="27"/>
        <v>0</v>
      </c>
      <c r="AI44" s="102">
        <f t="shared" si="27"/>
        <v>0</v>
      </c>
      <c r="AJ44" s="102">
        <f t="shared" si="27"/>
        <v>0</v>
      </c>
      <c r="AK44" s="102">
        <f t="shared" si="27"/>
        <v>0</v>
      </c>
      <c r="AL44" s="102">
        <f t="shared" si="27"/>
        <v>0</v>
      </c>
      <c r="AM44" s="102">
        <f t="shared" si="27"/>
        <v>0</v>
      </c>
      <c r="AN44" s="102">
        <f t="shared" si="27"/>
        <v>0</v>
      </c>
      <c r="AO44" s="102">
        <f t="shared" si="27"/>
        <v>0</v>
      </c>
      <c r="AP44" s="102">
        <f t="shared" si="27"/>
        <v>0</v>
      </c>
      <c r="AQ44" s="102">
        <f t="shared" si="27"/>
        <v>0</v>
      </c>
      <c r="AR44" s="102">
        <f t="shared" si="27"/>
        <v>0</v>
      </c>
      <c r="AS44" s="102">
        <f t="shared" si="27"/>
        <v>0</v>
      </c>
      <c r="AT44" s="102">
        <f t="shared" si="27"/>
        <v>0</v>
      </c>
      <c r="AU44" s="102">
        <f t="shared" si="27"/>
        <v>0</v>
      </c>
      <c r="AV44" s="102">
        <f t="shared" si="27"/>
        <v>0</v>
      </c>
      <c r="AW44" s="102">
        <f t="shared" si="27"/>
        <v>0</v>
      </c>
      <c r="AX44" s="102">
        <f t="shared" si="27"/>
        <v>0</v>
      </c>
      <c r="AY44" s="103">
        <f t="shared" si="27"/>
        <v>0</v>
      </c>
      <c r="AZ44" s="103">
        <f t="shared" si="27"/>
        <v>0</v>
      </c>
      <c r="BA44" s="103">
        <f t="shared" si="27"/>
        <v>0</v>
      </c>
      <c r="BB44" s="103">
        <f t="shared" si="27"/>
        <v>0</v>
      </c>
      <c r="BC44" s="103">
        <f t="shared" si="27"/>
        <v>0</v>
      </c>
      <c r="BD44" s="103">
        <f t="shared" si="27"/>
        <v>0</v>
      </c>
      <c r="BE44" s="103">
        <f t="shared" si="27"/>
        <v>0</v>
      </c>
      <c r="BF44" s="103">
        <f t="shared" si="27"/>
        <v>0</v>
      </c>
      <c r="BG44" s="103">
        <f t="shared" si="27"/>
        <v>0</v>
      </c>
      <c r="BH44" s="103">
        <f t="shared" si="27"/>
        <v>0</v>
      </c>
      <c r="BI44" s="103">
        <f t="shared" si="27"/>
        <v>0</v>
      </c>
      <c r="BJ44" s="103">
        <f t="shared" si="27"/>
        <v>0</v>
      </c>
      <c r="BK44" s="103">
        <f t="shared" si="27"/>
        <v>0</v>
      </c>
      <c r="BL44" s="103">
        <f t="shared" si="27"/>
        <v>0</v>
      </c>
      <c r="BM44" s="103">
        <f t="shared" si="27"/>
        <v>0</v>
      </c>
      <c r="BN44" s="103">
        <f t="shared" si="27"/>
        <v>0</v>
      </c>
      <c r="BO44" s="103">
        <f t="shared" si="27"/>
        <v>0</v>
      </c>
      <c r="BP44" s="103">
        <f t="shared" si="27"/>
        <v>0</v>
      </c>
      <c r="BQ44" s="103">
        <f t="shared" si="27"/>
        <v>0</v>
      </c>
      <c r="BR44" s="103">
        <f t="shared" si="27"/>
        <v>0</v>
      </c>
      <c r="BS44" s="103">
        <f t="shared" si="27"/>
        <v>0</v>
      </c>
      <c r="BT44" s="103">
        <f t="shared" si="27"/>
        <v>0</v>
      </c>
      <c r="BU44" s="103">
        <f t="shared" si="27"/>
        <v>0</v>
      </c>
      <c r="BV44" s="103">
        <f t="shared" si="27"/>
        <v>0</v>
      </c>
    </row>
    <row r="45" ht="15.75" customHeight="1">
      <c r="A45" s="82" t="s">
        <v>112</v>
      </c>
      <c r="B45" s="107"/>
      <c r="C45" s="96"/>
      <c r="D45" s="96"/>
      <c r="E45" s="96"/>
      <c r="F45" s="96"/>
      <c r="G45" s="96"/>
      <c r="H45" s="96"/>
      <c r="I45" s="96"/>
      <c r="J45" s="96"/>
      <c r="K45" s="96"/>
      <c r="L45" s="96"/>
      <c r="M45" s="96"/>
      <c r="N45" s="96"/>
      <c r="O45" s="96"/>
      <c r="P45" s="96"/>
      <c r="Q45" s="96"/>
      <c r="R45" s="96"/>
      <c r="S45" s="96"/>
      <c r="T45" s="96"/>
      <c r="U45" s="96"/>
      <c r="V45" s="96"/>
      <c r="W45" s="96"/>
      <c r="X45" s="96"/>
      <c r="Y45" s="96"/>
      <c r="Z45" s="96"/>
      <c r="AA45" s="96"/>
      <c r="AB45" s="96"/>
      <c r="AC45" s="96"/>
      <c r="AD45" s="96"/>
      <c r="AE45" s="96">
        <f t="shared" ref="AE45:BV45" si="28">AD$65*AE46</f>
        <v>0</v>
      </c>
      <c r="AF45" s="96">
        <f t="shared" si="28"/>
        <v>0</v>
      </c>
      <c r="AG45" s="96">
        <f t="shared" si="28"/>
        <v>0</v>
      </c>
      <c r="AH45" s="96">
        <f t="shared" si="28"/>
        <v>0</v>
      </c>
      <c r="AI45" s="96">
        <f t="shared" si="28"/>
        <v>0</v>
      </c>
      <c r="AJ45" s="96">
        <f t="shared" si="28"/>
        <v>0</v>
      </c>
      <c r="AK45" s="96">
        <f t="shared" si="28"/>
        <v>0</v>
      </c>
      <c r="AL45" s="96">
        <f t="shared" si="28"/>
        <v>0</v>
      </c>
      <c r="AM45" s="96">
        <f t="shared" si="28"/>
        <v>0</v>
      </c>
      <c r="AN45" s="96">
        <f t="shared" si="28"/>
        <v>0</v>
      </c>
      <c r="AO45" s="96">
        <f t="shared" si="28"/>
        <v>0</v>
      </c>
      <c r="AP45" s="96">
        <f t="shared" si="28"/>
        <v>0</v>
      </c>
      <c r="AQ45" s="96">
        <f t="shared" si="28"/>
        <v>0</v>
      </c>
      <c r="AR45" s="96">
        <f t="shared" si="28"/>
        <v>0</v>
      </c>
      <c r="AS45" s="96">
        <f t="shared" si="28"/>
        <v>0</v>
      </c>
      <c r="AT45" s="96">
        <f t="shared" si="28"/>
        <v>0</v>
      </c>
      <c r="AU45" s="96">
        <f t="shared" si="28"/>
        <v>0</v>
      </c>
      <c r="AV45" s="96">
        <f t="shared" si="28"/>
        <v>0</v>
      </c>
      <c r="AW45" s="96">
        <f t="shared" si="28"/>
        <v>0</v>
      </c>
      <c r="AX45" s="96">
        <f t="shared" si="28"/>
        <v>0</v>
      </c>
      <c r="AY45" s="97">
        <f t="shared" si="28"/>
        <v>0</v>
      </c>
      <c r="AZ45" s="97">
        <f t="shared" si="28"/>
        <v>0</v>
      </c>
      <c r="BA45" s="97">
        <f t="shared" si="28"/>
        <v>0</v>
      </c>
      <c r="BB45" s="97">
        <f t="shared" si="28"/>
        <v>0</v>
      </c>
      <c r="BC45" s="97">
        <f t="shared" si="28"/>
        <v>0</v>
      </c>
      <c r="BD45" s="97">
        <f t="shared" si="28"/>
        <v>0</v>
      </c>
      <c r="BE45" s="97">
        <f t="shared" si="28"/>
        <v>0</v>
      </c>
      <c r="BF45" s="97">
        <f t="shared" si="28"/>
        <v>0</v>
      </c>
      <c r="BG45" s="97">
        <f t="shared" si="28"/>
        <v>0</v>
      </c>
      <c r="BH45" s="97">
        <f t="shared" si="28"/>
        <v>0</v>
      </c>
      <c r="BI45" s="97">
        <f t="shared" si="28"/>
        <v>0</v>
      </c>
      <c r="BJ45" s="97">
        <f t="shared" si="28"/>
        <v>0</v>
      </c>
      <c r="BK45" s="97">
        <f t="shared" si="28"/>
        <v>0</v>
      </c>
      <c r="BL45" s="97">
        <f t="shared" si="28"/>
        <v>0</v>
      </c>
      <c r="BM45" s="97">
        <f t="shared" si="28"/>
        <v>0</v>
      </c>
      <c r="BN45" s="97">
        <f t="shared" si="28"/>
        <v>0</v>
      </c>
      <c r="BO45" s="97">
        <f t="shared" si="28"/>
        <v>0</v>
      </c>
      <c r="BP45" s="97">
        <f t="shared" si="28"/>
        <v>0</v>
      </c>
      <c r="BQ45" s="97">
        <f t="shared" si="28"/>
        <v>0</v>
      </c>
      <c r="BR45" s="97">
        <f t="shared" si="28"/>
        <v>0</v>
      </c>
      <c r="BS45" s="97">
        <f t="shared" si="28"/>
        <v>0</v>
      </c>
      <c r="BT45" s="97">
        <f t="shared" si="28"/>
        <v>0</v>
      </c>
      <c r="BU45" s="97">
        <f t="shared" si="28"/>
        <v>0</v>
      </c>
      <c r="BV45" s="97">
        <f t="shared" si="28"/>
        <v>0</v>
      </c>
    </row>
    <row r="46" ht="15.75" customHeight="1">
      <c r="A46" s="82" t="s">
        <v>117</v>
      </c>
      <c r="B46" s="1"/>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110">
        <f t="shared" ref="AE46:BV46" si="29">IFERROR(MEDIAN(AB46:AD46),0)</f>
        <v>0</v>
      </c>
      <c r="AF46" s="110">
        <f t="shared" si="29"/>
        <v>0</v>
      </c>
      <c r="AG46" s="110">
        <f t="shared" si="29"/>
        <v>0</v>
      </c>
      <c r="AH46" s="110">
        <f t="shared" si="29"/>
        <v>0</v>
      </c>
      <c r="AI46" s="110">
        <f t="shared" si="29"/>
        <v>0</v>
      </c>
      <c r="AJ46" s="110">
        <f t="shared" si="29"/>
        <v>0</v>
      </c>
      <c r="AK46" s="110">
        <f t="shared" si="29"/>
        <v>0</v>
      </c>
      <c r="AL46" s="110">
        <f t="shared" si="29"/>
        <v>0</v>
      </c>
      <c r="AM46" s="110">
        <f t="shared" si="29"/>
        <v>0</v>
      </c>
      <c r="AN46" s="110">
        <f t="shared" si="29"/>
        <v>0</v>
      </c>
      <c r="AO46" s="110">
        <f t="shared" si="29"/>
        <v>0</v>
      </c>
      <c r="AP46" s="110">
        <f t="shared" si="29"/>
        <v>0</v>
      </c>
      <c r="AQ46" s="110">
        <f t="shared" si="29"/>
        <v>0</v>
      </c>
      <c r="AR46" s="110">
        <f t="shared" si="29"/>
        <v>0</v>
      </c>
      <c r="AS46" s="110">
        <f t="shared" si="29"/>
        <v>0</v>
      </c>
      <c r="AT46" s="110">
        <f t="shared" si="29"/>
        <v>0</v>
      </c>
      <c r="AU46" s="110">
        <f t="shared" si="29"/>
        <v>0</v>
      </c>
      <c r="AV46" s="110">
        <f t="shared" si="29"/>
        <v>0</v>
      </c>
      <c r="AW46" s="110">
        <f t="shared" si="29"/>
        <v>0</v>
      </c>
      <c r="AX46" s="110">
        <f t="shared" si="29"/>
        <v>0</v>
      </c>
      <c r="AY46" s="111">
        <f t="shared" si="29"/>
        <v>0</v>
      </c>
      <c r="AZ46" s="111">
        <f t="shared" si="29"/>
        <v>0</v>
      </c>
      <c r="BA46" s="111">
        <f t="shared" si="29"/>
        <v>0</v>
      </c>
      <c r="BB46" s="111">
        <f t="shared" si="29"/>
        <v>0</v>
      </c>
      <c r="BC46" s="111">
        <f t="shared" si="29"/>
        <v>0</v>
      </c>
      <c r="BD46" s="111">
        <f t="shared" si="29"/>
        <v>0</v>
      </c>
      <c r="BE46" s="111">
        <f t="shared" si="29"/>
        <v>0</v>
      </c>
      <c r="BF46" s="111">
        <f t="shared" si="29"/>
        <v>0</v>
      </c>
      <c r="BG46" s="111">
        <f t="shared" si="29"/>
        <v>0</v>
      </c>
      <c r="BH46" s="111">
        <f t="shared" si="29"/>
        <v>0</v>
      </c>
      <c r="BI46" s="111">
        <f t="shared" si="29"/>
        <v>0</v>
      </c>
      <c r="BJ46" s="111">
        <f t="shared" si="29"/>
        <v>0</v>
      </c>
      <c r="BK46" s="111">
        <f t="shared" si="29"/>
        <v>0</v>
      </c>
      <c r="BL46" s="111">
        <f t="shared" si="29"/>
        <v>0</v>
      </c>
      <c r="BM46" s="111">
        <f t="shared" si="29"/>
        <v>0</v>
      </c>
      <c r="BN46" s="111">
        <f t="shared" si="29"/>
        <v>0</v>
      </c>
      <c r="BO46" s="111">
        <f t="shared" si="29"/>
        <v>0</v>
      </c>
      <c r="BP46" s="111">
        <f t="shared" si="29"/>
        <v>0</v>
      </c>
      <c r="BQ46" s="111">
        <f t="shared" si="29"/>
        <v>0</v>
      </c>
      <c r="BR46" s="111">
        <f t="shared" si="29"/>
        <v>0</v>
      </c>
      <c r="BS46" s="111">
        <f t="shared" si="29"/>
        <v>0</v>
      </c>
      <c r="BT46" s="111">
        <f t="shared" si="29"/>
        <v>0</v>
      </c>
      <c r="BU46" s="111">
        <f t="shared" si="29"/>
        <v>0</v>
      </c>
      <c r="BV46" s="111">
        <f t="shared" si="29"/>
        <v>0</v>
      </c>
    </row>
    <row r="47" ht="15.75" customHeight="1">
      <c r="A47" s="82" t="s">
        <v>100</v>
      </c>
      <c r="B47" s="1"/>
      <c r="C47" s="96"/>
      <c r="D47" s="96"/>
      <c r="E47" s="96"/>
      <c r="F47" s="96"/>
      <c r="G47" s="96"/>
      <c r="H47" s="96"/>
      <c r="I47" s="96"/>
      <c r="J47" s="96"/>
      <c r="K47" s="96"/>
      <c r="L47" s="96"/>
      <c r="M47" s="96"/>
      <c r="N47" s="96"/>
      <c r="O47" s="96"/>
      <c r="P47" s="96"/>
      <c r="Q47" s="96"/>
      <c r="R47" s="96"/>
      <c r="S47" s="96"/>
      <c r="T47" s="96"/>
      <c r="U47" s="96"/>
      <c r="V47" s="96"/>
      <c r="W47" s="96"/>
      <c r="X47" s="96"/>
      <c r="Y47" s="96"/>
      <c r="Z47" s="96"/>
      <c r="AA47" s="96"/>
      <c r="AB47" s="96"/>
      <c r="AC47" s="96"/>
      <c r="AD47" s="96"/>
      <c r="AE47" s="76">
        <f t="shared" ref="AE47:BV47" si="30">IFERROR(IF(AE46&gt;0,SUM(AB48:AD48)/SUM(AB45:AD45),0),0)</f>
        <v>0</v>
      </c>
      <c r="AF47" s="76">
        <f t="shared" si="30"/>
        <v>0</v>
      </c>
      <c r="AG47" s="76">
        <f t="shared" si="30"/>
        <v>0</v>
      </c>
      <c r="AH47" s="76">
        <f t="shared" si="30"/>
        <v>0</v>
      </c>
      <c r="AI47" s="76">
        <f t="shared" si="30"/>
        <v>0</v>
      </c>
      <c r="AJ47" s="76">
        <f t="shared" si="30"/>
        <v>0</v>
      </c>
      <c r="AK47" s="76">
        <f t="shared" si="30"/>
        <v>0</v>
      </c>
      <c r="AL47" s="76">
        <f t="shared" si="30"/>
        <v>0</v>
      </c>
      <c r="AM47" s="76">
        <f t="shared" si="30"/>
        <v>0</v>
      </c>
      <c r="AN47" s="76">
        <f t="shared" si="30"/>
        <v>0</v>
      </c>
      <c r="AO47" s="76">
        <f t="shared" si="30"/>
        <v>0</v>
      </c>
      <c r="AP47" s="76">
        <f t="shared" si="30"/>
        <v>0</v>
      </c>
      <c r="AQ47" s="76">
        <f t="shared" si="30"/>
        <v>0</v>
      </c>
      <c r="AR47" s="76">
        <f t="shared" si="30"/>
        <v>0</v>
      </c>
      <c r="AS47" s="76">
        <f t="shared" si="30"/>
        <v>0</v>
      </c>
      <c r="AT47" s="76">
        <f t="shared" si="30"/>
        <v>0</v>
      </c>
      <c r="AU47" s="76">
        <f t="shared" si="30"/>
        <v>0</v>
      </c>
      <c r="AV47" s="76">
        <f t="shared" si="30"/>
        <v>0</v>
      </c>
      <c r="AW47" s="76">
        <f t="shared" si="30"/>
        <v>0</v>
      </c>
      <c r="AX47" s="76">
        <f t="shared" si="30"/>
        <v>0</v>
      </c>
      <c r="AY47" s="94">
        <f t="shared" si="30"/>
        <v>0</v>
      </c>
      <c r="AZ47" s="94">
        <f t="shared" si="30"/>
        <v>0</v>
      </c>
      <c r="BA47" s="94">
        <f t="shared" si="30"/>
        <v>0</v>
      </c>
      <c r="BB47" s="94">
        <f t="shared" si="30"/>
        <v>0</v>
      </c>
      <c r="BC47" s="94">
        <f t="shared" si="30"/>
        <v>0</v>
      </c>
      <c r="BD47" s="94">
        <f t="shared" si="30"/>
        <v>0</v>
      </c>
      <c r="BE47" s="94">
        <f t="shared" si="30"/>
        <v>0</v>
      </c>
      <c r="BF47" s="94">
        <f t="shared" si="30"/>
        <v>0</v>
      </c>
      <c r="BG47" s="94">
        <f t="shared" si="30"/>
        <v>0</v>
      </c>
      <c r="BH47" s="94">
        <f t="shared" si="30"/>
        <v>0</v>
      </c>
      <c r="BI47" s="94">
        <f t="shared" si="30"/>
        <v>0</v>
      </c>
      <c r="BJ47" s="94">
        <f t="shared" si="30"/>
        <v>0</v>
      </c>
      <c r="BK47" s="94">
        <f t="shared" si="30"/>
        <v>0</v>
      </c>
      <c r="BL47" s="94">
        <f t="shared" si="30"/>
        <v>0</v>
      </c>
      <c r="BM47" s="94">
        <f t="shared" si="30"/>
        <v>0</v>
      </c>
      <c r="BN47" s="94">
        <f t="shared" si="30"/>
        <v>0</v>
      </c>
      <c r="BO47" s="94">
        <f t="shared" si="30"/>
        <v>0</v>
      </c>
      <c r="BP47" s="94">
        <f t="shared" si="30"/>
        <v>0</v>
      </c>
      <c r="BQ47" s="94">
        <f t="shared" si="30"/>
        <v>0</v>
      </c>
      <c r="BR47" s="94">
        <f t="shared" si="30"/>
        <v>0</v>
      </c>
      <c r="BS47" s="94">
        <f t="shared" si="30"/>
        <v>0</v>
      </c>
      <c r="BT47" s="94">
        <f t="shared" si="30"/>
        <v>0</v>
      </c>
      <c r="BU47" s="94">
        <f t="shared" si="30"/>
        <v>0</v>
      </c>
      <c r="BV47" s="94">
        <f t="shared" si="30"/>
        <v>0</v>
      </c>
    </row>
    <row r="48" ht="15.75" customHeight="1">
      <c r="A48" s="82" t="s">
        <v>114</v>
      </c>
      <c r="B48" s="1"/>
      <c r="C48" s="96"/>
      <c r="D48" s="96"/>
      <c r="E48" s="96"/>
      <c r="F48" s="96"/>
      <c r="G48" s="96"/>
      <c r="H48" s="96"/>
      <c r="I48" s="96"/>
      <c r="J48" s="96"/>
      <c r="K48" s="96"/>
      <c r="L48" s="96"/>
      <c r="M48" s="96"/>
      <c r="N48" s="96"/>
      <c r="O48" s="96"/>
      <c r="P48" s="96"/>
      <c r="Q48" s="96"/>
      <c r="R48" s="96"/>
      <c r="S48" s="96"/>
      <c r="T48" s="96"/>
      <c r="U48" s="96"/>
      <c r="V48" s="96"/>
      <c r="W48" s="96"/>
      <c r="X48" s="96"/>
      <c r="Y48" s="96"/>
      <c r="Z48" s="96"/>
      <c r="AA48" s="96"/>
      <c r="AB48" s="96"/>
      <c r="AC48" s="96"/>
      <c r="AD48" s="96"/>
      <c r="AE48" s="96">
        <f t="shared" ref="AE48:BV48" si="31">AE45*AE47</f>
        <v>0</v>
      </c>
      <c r="AF48" s="96">
        <f t="shared" si="31"/>
        <v>0</v>
      </c>
      <c r="AG48" s="96">
        <f t="shared" si="31"/>
        <v>0</v>
      </c>
      <c r="AH48" s="96">
        <f t="shared" si="31"/>
        <v>0</v>
      </c>
      <c r="AI48" s="96">
        <f t="shared" si="31"/>
        <v>0</v>
      </c>
      <c r="AJ48" s="96">
        <f t="shared" si="31"/>
        <v>0</v>
      </c>
      <c r="AK48" s="96">
        <f t="shared" si="31"/>
        <v>0</v>
      </c>
      <c r="AL48" s="96">
        <f t="shared" si="31"/>
        <v>0</v>
      </c>
      <c r="AM48" s="96">
        <f t="shared" si="31"/>
        <v>0</v>
      </c>
      <c r="AN48" s="96">
        <f t="shared" si="31"/>
        <v>0</v>
      </c>
      <c r="AO48" s="96">
        <f t="shared" si="31"/>
        <v>0</v>
      </c>
      <c r="AP48" s="96">
        <f t="shared" si="31"/>
        <v>0</v>
      </c>
      <c r="AQ48" s="96">
        <f t="shared" si="31"/>
        <v>0</v>
      </c>
      <c r="AR48" s="96">
        <f t="shared" si="31"/>
        <v>0</v>
      </c>
      <c r="AS48" s="96">
        <f t="shared" si="31"/>
        <v>0</v>
      </c>
      <c r="AT48" s="96">
        <f t="shared" si="31"/>
        <v>0</v>
      </c>
      <c r="AU48" s="96">
        <f t="shared" si="31"/>
        <v>0</v>
      </c>
      <c r="AV48" s="96">
        <f t="shared" si="31"/>
        <v>0</v>
      </c>
      <c r="AW48" s="96">
        <f t="shared" si="31"/>
        <v>0</v>
      </c>
      <c r="AX48" s="96">
        <f t="shared" si="31"/>
        <v>0</v>
      </c>
      <c r="AY48" s="97">
        <f t="shared" si="31"/>
        <v>0</v>
      </c>
      <c r="AZ48" s="97">
        <f t="shared" si="31"/>
        <v>0</v>
      </c>
      <c r="BA48" s="97">
        <f t="shared" si="31"/>
        <v>0</v>
      </c>
      <c r="BB48" s="97">
        <f t="shared" si="31"/>
        <v>0</v>
      </c>
      <c r="BC48" s="97">
        <f t="shared" si="31"/>
        <v>0</v>
      </c>
      <c r="BD48" s="97">
        <f t="shared" si="31"/>
        <v>0</v>
      </c>
      <c r="BE48" s="97">
        <f t="shared" si="31"/>
        <v>0</v>
      </c>
      <c r="BF48" s="97">
        <f t="shared" si="31"/>
        <v>0</v>
      </c>
      <c r="BG48" s="97">
        <f t="shared" si="31"/>
        <v>0</v>
      </c>
      <c r="BH48" s="97">
        <f t="shared" si="31"/>
        <v>0</v>
      </c>
      <c r="BI48" s="97">
        <f t="shared" si="31"/>
        <v>0</v>
      </c>
      <c r="BJ48" s="97">
        <f t="shared" si="31"/>
        <v>0</v>
      </c>
      <c r="BK48" s="97">
        <f t="shared" si="31"/>
        <v>0</v>
      </c>
      <c r="BL48" s="97">
        <f t="shared" si="31"/>
        <v>0</v>
      </c>
      <c r="BM48" s="97">
        <f t="shared" si="31"/>
        <v>0</v>
      </c>
      <c r="BN48" s="97">
        <f t="shared" si="31"/>
        <v>0</v>
      </c>
      <c r="BO48" s="97">
        <f t="shared" si="31"/>
        <v>0</v>
      </c>
      <c r="BP48" s="97">
        <f t="shared" si="31"/>
        <v>0</v>
      </c>
      <c r="BQ48" s="97">
        <f t="shared" si="31"/>
        <v>0</v>
      </c>
      <c r="BR48" s="97">
        <f t="shared" si="31"/>
        <v>0</v>
      </c>
      <c r="BS48" s="97">
        <f t="shared" si="31"/>
        <v>0</v>
      </c>
      <c r="BT48" s="97">
        <f t="shared" si="31"/>
        <v>0</v>
      </c>
      <c r="BU48" s="97">
        <f t="shared" si="31"/>
        <v>0</v>
      </c>
      <c r="BV48" s="97">
        <f t="shared" si="31"/>
        <v>0</v>
      </c>
    </row>
    <row r="49" ht="15.75" customHeight="1">
      <c r="A49" s="87"/>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row>
    <row r="50" ht="15.75" customHeight="1">
      <c r="A50" s="100" t="s">
        <v>118</v>
      </c>
      <c r="B50" s="80"/>
      <c r="C50" s="80"/>
      <c r="D50" s="80"/>
      <c r="E50" s="80"/>
      <c r="F50" s="80"/>
      <c r="G50" s="80"/>
      <c r="H50" s="80"/>
      <c r="I50" s="80"/>
      <c r="J50" s="80"/>
      <c r="K50" s="80"/>
      <c r="L50" s="80"/>
      <c r="M50" s="80"/>
      <c r="N50" s="80"/>
      <c r="O50" s="80"/>
      <c r="P50" s="80"/>
      <c r="Q50" s="80"/>
      <c r="R50" s="80"/>
      <c r="S50" s="80"/>
      <c r="T50" s="80"/>
      <c r="U50" s="80"/>
      <c r="V50" s="80"/>
      <c r="W50" s="80"/>
      <c r="X50" s="80"/>
      <c r="Y50" s="80"/>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row>
    <row r="51" ht="15.75" hidden="1" customHeight="1">
      <c r="A51" s="87" t="s">
        <v>99</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row>
    <row r="52" ht="15.75" customHeight="1">
      <c r="A52" s="82" t="s">
        <v>119</v>
      </c>
      <c r="B52" s="89"/>
      <c r="C52" s="90">
        <f>SUMIFS(MRR_Export_Contraction_Count,MRR_Export_Months,"&gt;="&amp;C$1,MRR_Export_Months,"&lt;"&amp;D$1)</f>
        <v>1</v>
      </c>
      <c r="D52" s="90">
        <f>SUMIFS(MRR_Export_Contraction_Count,MRR_Export_Months,"&gt;="&amp;D$1,MRR_Export_Months,"&lt;"&amp;E$1)</f>
        <v>2</v>
      </c>
      <c r="E52" s="90">
        <f>SUMIFS(MRR_Export_Contraction_Count,MRR_Export_Months,"&gt;="&amp;E$1,MRR_Export_Months,"&lt;"&amp;F$1)</f>
        <v>2</v>
      </c>
      <c r="F52" s="90">
        <f>SUMIFS(MRR_Export_Contraction_Count,MRR_Export_Months,"&gt;="&amp;F$1,MRR_Export_Months,"&lt;"&amp;G$1)</f>
        <v>1</v>
      </c>
      <c r="G52" s="90">
        <f>SUMIFS(MRR_Export_Contraction_Count,MRR_Export_Months,"&gt;="&amp;G$1,MRR_Export_Months,"&lt;"&amp;H$1)</f>
        <v>2</v>
      </c>
      <c r="H52" s="90">
        <f>SUMIFS(MRR_Export_Contraction_Count,MRR_Export_Months,"&gt;="&amp;H$1,MRR_Export_Months,"&lt;"&amp;I$1)</f>
        <v>1</v>
      </c>
      <c r="I52" s="90">
        <f>SUMIFS(MRR_Export_Contraction_Count,MRR_Export_Months,"&gt;="&amp;I$1,MRR_Export_Months,"&lt;"&amp;J$1)</f>
        <v>2</v>
      </c>
      <c r="J52" s="90">
        <f>SUMIFS(MRR_Export_Contraction_Count,MRR_Export_Months,"&gt;="&amp;J$1,MRR_Export_Months,"&lt;"&amp;K$1)</f>
        <v>3</v>
      </c>
      <c r="K52" s="90">
        <f>SUMIFS(MRR_Export_Contraction_Count,MRR_Export_Months,"&gt;="&amp;K$1,MRR_Export_Months,"&lt;"&amp;L$1)</f>
        <v>3</v>
      </c>
      <c r="L52" s="90">
        <f>SUMIFS(MRR_Export_Contraction_Count,MRR_Export_Months,"&gt;="&amp;L$1,MRR_Export_Months,"&lt;"&amp;M$1)</f>
        <v>4</v>
      </c>
      <c r="M52" s="90">
        <f>SUMIFS(MRR_Export_Contraction_Count,MRR_Export_Months,"&gt;="&amp;M$1,MRR_Export_Months,"&lt;"&amp;N$1)</f>
        <v>4</v>
      </c>
      <c r="N52" s="90">
        <f>SUMIFS(MRR_Export_Contraction_Count,MRR_Export_Months,"&gt;="&amp;N$1,MRR_Export_Months,"&lt;"&amp;O$1)</f>
        <v>5</v>
      </c>
      <c r="O52" s="90">
        <f>SUMIFS(MRR_Export_Contraction_Count,MRR_Export_Months,"&gt;="&amp;O$1,MRR_Export_Months,"&lt;"&amp;P$1)</f>
        <v>5</v>
      </c>
      <c r="P52" s="90">
        <f>SUMIFS(MRR_Export_Contraction_Count,MRR_Export_Months,"&gt;="&amp;P$1,MRR_Export_Months,"&lt;"&amp;Q$1)</f>
        <v>6</v>
      </c>
      <c r="Q52" s="90">
        <f>SUMIFS(MRR_Export_Contraction_Count,MRR_Export_Months,"&gt;="&amp;Q$1,MRR_Export_Months,"&lt;"&amp;R$1)</f>
        <v>6</v>
      </c>
      <c r="R52" s="90">
        <f>SUMIFS(MRR_Export_Contraction_Count,MRR_Export_Months,"&gt;="&amp;R$1,MRR_Export_Months,"&lt;"&amp;S$1)</f>
        <v>1</v>
      </c>
      <c r="S52" s="90">
        <f>SUMIFS(MRR_Export_Contraction_Count,MRR_Export_Months,"&gt;="&amp;S$1,MRR_Export_Months,"&lt;"&amp;T$1)</f>
        <v>7</v>
      </c>
      <c r="T52" s="90">
        <f>SUMIFS(MRR_Export_Contraction_Count,MRR_Export_Months,"&gt;="&amp;T$1,MRR_Export_Months,"&lt;"&amp;U$1)</f>
        <v>7</v>
      </c>
      <c r="U52" s="90">
        <f>SUMIFS(MRR_Export_Contraction_Count,MRR_Export_Months,"&gt;="&amp;U$1,MRR_Export_Months,"&lt;"&amp;V$1)</f>
        <v>7</v>
      </c>
      <c r="V52" s="90">
        <f>SUMIFS(MRR_Export_Contraction_Count,MRR_Export_Months,"&gt;="&amp;V$1,MRR_Export_Months,"&lt;"&amp;W$1)</f>
        <v>7</v>
      </c>
      <c r="W52" s="90">
        <f>SUMIFS(MRR_Export_Contraction_Count,MRR_Export_Months,"&gt;="&amp;W$1,MRR_Export_Months,"&lt;"&amp;X$1)</f>
        <v>7</v>
      </c>
      <c r="X52" s="90">
        <f>SUMIFS(MRR_Export_Contraction_Count,MRR_Export_Months,"&gt;="&amp;X$1,MRR_Export_Months,"&lt;"&amp;Y$1)</f>
        <v>7</v>
      </c>
      <c r="Y52" s="90">
        <f>SUMIFS(MRR_Export_Contraction_Count,MRR_Export_Months,"&gt;="&amp;Y$1,MRR_Export_Months,"&lt;"&amp;Z$1)</f>
        <v>7</v>
      </c>
      <c r="Z52" s="90">
        <f>SUMIFS(MRR_Export_Contraction_Count,MRR_Export_Months,"&gt;="&amp;Z$1,MRR_Export_Months,"&lt;"&amp;AA$1)</f>
        <v>10</v>
      </c>
      <c r="AA52" s="90">
        <f>SUMIFS(MRR_Export_Contraction_Count,MRR_Export_Months,"&gt;="&amp;AA$1,MRR_Export_Months,"&lt;"&amp;AB$1)</f>
        <v>15</v>
      </c>
      <c r="AB52" s="90">
        <f>SUMIFS(MRR_Export_Contraction_Count,MRR_Export_Months,"&gt;="&amp;AB$1,MRR_Export_Months,"&lt;"&amp;AC$1)</f>
        <v>17</v>
      </c>
      <c r="AC52" s="90">
        <f>SUMIFS(MRR_Export_Contraction_Count,MRR_Export_Months,"&gt;="&amp;AC$1,MRR_Export_Months,"&lt;"&amp;AD$1)</f>
        <v>17</v>
      </c>
      <c r="AD52" s="90">
        <f>SUMIFS(MRR_Export_Contraction_Count,MRR_Export_Months,"&gt;="&amp;AD$1,MRR_Export_Months,"&lt;"&amp;AE$1)</f>
        <v>19</v>
      </c>
      <c r="AE52" s="76">
        <f t="shared" ref="AE52:BV52" si="32">AE53*AD$65</f>
        <v>16.686</v>
      </c>
      <c r="AF52" s="76">
        <f t="shared" si="32"/>
        <v>15.58145</v>
      </c>
      <c r="AG52" s="76">
        <f t="shared" si="32"/>
        <v>13.90200086</v>
      </c>
      <c r="AH52" s="76">
        <f t="shared" si="32"/>
        <v>13.52312072</v>
      </c>
      <c r="AI52" s="76">
        <f t="shared" si="32"/>
        <v>13.0974918</v>
      </c>
      <c r="AJ52" s="76">
        <f t="shared" si="32"/>
        <v>12.00565294</v>
      </c>
      <c r="AK52" s="76">
        <f t="shared" si="32"/>
        <v>13.59955785</v>
      </c>
      <c r="AL52" s="76">
        <f t="shared" si="32"/>
        <v>13.85716183</v>
      </c>
      <c r="AM52" s="76">
        <f t="shared" si="32"/>
        <v>14.13244737</v>
      </c>
      <c r="AN52" s="76">
        <f t="shared" si="32"/>
        <v>14.40525534</v>
      </c>
      <c r="AO52" s="76">
        <f t="shared" si="32"/>
        <v>14.69560805</v>
      </c>
      <c r="AP52" s="76">
        <f t="shared" si="32"/>
        <v>14.98334757</v>
      </c>
      <c r="AQ52" s="76">
        <f t="shared" si="32"/>
        <v>15.28849745</v>
      </c>
      <c r="AR52" s="76">
        <f t="shared" si="32"/>
        <v>15.61090097</v>
      </c>
      <c r="AS52" s="76">
        <f t="shared" si="32"/>
        <v>15.93040286</v>
      </c>
      <c r="AT52" s="76">
        <f t="shared" si="32"/>
        <v>16.26702923</v>
      </c>
      <c r="AU52" s="76">
        <f t="shared" si="32"/>
        <v>16.60062597</v>
      </c>
      <c r="AV52" s="76">
        <f t="shared" si="32"/>
        <v>16.95122034</v>
      </c>
      <c r="AW52" s="76">
        <f t="shared" si="32"/>
        <v>17.31865935</v>
      </c>
      <c r="AX52" s="76">
        <f t="shared" si="32"/>
        <v>17.68279142</v>
      </c>
      <c r="AY52" s="94">
        <f t="shared" si="32"/>
        <v>18.0636463</v>
      </c>
      <c r="AZ52" s="94">
        <f t="shared" si="32"/>
        <v>18.42107348</v>
      </c>
      <c r="BA52" s="94">
        <f t="shared" si="32"/>
        <v>18.79528382</v>
      </c>
      <c r="BB52" s="94">
        <f t="shared" si="32"/>
        <v>19.16612626</v>
      </c>
      <c r="BC52" s="94">
        <f t="shared" si="32"/>
        <v>19.53363113</v>
      </c>
      <c r="BD52" s="94">
        <f t="shared" si="32"/>
        <v>19.89782845</v>
      </c>
      <c r="BE52" s="94">
        <f t="shared" si="32"/>
        <v>20.27874799</v>
      </c>
      <c r="BF52" s="94">
        <f t="shared" si="32"/>
        <v>20.65623926</v>
      </c>
      <c r="BG52" s="94">
        <f t="shared" si="32"/>
        <v>21.05033311</v>
      </c>
      <c r="BH52" s="94">
        <f t="shared" si="32"/>
        <v>21.44088011</v>
      </c>
      <c r="BI52" s="94">
        <f t="shared" si="32"/>
        <v>21.82791219</v>
      </c>
      <c r="BJ52" s="94">
        <f t="shared" si="32"/>
        <v>22.23146098</v>
      </c>
      <c r="BK52" s="94">
        <f t="shared" si="32"/>
        <v>22.63137783</v>
      </c>
      <c r="BL52" s="94">
        <f t="shared" si="32"/>
        <v>23.02769543</v>
      </c>
      <c r="BM52" s="94">
        <f t="shared" si="32"/>
        <v>23.44044617</v>
      </c>
      <c r="BN52" s="94">
        <f t="shared" si="32"/>
        <v>23.84948215</v>
      </c>
      <c r="BO52" s="94">
        <f t="shared" si="32"/>
        <v>24.27483682</v>
      </c>
      <c r="BP52" s="94">
        <f t="shared" si="32"/>
        <v>24.69636328</v>
      </c>
      <c r="BQ52" s="94">
        <f t="shared" si="32"/>
        <v>25.11409601</v>
      </c>
      <c r="BR52" s="94">
        <f t="shared" si="32"/>
        <v>25.54806915</v>
      </c>
      <c r="BS52" s="94">
        <f t="shared" si="32"/>
        <v>25.97813653</v>
      </c>
      <c r="BT52" s="94">
        <f t="shared" si="32"/>
        <v>26.4243333</v>
      </c>
      <c r="BU52" s="94">
        <f t="shared" si="32"/>
        <v>26.8665143</v>
      </c>
      <c r="BV52" s="94">
        <f t="shared" si="32"/>
        <v>27.32471567</v>
      </c>
    </row>
    <row r="53" ht="15.75" customHeight="1">
      <c r="A53" s="1" t="s">
        <v>120</v>
      </c>
      <c r="B53" s="93"/>
      <c r="C53" s="43" t="str">
        <f t="shared" ref="C53:AD53" si="33">IFERROR(C52/B$65," ")</f>
        <v> </v>
      </c>
      <c r="D53" s="43">
        <f t="shared" si="33"/>
        <v>0.008438818565</v>
      </c>
      <c r="E53" s="43">
        <f t="shared" si="33"/>
        <v>0.009174311927</v>
      </c>
      <c r="F53" s="43">
        <f t="shared" si="33"/>
        <v>0.004385964912</v>
      </c>
      <c r="G53" s="43">
        <f t="shared" si="33"/>
        <v>0.008403361345</v>
      </c>
      <c r="H53" s="43">
        <f t="shared" si="33"/>
        <v>0.003984063745</v>
      </c>
      <c r="I53" s="43">
        <f t="shared" si="33"/>
        <v>0.007722007722</v>
      </c>
      <c r="J53" s="43">
        <f t="shared" si="33"/>
        <v>0.01086956522</v>
      </c>
      <c r="K53" s="43">
        <f t="shared" si="33"/>
        <v>0.01052631579</v>
      </c>
      <c r="L53" s="43">
        <f t="shared" si="33"/>
        <v>0.01360544218</v>
      </c>
      <c r="M53" s="43">
        <f t="shared" si="33"/>
        <v>0.01320132013</v>
      </c>
      <c r="N53" s="43">
        <f t="shared" si="33"/>
        <v>0.01602564103</v>
      </c>
      <c r="O53" s="43">
        <f t="shared" si="33"/>
        <v>0.01547987616</v>
      </c>
      <c r="P53" s="43">
        <f t="shared" si="33"/>
        <v>0.01801801802</v>
      </c>
      <c r="Q53" s="43">
        <f t="shared" si="33"/>
        <v>0.01699716714</v>
      </c>
      <c r="R53" s="43">
        <f t="shared" si="33"/>
        <v>0.002747252747</v>
      </c>
      <c r="S53" s="43">
        <f t="shared" si="33"/>
        <v>0.0175879397</v>
      </c>
      <c r="T53" s="43">
        <f t="shared" si="33"/>
        <v>0.01699029126</v>
      </c>
      <c r="U53" s="43">
        <f t="shared" si="33"/>
        <v>0.01612903226</v>
      </c>
      <c r="V53" s="43">
        <f t="shared" si="33"/>
        <v>0.01531728665</v>
      </c>
      <c r="W53" s="43">
        <f t="shared" si="33"/>
        <v>0.01461377871</v>
      </c>
      <c r="X53" s="43">
        <f t="shared" si="33"/>
        <v>0.01411290323</v>
      </c>
      <c r="Y53" s="43">
        <f t="shared" si="33"/>
        <v>0.01377952756</v>
      </c>
      <c r="Z53" s="43">
        <f t="shared" si="33"/>
        <v>0.01908396947</v>
      </c>
      <c r="AA53" s="43">
        <f t="shared" si="33"/>
        <v>0.02752293578</v>
      </c>
      <c r="AB53" s="43">
        <f t="shared" si="33"/>
        <v>0.02977232925</v>
      </c>
      <c r="AC53" s="43">
        <f t="shared" si="33"/>
        <v>0.02809917355</v>
      </c>
      <c r="AD53" s="43">
        <f t="shared" si="33"/>
        <v>0.03084415584</v>
      </c>
      <c r="AE53" s="101">
        <v>0.027</v>
      </c>
      <c r="AF53" s="101">
        <v>0.025</v>
      </c>
      <c r="AG53" s="101">
        <v>0.022</v>
      </c>
      <c r="AH53" s="101">
        <v>0.021</v>
      </c>
      <c r="AI53" s="101">
        <v>0.02</v>
      </c>
      <c r="AJ53" s="101">
        <v>0.018</v>
      </c>
      <c r="AK53" s="110">
        <f t="shared" ref="AK53:BV53" si="34">IFERROR(MEDIAN(AH53:AJ53),0)</f>
        <v>0.02</v>
      </c>
      <c r="AL53" s="110">
        <f t="shared" si="34"/>
        <v>0.02</v>
      </c>
      <c r="AM53" s="110">
        <f t="shared" si="34"/>
        <v>0.02</v>
      </c>
      <c r="AN53" s="110">
        <f t="shared" si="34"/>
        <v>0.02</v>
      </c>
      <c r="AO53" s="110">
        <f t="shared" si="34"/>
        <v>0.02</v>
      </c>
      <c r="AP53" s="110">
        <f t="shared" si="34"/>
        <v>0.02</v>
      </c>
      <c r="AQ53" s="110">
        <f t="shared" si="34"/>
        <v>0.02</v>
      </c>
      <c r="AR53" s="110">
        <f t="shared" si="34"/>
        <v>0.02</v>
      </c>
      <c r="AS53" s="110">
        <f t="shared" si="34"/>
        <v>0.02</v>
      </c>
      <c r="AT53" s="110">
        <f t="shared" si="34"/>
        <v>0.02</v>
      </c>
      <c r="AU53" s="110">
        <f t="shared" si="34"/>
        <v>0.02</v>
      </c>
      <c r="AV53" s="110">
        <f t="shared" si="34"/>
        <v>0.02</v>
      </c>
      <c r="AW53" s="110">
        <f t="shared" si="34"/>
        <v>0.02</v>
      </c>
      <c r="AX53" s="110">
        <f t="shared" si="34"/>
        <v>0.02</v>
      </c>
      <c r="AY53" s="111">
        <f t="shared" si="34"/>
        <v>0.02</v>
      </c>
      <c r="AZ53" s="111">
        <f t="shared" si="34"/>
        <v>0.02</v>
      </c>
      <c r="BA53" s="111">
        <f t="shared" si="34"/>
        <v>0.02</v>
      </c>
      <c r="BB53" s="111">
        <f t="shared" si="34"/>
        <v>0.02</v>
      </c>
      <c r="BC53" s="111">
        <f t="shared" si="34"/>
        <v>0.02</v>
      </c>
      <c r="BD53" s="111">
        <f t="shared" si="34"/>
        <v>0.02</v>
      </c>
      <c r="BE53" s="111">
        <f t="shared" si="34"/>
        <v>0.02</v>
      </c>
      <c r="BF53" s="111">
        <f t="shared" si="34"/>
        <v>0.02</v>
      </c>
      <c r="BG53" s="111">
        <f t="shared" si="34"/>
        <v>0.02</v>
      </c>
      <c r="BH53" s="111">
        <f t="shared" si="34"/>
        <v>0.02</v>
      </c>
      <c r="BI53" s="111">
        <f t="shared" si="34"/>
        <v>0.02</v>
      </c>
      <c r="BJ53" s="111">
        <f t="shared" si="34"/>
        <v>0.02</v>
      </c>
      <c r="BK53" s="111">
        <f t="shared" si="34"/>
        <v>0.02</v>
      </c>
      <c r="BL53" s="111">
        <f t="shared" si="34"/>
        <v>0.02</v>
      </c>
      <c r="BM53" s="111">
        <f t="shared" si="34"/>
        <v>0.02</v>
      </c>
      <c r="BN53" s="111">
        <f t="shared" si="34"/>
        <v>0.02</v>
      </c>
      <c r="BO53" s="111">
        <f t="shared" si="34"/>
        <v>0.02</v>
      </c>
      <c r="BP53" s="111">
        <f t="shared" si="34"/>
        <v>0.02</v>
      </c>
      <c r="BQ53" s="111">
        <f t="shared" si="34"/>
        <v>0.02</v>
      </c>
      <c r="BR53" s="111">
        <f t="shared" si="34"/>
        <v>0.02</v>
      </c>
      <c r="BS53" s="111">
        <f t="shared" si="34"/>
        <v>0.02</v>
      </c>
      <c r="BT53" s="111">
        <f t="shared" si="34"/>
        <v>0.02</v>
      </c>
      <c r="BU53" s="111">
        <f t="shared" si="34"/>
        <v>0.02</v>
      </c>
      <c r="BV53" s="111">
        <f t="shared" si="34"/>
        <v>0.02</v>
      </c>
    </row>
    <row r="54" ht="15.75" customHeight="1">
      <c r="A54" s="82" t="s">
        <v>100</v>
      </c>
      <c r="B54" s="93"/>
      <c r="C54" s="76">
        <f t="shared" ref="C54:AD54" si="35">IFERROR(C55/C52," ")</f>
        <v>-800</v>
      </c>
      <c r="D54" s="76">
        <f t="shared" si="35"/>
        <v>-710</v>
      </c>
      <c r="E54" s="76">
        <f t="shared" si="35"/>
        <v>-495</v>
      </c>
      <c r="F54" s="76">
        <f t="shared" si="35"/>
        <v>-400</v>
      </c>
      <c r="G54" s="76">
        <f t="shared" si="35"/>
        <v>-900</v>
      </c>
      <c r="H54" s="76">
        <f t="shared" si="35"/>
        <v>-700</v>
      </c>
      <c r="I54" s="76">
        <f t="shared" si="35"/>
        <v>-725</v>
      </c>
      <c r="J54" s="76">
        <f t="shared" si="35"/>
        <v>-790</v>
      </c>
      <c r="K54" s="76">
        <f t="shared" si="35"/>
        <v>-753.3333333</v>
      </c>
      <c r="L54" s="76">
        <f t="shared" si="35"/>
        <v>-760</v>
      </c>
      <c r="M54" s="76">
        <f t="shared" si="35"/>
        <v>-767</v>
      </c>
      <c r="N54" s="76">
        <f t="shared" si="35"/>
        <v>-760.8</v>
      </c>
      <c r="O54" s="76">
        <f t="shared" si="35"/>
        <v>-762.4</v>
      </c>
      <c r="P54" s="76">
        <f t="shared" si="35"/>
        <v>-763.1666667</v>
      </c>
      <c r="Q54" s="76">
        <f t="shared" si="35"/>
        <v>-762.1666667</v>
      </c>
      <c r="R54" s="76">
        <f t="shared" si="35"/>
        <v>0</v>
      </c>
      <c r="S54" s="76">
        <f t="shared" si="35"/>
        <v>-751.5714286</v>
      </c>
      <c r="T54" s="76">
        <f t="shared" si="35"/>
        <v>-746.7142857</v>
      </c>
      <c r="U54" s="76">
        <f t="shared" si="35"/>
        <v>-740.4666667</v>
      </c>
      <c r="V54" s="76">
        <f t="shared" si="35"/>
        <v>-746.2507937</v>
      </c>
      <c r="W54" s="76">
        <f t="shared" si="35"/>
        <v>-744.4772487</v>
      </c>
      <c r="X54" s="76">
        <f t="shared" si="35"/>
        <v>-1255.620106</v>
      </c>
      <c r="Y54" s="76">
        <f t="shared" si="35"/>
        <v>-1599.90582</v>
      </c>
      <c r="Z54" s="76">
        <f t="shared" si="35"/>
        <v>-1122.034074</v>
      </c>
      <c r="AA54" s="76">
        <f t="shared" si="35"/>
        <v>-981.2893827</v>
      </c>
      <c r="AB54" s="76">
        <f t="shared" si="35"/>
        <v>-719.1965142</v>
      </c>
      <c r="AC54" s="76">
        <f t="shared" si="35"/>
        <v>-890.0588235</v>
      </c>
      <c r="AD54" s="76">
        <f t="shared" si="35"/>
        <v>-776.6315789</v>
      </c>
      <c r="AE54" s="76">
        <f t="shared" ref="AE54:BV54" si="36">IFERROR(SUM(AB55:AD55)/SUM(AB52:AD52),0)</f>
        <v>-794.5913347</v>
      </c>
      <c r="AF54" s="76">
        <f t="shared" si="36"/>
        <v>-818.9187073</v>
      </c>
      <c r="AG54" s="76">
        <f t="shared" si="36"/>
        <v>-795.3290422</v>
      </c>
      <c r="AH54" s="76">
        <f t="shared" si="36"/>
        <v>-803.023563</v>
      </c>
      <c r="AI54" s="76">
        <f t="shared" si="36"/>
        <v>-806.2951598</v>
      </c>
      <c r="AJ54" s="76">
        <f t="shared" si="36"/>
        <v>-801.4412484</v>
      </c>
      <c r="AK54" s="76">
        <f t="shared" si="36"/>
        <v>-803.6410959</v>
      </c>
      <c r="AL54" s="76">
        <f t="shared" si="36"/>
        <v>-803.8568683</v>
      </c>
      <c r="AM54" s="76">
        <f t="shared" si="36"/>
        <v>-803.0476036</v>
      </c>
      <c r="AN54" s="76">
        <f t="shared" si="36"/>
        <v>-803.5113144</v>
      </c>
      <c r="AO54" s="76">
        <f t="shared" si="36"/>
        <v>-803.4696827</v>
      </c>
      <c r="AP54" s="76">
        <f t="shared" si="36"/>
        <v>-803.3455817</v>
      </c>
      <c r="AQ54" s="76">
        <f t="shared" si="36"/>
        <v>-803.4411071</v>
      </c>
      <c r="AR54" s="76">
        <f t="shared" si="36"/>
        <v>-803.4186163</v>
      </c>
      <c r="AS54" s="76">
        <f t="shared" si="36"/>
        <v>-803.4022604</v>
      </c>
      <c r="AT54" s="76">
        <f t="shared" si="36"/>
        <v>-803.420395</v>
      </c>
      <c r="AU54" s="76">
        <f t="shared" si="36"/>
        <v>-803.4137715</v>
      </c>
      <c r="AV54" s="76">
        <f t="shared" si="36"/>
        <v>-803.4122216</v>
      </c>
      <c r="AW54" s="76">
        <f t="shared" si="36"/>
        <v>-803.4154069</v>
      </c>
      <c r="AX54" s="76">
        <f t="shared" si="36"/>
        <v>-803.4138118</v>
      </c>
      <c r="AY54" s="94">
        <f t="shared" si="36"/>
        <v>-803.4138247</v>
      </c>
      <c r="AZ54" s="94">
        <f t="shared" si="36"/>
        <v>-803.4143367</v>
      </c>
      <c r="BA54" s="94">
        <f t="shared" si="36"/>
        <v>-803.4139946</v>
      </c>
      <c r="BB54" s="94">
        <f t="shared" si="36"/>
        <v>-803.4140531</v>
      </c>
      <c r="BC54" s="94">
        <f t="shared" si="36"/>
        <v>-803.4141263</v>
      </c>
      <c r="BD54" s="94">
        <f t="shared" si="36"/>
        <v>-803.4140588</v>
      </c>
      <c r="BE54" s="94">
        <f t="shared" si="36"/>
        <v>-803.4140794</v>
      </c>
      <c r="BF54" s="94">
        <f t="shared" si="36"/>
        <v>-803.4140879</v>
      </c>
      <c r="BG54" s="94">
        <f t="shared" si="36"/>
        <v>-803.4140756</v>
      </c>
      <c r="BH54" s="94">
        <f t="shared" si="36"/>
        <v>-803.4140809</v>
      </c>
      <c r="BI54" s="94">
        <f t="shared" si="36"/>
        <v>-803.4140814</v>
      </c>
      <c r="BJ54" s="94">
        <f t="shared" si="36"/>
        <v>-803.4140793</v>
      </c>
      <c r="BK54" s="94">
        <f t="shared" si="36"/>
        <v>-803.4140806</v>
      </c>
      <c r="BL54" s="94">
        <f t="shared" si="36"/>
        <v>-803.4140804</v>
      </c>
      <c r="BM54" s="94">
        <f t="shared" si="36"/>
        <v>-803.4140801</v>
      </c>
      <c r="BN54" s="94">
        <f t="shared" si="36"/>
        <v>-803.4140804</v>
      </c>
      <c r="BO54" s="94">
        <f t="shared" si="36"/>
        <v>-803.4140803</v>
      </c>
      <c r="BP54" s="94">
        <f t="shared" si="36"/>
        <v>-803.4140803</v>
      </c>
      <c r="BQ54" s="94">
        <f t="shared" si="36"/>
        <v>-803.4140803</v>
      </c>
      <c r="BR54" s="94">
        <f t="shared" si="36"/>
        <v>-803.4140803</v>
      </c>
      <c r="BS54" s="94">
        <f t="shared" si="36"/>
        <v>-803.4140803</v>
      </c>
      <c r="BT54" s="94">
        <f t="shared" si="36"/>
        <v>-803.4140803</v>
      </c>
      <c r="BU54" s="94">
        <f t="shared" si="36"/>
        <v>-803.4140803</v>
      </c>
      <c r="BV54" s="94">
        <f t="shared" si="36"/>
        <v>-803.4140803</v>
      </c>
    </row>
    <row r="55" ht="15.75" customHeight="1">
      <c r="A55" s="82" t="s">
        <v>121</v>
      </c>
      <c r="B55" s="95"/>
      <c r="C55" s="90">
        <f>SUMIFS(MRR_Export_Contraction_MRR,MRR_Export_Months,"&gt;="&amp;C$1,MRR_Export_Months,"&lt;"&amp;D$1)</f>
        <v>-800</v>
      </c>
      <c r="D55" s="90">
        <f>SUMIFS(MRR_Export_Contraction_MRR,MRR_Export_Months,"&gt;="&amp;D$1,MRR_Export_Months,"&lt;"&amp;E$1)</f>
        <v>-1420</v>
      </c>
      <c r="E55" s="90">
        <f>SUMIFS(MRR_Export_Contraction_MRR,MRR_Export_Months,"&gt;="&amp;E$1,MRR_Export_Months,"&lt;"&amp;F$1)</f>
        <v>-990</v>
      </c>
      <c r="F55" s="90">
        <f>SUMIFS(MRR_Export_Contraction_MRR,MRR_Export_Months,"&gt;="&amp;F$1,MRR_Export_Months,"&lt;"&amp;G$1)</f>
        <v>-400</v>
      </c>
      <c r="G55" s="90">
        <f>SUMIFS(MRR_Export_Contraction_MRR,MRR_Export_Months,"&gt;="&amp;G$1,MRR_Export_Months,"&lt;"&amp;H$1)</f>
        <v>-1800</v>
      </c>
      <c r="H55" s="90">
        <f>SUMIFS(MRR_Export_Contraction_MRR,MRR_Export_Months,"&gt;="&amp;H$1,MRR_Export_Months,"&lt;"&amp;I$1)</f>
        <v>-700</v>
      </c>
      <c r="I55" s="90">
        <f>SUMIFS(MRR_Export_Contraction_MRR,MRR_Export_Months,"&gt;="&amp;I$1,MRR_Export_Months,"&lt;"&amp;J$1)</f>
        <v>-1450</v>
      </c>
      <c r="J55" s="90">
        <f>SUMIFS(MRR_Export_Contraction_MRR,MRR_Export_Months,"&gt;="&amp;J$1,MRR_Export_Months,"&lt;"&amp;K$1)</f>
        <v>-2370</v>
      </c>
      <c r="K55" s="90">
        <f>SUMIFS(MRR_Export_Contraction_MRR,MRR_Export_Months,"&gt;="&amp;K$1,MRR_Export_Months,"&lt;"&amp;L$1)</f>
        <v>-2260</v>
      </c>
      <c r="L55" s="90">
        <f>SUMIFS(MRR_Export_Contraction_MRR,MRR_Export_Months,"&gt;="&amp;L$1,MRR_Export_Months,"&lt;"&amp;M$1)</f>
        <v>-3040</v>
      </c>
      <c r="M55" s="90">
        <f>SUMIFS(MRR_Export_Contraction_MRR,MRR_Export_Months,"&gt;="&amp;M$1,MRR_Export_Months,"&lt;"&amp;N$1)</f>
        <v>-3068</v>
      </c>
      <c r="N55" s="90">
        <f>SUMIFS(MRR_Export_Contraction_MRR,MRR_Export_Months,"&gt;="&amp;N$1,MRR_Export_Months,"&lt;"&amp;O$1)</f>
        <v>-3804</v>
      </c>
      <c r="O55" s="90">
        <f>SUMIFS(MRR_Export_Contraction_MRR,MRR_Export_Months,"&gt;="&amp;O$1,MRR_Export_Months,"&lt;"&amp;P$1)</f>
        <v>-3812</v>
      </c>
      <c r="P55" s="90">
        <f>SUMIFS(MRR_Export_Contraction_MRR,MRR_Export_Months,"&gt;="&amp;P$1,MRR_Export_Months,"&lt;"&amp;Q$1)</f>
        <v>-4579</v>
      </c>
      <c r="Q55" s="90">
        <f>SUMIFS(MRR_Export_Contraction_MRR,MRR_Export_Months,"&gt;="&amp;Q$1,MRR_Export_Months,"&lt;"&amp;R$1)</f>
        <v>-4573</v>
      </c>
      <c r="R55" s="90">
        <f>SUMIFS(MRR_Export_Contraction_MRR,MRR_Export_Months,"&gt;="&amp;R$1,MRR_Export_Months,"&lt;"&amp;S$1)</f>
        <v>0</v>
      </c>
      <c r="S55" s="90">
        <f>SUMIFS(MRR_Export_Contraction_MRR,MRR_Export_Months,"&gt;="&amp;S$1,MRR_Export_Months,"&lt;"&amp;T$1)</f>
        <v>-5261</v>
      </c>
      <c r="T55" s="90">
        <f>SUMIFS(MRR_Export_Contraction_MRR,MRR_Export_Months,"&gt;="&amp;T$1,MRR_Export_Months,"&lt;"&amp;U$1)</f>
        <v>-5227</v>
      </c>
      <c r="U55" s="90">
        <f>SUMIFS(MRR_Export_Contraction_MRR,MRR_Export_Months,"&gt;="&amp;U$1,MRR_Export_Months,"&lt;"&amp;V$1)</f>
        <v>-5183.266667</v>
      </c>
      <c r="V55" s="90">
        <f>SUMIFS(MRR_Export_Contraction_MRR,MRR_Export_Months,"&gt;="&amp;V$1,MRR_Export_Months,"&lt;"&amp;W$1)</f>
        <v>-5223.755556</v>
      </c>
      <c r="W55" s="90">
        <f>SUMIFS(MRR_Export_Contraction_MRR,MRR_Export_Months,"&gt;="&amp;W$1,MRR_Export_Months,"&lt;"&amp;X$1)</f>
        <v>-5211.340741</v>
      </c>
      <c r="X55" s="90">
        <f>SUMIFS(MRR_Export_Contraction_MRR,MRR_Export_Months,"&gt;="&amp;X$1,MRR_Export_Months,"&lt;"&amp;Y$1)</f>
        <v>-8789.340741</v>
      </c>
      <c r="Y55" s="90">
        <f>SUMIFS(MRR_Export_Contraction_MRR,MRR_Export_Months,"&gt;="&amp;Y$1,MRR_Export_Months,"&lt;"&amp;Z$1)</f>
        <v>-11199.34074</v>
      </c>
      <c r="Z55" s="90">
        <f>SUMIFS(MRR_Export_Contraction_MRR,MRR_Export_Months,"&gt;="&amp;Z$1,MRR_Export_Months,"&lt;"&amp;AA$1)</f>
        <v>-11220.34074</v>
      </c>
      <c r="AA55" s="90">
        <f>SUMIFS(MRR_Export_Contraction_MRR,MRR_Export_Months,"&gt;="&amp;AA$1,MRR_Export_Months,"&lt;"&amp;AB$1)</f>
        <v>-14719.34074</v>
      </c>
      <c r="AB55" s="90">
        <f>SUMIFS(MRR_Export_Contraction_MRR,MRR_Export_Months,"&gt;="&amp;AB$1,MRR_Export_Months,"&lt;"&amp;AC$1)</f>
        <v>-12226.34074</v>
      </c>
      <c r="AC55" s="90">
        <f>SUMIFS(MRR_Export_Contraction_MRR,MRR_Export_Months,"&gt;="&amp;AC$1,MRR_Export_Months,"&lt;"&amp;AD$1)</f>
        <v>-15131</v>
      </c>
      <c r="AD55" s="90">
        <f>SUMIFS(MRR_Export_Contraction_MRR,MRR_Export_Months,"&gt;="&amp;AD$1,MRR_Export_Months,"&lt;"&amp;AE$1)</f>
        <v>-14756</v>
      </c>
      <c r="AE55" s="96">
        <f t="shared" ref="AE55:BV55" si="37">AE52*AE54</f>
        <v>-13258.55101</v>
      </c>
      <c r="AF55" s="96">
        <f t="shared" si="37"/>
        <v>-12759.94089</v>
      </c>
      <c r="AG55" s="96">
        <f t="shared" si="37"/>
        <v>-11056.66503</v>
      </c>
      <c r="AH55" s="96">
        <f t="shared" si="37"/>
        <v>-10859.38458</v>
      </c>
      <c r="AI55" s="96">
        <f t="shared" si="37"/>
        <v>-10560.44425</v>
      </c>
      <c r="AJ55" s="96">
        <f t="shared" si="37"/>
        <v>-9621.825479</v>
      </c>
      <c r="AK55" s="96">
        <f t="shared" si="37"/>
        <v>-10929.16357</v>
      </c>
      <c r="AL55" s="96">
        <f t="shared" si="37"/>
        <v>-11139.17471</v>
      </c>
      <c r="AM55" s="96">
        <f t="shared" si="37"/>
        <v>-11349.02799</v>
      </c>
      <c r="AN55" s="96">
        <f t="shared" si="37"/>
        <v>-11574.78566</v>
      </c>
      <c r="AO55" s="96">
        <f t="shared" si="37"/>
        <v>-11807.47553</v>
      </c>
      <c r="AP55" s="96">
        <f t="shared" si="37"/>
        <v>-12036.80607</v>
      </c>
      <c r="AQ55" s="96">
        <f t="shared" si="37"/>
        <v>-12283.40731</v>
      </c>
      <c r="AR55" s="96">
        <f t="shared" si="37"/>
        <v>-12542.08845</v>
      </c>
      <c r="AS55" s="96">
        <f t="shared" si="37"/>
        <v>-12798.52167</v>
      </c>
      <c r="AT55" s="96">
        <f t="shared" si="37"/>
        <v>-13069.26305</v>
      </c>
      <c r="AU55" s="96">
        <f t="shared" si="37"/>
        <v>-13337.17152</v>
      </c>
      <c r="AV55" s="96">
        <f t="shared" si="37"/>
        <v>-13618.81759</v>
      </c>
      <c r="AW55" s="96">
        <f t="shared" si="37"/>
        <v>-13914.07775</v>
      </c>
      <c r="AX55" s="96">
        <f t="shared" si="37"/>
        <v>-14206.59886</v>
      </c>
      <c r="AY55" s="97">
        <f t="shared" si="37"/>
        <v>-14512.58316</v>
      </c>
      <c r="AZ55" s="97">
        <f t="shared" si="37"/>
        <v>-14799.75453</v>
      </c>
      <c r="BA55" s="97">
        <f t="shared" si="37"/>
        <v>-15100.39405</v>
      </c>
      <c r="BB55" s="97">
        <f t="shared" si="37"/>
        <v>-15398.33518</v>
      </c>
      <c r="BC55" s="97">
        <f t="shared" si="37"/>
        <v>-15693.59519</v>
      </c>
      <c r="BD55" s="97">
        <f t="shared" si="37"/>
        <v>-15986.19512</v>
      </c>
      <c r="BE55" s="97">
        <f t="shared" si="37"/>
        <v>-16292.23165</v>
      </c>
      <c r="BF55" s="97">
        <f t="shared" si="37"/>
        <v>-16595.51362</v>
      </c>
      <c r="BG55" s="97">
        <f t="shared" si="37"/>
        <v>-16912.13391</v>
      </c>
      <c r="BH55" s="97">
        <f t="shared" si="37"/>
        <v>-17225.90499</v>
      </c>
      <c r="BI55" s="97">
        <f t="shared" si="37"/>
        <v>-17536.85202</v>
      </c>
      <c r="BJ55" s="97">
        <f t="shared" si="37"/>
        <v>-17861.06875</v>
      </c>
      <c r="BK55" s="97">
        <f t="shared" si="37"/>
        <v>-18182.36761</v>
      </c>
      <c r="BL55" s="97">
        <f t="shared" si="37"/>
        <v>-18500.77475</v>
      </c>
      <c r="BM55" s="97">
        <f t="shared" si="37"/>
        <v>-18832.3845</v>
      </c>
      <c r="BN55" s="97">
        <f t="shared" si="37"/>
        <v>-19161.00977</v>
      </c>
      <c r="BO55" s="97">
        <f t="shared" si="37"/>
        <v>-19502.74569</v>
      </c>
      <c r="BP55" s="97">
        <f t="shared" si="37"/>
        <v>-19841.40599</v>
      </c>
      <c r="BQ55" s="97">
        <f t="shared" si="37"/>
        <v>-20177.01835</v>
      </c>
      <c r="BR55" s="97">
        <f t="shared" si="37"/>
        <v>-20525.67848</v>
      </c>
      <c r="BS55" s="97">
        <f t="shared" si="37"/>
        <v>-20871.20067</v>
      </c>
      <c r="BT55" s="97">
        <f t="shared" si="37"/>
        <v>-21229.68143</v>
      </c>
      <c r="BU55" s="97">
        <f t="shared" si="37"/>
        <v>-21584.93588</v>
      </c>
      <c r="BV55" s="97">
        <f t="shared" si="37"/>
        <v>-21953.06131</v>
      </c>
    </row>
    <row r="56" ht="15.75" hidden="1" customHeight="1">
      <c r="A56" s="82"/>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row>
    <row r="57" ht="15.75" hidden="1" customHeight="1">
      <c r="A57" s="87" t="s">
        <v>122</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row>
    <row r="58" ht="15.75" hidden="1" customHeight="1">
      <c r="A58" s="82" t="s">
        <v>119</v>
      </c>
      <c r="B58" s="89"/>
      <c r="C58" s="96"/>
      <c r="D58" s="96"/>
      <c r="E58" s="96"/>
      <c r="F58" s="96"/>
      <c r="G58" s="96"/>
      <c r="H58" s="96"/>
      <c r="I58" s="96"/>
      <c r="J58" s="96"/>
      <c r="K58" s="96"/>
      <c r="L58" s="96"/>
      <c r="M58" s="96"/>
      <c r="N58" s="96"/>
      <c r="O58" s="96"/>
      <c r="P58" s="96"/>
      <c r="Q58" s="96"/>
      <c r="R58" s="96"/>
      <c r="S58" s="96"/>
      <c r="T58" s="96"/>
      <c r="U58" s="96"/>
      <c r="V58" s="96"/>
      <c r="W58" s="96"/>
      <c r="X58" s="96"/>
      <c r="Y58" s="96"/>
      <c r="Z58" s="96"/>
      <c r="AA58" s="96"/>
      <c r="AB58" s="96"/>
      <c r="AC58" s="96"/>
      <c r="AD58" s="96"/>
      <c r="AE58" s="104">
        <v>0.0</v>
      </c>
      <c r="AF58" s="104">
        <v>0.0</v>
      </c>
      <c r="AG58" s="104">
        <v>0.0</v>
      </c>
      <c r="AH58" s="104">
        <v>0.0</v>
      </c>
      <c r="AI58" s="104">
        <v>0.0</v>
      </c>
      <c r="AJ58" s="104">
        <v>0.0</v>
      </c>
      <c r="AK58" s="104">
        <v>0.0</v>
      </c>
      <c r="AL58" s="104">
        <v>0.0</v>
      </c>
      <c r="AM58" s="104">
        <v>0.0</v>
      </c>
      <c r="AN58" s="104">
        <v>0.0</v>
      </c>
      <c r="AO58" s="104">
        <v>0.0</v>
      </c>
      <c r="AP58" s="104">
        <v>0.0</v>
      </c>
      <c r="AQ58" s="104">
        <v>0.0</v>
      </c>
      <c r="AR58" s="104">
        <v>0.0</v>
      </c>
      <c r="AS58" s="104">
        <v>0.0</v>
      </c>
      <c r="AT58" s="104">
        <v>0.0</v>
      </c>
      <c r="AU58" s="104">
        <v>0.0</v>
      </c>
      <c r="AV58" s="104">
        <v>0.0</v>
      </c>
      <c r="AW58" s="104">
        <v>0.0</v>
      </c>
      <c r="AX58" s="104">
        <v>0.0</v>
      </c>
      <c r="AY58" s="105">
        <v>0.0</v>
      </c>
      <c r="AZ58" s="105">
        <v>0.0</v>
      </c>
      <c r="BA58" s="105">
        <v>0.0</v>
      </c>
      <c r="BB58" s="105">
        <v>0.0</v>
      </c>
      <c r="BC58" s="105">
        <v>0.0</v>
      </c>
      <c r="BD58" s="105">
        <v>0.0</v>
      </c>
      <c r="BE58" s="105">
        <v>0.0</v>
      </c>
      <c r="BF58" s="105">
        <v>0.0</v>
      </c>
      <c r="BG58" s="105">
        <v>0.0</v>
      </c>
      <c r="BH58" s="105">
        <v>0.0</v>
      </c>
      <c r="BI58" s="105">
        <v>0.0</v>
      </c>
      <c r="BJ58" s="105">
        <v>0.0</v>
      </c>
      <c r="BK58" s="105">
        <v>0.0</v>
      </c>
      <c r="BL58" s="105">
        <v>0.0</v>
      </c>
      <c r="BM58" s="105">
        <v>0.0</v>
      </c>
      <c r="BN58" s="105">
        <v>0.0</v>
      </c>
      <c r="BO58" s="105">
        <v>0.0</v>
      </c>
      <c r="BP58" s="105">
        <v>0.0</v>
      </c>
      <c r="BQ58" s="105">
        <v>0.0</v>
      </c>
      <c r="BR58" s="105">
        <v>0.0</v>
      </c>
      <c r="BS58" s="105">
        <v>0.0</v>
      </c>
      <c r="BT58" s="105">
        <v>0.0</v>
      </c>
      <c r="BU58" s="105">
        <v>0.0</v>
      </c>
      <c r="BV58" s="105">
        <v>0.0</v>
      </c>
    </row>
    <row r="59" ht="15.75" hidden="1" customHeight="1">
      <c r="A59" s="82" t="s">
        <v>105</v>
      </c>
      <c r="B59" s="9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76"/>
      <c r="AF59" s="76"/>
      <c r="AG59" s="76"/>
      <c r="AH59" s="76"/>
      <c r="AI59" s="76"/>
      <c r="AJ59" s="76"/>
      <c r="AK59" s="76"/>
      <c r="AL59" s="76"/>
      <c r="AM59" s="76"/>
      <c r="AN59" s="76"/>
      <c r="AO59" s="76"/>
      <c r="AP59" s="76"/>
      <c r="AQ59" s="76"/>
      <c r="AR59" s="76"/>
      <c r="AS59" s="76"/>
      <c r="AT59" s="76"/>
      <c r="AU59" s="76"/>
      <c r="AV59" s="76"/>
      <c r="AW59" s="76"/>
      <c r="AX59" s="76"/>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row>
    <row r="60" ht="15.75" hidden="1" customHeight="1">
      <c r="A60" s="82" t="s">
        <v>100</v>
      </c>
      <c r="B60" s="93"/>
      <c r="C60" s="96"/>
      <c r="D60" s="96"/>
      <c r="E60" s="96"/>
      <c r="F60" s="96"/>
      <c r="G60" s="96"/>
      <c r="H60" s="96"/>
      <c r="I60" s="96"/>
      <c r="J60" s="96"/>
      <c r="K60" s="96"/>
      <c r="L60" s="96"/>
      <c r="M60" s="96"/>
      <c r="N60" s="96"/>
      <c r="O60" s="96"/>
      <c r="P60" s="96"/>
      <c r="Q60" s="96"/>
      <c r="R60" s="96"/>
      <c r="S60" s="96"/>
      <c r="T60" s="96"/>
      <c r="U60" s="96"/>
      <c r="V60" s="96"/>
      <c r="W60" s="96"/>
      <c r="X60" s="96"/>
      <c r="Y60" s="96"/>
      <c r="Z60" s="96"/>
      <c r="AA60" s="96"/>
      <c r="AB60" s="96"/>
      <c r="AC60" s="96"/>
      <c r="AD60" s="96"/>
      <c r="AE60" s="76">
        <f t="shared" ref="AE60:BV60" si="38">IFERROR(IF(AE58&gt;0,SUM(AB61:AD61)/SUM(AB58:AD58),0),0)</f>
        <v>0</v>
      </c>
      <c r="AF60" s="76">
        <f t="shared" si="38"/>
        <v>0</v>
      </c>
      <c r="AG60" s="76">
        <f t="shared" si="38"/>
        <v>0</v>
      </c>
      <c r="AH60" s="76">
        <f t="shared" si="38"/>
        <v>0</v>
      </c>
      <c r="AI60" s="76">
        <f t="shared" si="38"/>
        <v>0</v>
      </c>
      <c r="AJ60" s="76">
        <f t="shared" si="38"/>
        <v>0</v>
      </c>
      <c r="AK60" s="76">
        <f t="shared" si="38"/>
        <v>0</v>
      </c>
      <c r="AL60" s="76">
        <f t="shared" si="38"/>
        <v>0</v>
      </c>
      <c r="AM60" s="76">
        <f t="shared" si="38"/>
        <v>0</v>
      </c>
      <c r="AN60" s="76">
        <f t="shared" si="38"/>
        <v>0</v>
      </c>
      <c r="AO60" s="76">
        <f t="shared" si="38"/>
        <v>0</v>
      </c>
      <c r="AP60" s="76">
        <f t="shared" si="38"/>
        <v>0</v>
      </c>
      <c r="AQ60" s="76">
        <f t="shared" si="38"/>
        <v>0</v>
      </c>
      <c r="AR60" s="76">
        <f t="shared" si="38"/>
        <v>0</v>
      </c>
      <c r="AS60" s="76">
        <f t="shared" si="38"/>
        <v>0</v>
      </c>
      <c r="AT60" s="76">
        <f t="shared" si="38"/>
        <v>0</v>
      </c>
      <c r="AU60" s="76">
        <f t="shared" si="38"/>
        <v>0</v>
      </c>
      <c r="AV60" s="76">
        <f t="shared" si="38"/>
        <v>0</v>
      </c>
      <c r="AW60" s="76">
        <f t="shared" si="38"/>
        <v>0</v>
      </c>
      <c r="AX60" s="76">
        <f t="shared" si="38"/>
        <v>0</v>
      </c>
      <c r="AY60" s="94">
        <f t="shared" si="38"/>
        <v>0</v>
      </c>
      <c r="AZ60" s="94">
        <f t="shared" si="38"/>
        <v>0</v>
      </c>
      <c r="BA60" s="94">
        <f t="shared" si="38"/>
        <v>0</v>
      </c>
      <c r="BB60" s="94">
        <f t="shared" si="38"/>
        <v>0</v>
      </c>
      <c r="BC60" s="94">
        <f t="shared" si="38"/>
        <v>0</v>
      </c>
      <c r="BD60" s="94">
        <f t="shared" si="38"/>
        <v>0</v>
      </c>
      <c r="BE60" s="94">
        <f t="shared" si="38"/>
        <v>0</v>
      </c>
      <c r="BF60" s="94">
        <f t="shared" si="38"/>
        <v>0</v>
      </c>
      <c r="BG60" s="94">
        <f t="shared" si="38"/>
        <v>0</v>
      </c>
      <c r="BH60" s="94">
        <f t="shared" si="38"/>
        <v>0</v>
      </c>
      <c r="BI60" s="94">
        <f t="shared" si="38"/>
        <v>0</v>
      </c>
      <c r="BJ60" s="94">
        <f t="shared" si="38"/>
        <v>0</v>
      </c>
      <c r="BK60" s="94">
        <f t="shared" si="38"/>
        <v>0</v>
      </c>
      <c r="BL60" s="94">
        <f t="shared" si="38"/>
        <v>0</v>
      </c>
      <c r="BM60" s="94">
        <f t="shared" si="38"/>
        <v>0</v>
      </c>
      <c r="BN60" s="94">
        <f t="shared" si="38"/>
        <v>0</v>
      </c>
      <c r="BO60" s="94">
        <f t="shared" si="38"/>
        <v>0</v>
      </c>
      <c r="BP60" s="94">
        <f t="shared" si="38"/>
        <v>0</v>
      </c>
      <c r="BQ60" s="94">
        <f t="shared" si="38"/>
        <v>0</v>
      </c>
      <c r="BR60" s="94">
        <f t="shared" si="38"/>
        <v>0</v>
      </c>
      <c r="BS60" s="94">
        <f t="shared" si="38"/>
        <v>0</v>
      </c>
      <c r="BT60" s="94">
        <f t="shared" si="38"/>
        <v>0</v>
      </c>
      <c r="BU60" s="94">
        <f t="shared" si="38"/>
        <v>0</v>
      </c>
      <c r="BV60" s="94">
        <f t="shared" si="38"/>
        <v>0</v>
      </c>
    </row>
    <row r="61" ht="15.75" hidden="1" customHeight="1">
      <c r="A61" s="82" t="s">
        <v>121</v>
      </c>
      <c r="B61" s="95"/>
      <c r="C61" s="96"/>
      <c r="D61" s="96"/>
      <c r="E61" s="96"/>
      <c r="F61" s="96"/>
      <c r="G61" s="96"/>
      <c r="H61" s="96"/>
      <c r="I61" s="96"/>
      <c r="J61" s="96"/>
      <c r="K61" s="96"/>
      <c r="L61" s="96"/>
      <c r="M61" s="96"/>
      <c r="N61" s="96"/>
      <c r="O61" s="96"/>
      <c r="P61" s="96"/>
      <c r="Q61" s="96"/>
      <c r="R61" s="96"/>
      <c r="S61" s="96"/>
      <c r="T61" s="96"/>
      <c r="U61" s="96"/>
      <c r="V61" s="96"/>
      <c r="W61" s="96"/>
      <c r="X61" s="96"/>
      <c r="Y61" s="96"/>
      <c r="Z61" s="96"/>
      <c r="AA61" s="96"/>
      <c r="AB61" s="96"/>
      <c r="AC61" s="96"/>
      <c r="AD61" s="96"/>
      <c r="AE61" s="96">
        <f t="shared" ref="AE61:BV61" si="39">AE58*AE60</f>
        <v>0</v>
      </c>
      <c r="AF61" s="96">
        <f t="shared" si="39"/>
        <v>0</v>
      </c>
      <c r="AG61" s="96">
        <f t="shared" si="39"/>
        <v>0</v>
      </c>
      <c r="AH61" s="96">
        <f t="shared" si="39"/>
        <v>0</v>
      </c>
      <c r="AI61" s="96">
        <f t="shared" si="39"/>
        <v>0</v>
      </c>
      <c r="AJ61" s="96">
        <f t="shared" si="39"/>
        <v>0</v>
      </c>
      <c r="AK61" s="96">
        <f t="shared" si="39"/>
        <v>0</v>
      </c>
      <c r="AL61" s="96">
        <f t="shared" si="39"/>
        <v>0</v>
      </c>
      <c r="AM61" s="96">
        <f t="shared" si="39"/>
        <v>0</v>
      </c>
      <c r="AN61" s="96">
        <f t="shared" si="39"/>
        <v>0</v>
      </c>
      <c r="AO61" s="96">
        <f t="shared" si="39"/>
        <v>0</v>
      </c>
      <c r="AP61" s="96">
        <f t="shared" si="39"/>
        <v>0</v>
      </c>
      <c r="AQ61" s="96">
        <f t="shared" si="39"/>
        <v>0</v>
      </c>
      <c r="AR61" s="96">
        <f t="shared" si="39"/>
        <v>0</v>
      </c>
      <c r="AS61" s="96">
        <f t="shared" si="39"/>
        <v>0</v>
      </c>
      <c r="AT61" s="96">
        <f t="shared" si="39"/>
        <v>0</v>
      </c>
      <c r="AU61" s="96">
        <f t="shared" si="39"/>
        <v>0</v>
      </c>
      <c r="AV61" s="96">
        <f t="shared" si="39"/>
        <v>0</v>
      </c>
      <c r="AW61" s="96">
        <f t="shared" si="39"/>
        <v>0</v>
      </c>
      <c r="AX61" s="96">
        <f t="shared" si="39"/>
        <v>0</v>
      </c>
      <c r="AY61" s="97">
        <f t="shared" si="39"/>
        <v>0</v>
      </c>
      <c r="AZ61" s="97">
        <f t="shared" si="39"/>
        <v>0</v>
      </c>
      <c r="BA61" s="97">
        <f t="shared" si="39"/>
        <v>0</v>
      </c>
      <c r="BB61" s="97">
        <f t="shared" si="39"/>
        <v>0</v>
      </c>
      <c r="BC61" s="97">
        <f t="shared" si="39"/>
        <v>0</v>
      </c>
      <c r="BD61" s="97">
        <f t="shared" si="39"/>
        <v>0</v>
      </c>
      <c r="BE61" s="97">
        <f t="shared" si="39"/>
        <v>0</v>
      </c>
      <c r="BF61" s="97">
        <f t="shared" si="39"/>
        <v>0</v>
      </c>
      <c r="BG61" s="97">
        <f t="shared" si="39"/>
        <v>0</v>
      </c>
      <c r="BH61" s="97">
        <f t="shared" si="39"/>
        <v>0</v>
      </c>
      <c r="BI61" s="97">
        <f t="shared" si="39"/>
        <v>0</v>
      </c>
      <c r="BJ61" s="97">
        <f t="shared" si="39"/>
        <v>0</v>
      </c>
      <c r="BK61" s="97">
        <f t="shared" si="39"/>
        <v>0</v>
      </c>
      <c r="BL61" s="97">
        <f t="shared" si="39"/>
        <v>0</v>
      </c>
      <c r="BM61" s="97">
        <f t="shared" si="39"/>
        <v>0</v>
      </c>
      <c r="BN61" s="97">
        <f t="shared" si="39"/>
        <v>0</v>
      </c>
      <c r="BO61" s="97">
        <f t="shared" si="39"/>
        <v>0</v>
      </c>
      <c r="BP61" s="97">
        <f t="shared" si="39"/>
        <v>0</v>
      </c>
      <c r="BQ61" s="97">
        <f t="shared" si="39"/>
        <v>0</v>
      </c>
      <c r="BR61" s="97">
        <f t="shared" si="39"/>
        <v>0</v>
      </c>
      <c r="BS61" s="97">
        <f t="shared" si="39"/>
        <v>0</v>
      </c>
      <c r="BT61" s="97">
        <f t="shared" si="39"/>
        <v>0</v>
      </c>
      <c r="BU61" s="97">
        <f t="shared" si="39"/>
        <v>0</v>
      </c>
      <c r="BV61" s="97">
        <f t="shared" si="39"/>
        <v>0</v>
      </c>
    </row>
    <row r="62" ht="15.75" hidden="1" customHeight="1">
      <c r="A62" s="87"/>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row>
    <row r="63" ht="15.75" customHeight="1">
      <c r="A63" s="82"/>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88"/>
      <c r="AZ63" s="88"/>
      <c r="BA63" s="88"/>
      <c r="BB63" s="88"/>
      <c r="BC63" s="88"/>
      <c r="BD63" s="88"/>
      <c r="BE63" s="88"/>
      <c r="BF63" s="88"/>
      <c r="BG63" s="88"/>
      <c r="BH63" s="88"/>
      <c r="BI63" s="88"/>
      <c r="BJ63" s="88"/>
      <c r="BK63" s="88"/>
      <c r="BL63" s="88"/>
      <c r="BM63" s="88"/>
      <c r="BN63" s="88"/>
      <c r="BO63" s="88"/>
      <c r="BP63" s="88"/>
      <c r="BQ63" s="88"/>
      <c r="BR63" s="88"/>
      <c r="BS63" s="88"/>
      <c r="BT63" s="88"/>
      <c r="BU63" s="88"/>
      <c r="BV63" s="88"/>
    </row>
    <row r="64" ht="15.75" customHeight="1">
      <c r="A64" s="82" t="s">
        <v>123</v>
      </c>
      <c r="B64" s="44"/>
      <c r="C64" s="76">
        <f t="shared" ref="C64:BV64" si="40">C7+C12+C31-C37-C45</f>
        <v>9</v>
      </c>
      <c r="D64" s="76">
        <f t="shared" si="40"/>
        <v>9</v>
      </c>
      <c r="E64" s="76">
        <f t="shared" si="40"/>
        <v>10</v>
      </c>
      <c r="F64" s="76">
        <f t="shared" si="40"/>
        <v>10</v>
      </c>
      <c r="G64" s="76">
        <f t="shared" si="40"/>
        <v>13</v>
      </c>
      <c r="H64" s="76">
        <f t="shared" si="40"/>
        <v>8</v>
      </c>
      <c r="I64" s="76">
        <f t="shared" si="40"/>
        <v>17</v>
      </c>
      <c r="J64" s="76">
        <f t="shared" si="40"/>
        <v>9</v>
      </c>
      <c r="K64" s="76">
        <f t="shared" si="40"/>
        <v>9</v>
      </c>
      <c r="L64" s="76">
        <f t="shared" si="40"/>
        <v>9</v>
      </c>
      <c r="M64" s="76">
        <f t="shared" si="40"/>
        <v>9</v>
      </c>
      <c r="N64" s="76">
        <f t="shared" si="40"/>
        <v>11</v>
      </c>
      <c r="O64" s="76">
        <f t="shared" si="40"/>
        <v>10</v>
      </c>
      <c r="P64" s="76">
        <f t="shared" si="40"/>
        <v>20</v>
      </c>
      <c r="Q64" s="76">
        <f t="shared" si="40"/>
        <v>11</v>
      </c>
      <c r="R64" s="76">
        <f t="shared" si="40"/>
        <v>34</v>
      </c>
      <c r="S64" s="76">
        <f t="shared" si="40"/>
        <v>14</v>
      </c>
      <c r="T64" s="76">
        <f t="shared" si="40"/>
        <v>22</v>
      </c>
      <c r="U64" s="76">
        <f t="shared" si="40"/>
        <v>23</v>
      </c>
      <c r="V64" s="76">
        <f t="shared" si="40"/>
        <v>24</v>
      </c>
      <c r="W64" s="76">
        <f t="shared" si="40"/>
        <v>17</v>
      </c>
      <c r="X64" s="76">
        <f t="shared" si="40"/>
        <v>12</v>
      </c>
      <c r="Y64" s="76">
        <f t="shared" si="40"/>
        <v>16</v>
      </c>
      <c r="Z64" s="76">
        <f t="shared" si="40"/>
        <v>21</v>
      </c>
      <c r="AA64" s="76">
        <f t="shared" si="40"/>
        <v>24</v>
      </c>
      <c r="AB64" s="76">
        <f t="shared" si="40"/>
        <v>22</v>
      </c>
      <c r="AC64" s="76">
        <f t="shared" si="40"/>
        <v>11</v>
      </c>
      <c r="AD64" s="76">
        <f t="shared" si="40"/>
        <v>2</v>
      </c>
      <c r="AE64" s="96">
        <f t="shared" si="40"/>
        <v>5.258</v>
      </c>
      <c r="AF64" s="96">
        <f t="shared" si="40"/>
        <v>8.65113</v>
      </c>
      <c r="AG64" s="96">
        <f t="shared" si="40"/>
        <v>12.04899957</v>
      </c>
      <c r="AH64" s="96">
        <f t="shared" si="40"/>
        <v>10.91646057</v>
      </c>
      <c r="AI64" s="96">
        <f t="shared" si="40"/>
        <v>12.10612869</v>
      </c>
      <c r="AJ64" s="96">
        <f t="shared" si="40"/>
        <v>12.99717353</v>
      </c>
      <c r="AK64" s="96">
        <f t="shared" si="40"/>
        <v>12.88019897</v>
      </c>
      <c r="AL64" s="96">
        <f t="shared" si="40"/>
        <v>13.76427718</v>
      </c>
      <c r="AM64" s="96">
        <f t="shared" si="40"/>
        <v>13.64039868</v>
      </c>
      <c r="AN64" s="96">
        <f t="shared" si="40"/>
        <v>14.5176351</v>
      </c>
      <c r="AO64" s="96">
        <f t="shared" si="40"/>
        <v>14.38697638</v>
      </c>
      <c r="AP64" s="96">
        <f t="shared" si="40"/>
        <v>15.25749359</v>
      </c>
      <c r="AQ64" s="96">
        <f t="shared" si="40"/>
        <v>16.12017615</v>
      </c>
      <c r="AR64" s="96">
        <f t="shared" si="40"/>
        <v>15.97509456</v>
      </c>
      <c r="AS64" s="96">
        <f t="shared" si="40"/>
        <v>16.83131871</v>
      </c>
      <c r="AT64" s="96">
        <f t="shared" si="40"/>
        <v>16.67983684</v>
      </c>
      <c r="AU64" s="96">
        <f t="shared" si="40"/>
        <v>17.52971831</v>
      </c>
      <c r="AV64" s="96">
        <f t="shared" si="40"/>
        <v>18.37195085</v>
      </c>
      <c r="AW64" s="96">
        <f t="shared" si="40"/>
        <v>18.20660329</v>
      </c>
      <c r="AX64" s="96">
        <f t="shared" si="40"/>
        <v>19.04274386</v>
      </c>
      <c r="AY64" s="97">
        <f t="shared" si="40"/>
        <v>17.87135917</v>
      </c>
      <c r="AZ64" s="97">
        <f t="shared" si="40"/>
        <v>18.71051693</v>
      </c>
      <c r="BA64" s="97">
        <f t="shared" si="40"/>
        <v>18.54212228</v>
      </c>
      <c r="BB64" s="97">
        <f t="shared" si="40"/>
        <v>18.37524318</v>
      </c>
      <c r="BC64" s="97">
        <f t="shared" si="40"/>
        <v>18.20986599</v>
      </c>
      <c r="BD64" s="97">
        <f t="shared" si="40"/>
        <v>19.0459772</v>
      </c>
      <c r="BE64" s="97">
        <f t="shared" si="40"/>
        <v>18.8745634</v>
      </c>
      <c r="BF64" s="97">
        <f t="shared" si="40"/>
        <v>19.70469233</v>
      </c>
      <c r="BG64" s="97">
        <f t="shared" si="40"/>
        <v>19.5273501</v>
      </c>
      <c r="BH64" s="97">
        <f t="shared" si="40"/>
        <v>19.35160395</v>
      </c>
      <c r="BI64" s="97">
        <f t="shared" si="40"/>
        <v>20.17743952</v>
      </c>
      <c r="BJ64" s="97">
        <f t="shared" si="40"/>
        <v>19.99584256</v>
      </c>
      <c r="BK64" s="97">
        <f t="shared" si="40"/>
        <v>19.81587998</v>
      </c>
      <c r="BL64" s="97">
        <f t="shared" si="40"/>
        <v>20.63753706</v>
      </c>
      <c r="BM64" s="97">
        <f t="shared" si="40"/>
        <v>20.45179922</v>
      </c>
      <c r="BN64" s="97">
        <f t="shared" si="40"/>
        <v>21.26773303</v>
      </c>
      <c r="BO64" s="97">
        <f t="shared" si="40"/>
        <v>21.07632343</v>
      </c>
      <c r="BP64" s="97">
        <f t="shared" si="40"/>
        <v>20.88663652</v>
      </c>
      <c r="BQ64" s="97">
        <f t="shared" si="40"/>
        <v>21.69865679</v>
      </c>
      <c r="BR64" s="97">
        <f t="shared" si="40"/>
        <v>21.50336888</v>
      </c>
      <c r="BS64" s="97">
        <f t="shared" si="40"/>
        <v>22.30983856</v>
      </c>
      <c r="BT64" s="97">
        <f t="shared" si="40"/>
        <v>22.10905002</v>
      </c>
      <c r="BU64" s="97">
        <f t="shared" si="40"/>
        <v>22.91006857</v>
      </c>
      <c r="BV64" s="97">
        <f t="shared" si="40"/>
        <v>22.70387795</v>
      </c>
    </row>
    <row r="65" ht="15.75" customHeight="1">
      <c r="A65" s="112" t="s">
        <v>124</v>
      </c>
      <c r="B65" s="44"/>
      <c r="C65" s="90">
        <f>SUMIFS(MRR_Export_Total_Customer_Count,MRR_Export_Months,"&gt;="&amp;C$1,MRR_Export_Months,"&lt;"&amp;D$1)</f>
        <v>237</v>
      </c>
      <c r="D65" s="90">
        <f>SUMIFS(MRR_Export_Total_Customer_Count,MRR_Export_Months,"&gt;="&amp;D$1,MRR_Export_Months,"&lt;"&amp;E$1)</f>
        <v>218</v>
      </c>
      <c r="E65" s="90">
        <f>SUMIFS(MRR_Export_Total_Customer_Count,MRR_Export_Months,"&gt;="&amp;E$1,MRR_Export_Months,"&lt;"&amp;F$1)</f>
        <v>228</v>
      </c>
      <c r="F65" s="90">
        <f>SUMIFS(MRR_Export_Total_Customer_Count,MRR_Export_Months,"&gt;="&amp;F$1,MRR_Export_Months,"&lt;"&amp;G$1)</f>
        <v>238</v>
      </c>
      <c r="G65" s="90">
        <f>SUMIFS(MRR_Export_Total_Customer_Count,MRR_Export_Months,"&gt;="&amp;G$1,MRR_Export_Months,"&lt;"&amp;H$1)</f>
        <v>251</v>
      </c>
      <c r="H65" s="90">
        <f>SUMIFS(MRR_Export_Total_Customer_Count,MRR_Export_Months,"&gt;="&amp;H$1,MRR_Export_Months,"&lt;"&amp;I$1)</f>
        <v>259</v>
      </c>
      <c r="I65" s="90">
        <f>SUMIFS(MRR_Export_Total_Customer_Count,MRR_Export_Months,"&gt;="&amp;I$1,MRR_Export_Months,"&lt;"&amp;J$1)</f>
        <v>276</v>
      </c>
      <c r="J65" s="90">
        <f>SUMIFS(MRR_Export_Total_Customer_Count,MRR_Export_Months,"&gt;="&amp;J$1,MRR_Export_Months,"&lt;"&amp;K$1)</f>
        <v>285</v>
      </c>
      <c r="K65" s="90">
        <f>SUMIFS(MRR_Export_Total_Customer_Count,MRR_Export_Months,"&gt;="&amp;K$1,MRR_Export_Months,"&lt;"&amp;L$1)</f>
        <v>294</v>
      </c>
      <c r="L65" s="90">
        <f>SUMIFS(MRR_Export_Total_Customer_Count,MRR_Export_Months,"&gt;="&amp;L$1,MRR_Export_Months,"&lt;"&amp;M$1)</f>
        <v>303</v>
      </c>
      <c r="M65" s="90">
        <f>SUMIFS(MRR_Export_Total_Customer_Count,MRR_Export_Months,"&gt;="&amp;M$1,MRR_Export_Months,"&lt;"&amp;N$1)</f>
        <v>312</v>
      </c>
      <c r="N65" s="90">
        <f>SUMIFS(MRR_Export_Total_Customer_Count,MRR_Export_Months,"&gt;="&amp;N$1,MRR_Export_Months,"&lt;"&amp;O$1)</f>
        <v>323</v>
      </c>
      <c r="O65" s="90">
        <f>SUMIFS(MRR_Export_Total_Customer_Count,MRR_Export_Months,"&gt;="&amp;O$1,MRR_Export_Months,"&lt;"&amp;P$1)</f>
        <v>333</v>
      </c>
      <c r="P65" s="90">
        <f>SUMIFS(MRR_Export_Total_Customer_Count,MRR_Export_Months,"&gt;="&amp;P$1,MRR_Export_Months,"&lt;"&amp;Q$1)</f>
        <v>353</v>
      </c>
      <c r="Q65" s="90">
        <f>SUMIFS(MRR_Export_Total_Customer_Count,MRR_Export_Months,"&gt;="&amp;Q$1,MRR_Export_Months,"&lt;"&amp;R$1)</f>
        <v>364</v>
      </c>
      <c r="R65" s="90">
        <f>SUMIFS(MRR_Export_Total_Customer_Count,MRR_Export_Months,"&gt;="&amp;R$1,MRR_Export_Months,"&lt;"&amp;S$1)</f>
        <v>398</v>
      </c>
      <c r="S65" s="90">
        <f>SUMIFS(MRR_Export_Total_Customer_Count,MRR_Export_Months,"&gt;="&amp;S$1,MRR_Export_Months,"&lt;"&amp;T$1)</f>
        <v>412</v>
      </c>
      <c r="T65" s="90">
        <f>SUMIFS(MRR_Export_Total_Customer_Count,MRR_Export_Months,"&gt;="&amp;T$1,MRR_Export_Months,"&lt;"&amp;U$1)</f>
        <v>434</v>
      </c>
      <c r="U65" s="90">
        <f>SUMIFS(MRR_Export_Total_Customer_Count,MRR_Export_Months,"&gt;="&amp;U$1,MRR_Export_Months,"&lt;"&amp;V$1)</f>
        <v>457</v>
      </c>
      <c r="V65" s="90">
        <f>SUMIFS(MRR_Export_Total_Customer_Count,MRR_Export_Months,"&gt;="&amp;V$1,MRR_Export_Months,"&lt;"&amp;W$1)</f>
        <v>479</v>
      </c>
      <c r="W65" s="90">
        <f>SUMIFS(MRR_Export_Total_Customer_Count,MRR_Export_Months,"&gt;="&amp;W$1,MRR_Export_Months,"&lt;"&amp;X$1)</f>
        <v>496</v>
      </c>
      <c r="X65" s="90">
        <f>SUMIFS(MRR_Export_Total_Customer_Count,MRR_Export_Months,"&gt;="&amp;X$1,MRR_Export_Months,"&lt;"&amp;Y$1)</f>
        <v>508</v>
      </c>
      <c r="Y65" s="90">
        <f>SUMIFS(MRR_Export_Total_Customer_Count,MRR_Export_Months,"&gt;="&amp;Y$1,MRR_Export_Months,"&lt;"&amp;Z$1)</f>
        <v>524</v>
      </c>
      <c r="Z65" s="90">
        <f>SUMIFS(MRR_Export_Total_Customer_Count,MRR_Export_Months,"&gt;="&amp;Z$1,MRR_Export_Months,"&lt;"&amp;AA$1)</f>
        <v>545</v>
      </c>
      <c r="AA65" s="90">
        <f>SUMIFS(MRR_Export_Total_Customer_Count,MRR_Export_Months,"&gt;="&amp;AA$1,MRR_Export_Months,"&lt;"&amp;AB$1)</f>
        <v>571</v>
      </c>
      <c r="AB65" s="90">
        <f>SUMIFS(MRR_Export_Total_Customer_Count,MRR_Export_Months,"&gt;="&amp;AB$1,MRR_Export_Months,"&lt;"&amp;AC$1)</f>
        <v>605</v>
      </c>
      <c r="AC65" s="90">
        <f>SUMIFS(MRR_Export_Total_Customer_Count,MRR_Export_Months,"&gt;="&amp;AC$1,MRR_Export_Months,"&lt;"&amp;AD$1)</f>
        <v>616</v>
      </c>
      <c r="AD65" s="90">
        <f>SUMIFS(MRR_Export_Total_Customer_Count,MRR_Export_Months,"&gt;="&amp;AD$1,MRR_Export_Months,"&lt;"&amp;AE$1)</f>
        <v>618</v>
      </c>
      <c r="AE65" s="96">
        <f t="shared" ref="AE65:BV65" si="41">AD65+AE64</f>
        <v>623.258</v>
      </c>
      <c r="AF65" s="96">
        <f t="shared" si="41"/>
        <v>631.90913</v>
      </c>
      <c r="AG65" s="96">
        <f t="shared" si="41"/>
        <v>643.9581296</v>
      </c>
      <c r="AH65" s="96">
        <f t="shared" si="41"/>
        <v>654.8745901</v>
      </c>
      <c r="AI65" s="96">
        <f t="shared" si="41"/>
        <v>666.9807188</v>
      </c>
      <c r="AJ65" s="96">
        <f t="shared" si="41"/>
        <v>679.9778924</v>
      </c>
      <c r="AK65" s="96">
        <f t="shared" si="41"/>
        <v>692.8580913</v>
      </c>
      <c r="AL65" s="96">
        <f t="shared" si="41"/>
        <v>706.6223685</v>
      </c>
      <c r="AM65" s="96">
        <f t="shared" si="41"/>
        <v>720.2627672</v>
      </c>
      <c r="AN65" s="96">
        <f t="shared" si="41"/>
        <v>734.7804023</v>
      </c>
      <c r="AO65" s="96">
        <f t="shared" si="41"/>
        <v>749.1673787</v>
      </c>
      <c r="AP65" s="96">
        <f t="shared" si="41"/>
        <v>764.4248723</v>
      </c>
      <c r="AQ65" s="96">
        <f t="shared" si="41"/>
        <v>780.5450484</v>
      </c>
      <c r="AR65" s="96">
        <f t="shared" si="41"/>
        <v>796.520143</v>
      </c>
      <c r="AS65" s="96">
        <f t="shared" si="41"/>
        <v>813.3514617</v>
      </c>
      <c r="AT65" s="96">
        <f t="shared" si="41"/>
        <v>830.0312985</v>
      </c>
      <c r="AU65" s="96">
        <f t="shared" si="41"/>
        <v>847.5610168</v>
      </c>
      <c r="AV65" s="96">
        <f t="shared" si="41"/>
        <v>865.9329677</v>
      </c>
      <c r="AW65" s="96">
        <f t="shared" si="41"/>
        <v>884.139571</v>
      </c>
      <c r="AX65" s="96">
        <f t="shared" si="41"/>
        <v>903.1823148</v>
      </c>
      <c r="AY65" s="97">
        <f t="shared" si="41"/>
        <v>921.053674</v>
      </c>
      <c r="AZ65" s="97">
        <f t="shared" si="41"/>
        <v>939.7641909</v>
      </c>
      <c r="BA65" s="97">
        <f t="shared" si="41"/>
        <v>958.3063132</v>
      </c>
      <c r="BB65" s="97">
        <f t="shared" si="41"/>
        <v>976.6815564</v>
      </c>
      <c r="BC65" s="97">
        <f t="shared" si="41"/>
        <v>994.8914224</v>
      </c>
      <c r="BD65" s="97">
        <f t="shared" si="41"/>
        <v>1013.9374</v>
      </c>
      <c r="BE65" s="97">
        <f t="shared" si="41"/>
        <v>1032.811963</v>
      </c>
      <c r="BF65" s="97">
        <f t="shared" si="41"/>
        <v>1052.516655</v>
      </c>
      <c r="BG65" s="97">
        <f t="shared" si="41"/>
        <v>1072.044005</v>
      </c>
      <c r="BH65" s="97">
        <f t="shared" si="41"/>
        <v>1091.395609</v>
      </c>
      <c r="BI65" s="97">
        <f t="shared" si="41"/>
        <v>1111.573049</v>
      </c>
      <c r="BJ65" s="97">
        <f t="shared" si="41"/>
        <v>1131.568891</v>
      </c>
      <c r="BK65" s="97">
        <f t="shared" si="41"/>
        <v>1151.384771</v>
      </c>
      <c r="BL65" s="97">
        <f t="shared" si="41"/>
        <v>1172.022308</v>
      </c>
      <c r="BM65" s="97">
        <f t="shared" si="41"/>
        <v>1192.474108</v>
      </c>
      <c r="BN65" s="97">
        <f t="shared" si="41"/>
        <v>1213.741841</v>
      </c>
      <c r="BO65" s="97">
        <f t="shared" si="41"/>
        <v>1234.818164</v>
      </c>
      <c r="BP65" s="97">
        <f t="shared" si="41"/>
        <v>1255.704801</v>
      </c>
      <c r="BQ65" s="97">
        <f t="shared" si="41"/>
        <v>1277.403458</v>
      </c>
      <c r="BR65" s="97">
        <f t="shared" si="41"/>
        <v>1298.906826</v>
      </c>
      <c r="BS65" s="97">
        <f t="shared" si="41"/>
        <v>1321.216665</v>
      </c>
      <c r="BT65" s="97">
        <f t="shared" si="41"/>
        <v>1343.325715</v>
      </c>
      <c r="BU65" s="97">
        <f t="shared" si="41"/>
        <v>1366.235784</v>
      </c>
      <c r="BV65" s="97">
        <f t="shared" si="41"/>
        <v>1388.939661</v>
      </c>
    </row>
    <row r="66" ht="15.75" customHeight="1">
      <c r="A66" s="87"/>
      <c r="B66" s="96"/>
      <c r="C66" s="96"/>
      <c r="D66" s="96"/>
      <c r="E66" s="96"/>
      <c r="F66" s="96"/>
      <c r="G66" s="96"/>
      <c r="H66" s="96"/>
      <c r="I66" s="96"/>
      <c r="J66" s="96"/>
      <c r="K66" s="96"/>
      <c r="L66" s="96"/>
      <c r="M66" s="96"/>
      <c r="N66" s="96"/>
      <c r="O66" s="96"/>
      <c r="P66" s="96"/>
      <c r="Q66" s="96"/>
      <c r="R66" s="96"/>
      <c r="S66" s="96"/>
      <c r="T66" s="96"/>
      <c r="U66" s="96"/>
      <c r="V66" s="96"/>
      <c r="W66" s="96"/>
      <c r="X66" s="96"/>
      <c r="Y66" s="96"/>
      <c r="Z66" s="96"/>
      <c r="AA66" s="96"/>
      <c r="AB66" s="96"/>
      <c r="AC66" s="96"/>
      <c r="AD66" s="96"/>
      <c r="AE66" s="113"/>
      <c r="AF66" s="113"/>
      <c r="AG66" s="113"/>
      <c r="AH66" s="113"/>
      <c r="AI66" s="113"/>
      <c r="AJ66" s="113"/>
      <c r="AK66" s="113"/>
      <c r="AL66" s="113"/>
      <c r="AM66" s="113"/>
      <c r="AN66" s="113"/>
      <c r="AO66" s="113"/>
      <c r="AP66" s="113"/>
      <c r="AQ66" s="113"/>
      <c r="AR66" s="113"/>
      <c r="AS66" s="113"/>
      <c r="AT66" s="113"/>
      <c r="AU66" s="113"/>
      <c r="AV66" s="113"/>
      <c r="AW66" s="113"/>
      <c r="AX66" s="114" t="s">
        <v>125</v>
      </c>
      <c r="AY66" s="110">
        <v>0.03</v>
      </c>
      <c r="AZ66" s="110">
        <v>0.03</v>
      </c>
      <c r="BA66" s="110">
        <v>0.03</v>
      </c>
      <c r="BB66" s="110">
        <v>0.03</v>
      </c>
      <c r="BC66" s="110">
        <v>0.03</v>
      </c>
      <c r="BD66" s="110">
        <v>0.03</v>
      </c>
      <c r="BE66" s="110">
        <v>0.03</v>
      </c>
      <c r="BF66" s="110">
        <v>0.03</v>
      </c>
      <c r="BG66" s="110">
        <v>0.03</v>
      </c>
      <c r="BH66" s="110">
        <v>0.03</v>
      </c>
      <c r="BI66" s="110">
        <v>0.03</v>
      </c>
      <c r="BJ66" s="110">
        <v>0.03</v>
      </c>
      <c r="BK66" s="110">
        <v>0.03</v>
      </c>
      <c r="BL66" s="110">
        <v>0.03</v>
      </c>
      <c r="BM66" s="110">
        <v>0.03</v>
      </c>
      <c r="BN66" s="110">
        <v>0.03</v>
      </c>
      <c r="BO66" s="110">
        <v>0.03</v>
      </c>
      <c r="BP66" s="110">
        <v>0.03</v>
      </c>
      <c r="BQ66" s="110">
        <v>0.03</v>
      </c>
      <c r="BR66" s="110">
        <v>0.03</v>
      </c>
      <c r="BS66" s="110">
        <v>0.03</v>
      </c>
      <c r="BT66" s="110">
        <v>0.03</v>
      </c>
      <c r="BU66" s="110">
        <v>0.03</v>
      </c>
      <c r="BV66" s="110">
        <v>0.03</v>
      </c>
    </row>
    <row r="67" ht="15.75" customHeight="1">
      <c r="A67" s="82" t="s">
        <v>126</v>
      </c>
      <c r="B67" s="96"/>
      <c r="C67" s="76">
        <f t="shared" ref="C67:AX67" si="42">C9+C14+C21+C27+C33+C40+C48+C55+C61</f>
        <v>15234</v>
      </c>
      <c r="D67" s="76">
        <f t="shared" si="42"/>
        <v>17687</v>
      </c>
      <c r="E67" s="76">
        <f t="shared" si="42"/>
        <v>19464</v>
      </c>
      <c r="F67" s="76">
        <f t="shared" si="42"/>
        <v>20249</v>
      </c>
      <c r="G67" s="76">
        <f t="shared" si="42"/>
        <v>25254</v>
      </c>
      <c r="H67" s="76">
        <f t="shared" si="42"/>
        <v>15441</v>
      </c>
      <c r="I67" s="76">
        <f t="shared" si="42"/>
        <v>24628</v>
      </c>
      <c r="J67" s="76">
        <f t="shared" si="42"/>
        <v>13979</v>
      </c>
      <c r="K67" s="76">
        <f t="shared" si="42"/>
        <v>13845</v>
      </c>
      <c r="L67" s="76">
        <f t="shared" si="42"/>
        <v>13187</v>
      </c>
      <c r="M67" s="76">
        <f t="shared" si="42"/>
        <v>13090</v>
      </c>
      <c r="N67" s="76">
        <f t="shared" si="42"/>
        <v>12451</v>
      </c>
      <c r="O67" s="76">
        <f t="shared" si="42"/>
        <v>13555</v>
      </c>
      <c r="P67" s="76">
        <f t="shared" si="42"/>
        <v>23041</v>
      </c>
      <c r="Q67" s="76">
        <f t="shared" si="42"/>
        <v>12294</v>
      </c>
      <c r="R67" s="76">
        <f t="shared" si="42"/>
        <v>57351</v>
      </c>
      <c r="S67" s="76">
        <f t="shared" si="42"/>
        <v>15166</v>
      </c>
      <c r="T67" s="76">
        <f t="shared" si="42"/>
        <v>23434</v>
      </c>
      <c r="U67" s="76">
        <f t="shared" si="42"/>
        <v>20030.30143</v>
      </c>
      <c r="V67" s="76">
        <f t="shared" si="42"/>
        <v>26493.35866</v>
      </c>
      <c r="W67" s="76">
        <f t="shared" si="42"/>
        <v>26054.85019</v>
      </c>
      <c r="X67" s="76">
        <f t="shared" si="42"/>
        <v>23495.85019</v>
      </c>
      <c r="Y67" s="76">
        <f t="shared" si="42"/>
        <v>21763.85019</v>
      </c>
      <c r="Z67" s="76">
        <f t="shared" si="42"/>
        <v>20960.85019</v>
      </c>
      <c r="AA67" s="76">
        <f t="shared" si="42"/>
        <v>22458.85019</v>
      </c>
      <c r="AB67" s="76">
        <f t="shared" si="42"/>
        <v>25563.85019</v>
      </c>
      <c r="AC67" s="76">
        <f t="shared" si="42"/>
        <v>-4145</v>
      </c>
      <c r="AD67" s="76">
        <f t="shared" si="42"/>
        <v>-25456</v>
      </c>
      <c r="AE67" s="96">
        <f t="shared" si="42"/>
        <v>-14357.33231</v>
      </c>
      <c r="AF67" s="96">
        <f t="shared" si="42"/>
        <v>-3510.530546</v>
      </c>
      <c r="AG67" s="96">
        <f t="shared" si="42"/>
        <v>7468.598051</v>
      </c>
      <c r="AH67" s="96">
        <f t="shared" si="42"/>
        <v>9962.622002</v>
      </c>
      <c r="AI67" s="96">
        <f t="shared" si="42"/>
        <v>16176.79871</v>
      </c>
      <c r="AJ67" s="96">
        <f t="shared" si="42"/>
        <v>18396.52658</v>
      </c>
      <c r="AK67" s="96">
        <f t="shared" si="42"/>
        <v>17357.97715</v>
      </c>
      <c r="AL67" s="96">
        <f t="shared" si="42"/>
        <v>18373.69222</v>
      </c>
      <c r="AM67" s="96">
        <f t="shared" si="42"/>
        <v>18264.86926</v>
      </c>
      <c r="AN67" s="96">
        <f t="shared" si="42"/>
        <v>19406.61733</v>
      </c>
      <c r="AO67" s="96">
        <f t="shared" si="42"/>
        <v>19246.61287</v>
      </c>
      <c r="AP67" s="96">
        <f t="shared" si="42"/>
        <v>20365.70998</v>
      </c>
      <c r="AQ67" s="96">
        <f t="shared" si="42"/>
        <v>21471.79665</v>
      </c>
      <c r="AR67" s="96">
        <f t="shared" si="42"/>
        <v>21315.05435</v>
      </c>
      <c r="AS67" s="96">
        <f t="shared" si="42"/>
        <v>22413.67557</v>
      </c>
      <c r="AT67" s="96">
        <f t="shared" si="42"/>
        <v>22254.70029</v>
      </c>
      <c r="AU67" s="96">
        <f t="shared" si="42"/>
        <v>23343.86986</v>
      </c>
      <c r="AV67" s="96">
        <f t="shared" si="42"/>
        <v>24426.25283</v>
      </c>
      <c r="AW67" s="96">
        <f t="shared" si="42"/>
        <v>24252.53104</v>
      </c>
      <c r="AX67" s="96">
        <f t="shared" si="42"/>
        <v>25327.91673</v>
      </c>
      <c r="AY67" s="97">
        <f t="shared" ref="AY67:BV67" si="43">AX68*AY66</f>
        <v>33799.94159</v>
      </c>
      <c r="AZ67" s="97">
        <f t="shared" si="43"/>
        <v>34813.93984</v>
      </c>
      <c r="BA67" s="97">
        <f t="shared" si="43"/>
        <v>35858.35804</v>
      </c>
      <c r="BB67" s="97">
        <f t="shared" si="43"/>
        <v>36934.10878</v>
      </c>
      <c r="BC67" s="97">
        <f t="shared" si="43"/>
        <v>38042.13204</v>
      </c>
      <c r="BD67" s="97">
        <f t="shared" si="43"/>
        <v>39183.396</v>
      </c>
      <c r="BE67" s="97">
        <f t="shared" si="43"/>
        <v>40358.89788</v>
      </c>
      <c r="BF67" s="97">
        <f t="shared" si="43"/>
        <v>41569.66482</v>
      </c>
      <c r="BG67" s="97">
        <f t="shared" si="43"/>
        <v>42816.75476</v>
      </c>
      <c r="BH67" s="97">
        <f t="shared" si="43"/>
        <v>44101.25741</v>
      </c>
      <c r="BI67" s="97">
        <f t="shared" si="43"/>
        <v>45424.29513</v>
      </c>
      <c r="BJ67" s="97">
        <f t="shared" si="43"/>
        <v>46787.02398</v>
      </c>
      <c r="BK67" s="97">
        <f t="shared" si="43"/>
        <v>48190.6347</v>
      </c>
      <c r="BL67" s="97">
        <f t="shared" si="43"/>
        <v>49636.35374</v>
      </c>
      <c r="BM67" s="97">
        <f t="shared" si="43"/>
        <v>51125.44436</v>
      </c>
      <c r="BN67" s="97">
        <f t="shared" si="43"/>
        <v>52659.20769</v>
      </c>
      <c r="BO67" s="97">
        <f t="shared" si="43"/>
        <v>54238.98392</v>
      </c>
      <c r="BP67" s="97">
        <f t="shared" si="43"/>
        <v>55866.15343</v>
      </c>
      <c r="BQ67" s="97">
        <f t="shared" si="43"/>
        <v>57542.13804</v>
      </c>
      <c r="BR67" s="97">
        <f t="shared" si="43"/>
        <v>59268.40218</v>
      </c>
      <c r="BS67" s="97">
        <f t="shared" si="43"/>
        <v>61046.45424</v>
      </c>
      <c r="BT67" s="97">
        <f t="shared" si="43"/>
        <v>62877.84787</v>
      </c>
      <c r="BU67" s="97">
        <f t="shared" si="43"/>
        <v>64764.18331</v>
      </c>
      <c r="BV67" s="97">
        <f t="shared" si="43"/>
        <v>66707.10881</v>
      </c>
    </row>
    <row r="68" ht="15.75" customHeight="1">
      <c r="A68" s="115" t="s">
        <v>127</v>
      </c>
      <c r="B68" s="116"/>
      <c r="C68" s="117">
        <f>SUMIFS(MRR_Export_MRR,MRR_Export_Months,"&gt;="&amp;C$1,MRR_Export_Months,"&lt;"&amp;D$1)</f>
        <v>303370</v>
      </c>
      <c r="D68" s="117">
        <f>SUMIFS(MRR_Export_MRR,MRR_Export_Months,"&gt;="&amp;D$1,MRR_Export_Months,"&lt;"&amp;E$1)</f>
        <v>321057</v>
      </c>
      <c r="E68" s="117">
        <f>SUMIFS(MRR_Export_MRR,MRR_Export_Months,"&gt;="&amp;E$1,MRR_Export_Months,"&lt;"&amp;F$1)</f>
        <v>340521</v>
      </c>
      <c r="F68" s="117">
        <f>SUMIFS(MRR_Export_MRR,MRR_Export_Months,"&gt;="&amp;F$1,MRR_Export_Months,"&lt;"&amp;G$1)</f>
        <v>360770</v>
      </c>
      <c r="G68" s="117">
        <f>SUMIFS(MRR_Export_MRR,MRR_Export_Months,"&gt;="&amp;G$1,MRR_Export_Months,"&lt;"&amp;H$1)</f>
        <v>386024</v>
      </c>
      <c r="H68" s="117">
        <f>SUMIFS(MRR_Export_MRR,MRR_Export_Months,"&gt;="&amp;H$1,MRR_Export_Months,"&lt;"&amp;I$1)</f>
        <v>401465</v>
      </c>
      <c r="I68" s="117">
        <f>SUMIFS(MRR_Export_MRR,MRR_Export_Months,"&gt;="&amp;I$1,MRR_Export_Months,"&lt;"&amp;J$1)</f>
        <v>426093</v>
      </c>
      <c r="J68" s="117">
        <f>SUMIFS(MRR_Export_MRR,MRR_Export_Months,"&gt;="&amp;J$1,MRR_Export_Months,"&lt;"&amp;K$1)</f>
        <v>440072</v>
      </c>
      <c r="K68" s="117">
        <f>SUMIFS(MRR_Export_MRR,MRR_Export_Months,"&gt;="&amp;K$1,MRR_Export_Months,"&lt;"&amp;L$1)</f>
        <v>453917</v>
      </c>
      <c r="L68" s="117">
        <f>SUMIFS(MRR_Export_MRR,MRR_Export_Months,"&gt;="&amp;L$1,MRR_Export_Months,"&lt;"&amp;M$1)</f>
        <v>467104</v>
      </c>
      <c r="M68" s="117">
        <f>SUMIFS(MRR_Export_MRR,MRR_Export_Months,"&gt;="&amp;M$1,MRR_Export_Months,"&lt;"&amp;N$1)</f>
        <v>480194</v>
      </c>
      <c r="N68" s="117">
        <f>SUMIFS(MRR_Export_MRR,MRR_Export_Months,"&gt;="&amp;N$1,MRR_Export_Months,"&lt;"&amp;O$1)</f>
        <v>492645</v>
      </c>
      <c r="O68" s="117">
        <f>SUMIFS(MRR_Export_MRR,MRR_Export_Months,"&gt;="&amp;O$1,MRR_Export_Months,"&lt;"&amp;P$1)</f>
        <v>506200</v>
      </c>
      <c r="P68" s="117">
        <f>SUMIFS(MRR_Export_MRR,MRR_Export_Months,"&gt;="&amp;P$1,MRR_Export_Months,"&lt;"&amp;Q$1)</f>
        <v>529241</v>
      </c>
      <c r="Q68" s="117">
        <f>SUMIFS(MRR_Export_MRR,MRR_Export_Months,"&gt;="&amp;Q$1,MRR_Export_Months,"&lt;"&amp;R$1)</f>
        <v>541535</v>
      </c>
      <c r="R68" s="117">
        <f>SUMIFS(MRR_Export_MRR,MRR_Export_Months,"&gt;="&amp;R$1,MRR_Export_Months,"&lt;"&amp;S$1)</f>
        <v>598886</v>
      </c>
      <c r="S68" s="117">
        <f>SUMIFS(MRR_Export_MRR,MRR_Export_Months,"&gt;="&amp;S$1,MRR_Export_Months,"&lt;"&amp;T$1)</f>
        <v>614052</v>
      </c>
      <c r="T68" s="117">
        <f>SUMIFS(MRR_Export_MRR,MRR_Export_Months,"&gt;="&amp;T$1,MRR_Export_Months,"&lt;"&amp;U$1)</f>
        <v>637486</v>
      </c>
      <c r="U68" s="117">
        <f>SUMIFS(MRR_Export_MRR,MRR_Export_Months,"&gt;="&amp;U$1,MRR_Export_Months,"&lt;"&amp;V$1)</f>
        <v>657516.3014</v>
      </c>
      <c r="V68" s="117">
        <f>SUMIFS(MRR_Export_MRR,MRR_Export_Months,"&gt;="&amp;V$1,MRR_Export_Months,"&lt;"&amp;W$1)</f>
        <v>684009.6601</v>
      </c>
      <c r="W68" s="117">
        <f>SUMIFS(MRR_Export_MRR,MRR_Export_Months,"&gt;="&amp;W$1,MRR_Export_Months,"&lt;"&amp;X$1)</f>
        <v>710064.5103</v>
      </c>
      <c r="X68" s="117">
        <f>SUMIFS(MRR_Export_MRR,MRR_Export_Months,"&gt;="&amp;X$1,MRR_Export_Months,"&lt;"&amp;Y$1)</f>
        <v>733560.3605</v>
      </c>
      <c r="Y68" s="117">
        <f>SUMIFS(MRR_Export_MRR,MRR_Export_Months,"&gt;="&amp;Y$1,MRR_Export_Months,"&lt;"&amp;Z$1)</f>
        <v>755324.2106</v>
      </c>
      <c r="Z68" s="117">
        <f>SUMIFS(MRR_Export_MRR,MRR_Export_Months,"&gt;="&amp;Z$1,MRR_Export_Months,"&lt;"&amp;AA$1)</f>
        <v>776285.0608</v>
      </c>
      <c r="AA68" s="117">
        <f>SUMIFS(MRR_Export_MRR,MRR_Export_Months,"&gt;="&amp;AA$1,MRR_Export_Months,"&lt;"&amp;AB$1)</f>
        <v>798743.911</v>
      </c>
      <c r="AB68" s="117">
        <f>SUMIFS(MRR_Export_MRR,MRR_Export_Months,"&gt;="&amp;AB$1,MRR_Export_Months,"&lt;"&amp;AC$1)</f>
        <v>824307.7612</v>
      </c>
      <c r="AC68" s="117">
        <f>SUMIFS(MRR_Export_MRR,MRR_Export_Months,"&gt;="&amp;AC$1,MRR_Export_Months,"&lt;"&amp;AD$1)</f>
        <v>820162.7612</v>
      </c>
      <c r="AD68" s="117">
        <f>SUMIFS(MRR_Export_MRR,MRR_Export_Months,"&gt;="&amp;AD$1,MRR_Export_Months,"&lt;"&amp;AE$1)</f>
        <v>794706.7612</v>
      </c>
      <c r="AE68" s="118">
        <f t="shared" ref="AE68:BV68" si="44">AD68+AE67</f>
        <v>780349.4289</v>
      </c>
      <c r="AF68" s="118">
        <f t="shared" si="44"/>
        <v>776838.8983</v>
      </c>
      <c r="AG68" s="118">
        <f t="shared" si="44"/>
        <v>784307.4964</v>
      </c>
      <c r="AH68" s="118">
        <f t="shared" si="44"/>
        <v>794270.1184</v>
      </c>
      <c r="AI68" s="118">
        <f t="shared" si="44"/>
        <v>810446.9171</v>
      </c>
      <c r="AJ68" s="118">
        <f t="shared" si="44"/>
        <v>828843.4437</v>
      </c>
      <c r="AK68" s="118">
        <f t="shared" si="44"/>
        <v>846201.4208</v>
      </c>
      <c r="AL68" s="118">
        <f t="shared" si="44"/>
        <v>864575.1131</v>
      </c>
      <c r="AM68" s="118">
        <f t="shared" si="44"/>
        <v>882839.9823</v>
      </c>
      <c r="AN68" s="118">
        <f t="shared" si="44"/>
        <v>902246.5996</v>
      </c>
      <c r="AO68" s="118">
        <f t="shared" si="44"/>
        <v>921493.2125</v>
      </c>
      <c r="AP68" s="118">
        <f t="shared" si="44"/>
        <v>941858.9225</v>
      </c>
      <c r="AQ68" s="118">
        <f t="shared" si="44"/>
        <v>963330.7191</v>
      </c>
      <c r="AR68" s="118">
        <f t="shared" si="44"/>
        <v>984645.7735</v>
      </c>
      <c r="AS68" s="118">
        <f t="shared" si="44"/>
        <v>1007059.449</v>
      </c>
      <c r="AT68" s="118">
        <f t="shared" si="44"/>
        <v>1029314.149</v>
      </c>
      <c r="AU68" s="118">
        <f t="shared" si="44"/>
        <v>1052658.019</v>
      </c>
      <c r="AV68" s="118">
        <f t="shared" si="44"/>
        <v>1077084.272</v>
      </c>
      <c r="AW68" s="118">
        <f t="shared" si="44"/>
        <v>1101336.803</v>
      </c>
      <c r="AX68" s="118">
        <f t="shared" si="44"/>
        <v>1126664.72</v>
      </c>
      <c r="AY68" s="118">
        <f t="shared" si="44"/>
        <v>1160464.661</v>
      </c>
      <c r="AZ68" s="118">
        <f t="shared" si="44"/>
        <v>1195278.601</v>
      </c>
      <c r="BA68" s="118">
        <f t="shared" si="44"/>
        <v>1231136.959</v>
      </c>
      <c r="BB68" s="118">
        <f t="shared" si="44"/>
        <v>1268071.068</v>
      </c>
      <c r="BC68" s="118">
        <f t="shared" si="44"/>
        <v>1306113.2</v>
      </c>
      <c r="BD68" s="118">
        <f t="shared" si="44"/>
        <v>1345296.596</v>
      </c>
      <c r="BE68" s="118">
        <f t="shared" si="44"/>
        <v>1385655.494</v>
      </c>
      <c r="BF68" s="118">
        <f t="shared" si="44"/>
        <v>1427225.159</v>
      </c>
      <c r="BG68" s="118">
        <f t="shared" si="44"/>
        <v>1470041.914</v>
      </c>
      <c r="BH68" s="118">
        <f t="shared" si="44"/>
        <v>1514143.171</v>
      </c>
      <c r="BI68" s="118">
        <f t="shared" si="44"/>
        <v>1559567.466</v>
      </c>
      <c r="BJ68" s="118">
        <f t="shared" si="44"/>
        <v>1606354.49</v>
      </c>
      <c r="BK68" s="118">
        <f t="shared" si="44"/>
        <v>1654545.125</v>
      </c>
      <c r="BL68" s="118">
        <f t="shared" si="44"/>
        <v>1704181.479</v>
      </c>
      <c r="BM68" s="118">
        <f t="shared" si="44"/>
        <v>1755306.923</v>
      </c>
      <c r="BN68" s="118">
        <f t="shared" si="44"/>
        <v>1807966.131</v>
      </c>
      <c r="BO68" s="118">
        <f t="shared" si="44"/>
        <v>1862205.114</v>
      </c>
      <c r="BP68" s="118">
        <f t="shared" si="44"/>
        <v>1918071.268</v>
      </c>
      <c r="BQ68" s="118">
        <f t="shared" si="44"/>
        <v>1975613.406</v>
      </c>
      <c r="BR68" s="118">
        <f t="shared" si="44"/>
        <v>2034881.808</v>
      </c>
      <c r="BS68" s="118">
        <f t="shared" si="44"/>
        <v>2095928.262</v>
      </c>
      <c r="BT68" s="118">
        <f t="shared" si="44"/>
        <v>2158806.11</v>
      </c>
      <c r="BU68" s="118">
        <f t="shared" si="44"/>
        <v>2223570.294</v>
      </c>
      <c r="BV68" s="118">
        <f t="shared" si="44"/>
        <v>2290277.402</v>
      </c>
    </row>
    <row r="69" ht="15.75" customHeight="1">
      <c r="U69" s="119"/>
      <c r="V69" s="119"/>
      <c r="W69" s="119"/>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outlinePr summaryBelow="0" summaryRight="0"/>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58.0"/>
    <col customWidth="1" min="2" max="74" width="14.38"/>
  </cols>
  <sheetData>
    <row r="1" ht="15.75" customHeight="1">
      <c r="A1" s="77" t="s">
        <v>128</v>
      </c>
      <c r="B1" s="78"/>
      <c r="C1" s="78">
        <v>43101.0</v>
      </c>
      <c r="D1" s="78">
        <f t="shared" ref="D1:BV1" si="1">EDATE(C1,1)</f>
        <v>43132</v>
      </c>
      <c r="E1" s="78">
        <f t="shared" si="1"/>
        <v>43160</v>
      </c>
      <c r="F1" s="78">
        <f t="shared" si="1"/>
        <v>43191</v>
      </c>
      <c r="G1" s="78">
        <f t="shared" si="1"/>
        <v>43221</v>
      </c>
      <c r="H1" s="78">
        <f t="shared" si="1"/>
        <v>43252</v>
      </c>
      <c r="I1" s="78">
        <f t="shared" si="1"/>
        <v>43282</v>
      </c>
      <c r="J1" s="78">
        <f t="shared" si="1"/>
        <v>43313</v>
      </c>
      <c r="K1" s="78">
        <f t="shared" si="1"/>
        <v>43344</v>
      </c>
      <c r="L1" s="78">
        <f t="shared" si="1"/>
        <v>43374</v>
      </c>
      <c r="M1" s="78">
        <f t="shared" si="1"/>
        <v>43405</v>
      </c>
      <c r="N1" s="78">
        <f t="shared" si="1"/>
        <v>43435</v>
      </c>
      <c r="O1" s="78">
        <f t="shared" si="1"/>
        <v>43466</v>
      </c>
      <c r="P1" s="78">
        <f t="shared" si="1"/>
        <v>43497</v>
      </c>
      <c r="Q1" s="78">
        <f t="shared" si="1"/>
        <v>43525</v>
      </c>
      <c r="R1" s="78">
        <f t="shared" si="1"/>
        <v>43556</v>
      </c>
      <c r="S1" s="78">
        <f t="shared" si="1"/>
        <v>43586</v>
      </c>
      <c r="T1" s="78">
        <f t="shared" si="1"/>
        <v>43617</v>
      </c>
      <c r="U1" s="78">
        <f t="shared" si="1"/>
        <v>43647</v>
      </c>
      <c r="V1" s="78">
        <f t="shared" si="1"/>
        <v>43678</v>
      </c>
      <c r="W1" s="78">
        <f t="shared" si="1"/>
        <v>43709</v>
      </c>
      <c r="X1" s="78">
        <f t="shared" si="1"/>
        <v>43739</v>
      </c>
      <c r="Y1" s="78">
        <f t="shared" si="1"/>
        <v>43770</v>
      </c>
      <c r="Z1" s="78">
        <f t="shared" si="1"/>
        <v>43800</v>
      </c>
      <c r="AA1" s="78">
        <f t="shared" si="1"/>
        <v>43831</v>
      </c>
      <c r="AB1" s="78">
        <f t="shared" si="1"/>
        <v>43862</v>
      </c>
      <c r="AC1" s="78">
        <f t="shared" si="1"/>
        <v>43891</v>
      </c>
      <c r="AD1" s="78">
        <f t="shared" si="1"/>
        <v>43922</v>
      </c>
      <c r="AE1" s="78">
        <f t="shared" si="1"/>
        <v>43952</v>
      </c>
      <c r="AF1" s="78">
        <f t="shared" si="1"/>
        <v>43983</v>
      </c>
      <c r="AG1" s="78">
        <f t="shared" si="1"/>
        <v>44013</v>
      </c>
      <c r="AH1" s="78">
        <f t="shared" si="1"/>
        <v>44044</v>
      </c>
      <c r="AI1" s="78">
        <f t="shared" si="1"/>
        <v>44075</v>
      </c>
      <c r="AJ1" s="78">
        <f t="shared" si="1"/>
        <v>44105</v>
      </c>
      <c r="AK1" s="78">
        <f t="shared" si="1"/>
        <v>44136</v>
      </c>
      <c r="AL1" s="78">
        <f t="shared" si="1"/>
        <v>44166</v>
      </c>
      <c r="AM1" s="78">
        <f t="shared" si="1"/>
        <v>44197</v>
      </c>
      <c r="AN1" s="78">
        <f t="shared" si="1"/>
        <v>44228</v>
      </c>
      <c r="AO1" s="78">
        <f t="shared" si="1"/>
        <v>44256</v>
      </c>
      <c r="AP1" s="78">
        <f t="shared" si="1"/>
        <v>44287</v>
      </c>
      <c r="AQ1" s="78">
        <f t="shared" si="1"/>
        <v>44317</v>
      </c>
      <c r="AR1" s="78">
        <f t="shared" si="1"/>
        <v>44348</v>
      </c>
      <c r="AS1" s="78">
        <f t="shared" si="1"/>
        <v>44378</v>
      </c>
      <c r="AT1" s="78">
        <f t="shared" si="1"/>
        <v>44409</v>
      </c>
      <c r="AU1" s="78">
        <f t="shared" si="1"/>
        <v>44440</v>
      </c>
      <c r="AV1" s="78">
        <f t="shared" si="1"/>
        <v>44470</v>
      </c>
      <c r="AW1" s="78">
        <f t="shared" si="1"/>
        <v>44501</v>
      </c>
      <c r="AX1" s="78">
        <f t="shared" si="1"/>
        <v>44531</v>
      </c>
      <c r="AY1" s="78">
        <f t="shared" si="1"/>
        <v>44562</v>
      </c>
      <c r="AZ1" s="78">
        <f t="shared" si="1"/>
        <v>44593</v>
      </c>
      <c r="BA1" s="78">
        <f t="shared" si="1"/>
        <v>44621</v>
      </c>
      <c r="BB1" s="78">
        <f t="shared" si="1"/>
        <v>44652</v>
      </c>
      <c r="BC1" s="78">
        <f t="shared" si="1"/>
        <v>44682</v>
      </c>
      <c r="BD1" s="78">
        <f t="shared" si="1"/>
        <v>44713</v>
      </c>
      <c r="BE1" s="78">
        <f t="shared" si="1"/>
        <v>44743</v>
      </c>
      <c r="BF1" s="78">
        <f t="shared" si="1"/>
        <v>44774</v>
      </c>
      <c r="BG1" s="78">
        <f t="shared" si="1"/>
        <v>44805</v>
      </c>
      <c r="BH1" s="78">
        <f t="shared" si="1"/>
        <v>44835</v>
      </c>
      <c r="BI1" s="78">
        <f t="shared" si="1"/>
        <v>44866</v>
      </c>
      <c r="BJ1" s="78">
        <f t="shared" si="1"/>
        <v>44896</v>
      </c>
      <c r="BK1" s="78">
        <f t="shared" si="1"/>
        <v>44927</v>
      </c>
      <c r="BL1" s="78">
        <f t="shared" si="1"/>
        <v>44958</v>
      </c>
      <c r="BM1" s="78">
        <f t="shared" si="1"/>
        <v>44986</v>
      </c>
      <c r="BN1" s="78">
        <f t="shared" si="1"/>
        <v>45017</v>
      </c>
      <c r="BO1" s="78">
        <f t="shared" si="1"/>
        <v>45047</v>
      </c>
      <c r="BP1" s="78">
        <f t="shared" si="1"/>
        <v>45078</v>
      </c>
      <c r="BQ1" s="78">
        <f t="shared" si="1"/>
        <v>45108</v>
      </c>
      <c r="BR1" s="78">
        <f t="shared" si="1"/>
        <v>45139</v>
      </c>
      <c r="BS1" s="78">
        <f t="shared" si="1"/>
        <v>45170</v>
      </c>
      <c r="BT1" s="78">
        <f t="shared" si="1"/>
        <v>45200</v>
      </c>
      <c r="BU1" s="78">
        <f t="shared" si="1"/>
        <v>45231</v>
      </c>
      <c r="BV1" s="78">
        <f t="shared" si="1"/>
        <v>45261</v>
      </c>
    </row>
    <row r="2" ht="15.75" customHeight="1">
      <c r="A2" s="120" t="s">
        <v>94</v>
      </c>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81" t="s">
        <v>95</v>
      </c>
      <c r="AZ2" s="81"/>
      <c r="BA2" s="81"/>
      <c r="BB2" s="81"/>
      <c r="BC2" s="81"/>
      <c r="BD2" s="81"/>
      <c r="BE2" s="81"/>
      <c r="BF2" s="81"/>
      <c r="BG2" s="81"/>
      <c r="BH2" s="81"/>
      <c r="BI2" s="81"/>
      <c r="BJ2" s="81"/>
      <c r="BK2" s="81"/>
      <c r="BL2" s="81"/>
      <c r="BM2" s="81"/>
      <c r="BN2" s="81"/>
      <c r="BO2" s="81"/>
      <c r="BP2" s="81"/>
      <c r="BQ2" s="81"/>
      <c r="BR2" s="81"/>
      <c r="BS2" s="81"/>
      <c r="BT2" s="81"/>
      <c r="BU2" s="81"/>
      <c r="BV2" s="81"/>
    </row>
    <row r="3" ht="15.75" customHeight="1">
      <c r="A3" s="82" t="s">
        <v>96</v>
      </c>
      <c r="B3" s="1"/>
      <c r="C3" s="1"/>
      <c r="D3" s="1"/>
      <c r="E3" s="1"/>
      <c r="F3" s="1"/>
      <c r="G3" s="1"/>
      <c r="H3" s="1"/>
      <c r="I3" s="1"/>
      <c r="J3" s="1"/>
      <c r="K3" s="1"/>
      <c r="L3" s="1"/>
      <c r="M3" s="1"/>
      <c r="N3" s="1"/>
      <c r="O3" s="1"/>
      <c r="P3" s="1"/>
      <c r="Q3" s="1"/>
      <c r="R3" s="1"/>
      <c r="S3" s="1"/>
      <c r="T3" s="1"/>
      <c r="U3" s="1"/>
      <c r="V3" s="1"/>
      <c r="W3" s="1"/>
      <c r="X3" s="1"/>
      <c r="Y3" s="1"/>
      <c r="Z3" s="1"/>
      <c r="AA3" s="1"/>
      <c r="AB3" s="1"/>
      <c r="AC3" s="1"/>
      <c r="AD3" s="1"/>
      <c r="AE3" s="74">
        <f t="array" ref="AE3">INDEX(Marketing_Funnel_Total_New_Customers,MATCH(AE$1,Marketing_Funnel_Months,0))</f>
        <v>18.27763754</v>
      </c>
      <c r="AF3" s="74">
        <f t="array" ref="AF3">INDEX(Marketing_Funnel_Total_New_Customers,MATCH(AF$1,Marketing_Funnel_Months,0))</f>
        <v>16.77382934</v>
      </c>
      <c r="AG3" s="74">
        <f t="array" ref="AG3">INDEX(Marketing_Funnel_Total_New_Customers,MATCH(AG$1,Marketing_Funnel_Months,0))</f>
        <v>16.6859782</v>
      </c>
      <c r="AH3" s="74">
        <f t="array" ref="AH3">INDEX(Marketing_Funnel_Total_New_Customers,MATCH(AH$1,Marketing_Funnel_Months,0))</f>
        <v>18.20363313</v>
      </c>
      <c r="AI3" s="74">
        <f t="array" ref="AI3">INDEX(Marketing_Funnel_Total_New_Customers,MATCH(AI$1,Marketing_Funnel_Months,0))</f>
        <v>18.18191487</v>
      </c>
      <c r="AJ3" s="74">
        <f t="array" ref="AJ3">INDEX(Marketing_Funnel_Total_New_Customers,MATCH(AJ$1,Marketing_Funnel_Months,0))</f>
        <v>18.67440268</v>
      </c>
      <c r="AK3" s="74">
        <f t="array" ref="AK3">INDEX(Marketing_Funnel_Total_New_Customers,MATCH(AK$1,Marketing_Funnel_Months,0))</f>
        <v>19.36714209</v>
      </c>
      <c r="AL3" s="74">
        <f t="array" ref="AL3">INDEX(Marketing_Funnel_Total_New_Customers,MATCH(AL$1,Marketing_Funnel_Months,0))</f>
        <v>19.77274668</v>
      </c>
      <c r="AM3" s="74">
        <f t="array" ref="AM3">INDEX(Marketing_Funnel_Total_New_Customers,MATCH(AM$1,Marketing_Funnel_Months,0))</f>
        <v>20.32473906</v>
      </c>
      <c r="AN3" s="74">
        <f t="array" ref="AN3">INDEX(Marketing_Funnel_Total_New_Customers,MATCH(AN$1,Marketing_Funnel_Months,0))</f>
        <v>20.89611604</v>
      </c>
      <c r="AO3" s="74">
        <f t="array" ref="AO3">INDEX(Marketing_Funnel_Total_New_Customers,MATCH(AO$1,Marketing_Funnel_Months,0))</f>
        <v>21.42451735</v>
      </c>
      <c r="AP3" s="74">
        <f t="array" ref="AP3">INDEX(Marketing_Funnel_Total_New_Customers,MATCH(AP$1,Marketing_Funnel_Months,0))</f>
        <v>21.99407686</v>
      </c>
      <c r="AQ3" s="74">
        <f t="array" ref="AQ3">INDEX(Marketing_Funnel_Total_New_Customers,MATCH(AQ$1,Marketing_Funnel_Months,0))</f>
        <v>22.56865622</v>
      </c>
      <c r="AR3" s="74">
        <f t="array" ref="AR3">INDEX(Marketing_Funnel_Total_New_Customers,MATCH(AR$1,Marketing_Funnel_Months,0))</f>
        <v>23.14335075</v>
      </c>
      <c r="AS3" s="74">
        <f t="array" ref="AS3">INDEX(Marketing_Funnel_Total_New_Customers,MATCH(AS$1,Marketing_Funnel_Months,0))</f>
        <v>23.73298868</v>
      </c>
      <c r="AT3" s="74">
        <f t="array" ref="AT3">INDEX(Marketing_Funnel_Total_New_Customers,MATCH(AT$1,Marketing_Funnel_Months,0))</f>
        <v>24.32862104</v>
      </c>
      <c r="AU3" s="74">
        <f t="array" ref="AU3">INDEX(Marketing_Funnel_Total_New_Customers,MATCH(AU$1,Marketing_Funnel_Months,0))</f>
        <v>24.93061386</v>
      </c>
      <c r="AV3" s="74">
        <f t="array" ref="AV3">INDEX(Marketing_Funnel_Total_New_Customers,MATCH(AV$1,Marketing_Funnel_Months,0))</f>
        <v>25.54113885</v>
      </c>
      <c r="AW3" s="74">
        <f t="array" ref="AW3">INDEX(Marketing_Funnel_Total_New_Customers,MATCH(AW$1,Marketing_Funnel_Months,0))</f>
        <v>26.15803488</v>
      </c>
      <c r="AX3" s="74">
        <f t="array" ref="AX3">INDEX(Marketing_Funnel_Total_New_Customers,MATCH(AX$1,Marketing_Funnel_Months,0))</f>
        <v>26.78146032</v>
      </c>
      <c r="AY3" s="83">
        <f t="array" ref="AY3">INDEX(Marketing_Funnel_Total_New_Customers,MATCH(AY$1,Marketing_Funnel_Months,0))</f>
        <v>26.18498222</v>
      </c>
      <c r="AZ3" s="83">
        <f t="array" ref="AZ3">INDEX(Marketing_Funnel_Total_New_Customers,MATCH(AZ$1,Marketing_Funnel_Months,0))</f>
        <v>26.64809066</v>
      </c>
      <c r="BA3" s="83">
        <f t="array" ref="BA3">INDEX(Marketing_Funnel_Total_New_Customers,MATCH(BA$1,Marketing_Funnel_Months,0))</f>
        <v>27.03796727</v>
      </c>
      <c r="BB3" s="83">
        <f t="array" ref="BB3">INDEX(Marketing_Funnel_Total_New_Customers,MATCH(BB$1,Marketing_Funnel_Months,0))</f>
        <v>27.32786789</v>
      </c>
      <c r="BC3" s="83">
        <f t="array" ref="BC3">INDEX(Marketing_Funnel_Total_New_Customers,MATCH(BC$1,Marketing_Funnel_Months,0))</f>
        <v>27.49128281</v>
      </c>
      <c r="BD3" s="83">
        <f t="array" ref="BD3">INDEX(Marketing_Funnel_Total_New_Customers,MATCH(BD$1,Marketing_Funnel_Months,0))</f>
        <v>27.85239782</v>
      </c>
      <c r="BE3" s="83">
        <f t="array" ref="BE3">INDEX(Marketing_Funnel_Total_New_Customers,MATCH(BE$1,Marketing_Funnel_Months,0))</f>
        <v>28.1860926</v>
      </c>
      <c r="BF3" s="83">
        <f t="array" ref="BF3">INDEX(Marketing_Funnel_Total_New_Customers,MATCH(BF$1,Marketing_Funnel_Months,0))</f>
        <v>28.50435153</v>
      </c>
      <c r="BG3" s="83">
        <f t="array" ref="BG3">INDEX(Marketing_Funnel_Total_New_Customers,MATCH(BG$1,Marketing_Funnel_Months,0))</f>
        <v>28.82930469</v>
      </c>
      <c r="BH3" s="83">
        <f t="array" ref="BH3">INDEX(Marketing_Funnel_Total_New_Customers,MATCH(BH$1,Marketing_Funnel_Months,0))</f>
        <v>29.19575665</v>
      </c>
      <c r="BI3" s="83">
        <f t="array" ref="BI3">INDEX(Marketing_Funnel_Total_New_Customers,MATCH(BI$1,Marketing_Funnel_Months,0))</f>
        <v>29.56293566</v>
      </c>
      <c r="BJ3" s="83">
        <f t="array" ref="BJ3">INDEX(Marketing_Funnel_Total_New_Customers,MATCH(BJ$1,Marketing_Funnel_Months,0))</f>
        <v>29.93822298</v>
      </c>
      <c r="BK3" s="83">
        <f t="array" ref="BK3">INDEX(Marketing_Funnel_Total_New_Customers,MATCH(BK$1,Marketing_Funnel_Months,0))</f>
        <v>30.3277911</v>
      </c>
      <c r="BL3" s="83">
        <f t="array" ref="BL3">INDEX(Marketing_Funnel_Total_New_Customers,MATCH(BL$1,Marketing_Funnel_Months,0))</f>
        <v>30.73364589</v>
      </c>
      <c r="BM3" s="83">
        <f t="array" ref="BM3">INDEX(Marketing_Funnel_Total_New_Customers,MATCH(BM$1,Marketing_Funnel_Months,0))</f>
        <v>31.14922582</v>
      </c>
      <c r="BN3" s="83">
        <f t="array" ref="BN3">INDEX(Marketing_Funnel_Total_New_Customers,MATCH(BN$1,Marketing_Funnel_Months,0))</f>
        <v>31.57690287</v>
      </c>
      <c r="BO3" s="83">
        <f t="array" ref="BO3">INDEX(Marketing_Funnel_Total_New_Customers,MATCH(BO$1,Marketing_Funnel_Months,0))</f>
        <v>32.01774036</v>
      </c>
      <c r="BP3" s="83">
        <f t="array" ref="BP3">INDEX(Marketing_Funnel_Total_New_Customers,MATCH(BP$1,Marketing_Funnel_Months,0))</f>
        <v>32.47146624</v>
      </c>
      <c r="BQ3" s="83">
        <f t="array" ref="BQ3">INDEX(Marketing_Funnel_Total_New_Customers,MATCH(BQ$1,Marketing_Funnel_Months,0))</f>
        <v>32.93721253</v>
      </c>
      <c r="BR3" s="83">
        <f t="array" ref="BR3">INDEX(Marketing_Funnel_Total_New_Customers,MATCH(BR$1,Marketing_Funnel_Months,0))</f>
        <v>33.41559769</v>
      </c>
      <c r="BS3" s="83">
        <f t="array" ref="BS3">INDEX(Marketing_Funnel_Total_New_Customers,MATCH(BS$1,Marketing_Funnel_Months,0))</f>
        <v>33.90678142</v>
      </c>
      <c r="BT3" s="83">
        <f t="array" ref="BT3">INDEX(Marketing_Funnel_Total_New_Customers,MATCH(BT$1,Marketing_Funnel_Months,0))</f>
        <v>34.41068667</v>
      </c>
      <c r="BU3" s="83">
        <f t="array" ref="BU3">INDEX(Marketing_Funnel_Total_New_Customers,MATCH(BU$1,Marketing_Funnel_Months,0))</f>
        <v>34.92728666</v>
      </c>
      <c r="BV3" s="83">
        <f t="array" ref="BV3">INDEX(Marketing_Funnel_Total_New_Customers,MATCH(BV$1,Marketing_Funnel_Months,0))</f>
        <v>35.45677364</v>
      </c>
    </row>
    <row r="4" ht="15.75" customHeight="1">
      <c r="A4" s="82" t="s">
        <v>97</v>
      </c>
      <c r="B4" s="1"/>
      <c r="C4" s="1"/>
      <c r="D4" s="1"/>
      <c r="E4" s="1"/>
      <c r="F4" s="1"/>
      <c r="G4" s="1"/>
      <c r="H4" s="1"/>
      <c r="I4" s="1"/>
      <c r="J4" s="1"/>
      <c r="K4" s="1"/>
      <c r="L4" s="1"/>
      <c r="M4" s="1"/>
      <c r="N4" s="1"/>
      <c r="O4" s="1"/>
      <c r="P4" s="1"/>
      <c r="Q4" s="1"/>
      <c r="R4" s="1"/>
      <c r="S4" s="1"/>
      <c r="T4" s="1"/>
      <c r="U4" s="1"/>
      <c r="V4" s="1"/>
      <c r="W4" s="1"/>
      <c r="X4" s="1"/>
      <c r="Y4" s="1"/>
      <c r="Z4" s="1"/>
      <c r="AA4" s="1"/>
      <c r="AB4" s="1"/>
      <c r="AC4" s="1"/>
      <c r="AD4" s="1"/>
      <c r="AE4" s="26">
        <f t="shared" ref="AE4:BV4" si="2">1-AE5</f>
        <v>1</v>
      </c>
      <c r="AF4" s="26">
        <f t="shared" si="2"/>
        <v>1</v>
      </c>
      <c r="AG4" s="26">
        <f t="shared" si="2"/>
        <v>1</v>
      </c>
      <c r="AH4" s="26">
        <f t="shared" si="2"/>
        <v>1</v>
      </c>
      <c r="AI4" s="26">
        <f t="shared" si="2"/>
        <v>1</v>
      </c>
      <c r="AJ4" s="26">
        <f t="shared" si="2"/>
        <v>1</v>
      </c>
      <c r="AK4" s="26">
        <f t="shared" si="2"/>
        <v>1</v>
      </c>
      <c r="AL4" s="26">
        <f t="shared" si="2"/>
        <v>1</v>
      </c>
      <c r="AM4" s="26">
        <f t="shared" si="2"/>
        <v>1</v>
      </c>
      <c r="AN4" s="26">
        <f t="shared" si="2"/>
        <v>1</v>
      </c>
      <c r="AO4" s="26">
        <f t="shared" si="2"/>
        <v>1</v>
      </c>
      <c r="AP4" s="26">
        <f t="shared" si="2"/>
        <v>1</v>
      </c>
      <c r="AQ4" s="26">
        <f t="shared" si="2"/>
        <v>1</v>
      </c>
      <c r="AR4" s="26">
        <f t="shared" si="2"/>
        <v>1</v>
      </c>
      <c r="AS4" s="26">
        <f t="shared" si="2"/>
        <v>1</v>
      </c>
      <c r="AT4" s="26">
        <f t="shared" si="2"/>
        <v>1</v>
      </c>
      <c r="AU4" s="26">
        <f t="shared" si="2"/>
        <v>1</v>
      </c>
      <c r="AV4" s="26">
        <f t="shared" si="2"/>
        <v>1</v>
      </c>
      <c r="AW4" s="26">
        <f t="shared" si="2"/>
        <v>1</v>
      </c>
      <c r="AX4" s="26">
        <f t="shared" si="2"/>
        <v>1</v>
      </c>
      <c r="AY4" s="84">
        <f t="shared" si="2"/>
        <v>1</v>
      </c>
      <c r="AZ4" s="84">
        <f t="shared" si="2"/>
        <v>1</v>
      </c>
      <c r="BA4" s="84">
        <f t="shared" si="2"/>
        <v>1</v>
      </c>
      <c r="BB4" s="84">
        <f t="shared" si="2"/>
        <v>1</v>
      </c>
      <c r="BC4" s="84">
        <f t="shared" si="2"/>
        <v>1</v>
      </c>
      <c r="BD4" s="84">
        <f t="shared" si="2"/>
        <v>1</v>
      </c>
      <c r="BE4" s="84">
        <f t="shared" si="2"/>
        <v>1</v>
      </c>
      <c r="BF4" s="84">
        <f t="shared" si="2"/>
        <v>1</v>
      </c>
      <c r="BG4" s="84">
        <f t="shared" si="2"/>
        <v>1</v>
      </c>
      <c r="BH4" s="84">
        <f t="shared" si="2"/>
        <v>1</v>
      </c>
      <c r="BI4" s="84">
        <f t="shared" si="2"/>
        <v>1</v>
      </c>
      <c r="BJ4" s="84">
        <f t="shared" si="2"/>
        <v>1</v>
      </c>
      <c r="BK4" s="84">
        <f t="shared" si="2"/>
        <v>1</v>
      </c>
      <c r="BL4" s="84">
        <f t="shared" si="2"/>
        <v>1</v>
      </c>
      <c r="BM4" s="84">
        <f t="shared" si="2"/>
        <v>1</v>
      </c>
      <c r="BN4" s="84">
        <f t="shared" si="2"/>
        <v>1</v>
      </c>
      <c r="BO4" s="84">
        <f t="shared" si="2"/>
        <v>1</v>
      </c>
      <c r="BP4" s="84">
        <f t="shared" si="2"/>
        <v>1</v>
      </c>
      <c r="BQ4" s="84">
        <f t="shared" si="2"/>
        <v>1</v>
      </c>
      <c r="BR4" s="84">
        <f t="shared" si="2"/>
        <v>1</v>
      </c>
      <c r="BS4" s="84">
        <f t="shared" si="2"/>
        <v>1</v>
      </c>
      <c r="BT4" s="84">
        <f t="shared" si="2"/>
        <v>1</v>
      </c>
      <c r="BU4" s="84">
        <f t="shared" si="2"/>
        <v>1</v>
      </c>
      <c r="BV4" s="84">
        <f t="shared" si="2"/>
        <v>1</v>
      </c>
    </row>
    <row r="5" ht="15.75" customHeight="1">
      <c r="A5" s="82" t="s">
        <v>98</v>
      </c>
      <c r="B5" s="1"/>
      <c r="C5" s="1"/>
      <c r="D5" s="1"/>
      <c r="E5" s="1"/>
      <c r="F5" s="1"/>
      <c r="G5" s="1"/>
      <c r="H5" s="1"/>
      <c r="I5" s="1"/>
      <c r="J5" s="1"/>
      <c r="K5" s="1"/>
      <c r="L5" s="1"/>
      <c r="M5" s="1"/>
      <c r="N5" s="1"/>
      <c r="O5" s="1"/>
      <c r="P5" s="1"/>
      <c r="Q5" s="1"/>
      <c r="R5" s="1"/>
      <c r="S5" s="1"/>
      <c r="T5" s="1"/>
      <c r="U5" s="1"/>
      <c r="V5" s="1"/>
      <c r="W5" s="1"/>
      <c r="X5" s="1"/>
      <c r="Y5" s="1"/>
      <c r="Z5" s="1"/>
      <c r="AA5" s="1"/>
      <c r="AB5" s="1"/>
      <c r="AC5" s="1"/>
      <c r="AD5" s="1"/>
      <c r="AE5" s="85" t="str">
        <f t="shared" ref="AE5:BV5" si="3">AD5</f>
        <v/>
      </c>
      <c r="AF5" s="85" t="str">
        <f t="shared" si="3"/>
        <v/>
      </c>
      <c r="AG5" s="85" t="str">
        <f t="shared" si="3"/>
        <v/>
      </c>
      <c r="AH5" s="85" t="str">
        <f t="shared" si="3"/>
        <v/>
      </c>
      <c r="AI5" s="85" t="str">
        <f t="shared" si="3"/>
        <v/>
      </c>
      <c r="AJ5" s="85" t="str">
        <f t="shared" si="3"/>
        <v/>
      </c>
      <c r="AK5" s="85" t="str">
        <f t="shared" si="3"/>
        <v/>
      </c>
      <c r="AL5" s="85" t="str">
        <f t="shared" si="3"/>
        <v/>
      </c>
      <c r="AM5" s="85" t="str">
        <f t="shared" si="3"/>
        <v/>
      </c>
      <c r="AN5" s="85" t="str">
        <f t="shared" si="3"/>
        <v/>
      </c>
      <c r="AO5" s="85" t="str">
        <f t="shared" si="3"/>
        <v/>
      </c>
      <c r="AP5" s="85" t="str">
        <f t="shared" si="3"/>
        <v/>
      </c>
      <c r="AQ5" s="85" t="str">
        <f t="shared" si="3"/>
        <v/>
      </c>
      <c r="AR5" s="85" t="str">
        <f t="shared" si="3"/>
        <v/>
      </c>
      <c r="AS5" s="85" t="str">
        <f t="shared" si="3"/>
        <v/>
      </c>
      <c r="AT5" s="85" t="str">
        <f t="shared" si="3"/>
        <v/>
      </c>
      <c r="AU5" s="85" t="str">
        <f t="shared" si="3"/>
        <v/>
      </c>
      <c r="AV5" s="85" t="str">
        <f t="shared" si="3"/>
        <v/>
      </c>
      <c r="AW5" s="85" t="str">
        <f t="shared" si="3"/>
        <v/>
      </c>
      <c r="AX5" s="85" t="str">
        <f t="shared" si="3"/>
        <v/>
      </c>
      <c r="AY5" s="86" t="str">
        <f t="shared" si="3"/>
        <v/>
      </c>
      <c r="AZ5" s="86" t="str">
        <f t="shared" si="3"/>
        <v/>
      </c>
      <c r="BA5" s="86" t="str">
        <f t="shared" si="3"/>
        <v/>
      </c>
      <c r="BB5" s="86" t="str">
        <f t="shared" si="3"/>
        <v/>
      </c>
      <c r="BC5" s="86" t="str">
        <f t="shared" si="3"/>
        <v/>
      </c>
      <c r="BD5" s="86" t="str">
        <f t="shared" si="3"/>
        <v/>
      </c>
      <c r="BE5" s="86" t="str">
        <f t="shared" si="3"/>
        <v/>
      </c>
      <c r="BF5" s="86" t="str">
        <f t="shared" si="3"/>
        <v/>
      </c>
      <c r="BG5" s="86" t="str">
        <f t="shared" si="3"/>
        <v/>
      </c>
      <c r="BH5" s="86" t="str">
        <f t="shared" si="3"/>
        <v/>
      </c>
      <c r="BI5" s="86" t="str">
        <f t="shared" si="3"/>
        <v/>
      </c>
      <c r="BJ5" s="86" t="str">
        <f t="shared" si="3"/>
        <v/>
      </c>
      <c r="BK5" s="86" t="str">
        <f t="shared" si="3"/>
        <v/>
      </c>
      <c r="BL5" s="86" t="str">
        <f t="shared" si="3"/>
        <v/>
      </c>
      <c r="BM5" s="86" t="str">
        <f t="shared" si="3"/>
        <v/>
      </c>
      <c r="BN5" s="86" t="str">
        <f t="shared" si="3"/>
        <v/>
      </c>
      <c r="BO5" s="86" t="str">
        <f t="shared" si="3"/>
        <v/>
      </c>
      <c r="BP5" s="86" t="str">
        <f t="shared" si="3"/>
        <v/>
      </c>
      <c r="BQ5" s="86" t="str">
        <f t="shared" si="3"/>
        <v/>
      </c>
      <c r="BR5" s="86" t="str">
        <f t="shared" si="3"/>
        <v/>
      </c>
      <c r="BS5" s="86" t="str">
        <f t="shared" si="3"/>
        <v/>
      </c>
      <c r="BT5" s="86" t="str">
        <f t="shared" si="3"/>
        <v/>
      </c>
      <c r="BU5" s="86" t="str">
        <f t="shared" si="3"/>
        <v/>
      </c>
      <c r="BV5" s="86" t="str">
        <f t="shared" si="3"/>
        <v/>
      </c>
    </row>
    <row r="6" ht="15.75" customHeight="1">
      <c r="A6" s="87" t="s">
        <v>99</v>
      </c>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88"/>
      <c r="AZ6" s="88"/>
      <c r="BA6" s="88"/>
      <c r="BB6" s="88"/>
      <c r="BC6" s="88"/>
      <c r="BD6" s="88"/>
      <c r="BE6" s="88"/>
      <c r="BF6" s="88"/>
      <c r="BG6" s="88"/>
      <c r="BH6" s="88"/>
      <c r="BI6" s="88"/>
      <c r="BJ6" s="88"/>
      <c r="BK6" s="88"/>
      <c r="BL6" s="88"/>
      <c r="BM6" s="88"/>
      <c r="BN6" s="88"/>
      <c r="BO6" s="88"/>
      <c r="BP6" s="88"/>
      <c r="BQ6" s="88"/>
      <c r="BR6" s="88"/>
      <c r="BS6" s="88"/>
      <c r="BT6" s="88"/>
      <c r="BU6" s="88"/>
      <c r="BV6" s="88"/>
    </row>
    <row r="7" ht="15.75" customHeight="1">
      <c r="A7" s="82" t="s">
        <v>32</v>
      </c>
      <c r="B7" s="89"/>
      <c r="C7" s="90">
        <f>SUMIFS(MRR_Export_New_Count,MRR_Export_Months,"&gt;="&amp;C$1,MRR_Export_Months,"&lt;"&amp;D$1)</f>
        <v>10</v>
      </c>
      <c r="D7" s="90">
        <f>SUMIFS(MRR_Export_New_Count,MRR_Export_Months,"&gt;="&amp;D$1,MRR_Export_Months,"&lt;"&amp;E$1)</f>
        <v>11</v>
      </c>
      <c r="E7" s="90">
        <f>SUMIFS(MRR_Export_New_Count,MRR_Export_Months,"&gt;="&amp;E$1,MRR_Export_Months,"&lt;"&amp;F$1)</f>
        <v>12</v>
      </c>
      <c r="F7" s="90">
        <f>SUMIFS(MRR_Export_New_Count,MRR_Export_Months,"&gt;="&amp;F$1,MRR_Export_Months,"&lt;"&amp;G$1)</f>
        <v>13</v>
      </c>
      <c r="G7" s="90">
        <f>SUMIFS(MRR_Export_New_Count,MRR_Export_Months,"&gt;="&amp;G$1,MRR_Export_Months,"&lt;"&amp;H$1)</f>
        <v>14</v>
      </c>
      <c r="H7" s="90">
        <f>SUMIFS(MRR_Export_New_Count,MRR_Export_Months,"&gt;="&amp;H$1,MRR_Export_Months,"&lt;"&amp;I$1)</f>
        <v>10</v>
      </c>
      <c r="I7" s="90">
        <f>SUMIFS(MRR_Export_New_Count,MRR_Export_Months,"&gt;="&amp;I$1,MRR_Export_Months,"&lt;"&amp;J$1)</f>
        <v>21</v>
      </c>
      <c r="J7" s="90">
        <f>SUMIFS(MRR_Export_New_Count,MRR_Export_Months,"&gt;="&amp;J$1,MRR_Export_Months,"&lt;"&amp;K$1)</f>
        <v>14</v>
      </c>
      <c r="K7" s="90">
        <f>SUMIFS(MRR_Export_New_Count,MRR_Export_Months,"&gt;="&amp;K$1,MRR_Export_Months,"&lt;"&amp;L$1)</f>
        <v>14</v>
      </c>
      <c r="L7" s="90">
        <f>SUMIFS(MRR_Export_New_Count,MRR_Export_Months,"&gt;="&amp;L$1,MRR_Export_Months,"&lt;"&amp;M$1)</f>
        <v>14</v>
      </c>
      <c r="M7" s="90">
        <f>SUMIFS(MRR_Export_New_Count,MRR_Export_Months,"&gt;="&amp;M$1,MRR_Export_Months,"&lt;"&amp;N$1)</f>
        <v>14</v>
      </c>
      <c r="N7" s="90">
        <f>SUMIFS(MRR_Export_New_Count,MRR_Export_Months,"&gt;="&amp;N$1,MRR_Export_Months,"&lt;"&amp;O$1)</f>
        <v>16</v>
      </c>
      <c r="O7" s="90">
        <f>SUMIFS(MRR_Export_New_Count,MRR_Export_Months,"&gt;="&amp;O$1,MRR_Export_Months,"&lt;"&amp;P$1)</f>
        <v>15</v>
      </c>
      <c r="P7" s="90">
        <f>SUMIFS(MRR_Export_New_Count,MRR_Export_Months,"&gt;="&amp;P$1,MRR_Export_Months,"&lt;"&amp;Q$1)</f>
        <v>25</v>
      </c>
      <c r="Q7" s="90">
        <f>SUMIFS(MRR_Export_New_Count,MRR_Export_Months,"&gt;="&amp;Q$1,MRR_Export_Months,"&lt;"&amp;R$1)</f>
        <v>17</v>
      </c>
      <c r="R7" s="90">
        <f>SUMIFS(MRR_Export_New_Count,MRR_Export_Months,"&gt;="&amp;R$1,MRR_Export_Months,"&lt;"&amp;S$1)</f>
        <v>38</v>
      </c>
      <c r="S7" s="90">
        <f>SUMIFS(MRR_Export_New_Count,MRR_Export_Months,"&gt;="&amp;S$1,MRR_Export_Months,"&lt;"&amp;T$1)</f>
        <v>20</v>
      </c>
      <c r="T7" s="90">
        <f>SUMIFS(MRR_Export_New_Count,MRR_Export_Months,"&gt;="&amp;T$1,MRR_Export_Months,"&lt;"&amp;U$1)</f>
        <v>29</v>
      </c>
      <c r="U7" s="90">
        <f>SUMIFS(MRR_Export_New_Count,MRR_Export_Months,"&gt;="&amp;U$1,MRR_Export_Months,"&lt;"&amp;V$1)</f>
        <v>32</v>
      </c>
      <c r="V7" s="90">
        <f>SUMIFS(MRR_Export_New_Count,MRR_Export_Months,"&gt;="&amp;V$1,MRR_Export_Months,"&lt;"&amp;W$1)</f>
        <v>30</v>
      </c>
      <c r="W7" s="90">
        <f>SUMIFS(MRR_Export_New_Count,MRR_Export_Months,"&gt;="&amp;W$1,MRR_Export_Months,"&lt;"&amp;X$1)</f>
        <v>26</v>
      </c>
      <c r="X7" s="90">
        <f>SUMIFS(MRR_Export_New_Count,MRR_Export_Months,"&gt;="&amp;X$1,MRR_Export_Months,"&lt;"&amp;Y$1)</f>
        <v>21</v>
      </c>
      <c r="Y7" s="90">
        <f>SUMIFS(MRR_Export_New_Count,MRR_Export_Months,"&gt;="&amp;Y$1,MRR_Export_Months,"&lt;"&amp;Z$1)</f>
        <v>22</v>
      </c>
      <c r="Z7" s="90">
        <f>SUMIFS(MRR_Export_New_Count,MRR_Export_Months,"&gt;="&amp;Z$1,MRR_Export_Months,"&lt;"&amp;AA$1)</f>
        <v>25</v>
      </c>
      <c r="AA7" s="90">
        <f>SUMIFS(MRR_Export_New_Count,MRR_Export_Months,"&gt;="&amp;AA$1,MRR_Export_Months,"&lt;"&amp;AB$1)</f>
        <v>25</v>
      </c>
      <c r="AB7" s="90">
        <f>SUMIFS(MRR_Export_New_Count,MRR_Export_Months,"&gt;="&amp;AB$1,MRR_Export_Months,"&lt;"&amp;AC$1)</f>
        <v>28</v>
      </c>
      <c r="AC7" s="90">
        <f>SUMIFS(MRR_Export_New_Count,MRR_Export_Months,"&gt;="&amp;AC$1,MRR_Export_Months,"&lt;"&amp;AD$1)</f>
        <v>20</v>
      </c>
      <c r="AD7" s="90">
        <f>SUMIFS(MRR_Export_New_Count,MRR_Export_Months,"&gt;="&amp;AD$1,MRR_Export_Months,"&lt;"&amp;AE$1)</f>
        <v>14</v>
      </c>
      <c r="AE7" s="121">
        <v>14.0</v>
      </c>
      <c r="AF7" s="121">
        <v>14.0</v>
      </c>
      <c r="AG7" s="121">
        <v>14.0</v>
      </c>
      <c r="AH7" s="76">
        <f t="shared" ref="AH7:BV7" si="4">ROUND(AH$3*AH$4,0)</f>
        <v>18</v>
      </c>
      <c r="AI7" s="76">
        <f t="shared" si="4"/>
        <v>18</v>
      </c>
      <c r="AJ7" s="76">
        <f t="shared" si="4"/>
        <v>19</v>
      </c>
      <c r="AK7" s="76">
        <f t="shared" si="4"/>
        <v>19</v>
      </c>
      <c r="AL7" s="76">
        <f t="shared" si="4"/>
        <v>20</v>
      </c>
      <c r="AM7" s="76">
        <f t="shared" si="4"/>
        <v>20</v>
      </c>
      <c r="AN7" s="76">
        <f t="shared" si="4"/>
        <v>21</v>
      </c>
      <c r="AO7" s="76">
        <f t="shared" si="4"/>
        <v>21</v>
      </c>
      <c r="AP7" s="76">
        <f t="shared" si="4"/>
        <v>22</v>
      </c>
      <c r="AQ7" s="76">
        <f t="shared" si="4"/>
        <v>23</v>
      </c>
      <c r="AR7" s="76">
        <f t="shared" si="4"/>
        <v>23</v>
      </c>
      <c r="AS7" s="76">
        <f t="shared" si="4"/>
        <v>24</v>
      </c>
      <c r="AT7" s="76">
        <f t="shared" si="4"/>
        <v>24</v>
      </c>
      <c r="AU7" s="76">
        <f t="shared" si="4"/>
        <v>25</v>
      </c>
      <c r="AV7" s="76">
        <f t="shared" si="4"/>
        <v>26</v>
      </c>
      <c r="AW7" s="76">
        <f t="shared" si="4"/>
        <v>26</v>
      </c>
      <c r="AX7" s="76">
        <f t="shared" si="4"/>
        <v>27</v>
      </c>
      <c r="AY7" s="94">
        <f t="shared" si="4"/>
        <v>26</v>
      </c>
      <c r="AZ7" s="94">
        <f t="shared" si="4"/>
        <v>27</v>
      </c>
      <c r="BA7" s="94">
        <f t="shared" si="4"/>
        <v>27</v>
      </c>
      <c r="BB7" s="94">
        <f t="shared" si="4"/>
        <v>27</v>
      </c>
      <c r="BC7" s="94">
        <f t="shared" si="4"/>
        <v>27</v>
      </c>
      <c r="BD7" s="94">
        <f t="shared" si="4"/>
        <v>28</v>
      </c>
      <c r="BE7" s="94">
        <f t="shared" si="4"/>
        <v>28</v>
      </c>
      <c r="BF7" s="94">
        <f t="shared" si="4"/>
        <v>29</v>
      </c>
      <c r="BG7" s="94">
        <f t="shared" si="4"/>
        <v>29</v>
      </c>
      <c r="BH7" s="94">
        <f t="shared" si="4"/>
        <v>29</v>
      </c>
      <c r="BI7" s="94">
        <f t="shared" si="4"/>
        <v>30</v>
      </c>
      <c r="BJ7" s="94">
        <f t="shared" si="4"/>
        <v>30</v>
      </c>
      <c r="BK7" s="94">
        <f t="shared" si="4"/>
        <v>30</v>
      </c>
      <c r="BL7" s="94">
        <f t="shared" si="4"/>
        <v>31</v>
      </c>
      <c r="BM7" s="94">
        <f t="shared" si="4"/>
        <v>31</v>
      </c>
      <c r="BN7" s="94">
        <f t="shared" si="4"/>
        <v>32</v>
      </c>
      <c r="BO7" s="94">
        <f t="shared" si="4"/>
        <v>32</v>
      </c>
      <c r="BP7" s="94">
        <f t="shared" si="4"/>
        <v>32</v>
      </c>
      <c r="BQ7" s="94">
        <f t="shared" si="4"/>
        <v>33</v>
      </c>
      <c r="BR7" s="94">
        <f t="shared" si="4"/>
        <v>33</v>
      </c>
      <c r="BS7" s="94">
        <f t="shared" si="4"/>
        <v>34</v>
      </c>
      <c r="BT7" s="94">
        <f t="shared" si="4"/>
        <v>34</v>
      </c>
      <c r="BU7" s="94">
        <f t="shared" si="4"/>
        <v>35</v>
      </c>
      <c r="BV7" s="94">
        <f t="shared" si="4"/>
        <v>35</v>
      </c>
    </row>
    <row r="8" ht="15.75" customHeight="1">
      <c r="A8" s="82" t="s">
        <v>100</v>
      </c>
      <c r="B8" s="93"/>
      <c r="C8" s="76">
        <f t="shared" ref="C8:AD8" si="5">IFERROR(C9/C7," ")</f>
        <v>1066.4</v>
      </c>
      <c r="D8" s="76">
        <f t="shared" si="5"/>
        <v>1125.545455</v>
      </c>
      <c r="E8" s="76">
        <f t="shared" si="5"/>
        <v>1135.416667</v>
      </c>
      <c r="F8" s="76">
        <f t="shared" si="5"/>
        <v>1090.307692</v>
      </c>
      <c r="G8" s="76">
        <f t="shared" si="5"/>
        <v>1262.714286</v>
      </c>
      <c r="H8" s="76">
        <f t="shared" si="5"/>
        <v>1080.9</v>
      </c>
      <c r="I8" s="76">
        <f t="shared" si="5"/>
        <v>1153</v>
      </c>
      <c r="J8" s="76">
        <f t="shared" si="5"/>
        <v>1171.071429</v>
      </c>
      <c r="K8" s="76">
        <f t="shared" si="5"/>
        <v>1142.571429</v>
      </c>
      <c r="L8" s="76">
        <f t="shared" si="5"/>
        <v>1155.214286</v>
      </c>
      <c r="M8" s="76">
        <f t="shared" si="5"/>
        <v>1151.357143</v>
      </c>
      <c r="N8" s="76">
        <f t="shared" si="5"/>
        <v>1011.75</v>
      </c>
      <c r="O8" s="76">
        <f t="shared" si="5"/>
        <v>1154.266667</v>
      </c>
      <c r="P8" s="76">
        <f t="shared" si="5"/>
        <v>1102.68</v>
      </c>
      <c r="Q8" s="76">
        <f t="shared" si="5"/>
        <v>1090.529412</v>
      </c>
      <c r="R8" s="76">
        <f t="shared" si="5"/>
        <v>1112.631579</v>
      </c>
      <c r="S8" s="76">
        <f t="shared" si="5"/>
        <v>1104.85</v>
      </c>
      <c r="T8" s="76">
        <f t="shared" si="5"/>
        <v>1105.551724</v>
      </c>
      <c r="U8" s="76">
        <f t="shared" si="5"/>
        <v>1005.3125</v>
      </c>
      <c r="V8" s="76">
        <f t="shared" si="5"/>
        <v>1065.777778</v>
      </c>
      <c r="W8" s="76">
        <f t="shared" si="5"/>
        <v>1057.190476</v>
      </c>
      <c r="X8" s="76">
        <f t="shared" si="5"/>
        <v>1367.854875</v>
      </c>
      <c r="Y8" s="76">
        <f t="shared" si="5"/>
        <v>1279.361472</v>
      </c>
      <c r="Z8" s="76">
        <f t="shared" si="5"/>
        <v>1234.038095</v>
      </c>
      <c r="AA8" s="76">
        <f t="shared" si="5"/>
        <v>1323.238095</v>
      </c>
      <c r="AB8" s="76">
        <f t="shared" si="5"/>
        <v>1216.712585</v>
      </c>
      <c r="AC8" s="76">
        <f t="shared" si="5"/>
        <v>1256.4</v>
      </c>
      <c r="AD8" s="76">
        <f t="shared" si="5"/>
        <v>1257.142857</v>
      </c>
      <c r="AE8" s="76">
        <f t="shared" ref="AE8:BV8" si="6">IFERROR(SUM(AB9:AD9)/SUM(AB7:AD7),0)</f>
        <v>1238.644393</v>
      </c>
      <c r="AF8" s="76">
        <f t="shared" si="6"/>
        <v>1251.437948</v>
      </c>
      <c r="AG8" s="76">
        <f t="shared" si="6"/>
        <v>1249.075066</v>
      </c>
      <c r="AH8" s="76">
        <f t="shared" si="6"/>
        <v>1246.385802</v>
      </c>
      <c r="AI8" s="76">
        <f t="shared" si="6"/>
        <v>1248.741884</v>
      </c>
      <c r="AJ8" s="76">
        <f t="shared" si="6"/>
        <v>1247.986985</v>
      </c>
      <c r="AK8" s="76">
        <f t="shared" si="6"/>
        <v>1247.710019</v>
      </c>
      <c r="AL8" s="76">
        <f t="shared" si="6"/>
        <v>1248.135661</v>
      </c>
      <c r="AM8" s="76">
        <f t="shared" si="6"/>
        <v>1247.947523</v>
      </c>
      <c r="AN8" s="76">
        <f t="shared" si="6"/>
        <v>1247.934814</v>
      </c>
      <c r="AO8" s="76">
        <f t="shared" si="6"/>
        <v>1248.004832</v>
      </c>
      <c r="AP8" s="76">
        <f t="shared" si="6"/>
        <v>1247.962629</v>
      </c>
      <c r="AQ8" s="76">
        <f t="shared" si="6"/>
        <v>1247.96735</v>
      </c>
      <c r="AR8" s="76">
        <f t="shared" si="6"/>
        <v>1247.977703</v>
      </c>
      <c r="AS8" s="76">
        <f t="shared" si="6"/>
        <v>1247.969325</v>
      </c>
      <c r="AT8" s="76">
        <f t="shared" si="6"/>
        <v>1247.971429</v>
      </c>
      <c r="AU8" s="76">
        <f t="shared" si="6"/>
        <v>1247.97275</v>
      </c>
      <c r="AV8" s="76">
        <f t="shared" si="6"/>
        <v>1247.971189</v>
      </c>
      <c r="AW8" s="76">
        <f t="shared" si="6"/>
        <v>1247.971786</v>
      </c>
      <c r="AX8" s="76">
        <f t="shared" si="6"/>
        <v>1247.971898</v>
      </c>
      <c r="AY8" s="94">
        <f t="shared" si="6"/>
        <v>1247.971628</v>
      </c>
      <c r="AZ8" s="94">
        <f t="shared" si="6"/>
        <v>1247.971772</v>
      </c>
      <c r="BA8" s="94">
        <f t="shared" si="6"/>
        <v>1247.971768</v>
      </c>
      <c r="BB8" s="94">
        <f t="shared" si="6"/>
        <v>1247.971724</v>
      </c>
      <c r="BC8" s="94">
        <f t="shared" si="6"/>
        <v>1247.971754</v>
      </c>
      <c r="BD8" s="94">
        <f t="shared" si="6"/>
        <v>1247.971749</v>
      </c>
      <c r="BE8" s="94">
        <f t="shared" si="6"/>
        <v>1247.971742</v>
      </c>
      <c r="BF8" s="94">
        <f t="shared" si="6"/>
        <v>1247.971748</v>
      </c>
      <c r="BG8" s="94">
        <f t="shared" si="6"/>
        <v>1247.971746</v>
      </c>
      <c r="BH8" s="94">
        <f t="shared" si="6"/>
        <v>1247.971746</v>
      </c>
      <c r="BI8" s="94">
        <f t="shared" si="6"/>
        <v>1247.971747</v>
      </c>
      <c r="BJ8" s="94">
        <f t="shared" si="6"/>
        <v>1247.971746</v>
      </c>
      <c r="BK8" s="94">
        <f t="shared" si="6"/>
        <v>1247.971746</v>
      </c>
      <c r="BL8" s="94">
        <f t="shared" si="6"/>
        <v>1247.971746</v>
      </c>
      <c r="BM8" s="94">
        <f t="shared" si="6"/>
        <v>1247.971746</v>
      </c>
      <c r="BN8" s="94">
        <f t="shared" si="6"/>
        <v>1247.971746</v>
      </c>
      <c r="BO8" s="94">
        <f t="shared" si="6"/>
        <v>1247.971746</v>
      </c>
      <c r="BP8" s="94">
        <f t="shared" si="6"/>
        <v>1247.971746</v>
      </c>
      <c r="BQ8" s="94">
        <f t="shared" si="6"/>
        <v>1247.971746</v>
      </c>
      <c r="BR8" s="94">
        <f t="shared" si="6"/>
        <v>1247.971746</v>
      </c>
      <c r="BS8" s="94">
        <f t="shared" si="6"/>
        <v>1247.971746</v>
      </c>
      <c r="BT8" s="94">
        <f t="shared" si="6"/>
        <v>1247.971746</v>
      </c>
      <c r="BU8" s="94">
        <f t="shared" si="6"/>
        <v>1247.971746</v>
      </c>
      <c r="BV8" s="94">
        <f t="shared" si="6"/>
        <v>1247.971746</v>
      </c>
    </row>
    <row r="9" ht="15.75" customHeight="1">
      <c r="A9" s="82" t="s">
        <v>101</v>
      </c>
      <c r="B9" s="95"/>
      <c r="C9" s="90">
        <f>SUMIFS(MRR_Export_New_MRR,MRR_Export_Months,"&gt;="&amp;C$1,MRR_Export_Months,"&lt;"&amp;D$1)</f>
        <v>10664</v>
      </c>
      <c r="D9" s="90">
        <f>SUMIFS(MRR_Export_New_MRR,MRR_Export_Months,"&gt;="&amp;D$1,MRR_Export_Months,"&lt;"&amp;E$1)</f>
        <v>12381</v>
      </c>
      <c r="E9" s="90">
        <f>SUMIFS(MRR_Export_New_MRR,MRR_Export_Months,"&gt;="&amp;E$1,MRR_Export_Months,"&lt;"&amp;F$1)</f>
        <v>13625</v>
      </c>
      <c r="F9" s="90">
        <f>SUMIFS(MRR_Export_New_MRR,MRR_Export_Months,"&gt;="&amp;F$1,MRR_Export_Months,"&lt;"&amp;G$1)</f>
        <v>14174</v>
      </c>
      <c r="G9" s="90">
        <f>SUMIFS(MRR_Export_New_MRR,MRR_Export_Months,"&gt;="&amp;G$1,MRR_Export_Months,"&lt;"&amp;H$1)</f>
        <v>17678</v>
      </c>
      <c r="H9" s="90">
        <f>SUMIFS(MRR_Export_New_MRR,MRR_Export_Months,"&gt;="&amp;H$1,MRR_Export_Months,"&lt;"&amp;I$1)</f>
        <v>10809</v>
      </c>
      <c r="I9" s="90">
        <f>SUMIFS(MRR_Export_New_MRR,MRR_Export_Months,"&gt;="&amp;I$1,MRR_Export_Months,"&lt;"&amp;J$1)</f>
        <v>24213</v>
      </c>
      <c r="J9" s="90">
        <f>SUMIFS(MRR_Export_New_MRR,MRR_Export_Months,"&gt;="&amp;J$1,MRR_Export_Months,"&lt;"&amp;K$1)</f>
        <v>16395</v>
      </c>
      <c r="K9" s="90">
        <f>SUMIFS(MRR_Export_New_MRR,MRR_Export_Months,"&gt;="&amp;K$1,MRR_Export_Months,"&lt;"&amp;L$1)</f>
        <v>15996</v>
      </c>
      <c r="L9" s="90">
        <f>SUMIFS(MRR_Export_New_MRR,MRR_Export_Months,"&gt;="&amp;L$1,MRR_Export_Months,"&lt;"&amp;M$1)</f>
        <v>16173</v>
      </c>
      <c r="M9" s="90">
        <f>SUMIFS(MRR_Export_New_MRR,MRR_Export_Months,"&gt;="&amp;M$1,MRR_Export_Months,"&lt;"&amp;N$1)</f>
        <v>16119</v>
      </c>
      <c r="N9" s="90">
        <f>SUMIFS(MRR_Export_New_MRR,MRR_Export_Months,"&gt;="&amp;N$1,MRR_Export_Months,"&lt;"&amp;O$1)</f>
        <v>16188</v>
      </c>
      <c r="O9" s="90">
        <f>SUMIFS(MRR_Export_New_MRR,MRR_Export_Months,"&gt;="&amp;O$1,MRR_Export_Months,"&lt;"&amp;P$1)</f>
        <v>17314</v>
      </c>
      <c r="P9" s="90">
        <f>SUMIFS(MRR_Export_New_MRR,MRR_Export_Months,"&gt;="&amp;P$1,MRR_Export_Months,"&lt;"&amp;Q$1)</f>
        <v>27567</v>
      </c>
      <c r="Q9" s="90">
        <f>SUMIFS(MRR_Export_New_MRR,MRR_Export_Months,"&gt;="&amp;Q$1,MRR_Export_Months,"&lt;"&amp;R$1)</f>
        <v>18539</v>
      </c>
      <c r="R9" s="90">
        <f>SUMIFS(MRR_Export_New_MRR,MRR_Export_Months,"&gt;="&amp;R$1,MRR_Export_Months,"&lt;"&amp;S$1)</f>
        <v>42280</v>
      </c>
      <c r="S9" s="90">
        <f>SUMIFS(MRR_Export_New_MRR,MRR_Export_Months,"&gt;="&amp;S$1,MRR_Export_Months,"&lt;"&amp;T$1)</f>
        <v>22097</v>
      </c>
      <c r="T9" s="90">
        <f>SUMIFS(MRR_Export_New_MRR,MRR_Export_Months,"&gt;="&amp;T$1,MRR_Export_Months,"&lt;"&amp;U$1)</f>
        <v>32061</v>
      </c>
      <c r="U9" s="90">
        <f>SUMIFS(MRR_Export_New_MRR,MRR_Export_Months,"&gt;="&amp;U$1,MRR_Export_Months,"&lt;"&amp;V$1)</f>
        <v>32170</v>
      </c>
      <c r="V9" s="90">
        <f>SUMIFS(MRR_Export_New_MRR,MRR_Export_Months,"&gt;="&amp;V$1,MRR_Export_Months,"&lt;"&amp;W$1)</f>
        <v>31973.33333</v>
      </c>
      <c r="W9" s="90">
        <f>SUMIFS(MRR_Export_New_MRR,MRR_Export_Months,"&gt;="&amp;W$1,MRR_Export_Months,"&lt;"&amp;X$1)</f>
        <v>27486.95238</v>
      </c>
      <c r="X9" s="90">
        <f>SUMIFS(MRR_Export_New_MRR,MRR_Export_Months,"&gt;="&amp;X$1,MRR_Export_Months,"&lt;"&amp;Y$1)</f>
        <v>28724.95238</v>
      </c>
      <c r="Y9" s="90">
        <f>SUMIFS(MRR_Export_New_MRR,MRR_Export_Months,"&gt;="&amp;Y$1,MRR_Export_Months,"&lt;"&amp;Z$1)</f>
        <v>28145.95238</v>
      </c>
      <c r="Z9" s="90">
        <f>SUMIFS(MRR_Export_New_MRR,MRR_Export_Months,"&gt;="&amp;Z$1,MRR_Export_Months,"&lt;"&amp;AA$1)</f>
        <v>30850.95238</v>
      </c>
      <c r="AA9" s="90">
        <f>SUMIFS(MRR_Export_New_MRR,MRR_Export_Months,"&gt;="&amp;AA$1,MRR_Export_Months,"&lt;"&amp;AB$1)</f>
        <v>33080.95238</v>
      </c>
      <c r="AB9" s="90">
        <f>SUMIFS(MRR_Export_New_MRR,MRR_Export_Months,"&gt;="&amp;AB$1,MRR_Export_Months,"&lt;"&amp;AC$1)</f>
        <v>34067.95238</v>
      </c>
      <c r="AC9" s="90">
        <f>SUMIFS(MRR_Export_New_MRR,MRR_Export_Months,"&gt;="&amp;AC$1,MRR_Export_Months,"&lt;"&amp;AD$1)</f>
        <v>25128</v>
      </c>
      <c r="AD9" s="90">
        <f>SUMIFS(MRR_Export_New_MRR,MRR_Export_Months,"&gt;="&amp;AD$1,MRR_Export_Months,"&lt;"&amp;AE$1)</f>
        <v>17600</v>
      </c>
      <c r="AE9" s="96">
        <f t="shared" ref="AE9:BV9" si="7">AE7*AE8</f>
        <v>17341.02151</v>
      </c>
      <c r="AF9" s="96">
        <f t="shared" si="7"/>
        <v>17520.13127</v>
      </c>
      <c r="AG9" s="96">
        <f t="shared" si="7"/>
        <v>17487.05093</v>
      </c>
      <c r="AH9" s="96">
        <f t="shared" si="7"/>
        <v>22434.94444</v>
      </c>
      <c r="AI9" s="96">
        <f t="shared" si="7"/>
        <v>22477.3539</v>
      </c>
      <c r="AJ9" s="96">
        <f t="shared" si="7"/>
        <v>23711.75272</v>
      </c>
      <c r="AK9" s="96">
        <f t="shared" si="7"/>
        <v>23706.49037</v>
      </c>
      <c r="AL9" s="96">
        <f t="shared" si="7"/>
        <v>24962.71321</v>
      </c>
      <c r="AM9" s="96">
        <f t="shared" si="7"/>
        <v>24958.95045</v>
      </c>
      <c r="AN9" s="96">
        <f t="shared" si="7"/>
        <v>26206.6311</v>
      </c>
      <c r="AO9" s="96">
        <f t="shared" si="7"/>
        <v>26208.10148</v>
      </c>
      <c r="AP9" s="96">
        <f t="shared" si="7"/>
        <v>27455.17785</v>
      </c>
      <c r="AQ9" s="96">
        <f t="shared" si="7"/>
        <v>28703.24906</v>
      </c>
      <c r="AR9" s="96">
        <f t="shared" si="7"/>
        <v>28703.48716</v>
      </c>
      <c r="AS9" s="96">
        <f t="shared" si="7"/>
        <v>29951.26379</v>
      </c>
      <c r="AT9" s="96">
        <f t="shared" si="7"/>
        <v>29951.31429</v>
      </c>
      <c r="AU9" s="96">
        <f t="shared" si="7"/>
        <v>31199.31875</v>
      </c>
      <c r="AV9" s="96">
        <f t="shared" si="7"/>
        <v>32447.25092</v>
      </c>
      <c r="AW9" s="96">
        <f t="shared" si="7"/>
        <v>32447.26644</v>
      </c>
      <c r="AX9" s="96">
        <f t="shared" si="7"/>
        <v>33695.24123</v>
      </c>
      <c r="AY9" s="97">
        <f t="shared" si="7"/>
        <v>32447.26232</v>
      </c>
      <c r="AZ9" s="97">
        <f t="shared" si="7"/>
        <v>33695.23785</v>
      </c>
      <c r="BA9" s="97">
        <f t="shared" si="7"/>
        <v>33695.23772</v>
      </c>
      <c r="BB9" s="97">
        <f t="shared" si="7"/>
        <v>33695.23654</v>
      </c>
      <c r="BC9" s="97">
        <f t="shared" si="7"/>
        <v>33695.23737</v>
      </c>
      <c r="BD9" s="97">
        <f t="shared" si="7"/>
        <v>34943.20896</v>
      </c>
      <c r="BE9" s="97">
        <f t="shared" si="7"/>
        <v>34943.20878</v>
      </c>
      <c r="BF9" s="97">
        <f t="shared" si="7"/>
        <v>36191.1807</v>
      </c>
      <c r="BG9" s="97">
        <f t="shared" si="7"/>
        <v>36191.18065</v>
      </c>
      <c r="BH9" s="97">
        <f t="shared" si="7"/>
        <v>36191.18063</v>
      </c>
      <c r="BI9" s="97">
        <f t="shared" si="7"/>
        <v>37439.1524</v>
      </c>
      <c r="BJ9" s="97">
        <f t="shared" si="7"/>
        <v>37439.15239</v>
      </c>
      <c r="BK9" s="97">
        <f t="shared" si="7"/>
        <v>37439.15239</v>
      </c>
      <c r="BL9" s="97">
        <f t="shared" si="7"/>
        <v>38687.12414</v>
      </c>
      <c r="BM9" s="97">
        <f t="shared" si="7"/>
        <v>38687.12414</v>
      </c>
      <c r="BN9" s="97">
        <f t="shared" si="7"/>
        <v>39935.09588</v>
      </c>
      <c r="BO9" s="97">
        <f t="shared" si="7"/>
        <v>39935.09588</v>
      </c>
      <c r="BP9" s="97">
        <f t="shared" si="7"/>
        <v>39935.09588</v>
      </c>
      <c r="BQ9" s="97">
        <f t="shared" si="7"/>
        <v>41183.06763</v>
      </c>
      <c r="BR9" s="97">
        <f t="shared" si="7"/>
        <v>41183.06763</v>
      </c>
      <c r="BS9" s="97">
        <f t="shared" si="7"/>
        <v>42431.03938</v>
      </c>
      <c r="BT9" s="97">
        <f t="shared" si="7"/>
        <v>42431.03938</v>
      </c>
      <c r="BU9" s="97">
        <f t="shared" si="7"/>
        <v>43679.01112</v>
      </c>
      <c r="BV9" s="97">
        <f t="shared" si="7"/>
        <v>43679.01112</v>
      </c>
    </row>
    <row r="10" ht="15.75" customHeight="1">
      <c r="A10" s="87"/>
      <c r="B10" s="96"/>
      <c r="C10" s="96"/>
      <c r="D10" s="96"/>
      <c r="E10" s="96"/>
      <c r="F10" s="96"/>
      <c r="G10" s="96"/>
      <c r="H10" s="96"/>
      <c r="I10" s="96"/>
      <c r="J10" s="96"/>
      <c r="K10" s="96"/>
      <c r="L10" s="96"/>
      <c r="M10" s="96"/>
      <c r="N10" s="96"/>
      <c r="O10" s="96"/>
      <c r="P10" s="96"/>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7"/>
      <c r="AZ10" s="97"/>
      <c r="BA10" s="97"/>
      <c r="BB10" s="97"/>
      <c r="BC10" s="97"/>
      <c r="BD10" s="97"/>
      <c r="BE10" s="97"/>
      <c r="BF10" s="97"/>
      <c r="BG10" s="97"/>
      <c r="BH10" s="97"/>
      <c r="BI10" s="97"/>
      <c r="BJ10" s="97"/>
      <c r="BK10" s="97"/>
      <c r="BL10" s="97"/>
      <c r="BM10" s="97"/>
      <c r="BN10" s="97"/>
      <c r="BO10" s="97"/>
      <c r="BP10" s="97"/>
      <c r="BQ10" s="97"/>
      <c r="BR10" s="97"/>
      <c r="BS10" s="97"/>
      <c r="BT10" s="97"/>
      <c r="BU10" s="97"/>
      <c r="BV10" s="97"/>
    </row>
    <row r="11" ht="15.75" customHeight="1">
      <c r="A11" s="87" t="s">
        <v>102</v>
      </c>
      <c r="B11" s="96"/>
      <c r="C11" s="96"/>
      <c r="D11" s="96"/>
      <c r="E11" s="96"/>
      <c r="F11" s="96"/>
      <c r="G11" s="96"/>
      <c r="H11" s="96"/>
      <c r="I11" s="96"/>
      <c r="J11" s="96"/>
      <c r="K11" s="96"/>
      <c r="L11" s="96"/>
      <c r="M11" s="96"/>
      <c r="N11" s="96"/>
      <c r="O11" s="96"/>
      <c r="P11" s="96"/>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7"/>
      <c r="AZ11" s="97"/>
      <c r="BA11" s="97"/>
      <c r="BB11" s="97"/>
      <c r="BC11" s="97"/>
      <c r="BD11" s="97"/>
      <c r="BE11" s="97"/>
      <c r="BF11" s="97"/>
      <c r="BG11" s="97"/>
      <c r="BH11" s="97"/>
      <c r="BI11" s="97"/>
      <c r="BJ11" s="97"/>
      <c r="BK11" s="97"/>
      <c r="BL11" s="97"/>
      <c r="BM11" s="97"/>
      <c r="BN11" s="97"/>
      <c r="BO11" s="97"/>
      <c r="BP11" s="97"/>
      <c r="BQ11" s="97"/>
      <c r="BR11" s="97"/>
      <c r="BS11" s="97"/>
      <c r="BT11" s="97"/>
      <c r="BU11" s="97"/>
      <c r="BV11" s="97"/>
    </row>
    <row r="12" ht="15.75" customHeight="1">
      <c r="A12" s="82" t="s">
        <v>32</v>
      </c>
      <c r="B12" s="1"/>
      <c r="C12" s="96"/>
      <c r="D12" s="96"/>
      <c r="E12" s="96"/>
      <c r="F12" s="96"/>
      <c r="G12" s="96"/>
      <c r="H12" s="96"/>
      <c r="I12" s="96"/>
      <c r="J12" s="96"/>
      <c r="K12" s="96"/>
      <c r="L12" s="96"/>
      <c r="M12" s="96"/>
      <c r="N12" s="96"/>
      <c r="O12" s="96"/>
      <c r="P12" s="96"/>
      <c r="Q12" s="96"/>
      <c r="R12" s="96"/>
      <c r="S12" s="96"/>
      <c r="T12" s="96"/>
      <c r="U12" s="96"/>
      <c r="V12" s="96"/>
      <c r="W12" s="96"/>
      <c r="X12" s="96"/>
      <c r="Y12" s="96"/>
      <c r="Z12" s="96"/>
      <c r="AA12" s="96"/>
      <c r="AB12" s="96"/>
      <c r="AC12" s="96"/>
      <c r="AD12" s="96"/>
      <c r="AE12" s="76">
        <f t="shared" ref="AE12:BV12" si="8">ROUND(AE$3*AE$5,0)</f>
        <v>0</v>
      </c>
      <c r="AF12" s="76">
        <f t="shared" si="8"/>
        <v>0</v>
      </c>
      <c r="AG12" s="76">
        <f t="shared" si="8"/>
        <v>0</v>
      </c>
      <c r="AH12" s="76">
        <f t="shared" si="8"/>
        <v>0</v>
      </c>
      <c r="AI12" s="76">
        <f t="shared" si="8"/>
        <v>0</v>
      </c>
      <c r="AJ12" s="76">
        <f t="shared" si="8"/>
        <v>0</v>
      </c>
      <c r="AK12" s="76">
        <f t="shared" si="8"/>
        <v>0</v>
      </c>
      <c r="AL12" s="76">
        <f t="shared" si="8"/>
        <v>0</v>
      </c>
      <c r="AM12" s="76">
        <f t="shared" si="8"/>
        <v>0</v>
      </c>
      <c r="AN12" s="76">
        <f t="shared" si="8"/>
        <v>0</v>
      </c>
      <c r="AO12" s="76">
        <f t="shared" si="8"/>
        <v>0</v>
      </c>
      <c r="AP12" s="76">
        <f t="shared" si="8"/>
        <v>0</v>
      </c>
      <c r="AQ12" s="76">
        <f t="shared" si="8"/>
        <v>0</v>
      </c>
      <c r="AR12" s="76">
        <f t="shared" si="8"/>
        <v>0</v>
      </c>
      <c r="AS12" s="76">
        <f t="shared" si="8"/>
        <v>0</v>
      </c>
      <c r="AT12" s="76">
        <f t="shared" si="8"/>
        <v>0</v>
      </c>
      <c r="AU12" s="76">
        <f t="shared" si="8"/>
        <v>0</v>
      </c>
      <c r="AV12" s="76">
        <f t="shared" si="8"/>
        <v>0</v>
      </c>
      <c r="AW12" s="76">
        <f t="shared" si="8"/>
        <v>0</v>
      </c>
      <c r="AX12" s="76">
        <f t="shared" si="8"/>
        <v>0</v>
      </c>
      <c r="AY12" s="94">
        <f t="shared" si="8"/>
        <v>0</v>
      </c>
      <c r="AZ12" s="94">
        <f t="shared" si="8"/>
        <v>0</v>
      </c>
      <c r="BA12" s="94">
        <f t="shared" si="8"/>
        <v>0</v>
      </c>
      <c r="BB12" s="94">
        <f t="shared" si="8"/>
        <v>0</v>
      </c>
      <c r="BC12" s="94">
        <f t="shared" si="8"/>
        <v>0</v>
      </c>
      <c r="BD12" s="94">
        <f t="shared" si="8"/>
        <v>0</v>
      </c>
      <c r="BE12" s="94">
        <f t="shared" si="8"/>
        <v>0</v>
      </c>
      <c r="BF12" s="94">
        <f t="shared" si="8"/>
        <v>0</v>
      </c>
      <c r="BG12" s="94">
        <f t="shared" si="8"/>
        <v>0</v>
      </c>
      <c r="BH12" s="94">
        <f t="shared" si="8"/>
        <v>0</v>
      </c>
      <c r="BI12" s="94">
        <f t="shared" si="8"/>
        <v>0</v>
      </c>
      <c r="BJ12" s="94">
        <f t="shared" si="8"/>
        <v>0</v>
      </c>
      <c r="BK12" s="94">
        <f t="shared" si="8"/>
        <v>0</v>
      </c>
      <c r="BL12" s="94">
        <f t="shared" si="8"/>
        <v>0</v>
      </c>
      <c r="BM12" s="94">
        <f t="shared" si="8"/>
        <v>0</v>
      </c>
      <c r="BN12" s="94">
        <f t="shared" si="8"/>
        <v>0</v>
      </c>
      <c r="BO12" s="94">
        <f t="shared" si="8"/>
        <v>0</v>
      </c>
      <c r="BP12" s="94">
        <f t="shared" si="8"/>
        <v>0</v>
      </c>
      <c r="BQ12" s="94">
        <f t="shared" si="8"/>
        <v>0</v>
      </c>
      <c r="BR12" s="94">
        <f t="shared" si="8"/>
        <v>0</v>
      </c>
      <c r="BS12" s="94">
        <f t="shared" si="8"/>
        <v>0</v>
      </c>
      <c r="BT12" s="94">
        <f t="shared" si="8"/>
        <v>0</v>
      </c>
      <c r="BU12" s="94">
        <f t="shared" si="8"/>
        <v>0</v>
      </c>
      <c r="BV12" s="94">
        <f t="shared" si="8"/>
        <v>0</v>
      </c>
    </row>
    <row r="13" ht="15.75" customHeight="1">
      <c r="A13" s="82" t="s">
        <v>100</v>
      </c>
      <c r="B13" s="1"/>
      <c r="C13" s="96"/>
      <c r="D13" s="96"/>
      <c r="E13" s="96"/>
      <c r="F13" s="96"/>
      <c r="G13" s="96"/>
      <c r="H13" s="96"/>
      <c r="I13" s="96"/>
      <c r="J13" s="96"/>
      <c r="K13" s="96"/>
      <c r="L13" s="96"/>
      <c r="M13" s="96"/>
      <c r="N13" s="96"/>
      <c r="O13" s="96"/>
      <c r="P13" s="96"/>
      <c r="Q13" s="96"/>
      <c r="R13" s="96"/>
      <c r="S13" s="96"/>
      <c r="T13" s="96"/>
      <c r="U13" s="96"/>
      <c r="V13" s="96"/>
      <c r="W13" s="96"/>
      <c r="X13" s="96"/>
      <c r="Y13" s="96"/>
      <c r="Z13" s="96"/>
      <c r="AA13" s="96"/>
      <c r="AB13" s="96"/>
      <c r="AC13" s="96"/>
      <c r="AD13" s="96"/>
      <c r="AE13" s="98">
        <v>1000.0</v>
      </c>
      <c r="AF13" s="98">
        <v>1000.0</v>
      </c>
      <c r="AG13" s="98">
        <v>1000.0</v>
      </c>
      <c r="AH13" s="98">
        <v>1000.0</v>
      </c>
      <c r="AI13" s="98">
        <v>1000.0</v>
      </c>
      <c r="AJ13" s="98">
        <v>1000.0</v>
      </c>
      <c r="AK13" s="98">
        <v>1000.0</v>
      </c>
      <c r="AL13" s="98">
        <v>1000.0</v>
      </c>
      <c r="AM13" s="98">
        <v>1000.0</v>
      </c>
      <c r="AN13" s="98">
        <v>1000.0</v>
      </c>
      <c r="AO13" s="98">
        <v>1000.0</v>
      </c>
      <c r="AP13" s="98">
        <v>1000.0</v>
      </c>
      <c r="AQ13" s="98">
        <v>1000.0</v>
      </c>
      <c r="AR13" s="98">
        <v>1000.0</v>
      </c>
      <c r="AS13" s="98">
        <v>1000.0</v>
      </c>
      <c r="AT13" s="98">
        <v>1000.0</v>
      </c>
      <c r="AU13" s="98">
        <v>1000.0</v>
      </c>
      <c r="AV13" s="98">
        <v>1000.0</v>
      </c>
      <c r="AW13" s="98">
        <v>1000.0</v>
      </c>
      <c r="AX13" s="98">
        <v>1000.0</v>
      </c>
      <c r="AY13" s="99">
        <v>1000.0</v>
      </c>
      <c r="AZ13" s="99">
        <v>1000.0</v>
      </c>
      <c r="BA13" s="99">
        <v>1000.0</v>
      </c>
      <c r="BB13" s="99">
        <v>1000.0</v>
      </c>
      <c r="BC13" s="99">
        <v>1000.0</v>
      </c>
      <c r="BD13" s="99">
        <v>1000.0</v>
      </c>
      <c r="BE13" s="99">
        <v>1000.0</v>
      </c>
      <c r="BF13" s="99">
        <v>1000.0</v>
      </c>
      <c r="BG13" s="99">
        <v>1000.0</v>
      </c>
      <c r="BH13" s="99">
        <v>1000.0</v>
      </c>
      <c r="BI13" s="99">
        <v>1000.0</v>
      </c>
      <c r="BJ13" s="99">
        <v>1000.0</v>
      </c>
      <c r="BK13" s="99">
        <v>1000.0</v>
      </c>
      <c r="BL13" s="99">
        <v>1000.0</v>
      </c>
      <c r="BM13" s="99">
        <v>1000.0</v>
      </c>
      <c r="BN13" s="99">
        <v>1000.0</v>
      </c>
      <c r="BO13" s="99">
        <v>1000.0</v>
      </c>
      <c r="BP13" s="99">
        <v>1000.0</v>
      </c>
      <c r="BQ13" s="99">
        <v>1000.0</v>
      </c>
      <c r="BR13" s="99">
        <v>1000.0</v>
      </c>
      <c r="BS13" s="99">
        <v>1000.0</v>
      </c>
      <c r="BT13" s="99">
        <v>1000.0</v>
      </c>
      <c r="BU13" s="99">
        <v>1000.0</v>
      </c>
      <c r="BV13" s="99">
        <v>1000.0</v>
      </c>
    </row>
    <row r="14" ht="15.75" customHeight="1">
      <c r="A14" s="82" t="s">
        <v>101</v>
      </c>
      <c r="B14" s="1"/>
      <c r="C14" s="96"/>
      <c r="D14" s="96"/>
      <c r="E14" s="96"/>
      <c r="F14" s="96"/>
      <c r="G14" s="96"/>
      <c r="H14" s="96"/>
      <c r="I14" s="96"/>
      <c r="J14" s="96"/>
      <c r="K14" s="96"/>
      <c r="L14" s="96"/>
      <c r="M14" s="96"/>
      <c r="N14" s="96"/>
      <c r="O14" s="96"/>
      <c r="P14" s="96"/>
      <c r="Q14" s="96"/>
      <c r="R14" s="96"/>
      <c r="S14" s="96"/>
      <c r="T14" s="96"/>
      <c r="U14" s="96"/>
      <c r="V14" s="96"/>
      <c r="W14" s="96"/>
      <c r="X14" s="96"/>
      <c r="Y14" s="96"/>
      <c r="Z14" s="96"/>
      <c r="AA14" s="96"/>
      <c r="AB14" s="96"/>
      <c r="AC14" s="96"/>
      <c r="AD14" s="96"/>
      <c r="AE14" s="96">
        <f t="shared" ref="AE14:BV14" si="9">AE12*AE13</f>
        <v>0</v>
      </c>
      <c r="AF14" s="96">
        <f t="shared" si="9"/>
        <v>0</v>
      </c>
      <c r="AG14" s="96">
        <f t="shared" si="9"/>
        <v>0</v>
      </c>
      <c r="AH14" s="96">
        <f t="shared" si="9"/>
        <v>0</v>
      </c>
      <c r="AI14" s="96">
        <f t="shared" si="9"/>
        <v>0</v>
      </c>
      <c r="AJ14" s="96">
        <f t="shared" si="9"/>
        <v>0</v>
      </c>
      <c r="AK14" s="96">
        <f t="shared" si="9"/>
        <v>0</v>
      </c>
      <c r="AL14" s="96">
        <f t="shared" si="9"/>
        <v>0</v>
      </c>
      <c r="AM14" s="96">
        <f t="shared" si="9"/>
        <v>0</v>
      </c>
      <c r="AN14" s="96">
        <f t="shared" si="9"/>
        <v>0</v>
      </c>
      <c r="AO14" s="96">
        <f t="shared" si="9"/>
        <v>0</v>
      </c>
      <c r="AP14" s="96">
        <f t="shared" si="9"/>
        <v>0</v>
      </c>
      <c r="AQ14" s="96">
        <f t="shared" si="9"/>
        <v>0</v>
      </c>
      <c r="AR14" s="96">
        <f t="shared" si="9"/>
        <v>0</v>
      </c>
      <c r="AS14" s="96">
        <f t="shared" si="9"/>
        <v>0</v>
      </c>
      <c r="AT14" s="96">
        <f t="shared" si="9"/>
        <v>0</v>
      </c>
      <c r="AU14" s="96">
        <f t="shared" si="9"/>
        <v>0</v>
      </c>
      <c r="AV14" s="96">
        <f t="shared" si="9"/>
        <v>0</v>
      </c>
      <c r="AW14" s="96">
        <f t="shared" si="9"/>
        <v>0</v>
      </c>
      <c r="AX14" s="96">
        <f t="shared" si="9"/>
        <v>0</v>
      </c>
      <c r="AY14" s="97">
        <f t="shared" si="9"/>
        <v>0</v>
      </c>
      <c r="AZ14" s="97">
        <f t="shared" si="9"/>
        <v>0</v>
      </c>
      <c r="BA14" s="97">
        <f t="shared" si="9"/>
        <v>0</v>
      </c>
      <c r="BB14" s="97">
        <f t="shared" si="9"/>
        <v>0</v>
      </c>
      <c r="BC14" s="97">
        <f t="shared" si="9"/>
        <v>0</v>
      </c>
      <c r="BD14" s="97">
        <f t="shared" si="9"/>
        <v>0</v>
      </c>
      <c r="BE14" s="97">
        <f t="shared" si="9"/>
        <v>0</v>
      </c>
      <c r="BF14" s="97">
        <f t="shared" si="9"/>
        <v>0</v>
      </c>
      <c r="BG14" s="97">
        <f t="shared" si="9"/>
        <v>0</v>
      </c>
      <c r="BH14" s="97">
        <f t="shared" si="9"/>
        <v>0</v>
      </c>
      <c r="BI14" s="97">
        <f t="shared" si="9"/>
        <v>0</v>
      </c>
      <c r="BJ14" s="97">
        <f t="shared" si="9"/>
        <v>0</v>
      </c>
      <c r="BK14" s="97">
        <f t="shared" si="9"/>
        <v>0</v>
      </c>
      <c r="BL14" s="97">
        <f t="shared" si="9"/>
        <v>0</v>
      </c>
      <c r="BM14" s="97">
        <f t="shared" si="9"/>
        <v>0</v>
      </c>
      <c r="BN14" s="97">
        <f t="shared" si="9"/>
        <v>0</v>
      </c>
      <c r="BO14" s="97">
        <f t="shared" si="9"/>
        <v>0</v>
      </c>
      <c r="BP14" s="97">
        <f t="shared" si="9"/>
        <v>0</v>
      </c>
      <c r="BQ14" s="97">
        <f t="shared" si="9"/>
        <v>0</v>
      </c>
      <c r="BR14" s="97">
        <f t="shared" si="9"/>
        <v>0</v>
      </c>
      <c r="BS14" s="97">
        <f t="shared" si="9"/>
        <v>0</v>
      </c>
      <c r="BT14" s="97">
        <f t="shared" si="9"/>
        <v>0</v>
      </c>
      <c r="BU14" s="97">
        <f t="shared" si="9"/>
        <v>0</v>
      </c>
      <c r="BV14" s="97">
        <f t="shared" si="9"/>
        <v>0</v>
      </c>
    </row>
    <row r="15" ht="15.75" customHeight="1">
      <c r="A15" s="87"/>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row>
    <row r="16" ht="15.75" customHeight="1">
      <c r="A16" s="120" t="s">
        <v>103</v>
      </c>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row>
    <row r="17" ht="15.75" customHeight="1">
      <c r="A17" s="87" t="s">
        <v>99</v>
      </c>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row>
    <row r="18" ht="15.75" customHeight="1">
      <c r="A18" s="82" t="s">
        <v>104</v>
      </c>
      <c r="B18" s="89"/>
      <c r="C18" s="90">
        <f>SUMIFS(MRR_Export_Expansion_Count,MRR_Export_Months,"&gt;="&amp;C$1,MRR_Export_Months,"&lt;"&amp;D$1)</f>
        <v>3</v>
      </c>
      <c r="D18" s="90">
        <f>SUMIFS(MRR_Export_Expansion_Count,MRR_Export_Months,"&gt;="&amp;D$1,MRR_Export_Months,"&lt;"&amp;E$1)</f>
        <v>4</v>
      </c>
      <c r="E18" s="90">
        <f>SUMIFS(MRR_Export_Expansion_Count,MRR_Export_Months,"&gt;="&amp;E$1,MRR_Export_Months,"&lt;"&amp;F$1)</f>
        <v>3</v>
      </c>
      <c r="F18" s="90">
        <f>SUMIFS(MRR_Export_Expansion_Count,MRR_Export_Months,"&gt;="&amp;F$1,MRR_Export_Months,"&lt;"&amp;G$1)</f>
        <v>5</v>
      </c>
      <c r="G18" s="90">
        <f>SUMIFS(MRR_Export_Expansion_Count,MRR_Export_Months,"&gt;="&amp;G$1,MRR_Export_Months,"&lt;"&amp;H$1)</f>
        <v>7</v>
      </c>
      <c r="H18" s="90">
        <f>SUMIFS(MRR_Export_Expansion_Count,MRR_Export_Months,"&gt;="&amp;H$1,MRR_Export_Months,"&lt;"&amp;I$1)</f>
        <v>5</v>
      </c>
      <c r="I18" s="90">
        <f>SUMIFS(MRR_Export_Expansion_Count,MRR_Export_Months,"&gt;="&amp;I$1,MRR_Export_Months,"&lt;"&amp;J$1)</f>
        <v>5</v>
      </c>
      <c r="J18" s="90">
        <f>SUMIFS(MRR_Export_Expansion_Count,MRR_Export_Months,"&gt;="&amp;J$1,MRR_Export_Months,"&lt;"&amp;K$1)</f>
        <v>5</v>
      </c>
      <c r="K18" s="90">
        <f>SUMIFS(MRR_Export_Expansion_Count,MRR_Export_Months,"&gt;="&amp;K$1,MRR_Export_Months,"&lt;"&amp;L$1)</f>
        <v>5</v>
      </c>
      <c r="L18" s="90">
        <f>SUMIFS(MRR_Export_Expansion_Count,MRR_Export_Months,"&gt;="&amp;L$1,MRR_Export_Months,"&lt;"&amp;M$1)</f>
        <v>5</v>
      </c>
      <c r="M18" s="90">
        <f>SUMIFS(MRR_Export_Expansion_Count,MRR_Export_Months,"&gt;="&amp;M$1,MRR_Export_Months,"&lt;"&amp;N$1)</f>
        <v>5</v>
      </c>
      <c r="N18" s="90">
        <f>SUMIFS(MRR_Export_Expansion_Count,MRR_Export_Months,"&gt;="&amp;N$1,MRR_Export_Months,"&lt;"&amp;O$1)</f>
        <v>5</v>
      </c>
      <c r="O18" s="90">
        <f>SUMIFS(MRR_Export_Expansion_Count,MRR_Export_Months,"&gt;="&amp;O$1,MRR_Export_Months,"&lt;"&amp;P$1)</f>
        <v>5</v>
      </c>
      <c r="P18" s="90">
        <f>SUMIFS(MRR_Export_Expansion_Count,MRR_Export_Months,"&gt;="&amp;P$1,MRR_Export_Months,"&lt;"&amp;Q$1)</f>
        <v>5</v>
      </c>
      <c r="Q18" s="90">
        <f>SUMIFS(MRR_Export_Expansion_Count,MRR_Export_Months,"&gt;="&amp;Q$1,MRR_Export_Months,"&lt;"&amp;R$1)</f>
        <v>5</v>
      </c>
      <c r="R18" s="90">
        <f>SUMIFS(MRR_Export_Expansion_Count,MRR_Export_Months,"&gt;="&amp;R$1,MRR_Export_Months,"&lt;"&amp;S$1)</f>
        <v>10</v>
      </c>
      <c r="S18" s="90">
        <f>SUMIFS(MRR_Export_Expansion_Count,MRR_Export_Months,"&gt;="&amp;S$1,MRR_Export_Months,"&lt;"&amp;T$1)</f>
        <v>5</v>
      </c>
      <c r="T18" s="90">
        <f>SUMIFS(MRR_Export_Expansion_Count,MRR_Export_Months,"&gt;="&amp;T$1,MRR_Export_Months,"&lt;"&amp;U$1)</f>
        <v>5</v>
      </c>
      <c r="U18" s="90">
        <f>SUMIFS(MRR_Export_Expansion_Count,MRR_Export_Months,"&gt;="&amp;U$1,MRR_Export_Months,"&lt;"&amp;V$1)</f>
        <v>5</v>
      </c>
      <c r="V18" s="90">
        <f>SUMIFS(MRR_Export_Expansion_Count,MRR_Export_Months,"&gt;="&amp;V$1,MRR_Export_Months,"&lt;"&amp;W$1)</f>
        <v>8</v>
      </c>
      <c r="W18" s="90">
        <f>SUMIFS(MRR_Export_Expansion_Count,MRR_Export_Months,"&gt;="&amp;W$1,MRR_Export_Months,"&lt;"&amp;X$1)</f>
        <v>11</v>
      </c>
      <c r="X18" s="90">
        <f>SUMIFS(MRR_Export_Expansion_Count,MRR_Export_Months,"&gt;="&amp;X$1,MRR_Export_Months,"&lt;"&amp;Y$1)</f>
        <v>11</v>
      </c>
      <c r="Y18" s="90">
        <f>SUMIFS(MRR_Export_Expansion_Count,MRR_Export_Months,"&gt;="&amp;Y$1,MRR_Export_Months,"&lt;"&amp;Z$1)</f>
        <v>11</v>
      </c>
      <c r="Z18" s="90">
        <f>SUMIFS(MRR_Export_Expansion_Count,MRR_Export_Months,"&gt;="&amp;Z$1,MRR_Export_Months,"&lt;"&amp;AA$1)</f>
        <v>14</v>
      </c>
      <c r="AA18" s="90">
        <f>SUMIFS(MRR_Export_Expansion_Count,MRR_Export_Months,"&gt;="&amp;AA$1,MRR_Export_Months,"&lt;"&amp;AB$1)</f>
        <v>14</v>
      </c>
      <c r="AB18" s="90">
        <f>SUMIFS(MRR_Export_Expansion_Count,MRR_Export_Months,"&gt;="&amp;AB$1,MRR_Export_Months,"&lt;"&amp;AC$1)</f>
        <v>13</v>
      </c>
      <c r="AC18" s="90">
        <f>SUMIFS(MRR_Export_Expansion_Count,MRR_Export_Months,"&gt;="&amp;AC$1,MRR_Export_Months,"&lt;"&amp;AD$1)</f>
        <v>12</v>
      </c>
      <c r="AD18" s="90">
        <f>SUMIFS(MRR_Export_Expansion_Count,MRR_Export_Months,"&gt;="&amp;AD$1,MRR_Export_Months,"&lt;"&amp;AE$1)</f>
        <v>11</v>
      </c>
      <c r="AE18" s="96">
        <f t="shared" ref="AE18:BV18" si="10">AE19*AD$65</f>
        <v>11.124</v>
      </c>
      <c r="AF18" s="96">
        <f t="shared" si="10"/>
        <v>11.064528</v>
      </c>
      <c r="AG18" s="96">
        <f t="shared" si="10"/>
        <v>11.05097933</v>
      </c>
      <c r="AH18" s="96">
        <f t="shared" si="10"/>
        <v>12.32556747</v>
      </c>
      <c r="AI18" s="96">
        <f t="shared" si="10"/>
        <v>12.50068396</v>
      </c>
      <c r="AJ18" s="96">
        <f t="shared" si="10"/>
        <v>12.72317643</v>
      </c>
      <c r="AK18" s="96">
        <f t="shared" si="10"/>
        <v>12.96322149</v>
      </c>
      <c r="AL18" s="96">
        <f t="shared" si="10"/>
        <v>13.20062605</v>
      </c>
      <c r="AM18" s="96">
        <f t="shared" si="10"/>
        <v>13.45541917</v>
      </c>
      <c r="AN18" s="96">
        <f t="shared" si="10"/>
        <v>13.70740956</v>
      </c>
      <c r="AO18" s="96">
        <f t="shared" si="10"/>
        <v>13.97662805</v>
      </c>
      <c r="AP18" s="96">
        <f t="shared" si="10"/>
        <v>14.24288514</v>
      </c>
      <c r="AQ18" s="96">
        <f t="shared" si="10"/>
        <v>14.52621341</v>
      </c>
      <c r="AR18" s="96">
        <f t="shared" si="10"/>
        <v>14.82642506</v>
      </c>
      <c r="AS18" s="96">
        <f t="shared" si="10"/>
        <v>15.12333438</v>
      </c>
      <c r="AT18" s="96">
        <f t="shared" si="10"/>
        <v>15.43697771</v>
      </c>
      <c r="AU18" s="96">
        <f t="shared" si="10"/>
        <v>15.74717095</v>
      </c>
      <c r="AV18" s="96">
        <f t="shared" si="10"/>
        <v>16.07395207</v>
      </c>
      <c r="AW18" s="96">
        <f t="shared" si="10"/>
        <v>16.4171386</v>
      </c>
      <c r="AX18" s="96">
        <f t="shared" si="10"/>
        <v>16.75655007</v>
      </c>
      <c r="AY18" s="97">
        <f t="shared" si="10"/>
        <v>17.11222802</v>
      </c>
      <c r="AZ18" s="97">
        <f t="shared" si="10"/>
        <v>17.44399351</v>
      </c>
      <c r="BA18" s="97">
        <f t="shared" si="10"/>
        <v>17.79210959</v>
      </c>
      <c r="BB18" s="97">
        <f t="shared" si="10"/>
        <v>18.13639638</v>
      </c>
      <c r="BC18" s="97">
        <f t="shared" si="10"/>
        <v>18.47689602</v>
      </c>
      <c r="BD18" s="97">
        <f t="shared" si="10"/>
        <v>18.81365016</v>
      </c>
      <c r="BE18" s="97">
        <f t="shared" si="10"/>
        <v>19.16670001</v>
      </c>
      <c r="BF18" s="97">
        <f t="shared" si="10"/>
        <v>19.51586631</v>
      </c>
      <c r="BG18" s="97">
        <f t="shared" si="10"/>
        <v>19.88119178</v>
      </c>
      <c r="BH18" s="97">
        <f t="shared" si="10"/>
        <v>20.24249867</v>
      </c>
      <c r="BI18" s="97">
        <f t="shared" si="10"/>
        <v>20.59983119</v>
      </c>
      <c r="BJ18" s="97">
        <f t="shared" si="10"/>
        <v>20.97323304</v>
      </c>
      <c r="BK18" s="97">
        <f t="shared" si="10"/>
        <v>21.34252748</v>
      </c>
      <c r="BL18" s="97">
        <f t="shared" si="10"/>
        <v>21.70775968</v>
      </c>
      <c r="BM18" s="97">
        <f t="shared" si="10"/>
        <v>22.08897432</v>
      </c>
      <c r="BN18" s="97">
        <f t="shared" si="10"/>
        <v>22.4659956</v>
      </c>
      <c r="BO18" s="97">
        <f t="shared" si="10"/>
        <v>22.85886965</v>
      </c>
      <c r="BP18" s="97">
        <f t="shared" si="10"/>
        <v>23.24742209</v>
      </c>
      <c r="BQ18" s="97">
        <f t="shared" si="10"/>
        <v>23.63170044</v>
      </c>
      <c r="BR18" s="97">
        <f t="shared" si="10"/>
        <v>24.03175174</v>
      </c>
      <c r="BS18" s="97">
        <f t="shared" si="10"/>
        <v>24.42740247</v>
      </c>
      <c r="BT18" s="97">
        <f t="shared" si="10"/>
        <v>24.83870104</v>
      </c>
      <c r="BU18" s="97">
        <f t="shared" si="10"/>
        <v>25.24547533</v>
      </c>
      <c r="BV18" s="97">
        <f t="shared" si="10"/>
        <v>25.6677751</v>
      </c>
    </row>
    <row r="19" ht="15.75" customHeight="1">
      <c r="A19" s="82" t="s">
        <v>105</v>
      </c>
      <c r="B19" s="93"/>
      <c r="C19" s="43" t="str">
        <f t="shared" ref="C19:AD19" si="11">IFERROR(C18/B$65," ")</f>
        <v> </v>
      </c>
      <c r="D19" s="43">
        <f t="shared" si="11"/>
        <v>0.01687763713</v>
      </c>
      <c r="E19" s="43">
        <f t="shared" si="11"/>
        <v>0.01376146789</v>
      </c>
      <c r="F19" s="43">
        <f t="shared" si="11"/>
        <v>0.02192982456</v>
      </c>
      <c r="G19" s="43">
        <f t="shared" si="11"/>
        <v>0.02941176471</v>
      </c>
      <c r="H19" s="43">
        <f t="shared" si="11"/>
        <v>0.01992031873</v>
      </c>
      <c r="I19" s="43">
        <f t="shared" si="11"/>
        <v>0.01930501931</v>
      </c>
      <c r="J19" s="43">
        <f t="shared" si="11"/>
        <v>0.01811594203</v>
      </c>
      <c r="K19" s="43">
        <f t="shared" si="11"/>
        <v>0.01754385965</v>
      </c>
      <c r="L19" s="43">
        <f t="shared" si="11"/>
        <v>0.01700680272</v>
      </c>
      <c r="M19" s="43">
        <f t="shared" si="11"/>
        <v>0.01650165017</v>
      </c>
      <c r="N19" s="43">
        <f t="shared" si="11"/>
        <v>0.01602564103</v>
      </c>
      <c r="O19" s="43">
        <f t="shared" si="11"/>
        <v>0.01547987616</v>
      </c>
      <c r="P19" s="43">
        <f t="shared" si="11"/>
        <v>0.01501501502</v>
      </c>
      <c r="Q19" s="43">
        <f t="shared" si="11"/>
        <v>0.01416430595</v>
      </c>
      <c r="R19" s="43">
        <f t="shared" si="11"/>
        <v>0.02747252747</v>
      </c>
      <c r="S19" s="43">
        <f t="shared" si="11"/>
        <v>0.01256281407</v>
      </c>
      <c r="T19" s="43">
        <f t="shared" si="11"/>
        <v>0.01213592233</v>
      </c>
      <c r="U19" s="43">
        <f t="shared" si="11"/>
        <v>0.01152073733</v>
      </c>
      <c r="V19" s="43">
        <f t="shared" si="11"/>
        <v>0.01750547046</v>
      </c>
      <c r="W19" s="43">
        <f t="shared" si="11"/>
        <v>0.02296450939</v>
      </c>
      <c r="X19" s="43">
        <f t="shared" si="11"/>
        <v>0.02217741935</v>
      </c>
      <c r="Y19" s="43">
        <f t="shared" si="11"/>
        <v>0.02165354331</v>
      </c>
      <c r="Z19" s="43">
        <f t="shared" si="11"/>
        <v>0.02671755725</v>
      </c>
      <c r="AA19" s="43">
        <f t="shared" si="11"/>
        <v>0.02568807339</v>
      </c>
      <c r="AB19" s="43">
        <f t="shared" si="11"/>
        <v>0.02276707531</v>
      </c>
      <c r="AC19" s="43">
        <f t="shared" si="11"/>
        <v>0.01983471074</v>
      </c>
      <c r="AD19" s="43">
        <f t="shared" si="11"/>
        <v>0.01785714286</v>
      </c>
      <c r="AE19" s="101">
        <v>0.018</v>
      </c>
      <c r="AF19" s="101">
        <v>0.018</v>
      </c>
      <c r="AG19" s="122">
        <v>0.018</v>
      </c>
      <c r="AH19" s="122">
        <v>0.02</v>
      </c>
      <c r="AI19" s="122">
        <v>0.02</v>
      </c>
      <c r="AJ19" s="101">
        <v>0.02</v>
      </c>
      <c r="AK19" s="102">
        <f t="shared" ref="AK19:BV19" si="12">IFERROR(MEDIAN(AH19:AJ19),0)</f>
        <v>0.02</v>
      </c>
      <c r="AL19" s="102">
        <f t="shared" si="12"/>
        <v>0.02</v>
      </c>
      <c r="AM19" s="102">
        <f t="shared" si="12"/>
        <v>0.02</v>
      </c>
      <c r="AN19" s="102">
        <f t="shared" si="12"/>
        <v>0.02</v>
      </c>
      <c r="AO19" s="102">
        <f t="shared" si="12"/>
        <v>0.02</v>
      </c>
      <c r="AP19" s="102">
        <f t="shared" si="12"/>
        <v>0.02</v>
      </c>
      <c r="AQ19" s="102">
        <f t="shared" si="12"/>
        <v>0.02</v>
      </c>
      <c r="AR19" s="102">
        <f t="shared" si="12"/>
        <v>0.02</v>
      </c>
      <c r="AS19" s="102">
        <f t="shared" si="12"/>
        <v>0.02</v>
      </c>
      <c r="AT19" s="102">
        <f t="shared" si="12"/>
        <v>0.02</v>
      </c>
      <c r="AU19" s="102">
        <f t="shared" si="12"/>
        <v>0.02</v>
      </c>
      <c r="AV19" s="102">
        <f t="shared" si="12"/>
        <v>0.02</v>
      </c>
      <c r="AW19" s="102">
        <f t="shared" si="12"/>
        <v>0.02</v>
      </c>
      <c r="AX19" s="102">
        <f t="shared" si="12"/>
        <v>0.02</v>
      </c>
      <c r="AY19" s="103">
        <f t="shared" si="12"/>
        <v>0.02</v>
      </c>
      <c r="AZ19" s="103">
        <f t="shared" si="12"/>
        <v>0.02</v>
      </c>
      <c r="BA19" s="103">
        <f t="shared" si="12"/>
        <v>0.02</v>
      </c>
      <c r="BB19" s="103">
        <f t="shared" si="12"/>
        <v>0.02</v>
      </c>
      <c r="BC19" s="103">
        <f t="shared" si="12"/>
        <v>0.02</v>
      </c>
      <c r="BD19" s="103">
        <f t="shared" si="12"/>
        <v>0.02</v>
      </c>
      <c r="BE19" s="103">
        <f t="shared" si="12"/>
        <v>0.02</v>
      </c>
      <c r="BF19" s="103">
        <f t="shared" si="12"/>
        <v>0.02</v>
      </c>
      <c r="BG19" s="103">
        <f t="shared" si="12"/>
        <v>0.02</v>
      </c>
      <c r="BH19" s="103">
        <f t="shared" si="12"/>
        <v>0.02</v>
      </c>
      <c r="BI19" s="103">
        <f t="shared" si="12"/>
        <v>0.02</v>
      </c>
      <c r="BJ19" s="103">
        <f t="shared" si="12"/>
        <v>0.02</v>
      </c>
      <c r="BK19" s="103">
        <f t="shared" si="12"/>
        <v>0.02</v>
      </c>
      <c r="BL19" s="103">
        <f t="shared" si="12"/>
        <v>0.02</v>
      </c>
      <c r="BM19" s="103">
        <f t="shared" si="12"/>
        <v>0.02</v>
      </c>
      <c r="BN19" s="103">
        <f t="shared" si="12"/>
        <v>0.02</v>
      </c>
      <c r="BO19" s="103">
        <f t="shared" si="12"/>
        <v>0.02</v>
      </c>
      <c r="BP19" s="103">
        <f t="shared" si="12"/>
        <v>0.02</v>
      </c>
      <c r="BQ19" s="103">
        <f t="shared" si="12"/>
        <v>0.02</v>
      </c>
      <c r="BR19" s="103">
        <f t="shared" si="12"/>
        <v>0.02</v>
      </c>
      <c r="BS19" s="103">
        <f t="shared" si="12"/>
        <v>0.02</v>
      </c>
      <c r="BT19" s="103">
        <f t="shared" si="12"/>
        <v>0.02</v>
      </c>
      <c r="BU19" s="103">
        <f t="shared" si="12"/>
        <v>0.02</v>
      </c>
      <c r="BV19" s="103">
        <f t="shared" si="12"/>
        <v>0.02</v>
      </c>
    </row>
    <row r="20" ht="15.75" customHeight="1">
      <c r="A20" s="82" t="s">
        <v>100</v>
      </c>
      <c r="B20" s="93"/>
      <c r="C20" s="76">
        <f t="shared" ref="C20:AD20" si="13">IFERROR(C21/C18," ")</f>
        <v>2128.666667</v>
      </c>
      <c r="D20" s="76">
        <f t="shared" si="13"/>
        <v>2442.75</v>
      </c>
      <c r="E20" s="76">
        <f t="shared" si="13"/>
        <v>3609.666667</v>
      </c>
      <c r="F20" s="76">
        <f t="shared" si="13"/>
        <v>2859.2</v>
      </c>
      <c r="G20" s="76">
        <f t="shared" si="13"/>
        <v>1525</v>
      </c>
      <c r="H20" s="76">
        <f t="shared" si="13"/>
        <v>1586</v>
      </c>
      <c r="I20" s="76">
        <f t="shared" si="13"/>
        <v>1935.4</v>
      </c>
      <c r="J20" s="76">
        <f t="shared" si="13"/>
        <v>1663.6</v>
      </c>
      <c r="K20" s="76">
        <f t="shared" si="13"/>
        <v>1728.4</v>
      </c>
      <c r="L20" s="76">
        <f t="shared" si="13"/>
        <v>1775.8</v>
      </c>
      <c r="M20" s="76">
        <f t="shared" si="13"/>
        <v>1722.6</v>
      </c>
      <c r="N20" s="76">
        <f t="shared" si="13"/>
        <v>1742.2</v>
      </c>
      <c r="O20" s="76">
        <f t="shared" si="13"/>
        <v>1746.8</v>
      </c>
      <c r="P20" s="76">
        <f t="shared" si="13"/>
        <v>1737.2</v>
      </c>
      <c r="Q20" s="76">
        <f t="shared" si="13"/>
        <v>1742.2</v>
      </c>
      <c r="R20" s="76">
        <f t="shared" si="13"/>
        <v>1742.1</v>
      </c>
      <c r="S20" s="76">
        <f t="shared" si="13"/>
        <v>1740.8</v>
      </c>
      <c r="T20" s="76">
        <f t="shared" si="13"/>
        <v>1741.8</v>
      </c>
      <c r="U20" s="76">
        <f t="shared" si="13"/>
        <v>1741.7</v>
      </c>
      <c r="V20" s="76">
        <f t="shared" si="13"/>
        <v>1741.433333</v>
      </c>
      <c r="W20" s="76">
        <f t="shared" si="13"/>
        <v>1741.609259</v>
      </c>
      <c r="X20" s="76">
        <f t="shared" si="13"/>
        <v>1838.245623</v>
      </c>
      <c r="Y20" s="76">
        <f t="shared" si="13"/>
        <v>1819.336532</v>
      </c>
      <c r="Z20" s="76">
        <f t="shared" si="13"/>
        <v>1438.407275</v>
      </c>
      <c r="AA20" s="76">
        <f t="shared" si="13"/>
        <v>1656.407275</v>
      </c>
      <c r="AB20" s="76">
        <f t="shared" si="13"/>
        <v>1952.053989</v>
      </c>
      <c r="AC20" s="76">
        <f t="shared" si="13"/>
        <v>1689.666667</v>
      </c>
      <c r="AD20" s="76">
        <f t="shared" si="13"/>
        <v>970.4545455</v>
      </c>
      <c r="AE20" s="76">
        <f t="shared" ref="AE20:BV20" si="14">IFERROR(SUM(AB21:AD21)/SUM(AB18:AD18),0)</f>
        <v>1564.658385</v>
      </c>
      <c r="AF20" s="76">
        <f t="shared" si="14"/>
        <v>1417.074782</v>
      </c>
      <c r="AG20" s="76">
        <f t="shared" si="14"/>
        <v>1318.513538</v>
      </c>
      <c r="AH20" s="76">
        <f t="shared" si="14"/>
        <v>1433.697222</v>
      </c>
      <c r="AI20" s="76">
        <f t="shared" si="14"/>
        <v>1391.398543</v>
      </c>
      <c r="AJ20" s="76">
        <f t="shared" si="14"/>
        <v>1383.479998</v>
      </c>
      <c r="AK20" s="76">
        <f t="shared" si="14"/>
        <v>1402.599944</v>
      </c>
      <c r="AL20" s="76">
        <f t="shared" si="14"/>
        <v>1392.562738</v>
      </c>
      <c r="AM20" s="76">
        <f t="shared" si="14"/>
        <v>1392.936982</v>
      </c>
      <c r="AN20" s="76">
        <f t="shared" si="14"/>
        <v>1395.97396</v>
      </c>
      <c r="AO20" s="76">
        <f t="shared" si="14"/>
        <v>1393.845944</v>
      </c>
      <c r="AP20" s="76">
        <f t="shared" si="14"/>
        <v>1394.257693</v>
      </c>
      <c r="AQ20" s="76">
        <f t="shared" si="14"/>
        <v>1394.681543</v>
      </c>
      <c r="AR20" s="76">
        <f t="shared" si="14"/>
        <v>1394.267099</v>
      </c>
      <c r="AS20" s="76">
        <f t="shared" si="14"/>
        <v>1394.40212</v>
      </c>
      <c r="AT20" s="76">
        <f t="shared" si="14"/>
        <v>1394.448372</v>
      </c>
      <c r="AU20" s="76">
        <f t="shared" si="14"/>
        <v>1394.373744</v>
      </c>
      <c r="AV20" s="76">
        <f t="shared" si="14"/>
        <v>1394.407889</v>
      </c>
      <c r="AW20" s="76">
        <f t="shared" si="14"/>
        <v>1394.409735</v>
      </c>
      <c r="AX20" s="76">
        <f t="shared" si="14"/>
        <v>1394.397371</v>
      </c>
      <c r="AY20" s="94">
        <f t="shared" si="14"/>
        <v>1394.404926</v>
      </c>
      <c r="AZ20" s="94">
        <f t="shared" si="14"/>
        <v>1394.403978</v>
      </c>
      <c r="BA20" s="94">
        <f t="shared" si="14"/>
        <v>1394.402137</v>
      </c>
      <c r="BB20" s="94">
        <f t="shared" si="14"/>
        <v>1394.403662</v>
      </c>
      <c r="BC20" s="94">
        <f t="shared" si="14"/>
        <v>1394.403257</v>
      </c>
      <c r="BD20" s="94">
        <f t="shared" si="14"/>
        <v>1394.403026</v>
      </c>
      <c r="BE20" s="94">
        <f t="shared" si="14"/>
        <v>1394.403311</v>
      </c>
      <c r="BF20" s="94">
        <f t="shared" si="14"/>
        <v>1394.403198</v>
      </c>
      <c r="BG20" s="94">
        <f t="shared" si="14"/>
        <v>1394.403179</v>
      </c>
      <c r="BH20" s="94">
        <f t="shared" si="14"/>
        <v>1394.403229</v>
      </c>
      <c r="BI20" s="94">
        <f t="shared" si="14"/>
        <v>1394.403202</v>
      </c>
      <c r="BJ20" s="94">
        <f t="shared" si="14"/>
        <v>1394.403203</v>
      </c>
      <c r="BK20" s="94">
        <f t="shared" si="14"/>
        <v>1394.403211</v>
      </c>
      <c r="BL20" s="94">
        <f t="shared" si="14"/>
        <v>1394.403206</v>
      </c>
      <c r="BM20" s="94">
        <f t="shared" si="14"/>
        <v>1394.403207</v>
      </c>
      <c r="BN20" s="94">
        <f t="shared" si="14"/>
        <v>1394.403208</v>
      </c>
      <c r="BO20" s="94">
        <f t="shared" si="14"/>
        <v>1394.403207</v>
      </c>
      <c r="BP20" s="94">
        <f t="shared" si="14"/>
        <v>1394.403207</v>
      </c>
      <c r="BQ20" s="94">
        <f t="shared" si="14"/>
        <v>1394.403207</v>
      </c>
      <c r="BR20" s="94">
        <f t="shared" si="14"/>
        <v>1394.403207</v>
      </c>
      <c r="BS20" s="94">
        <f t="shared" si="14"/>
        <v>1394.403207</v>
      </c>
      <c r="BT20" s="94">
        <f t="shared" si="14"/>
        <v>1394.403207</v>
      </c>
      <c r="BU20" s="94">
        <f t="shared" si="14"/>
        <v>1394.403207</v>
      </c>
      <c r="BV20" s="94">
        <f t="shared" si="14"/>
        <v>1394.403207</v>
      </c>
    </row>
    <row r="21" ht="15.75" customHeight="1">
      <c r="A21" s="82" t="s">
        <v>106</v>
      </c>
      <c r="B21" s="95"/>
      <c r="C21" s="90">
        <f>SUMIFS(MRR_Export_Expansion_MRR,MRR_Export_Months,"&gt;="&amp;C$1,MRR_Export_Months,"&lt;"&amp;D$1)</f>
        <v>6386</v>
      </c>
      <c r="D21" s="90">
        <f>SUMIFS(MRR_Export_Expansion_MRR,MRR_Export_Months,"&gt;="&amp;D$1,MRR_Export_Months,"&lt;"&amp;E$1)</f>
        <v>9771</v>
      </c>
      <c r="E21" s="90">
        <f>SUMIFS(MRR_Export_Expansion_MRR,MRR_Export_Months,"&gt;="&amp;E$1,MRR_Export_Months,"&lt;"&amp;F$1)</f>
        <v>10829</v>
      </c>
      <c r="F21" s="90">
        <f>SUMIFS(MRR_Export_Expansion_MRR,MRR_Export_Months,"&gt;="&amp;F$1,MRR_Export_Months,"&lt;"&amp;G$1)</f>
        <v>14296</v>
      </c>
      <c r="G21" s="90">
        <f>SUMIFS(MRR_Export_Expansion_MRR,MRR_Export_Months,"&gt;="&amp;G$1,MRR_Export_Months,"&lt;"&amp;H$1)</f>
        <v>10675</v>
      </c>
      <c r="H21" s="90">
        <f>SUMIFS(MRR_Export_Expansion_MRR,MRR_Export_Months,"&gt;="&amp;H$1,MRR_Export_Months,"&lt;"&amp;I$1)</f>
        <v>7930</v>
      </c>
      <c r="I21" s="90">
        <f>SUMIFS(MRR_Export_Expansion_MRR,MRR_Export_Months,"&gt;="&amp;I$1,MRR_Export_Months,"&lt;"&amp;J$1)</f>
        <v>9677</v>
      </c>
      <c r="J21" s="90">
        <f>SUMIFS(MRR_Export_Expansion_MRR,MRR_Export_Months,"&gt;="&amp;J$1,MRR_Export_Months,"&lt;"&amp;K$1)</f>
        <v>8318</v>
      </c>
      <c r="K21" s="90">
        <f>SUMIFS(MRR_Export_Expansion_MRR,MRR_Export_Months,"&gt;="&amp;K$1,MRR_Export_Months,"&lt;"&amp;L$1)</f>
        <v>8642</v>
      </c>
      <c r="L21" s="90">
        <f>SUMIFS(MRR_Export_Expansion_MRR,MRR_Export_Months,"&gt;="&amp;L$1,MRR_Export_Months,"&lt;"&amp;M$1)</f>
        <v>8879</v>
      </c>
      <c r="M21" s="90">
        <f>SUMIFS(MRR_Export_Expansion_MRR,MRR_Export_Months,"&gt;="&amp;M$1,MRR_Export_Months,"&lt;"&amp;N$1)</f>
        <v>8613</v>
      </c>
      <c r="N21" s="90">
        <f>SUMIFS(MRR_Export_Expansion_MRR,MRR_Export_Months,"&gt;="&amp;N$1,MRR_Export_Months,"&lt;"&amp;O$1)</f>
        <v>8711</v>
      </c>
      <c r="O21" s="90">
        <f>SUMIFS(MRR_Export_Expansion_MRR,MRR_Export_Months,"&gt;="&amp;O$1,MRR_Export_Months,"&lt;"&amp;P$1)</f>
        <v>8734</v>
      </c>
      <c r="P21" s="90">
        <f>SUMIFS(MRR_Export_Expansion_MRR,MRR_Export_Months,"&gt;="&amp;P$1,MRR_Export_Months,"&lt;"&amp;Q$1)</f>
        <v>8686</v>
      </c>
      <c r="Q21" s="90">
        <f>SUMIFS(MRR_Export_Expansion_MRR,MRR_Export_Months,"&gt;="&amp;Q$1,MRR_Export_Months,"&lt;"&amp;R$1)</f>
        <v>8711</v>
      </c>
      <c r="R21" s="90">
        <f>SUMIFS(MRR_Export_Expansion_MRR,MRR_Export_Months,"&gt;="&amp;R$1,MRR_Export_Months,"&lt;"&amp;S$1)</f>
        <v>17421</v>
      </c>
      <c r="S21" s="90">
        <f>SUMIFS(MRR_Export_Expansion_MRR,MRR_Export_Months,"&gt;="&amp;S$1,MRR_Export_Months,"&lt;"&amp;T$1)</f>
        <v>8704</v>
      </c>
      <c r="T21" s="90">
        <f>SUMIFS(MRR_Export_Expansion_MRR,MRR_Export_Months,"&gt;="&amp;T$1,MRR_Export_Months,"&lt;"&amp;U$1)</f>
        <v>8709</v>
      </c>
      <c r="U21" s="90">
        <f>SUMIFS(MRR_Export_Expansion_MRR,MRR_Export_Months,"&gt;="&amp;U$1,MRR_Export_Months,"&lt;"&amp;V$1)</f>
        <v>8708.5</v>
      </c>
      <c r="V21" s="90">
        <f>SUMIFS(MRR_Export_Expansion_MRR,MRR_Export_Months,"&gt;="&amp;V$1,MRR_Export_Months,"&lt;"&amp;W$1)</f>
        <v>13931.46667</v>
      </c>
      <c r="W21" s="90">
        <f>SUMIFS(MRR_Export_Expansion_MRR,MRR_Export_Months,"&gt;="&amp;W$1,MRR_Export_Months,"&lt;"&amp;X$1)</f>
        <v>19157.70185</v>
      </c>
      <c r="X21" s="90">
        <f>SUMIFS(MRR_Export_Expansion_MRR,MRR_Export_Months,"&gt;="&amp;X$1,MRR_Export_Months,"&lt;"&amp;Y$1)</f>
        <v>20220.70185</v>
      </c>
      <c r="Y21" s="90">
        <f>SUMIFS(MRR_Export_Expansion_MRR,MRR_Export_Months,"&gt;="&amp;Y$1,MRR_Export_Months,"&lt;"&amp;Z$1)</f>
        <v>20012.70185</v>
      </c>
      <c r="Z21" s="90">
        <f>SUMIFS(MRR_Export_Expansion_MRR,MRR_Export_Months,"&gt;="&amp;Z$1,MRR_Export_Months,"&lt;"&amp;AA$1)</f>
        <v>20137.70185</v>
      </c>
      <c r="AA21" s="90">
        <f>SUMIFS(MRR_Export_Expansion_MRR,MRR_Export_Months,"&gt;="&amp;AA$1,MRR_Export_Months,"&lt;"&amp;AB$1)</f>
        <v>23189.70185</v>
      </c>
      <c r="AB21" s="90">
        <f>SUMIFS(MRR_Export_Expansion_MRR,MRR_Export_Months,"&gt;="&amp;AB$1,MRR_Export_Months,"&lt;"&amp;AC$1)</f>
        <v>25376.70185</v>
      </c>
      <c r="AC21" s="90">
        <f>SUMIFS(MRR_Export_Expansion_MRR,MRR_Export_Months,"&gt;="&amp;AC$1,MRR_Export_Months,"&lt;"&amp;AD$1)</f>
        <v>20276</v>
      </c>
      <c r="AD21" s="90">
        <f>SUMIFS(MRR_Export_Expansion_MRR,MRR_Export_Months,"&gt;="&amp;AD$1,MRR_Export_Months,"&lt;"&amp;AE$1)</f>
        <v>10675</v>
      </c>
      <c r="AE21" s="96">
        <f t="shared" ref="AE21:BV21" si="15">AE18*AE20</f>
        <v>17405.25987</v>
      </c>
      <c r="AF21" s="96">
        <f t="shared" si="15"/>
        <v>15679.26361</v>
      </c>
      <c r="AG21" s="96">
        <f t="shared" si="15"/>
        <v>14570.86585</v>
      </c>
      <c r="AH21" s="96">
        <f t="shared" si="15"/>
        <v>17671.13184</v>
      </c>
      <c r="AI21" s="96">
        <f t="shared" si="15"/>
        <v>17393.43345</v>
      </c>
      <c r="AJ21" s="96">
        <f t="shared" si="15"/>
        <v>17602.26011</v>
      </c>
      <c r="AK21" s="96">
        <f t="shared" si="15"/>
        <v>18182.21374</v>
      </c>
      <c r="AL21" s="96">
        <f t="shared" si="15"/>
        <v>18382.69996</v>
      </c>
      <c r="AM21" s="96">
        <f t="shared" si="15"/>
        <v>18742.55096</v>
      </c>
      <c r="AN21" s="96">
        <f t="shared" si="15"/>
        <v>19135.18681</v>
      </c>
      <c r="AO21" s="96">
        <f t="shared" si="15"/>
        <v>19481.26632</v>
      </c>
      <c r="AP21" s="96">
        <f t="shared" si="15"/>
        <v>19858.25218</v>
      </c>
      <c r="AQ21" s="96">
        <f t="shared" si="15"/>
        <v>20259.44172</v>
      </c>
      <c r="AR21" s="96">
        <f t="shared" si="15"/>
        <v>20671.99666</v>
      </c>
      <c r="AS21" s="96">
        <f t="shared" si="15"/>
        <v>21088.00953</v>
      </c>
      <c r="AT21" s="96">
        <f t="shared" si="15"/>
        <v>21526.06842</v>
      </c>
      <c r="AU21" s="96">
        <f t="shared" si="15"/>
        <v>21957.44172</v>
      </c>
      <c r="AV21" s="96">
        <f t="shared" si="15"/>
        <v>22413.64557</v>
      </c>
      <c r="AW21" s="96">
        <f t="shared" si="15"/>
        <v>22892.21788</v>
      </c>
      <c r="AX21" s="96">
        <f t="shared" si="15"/>
        <v>23365.28937</v>
      </c>
      <c r="AY21" s="97">
        <f t="shared" si="15"/>
        <v>23861.37504</v>
      </c>
      <c r="AZ21" s="97">
        <f t="shared" si="15"/>
        <v>24323.97395</v>
      </c>
      <c r="BA21" s="97">
        <f t="shared" si="15"/>
        <v>24809.35562</v>
      </c>
      <c r="BB21" s="97">
        <f t="shared" si="15"/>
        <v>25289.45753</v>
      </c>
      <c r="BC21" s="97">
        <f t="shared" si="15"/>
        <v>25764.24399</v>
      </c>
      <c r="BD21" s="97">
        <f t="shared" si="15"/>
        <v>26233.81071</v>
      </c>
      <c r="BE21" s="97">
        <f t="shared" si="15"/>
        <v>26726.10996</v>
      </c>
      <c r="BF21" s="97">
        <f t="shared" si="15"/>
        <v>27212.9864</v>
      </c>
      <c r="BG21" s="97">
        <f t="shared" si="15"/>
        <v>27722.39703</v>
      </c>
      <c r="BH21" s="97">
        <f t="shared" si="15"/>
        <v>28226.2055</v>
      </c>
      <c r="BI21" s="97">
        <f t="shared" si="15"/>
        <v>28724.47057</v>
      </c>
      <c r="BJ21" s="97">
        <f t="shared" si="15"/>
        <v>29245.14334</v>
      </c>
      <c r="BK21" s="97">
        <f t="shared" si="15"/>
        <v>29760.08886</v>
      </c>
      <c r="BL21" s="97">
        <f t="shared" si="15"/>
        <v>30269.36968</v>
      </c>
      <c r="BM21" s="97">
        <f t="shared" si="15"/>
        <v>30800.93663</v>
      </c>
      <c r="BN21" s="97">
        <f t="shared" si="15"/>
        <v>31326.65634</v>
      </c>
      <c r="BO21" s="97">
        <f t="shared" si="15"/>
        <v>31874.48115</v>
      </c>
      <c r="BP21" s="97">
        <f t="shared" si="15"/>
        <v>32416.27992</v>
      </c>
      <c r="BQ21" s="97">
        <f t="shared" si="15"/>
        <v>32952.11889</v>
      </c>
      <c r="BR21" s="97">
        <f t="shared" si="15"/>
        <v>33509.9517</v>
      </c>
      <c r="BS21" s="97">
        <f t="shared" si="15"/>
        <v>34061.64835</v>
      </c>
      <c r="BT21" s="97">
        <f t="shared" si="15"/>
        <v>34635.1644</v>
      </c>
      <c r="BU21" s="97">
        <f t="shared" si="15"/>
        <v>35202.37177</v>
      </c>
      <c r="BV21" s="97">
        <f t="shared" si="15"/>
        <v>35791.22792</v>
      </c>
    </row>
    <row r="22" ht="15.75" hidden="1" customHeight="1">
      <c r="A22" s="1"/>
      <c r="B22" s="96"/>
      <c r="C22" s="96"/>
      <c r="D22" s="96"/>
      <c r="E22" s="96"/>
      <c r="F22" s="96"/>
      <c r="G22" s="96"/>
      <c r="H22" s="96"/>
      <c r="I22" s="96"/>
      <c r="J22" s="96"/>
      <c r="K22" s="96"/>
      <c r="L22" s="96"/>
      <c r="M22" s="96"/>
      <c r="N22" s="96"/>
      <c r="O22" s="96"/>
      <c r="P22" s="96"/>
      <c r="Q22" s="96"/>
      <c r="R22" s="96"/>
      <c r="S22" s="96"/>
      <c r="T22" s="96"/>
      <c r="U22" s="96"/>
      <c r="V22" s="96"/>
      <c r="W22" s="96"/>
      <c r="X22" s="96"/>
      <c r="Y22" s="96"/>
      <c r="Z22" s="96"/>
      <c r="AA22" s="96"/>
      <c r="AB22" s="96"/>
      <c r="AC22" s="96"/>
      <c r="AD22" s="96"/>
      <c r="AE22" s="96"/>
      <c r="AF22" s="96"/>
      <c r="AG22" s="96"/>
      <c r="AH22" s="96"/>
      <c r="AI22" s="96"/>
      <c r="AJ22" s="96"/>
      <c r="AK22" s="96"/>
      <c r="AL22" s="96"/>
      <c r="AM22" s="96"/>
      <c r="AN22" s="96"/>
      <c r="AO22" s="96"/>
      <c r="AP22" s="96"/>
      <c r="AQ22" s="96"/>
      <c r="AR22" s="96"/>
      <c r="AS22" s="96"/>
      <c r="AT22" s="96"/>
      <c r="AU22" s="96"/>
      <c r="AV22" s="96"/>
      <c r="AW22" s="96"/>
      <c r="AX22" s="96"/>
      <c r="AY22" s="97"/>
      <c r="AZ22" s="97"/>
      <c r="BA22" s="97"/>
      <c r="BB22" s="97"/>
      <c r="BC22" s="97"/>
      <c r="BD22" s="97"/>
      <c r="BE22" s="97"/>
      <c r="BF22" s="97"/>
      <c r="BG22" s="97"/>
      <c r="BH22" s="97"/>
      <c r="BI22" s="97"/>
      <c r="BJ22" s="97"/>
      <c r="BK22" s="97"/>
      <c r="BL22" s="97"/>
      <c r="BM22" s="97"/>
      <c r="BN22" s="97"/>
      <c r="BO22" s="97"/>
      <c r="BP22" s="97"/>
      <c r="BQ22" s="97"/>
      <c r="BR22" s="97"/>
      <c r="BS22" s="97"/>
      <c r="BT22" s="97"/>
      <c r="BU22" s="97"/>
      <c r="BV22" s="97"/>
    </row>
    <row r="23" ht="15.75" hidden="1" customHeight="1">
      <c r="A23" s="87" t="s">
        <v>107</v>
      </c>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row>
    <row r="24" ht="15.75" hidden="1" customHeight="1">
      <c r="A24" s="82" t="s">
        <v>104</v>
      </c>
      <c r="B24" s="89"/>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6"/>
      <c r="AD24" s="96"/>
      <c r="AE24" s="104">
        <v>0.0</v>
      </c>
      <c r="AF24" s="104">
        <v>0.0</v>
      </c>
      <c r="AG24" s="104">
        <v>0.0</v>
      </c>
      <c r="AH24" s="104">
        <v>0.0</v>
      </c>
      <c r="AI24" s="104">
        <v>0.0</v>
      </c>
      <c r="AJ24" s="104">
        <v>0.0</v>
      </c>
      <c r="AK24" s="104">
        <v>0.0</v>
      </c>
      <c r="AL24" s="104">
        <v>0.0</v>
      </c>
      <c r="AM24" s="104">
        <v>0.0</v>
      </c>
      <c r="AN24" s="104">
        <v>0.0</v>
      </c>
      <c r="AO24" s="104">
        <v>0.0</v>
      </c>
      <c r="AP24" s="104">
        <v>0.0</v>
      </c>
      <c r="AQ24" s="104">
        <v>0.0</v>
      </c>
      <c r="AR24" s="104">
        <v>0.0</v>
      </c>
      <c r="AS24" s="104">
        <v>0.0</v>
      </c>
      <c r="AT24" s="104">
        <v>0.0</v>
      </c>
      <c r="AU24" s="104">
        <v>0.0</v>
      </c>
      <c r="AV24" s="104">
        <v>0.0</v>
      </c>
      <c r="AW24" s="104">
        <v>0.0</v>
      </c>
      <c r="AX24" s="104">
        <v>0.0</v>
      </c>
      <c r="AY24" s="105">
        <v>0.0</v>
      </c>
      <c r="AZ24" s="105">
        <v>0.0</v>
      </c>
      <c r="BA24" s="105">
        <v>0.0</v>
      </c>
      <c r="BB24" s="105">
        <v>0.0</v>
      </c>
      <c r="BC24" s="105">
        <v>0.0</v>
      </c>
      <c r="BD24" s="105">
        <v>0.0</v>
      </c>
      <c r="BE24" s="105">
        <v>0.0</v>
      </c>
      <c r="BF24" s="105">
        <v>0.0</v>
      </c>
      <c r="BG24" s="105">
        <v>0.0</v>
      </c>
      <c r="BH24" s="105">
        <v>0.0</v>
      </c>
      <c r="BI24" s="105">
        <v>0.0</v>
      </c>
      <c r="BJ24" s="105">
        <v>0.0</v>
      </c>
      <c r="BK24" s="105">
        <v>0.0</v>
      </c>
      <c r="BL24" s="105">
        <v>0.0</v>
      </c>
      <c r="BM24" s="105">
        <v>0.0</v>
      </c>
      <c r="BN24" s="105">
        <v>0.0</v>
      </c>
      <c r="BO24" s="105">
        <v>0.0</v>
      </c>
      <c r="BP24" s="105">
        <v>0.0</v>
      </c>
      <c r="BQ24" s="105">
        <v>0.0</v>
      </c>
      <c r="BR24" s="105">
        <v>0.0</v>
      </c>
      <c r="BS24" s="105">
        <v>0.0</v>
      </c>
      <c r="BT24" s="105">
        <v>0.0</v>
      </c>
      <c r="BU24" s="105">
        <v>0.0</v>
      </c>
      <c r="BV24" s="105">
        <v>0.0</v>
      </c>
    </row>
    <row r="25" ht="15.75" hidden="1" customHeight="1">
      <c r="A25" s="82" t="s">
        <v>105</v>
      </c>
      <c r="B25" s="93"/>
      <c r="C25" s="96"/>
      <c r="D25" s="96"/>
      <c r="E25" s="96"/>
      <c r="F25" s="96"/>
      <c r="G25" s="96"/>
      <c r="H25" s="96"/>
      <c r="I25" s="96"/>
      <c r="J25" s="96"/>
      <c r="K25" s="96"/>
      <c r="L25" s="96"/>
      <c r="M25" s="96"/>
      <c r="N25" s="96"/>
      <c r="O25" s="96"/>
      <c r="P25" s="96"/>
      <c r="Q25" s="96"/>
      <c r="R25" s="96"/>
      <c r="S25" s="96"/>
      <c r="T25" s="96"/>
      <c r="U25" s="96"/>
      <c r="V25" s="96"/>
      <c r="W25" s="96"/>
      <c r="X25" s="96"/>
      <c r="Y25" s="96"/>
      <c r="Z25" s="96"/>
      <c r="AA25" s="96"/>
      <c r="AB25" s="96"/>
      <c r="AC25" s="96"/>
      <c r="AD25" s="96"/>
      <c r="AE25" s="76"/>
      <c r="AF25" s="76"/>
      <c r="AG25" s="76"/>
      <c r="AH25" s="76"/>
      <c r="AI25" s="76"/>
      <c r="AJ25" s="76"/>
      <c r="AK25" s="76"/>
      <c r="AL25" s="76"/>
      <c r="AM25" s="76"/>
      <c r="AN25" s="76"/>
      <c r="AO25" s="76"/>
      <c r="AP25" s="76"/>
      <c r="AQ25" s="76"/>
      <c r="AR25" s="76"/>
      <c r="AS25" s="76"/>
      <c r="AT25" s="76"/>
      <c r="AU25" s="76"/>
      <c r="AV25" s="76"/>
      <c r="AW25" s="76"/>
      <c r="AX25" s="76"/>
      <c r="AY25" s="94"/>
      <c r="AZ25" s="94"/>
      <c r="BA25" s="94"/>
      <c r="BB25" s="94"/>
      <c r="BC25" s="94"/>
      <c r="BD25" s="94"/>
      <c r="BE25" s="94"/>
      <c r="BF25" s="94"/>
      <c r="BG25" s="94"/>
      <c r="BH25" s="94"/>
      <c r="BI25" s="94"/>
      <c r="BJ25" s="94"/>
      <c r="BK25" s="94"/>
      <c r="BL25" s="94"/>
      <c r="BM25" s="94"/>
      <c r="BN25" s="94"/>
      <c r="BO25" s="94"/>
      <c r="BP25" s="94"/>
      <c r="BQ25" s="94"/>
      <c r="BR25" s="94"/>
      <c r="BS25" s="94"/>
      <c r="BT25" s="94"/>
      <c r="BU25" s="94"/>
      <c r="BV25" s="94"/>
    </row>
    <row r="26" ht="15.75" hidden="1" customHeight="1">
      <c r="A26" s="82" t="s">
        <v>100</v>
      </c>
      <c r="B26" s="93"/>
      <c r="C26" s="96"/>
      <c r="D26" s="96"/>
      <c r="E26" s="96"/>
      <c r="F26" s="96"/>
      <c r="G26" s="96"/>
      <c r="H26" s="96"/>
      <c r="I26" s="96"/>
      <c r="J26" s="96"/>
      <c r="K26" s="96"/>
      <c r="L26" s="96"/>
      <c r="M26" s="96"/>
      <c r="N26" s="96"/>
      <c r="O26" s="96"/>
      <c r="P26" s="96"/>
      <c r="Q26" s="96"/>
      <c r="R26" s="96"/>
      <c r="S26" s="96"/>
      <c r="T26" s="96"/>
      <c r="U26" s="96"/>
      <c r="V26" s="96"/>
      <c r="W26" s="96"/>
      <c r="X26" s="96"/>
      <c r="Y26" s="96"/>
      <c r="Z26" s="96"/>
      <c r="AA26" s="96"/>
      <c r="AB26" s="96"/>
      <c r="AC26" s="96"/>
      <c r="AD26" s="96"/>
      <c r="AE26" s="76">
        <f t="shared" ref="AE26:BV26" si="16">IFERROR(IF(AE24&gt;0,SUM(AB27:AD27)/SUM(AB24:AD24),0),0)</f>
        <v>0</v>
      </c>
      <c r="AF26" s="76">
        <f t="shared" si="16"/>
        <v>0</v>
      </c>
      <c r="AG26" s="76">
        <f t="shared" si="16"/>
        <v>0</v>
      </c>
      <c r="AH26" s="76">
        <f t="shared" si="16"/>
        <v>0</v>
      </c>
      <c r="AI26" s="76">
        <f t="shared" si="16"/>
        <v>0</v>
      </c>
      <c r="AJ26" s="76">
        <f t="shared" si="16"/>
        <v>0</v>
      </c>
      <c r="AK26" s="76">
        <f t="shared" si="16"/>
        <v>0</v>
      </c>
      <c r="AL26" s="76">
        <f t="shared" si="16"/>
        <v>0</v>
      </c>
      <c r="AM26" s="76">
        <f t="shared" si="16"/>
        <v>0</v>
      </c>
      <c r="AN26" s="76">
        <f t="shared" si="16"/>
        <v>0</v>
      </c>
      <c r="AO26" s="76">
        <f t="shared" si="16"/>
        <v>0</v>
      </c>
      <c r="AP26" s="76">
        <f t="shared" si="16"/>
        <v>0</v>
      </c>
      <c r="AQ26" s="76">
        <f t="shared" si="16"/>
        <v>0</v>
      </c>
      <c r="AR26" s="76">
        <f t="shared" si="16"/>
        <v>0</v>
      </c>
      <c r="AS26" s="76">
        <f t="shared" si="16"/>
        <v>0</v>
      </c>
      <c r="AT26" s="76">
        <f t="shared" si="16"/>
        <v>0</v>
      </c>
      <c r="AU26" s="76">
        <f t="shared" si="16"/>
        <v>0</v>
      </c>
      <c r="AV26" s="76">
        <f t="shared" si="16"/>
        <v>0</v>
      </c>
      <c r="AW26" s="76">
        <f t="shared" si="16"/>
        <v>0</v>
      </c>
      <c r="AX26" s="76">
        <f t="shared" si="16"/>
        <v>0</v>
      </c>
      <c r="AY26" s="94">
        <f t="shared" si="16"/>
        <v>0</v>
      </c>
      <c r="AZ26" s="94">
        <f t="shared" si="16"/>
        <v>0</v>
      </c>
      <c r="BA26" s="94">
        <f t="shared" si="16"/>
        <v>0</v>
      </c>
      <c r="BB26" s="94">
        <f t="shared" si="16"/>
        <v>0</v>
      </c>
      <c r="BC26" s="94">
        <f t="shared" si="16"/>
        <v>0</v>
      </c>
      <c r="BD26" s="94">
        <f t="shared" si="16"/>
        <v>0</v>
      </c>
      <c r="BE26" s="94">
        <f t="shared" si="16"/>
        <v>0</v>
      </c>
      <c r="BF26" s="94">
        <f t="shared" si="16"/>
        <v>0</v>
      </c>
      <c r="BG26" s="94">
        <f t="shared" si="16"/>
        <v>0</v>
      </c>
      <c r="BH26" s="94">
        <f t="shared" si="16"/>
        <v>0</v>
      </c>
      <c r="BI26" s="94">
        <f t="shared" si="16"/>
        <v>0</v>
      </c>
      <c r="BJ26" s="94">
        <f t="shared" si="16"/>
        <v>0</v>
      </c>
      <c r="BK26" s="94">
        <f t="shared" si="16"/>
        <v>0</v>
      </c>
      <c r="BL26" s="94">
        <f t="shared" si="16"/>
        <v>0</v>
      </c>
      <c r="BM26" s="94">
        <f t="shared" si="16"/>
        <v>0</v>
      </c>
      <c r="BN26" s="94">
        <f t="shared" si="16"/>
        <v>0</v>
      </c>
      <c r="BO26" s="94">
        <f t="shared" si="16"/>
        <v>0</v>
      </c>
      <c r="BP26" s="94">
        <f t="shared" si="16"/>
        <v>0</v>
      </c>
      <c r="BQ26" s="94">
        <f t="shared" si="16"/>
        <v>0</v>
      </c>
      <c r="BR26" s="94">
        <f t="shared" si="16"/>
        <v>0</v>
      </c>
      <c r="BS26" s="94">
        <f t="shared" si="16"/>
        <v>0</v>
      </c>
      <c r="BT26" s="94">
        <f t="shared" si="16"/>
        <v>0</v>
      </c>
      <c r="BU26" s="94">
        <f t="shared" si="16"/>
        <v>0</v>
      </c>
      <c r="BV26" s="94">
        <f t="shared" si="16"/>
        <v>0</v>
      </c>
    </row>
    <row r="27" ht="15.75" hidden="1" customHeight="1">
      <c r="A27" s="82" t="s">
        <v>106</v>
      </c>
      <c r="B27" s="95"/>
      <c r="C27" s="96"/>
      <c r="D27" s="96"/>
      <c r="E27" s="96"/>
      <c r="F27" s="96"/>
      <c r="G27" s="96"/>
      <c r="H27" s="96"/>
      <c r="I27" s="96"/>
      <c r="J27" s="96"/>
      <c r="K27" s="96"/>
      <c r="L27" s="96"/>
      <c r="M27" s="96"/>
      <c r="N27" s="96"/>
      <c r="O27" s="96"/>
      <c r="P27" s="96"/>
      <c r="Q27" s="96"/>
      <c r="R27" s="96"/>
      <c r="S27" s="96"/>
      <c r="T27" s="96"/>
      <c r="U27" s="96"/>
      <c r="V27" s="96"/>
      <c r="W27" s="96"/>
      <c r="X27" s="96"/>
      <c r="Y27" s="96"/>
      <c r="Z27" s="96"/>
      <c r="AA27" s="96"/>
      <c r="AB27" s="96"/>
      <c r="AC27" s="96"/>
      <c r="AD27" s="96"/>
      <c r="AE27" s="96">
        <f t="shared" ref="AE27:BV27" si="17">AE24*AE26</f>
        <v>0</v>
      </c>
      <c r="AF27" s="96">
        <f t="shared" si="17"/>
        <v>0</v>
      </c>
      <c r="AG27" s="96">
        <f t="shared" si="17"/>
        <v>0</v>
      </c>
      <c r="AH27" s="96">
        <f t="shared" si="17"/>
        <v>0</v>
      </c>
      <c r="AI27" s="96">
        <f t="shared" si="17"/>
        <v>0</v>
      </c>
      <c r="AJ27" s="96">
        <f t="shared" si="17"/>
        <v>0</v>
      </c>
      <c r="AK27" s="96">
        <f t="shared" si="17"/>
        <v>0</v>
      </c>
      <c r="AL27" s="96">
        <f t="shared" si="17"/>
        <v>0</v>
      </c>
      <c r="AM27" s="96">
        <f t="shared" si="17"/>
        <v>0</v>
      </c>
      <c r="AN27" s="96">
        <f t="shared" si="17"/>
        <v>0</v>
      </c>
      <c r="AO27" s="96">
        <f t="shared" si="17"/>
        <v>0</v>
      </c>
      <c r="AP27" s="96">
        <f t="shared" si="17"/>
        <v>0</v>
      </c>
      <c r="AQ27" s="96">
        <f t="shared" si="17"/>
        <v>0</v>
      </c>
      <c r="AR27" s="96">
        <f t="shared" si="17"/>
        <v>0</v>
      </c>
      <c r="AS27" s="96">
        <f t="shared" si="17"/>
        <v>0</v>
      </c>
      <c r="AT27" s="96">
        <f t="shared" si="17"/>
        <v>0</v>
      </c>
      <c r="AU27" s="96">
        <f t="shared" si="17"/>
        <v>0</v>
      </c>
      <c r="AV27" s="96">
        <f t="shared" si="17"/>
        <v>0</v>
      </c>
      <c r="AW27" s="96">
        <f t="shared" si="17"/>
        <v>0</v>
      </c>
      <c r="AX27" s="96">
        <f t="shared" si="17"/>
        <v>0</v>
      </c>
      <c r="AY27" s="97">
        <f t="shared" si="17"/>
        <v>0</v>
      </c>
      <c r="AZ27" s="97">
        <f t="shared" si="17"/>
        <v>0</v>
      </c>
      <c r="BA27" s="97">
        <f t="shared" si="17"/>
        <v>0</v>
      </c>
      <c r="BB27" s="97">
        <f t="shared" si="17"/>
        <v>0</v>
      </c>
      <c r="BC27" s="97">
        <f t="shared" si="17"/>
        <v>0</v>
      </c>
      <c r="BD27" s="97">
        <f t="shared" si="17"/>
        <v>0</v>
      </c>
      <c r="BE27" s="97">
        <f t="shared" si="17"/>
        <v>0</v>
      </c>
      <c r="BF27" s="97">
        <f t="shared" si="17"/>
        <v>0</v>
      </c>
      <c r="BG27" s="97">
        <f t="shared" si="17"/>
        <v>0</v>
      </c>
      <c r="BH27" s="97">
        <f t="shared" si="17"/>
        <v>0</v>
      </c>
      <c r="BI27" s="97">
        <f t="shared" si="17"/>
        <v>0</v>
      </c>
      <c r="BJ27" s="97">
        <f t="shared" si="17"/>
        <v>0</v>
      </c>
      <c r="BK27" s="97">
        <f t="shared" si="17"/>
        <v>0</v>
      </c>
      <c r="BL27" s="97">
        <f t="shared" si="17"/>
        <v>0</v>
      </c>
      <c r="BM27" s="97">
        <f t="shared" si="17"/>
        <v>0</v>
      </c>
      <c r="BN27" s="97">
        <f t="shared" si="17"/>
        <v>0</v>
      </c>
      <c r="BO27" s="97">
        <f t="shared" si="17"/>
        <v>0</v>
      </c>
      <c r="BP27" s="97">
        <f t="shared" si="17"/>
        <v>0</v>
      </c>
      <c r="BQ27" s="97">
        <f t="shared" si="17"/>
        <v>0</v>
      </c>
      <c r="BR27" s="97">
        <f t="shared" si="17"/>
        <v>0</v>
      </c>
      <c r="BS27" s="97">
        <f t="shared" si="17"/>
        <v>0</v>
      </c>
      <c r="BT27" s="97">
        <f t="shared" si="17"/>
        <v>0</v>
      </c>
      <c r="BU27" s="97">
        <f t="shared" si="17"/>
        <v>0</v>
      </c>
      <c r="BV27" s="97">
        <f t="shared" si="17"/>
        <v>0</v>
      </c>
    </row>
    <row r="28" ht="15.75" customHeight="1">
      <c r="A28" s="1"/>
      <c r="B28" s="96"/>
      <c r="C28" s="96"/>
      <c r="D28" s="96"/>
      <c r="E28" s="96"/>
      <c r="F28" s="96"/>
      <c r="G28" s="96"/>
      <c r="H28" s="96"/>
      <c r="I28" s="96"/>
      <c r="J28" s="96"/>
      <c r="K28" s="96"/>
      <c r="L28" s="96"/>
      <c r="M28" s="96"/>
      <c r="N28" s="96"/>
      <c r="O28" s="96"/>
      <c r="P28" s="96"/>
      <c r="Q28" s="96"/>
      <c r="R28" s="96"/>
      <c r="S28" s="96"/>
      <c r="T28" s="96"/>
      <c r="U28" s="96"/>
      <c r="V28" s="96"/>
      <c r="W28" s="96"/>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7"/>
      <c r="AZ28" s="97"/>
      <c r="BA28" s="97"/>
      <c r="BB28" s="97"/>
      <c r="BC28" s="97"/>
      <c r="BD28" s="97"/>
      <c r="BE28" s="97"/>
      <c r="BF28" s="97"/>
      <c r="BG28" s="97"/>
      <c r="BH28" s="97"/>
      <c r="BI28" s="97"/>
      <c r="BJ28" s="97"/>
      <c r="BK28" s="97"/>
      <c r="BL28" s="97"/>
      <c r="BM28" s="97"/>
      <c r="BN28" s="97"/>
      <c r="BO28" s="97"/>
      <c r="BP28" s="97"/>
      <c r="BQ28" s="97"/>
      <c r="BR28" s="97"/>
      <c r="BS28" s="97"/>
      <c r="BT28" s="97"/>
      <c r="BU28" s="97"/>
      <c r="BV28" s="97"/>
    </row>
    <row r="29" ht="15.75" customHeight="1">
      <c r="A29" s="120" t="s">
        <v>108</v>
      </c>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row>
    <row r="30" ht="15.75" hidden="1" customHeight="1">
      <c r="A30" s="87" t="s">
        <v>99</v>
      </c>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row>
    <row r="31" ht="15.75" customHeight="1">
      <c r="A31" s="82" t="s">
        <v>109</v>
      </c>
      <c r="B31" s="89"/>
      <c r="C31" s="106">
        <f>SUMIFS(MRR_Export_Reactivation_Count,MRR_Export_Months,"&gt;="&amp;C$1,MRR_Export_Months,"&lt;"&amp;D$1)</f>
        <v>0</v>
      </c>
      <c r="D31" s="106">
        <f>SUMIFS(MRR_Export_Reactivation_Count,MRR_Export_Months,"&gt;="&amp;D$1,MRR_Export_Months,"&lt;"&amp;E$1)</f>
        <v>0</v>
      </c>
      <c r="E31" s="106">
        <f>SUMIFS(MRR_Export_Reactivation_Count,MRR_Export_Months,"&gt;="&amp;E$1,MRR_Export_Months,"&lt;"&amp;F$1)</f>
        <v>0</v>
      </c>
      <c r="F31" s="106">
        <f>SUMIFS(MRR_Export_Reactivation_Count,MRR_Export_Months,"&gt;="&amp;F$1,MRR_Export_Months,"&lt;"&amp;G$1)</f>
        <v>0</v>
      </c>
      <c r="G31" s="106">
        <f>SUMIFS(MRR_Export_Reactivation_Count,MRR_Export_Months,"&gt;="&amp;G$1,MRR_Export_Months,"&lt;"&amp;H$1)</f>
        <v>0</v>
      </c>
      <c r="H31" s="106">
        <f>SUMIFS(MRR_Export_Reactivation_Count,MRR_Export_Months,"&gt;="&amp;H$1,MRR_Export_Months,"&lt;"&amp;I$1)</f>
        <v>0</v>
      </c>
      <c r="I31" s="106">
        <f>SUMIFS(MRR_Export_Reactivation_Count,MRR_Export_Months,"&gt;="&amp;I$1,MRR_Export_Months,"&lt;"&amp;J$1)</f>
        <v>0</v>
      </c>
      <c r="J31" s="106">
        <f>SUMIFS(MRR_Export_Reactivation_Count,MRR_Export_Months,"&gt;="&amp;J$1,MRR_Export_Months,"&lt;"&amp;K$1)</f>
        <v>0</v>
      </c>
      <c r="K31" s="106">
        <f>SUMIFS(MRR_Export_Reactivation_Count,MRR_Export_Months,"&gt;="&amp;K$1,MRR_Export_Months,"&lt;"&amp;L$1)</f>
        <v>0</v>
      </c>
      <c r="L31" s="106">
        <f>SUMIFS(MRR_Export_Reactivation_Count,MRR_Export_Months,"&gt;="&amp;L$1,MRR_Export_Months,"&lt;"&amp;M$1)</f>
        <v>0</v>
      </c>
      <c r="M31" s="106">
        <f>SUMIFS(MRR_Export_Reactivation_Count,MRR_Export_Months,"&gt;="&amp;M$1,MRR_Export_Months,"&lt;"&amp;N$1)</f>
        <v>0</v>
      </c>
      <c r="N31" s="106">
        <f>SUMIFS(MRR_Export_Reactivation_Count,MRR_Export_Months,"&gt;="&amp;N$1,MRR_Export_Months,"&lt;"&amp;O$1)</f>
        <v>0</v>
      </c>
      <c r="O31" s="106">
        <f>SUMIFS(MRR_Export_Reactivation_Count,MRR_Export_Months,"&gt;="&amp;O$1,MRR_Export_Months,"&lt;"&amp;P$1)</f>
        <v>0</v>
      </c>
      <c r="P31" s="106">
        <f>SUMIFS(MRR_Export_Reactivation_Count,MRR_Export_Months,"&gt;="&amp;P$1,MRR_Export_Months,"&lt;"&amp;Q$1)</f>
        <v>0</v>
      </c>
      <c r="Q31" s="106">
        <f>SUMIFS(MRR_Export_Reactivation_Count,MRR_Export_Months,"&gt;="&amp;Q$1,MRR_Export_Months,"&lt;"&amp;R$1)</f>
        <v>0</v>
      </c>
      <c r="R31" s="106">
        <f>SUMIFS(MRR_Export_Reactivation_Count,MRR_Export_Months,"&gt;="&amp;R$1,MRR_Export_Months,"&lt;"&amp;S$1)</f>
        <v>0</v>
      </c>
      <c r="S31" s="106">
        <f>SUMIFS(MRR_Export_Reactivation_Count,MRR_Export_Months,"&gt;="&amp;S$1,MRR_Export_Months,"&lt;"&amp;T$1)</f>
        <v>0</v>
      </c>
      <c r="T31" s="106">
        <f>SUMIFS(MRR_Export_Reactivation_Count,MRR_Export_Months,"&gt;="&amp;T$1,MRR_Export_Months,"&lt;"&amp;U$1)</f>
        <v>0</v>
      </c>
      <c r="U31" s="106">
        <f>SUMIFS(MRR_Export_Reactivation_Count,MRR_Export_Months,"&gt;="&amp;U$1,MRR_Export_Months,"&lt;"&amp;V$1)</f>
        <v>0</v>
      </c>
      <c r="V31" s="106">
        <f>SUMIFS(MRR_Export_Reactivation_Count,MRR_Export_Months,"&gt;="&amp;V$1,MRR_Export_Months,"&lt;"&amp;W$1)</f>
        <v>0</v>
      </c>
      <c r="W31" s="106">
        <f>SUMIFS(MRR_Export_Reactivation_Count,MRR_Export_Months,"&gt;="&amp;W$1,MRR_Export_Months,"&lt;"&amp;X$1)</f>
        <v>0</v>
      </c>
      <c r="X31" s="106">
        <f>SUMIFS(MRR_Export_Reactivation_Count,MRR_Export_Months,"&gt;="&amp;X$1,MRR_Export_Months,"&lt;"&amp;Y$1)</f>
        <v>0</v>
      </c>
      <c r="Y31" s="106">
        <f>SUMIFS(MRR_Export_Reactivation_Count,MRR_Export_Months,"&gt;="&amp;Y$1,MRR_Export_Months,"&lt;"&amp;Z$1)</f>
        <v>0</v>
      </c>
      <c r="Z31" s="106">
        <f>SUMIFS(MRR_Export_Reactivation_Count,MRR_Export_Months,"&gt;="&amp;Z$1,MRR_Export_Months,"&lt;"&amp;AA$1)</f>
        <v>0</v>
      </c>
      <c r="AA31" s="106">
        <f>SUMIFS(MRR_Export_Reactivation_Count,MRR_Export_Months,"&gt;="&amp;AA$1,MRR_Export_Months,"&lt;"&amp;AB$1)</f>
        <v>0</v>
      </c>
      <c r="AB31" s="106">
        <f>SUMIFS(MRR_Export_Reactivation_Count,MRR_Export_Months,"&gt;="&amp;AB$1,MRR_Export_Months,"&lt;"&amp;AC$1)</f>
        <v>0</v>
      </c>
      <c r="AC31" s="106">
        <f>SUMIFS(MRR_Export_Reactivation_Count,MRR_Export_Months,"&gt;="&amp;AC$1,MRR_Export_Months,"&lt;"&amp;AD$1)</f>
        <v>0</v>
      </c>
      <c r="AD31" s="106">
        <f>SUMIFS(MRR_Export_Reactivation_Count,MRR_Export_Months,"&gt;="&amp;AD$1,MRR_Export_Months,"&lt;"&amp;AE$1)</f>
        <v>0</v>
      </c>
      <c r="AE31" s="1"/>
      <c r="AF31" s="1"/>
      <c r="AG31" s="1"/>
      <c r="AH31" s="1"/>
      <c r="AI31" s="1"/>
      <c r="AJ31" s="1"/>
      <c r="AK31" s="1"/>
      <c r="AL31" s="1"/>
      <c r="AM31" s="1"/>
      <c r="AN31" s="1"/>
      <c r="AO31" s="1"/>
      <c r="AP31" s="1"/>
      <c r="AQ31" s="1"/>
      <c r="AR31" s="1"/>
      <c r="AS31" s="1"/>
      <c r="AT31" s="1"/>
      <c r="AU31" s="1"/>
      <c r="AV31" s="1"/>
      <c r="AW31" s="1"/>
      <c r="AX31" s="1"/>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row>
    <row r="32" ht="15.75" customHeight="1">
      <c r="A32" s="82" t="s">
        <v>100</v>
      </c>
      <c r="B32" s="93"/>
      <c r="C32" s="76" t="str">
        <f t="shared" ref="C32:AD32" si="18">IFERROR(C33/C31," ")</f>
        <v> </v>
      </c>
      <c r="D32" s="76" t="str">
        <f t="shared" si="18"/>
        <v> </v>
      </c>
      <c r="E32" s="76" t="str">
        <f t="shared" si="18"/>
        <v> </v>
      </c>
      <c r="F32" s="76" t="str">
        <f t="shared" si="18"/>
        <v> </v>
      </c>
      <c r="G32" s="76" t="str">
        <f t="shared" si="18"/>
        <v> </v>
      </c>
      <c r="H32" s="76" t="str">
        <f t="shared" si="18"/>
        <v> </v>
      </c>
      <c r="I32" s="76" t="str">
        <f t="shared" si="18"/>
        <v> </v>
      </c>
      <c r="J32" s="76" t="str">
        <f t="shared" si="18"/>
        <v> </v>
      </c>
      <c r="K32" s="76" t="str">
        <f t="shared" si="18"/>
        <v> </v>
      </c>
      <c r="L32" s="76" t="str">
        <f t="shared" si="18"/>
        <v> </v>
      </c>
      <c r="M32" s="76" t="str">
        <f t="shared" si="18"/>
        <v> </v>
      </c>
      <c r="N32" s="76" t="str">
        <f t="shared" si="18"/>
        <v> </v>
      </c>
      <c r="O32" s="76" t="str">
        <f t="shared" si="18"/>
        <v> </v>
      </c>
      <c r="P32" s="76" t="str">
        <f t="shared" si="18"/>
        <v> </v>
      </c>
      <c r="Q32" s="76" t="str">
        <f t="shared" si="18"/>
        <v> </v>
      </c>
      <c r="R32" s="76" t="str">
        <f t="shared" si="18"/>
        <v> </v>
      </c>
      <c r="S32" s="76" t="str">
        <f t="shared" si="18"/>
        <v> </v>
      </c>
      <c r="T32" s="76" t="str">
        <f t="shared" si="18"/>
        <v> </v>
      </c>
      <c r="U32" s="76" t="str">
        <f t="shared" si="18"/>
        <v> </v>
      </c>
      <c r="V32" s="76" t="str">
        <f t="shared" si="18"/>
        <v> </v>
      </c>
      <c r="W32" s="76" t="str">
        <f t="shared" si="18"/>
        <v> </v>
      </c>
      <c r="X32" s="76" t="str">
        <f t="shared" si="18"/>
        <v> </v>
      </c>
      <c r="Y32" s="76" t="str">
        <f t="shared" si="18"/>
        <v> </v>
      </c>
      <c r="Z32" s="76" t="str">
        <f t="shared" si="18"/>
        <v> </v>
      </c>
      <c r="AA32" s="76" t="str">
        <f t="shared" si="18"/>
        <v> </v>
      </c>
      <c r="AB32" s="76" t="str">
        <f t="shared" si="18"/>
        <v> </v>
      </c>
      <c r="AC32" s="76" t="str">
        <f t="shared" si="18"/>
        <v> </v>
      </c>
      <c r="AD32" s="76" t="str">
        <f t="shared" si="18"/>
        <v> </v>
      </c>
      <c r="AE32" s="96"/>
      <c r="AF32" s="96"/>
      <c r="AG32" s="96"/>
      <c r="AH32" s="96"/>
      <c r="AI32" s="96"/>
      <c r="AJ32" s="96"/>
      <c r="AK32" s="96"/>
      <c r="AL32" s="96"/>
      <c r="AM32" s="96"/>
      <c r="AN32" s="96"/>
      <c r="AO32" s="96"/>
      <c r="AP32" s="96"/>
      <c r="AQ32" s="96"/>
      <c r="AR32" s="96"/>
      <c r="AS32" s="96"/>
      <c r="AT32" s="96"/>
      <c r="AU32" s="96"/>
      <c r="AV32" s="96"/>
      <c r="AW32" s="96"/>
      <c r="AX32" s="96"/>
      <c r="AY32" s="97"/>
      <c r="AZ32" s="97"/>
      <c r="BA32" s="97"/>
      <c r="BB32" s="97"/>
      <c r="BC32" s="97"/>
      <c r="BD32" s="97"/>
      <c r="BE32" s="97"/>
      <c r="BF32" s="97"/>
      <c r="BG32" s="97"/>
      <c r="BH32" s="97"/>
      <c r="BI32" s="97"/>
      <c r="BJ32" s="97"/>
      <c r="BK32" s="97"/>
      <c r="BL32" s="97"/>
      <c r="BM32" s="97"/>
      <c r="BN32" s="97"/>
      <c r="BO32" s="97"/>
      <c r="BP32" s="97"/>
      <c r="BQ32" s="97"/>
      <c r="BR32" s="97"/>
      <c r="BS32" s="97"/>
      <c r="BT32" s="97"/>
      <c r="BU32" s="97"/>
      <c r="BV32" s="97"/>
    </row>
    <row r="33" ht="15.75" customHeight="1">
      <c r="A33" s="1" t="s">
        <v>110</v>
      </c>
      <c r="B33" s="95"/>
      <c r="C33" s="106">
        <f>SUMIFS(MRR_Export_Reactivation_MRR,MRR_Export_Months,"&gt;="&amp;C$1,MRR_Export_Months,"&lt;"&amp;D$1)</f>
        <v>0</v>
      </c>
      <c r="D33" s="106">
        <f>SUMIFS(MRR_Export_Reactivation_MRR,MRR_Export_Months,"&gt;="&amp;D$1,MRR_Export_Months,"&lt;"&amp;E$1)</f>
        <v>0</v>
      </c>
      <c r="E33" s="106">
        <f>SUMIFS(MRR_Export_Reactivation_MRR,MRR_Export_Months,"&gt;="&amp;E$1,MRR_Export_Months,"&lt;"&amp;F$1)</f>
        <v>0</v>
      </c>
      <c r="F33" s="106">
        <f>SUMIFS(MRR_Export_Reactivation_MRR,MRR_Export_Months,"&gt;="&amp;F$1,MRR_Export_Months,"&lt;"&amp;G$1)</f>
        <v>0</v>
      </c>
      <c r="G33" s="106">
        <f>SUMIFS(MRR_Export_Reactivation_MRR,MRR_Export_Months,"&gt;="&amp;G$1,MRR_Export_Months,"&lt;"&amp;H$1)</f>
        <v>0</v>
      </c>
      <c r="H33" s="106">
        <f>SUMIFS(MRR_Export_Reactivation_MRR,MRR_Export_Months,"&gt;="&amp;H$1,MRR_Export_Months,"&lt;"&amp;I$1)</f>
        <v>0</v>
      </c>
      <c r="I33" s="106">
        <f>SUMIFS(MRR_Export_Reactivation_MRR,MRR_Export_Months,"&gt;="&amp;I$1,MRR_Export_Months,"&lt;"&amp;J$1)</f>
        <v>0</v>
      </c>
      <c r="J33" s="106">
        <f>SUMIFS(MRR_Export_Reactivation_MRR,MRR_Export_Months,"&gt;="&amp;J$1,MRR_Export_Months,"&lt;"&amp;K$1)</f>
        <v>0</v>
      </c>
      <c r="K33" s="106">
        <f>SUMIFS(MRR_Export_Reactivation_MRR,MRR_Export_Months,"&gt;="&amp;K$1,MRR_Export_Months,"&lt;"&amp;L$1)</f>
        <v>0</v>
      </c>
      <c r="L33" s="106">
        <f>SUMIFS(MRR_Export_Reactivation_MRR,MRR_Export_Months,"&gt;="&amp;L$1,MRR_Export_Months,"&lt;"&amp;M$1)</f>
        <v>0</v>
      </c>
      <c r="M33" s="106">
        <f>SUMIFS(MRR_Export_Reactivation_MRR,MRR_Export_Months,"&gt;="&amp;M$1,MRR_Export_Months,"&lt;"&amp;N$1)</f>
        <v>0</v>
      </c>
      <c r="N33" s="106">
        <f>SUMIFS(MRR_Export_Reactivation_MRR,MRR_Export_Months,"&gt;="&amp;N$1,MRR_Export_Months,"&lt;"&amp;O$1)</f>
        <v>0</v>
      </c>
      <c r="O33" s="106">
        <f>SUMIFS(MRR_Export_Reactivation_MRR,MRR_Export_Months,"&gt;="&amp;O$1,MRR_Export_Months,"&lt;"&amp;P$1)</f>
        <v>0</v>
      </c>
      <c r="P33" s="106">
        <f>SUMIFS(MRR_Export_Reactivation_MRR,MRR_Export_Months,"&gt;="&amp;P$1,MRR_Export_Months,"&lt;"&amp;Q$1)</f>
        <v>0</v>
      </c>
      <c r="Q33" s="106">
        <f>SUMIFS(MRR_Export_Reactivation_MRR,MRR_Export_Months,"&gt;="&amp;Q$1,MRR_Export_Months,"&lt;"&amp;R$1)</f>
        <v>0</v>
      </c>
      <c r="R33" s="106">
        <f>SUMIFS(MRR_Export_Reactivation_MRR,MRR_Export_Months,"&gt;="&amp;R$1,MRR_Export_Months,"&lt;"&amp;S$1)</f>
        <v>0</v>
      </c>
      <c r="S33" s="106">
        <f>SUMIFS(MRR_Export_Reactivation_MRR,MRR_Export_Months,"&gt;="&amp;S$1,MRR_Export_Months,"&lt;"&amp;T$1)</f>
        <v>0</v>
      </c>
      <c r="T33" s="106">
        <f>SUMIFS(MRR_Export_Reactivation_MRR,MRR_Export_Months,"&gt;="&amp;T$1,MRR_Export_Months,"&lt;"&amp;U$1)</f>
        <v>0</v>
      </c>
      <c r="U33" s="106">
        <f>SUMIFS(MRR_Export_Reactivation_MRR,MRR_Export_Months,"&gt;="&amp;U$1,MRR_Export_Months,"&lt;"&amp;V$1)</f>
        <v>0</v>
      </c>
      <c r="V33" s="106">
        <f>SUMIFS(MRR_Export_Reactivation_MRR,MRR_Export_Months,"&gt;="&amp;V$1,MRR_Export_Months,"&lt;"&amp;W$1)</f>
        <v>0</v>
      </c>
      <c r="W33" s="106">
        <f>SUMIFS(MRR_Export_Reactivation_MRR,MRR_Export_Months,"&gt;="&amp;W$1,MRR_Export_Months,"&lt;"&amp;X$1)</f>
        <v>0</v>
      </c>
      <c r="X33" s="106">
        <f>SUMIFS(MRR_Export_Reactivation_MRR,MRR_Export_Months,"&gt;="&amp;X$1,MRR_Export_Months,"&lt;"&amp;Y$1)</f>
        <v>0</v>
      </c>
      <c r="Y33" s="106">
        <f>SUMIFS(MRR_Export_Reactivation_MRR,MRR_Export_Months,"&gt;="&amp;Y$1,MRR_Export_Months,"&lt;"&amp;Z$1)</f>
        <v>0</v>
      </c>
      <c r="Z33" s="106">
        <f>SUMIFS(MRR_Export_Reactivation_MRR,MRR_Export_Months,"&gt;="&amp;Z$1,MRR_Export_Months,"&lt;"&amp;AA$1)</f>
        <v>0</v>
      </c>
      <c r="AA33" s="106">
        <f>SUMIFS(MRR_Export_Reactivation_MRR,MRR_Export_Months,"&gt;="&amp;AA$1,MRR_Export_Months,"&lt;"&amp;AB$1)</f>
        <v>0</v>
      </c>
      <c r="AB33" s="106">
        <f>SUMIFS(MRR_Export_Reactivation_MRR,MRR_Export_Months,"&gt;="&amp;AB$1,MRR_Export_Months,"&lt;"&amp;AC$1)</f>
        <v>0</v>
      </c>
      <c r="AC33" s="106">
        <f>SUMIFS(MRR_Export_Reactivation_MRR,MRR_Export_Months,"&gt;="&amp;AC$1,MRR_Export_Months,"&lt;"&amp;AD$1)</f>
        <v>0</v>
      </c>
      <c r="AD33" s="106">
        <f>SUMIFS(MRR_Export_Reactivation_MRR,MRR_Export_Months,"&gt;="&amp;AD$1,MRR_Export_Months,"&lt;"&amp;AE$1)</f>
        <v>0</v>
      </c>
      <c r="AE33" s="1"/>
      <c r="AF33" s="1"/>
      <c r="AG33" s="1"/>
      <c r="AH33" s="1"/>
      <c r="AI33" s="1"/>
      <c r="AJ33" s="1"/>
      <c r="AK33" s="1"/>
      <c r="AL33" s="1"/>
      <c r="AM33" s="1"/>
      <c r="AN33" s="1"/>
      <c r="AO33" s="1"/>
      <c r="AP33" s="1"/>
      <c r="AQ33" s="1"/>
      <c r="AR33" s="1"/>
      <c r="AS33" s="1"/>
      <c r="AT33" s="1"/>
      <c r="AU33" s="1"/>
      <c r="AV33" s="1"/>
      <c r="AW33" s="1"/>
      <c r="AX33" s="1"/>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row>
    <row r="34" ht="15.75" customHeight="1">
      <c r="A34" s="82"/>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row>
    <row r="35" ht="15.75" customHeight="1">
      <c r="A35" s="120" t="s">
        <v>111</v>
      </c>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row>
    <row r="36" ht="15.75" customHeight="1">
      <c r="A36" s="87" t="s">
        <v>99</v>
      </c>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row>
    <row r="37" ht="15.75" customHeight="1">
      <c r="A37" s="82" t="s">
        <v>112</v>
      </c>
      <c r="B37" s="89"/>
      <c r="C37" s="90">
        <f>SUMIFS(MRR_Export_Churn_Count,MRR_Export_Months,"&gt;="&amp;C$1,MRR_Export_Months,"&lt;"&amp;D$1)</f>
        <v>1</v>
      </c>
      <c r="D37" s="90">
        <f>SUMIFS(MRR_Export_Churn_Count,MRR_Export_Months,"&gt;="&amp;D$1,MRR_Export_Months,"&lt;"&amp;E$1)</f>
        <v>2</v>
      </c>
      <c r="E37" s="90">
        <f>SUMIFS(MRR_Export_Churn_Count,MRR_Export_Months,"&gt;="&amp;E$1,MRR_Export_Months,"&lt;"&amp;F$1)</f>
        <v>2</v>
      </c>
      <c r="F37" s="90">
        <f>SUMIFS(MRR_Export_Churn_Count,MRR_Export_Months,"&gt;="&amp;F$1,MRR_Export_Months,"&lt;"&amp;G$1)</f>
        <v>3</v>
      </c>
      <c r="G37" s="90">
        <f>SUMIFS(MRR_Export_Churn_Count,MRR_Export_Months,"&gt;="&amp;G$1,MRR_Export_Months,"&lt;"&amp;H$1)</f>
        <v>1</v>
      </c>
      <c r="H37" s="90">
        <f>SUMIFS(MRR_Export_Churn_Count,MRR_Export_Months,"&gt;="&amp;H$1,MRR_Export_Months,"&lt;"&amp;I$1)</f>
        <v>2</v>
      </c>
      <c r="I37" s="90">
        <f>SUMIFS(MRR_Export_Churn_Count,MRR_Export_Months,"&gt;="&amp;I$1,MRR_Export_Months,"&lt;"&amp;J$1)</f>
        <v>4</v>
      </c>
      <c r="J37" s="90">
        <f>SUMIFS(MRR_Export_Churn_Count,MRR_Export_Months,"&gt;="&amp;J$1,MRR_Export_Months,"&lt;"&amp;K$1)</f>
        <v>5</v>
      </c>
      <c r="K37" s="90">
        <f>SUMIFS(MRR_Export_Churn_Count,MRR_Export_Months,"&gt;="&amp;K$1,MRR_Export_Months,"&lt;"&amp;L$1)</f>
        <v>5</v>
      </c>
      <c r="L37" s="90">
        <f>SUMIFS(MRR_Export_Churn_Count,MRR_Export_Months,"&gt;="&amp;L$1,MRR_Export_Months,"&lt;"&amp;M$1)</f>
        <v>5</v>
      </c>
      <c r="M37" s="90">
        <f>SUMIFS(MRR_Export_Churn_Count,MRR_Export_Months,"&gt;="&amp;M$1,MRR_Export_Months,"&lt;"&amp;N$1)</f>
        <v>5</v>
      </c>
      <c r="N37" s="90">
        <f>SUMIFS(MRR_Export_Churn_Count,MRR_Export_Months,"&gt;="&amp;N$1,MRR_Export_Months,"&lt;"&amp;O$1)</f>
        <v>5</v>
      </c>
      <c r="O37" s="90">
        <f>SUMIFS(MRR_Export_Churn_Count,MRR_Export_Months,"&gt;="&amp;O$1,MRR_Export_Months,"&lt;"&amp;P$1)</f>
        <v>5</v>
      </c>
      <c r="P37" s="90">
        <f>SUMIFS(MRR_Export_Churn_Count,MRR_Export_Months,"&gt;="&amp;P$1,MRR_Export_Months,"&lt;"&amp;Q$1)</f>
        <v>5</v>
      </c>
      <c r="Q37" s="90">
        <f>SUMIFS(MRR_Export_Churn_Count,MRR_Export_Months,"&gt;="&amp;Q$1,MRR_Export_Months,"&lt;"&amp;R$1)</f>
        <v>6</v>
      </c>
      <c r="R37" s="90">
        <f>SUMIFS(MRR_Export_Churn_Count,MRR_Export_Months,"&gt;="&amp;R$1,MRR_Export_Months,"&lt;"&amp;S$1)</f>
        <v>4</v>
      </c>
      <c r="S37" s="90">
        <f>SUMIFS(MRR_Export_Churn_Count,MRR_Export_Months,"&gt;="&amp;S$1,MRR_Export_Months,"&lt;"&amp;T$1)</f>
        <v>6</v>
      </c>
      <c r="T37" s="90">
        <f>SUMIFS(MRR_Export_Churn_Count,MRR_Export_Months,"&gt;="&amp;T$1,MRR_Export_Months,"&lt;"&amp;U$1)</f>
        <v>7</v>
      </c>
      <c r="U37" s="90">
        <f>SUMIFS(MRR_Export_Churn_Count,MRR_Export_Months,"&gt;="&amp;U$1,MRR_Export_Months,"&lt;"&amp;V$1)</f>
        <v>9</v>
      </c>
      <c r="V37" s="90">
        <f>SUMIFS(MRR_Export_Churn_Count,MRR_Export_Months,"&gt;="&amp;V$1,MRR_Export_Months,"&lt;"&amp;W$1)</f>
        <v>6</v>
      </c>
      <c r="W37" s="90">
        <f>SUMIFS(MRR_Export_Churn_Count,MRR_Export_Months,"&gt;="&amp;W$1,MRR_Export_Months,"&lt;"&amp;X$1)</f>
        <v>9</v>
      </c>
      <c r="X37" s="90">
        <f>SUMIFS(MRR_Export_Churn_Count,MRR_Export_Months,"&gt;="&amp;X$1,MRR_Export_Months,"&lt;"&amp;Y$1)</f>
        <v>9</v>
      </c>
      <c r="Y37" s="90">
        <f>SUMIFS(MRR_Export_Churn_Count,MRR_Export_Months,"&gt;="&amp;Y$1,MRR_Export_Months,"&lt;"&amp;Z$1)</f>
        <v>6</v>
      </c>
      <c r="Z37" s="90">
        <f>SUMIFS(MRR_Export_Churn_Count,MRR_Export_Months,"&gt;="&amp;Z$1,MRR_Export_Months,"&lt;"&amp;AA$1)</f>
        <v>4</v>
      </c>
      <c r="AA37" s="90">
        <f>SUMIFS(MRR_Export_Churn_Count,MRR_Export_Months,"&gt;="&amp;AA$1,MRR_Export_Months,"&lt;"&amp;AB$1)</f>
        <v>1</v>
      </c>
      <c r="AB37" s="90">
        <f>SUMIFS(MRR_Export_Churn_Count,MRR_Export_Months,"&gt;="&amp;AB$1,MRR_Export_Months,"&lt;"&amp;AC$1)</f>
        <v>6</v>
      </c>
      <c r="AC37" s="90">
        <f>SUMIFS(MRR_Export_Churn_Count,MRR_Export_Months,"&gt;="&amp;AC$1,MRR_Export_Months,"&lt;"&amp;AD$1)</f>
        <v>9</v>
      </c>
      <c r="AD37" s="90">
        <f>SUMIFS(MRR_Export_Churn_Count,MRR_Export_Months,"&gt;="&amp;AD$1,MRR_Export_Months,"&lt;"&amp;AE$1)</f>
        <v>12</v>
      </c>
      <c r="AE37" s="96">
        <f t="shared" ref="AE37:BV37" si="19">AE38*AD$65</f>
        <v>17.304</v>
      </c>
      <c r="AF37" s="96">
        <f t="shared" si="19"/>
        <v>14.752704</v>
      </c>
      <c r="AG37" s="96">
        <f t="shared" si="19"/>
        <v>11.66492262</v>
      </c>
      <c r="AH37" s="96">
        <f t="shared" si="19"/>
        <v>9.244175601</v>
      </c>
      <c r="AI37" s="96">
        <f t="shared" si="19"/>
        <v>6.875376176</v>
      </c>
      <c r="AJ37" s="96">
        <f t="shared" si="19"/>
        <v>6.997747038</v>
      </c>
      <c r="AK37" s="96">
        <f t="shared" si="19"/>
        <v>7.12977182</v>
      </c>
      <c r="AL37" s="96">
        <f t="shared" si="19"/>
        <v>7.26034433</v>
      </c>
      <c r="AM37" s="96">
        <f t="shared" si="19"/>
        <v>7.400480543</v>
      </c>
      <c r="AN37" s="96">
        <f t="shared" si="19"/>
        <v>7.539075257</v>
      </c>
      <c r="AO37" s="96">
        <f t="shared" si="19"/>
        <v>7.687145429</v>
      </c>
      <c r="AP37" s="96">
        <f t="shared" si="19"/>
        <v>7.833586829</v>
      </c>
      <c r="AQ37" s="96">
        <f t="shared" si="19"/>
        <v>7.989417374</v>
      </c>
      <c r="AR37" s="96">
        <f t="shared" si="19"/>
        <v>8.154533783</v>
      </c>
      <c r="AS37" s="96">
        <f t="shared" si="19"/>
        <v>8.317833911</v>
      </c>
      <c r="AT37" s="96">
        <f t="shared" si="19"/>
        <v>8.490337738</v>
      </c>
      <c r="AU37" s="96">
        <f t="shared" si="19"/>
        <v>8.660944023</v>
      </c>
      <c r="AV37" s="96">
        <f t="shared" si="19"/>
        <v>8.840673639</v>
      </c>
      <c r="AW37" s="96">
        <f t="shared" si="19"/>
        <v>9.029426229</v>
      </c>
      <c r="AX37" s="96">
        <f t="shared" si="19"/>
        <v>9.21610254</v>
      </c>
      <c r="AY37" s="97">
        <f t="shared" si="19"/>
        <v>9.411725412</v>
      </c>
      <c r="AZ37" s="97">
        <f t="shared" si="19"/>
        <v>9.594196433</v>
      </c>
      <c r="BA37" s="97">
        <f t="shared" si="19"/>
        <v>9.785660272</v>
      </c>
      <c r="BB37" s="97">
        <f t="shared" si="19"/>
        <v>9.975018009</v>
      </c>
      <c r="BC37" s="97">
        <f t="shared" si="19"/>
        <v>10.16229281</v>
      </c>
      <c r="BD37" s="97">
        <f t="shared" si="19"/>
        <v>10.34750759</v>
      </c>
      <c r="BE37" s="97">
        <f t="shared" si="19"/>
        <v>10.54168501</v>
      </c>
      <c r="BF37" s="97">
        <f t="shared" si="19"/>
        <v>10.73372647</v>
      </c>
      <c r="BG37" s="97">
        <f t="shared" si="19"/>
        <v>10.93465548</v>
      </c>
      <c r="BH37" s="97">
        <f t="shared" si="19"/>
        <v>11.13337427</v>
      </c>
      <c r="BI37" s="97">
        <f t="shared" si="19"/>
        <v>11.32990715</v>
      </c>
      <c r="BJ37" s="97">
        <f t="shared" si="19"/>
        <v>11.53527817</v>
      </c>
      <c r="BK37" s="97">
        <f t="shared" si="19"/>
        <v>11.73839011</v>
      </c>
      <c r="BL37" s="97">
        <f t="shared" si="19"/>
        <v>11.93926782</v>
      </c>
      <c r="BM37" s="97">
        <f t="shared" si="19"/>
        <v>12.14893588</v>
      </c>
      <c r="BN37" s="97">
        <f t="shared" si="19"/>
        <v>12.35629758</v>
      </c>
      <c r="BO37" s="97">
        <f t="shared" si="19"/>
        <v>12.57237831</v>
      </c>
      <c r="BP37" s="97">
        <f t="shared" si="19"/>
        <v>12.78608215</v>
      </c>
      <c r="BQ37" s="97">
        <f t="shared" si="19"/>
        <v>12.99743524</v>
      </c>
      <c r="BR37" s="97">
        <f t="shared" si="19"/>
        <v>13.21746346</v>
      </c>
      <c r="BS37" s="97">
        <f t="shared" si="19"/>
        <v>13.43507136</v>
      </c>
      <c r="BT37" s="97">
        <f t="shared" si="19"/>
        <v>13.66128557</v>
      </c>
      <c r="BU37" s="97">
        <f t="shared" si="19"/>
        <v>13.88501143</v>
      </c>
      <c r="BV37" s="97">
        <f t="shared" si="19"/>
        <v>14.11727631</v>
      </c>
    </row>
    <row r="38" ht="15.75" customHeight="1">
      <c r="A38" s="82" t="s">
        <v>113</v>
      </c>
      <c r="B38" s="43"/>
      <c r="C38" s="123" t="str">
        <f t="shared" ref="C38:AD38" si="20">IFERROR(C37/B$65," ")</f>
        <v> </v>
      </c>
      <c r="D38" s="123">
        <f t="shared" si="20"/>
        <v>0.008438818565</v>
      </c>
      <c r="E38" s="123">
        <f t="shared" si="20"/>
        <v>0.009174311927</v>
      </c>
      <c r="F38" s="123">
        <f t="shared" si="20"/>
        <v>0.01315789474</v>
      </c>
      <c r="G38" s="123">
        <f t="shared" si="20"/>
        <v>0.004201680672</v>
      </c>
      <c r="H38" s="123">
        <f t="shared" si="20"/>
        <v>0.00796812749</v>
      </c>
      <c r="I38" s="123">
        <f t="shared" si="20"/>
        <v>0.01544401544</v>
      </c>
      <c r="J38" s="123">
        <f t="shared" si="20"/>
        <v>0.01811594203</v>
      </c>
      <c r="K38" s="123">
        <f t="shared" si="20"/>
        <v>0.01754385965</v>
      </c>
      <c r="L38" s="123">
        <f t="shared" si="20"/>
        <v>0.01700680272</v>
      </c>
      <c r="M38" s="123">
        <f t="shared" si="20"/>
        <v>0.01650165017</v>
      </c>
      <c r="N38" s="123">
        <f t="shared" si="20"/>
        <v>0.01602564103</v>
      </c>
      <c r="O38" s="123">
        <f t="shared" si="20"/>
        <v>0.01547987616</v>
      </c>
      <c r="P38" s="123">
        <f t="shared" si="20"/>
        <v>0.01501501502</v>
      </c>
      <c r="Q38" s="123">
        <f t="shared" si="20"/>
        <v>0.01699716714</v>
      </c>
      <c r="R38" s="123">
        <f t="shared" si="20"/>
        <v>0.01098901099</v>
      </c>
      <c r="S38" s="123">
        <f t="shared" si="20"/>
        <v>0.01507537688</v>
      </c>
      <c r="T38" s="123">
        <f t="shared" si="20"/>
        <v>0.01699029126</v>
      </c>
      <c r="U38" s="123">
        <f t="shared" si="20"/>
        <v>0.02073732719</v>
      </c>
      <c r="V38" s="123">
        <f t="shared" si="20"/>
        <v>0.01312910284</v>
      </c>
      <c r="W38" s="123">
        <f t="shared" si="20"/>
        <v>0.01878914405</v>
      </c>
      <c r="X38" s="123">
        <f t="shared" si="20"/>
        <v>0.01814516129</v>
      </c>
      <c r="Y38" s="123">
        <f t="shared" si="20"/>
        <v>0.01181102362</v>
      </c>
      <c r="Z38" s="123">
        <f t="shared" si="20"/>
        <v>0.007633587786</v>
      </c>
      <c r="AA38" s="123">
        <f t="shared" si="20"/>
        <v>0.001834862385</v>
      </c>
      <c r="AB38" s="123">
        <f t="shared" si="20"/>
        <v>0.01050788091</v>
      </c>
      <c r="AC38" s="123">
        <f t="shared" si="20"/>
        <v>0.01487603306</v>
      </c>
      <c r="AD38" s="123">
        <f t="shared" si="20"/>
        <v>0.01948051948</v>
      </c>
      <c r="AE38" s="124">
        <v>0.028</v>
      </c>
      <c r="AF38" s="124">
        <v>0.024</v>
      </c>
      <c r="AG38" s="124">
        <v>0.019</v>
      </c>
      <c r="AH38" s="124">
        <v>0.015</v>
      </c>
      <c r="AI38" s="124">
        <v>0.011</v>
      </c>
      <c r="AJ38" s="124">
        <v>0.011</v>
      </c>
      <c r="AK38" s="124">
        <f t="shared" ref="AK38:BV38" si="21">IFERROR(MEDIAN(AH38:AJ38),0)</f>
        <v>0.011</v>
      </c>
      <c r="AL38" s="124">
        <f t="shared" si="21"/>
        <v>0.011</v>
      </c>
      <c r="AM38" s="124">
        <f t="shared" si="21"/>
        <v>0.011</v>
      </c>
      <c r="AN38" s="124">
        <f t="shared" si="21"/>
        <v>0.011</v>
      </c>
      <c r="AO38" s="124">
        <f t="shared" si="21"/>
        <v>0.011</v>
      </c>
      <c r="AP38" s="124">
        <f t="shared" si="21"/>
        <v>0.011</v>
      </c>
      <c r="AQ38" s="124">
        <f t="shared" si="21"/>
        <v>0.011</v>
      </c>
      <c r="AR38" s="124">
        <f t="shared" si="21"/>
        <v>0.011</v>
      </c>
      <c r="AS38" s="124">
        <f t="shared" si="21"/>
        <v>0.011</v>
      </c>
      <c r="AT38" s="124">
        <f t="shared" si="21"/>
        <v>0.011</v>
      </c>
      <c r="AU38" s="124">
        <f t="shared" si="21"/>
        <v>0.011</v>
      </c>
      <c r="AV38" s="124">
        <f t="shared" si="21"/>
        <v>0.011</v>
      </c>
      <c r="AW38" s="124">
        <f t="shared" si="21"/>
        <v>0.011</v>
      </c>
      <c r="AX38" s="124">
        <f t="shared" si="21"/>
        <v>0.011</v>
      </c>
      <c r="AY38" s="103">
        <f t="shared" si="21"/>
        <v>0.011</v>
      </c>
      <c r="AZ38" s="103">
        <f t="shared" si="21"/>
        <v>0.011</v>
      </c>
      <c r="BA38" s="103">
        <f t="shared" si="21"/>
        <v>0.011</v>
      </c>
      <c r="BB38" s="103">
        <f t="shared" si="21"/>
        <v>0.011</v>
      </c>
      <c r="BC38" s="103">
        <f t="shared" si="21"/>
        <v>0.011</v>
      </c>
      <c r="BD38" s="103">
        <f t="shared" si="21"/>
        <v>0.011</v>
      </c>
      <c r="BE38" s="103">
        <f t="shared" si="21"/>
        <v>0.011</v>
      </c>
      <c r="BF38" s="103">
        <f t="shared" si="21"/>
        <v>0.011</v>
      </c>
      <c r="BG38" s="103">
        <f t="shared" si="21"/>
        <v>0.011</v>
      </c>
      <c r="BH38" s="103">
        <f t="shared" si="21"/>
        <v>0.011</v>
      </c>
      <c r="BI38" s="103">
        <f t="shared" si="21"/>
        <v>0.011</v>
      </c>
      <c r="BJ38" s="103">
        <f t="shared" si="21"/>
        <v>0.011</v>
      </c>
      <c r="BK38" s="103">
        <f t="shared" si="21"/>
        <v>0.011</v>
      </c>
      <c r="BL38" s="103">
        <f t="shared" si="21"/>
        <v>0.011</v>
      </c>
      <c r="BM38" s="103">
        <f t="shared" si="21"/>
        <v>0.011</v>
      </c>
      <c r="BN38" s="103">
        <f t="shared" si="21"/>
        <v>0.011</v>
      </c>
      <c r="BO38" s="103">
        <f t="shared" si="21"/>
        <v>0.011</v>
      </c>
      <c r="BP38" s="103">
        <f t="shared" si="21"/>
        <v>0.011</v>
      </c>
      <c r="BQ38" s="103">
        <f t="shared" si="21"/>
        <v>0.011</v>
      </c>
      <c r="BR38" s="103">
        <f t="shared" si="21"/>
        <v>0.011</v>
      </c>
      <c r="BS38" s="103">
        <f t="shared" si="21"/>
        <v>0.011</v>
      </c>
      <c r="BT38" s="103">
        <f t="shared" si="21"/>
        <v>0.011</v>
      </c>
      <c r="BU38" s="103">
        <f t="shared" si="21"/>
        <v>0.011</v>
      </c>
      <c r="BV38" s="103">
        <f t="shared" si="21"/>
        <v>0.011</v>
      </c>
    </row>
    <row r="39" ht="15.75" customHeight="1">
      <c r="A39" s="82" t="s">
        <v>100</v>
      </c>
      <c r="B39" s="93"/>
      <c r="C39" s="76">
        <f t="shared" ref="C39:AD39" si="22">IFERROR(C40/C37," ")</f>
        <v>-1016</v>
      </c>
      <c r="D39" s="76">
        <f t="shared" si="22"/>
        <v>-1522.5</v>
      </c>
      <c r="E39" s="76">
        <f t="shared" si="22"/>
        <v>-2000</v>
      </c>
      <c r="F39" s="76">
        <f t="shared" si="22"/>
        <v>-2607</v>
      </c>
      <c r="G39" s="76">
        <f t="shared" si="22"/>
        <v>-1299</v>
      </c>
      <c r="H39" s="76">
        <f t="shared" si="22"/>
        <v>-1299</v>
      </c>
      <c r="I39" s="76">
        <f t="shared" si="22"/>
        <v>-1953</v>
      </c>
      <c r="J39" s="76">
        <f t="shared" si="22"/>
        <v>-1672.8</v>
      </c>
      <c r="K39" s="76">
        <f t="shared" si="22"/>
        <v>-1706.6</v>
      </c>
      <c r="L39" s="76">
        <f t="shared" si="22"/>
        <v>-1765</v>
      </c>
      <c r="M39" s="76">
        <f t="shared" si="22"/>
        <v>-1714.8</v>
      </c>
      <c r="N39" s="76">
        <f t="shared" si="22"/>
        <v>-1728.8</v>
      </c>
      <c r="O39" s="76">
        <f t="shared" si="22"/>
        <v>-1736.2</v>
      </c>
      <c r="P39" s="76">
        <f t="shared" si="22"/>
        <v>-1726.6</v>
      </c>
      <c r="Q39" s="76">
        <f t="shared" si="22"/>
        <v>-1730.5</v>
      </c>
      <c r="R39" s="76">
        <f t="shared" si="22"/>
        <v>-587.5</v>
      </c>
      <c r="S39" s="76">
        <f t="shared" si="22"/>
        <v>-1729</v>
      </c>
      <c r="T39" s="76">
        <f t="shared" si="22"/>
        <v>-1729.857143</v>
      </c>
      <c r="U39" s="76">
        <f t="shared" si="22"/>
        <v>-1740.54799</v>
      </c>
      <c r="V39" s="76">
        <f t="shared" si="22"/>
        <v>-2364.614297</v>
      </c>
      <c r="W39" s="76">
        <f t="shared" si="22"/>
        <v>-1708.718145</v>
      </c>
      <c r="X39" s="76">
        <f t="shared" si="22"/>
        <v>-1851.16259</v>
      </c>
      <c r="Y39" s="76">
        <f t="shared" si="22"/>
        <v>-2532.577218</v>
      </c>
      <c r="Z39" s="76">
        <f t="shared" si="22"/>
        <v>-4701.865827</v>
      </c>
      <c r="AA39" s="76">
        <f t="shared" si="22"/>
        <v>-19092.46331</v>
      </c>
      <c r="AB39" s="76">
        <f t="shared" si="22"/>
        <v>-3609.077218</v>
      </c>
      <c r="AC39" s="76">
        <f t="shared" si="22"/>
        <v>-3824.222222</v>
      </c>
      <c r="AD39" s="76">
        <f t="shared" si="22"/>
        <v>-3247.916667</v>
      </c>
      <c r="AE39" s="76">
        <f t="shared" ref="AE39:BV39" si="23">IFERROR(SUM(AB40:AD40)/SUM(AB37:AD37),0)</f>
        <v>-3520.276419</v>
      </c>
      <c r="AF39" s="76">
        <f t="shared" si="23"/>
        <v>-3506.366519</v>
      </c>
      <c r="AG39" s="76">
        <f t="shared" si="23"/>
        <v>-3441.43426</v>
      </c>
      <c r="AH39" s="76">
        <f t="shared" si="23"/>
        <v>-3494.547817</v>
      </c>
      <c r="AI39" s="76">
        <f t="shared" si="23"/>
        <v>-3482.063655</v>
      </c>
      <c r="AJ39" s="76">
        <f t="shared" si="23"/>
        <v>-3469.159579</v>
      </c>
      <c r="AK39" s="76">
        <f t="shared" si="23"/>
        <v>-3483.149696</v>
      </c>
      <c r="AL39" s="76">
        <f t="shared" si="23"/>
        <v>-3478.132948</v>
      </c>
      <c r="AM39" s="76">
        <f t="shared" si="23"/>
        <v>-3476.869376</v>
      </c>
      <c r="AN39" s="76">
        <f t="shared" si="23"/>
        <v>-3479.34527</v>
      </c>
      <c r="AO39" s="76">
        <f t="shared" si="23"/>
        <v>-3478.123432</v>
      </c>
      <c r="AP39" s="76">
        <f t="shared" si="23"/>
        <v>-3478.120379</v>
      </c>
      <c r="AQ39" s="76">
        <f t="shared" si="23"/>
        <v>-3478.521857</v>
      </c>
      <c r="AR39" s="76">
        <f t="shared" si="23"/>
        <v>-3478.257811</v>
      </c>
      <c r="AS39" s="76">
        <f t="shared" si="23"/>
        <v>-3478.300893</v>
      </c>
      <c r="AT39" s="76">
        <f t="shared" si="23"/>
        <v>-3478.3587</v>
      </c>
      <c r="AU39" s="76">
        <f t="shared" si="23"/>
        <v>-3478.306481</v>
      </c>
      <c r="AV39" s="76">
        <f t="shared" si="23"/>
        <v>-3478.322063</v>
      </c>
      <c r="AW39" s="76">
        <f t="shared" si="23"/>
        <v>-3478.328838</v>
      </c>
      <c r="AX39" s="76">
        <f t="shared" si="23"/>
        <v>-3478.319282</v>
      </c>
      <c r="AY39" s="94">
        <f t="shared" si="23"/>
        <v>-3478.323376</v>
      </c>
      <c r="AZ39" s="94">
        <f t="shared" si="23"/>
        <v>-3478.323795</v>
      </c>
      <c r="BA39" s="94">
        <f t="shared" si="23"/>
        <v>-3478.322181</v>
      </c>
      <c r="BB39" s="94">
        <f t="shared" si="23"/>
        <v>-3478.323109</v>
      </c>
      <c r="BC39" s="94">
        <f t="shared" si="23"/>
        <v>-3478.323024</v>
      </c>
      <c r="BD39" s="94">
        <f t="shared" si="23"/>
        <v>-3478.322777</v>
      </c>
      <c r="BE39" s="94">
        <f t="shared" si="23"/>
        <v>-3478.322968</v>
      </c>
      <c r="BF39" s="94">
        <f t="shared" si="23"/>
        <v>-3478.322923</v>
      </c>
      <c r="BG39" s="94">
        <f t="shared" si="23"/>
        <v>-3478.32289</v>
      </c>
      <c r="BH39" s="94">
        <f t="shared" si="23"/>
        <v>-3478.322927</v>
      </c>
      <c r="BI39" s="94">
        <f t="shared" si="23"/>
        <v>-3478.322913</v>
      </c>
      <c r="BJ39" s="94">
        <f t="shared" si="23"/>
        <v>-3478.32291</v>
      </c>
      <c r="BK39" s="94">
        <f t="shared" si="23"/>
        <v>-3478.322917</v>
      </c>
      <c r="BL39" s="94">
        <f t="shared" si="23"/>
        <v>-3478.322913</v>
      </c>
      <c r="BM39" s="94">
        <f t="shared" si="23"/>
        <v>-3478.322913</v>
      </c>
      <c r="BN39" s="94">
        <f t="shared" si="23"/>
        <v>-3478.322914</v>
      </c>
      <c r="BO39" s="94">
        <f t="shared" si="23"/>
        <v>-3478.322914</v>
      </c>
      <c r="BP39" s="94">
        <f t="shared" si="23"/>
        <v>-3478.322914</v>
      </c>
      <c r="BQ39" s="94">
        <f t="shared" si="23"/>
        <v>-3478.322914</v>
      </c>
      <c r="BR39" s="94">
        <f t="shared" si="23"/>
        <v>-3478.322914</v>
      </c>
      <c r="BS39" s="94">
        <f t="shared" si="23"/>
        <v>-3478.322914</v>
      </c>
      <c r="BT39" s="94">
        <f t="shared" si="23"/>
        <v>-3478.322914</v>
      </c>
      <c r="BU39" s="94">
        <f t="shared" si="23"/>
        <v>-3478.322914</v>
      </c>
      <c r="BV39" s="94">
        <f t="shared" si="23"/>
        <v>-3478.322914</v>
      </c>
    </row>
    <row r="40" ht="15.75" customHeight="1">
      <c r="A40" s="82" t="s">
        <v>114</v>
      </c>
      <c r="B40" s="95"/>
      <c r="C40" s="90">
        <f>SUMIFS(MRR_Export_Churned_MRR,MRR_Export_Months,"&gt;="&amp;C$1,MRR_Export_Months,"&lt;"&amp;D$1)</f>
        <v>-1016</v>
      </c>
      <c r="D40" s="90">
        <f>SUMIFS(MRR_Export_Churned_MRR,MRR_Export_Months,"&gt;="&amp;D$1,MRR_Export_Months,"&lt;"&amp;E$1)</f>
        <v>-3045</v>
      </c>
      <c r="E40" s="90">
        <f>SUMIFS(MRR_Export_Churned_MRR,MRR_Export_Months,"&gt;="&amp;E$1,MRR_Export_Months,"&lt;"&amp;F$1)</f>
        <v>-4000</v>
      </c>
      <c r="F40" s="90">
        <f>SUMIFS(MRR_Export_Churned_MRR,MRR_Export_Months,"&gt;="&amp;F$1,MRR_Export_Months,"&lt;"&amp;G$1)</f>
        <v>-7821</v>
      </c>
      <c r="G40" s="90">
        <f>SUMIFS(MRR_Export_Churned_MRR,MRR_Export_Months,"&gt;="&amp;G$1,MRR_Export_Months,"&lt;"&amp;H$1)</f>
        <v>-1299</v>
      </c>
      <c r="H40" s="90">
        <f>SUMIFS(MRR_Export_Churned_MRR,MRR_Export_Months,"&gt;="&amp;H$1,MRR_Export_Months,"&lt;"&amp;I$1)</f>
        <v>-2598</v>
      </c>
      <c r="I40" s="90">
        <f>SUMIFS(MRR_Export_Churned_MRR,MRR_Export_Months,"&gt;="&amp;I$1,MRR_Export_Months,"&lt;"&amp;J$1)</f>
        <v>-7812</v>
      </c>
      <c r="J40" s="90">
        <f>SUMIFS(MRR_Export_Churned_MRR,MRR_Export_Months,"&gt;="&amp;J$1,MRR_Export_Months,"&lt;"&amp;K$1)</f>
        <v>-8364</v>
      </c>
      <c r="K40" s="90">
        <f>SUMIFS(MRR_Export_Churned_MRR,MRR_Export_Months,"&gt;="&amp;K$1,MRR_Export_Months,"&lt;"&amp;L$1)</f>
        <v>-8533</v>
      </c>
      <c r="L40" s="90">
        <f>SUMIFS(MRR_Export_Churned_MRR,MRR_Export_Months,"&gt;="&amp;L$1,MRR_Export_Months,"&lt;"&amp;M$1)</f>
        <v>-8825</v>
      </c>
      <c r="M40" s="90">
        <f>SUMIFS(MRR_Export_Churned_MRR,MRR_Export_Months,"&gt;="&amp;M$1,MRR_Export_Months,"&lt;"&amp;N$1)</f>
        <v>-8574</v>
      </c>
      <c r="N40" s="90">
        <f>SUMIFS(MRR_Export_Churned_MRR,MRR_Export_Months,"&gt;="&amp;N$1,MRR_Export_Months,"&lt;"&amp;O$1)</f>
        <v>-8644</v>
      </c>
      <c r="O40" s="90">
        <f>SUMIFS(MRR_Export_Churned_MRR,MRR_Export_Months,"&gt;="&amp;O$1,MRR_Export_Months,"&lt;"&amp;P$1)</f>
        <v>-8681</v>
      </c>
      <c r="P40" s="90">
        <f>SUMIFS(MRR_Export_Churned_MRR,MRR_Export_Months,"&gt;="&amp;P$1,MRR_Export_Months,"&lt;"&amp;Q$1)</f>
        <v>-8633</v>
      </c>
      <c r="Q40" s="90">
        <f>SUMIFS(MRR_Export_Churned_MRR,MRR_Export_Months,"&gt;="&amp;Q$1,MRR_Export_Months,"&lt;"&amp;R$1)</f>
        <v>-10383</v>
      </c>
      <c r="R40" s="90">
        <f>SUMIFS(MRR_Export_Churned_MRR,MRR_Export_Months,"&gt;="&amp;R$1,MRR_Export_Months,"&lt;"&amp;S$1)</f>
        <v>-2350</v>
      </c>
      <c r="S40" s="90">
        <f>SUMIFS(MRR_Export_Churned_MRR,MRR_Export_Months,"&gt;="&amp;S$1,MRR_Export_Months,"&lt;"&amp;T$1)</f>
        <v>-10374</v>
      </c>
      <c r="T40" s="90">
        <f>SUMIFS(MRR_Export_Churned_MRR,MRR_Export_Months,"&gt;="&amp;T$1,MRR_Export_Months,"&lt;"&amp;U$1)</f>
        <v>-12109</v>
      </c>
      <c r="U40" s="90">
        <f>SUMIFS(MRR_Export_Churned_MRR,MRR_Export_Months,"&gt;="&amp;U$1,MRR_Export_Months,"&lt;"&amp;V$1)</f>
        <v>-15664.93191</v>
      </c>
      <c r="V40" s="90">
        <f>SUMIFS(MRR_Export_Churned_MRR,MRR_Export_Months,"&gt;="&amp;V$1,MRR_Export_Months,"&lt;"&amp;W$1)</f>
        <v>-14187.68578</v>
      </c>
      <c r="W40" s="90">
        <f>SUMIFS(MRR_Export_Churned_MRR,MRR_Export_Months,"&gt;="&amp;W$1,MRR_Export_Months,"&lt;"&amp;X$1)</f>
        <v>-15378.46331</v>
      </c>
      <c r="X40" s="90">
        <f>SUMIFS(MRR_Export_Churned_MRR,MRR_Export_Months,"&gt;="&amp;X$1,MRR_Export_Months,"&lt;"&amp;Y$1)</f>
        <v>-16660.46331</v>
      </c>
      <c r="Y40" s="90">
        <f>SUMIFS(MRR_Export_Churned_MRR,MRR_Export_Months,"&gt;="&amp;Y$1,MRR_Export_Months,"&lt;"&amp;Z$1)</f>
        <v>-15195.46331</v>
      </c>
      <c r="Z40" s="90">
        <f>SUMIFS(MRR_Export_Churned_MRR,MRR_Export_Months,"&gt;="&amp;Z$1,MRR_Export_Months,"&lt;"&amp;AA$1)</f>
        <v>-18807.46331</v>
      </c>
      <c r="AA40" s="90">
        <f>SUMIFS(MRR_Export_Churned_MRR,MRR_Export_Months,"&gt;="&amp;AA$1,MRR_Export_Months,"&lt;"&amp;AB$1)</f>
        <v>-19092.46331</v>
      </c>
      <c r="AB40" s="90">
        <f>SUMIFS(MRR_Export_Churned_MRR,MRR_Export_Months,"&gt;="&amp;AB$1,MRR_Export_Months,"&lt;"&amp;AC$1)</f>
        <v>-21654.46331</v>
      </c>
      <c r="AC40" s="90">
        <f>SUMIFS(MRR_Export_Churned_MRR,MRR_Export_Months,"&gt;="&amp;AC$1,MRR_Export_Months,"&lt;"&amp;AD$1)</f>
        <v>-34418</v>
      </c>
      <c r="AD40" s="90">
        <f>SUMIFS(MRR_Export_Churned_MRR,MRR_Export_Months,"&gt;="&amp;AD$1,MRR_Export_Months,"&lt;"&amp;AE$1)</f>
        <v>-38975</v>
      </c>
      <c r="AE40" s="96">
        <f t="shared" ref="AE40:BV40" si="24">AE37*AE39</f>
        <v>-60914.86315</v>
      </c>
      <c r="AF40" s="96">
        <f t="shared" si="24"/>
        <v>-51728.38737</v>
      </c>
      <c r="AG40" s="96">
        <f t="shared" si="24"/>
        <v>-40144.06436</v>
      </c>
      <c r="AH40" s="96">
        <f t="shared" si="24"/>
        <v>-32304.21367</v>
      </c>
      <c r="AI40" s="96">
        <f t="shared" si="24"/>
        <v>-23940.49749</v>
      </c>
      <c r="AJ40" s="96">
        <f t="shared" si="24"/>
        <v>-24276.30117</v>
      </c>
      <c r="AK40" s="96">
        <f t="shared" si="24"/>
        <v>-24834.06255</v>
      </c>
      <c r="AL40" s="96">
        <f t="shared" si="24"/>
        <v>-25252.44283</v>
      </c>
      <c r="AM40" s="96">
        <f t="shared" si="24"/>
        <v>-25730.50417</v>
      </c>
      <c r="AN40" s="96">
        <f t="shared" si="24"/>
        <v>-26231.04584</v>
      </c>
      <c r="AO40" s="96">
        <f t="shared" si="24"/>
        <v>-26736.84064</v>
      </c>
      <c r="AP40" s="96">
        <f t="shared" si="24"/>
        <v>-27246.15799</v>
      </c>
      <c r="AQ40" s="96">
        <f t="shared" si="24"/>
        <v>-27791.36296</v>
      </c>
      <c r="AR40" s="96">
        <f t="shared" si="24"/>
        <v>-28363.57082</v>
      </c>
      <c r="AS40" s="96">
        <f t="shared" si="24"/>
        <v>-28931.92912</v>
      </c>
      <c r="AT40" s="96">
        <f t="shared" si="24"/>
        <v>-29532.44014</v>
      </c>
      <c r="AU40" s="96">
        <f t="shared" si="24"/>
        <v>-30125.41772</v>
      </c>
      <c r="AV40" s="96">
        <f t="shared" si="24"/>
        <v>-30750.71017</v>
      </c>
      <c r="AW40" s="96">
        <f t="shared" si="24"/>
        <v>-31407.31364</v>
      </c>
      <c r="AX40" s="96">
        <f t="shared" si="24"/>
        <v>-32056.54717</v>
      </c>
      <c r="AY40" s="97">
        <f t="shared" si="24"/>
        <v>-32737.02451</v>
      </c>
      <c r="AZ40" s="97">
        <f t="shared" si="24"/>
        <v>-33371.72175</v>
      </c>
      <c r="BA40" s="97">
        <f t="shared" si="24"/>
        <v>-34037.67918</v>
      </c>
      <c r="BB40" s="97">
        <f t="shared" si="24"/>
        <v>-34696.33566</v>
      </c>
      <c r="BC40" s="97">
        <f t="shared" si="24"/>
        <v>-35347.73706</v>
      </c>
      <c r="BD40" s="97">
        <f t="shared" si="24"/>
        <v>-35991.97134</v>
      </c>
      <c r="BE40" s="97">
        <f t="shared" si="24"/>
        <v>-36667.38508</v>
      </c>
      <c r="BF40" s="97">
        <f t="shared" si="24"/>
        <v>-37335.36683</v>
      </c>
      <c r="BG40" s="97">
        <f t="shared" si="24"/>
        <v>-38034.26245</v>
      </c>
      <c r="BH40" s="97">
        <f t="shared" si="24"/>
        <v>-38725.47097</v>
      </c>
      <c r="BI40" s="97">
        <f t="shared" si="24"/>
        <v>-39409.07565</v>
      </c>
      <c r="BJ40" s="97">
        <f t="shared" si="24"/>
        <v>-40123.42235</v>
      </c>
      <c r="BK40" s="97">
        <f t="shared" si="24"/>
        <v>-40829.91134</v>
      </c>
      <c r="BL40" s="97">
        <f t="shared" si="24"/>
        <v>-41528.62884</v>
      </c>
      <c r="BM40" s="97">
        <f t="shared" si="24"/>
        <v>-42257.92203</v>
      </c>
      <c r="BN40" s="97">
        <f t="shared" si="24"/>
        <v>-42979.19302</v>
      </c>
      <c r="BO40" s="97">
        <f t="shared" si="24"/>
        <v>-43730.79155</v>
      </c>
      <c r="BP40" s="97">
        <f t="shared" si="24"/>
        <v>-44474.12251</v>
      </c>
      <c r="BQ40" s="97">
        <f t="shared" si="24"/>
        <v>-45209.27683</v>
      </c>
      <c r="BR40" s="97">
        <f t="shared" si="24"/>
        <v>-45974.606</v>
      </c>
      <c r="BS40" s="97">
        <f t="shared" si="24"/>
        <v>-46731.51655</v>
      </c>
      <c r="BT40" s="97">
        <f t="shared" si="24"/>
        <v>-47518.36264</v>
      </c>
      <c r="BU40" s="97">
        <f t="shared" si="24"/>
        <v>-48296.55342</v>
      </c>
      <c r="BV40" s="97">
        <f t="shared" si="24"/>
        <v>-49104.44566</v>
      </c>
    </row>
    <row r="41" ht="15.75" customHeight="1">
      <c r="A41" s="87"/>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row>
    <row r="42" ht="15.75" customHeight="1">
      <c r="A42" s="87" t="s">
        <v>102</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row>
    <row r="43" ht="15.75" hidden="1" customHeight="1">
      <c r="A43" s="82" t="s">
        <v>115</v>
      </c>
      <c r="B43" s="107"/>
      <c r="C43" s="108">
        <v>0.0</v>
      </c>
      <c r="D43" s="108">
        <v>0.0</v>
      </c>
      <c r="E43" s="108">
        <v>0.0</v>
      </c>
      <c r="F43" s="108">
        <v>0.0</v>
      </c>
      <c r="G43" s="108">
        <v>0.0</v>
      </c>
      <c r="H43" s="108">
        <v>0.0</v>
      </c>
      <c r="I43" s="108">
        <v>0.0</v>
      </c>
      <c r="J43" s="108">
        <v>0.0</v>
      </c>
      <c r="K43" s="108">
        <v>0.0</v>
      </c>
      <c r="L43" s="108">
        <v>0.0</v>
      </c>
      <c r="M43" s="108">
        <v>0.0</v>
      </c>
      <c r="N43" s="108">
        <v>0.0</v>
      </c>
      <c r="O43" s="108">
        <v>0.0</v>
      </c>
      <c r="P43" s="108">
        <v>0.0</v>
      </c>
      <c r="Q43" s="108">
        <v>0.0</v>
      </c>
      <c r="R43" s="108">
        <v>0.0</v>
      </c>
      <c r="S43" s="108">
        <v>0.0</v>
      </c>
      <c r="T43" s="108">
        <v>0.0</v>
      </c>
      <c r="U43" s="108">
        <v>0.0</v>
      </c>
      <c r="V43" s="108">
        <v>0.0</v>
      </c>
      <c r="W43" s="108">
        <v>0.0</v>
      </c>
      <c r="X43" s="108">
        <v>0.0</v>
      </c>
      <c r="Y43" s="108">
        <v>0.0</v>
      </c>
      <c r="Z43" s="108">
        <v>0.0</v>
      </c>
      <c r="AA43" s="108">
        <v>0.0</v>
      </c>
      <c r="AB43" s="108">
        <v>0.0</v>
      </c>
      <c r="AC43" s="108">
        <v>0.0</v>
      </c>
      <c r="AD43" s="108">
        <v>0.0</v>
      </c>
      <c r="AE43" s="104">
        <f t="shared" ref="AE43:BV43" si="25">S43-S45+S12</f>
        <v>0</v>
      </c>
      <c r="AF43" s="104">
        <f t="shared" si="25"/>
        <v>0</v>
      </c>
      <c r="AG43" s="104">
        <f t="shared" si="25"/>
        <v>0</v>
      </c>
      <c r="AH43" s="104">
        <f t="shared" si="25"/>
        <v>0</v>
      </c>
      <c r="AI43" s="104">
        <f t="shared" si="25"/>
        <v>0</v>
      </c>
      <c r="AJ43" s="104">
        <f t="shared" si="25"/>
        <v>0</v>
      </c>
      <c r="AK43" s="104">
        <f t="shared" si="25"/>
        <v>0</v>
      </c>
      <c r="AL43" s="104">
        <f t="shared" si="25"/>
        <v>0</v>
      </c>
      <c r="AM43" s="104">
        <f t="shared" si="25"/>
        <v>0</v>
      </c>
      <c r="AN43" s="104">
        <f t="shared" si="25"/>
        <v>0</v>
      </c>
      <c r="AO43" s="104">
        <f t="shared" si="25"/>
        <v>0</v>
      </c>
      <c r="AP43" s="104">
        <f t="shared" si="25"/>
        <v>0</v>
      </c>
      <c r="AQ43" s="104">
        <f t="shared" si="25"/>
        <v>0</v>
      </c>
      <c r="AR43" s="104">
        <f t="shared" si="25"/>
        <v>0</v>
      </c>
      <c r="AS43" s="104">
        <f t="shared" si="25"/>
        <v>0</v>
      </c>
      <c r="AT43" s="104">
        <f t="shared" si="25"/>
        <v>0</v>
      </c>
      <c r="AU43" s="104">
        <f t="shared" si="25"/>
        <v>0</v>
      </c>
      <c r="AV43" s="104">
        <f t="shared" si="25"/>
        <v>0</v>
      </c>
      <c r="AW43" s="104">
        <f t="shared" si="25"/>
        <v>0</v>
      </c>
      <c r="AX43" s="104">
        <f t="shared" si="25"/>
        <v>0</v>
      </c>
      <c r="AY43" s="105">
        <f t="shared" si="25"/>
        <v>0</v>
      </c>
      <c r="AZ43" s="105">
        <f t="shared" si="25"/>
        <v>0</v>
      </c>
      <c r="BA43" s="105">
        <f t="shared" si="25"/>
        <v>0</v>
      </c>
      <c r="BB43" s="105">
        <f t="shared" si="25"/>
        <v>0</v>
      </c>
      <c r="BC43" s="105">
        <f t="shared" si="25"/>
        <v>0</v>
      </c>
      <c r="BD43" s="105">
        <f t="shared" si="25"/>
        <v>0</v>
      </c>
      <c r="BE43" s="105">
        <f t="shared" si="25"/>
        <v>0</v>
      </c>
      <c r="BF43" s="105">
        <f t="shared" si="25"/>
        <v>0</v>
      </c>
      <c r="BG43" s="105">
        <f t="shared" si="25"/>
        <v>0</v>
      </c>
      <c r="BH43" s="105">
        <f t="shared" si="25"/>
        <v>0</v>
      </c>
      <c r="BI43" s="105">
        <f t="shared" si="25"/>
        <v>0</v>
      </c>
      <c r="BJ43" s="105">
        <f t="shared" si="25"/>
        <v>0</v>
      </c>
      <c r="BK43" s="105">
        <f t="shared" si="25"/>
        <v>0</v>
      </c>
      <c r="BL43" s="105">
        <f t="shared" si="25"/>
        <v>0</v>
      </c>
      <c r="BM43" s="105">
        <f t="shared" si="25"/>
        <v>0</v>
      </c>
      <c r="BN43" s="105">
        <f t="shared" si="25"/>
        <v>0</v>
      </c>
      <c r="BO43" s="105">
        <f t="shared" si="25"/>
        <v>0</v>
      </c>
      <c r="BP43" s="105">
        <f t="shared" si="25"/>
        <v>0</v>
      </c>
      <c r="BQ43" s="105">
        <f t="shared" si="25"/>
        <v>0</v>
      </c>
      <c r="BR43" s="105">
        <f t="shared" si="25"/>
        <v>0</v>
      </c>
      <c r="BS43" s="105">
        <f t="shared" si="25"/>
        <v>0</v>
      </c>
      <c r="BT43" s="105">
        <f t="shared" si="25"/>
        <v>0</v>
      </c>
      <c r="BU43" s="105">
        <f t="shared" si="25"/>
        <v>0</v>
      </c>
      <c r="BV43" s="105">
        <f t="shared" si="25"/>
        <v>0</v>
      </c>
    </row>
    <row r="44" ht="15.75" hidden="1" customHeight="1">
      <c r="A44" s="82" t="s">
        <v>116</v>
      </c>
      <c r="B44" s="1"/>
      <c r="C44" s="109">
        <f t="shared" ref="C44:AD44" si="26">IFERROR(C45/C43,0)</f>
        <v>0</v>
      </c>
      <c r="D44" s="109">
        <f t="shared" si="26"/>
        <v>0</v>
      </c>
      <c r="E44" s="109">
        <f t="shared" si="26"/>
        <v>0</v>
      </c>
      <c r="F44" s="109">
        <f t="shared" si="26"/>
        <v>0</v>
      </c>
      <c r="G44" s="109">
        <f t="shared" si="26"/>
        <v>0</v>
      </c>
      <c r="H44" s="109">
        <f t="shared" si="26"/>
        <v>0</v>
      </c>
      <c r="I44" s="109">
        <f t="shared" si="26"/>
        <v>0</v>
      </c>
      <c r="J44" s="109">
        <f t="shared" si="26"/>
        <v>0</v>
      </c>
      <c r="K44" s="109">
        <f t="shared" si="26"/>
        <v>0</v>
      </c>
      <c r="L44" s="109">
        <f t="shared" si="26"/>
        <v>0</v>
      </c>
      <c r="M44" s="109">
        <f t="shared" si="26"/>
        <v>0</v>
      </c>
      <c r="N44" s="109">
        <f t="shared" si="26"/>
        <v>0</v>
      </c>
      <c r="O44" s="109">
        <f t="shared" si="26"/>
        <v>0</v>
      </c>
      <c r="P44" s="109">
        <f t="shared" si="26"/>
        <v>0</v>
      </c>
      <c r="Q44" s="109">
        <f t="shared" si="26"/>
        <v>0</v>
      </c>
      <c r="R44" s="109">
        <f t="shared" si="26"/>
        <v>0</v>
      </c>
      <c r="S44" s="109">
        <f t="shared" si="26"/>
        <v>0</v>
      </c>
      <c r="T44" s="109">
        <f t="shared" si="26"/>
        <v>0</v>
      </c>
      <c r="U44" s="109">
        <f t="shared" si="26"/>
        <v>0</v>
      </c>
      <c r="V44" s="109">
        <f t="shared" si="26"/>
        <v>0</v>
      </c>
      <c r="W44" s="109">
        <f t="shared" si="26"/>
        <v>0</v>
      </c>
      <c r="X44" s="109">
        <f t="shared" si="26"/>
        <v>0</v>
      </c>
      <c r="Y44" s="109">
        <f t="shared" si="26"/>
        <v>0</v>
      </c>
      <c r="Z44" s="109">
        <f t="shared" si="26"/>
        <v>0</v>
      </c>
      <c r="AA44" s="109">
        <f t="shared" si="26"/>
        <v>0</v>
      </c>
      <c r="AB44" s="109">
        <f t="shared" si="26"/>
        <v>0</v>
      </c>
      <c r="AC44" s="109">
        <f t="shared" si="26"/>
        <v>0</v>
      </c>
      <c r="AD44" s="109">
        <f t="shared" si="26"/>
        <v>0</v>
      </c>
      <c r="AE44" s="102">
        <f t="shared" ref="AE44:BV44" si="27">IFERROR(MEDIAN(AB44:AD44),0)</f>
        <v>0</v>
      </c>
      <c r="AF44" s="102">
        <f t="shared" si="27"/>
        <v>0</v>
      </c>
      <c r="AG44" s="102">
        <f t="shared" si="27"/>
        <v>0</v>
      </c>
      <c r="AH44" s="102">
        <f t="shared" si="27"/>
        <v>0</v>
      </c>
      <c r="AI44" s="102">
        <f t="shared" si="27"/>
        <v>0</v>
      </c>
      <c r="AJ44" s="102">
        <f t="shared" si="27"/>
        <v>0</v>
      </c>
      <c r="AK44" s="102">
        <f t="shared" si="27"/>
        <v>0</v>
      </c>
      <c r="AL44" s="102">
        <f t="shared" si="27"/>
        <v>0</v>
      </c>
      <c r="AM44" s="102">
        <f t="shared" si="27"/>
        <v>0</v>
      </c>
      <c r="AN44" s="102">
        <f t="shared" si="27"/>
        <v>0</v>
      </c>
      <c r="AO44" s="102">
        <f t="shared" si="27"/>
        <v>0</v>
      </c>
      <c r="AP44" s="102">
        <f t="shared" si="27"/>
        <v>0</v>
      </c>
      <c r="AQ44" s="102">
        <f t="shared" si="27"/>
        <v>0</v>
      </c>
      <c r="AR44" s="102">
        <f t="shared" si="27"/>
        <v>0</v>
      </c>
      <c r="AS44" s="102">
        <f t="shared" si="27"/>
        <v>0</v>
      </c>
      <c r="AT44" s="102">
        <f t="shared" si="27"/>
        <v>0</v>
      </c>
      <c r="AU44" s="102">
        <f t="shared" si="27"/>
        <v>0</v>
      </c>
      <c r="AV44" s="102">
        <f t="shared" si="27"/>
        <v>0</v>
      </c>
      <c r="AW44" s="102">
        <f t="shared" si="27"/>
        <v>0</v>
      </c>
      <c r="AX44" s="102">
        <f t="shared" si="27"/>
        <v>0</v>
      </c>
      <c r="AY44" s="103">
        <f t="shared" si="27"/>
        <v>0</v>
      </c>
      <c r="AZ44" s="103">
        <f t="shared" si="27"/>
        <v>0</v>
      </c>
      <c r="BA44" s="103">
        <f t="shared" si="27"/>
        <v>0</v>
      </c>
      <c r="BB44" s="103">
        <f t="shared" si="27"/>
        <v>0</v>
      </c>
      <c r="BC44" s="103">
        <f t="shared" si="27"/>
        <v>0</v>
      </c>
      <c r="BD44" s="103">
        <f t="shared" si="27"/>
        <v>0</v>
      </c>
      <c r="BE44" s="103">
        <f t="shared" si="27"/>
        <v>0</v>
      </c>
      <c r="BF44" s="103">
        <f t="shared" si="27"/>
        <v>0</v>
      </c>
      <c r="BG44" s="103">
        <f t="shared" si="27"/>
        <v>0</v>
      </c>
      <c r="BH44" s="103">
        <f t="shared" si="27"/>
        <v>0</v>
      </c>
      <c r="BI44" s="103">
        <f t="shared" si="27"/>
        <v>0</v>
      </c>
      <c r="BJ44" s="103">
        <f t="shared" si="27"/>
        <v>0</v>
      </c>
      <c r="BK44" s="103">
        <f t="shared" si="27"/>
        <v>0</v>
      </c>
      <c r="BL44" s="103">
        <f t="shared" si="27"/>
        <v>0</v>
      </c>
      <c r="BM44" s="103">
        <f t="shared" si="27"/>
        <v>0</v>
      </c>
      <c r="BN44" s="103">
        <f t="shared" si="27"/>
        <v>0</v>
      </c>
      <c r="BO44" s="103">
        <f t="shared" si="27"/>
        <v>0</v>
      </c>
      <c r="BP44" s="103">
        <f t="shared" si="27"/>
        <v>0</v>
      </c>
      <c r="BQ44" s="103">
        <f t="shared" si="27"/>
        <v>0</v>
      </c>
      <c r="BR44" s="103">
        <f t="shared" si="27"/>
        <v>0</v>
      </c>
      <c r="BS44" s="103">
        <f t="shared" si="27"/>
        <v>0</v>
      </c>
      <c r="BT44" s="103">
        <f t="shared" si="27"/>
        <v>0</v>
      </c>
      <c r="BU44" s="103">
        <f t="shared" si="27"/>
        <v>0</v>
      </c>
      <c r="BV44" s="103">
        <f t="shared" si="27"/>
        <v>0</v>
      </c>
    </row>
    <row r="45" ht="15.75" customHeight="1">
      <c r="A45" s="82" t="s">
        <v>112</v>
      </c>
      <c r="B45" s="107"/>
      <c r="C45" s="96"/>
      <c r="D45" s="96"/>
      <c r="E45" s="96"/>
      <c r="F45" s="96"/>
      <c r="G45" s="96"/>
      <c r="H45" s="96"/>
      <c r="I45" s="96"/>
      <c r="J45" s="96"/>
      <c r="K45" s="96"/>
      <c r="L45" s="96"/>
      <c r="M45" s="96"/>
      <c r="N45" s="96"/>
      <c r="O45" s="96"/>
      <c r="P45" s="96"/>
      <c r="Q45" s="96"/>
      <c r="R45" s="96"/>
      <c r="S45" s="96"/>
      <c r="T45" s="96"/>
      <c r="U45" s="96"/>
      <c r="V45" s="96"/>
      <c r="W45" s="96"/>
      <c r="X45" s="96"/>
      <c r="Y45" s="96"/>
      <c r="Z45" s="96"/>
      <c r="AA45" s="96"/>
      <c r="AB45" s="96"/>
      <c r="AC45" s="96"/>
      <c r="AD45" s="96"/>
      <c r="AE45" s="96">
        <f t="shared" ref="AE45:BV45" si="28">AD$65*AE46</f>
        <v>0</v>
      </c>
      <c r="AF45" s="96">
        <f t="shared" si="28"/>
        <v>0</v>
      </c>
      <c r="AG45" s="96">
        <f t="shared" si="28"/>
        <v>0</v>
      </c>
      <c r="AH45" s="96">
        <f t="shared" si="28"/>
        <v>0</v>
      </c>
      <c r="AI45" s="96">
        <f t="shared" si="28"/>
        <v>0</v>
      </c>
      <c r="AJ45" s="96">
        <f t="shared" si="28"/>
        <v>0</v>
      </c>
      <c r="AK45" s="96">
        <f t="shared" si="28"/>
        <v>0</v>
      </c>
      <c r="AL45" s="96">
        <f t="shared" si="28"/>
        <v>0</v>
      </c>
      <c r="AM45" s="96">
        <f t="shared" si="28"/>
        <v>0</v>
      </c>
      <c r="AN45" s="96">
        <f t="shared" si="28"/>
        <v>0</v>
      </c>
      <c r="AO45" s="96">
        <f t="shared" si="28"/>
        <v>0</v>
      </c>
      <c r="AP45" s="96">
        <f t="shared" si="28"/>
        <v>0</v>
      </c>
      <c r="AQ45" s="96">
        <f t="shared" si="28"/>
        <v>0</v>
      </c>
      <c r="AR45" s="96">
        <f t="shared" si="28"/>
        <v>0</v>
      </c>
      <c r="AS45" s="96">
        <f t="shared" si="28"/>
        <v>0</v>
      </c>
      <c r="AT45" s="96">
        <f t="shared" si="28"/>
        <v>0</v>
      </c>
      <c r="AU45" s="96">
        <f t="shared" si="28"/>
        <v>0</v>
      </c>
      <c r="AV45" s="96">
        <f t="shared" si="28"/>
        <v>0</v>
      </c>
      <c r="AW45" s="96">
        <f t="shared" si="28"/>
        <v>0</v>
      </c>
      <c r="AX45" s="96">
        <f t="shared" si="28"/>
        <v>0</v>
      </c>
      <c r="AY45" s="97">
        <f t="shared" si="28"/>
        <v>0</v>
      </c>
      <c r="AZ45" s="97">
        <f t="shared" si="28"/>
        <v>0</v>
      </c>
      <c r="BA45" s="97">
        <f t="shared" si="28"/>
        <v>0</v>
      </c>
      <c r="BB45" s="97">
        <f t="shared" si="28"/>
        <v>0</v>
      </c>
      <c r="BC45" s="97">
        <f t="shared" si="28"/>
        <v>0</v>
      </c>
      <c r="BD45" s="97">
        <f t="shared" si="28"/>
        <v>0</v>
      </c>
      <c r="BE45" s="97">
        <f t="shared" si="28"/>
        <v>0</v>
      </c>
      <c r="BF45" s="97">
        <f t="shared" si="28"/>
        <v>0</v>
      </c>
      <c r="BG45" s="97">
        <f t="shared" si="28"/>
        <v>0</v>
      </c>
      <c r="BH45" s="97">
        <f t="shared" si="28"/>
        <v>0</v>
      </c>
      <c r="BI45" s="97">
        <f t="shared" si="28"/>
        <v>0</v>
      </c>
      <c r="BJ45" s="97">
        <f t="shared" si="28"/>
        <v>0</v>
      </c>
      <c r="BK45" s="97">
        <f t="shared" si="28"/>
        <v>0</v>
      </c>
      <c r="BL45" s="97">
        <f t="shared" si="28"/>
        <v>0</v>
      </c>
      <c r="BM45" s="97">
        <f t="shared" si="28"/>
        <v>0</v>
      </c>
      <c r="BN45" s="97">
        <f t="shared" si="28"/>
        <v>0</v>
      </c>
      <c r="BO45" s="97">
        <f t="shared" si="28"/>
        <v>0</v>
      </c>
      <c r="BP45" s="97">
        <f t="shared" si="28"/>
        <v>0</v>
      </c>
      <c r="BQ45" s="97">
        <f t="shared" si="28"/>
        <v>0</v>
      </c>
      <c r="BR45" s="97">
        <f t="shared" si="28"/>
        <v>0</v>
      </c>
      <c r="BS45" s="97">
        <f t="shared" si="28"/>
        <v>0</v>
      </c>
      <c r="BT45" s="97">
        <f t="shared" si="28"/>
        <v>0</v>
      </c>
      <c r="BU45" s="97">
        <f t="shared" si="28"/>
        <v>0</v>
      </c>
      <c r="BV45" s="97">
        <f t="shared" si="28"/>
        <v>0</v>
      </c>
    </row>
    <row r="46" ht="15.75" customHeight="1">
      <c r="A46" s="82" t="s">
        <v>117</v>
      </c>
      <c r="B46" s="1"/>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110">
        <f t="shared" ref="AE46:BV46" si="29">IFERROR(MEDIAN(AB46:AD46),0)</f>
        <v>0</v>
      </c>
      <c r="AF46" s="110">
        <f t="shared" si="29"/>
        <v>0</v>
      </c>
      <c r="AG46" s="110">
        <f t="shared" si="29"/>
        <v>0</v>
      </c>
      <c r="AH46" s="110">
        <f t="shared" si="29"/>
        <v>0</v>
      </c>
      <c r="AI46" s="110">
        <f t="shared" si="29"/>
        <v>0</v>
      </c>
      <c r="AJ46" s="110">
        <f t="shared" si="29"/>
        <v>0</v>
      </c>
      <c r="AK46" s="110">
        <f t="shared" si="29"/>
        <v>0</v>
      </c>
      <c r="AL46" s="110">
        <f t="shared" si="29"/>
        <v>0</v>
      </c>
      <c r="AM46" s="110">
        <f t="shared" si="29"/>
        <v>0</v>
      </c>
      <c r="AN46" s="110">
        <f t="shared" si="29"/>
        <v>0</v>
      </c>
      <c r="AO46" s="110">
        <f t="shared" si="29"/>
        <v>0</v>
      </c>
      <c r="AP46" s="110">
        <f t="shared" si="29"/>
        <v>0</v>
      </c>
      <c r="AQ46" s="110">
        <f t="shared" si="29"/>
        <v>0</v>
      </c>
      <c r="AR46" s="110">
        <f t="shared" si="29"/>
        <v>0</v>
      </c>
      <c r="AS46" s="110">
        <f t="shared" si="29"/>
        <v>0</v>
      </c>
      <c r="AT46" s="110">
        <f t="shared" si="29"/>
        <v>0</v>
      </c>
      <c r="AU46" s="110">
        <f t="shared" si="29"/>
        <v>0</v>
      </c>
      <c r="AV46" s="110">
        <f t="shared" si="29"/>
        <v>0</v>
      </c>
      <c r="AW46" s="110">
        <f t="shared" si="29"/>
        <v>0</v>
      </c>
      <c r="AX46" s="110">
        <f t="shared" si="29"/>
        <v>0</v>
      </c>
      <c r="AY46" s="111">
        <f t="shared" si="29"/>
        <v>0</v>
      </c>
      <c r="AZ46" s="111">
        <f t="shared" si="29"/>
        <v>0</v>
      </c>
      <c r="BA46" s="111">
        <f t="shared" si="29"/>
        <v>0</v>
      </c>
      <c r="BB46" s="111">
        <f t="shared" si="29"/>
        <v>0</v>
      </c>
      <c r="BC46" s="111">
        <f t="shared" si="29"/>
        <v>0</v>
      </c>
      <c r="BD46" s="111">
        <f t="shared" si="29"/>
        <v>0</v>
      </c>
      <c r="BE46" s="111">
        <f t="shared" si="29"/>
        <v>0</v>
      </c>
      <c r="BF46" s="111">
        <f t="shared" si="29"/>
        <v>0</v>
      </c>
      <c r="BG46" s="111">
        <f t="shared" si="29"/>
        <v>0</v>
      </c>
      <c r="BH46" s="111">
        <f t="shared" si="29"/>
        <v>0</v>
      </c>
      <c r="BI46" s="111">
        <f t="shared" si="29"/>
        <v>0</v>
      </c>
      <c r="BJ46" s="111">
        <f t="shared" si="29"/>
        <v>0</v>
      </c>
      <c r="BK46" s="111">
        <f t="shared" si="29"/>
        <v>0</v>
      </c>
      <c r="BL46" s="111">
        <f t="shared" si="29"/>
        <v>0</v>
      </c>
      <c r="BM46" s="111">
        <f t="shared" si="29"/>
        <v>0</v>
      </c>
      <c r="BN46" s="111">
        <f t="shared" si="29"/>
        <v>0</v>
      </c>
      <c r="BO46" s="111">
        <f t="shared" si="29"/>
        <v>0</v>
      </c>
      <c r="BP46" s="111">
        <f t="shared" si="29"/>
        <v>0</v>
      </c>
      <c r="BQ46" s="111">
        <f t="shared" si="29"/>
        <v>0</v>
      </c>
      <c r="BR46" s="111">
        <f t="shared" si="29"/>
        <v>0</v>
      </c>
      <c r="BS46" s="111">
        <f t="shared" si="29"/>
        <v>0</v>
      </c>
      <c r="BT46" s="111">
        <f t="shared" si="29"/>
        <v>0</v>
      </c>
      <c r="BU46" s="111">
        <f t="shared" si="29"/>
        <v>0</v>
      </c>
      <c r="BV46" s="111">
        <f t="shared" si="29"/>
        <v>0</v>
      </c>
    </row>
    <row r="47" ht="15.75" customHeight="1">
      <c r="A47" s="82" t="s">
        <v>100</v>
      </c>
      <c r="B47" s="1"/>
      <c r="C47" s="96"/>
      <c r="D47" s="96"/>
      <c r="E47" s="96"/>
      <c r="F47" s="96"/>
      <c r="G47" s="96"/>
      <c r="H47" s="96"/>
      <c r="I47" s="96"/>
      <c r="J47" s="96"/>
      <c r="K47" s="96"/>
      <c r="L47" s="96"/>
      <c r="M47" s="96"/>
      <c r="N47" s="96"/>
      <c r="O47" s="96"/>
      <c r="P47" s="96"/>
      <c r="Q47" s="96"/>
      <c r="R47" s="96"/>
      <c r="S47" s="96"/>
      <c r="T47" s="96"/>
      <c r="U47" s="96"/>
      <c r="V47" s="96"/>
      <c r="W47" s="96"/>
      <c r="X47" s="96"/>
      <c r="Y47" s="96"/>
      <c r="Z47" s="96"/>
      <c r="AA47" s="96"/>
      <c r="AB47" s="96"/>
      <c r="AC47" s="96"/>
      <c r="AD47" s="96"/>
      <c r="AE47" s="76">
        <f t="shared" ref="AE47:BV47" si="30">IFERROR(IF(AE46&gt;0,SUM(AB48:AD48)/SUM(AB45:AD45),0),0)</f>
        <v>0</v>
      </c>
      <c r="AF47" s="76">
        <f t="shared" si="30"/>
        <v>0</v>
      </c>
      <c r="AG47" s="76">
        <f t="shared" si="30"/>
        <v>0</v>
      </c>
      <c r="AH47" s="76">
        <f t="shared" si="30"/>
        <v>0</v>
      </c>
      <c r="AI47" s="76">
        <f t="shared" si="30"/>
        <v>0</v>
      </c>
      <c r="AJ47" s="76">
        <f t="shared" si="30"/>
        <v>0</v>
      </c>
      <c r="AK47" s="76">
        <f t="shared" si="30"/>
        <v>0</v>
      </c>
      <c r="AL47" s="76">
        <f t="shared" si="30"/>
        <v>0</v>
      </c>
      <c r="AM47" s="76">
        <f t="shared" si="30"/>
        <v>0</v>
      </c>
      <c r="AN47" s="76">
        <f t="shared" si="30"/>
        <v>0</v>
      </c>
      <c r="AO47" s="76">
        <f t="shared" si="30"/>
        <v>0</v>
      </c>
      <c r="AP47" s="76">
        <f t="shared" si="30"/>
        <v>0</v>
      </c>
      <c r="AQ47" s="76">
        <f t="shared" si="30"/>
        <v>0</v>
      </c>
      <c r="AR47" s="76">
        <f t="shared" si="30"/>
        <v>0</v>
      </c>
      <c r="AS47" s="76">
        <f t="shared" si="30"/>
        <v>0</v>
      </c>
      <c r="AT47" s="76">
        <f t="shared" si="30"/>
        <v>0</v>
      </c>
      <c r="AU47" s="76">
        <f t="shared" si="30"/>
        <v>0</v>
      </c>
      <c r="AV47" s="76">
        <f t="shared" si="30"/>
        <v>0</v>
      </c>
      <c r="AW47" s="76">
        <f t="shared" si="30"/>
        <v>0</v>
      </c>
      <c r="AX47" s="76">
        <f t="shared" si="30"/>
        <v>0</v>
      </c>
      <c r="AY47" s="94">
        <f t="shared" si="30"/>
        <v>0</v>
      </c>
      <c r="AZ47" s="94">
        <f t="shared" si="30"/>
        <v>0</v>
      </c>
      <c r="BA47" s="94">
        <f t="shared" si="30"/>
        <v>0</v>
      </c>
      <c r="BB47" s="94">
        <f t="shared" si="30"/>
        <v>0</v>
      </c>
      <c r="BC47" s="94">
        <f t="shared" si="30"/>
        <v>0</v>
      </c>
      <c r="BD47" s="94">
        <f t="shared" si="30"/>
        <v>0</v>
      </c>
      <c r="BE47" s="94">
        <f t="shared" si="30"/>
        <v>0</v>
      </c>
      <c r="BF47" s="94">
        <f t="shared" si="30"/>
        <v>0</v>
      </c>
      <c r="BG47" s="94">
        <f t="shared" si="30"/>
        <v>0</v>
      </c>
      <c r="BH47" s="94">
        <f t="shared" si="30"/>
        <v>0</v>
      </c>
      <c r="BI47" s="94">
        <f t="shared" si="30"/>
        <v>0</v>
      </c>
      <c r="BJ47" s="94">
        <f t="shared" si="30"/>
        <v>0</v>
      </c>
      <c r="BK47" s="94">
        <f t="shared" si="30"/>
        <v>0</v>
      </c>
      <c r="BL47" s="94">
        <f t="shared" si="30"/>
        <v>0</v>
      </c>
      <c r="BM47" s="94">
        <f t="shared" si="30"/>
        <v>0</v>
      </c>
      <c r="BN47" s="94">
        <f t="shared" si="30"/>
        <v>0</v>
      </c>
      <c r="BO47" s="94">
        <f t="shared" si="30"/>
        <v>0</v>
      </c>
      <c r="BP47" s="94">
        <f t="shared" si="30"/>
        <v>0</v>
      </c>
      <c r="BQ47" s="94">
        <f t="shared" si="30"/>
        <v>0</v>
      </c>
      <c r="BR47" s="94">
        <f t="shared" si="30"/>
        <v>0</v>
      </c>
      <c r="BS47" s="94">
        <f t="shared" si="30"/>
        <v>0</v>
      </c>
      <c r="BT47" s="94">
        <f t="shared" si="30"/>
        <v>0</v>
      </c>
      <c r="BU47" s="94">
        <f t="shared" si="30"/>
        <v>0</v>
      </c>
      <c r="BV47" s="94">
        <f t="shared" si="30"/>
        <v>0</v>
      </c>
    </row>
    <row r="48" ht="15.75" customHeight="1">
      <c r="A48" s="82" t="s">
        <v>114</v>
      </c>
      <c r="B48" s="1"/>
      <c r="C48" s="96"/>
      <c r="D48" s="96"/>
      <c r="E48" s="96"/>
      <c r="F48" s="96"/>
      <c r="G48" s="96"/>
      <c r="H48" s="96"/>
      <c r="I48" s="96"/>
      <c r="J48" s="96"/>
      <c r="K48" s="96"/>
      <c r="L48" s="96"/>
      <c r="M48" s="96"/>
      <c r="N48" s="96"/>
      <c r="O48" s="96"/>
      <c r="P48" s="96"/>
      <c r="Q48" s="96"/>
      <c r="R48" s="96"/>
      <c r="S48" s="96"/>
      <c r="T48" s="96"/>
      <c r="U48" s="96"/>
      <c r="V48" s="96"/>
      <c r="W48" s="96"/>
      <c r="X48" s="96"/>
      <c r="Y48" s="96"/>
      <c r="Z48" s="96"/>
      <c r="AA48" s="96"/>
      <c r="AB48" s="96"/>
      <c r="AC48" s="96"/>
      <c r="AD48" s="96"/>
      <c r="AE48" s="96">
        <f t="shared" ref="AE48:BV48" si="31">AE45*AE47</f>
        <v>0</v>
      </c>
      <c r="AF48" s="96">
        <f t="shared" si="31"/>
        <v>0</v>
      </c>
      <c r="AG48" s="96">
        <f t="shared" si="31"/>
        <v>0</v>
      </c>
      <c r="AH48" s="96">
        <f t="shared" si="31"/>
        <v>0</v>
      </c>
      <c r="AI48" s="96">
        <f t="shared" si="31"/>
        <v>0</v>
      </c>
      <c r="AJ48" s="96">
        <f t="shared" si="31"/>
        <v>0</v>
      </c>
      <c r="AK48" s="96">
        <f t="shared" si="31"/>
        <v>0</v>
      </c>
      <c r="AL48" s="96">
        <f t="shared" si="31"/>
        <v>0</v>
      </c>
      <c r="AM48" s="96">
        <f t="shared" si="31"/>
        <v>0</v>
      </c>
      <c r="AN48" s="96">
        <f t="shared" si="31"/>
        <v>0</v>
      </c>
      <c r="AO48" s="96">
        <f t="shared" si="31"/>
        <v>0</v>
      </c>
      <c r="AP48" s="96">
        <f t="shared" si="31"/>
        <v>0</v>
      </c>
      <c r="AQ48" s="96">
        <f t="shared" si="31"/>
        <v>0</v>
      </c>
      <c r="AR48" s="96">
        <f t="shared" si="31"/>
        <v>0</v>
      </c>
      <c r="AS48" s="96">
        <f t="shared" si="31"/>
        <v>0</v>
      </c>
      <c r="AT48" s="96">
        <f t="shared" si="31"/>
        <v>0</v>
      </c>
      <c r="AU48" s="96">
        <f t="shared" si="31"/>
        <v>0</v>
      </c>
      <c r="AV48" s="96">
        <f t="shared" si="31"/>
        <v>0</v>
      </c>
      <c r="AW48" s="96">
        <f t="shared" si="31"/>
        <v>0</v>
      </c>
      <c r="AX48" s="96">
        <f t="shared" si="31"/>
        <v>0</v>
      </c>
      <c r="AY48" s="97">
        <f t="shared" si="31"/>
        <v>0</v>
      </c>
      <c r="AZ48" s="97">
        <f t="shared" si="31"/>
        <v>0</v>
      </c>
      <c r="BA48" s="97">
        <f t="shared" si="31"/>
        <v>0</v>
      </c>
      <c r="BB48" s="97">
        <f t="shared" si="31"/>
        <v>0</v>
      </c>
      <c r="BC48" s="97">
        <f t="shared" si="31"/>
        <v>0</v>
      </c>
      <c r="BD48" s="97">
        <f t="shared" si="31"/>
        <v>0</v>
      </c>
      <c r="BE48" s="97">
        <f t="shared" si="31"/>
        <v>0</v>
      </c>
      <c r="BF48" s="97">
        <f t="shared" si="31"/>
        <v>0</v>
      </c>
      <c r="BG48" s="97">
        <f t="shared" si="31"/>
        <v>0</v>
      </c>
      <c r="BH48" s="97">
        <f t="shared" si="31"/>
        <v>0</v>
      </c>
      <c r="BI48" s="97">
        <f t="shared" si="31"/>
        <v>0</v>
      </c>
      <c r="BJ48" s="97">
        <f t="shared" si="31"/>
        <v>0</v>
      </c>
      <c r="BK48" s="97">
        <f t="shared" si="31"/>
        <v>0</v>
      </c>
      <c r="BL48" s="97">
        <f t="shared" si="31"/>
        <v>0</v>
      </c>
      <c r="BM48" s="97">
        <f t="shared" si="31"/>
        <v>0</v>
      </c>
      <c r="BN48" s="97">
        <f t="shared" si="31"/>
        <v>0</v>
      </c>
      <c r="BO48" s="97">
        <f t="shared" si="31"/>
        <v>0</v>
      </c>
      <c r="BP48" s="97">
        <f t="shared" si="31"/>
        <v>0</v>
      </c>
      <c r="BQ48" s="97">
        <f t="shared" si="31"/>
        <v>0</v>
      </c>
      <c r="BR48" s="97">
        <f t="shared" si="31"/>
        <v>0</v>
      </c>
      <c r="BS48" s="97">
        <f t="shared" si="31"/>
        <v>0</v>
      </c>
      <c r="BT48" s="97">
        <f t="shared" si="31"/>
        <v>0</v>
      </c>
      <c r="BU48" s="97">
        <f t="shared" si="31"/>
        <v>0</v>
      </c>
      <c r="BV48" s="97">
        <f t="shared" si="31"/>
        <v>0</v>
      </c>
    </row>
    <row r="49" ht="15.75" customHeight="1">
      <c r="A49" s="87"/>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row>
    <row r="50" ht="15.75" customHeight="1">
      <c r="A50" s="120" t="s">
        <v>118</v>
      </c>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row>
    <row r="51" ht="15.75" hidden="1" customHeight="1">
      <c r="A51" s="87" t="s">
        <v>99</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row>
    <row r="52" ht="15.75" customHeight="1">
      <c r="A52" s="82" t="s">
        <v>119</v>
      </c>
      <c r="B52" s="89"/>
      <c r="C52" s="90">
        <f>SUMIFS(MRR_Export_Contraction_Count,MRR_Export_Months,"&gt;="&amp;C$1,MRR_Export_Months,"&lt;"&amp;D$1)</f>
        <v>1</v>
      </c>
      <c r="D52" s="90">
        <f>SUMIFS(MRR_Export_Contraction_Count,MRR_Export_Months,"&gt;="&amp;D$1,MRR_Export_Months,"&lt;"&amp;E$1)</f>
        <v>2</v>
      </c>
      <c r="E52" s="90">
        <f>SUMIFS(MRR_Export_Contraction_Count,MRR_Export_Months,"&gt;="&amp;E$1,MRR_Export_Months,"&lt;"&amp;F$1)</f>
        <v>2</v>
      </c>
      <c r="F52" s="90">
        <f>SUMIFS(MRR_Export_Contraction_Count,MRR_Export_Months,"&gt;="&amp;F$1,MRR_Export_Months,"&lt;"&amp;G$1)</f>
        <v>1</v>
      </c>
      <c r="G52" s="90">
        <f>SUMIFS(MRR_Export_Contraction_Count,MRR_Export_Months,"&gt;="&amp;G$1,MRR_Export_Months,"&lt;"&amp;H$1)</f>
        <v>2</v>
      </c>
      <c r="H52" s="90">
        <f>SUMIFS(MRR_Export_Contraction_Count,MRR_Export_Months,"&gt;="&amp;H$1,MRR_Export_Months,"&lt;"&amp;I$1)</f>
        <v>1</v>
      </c>
      <c r="I52" s="90">
        <f>SUMIFS(MRR_Export_Contraction_Count,MRR_Export_Months,"&gt;="&amp;I$1,MRR_Export_Months,"&lt;"&amp;J$1)</f>
        <v>2</v>
      </c>
      <c r="J52" s="90">
        <f>SUMIFS(MRR_Export_Contraction_Count,MRR_Export_Months,"&gt;="&amp;J$1,MRR_Export_Months,"&lt;"&amp;K$1)</f>
        <v>3</v>
      </c>
      <c r="K52" s="90">
        <f>SUMIFS(MRR_Export_Contraction_Count,MRR_Export_Months,"&gt;="&amp;K$1,MRR_Export_Months,"&lt;"&amp;L$1)</f>
        <v>3</v>
      </c>
      <c r="L52" s="90">
        <f>SUMIFS(MRR_Export_Contraction_Count,MRR_Export_Months,"&gt;="&amp;L$1,MRR_Export_Months,"&lt;"&amp;M$1)</f>
        <v>4</v>
      </c>
      <c r="M52" s="90">
        <f>SUMIFS(MRR_Export_Contraction_Count,MRR_Export_Months,"&gt;="&amp;M$1,MRR_Export_Months,"&lt;"&amp;N$1)</f>
        <v>4</v>
      </c>
      <c r="N52" s="90">
        <f>SUMIFS(MRR_Export_Contraction_Count,MRR_Export_Months,"&gt;="&amp;N$1,MRR_Export_Months,"&lt;"&amp;O$1)</f>
        <v>5</v>
      </c>
      <c r="O52" s="90">
        <f>SUMIFS(MRR_Export_Contraction_Count,MRR_Export_Months,"&gt;="&amp;O$1,MRR_Export_Months,"&lt;"&amp;P$1)</f>
        <v>5</v>
      </c>
      <c r="P52" s="90">
        <f>SUMIFS(MRR_Export_Contraction_Count,MRR_Export_Months,"&gt;="&amp;P$1,MRR_Export_Months,"&lt;"&amp;Q$1)</f>
        <v>6</v>
      </c>
      <c r="Q52" s="90">
        <f>SUMIFS(MRR_Export_Contraction_Count,MRR_Export_Months,"&gt;="&amp;Q$1,MRR_Export_Months,"&lt;"&amp;R$1)</f>
        <v>6</v>
      </c>
      <c r="R52" s="90">
        <f>SUMIFS(MRR_Export_Contraction_Count,MRR_Export_Months,"&gt;="&amp;R$1,MRR_Export_Months,"&lt;"&amp;S$1)</f>
        <v>1</v>
      </c>
      <c r="S52" s="90">
        <f>SUMIFS(MRR_Export_Contraction_Count,MRR_Export_Months,"&gt;="&amp;S$1,MRR_Export_Months,"&lt;"&amp;T$1)</f>
        <v>7</v>
      </c>
      <c r="T52" s="90">
        <f>SUMIFS(MRR_Export_Contraction_Count,MRR_Export_Months,"&gt;="&amp;T$1,MRR_Export_Months,"&lt;"&amp;U$1)</f>
        <v>7</v>
      </c>
      <c r="U52" s="90">
        <f>SUMIFS(MRR_Export_Contraction_Count,MRR_Export_Months,"&gt;="&amp;U$1,MRR_Export_Months,"&lt;"&amp;V$1)</f>
        <v>7</v>
      </c>
      <c r="V52" s="90">
        <f>SUMIFS(MRR_Export_Contraction_Count,MRR_Export_Months,"&gt;="&amp;V$1,MRR_Export_Months,"&lt;"&amp;W$1)</f>
        <v>7</v>
      </c>
      <c r="W52" s="90">
        <f>SUMIFS(MRR_Export_Contraction_Count,MRR_Export_Months,"&gt;="&amp;W$1,MRR_Export_Months,"&lt;"&amp;X$1)</f>
        <v>7</v>
      </c>
      <c r="X52" s="90">
        <f>SUMIFS(MRR_Export_Contraction_Count,MRR_Export_Months,"&gt;="&amp;X$1,MRR_Export_Months,"&lt;"&amp;Y$1)</f>
        <v>7</v>
      </c>
      <c r="Y52" s="90">
        <f>SUMIFS(MRR_Export_Contraction_Count,MRR_Export_Months,"&gt;="&amp;Y$1,MRR_Export_Months,"&lt;"&amp;Z$1)</f>
        <v>7</v>
      </c>
      <c r="Z52" s="90">
        <f>SUMIFS(MRR_Export_Contraction_Count,MRR_Export_Months,"&gt;="&amp;Z$1,MRR_Export_Months,"&lt;"&amp;AA$1)</f>
        <v>10</v>
      </c>
      <c r="AA52" s="90">
        <f>SUMIFS(MRR_Export_Contraction_Count,MRR_Export_Months,"&gt;="&amp;AA$1,MRR_Export_Months,"&lt;"&amp;AB$1)</f>
        <v>15</v>
      </c>
      <c r="AB52" s="90">
        <f>SUMIFS(MRR_Export_Contraction_Count,MRR_Export_Months,"&gt;="&amp;AB$1,MRR_Export_Months,"&lt;"&amp;AC$1)</f>
        <v>17</v>
      </c>
      <c r="AC52" s="90">
        <f>SUMIFS(MRR_Export_Contraction_Count,MRR_Export_Months,"&gt;="&amp;AC$1,MRR_Export_Months,"&lt;"&amp;AD$1)</f>
        <v>17</v>
      </c>
      <c r="AD52" s="90">
        <f>SUMIFS(MRR_Export_Contraction_Count,MRR_Export_Months,"&gt;="&amp;AD$1,MRR_Export_Months,"&lt;"&amp;AE$1)</f>
        <v>19</v>
      </c>
      <c r="AE52" s="76">
        <f t="shared" ref="AE52:BV52" si="32">AE53*AD$65</f>
        <v>21.63</v>
      </c>
      <c r="AF52" s="76">
        <f t="shared" si="32"/>
        <v>16.596792</v>
      </c>
      <c r="AG52" s="76">
        <f t="shared" si="32"/>
        <v>15.3485824</v>
      </c>
      <c r="AH52" s="76">
        <f t="shared" si="32"/>
        <v>13.55812421</v>
      </c>
      <c r="AI52" s="76">
        <f t="shared" si="32"/>
        <v>13.12571815</v>
      </c>
      <c r="AJ52" s="76">
        <f t="shared" si="32"/>
        <v>12.72317643</v>
      </c>
      <c r="AK52" s="76">
        <f t="shared" si="32"/>
        <v>13.61138257</v>
      </c>
      <c r="AL52" s="76">
        <f t="shared" si="32"/>
        <v>13.86065736</v>
      </c>
      <c r="AM52" s="76">
        <f t="shared" si="32"/>
        <v>14.12819013</v>
      </c>
      <c r="AN52" s="76">
        <f t="shared" si="32"/>
        <v>14.39278004</v>
      </c>
      <c r="AO52" s="76">
        <f t="shared" si="32"/>
        <v>14.67545945</v>
      </c>
      <c r="AP52" s="76">
        <f t="shared" si="32"/>
        <v>14.9550294</v>
      </c>
      <c r="AQ52" s="76">
        <f t="shared" si="32"/>
        <v>15.25252408</v>
      </c>
      <c r="AR52" s="76">
        <f t="shared" si="32"/>
        <v>15.56774631</v>
      </c>
      <c r="AS52" s="76">
        <f t="shared" si="32"/>
        <v>15.8795011</v>
      </c>
      <c r="AT52" s="76">
        <f t="shared" si="32"/>
        <v>16.20882659</v>
      </c>
      <c r="AU52" s="76">
        <f t="shared" si="32"/>
        <v>16.5345295</v>
      </c>
      <c r="AV52" s="76">
        <f t="shared" si="32"/>
        <v>16.87764967</v>
      </c>
      <c r="AW52" s="76">
        <f t="shared" si="32"/>
        <v>17.23799553</v>
      </c>
      <c r="AX52" s="76">
        <f t="shared" si="32"/>
        <v>17.59437758</v>
      </c>
      <c r="AY52" s="94">
        <f t="shared" si="32"/>
        <v>17.96783942</v>
      </c>
      <c r="AZ52" s="94">
        <f t="shared" si="32"/>
        <v>18.31619319</v>
      </c>
      <c r="BA52" s="94">
        <f t="shared" si="32"/>
        <v>18.68171506</v>
      </c>
      <c r="BB52" s="94">
        <f t="shared" si="32"/>
        <v>19.0432162</v>
      </c>
      <c r="BC52" s="94">
        <f t="shared" si="32"/>
        <v>19.40074082</v>
      </c>
      <c r="BD52" s="94">
        <f t="shared" si="32"/>
        <v>19.75433267</v>
      </c>
      <c r="BE52" s="94">
        <f t="shared" si="32"/>
        <v>20.12503501</v>
      </c>
      <c r="BF52" s="94">
        <f t="shared" si="32"/>
        <v>20.49165963</v>
      </c>
      <c r="BG52" s="94">
        <f t="shared" si="32"/>
        <v>20.87525137</v>
      </c>
      <c r="BH52" s="94">
        <f t="shared" si="32"/>
        <v>21.25462361</v>
      </c>
      <c r="BI52" s="94">
        <f t="shared" si="32"/>
        <v>21.62982275</v>
      </c>
      <c r="BJ52" s="94">
        <f t="shared" si="32"/>
        <v>22.0218947</v>
      </c>
      <c r="BK52" s="94">
        <f t="shared" si="32"/>
        <v>22.40965385</v>
      </c>
      <c r="BL52" s="94">
        <f t="shared" si="32"/>
        <v>22.79314766</v>
      </c>
      <c r="BM52" s="94">
        <f t="shared" si="32"/>
        <v>23.19342304</v>
      </c>
      <c r="BN52" s="94">
        <f t="shared" si="32"/>
        <v>23.58929538</v>
      </c>
      <c r="BO52" s="94">
        <f t="shared" si="32"/>
        <v>24.00181314</v>
      </c>
      <c r="BP52" s="94">
        <f t="shared" si="32"/>
        <v>24.40979319</v>
      </c>
      <c r="BQ52" s="94">
        <f t="shared" si="32"/>
        <v>24.81328547</v>
      </c>
      <c r="BR52" s="94">
        <f t="shared" si="32"/>
        <v>25.23333933</v>
      </c>
      <c r="BS52" s="94">
        <f t="shared" si="32"/>
        <v>25.64877259</v>
      </c>
      <c r="BT52" s="94">
        <f t="shared" si="32"/>
        <v>26.08063609</v>
      </c>
      <c r="BU52" s="94">
        <f t="shared" si="32"/>
        <v>26.5077491</v>
      </c>
      <c r="BV52" s="94">
        <f t="shared" si="32"/>
        <v>26.95116386</v>
      </c>
    </row>
    <row r="53" ht="15.75" customHeight="1">
      <c r="A53" s="1" t="s">
        <v>120</v>
      </c>
      <c r="B53" s="93"/>
      <c r="C53" s="43" t="str">
        <f t="shared" ref="C53:AD53" si="33">IFERROR(C52/B$65," ")</f>
        <v> </v>
      </c>
      <c r="D53" s="43">
        <f t="shared" si="33"/>
        <v>0.008438818565</v>
      </c>
      <c r="E53" s="43">
        <f t="shared" si="33"/>
        <v>0.009174311927</v>
      </c>
      <c r="F53" s="43">
        <f t="shared" si="33"/>
        <v>0.004385964912</v>
      </c>
      <c r="G53" s="43">
        <f t="shared" si="33"/>
        <v>0.008403361345</v>
      </c>
      <c r="H53" s="43">
        <f t="shared" si="33"/>
        <v>0.003984063745</v>
      </c>
      <c r="I53" s="43">
        <f t="shared" si="33"/>
        <v>0.007722007722</v>
      </c>
      <c r="J53" s="43">
        <f t="shared" si="33"/>
        <v>0.01086956522</v>
      </c>
      <c r="K53" s="43">
        <f t="shared" si="33"/>
        <v>0.01052631579</v>
      </c>
      <c r="L53" s="43">
        <f t="shared" si="33"/>
        <v>0.01360544218</v>
      </c>
      <c r="M53" s="43">
        <f t="shared" si="33"/>
        <v>0.01320132013</v>
      </c>
      <c r="N53" s="43">
        <f t="shared" si="33"/>
        <v>0.01602564103</v>
      </c>
      <c r="O53" s="43">
        <f t="shared" si="33"/>
        <v>0.01547987616</v>
      </c>
      <c r="P53" s="43">
        <f t="shared" si="33"/>
        <v>0.01801801802</v>
      </c>
      <c r="Q53" s="43">
        <f t="shared" si="33"/>
        <v>0.01699716714</v>
      </c>
      <c r="R53" s="43">
        <f t="shared" si="33"/>
        <v>0.002747252747</v>
      </c>
      <c r="S53" s="43">
        <f t="shared" si="33"/>
        <v>0.0175879397</v>
      </c>
      <c r="T53" s="43">
        <f t="shared" si="33"/>
        <v>0.01699029126</v>
      </c>
      <c r="U53" s="43">
        <f t="shared" si="33"/>
        <v>0.01612903226</v>
      </c>
      <c r="V53" s="43">
        <f t="shared" si="33"/>
        <v>0.01531728665</v>
      </c>
      <c r="W53" s="43">
        <f t="shared" si="33"/>
        <v>0.01461377871</v>
      </c>
      <c r="X53" s="43">
        <f t="shared" si="33"/>
        <v>0.01411290323</v>
      </c>
      <c r="Y53" s="43">
        <f t="shared" si="33"/>
        <v>0.01377952756</v>
      </c>
      <c r="Z53" s="43">
        <f t="shared" si="33"/>
        <v>0.01908396947</v>
      </c>
      <c r="AA53" s="43">
        <f t="shared" si="33"/>
        <v>0.02752293578</v>
      </c>
      <c r="AB53" s="43">
        <f t="shared" si="33"/>
        <v>0.02977232925</v>
      </c>
      <c r="AC53" s="43">
        <f t="shared" si="33"/>
        <v>0.02809917355</v>
      </c>
      <c r="AD53" s="43">
        <f t="shared" si="33"/>
        <v>0.03084415584</v>
      </c>
      <c r="AE53" s="101">
        <v>0.035</v>
      </c>
      <c r="AF53" s="101">
        <v>0.027</v>
      </c>
      <c r="AG53" s="101">
        <v>0.025</v>
      </c>
      <c r="AH53" s="101">
        <v>0.022</v>
      </c>
      <c r="AI53" s="101">
        <v>0.021</v>
      </c>
      <c r="AJ53" s="101">
        <v>0.02</v>
      </c>
      <c r="AK53" s="110">
        <f t="shared" ref="AK53:BV53" si="34">IFERROR(MEDIAN(AH53:AJ53),0)</f>
        <v>0.021</v>
      </c>
      <c r="AL53" s="110">
        <f t="shared" si="34"/>
        <v>0.021</v>
      </c>
      <c r="AM53" s="110">
        <f t="shared" si="34"/>
        <v>0.021</v>
      </c>
      <c r="AN53" s="110">
        <f t="shared" si="34"/>
        <v>0.021</v>
      </c>
      <c r="AO53" s="110">
        <f t="shared" si="34"/>
        <v>0.021</v>
      </c>
      <c r="AP53" s="110">
        <f t="shared" si="34"/>
        <v>0.021</v>
      </c>
      <c r="AQ53" s="110">
        <f t="shared" si="34"/>
        <v>0.021</v>
      </c>
      <c r="AR53" s="110">
        <f t="shared" si="34"/>
        <v>0.021</v>
      </c>
      <c r="AS53" s="110">
        <f t="shared" si="34"/>
        <v>0.021</v>
      </c>
      <c r="AT53" s="110">
        <f t="shared" si="34"/>
        <v>0.021</v>
      </c>
      <c r="AU53" s="110">
        <f t="shared" si="34"/>
        <v>0.021</v>
      </c>
      <c r="AV53" s="110">
        <f t="shared" si="34"/>
        <v>0.021</v>
      </c>
      <c r="AW53" s="110">
        <f t="shared" si="34"/>
        <v>0.021</v>
      </c>
      <c r="AX53" s="110">
        <f t="shared" si="34"/>
        <v>0.021</v>
      </c>
      <c r="AY53" s="111">
        <f t="shared" si="34"/>
        <v>0.021</v>
      </c>
      <c r="AZ53" s="111">
        <f t="shared" si="34"/>
        <v>0.021</v>
      </c>
      <c r="BA53" s="111">
        <f t="shared" si="34"/>
        <v>0.021</v>
      </c>
      <c r="BB53" s="111">
        <f t="shared" si="34"/>
        <v>0.021</v>
      </c>
      <c r="BC53" s="111">
        <f t="shared" si="34"/>
        <v>0.021</v>
      </c>
      <c r="BD53" s="111">
        <f t="shared" si="34"/>
        <v>0.021</v>
      </c>
      <c r="BE53" s="111">
        <f t="shared" si="34"/>
        <v>0.021</v>
      </c>
      <c r="BF53" s="111">
        <f t="shared" si="34"/>
        <v>0.021</v>
      </c>
      <c r="BG53" s="111">
        <f t="shared" si="34"/>
        <v>0.021</v>
      </c>
      <c r="BH53" s="111">
        <f t="shared" si="34"/>
        <v>0.021</v>
      </c>
      <c r="BI53" s="111">
        <f t="shared" si="34"/>
        <v>0.021</v>
      </c>
      <c r="BJ53" s="111">
        <f t="shared" si="34"/>
        <v>0.021</v>
      </c>
      <c r="BK53" s="111">
        <f t="shared" si="34"/>
        <v>0.021</v>
      </c>
      <c r="BL53" s="111">
        <f t="shared" si="34"/>
        <v>0.021</v>
      </c>
      <c r="BM53" s="111">
        <f t="shared" si="34"/>
        <v>0.021</v>
      </c>
      <c r="BN53" s="111">
        <f t="shared" si="34"/>
        <v>0.021</v>
      </c>
      <c r="BO53" s="111">
        <f t="shared" si="34"/>
        <v>0.021</v>
      </c>
      <c r="BP53" s="111">
        <f t="shared" si="34"/>
        <v>0.021</v>
      </c>
      <c r="BQ53" s="111">
        <f t="shared" si="34"/>
        <v>0.021</v>
      </c>
      <c r="BR53" s="111">
        <f t="shared" si="34"/>
        <v>0.021</v>
      </c>
      <c r="BS53" s="111">
        <f t="shared" si="34"/>
        <v>0.021</v>
      </c>
      <c r="BT53" s="111">
        <f t="shared" si="34"/>
        <v>0.021</v>
      </c>
      <c r="BU53" s="111">
        <f t="shared" si="34"/>
        <v>0.021</v>
      </c>
      <c r="BV53" s="111">
        <f t="shared" si="34"/>
        <v>0.021</v>
      </c>
    </row>
    <row r="54" ht="15.75" customHeight="1">
      <c r="A54" s="82" t="s">
        <v>100</v>
      </c>
      <c r="B54" s="93"/>
      <c r="C54" s="76">
        <f t="shared" ref="C54:AD54" si="35">IFERROR(C55/C52," ")</f>
        <v>-800</v>
      </c>
      <c r="D54" s="76">
        <f t="shared" si="35"/>
        <v>-710</v>
      </c>
      <c r="E54" s="76">
        <f t="shared" si="35"/>
        <v>-495</v>
      </c>
      <c r="F54" s="76">
        <f t="shared" si="35"/>
        <v>-400</v>
      </c>
      <c r="G54" s="76">
        <f t="shared" si="35"/>
        <v>-900</v>
      </c>
      <c r="H54" s="76">
        <f t="shared" si="35"/>
        <v>-700</v>
      </c>
      <c r="I54" s="76">
        <f t="shared" si="35"/>
        <v>-725</v>
      </c>
      <c r="J54" s="76">
        <f t="shared" si="35"/>
        <v>-790</v>
      </c>
      <c r="K54" s="76">
        <f t="shared" si="35"/>
        <v>-753.3333333</v>
      </c>
      <c r="L54" s="76">
        <f t="shared" si="35"/>
        <v>-760</v>
      </c>
      <c r="M54" s="76">
        <f t="shared" si="35"/>
        <v>-767</v>
      </c>
      <c r="N54" s="76">
        <f t="shared" si="35"/>
        <v>-760.8</v>
      </c>
      <c r="O54" s="76">
        <f t="shared" si="35"/>
        <v>-762.4</v>
      </c>
      <c r="P54" s="76">
        <f t="shared" si="35"/>
        <v>-763.1666667</v>
      </c>
      <c r="Q54" s="76">
        <f t="shared" si="35"/>
        <v>-762.1666667</v>
      </c>
      <c r="R54" s="76">
        <f t="shared" si="35"/>
        <v>0</v>
      </c>
      <c r="S54" s="76">
        <f t="shared" si="35"/>
        <v>-751.5714286</v>
      </c>
      <c r="T54" s="76">
        <f t="shared" si="35"/>
        <v>-746.7142857</v>
      </c>
      <c r="U54" s="76">
        <f t="shared" si="35"/>
        <v>-740.4666667</v>
      </c>
      <c r="V54" s="76">
        <f t="shared" si="35"/>
        <v>-746.2507937</v>
      </c>
      <c r="W54" s="76">
        <f t="shared" si="35"/>
        <v>-744.4772487</v>
      </c>
      <c r="X54" s="76">
        <f t="shared" si="35"/>
        <v>-1255.620106</v>
      </c>
      <c r="Y54" s="76">
        <f t="shared" si="35"/>
        <v>-1599.90582</v>
      </c>
      <c r="Z54" s="76">
        <f t="shared" si="35"/>
        <v>-1122.034074</v>
      </c>
      <c r="AA54" s="76">
        <f t="shared" si="35"/>
        <v>-981.2893827</v>
      </c>
      <c r="AB54" s="76">
        <f t="shared" si="35"/>
        <v>-719.1965142</v>
      </c>
      <c r="AC54" s="76">
        <f t="shared" si="35"/>
        <v>-890.0588235</v>
      </c>
      <c r="AD54" s="76">
        <f t="shared" si="35"/>
        <v>-776.6315789</v>
      </c>
      <c r="AE54" s="76">
        <f t="shared" ref="AE54:BV54" si="36">IFERROR(SUM(AB55:AD55)/SUM(AB52:AD52),0)</f>
        <v>-794.5913347</v>
      </c>
      <c r="AF54" s="76">
        <f t="shared" si="36"/>
        <v>-816.8316948</v>
      </c>
      <c r="AG54" s="76">
        <f t="shared" si="36"/>
        <v>-795.0785763</v>
      </c>
      <c r="AH54" s="76">
        <f t="shared" si="36"/>
        <v>-801.6206295</v>
      </c>
      <c r="AI54" s="76">
        <f t="shared" si="36"/>
        <v>-804.9619911</v>
      </c>
      <c r="AJ54" s="76">
        <f t="shared" si="36"/>
        <v>-800.275157</v>
      </c>
      <c r="AK54" s="76">
        <f t="shared" si="36"/>
        <v>-802.2991656</v>
      </c>
      <c r="AL54" s="76">
        <f t="shared" si="36"/>
        <v>-802.5323033</v>
      </c>
      <c r="AM54" s="76">
        <f t="shared" si="36"/>
        <v>-801.7388905</v>
      </c>
      <c r="AN54" s="76">
        <f t="shared" si="36"/>
        <v>-802.1865645</v>
      </c>
      <c r="AO54" s="76">
        <f t="shared" si="36"/>
        <v>-802.1504013</v>
      </c>
      <c r="AP54" s="76">
        <f t="shared" si="36"/>
        <v>-802.0278585</v>
      </c>
      <c r="AQ54" s="76">
        <f t="shared" si="36"/>
        <v>-802.1205956</v>
      </c>
      <c r="AR54" s="76">
        <f t="shared" si="36"/>
        <v>-802.0994412</v>
      </c>
      <c r="AS54" s="76">
        <f t="shared" si="36"/>
        <v>-802.0831035</v>
      </c>
      <c r="AT54" s="76">
        <f t="shared" si="36"/>
        <v>-802.100795</v>
      </c>
      <c r="AU54" s="76">
        <f t="shared" si="36"/>
        <v>-802.0944578</v>
      </c>
      <c r="AV54" s="76">
        <f t="shared" si="36"/>
        <v>-802.0928622</v>
      </c>
      <c r="AW54" s="76">
        <f t="shared" si="36"/>
        <v>-802.0959852</v>
      </c>
      <c r="AX54" s="76">
        <f t="shared" si="36"/>
        <v>-802.0944459</v>
      </c>
      <c r="AY54" s="94">
        <f t="shared" si="36"/>
        <v>-802.0944421</v>
      </c>
      <c r="AZ54" s="94">
        <f t="shared" si="36"/>
        <v>-802.0949472</v>
      </c>
      <c r="BA54" s="94">
        <f t="shared" si="36"/>
        <v>-802.0946151</v>
      </c>
      <c r="BB54" s="94">
        <f t="shared" si="36"/>
        <v>-802.0946692</v>
      </c>
      <c r="BC54" s="94">
        <f t="shared" si="36"/>
        <v>-802.094742</v>
      </c>
      <c r="BD54" s="94">
        <f t="shared" si="36"/>
        <v>-802.0946762</v>
      </c>
      <c r="BE54" s="94">
        <f t="shared" si="36"/>
        <v>-802.0946958</v>
      </c>
      <c r="BF54" s="94">
        <f t="shared" si="36"/>
        <v>-802.0947044</v>
      </c>
      <c r="BG54" s="94">
        <f t="shared" si="36"/>
        <v>-802.0946923</v>
      </c>
      <c r="BH54" s="94">
        <f t="shared" si="36"/>
        <v>-802.0946975</v>
      </c>
      <c r="BI54" s="94">
        <f t="shared" si="36"/>
        <v>-802.094698</v>
      </c>
      <c r="BJ54" s="94">
        <f t="shared" si="36"/>
        <v>-802.094696</v>
      </c>
      <c r="BK54" s="94">
        <f t="shared" si="36"/>
        <v>-802.0946972</v>
      </c>
      <c r="BL54" s="94">
        <f t="shared" si="36"/>
        <v>-802.0946971</v>
      </c>
      <c r="BM54" s="94">
        <f t="shared" si="36"/>
        <v>-802.0946967</v>
      </c>
      <c r="BN54" s="94">
        <f t="shared" si="36"/>
        <v>-802.094697</v>
      </c>
      <c r="BO54" s="94">
        <f t="shared" si="36"/>
        <v>-802.0946969</v>
      </c>
      <c r="BP54" s="94">
        <f t="shared" si="36"/>
        <v>-802.0946969</v>
      </c>
      <c r="BQ54" s="94">
        <f t="shared" si="36"/>
        <v>-802.0946969</v>
      </c>
      <c r="BR54" s="94">
        <f t="shared" si="36"/>
        <v>-802.0946969</v>
      </c>
      <c r="BS54" s="94">
        <f t="shared" si="36"/>
        <v>-802.0946969</v>
      </c>
      <c r="BT54" s="94">
        <f t="shared" si="36"/>
        <v>-802.0946969</v>
      </c>
      <c r="BU54" s="94">
        <f t="shared" si="36"/>
        <v>-802.0946969</v>
      </c>
      <c r="BV54" s="94">
        <f t="shared" si="36"/>
        <v>-802.0946969</v>
      </c>
    </row>
    <row r="55" ht="15.75" customHeight="1">
      <c r="A55" s="82" t="s">
        <v>121</v>
      </c>
      <c r="B55" s="95"/>
      <c r="C55" s="90">
        <f>SUMIFS(MRR_Export_Contraction_MRR,MRR_Export_Months,"&gt;="&amp;C$1,MRR_Export_Months,"&lt;"&amp;D$1)</f>
        <v>-800</v>
      </c>
      <c r="D55" s="90">
        <f>SUMIFS(MRR_Export_Contraction_MRR,MRR_Export_Months,"&gt;="&amp;D$1,MRR_Export_Months,"&lt;"&amp;E$1)</f>
        <v>-1420</v>
      </c>
      <c r="E55" s="90">
        <f>SUMIFS(MRR_Export_Contraction_MRR,MRR_Export_Months,"&gt;="&amp;E$1,MRR_Export_Months,"&lt;"&amp;F$1)</f>
        <v>-990</v>
      </c>
      <c r="F55" s="90">
        <f>SUMIFS(MRR_Export_Contraction_MRR,MRR_Export_Months,"&gt;="&amp;F$1,MRR_Export_Months,"&lt;"&amp;G$1)</f>
        <v>-400</v>
      </c>
      <c r="G55" s="90">
        <f>SUMIFS(MRR_Export_Contraction_MRR,MRR_Export_Months,"&gt;="&amp;G$1,MRR_Export_Months,"&lt;"&amp;H$1)</f>
        <v>-1800</v>
      </c>
      <c r="H55" s="90">
        <f>SUMIFS(MRR_Export_Contraction_MRR,MRR_Export_Months,"&gt;="&amp;H$1,MRR_Export_Months,"&lt;"&amp;I$1)</f>
        <v>-700</v>
      </c>
      <c r="I55" s="90">
        <f>SUMIFS(MRR_Export_Contraction_MRR,MRR_Export_Months,"&gt;="&amp;I$1,MRR_Export_Months,"&lt;"&amp;J$1)</f>
        <v>-1450</v>
      </c>
      <c r="J55" s="90">
        <f>SUMIFS(MRR_Export_Contraction_MRR,MRR_Export_Months,"&gt;="&amp;J$1,MRR_Export_Months,"&lt;"&amp;K$1)</f>
        <v>-2370</v>
      </c>
      <c r="K55" s="90">
        <f>SUMIFS(MRR_Export_Contraction_MRR,MRR_Export_Months,"&gt;="&amp;K$1,MRR_Export_Months,"&lt;"&amp;L$1)</f>
        <v>-2260</v>
      </c>
      <c r="L55" s="90">
        <f>SUMIFS(MRR_Export_Contraction_MRR,MRR_Export_Months,"&gt;="&amp;L$1,MRR_Export_Months,"&lt;"&amp;M$1)</f>
        <v>-3040</v>
      </c>
      <c r="M55" s="90">
        <f>SUMIFS(MRR_Export_Contraction_MRR,MRR_Export_Months,"&gt;="&amp;M$1,MRR_Export_Months,"&lt;"&amp;N$1)</f>
        <v>-3068</v>
      </c>
      <c r="N55" s="90">
        <f>SUMIFS(MRR_Export_Contraction_MRR,MRR_Export_Months,"&gt;="&amp;N$1,MRR_Export_Months,"&lt;"&amp;O$1)</f>
        <v>-3804</v>
      </c>
      <c r="O55" s="90">
        <f>SUMIFS(MRR_Export_Contraction_MRR,MRR_Export_Months,"&gt;="&amp;O$1,MRR_Export_Months,"&lt;"&amp;P$1)</f>
        <v>-3812</v>
      </c>
      <c r="P55" s="90">
        <f>SUMIFS(MRR_Export_Contraction_MRR,MRR_Export_Months,"&gt;="&amp;P$1,MRR_Export_Months,"&lt;"&amp;Q$1)</f>
        <v>-4579</v>
      </c>
      <c r="Q55" s="90">
        <f>SUMIFS(MRR_Export_Contraction_MRR,MRR_Export_Months,"&gt;="&amp;Q$1,MRR_Export_Months,"&lt;"&amp;R$1)</f>
        <v>-4573</v>
      </c>
      <c r="R55" s="90">
        <f>SUMIFS(MRR_Export_Contraction_MRR,MRR_Export_Months,"&gt;="&amp;R$1,MRR_Export_Months,"&lt;"&amp;S$1)</f>
        <v>0</v>
      </c>
      <c r="S55" s="90">
        <f>SUMIFS(MRR_Export_Contraction_MRR,MRR_Export_Months,"&gt;="&amp;S$1,MRR_Export_Months,"&lt;"&amp;T$1)</f>
        <v>-5261</v>
      </c>
      <c r="T55" s="90">
        <f>SUMIFS(MRR_Export_Contraction_MRR,MRR_Export_Months,"&gt;="&amp;T$1,MRR_Export_Months,"&lt;"&amp;U$1)</f>
        <v>-5227</v>
      </c>
      <c r="U55" s="90">
        <f>SUMIFS(MRR_Export_Contraction_MRR,MRR_Export_Months,"&gt;="&amp;U$1,MRR_Export_Months,"&lt;"&amp;V$1)</f>
        <v>-5183.266667</v>
      </c>
      <c r="V55" s="90">
        <f>SUMIFS(MRR_Export_Contraction_MRR,MRR_Export_Months,"&gt;="&amp;V$1,MRR_Export_Months,"&lt;"&amp;W$1)</f>
        <v>-5223.755556</v>
      </c>
      <c r="W55" s="90">
        <f>SUMIFS(MRR_Export_Contraction_MRR,MRR_Export_Months,"&gt;="&amp;W$1,MRR_Export_Months,"&lt;"&amp;X$1)</f>
        <v>-5211.340741</v>
      </c>
      <c r="X55" s="90">
        <f>SUMIFS(MRR_Export_Contraction_MRR,MRR_Export_Months,"&gt;="&amp;X$1,MRR_Export_Months,"&lt;"&amp;Y$1)</f>
        <v>-8789.340741</v>
      </c>
      <c r="Y55" s="90">
        <f>SUMIFS(MRR_Export_Contraction_MRR,MRR_Export_Months,"&gt;="&amp;Y$1,MRR_Export_Months,"&lt;"&amp;Z$1)</f>
        <v>-11199.34074</v>
      </c>
      <c r="Z55" s="90">
        <f>SUMIFS(MRR_Export_Contraction_MRR,MRR_Export_Months,"&gt;="&amp;Z$1,MRR_Export_Months,"&lt;"&amp;AA$1)</f>
        <v>-11220.34074</v>
      </c>
      <c r="AA55" s="90">
        <f>SUMIFS(MRR_Export_Contraction_MRR,MRR_Export_Months,"&gt;="&amp;AA$1,MRR_Export_Months,"&lt;"&amp;AB$1)</f>
        <v>-14719.34074</v>
      </c>
      <c r="AB55" s="90">
        <f>SUMIFS(MRR_Export_Contraction_MRR,MRR_Export_Months,"&gt;="&amp;AB$1,MRR_Export_Months,"&lt;"&amp;AC$1)</f>
        <v>-12226.34074</v>
      </c>
      <c r="AC55" s="90">
        <f>SUMIFS(MRR_Export_Contraction_MRR,MRR_Export_Months,"&gt;="&amp;AC$1,MRR_Export_Months,"&lt;"&amp;AD$1)</f>
        <v>-15131</v>
      </c>
      <c r="AD55" s="90">
        <f>SUMIFS(MRR_Export_Contraction_MRR,MRR_Export_Months,"&gt;="&amp;AD$1,MRR_Export_Months,"&lt;"&amp;AE$1)</f>
        <v>-14756</v>
      </c>
      <c r="AE55" s="96">
        <f t="shared" ref="AE55:BV55" si="37">AE52*AE54</f>
        <v>-17187.01057</v>
      </c>
      <c r="AF55" s="96">
        <f t="shared" si="37"/>
        <v>-13556.78574</v>
      </c>
      <c r="AG55" s="96">
        <f t="shared" si="37"/>
        <v>-12203.32904</v>
      </c>
      <c r="AH55" s="96">
        <f t="shared" si="37"/>
        <v>-10868.47207</v>
      </c>
      <c r="AI55" s="96">
        <f t="shared" si="37"/>
        <v>-10565.70422</v>
      </c>
      <c r="AJ55" s="96">
        <f t="shared" si="37"/>
        <v>-10182.04202</v>
      </c>
      <c r="AK55" s="96">
        <f t="shared" si="37"/>
        <v>-10920.40088</v>
      </c>
      <c r="AL55" s="96">
        <f t="shared" si="37"/>
        <v>-11123.62527</v>
      </c>
      <c r="AM55" s="96">
        <f t="shared" si="37"/>
        <v>-11327.11948</v>
      </c>
      <c r="AN55" s="96">
        <f t="shared" si="37"/>
        <v>-11545.69477</v>
      </c>
      <c r="AO55" s="96">
        <f t="shared" si="37"/>
        <v>-11771.92569</v>
      </c>
      <c r="AP55" s="96">
        <f t="shared" si="37"/>
        <v>-11994.3502</v>
      </c>
      <c r="AQ55" s="96">
        <f t="shared" si="37"/>
        <v>-12234.3637</v>
      </c>
      <c r="AR55" s="96">
        <f t="shared" si="37"/>
        <v>-12486.88062</v>
      </c>
      <c r="AS55" s="96">
        <f t="shared" si="37"/>
        <v>-12736.67953</v>
      </c>
      <c r="AT55" s="96">
        <f t="shared" si="37"/>
        <v>-13001.1127</v>
      </c>
      <c r="AU55" s="96">
        <f t="shared" si="37"/>
        <v>-13262.25447</v>
      </c>
      <c r="AV55" s="96">
        <f t="shared" si="37"/>
        <v>-13537.44233</v>
      </c>
      <c r="AW55" s="96">
        <f t="shared" si="37"/>
        <v>-13826.527</v>
      </c>
      <c r="AX55" s="96">
        <f t="shared" si="37"/>
        <v>-14112.35253</v>
      </c>
      <c r="AY55" s="97">
        <f t="shared" si="37"/>
        <v>-14411.90414</v>
      </c>
      <c r="AZ55" s="97">
        <f t="shared" si="37"/>
        <v>-14691.32601</v>
      </c>
      <c r="BA55" s="97">
        <f t="shared" si="37"/>
        <v>-14984.50305</v>
      </c>
      <c r="BB55" s="97">
        <f t="shared" si="37"/>
        <v>-15274.4622</v>
      </c>
      <c r="BC55" s="97">
        <f t="shared" si="37"/>
        <v>-15561.2322</v>
      </c>
      <c r="BD55" s="97">
        <f t="shared" si="37"/>
        <v>-15844.84507</v>
      </c>
      <c r="BE55" s="97">
        <f t="shared" si="37"/>
        <v>-16142.18384</v>
      </c>
      <c r="BF55" s="97">
        <f t="shared" si="37"/>
        <v>-16436.25167</v>
      </c>
      <c r="BG55" s="97">
        <f t="shared" si="37"/>
        <v>-16743.92833</v>
      </c>
      <c r="BH55" s="97">
        <f t="shared" si="37"/>
        <v>-17048.22089</v>
      </c>
      <c r="BI55" s="97">
        <f t="shared" si="37"/>
        <v>-17349.16614</v>
      </c>
      <c r="BJ55" s="97">
        <f t="shared" si="37"/>
        <v>-17663.64493</v>
      </c>
      <c r="BK55" s="97">
        <f t="shared" si="37"/>
        <v>-17974.66452</v>
      </c>
      <c r="BL55" s="97">
        <f t="shared" si="37"/>
        <v>-18282.26287</v>
      </c>
      <c r="BM55" s="97">
        <f t="shared" si="37"/>
        <v>-18603.32162</v>
      </c>
      <c r="BN55" s="97">
        <f t="shared" si="37"/>
        <v>-18920.84873</v>
      </c>
      <c r="BO55" s="97">
        <f t="shared" si="37"/>
        <v>-19251.72703</v>
      </c>
      <c r="BP55" s="97">
        <f t="shared" si="37"/>
        <v>-19578.96567</v>
      </c>
      <c r="BQ55" s="97">
        <f t="shared" si="37"/>
        <v>-19902.60469</v>
      </c>
      <c r="BR55" s="97">
        <f t="shared" si="37"/>
        <v>-20239.52766</v>
      </c>
      <c r="BS55" s="97">
        <f t="shared" si="37"/>
        <v>-20572.74448</v>
      </c>
      <c r="BT55" s="97">
        <f t="shared" si="37"/>
        <v>-20919.1399</v>
      </c>
      <c r="BU55" s="97">
        <f t="shared" si="37"/>
        <v>-21261.72498</v>
      </c>
      <c r="BV55" s="97">
        <f t="shared" si="37"/>
        <v>-21617.38561</v>
      </c>
    </row>
    <row r="56" ht="15.75" hidden="1" customHeight="1">
      <c r="A56" s="82"/>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row>
    <row r="57" ht="15.75" hidden="1" customHeight="1">
      <c r="A57" s="87" t="s">
        <v>122</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row>
    <row r="58" ht="15.75" hidden="1" customHeight="1">
      <c r="A58" s="82" t="s">
        <v>119</v>
      </c>
      <c r="B58" s="89"/>
      <c r="C58" s="96"/>
      <c r="D58" s="96"/>
      <c r="E58" s="96"/>
      <c r="F58" s="96"/>
      <c r="G58" s="96"/>
      <c r="H58" s="96"/>
      <c r="I58" s="96"/>
      <c r="J58" s="96"/>
      <c r="K58" s="96"/>
      <c r="L58" s="96"/>
      <c r="M58" s="96"/>
      <c r="N58" s="96"/>
      <c r="O58" s="96"/>
      <c r="P58" s="96"/>
      <c r="Q58" s="96"/>
      <c r="R58" s="96"/>
      <c r="S58" s="96"/>
      <c r="T58" s="96"/>
      <c r="U58" s="96"/>
      <c r="V58" s="96"/>
      <c r="W58" s="96"/>
      <c r="X58" s="96"/>
      <c r="Y58" s="96"/>
      <c r="Z58" s="96"/>
      <c r="AA58" s="96"/>
      <c r="AB58" s="96"/>
      <c r="AC58" s="96"/>
      <c r="AD58" s="96"/>
      <c r="AE58" s="104">
        <v>0.0</v>
      </c>
      <c r="AF58" s="104">
        <v>0.0</v>
      </c>
      <c r="AG58" s="104">
        <v>0.0</v>
      </c>
      <c r="AH58" s="104">
        <v>0.0</v>
      </c>
      <c r="AI58" s="104">
        <v>0.0</v>
      </c>
      <c r="AJ58" s="104">
        <v>0.0</v>
      </c>
      <c r="AK58" s="104">
        <v>0.0</v>
      </c>
      <c r="AL58" s="104">
        <v>0.0</v>
      </c>
      <c r="AM58" s="104">
        <v>0.0</v>
      </c>
      <c r="AN58" s="104">
        <v>0.0</v>
      </c>
      <c r="AO58" s="104">
        <v>0.0</v>
      </c>
      <c r="AP58" s="104">
        <v>0.0</v>
      </c>
      <c r="AQ58" s="104">
        <v>0.0</v>
      </c>
      <c r="AR58" s="104">
        <v>0.0</v>
      </c>
      <c r="AS58" s="104">
        <v>0.0</v>
      </c>
      <c r="AT58" s="104">
        <v>0.0</v>
      </c>
      <c r="AU58" s="104">
        <v>0.0</v>
      </c>
      <c r="AV58" s="104">
        <v>0.0</v>
      </c>
      <c r="AW58" s="104">
        <v>0.0</v>
      </c>
      <c r="AX58" s="104">
        <v>0.0</v>
      </c>
      <c r="AY58" s="105">
        <v>0.0</v>
      </c>
      <c r="AZ58" s="105">
        <v>0.0</v>
      </c>
      <c r="BA58" s="105">
        <v>0.0</v>
      </c>
      <c r="BB58" s="105">
        <v>0.0</v>
      </c>
      <c r="BC58" s="105">
        <v>0.0</v>
      </c>
      <c r="BD58" s="105">
        <v>0.0</v>
      </c>
      <c r="BE58" s="105">
        <v>0.0</v>
      </c>
      <c r="BF58" s="105">
        <v>0.0</v>
      </c>
      <c r="BG58" s="105">
        <v>0.0</v>
      </c>
      <c r="BH58" s="105">
        <v>0.0</v>
      </c>
      <c r="BI58" s="105">
        <v>0.0</v>
      </c>
      <c r="BJ58" s="105">
        <v>0.0</v>
      </c>
      <c r="BK58" s="105">
        <v>0.0</v>
      </c>
      <c r="BL58" s="105">
        <v>0.0</v>
      </c>
      <c r="BM58" s="105">
        <v>0.0</v>
      </c>
      <c r="BN58" s="105">
        <v>0.0</v>
      </c>
      <c r="BO58" s="105">
        <v>0.0</v>
      </c>
      <c r="BP58" s="105">
        <v>0.0</v>
      </c>
      <c r="BQ58" s="105">
        <v>0.0</v>
      </c>
      <c r="BR58" s="105">
        <v>0.0</v>
      </c>
      <c r="BS58" s="105">
        <v>0.0</v>
      </c>
      <c r="BT58" s="105">
        <v>0.0</v>
      </c>
      <c r="BU58" s="105">
        <v>0.0</v>
      </c>
      <c r="BV58" s="105">
        <v>0.0</v>
      </c>
    </row>
    <row r="59" ht="15.75" hidden="1" customHeight="1">
      <c r="A59" s="82" t="s">
        <v>105</v>
      </c>
      <c r="B59" s="9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76"/>
      <c r="AF59" s="76"/>
      <c r="AG59" s="76"/>
      <c r="AH59" s="76"/>
      <c r="AI59" s="76"/>
      <c r="AJ59" s="76"/>
      <c r="AK59" s="76"/>
      <c r="AL59" s="76"/>
      <c r="AM59" s="76"/>
      <c r="AN59" s="76"/>
      <c r="AO59" s="76"/>
      <c r="AP59" s="76"/>
      <c r="AQ59" s="76"/>
      <c r="AR59" s="76"/>
      <c r="AS59" s="76"/>
      <c r="AT59" s="76"/>
      <c r="AU59" s="76"/>
      <c r="AV59" s="76"/>
      <c r="AW59" s="76"/>
      <c r="AX59" s="76"/>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row>
    <row r="60" ht="15.75" hidden="1" customHeight="1">
      <c r="A60" s="82" t="s">
        <v>100</v>
      </c>
      <c r="B60" s="93"/>
      <c r="C60" s="96"/>
      <c r="D60" s="96"/>
      <c r="E60" s="96"/>
      <c r="F60" s="96"/>
      <c r="G60" s="96"/>
      <c r="H60" s="96"/>
      <c r="I60" s="96"/>
      <c r="J60" s="96"/>
      <c r="K60" s="96"/>
      <c r="L60" s="96"/>
      <c r="M60" s="96"/>
      <c r="N60" s="96"/>
      <c r="O60" s="96"/>
      <c r="P60" s="96"/>
      <c r="Q60" s="96"/>
      <c r="R60" s="96"/>
      <c r="S60" s="96"/>
      <c r="T60" s="96"/>
      <c r="U60" s="96"/>
      <c r="V60" s="96"/>
      <c r="W60" s="96"/>
      <c r="X60" s="96"/>
      <c r="Y60" s="96"/>
      <c r="Z60" s="96"/>
      <c r="AA60" s="96"/>
      <c r="AB60" s="96"/>
      <c r="AC60" s="96"/>
      <c r="AD60" s="96"/>
      <c r="AE60" s="76">
        <f t="shared" ref="AE60:BV60" si="38">IFERROR(IF(AE58&gt;0,SUM(AB61:AD61)/SUM(AB58:AD58),0),0)</f>
        <v>0</v>
      </c>
      <c r="AF60" s="76">
        <f t="shared" si="38"/>
        <v>0</v>
      </c>
      <c r="AG60" s="76">
        <f t="shared" si="38"/>
        <v>0</v>
      </c>
      <c r="AH60" s="76">
        <f t="shared" si="38"/>
        <v>0</v>
      </c>
      <c r="AI60" s="76">
        <f t="shared" si="38"/>
        <v>0</v>
      </c>
      <c r="AJ60" s="76">
        <f t="shared" si="38"/>
        <v>0</v>
      </c>
      <c r="AK60" s="76">
        <f t="shared" si="38"/>
        <v>0</v>
      </c>
      <c r="AL60" s="76">
        <f t="shared" si="38"/>
        <v>0</v>
      </c>
      <c r="AM60" s="76">
        <f t="shared" si="38"/>
        <v>0</v>
      </c>
      <c r="AN60" s="76">
        <f t="shared" si="38"/>
        <v>0</v>
      </c>
      <c r="AO60" s="76">
        <f t="shared" si="38"/>
        <v>0</v>
      </c>
      <c r="AP60" s="76">
        <f t="shared" si="38"/>
        <v>0</v>
      </c>
      <c r="AQ60" s="76">
        <f t="shared" si="38"/>
        <v>0</v>
      </c>
      <c r="AR60" s="76">
        <f t="shared" si="38"/>
        <v>0</v>
      </c>
      <c r="AS60" s="76">
        <f t="shared" si="38"/>
        <v>0</v>
      </c>
      <c r="AT60" s="76">
        <f t="shared" si="38"/>
        <v>0</v>
      </c>
      <c r="AU60" s="76">
        <f t="shared" si="38"/>
        <v>0</v>
      </c>
      <c r="AV60" s="76">
        <f t="shared" si="38"/>
        <v>0</v>
      </c>
      <c r="AW60" s="76">
        <f t="shared" si="38"/>
        <v>0</v>
      </c>
      <c r="AX60" s="76">
        <f t="shared" si="38"/>
        <v>0</v>
      </c>
      <c r="AY60" s="94">
        <f t="shared" si="38"/>
        <v>0</v>
      </c>
      <c r="AZ60" s="94">
        <f t="shared" si="38"/>
        <v>0</v>
      </c>
      <c r="BA60" s="94">
        <f t="shared" si="38"/>
        <v>0</v>
      </c>
      <c r="BB60" s="94">
        <f t="shared" si="38"/>
        <v>0</v>
      </c>
      <c r="BC60" s="94">
        <f t="shared" si="38"/>
        <v>0</v>
      </c>
      <c r="BD60" s="94">
        <f t="shared" si="38"/>
        <v>0</v>
      </c>
      <c r="BE60" s="94">
        <f t="shared" si="38"/>
        <v>0</v>
      </c>
      <c r="BF60" s="94">
        <f t="shared" si="38"/>
        <v>0</v>
      </c>
      <c r="BG60" s="94">
        <f t="shared" si="38"/>
        <v>0</v>
      </c>
      <c r="BH60" s="94">
        <f t="shared" si="38"/>
        <v>0</v>
      </c>
      <c r="BI60" s="94">
        <f t="shared" si="38"/>
        <v>0</v>
      </c>
      <c r="BJ60" s="94">
        <f t="shared" si="38"/>
        <v>0</v>
      </c>
      <c r="BK60" s="94">
        <f t="shared" si="38"/>
        <v>0</v>
      </c>
      <c r="BL60" s="94">
        <f t="shared" si="38"/>
        <v>0</v>
      </c>
      <c r="BM60" s="94">
        <f t="shared" si="38"/>
        <v>0</v>
      </c>
      <c r="BN60" s="94">
        <f t="shared" si="38"/>
        <v>0</v>
      </c>
      <c r="BO60" s="94">
        <f t="shared" si="38"/>
        <v>0</v>
      </c>
      <c r="BP60" s="94">
        <f t="shared" si="38"/>
        <v>0</v>
      </c>
      <c r="BQ60" s="94">
        <f t="shared" si="38"/>
        <v>0</v>
      </c>
      <c r="BR60" s="94">
        <f t="shared" si="38"/>
        <v>0</v>
      </c>
      <c r="BS60" s="94">
        <f t="shared" si="38"/>
        <v>0</v>
      </c>
      <c r="BT60" s="94">
        <f t="shared" si="38"/>
        <v>0</v>
      </c>
      <c r="BU60" s="94">
        <f t="shared" si="38"/>
        <v>0</v>
      </c>
      <c r="BV60" s="94">
        <f t="shared" si="38"/>
        <v>0</v>
      </c>
    </row>
    <row r="61" ht="15.75" hidden="1" customHeight="1">
      <c r="A61" s="82" t="s">
        <v>121</v>
      </c>
      <c r="B61" s="95"/>
      <c r="C61" s="96"/>
      <c r="D61" s="96"/>
      <c r="E61" s="96"/>
      <c r="F61" s="96"/>
      <c r="G61" s="96"/>
      <c r="H61" s="96"/>
      <c r="I61" s="96"/>
      <c r="J61" s="96"/>
      <c r="K61" s="96"/>
      <c r="L61" s="96"/>
      <c r="M61" s="96"/>
      <c r="N61" s="96"/>
      <c r="O61" s="96"/>
      <c r="P61" s="96"/>
      <c r="Q61" s="96"/>
      <c r="R61" s="96"/>
      <c r="S61" s="96"/>
      <c r="T61" s="96"/>
      <c r="U61" s="96"/>
      <c r="V61" s="96"/>
      <c r="W61" s="96"/>
      <c r="X61" s="96"/>
      <c r="Y61" s="96"/>
      <c r="Z61" s="96"/>
      <c r="AA61" s="96"/>
      <c r="AB61" s="96"/>
      <c r="AC61" s="96"/>
      <c r="AD61" s="96"/>
      <c r="AE61" s="96">
        <f t="shared" ref="AE61:BV61" si="39">AE58*AE60</f>
        <v>0</v>
      </c>
      <c r="AF61" s="96">
        <f t="shared" si="39"/>
        <v>0</v>
      </c>
      <c r="AG61" s="96">
        <f t="shared" si="39"/>
        <v>0</v>
      </c>
      <c r="AH61" s="96">
        <f t="shared" si="39"/>
        <v>0</v>
      </c>
      <c r="AI61" s="96">
        <f t="shared" si="39"/>
        <v>0</v>
      </c>
      <c r="AJ61" s="96">
        <f t="shared" si="39"/>
        <v>0</v>
      </c>
      <c r="AK61" s="96">
        <f t="shared" si="39"/>
        <v>0</v>
      </c>
      <c r="AL61" s="96">
        <f t="shared" si="39"/>
        <v>0</v>
      </c>
      <c r="AM61" s="96">
        <f t="shared" si="39"/>
        <v>0</v>
      </c>
      <c r="AN61" s="96">
        <f t="shared" si="39"/>
        <v>0</v>
      </c>
      <c r="AO61" s="96">
        <f t="shared" si="39"/>
        <v>0</v>
      </c>
      <c r="AP61" s="96">
        <f t="shared" si="39"/>
        <v>0</v>
      </c>
      <c r="AQ61" s="96">
        <f t="shared" si="39"/>
        <v>0</v>
      </c>
      <c r="AR61" s="96">
        <f t="shared" si="39"/>
        <v>0</v>
      </c>
      <c r="AS61" s="96">
        <f t="shared" si="39"/>
        <v>0</v>
      </c>
      <c r="AT61" s="96">
        <f t="shared" si="39"/>
        <v>0</v>
      </c>
      <c r="AU61" s="96">
        <f t="shared" si="39"/>
        <v>0</v>
      </c>
      <c r="AV61" s="96">
        <f t="shared" si="39"/>
        <v>0</v>
      </c>
      <c r="AW61" s="96">
        <f t="shared" si="39"/>
        <v>0</v>
      </c>
      <c r="AX61" s="96">
        <f t="shared" si="39"/>
        <v>0</v>
      </c>
      <c r="AY61" s="97">
        <f t="shared" si="39"/>
        <v>0</v>
      </c>
      <c r="AZ61" s="97">
        <f t="shared" si="39"/>
        <v>0</v>
      </c>
      <c r="BA61" s="97">
        <f t="shared" si="39"/>
        <v>0</v>
      </c>
      <c r="BB61" s="97">
        <f t="shared" si="39"/>
        <v>0</v>
      </c>
      <c r="BC61" s="97">
        <f t="shared" si="39"/>
        <v>0</v>
      </c>
      <c r="BD61" s="97">
        <f t="shared" si="39"/>
        <v>0</v>
      </c>
      <c r="BE61" s="97">
        <f t="shared" si="39"/>
        <v>0</v>
      </c>
      <c r="BF61" s="97">
        <f t="shared" si="39"/>
        <v>0</v>
      </c>
      <c r="BG61" s="97">
        <f t="shared" si="39"/>
        <v>0</v>
      </c>
      <c r="BH61" s="97">
        <f t="shared" si="39"/>
        <v>0</v>
      </c>
      <c r="BI61" s="97">
        <f t="shared" si="39"/>
        <v>0</v>
      </c>
      <c r="BJ61" s="97">
        <f t="shared" si="39"/>
        <v>0</v>
      </c>
      <c r="BK61" s="97">
        <f t="shared" si="39"/>
        <v>0</v>
      </c>
      <c r="BL61" s="97">
        <f t="shared" si="39"/>
        <v>0</v>
      </c>
      <c r="BM61" s="97">
        <f t="shared" si="39"/>
        <v>0</v>
      </c>
      <c r="BN61" s="97">
        <f t="shared" si="39"/>
        <v>0</v>
      </c>
      <c r="BO61" s="97">
        <f t="shared" si="39"/>
        <v>0</v>
      </c>
      <c r="BP61" s="97">
        <f t="shared" si="39"/>
        <v>0</v>
      </c>
      <c r="BQ61" s="97">
        <f t="shared" si="39"/>
        <v>0</v>
      </c>
      <c r="BR61" s="97">
        <f t="shared" si="39"/>
        <v>0</v>
      </c>
      <c r="BS61" s="97">
        <f t="shared" si="39"/>
        <v>0</v>
      </c>
      <c r="BT61" s="97">
        <f t="shared" si="39"/>
        <v>0</v>
      </c>
      <c r="BU61" s="97">
        <f t="shared" si="39"/>
        <v>0</v>
      </c>
      <c r="BV61" s="97">
        <f t="shared" si="39"/>
        <v>0</v>
      </c>
    </row>
    <row r="62" ht="15.75" hidden="1" customHeight="1">
      <c r="A62" s="87"/>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row>
    <row r="63" ht="15.75" customHeight="1">
      <c r="A63" s="82"/>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88"/>
      <c r="AZ63" s="88"/>
      <c r="BA63" s="88"/>
      <c r="BB63" s="88"/>
      <c r="BC63" s="88"/>
      <c r="BD63" s="88"/>
      <c r="BE63" s="88"/>
      <c r="BF63" s="88"/>
      <c r="BG63" s="88"/>
      <c r="BH63" s="88"/>
      <c r="BI63" s="88"/>
      <c r="BJ63" s="88"/>
      <c r="BK63" s="88"/>
      <c r="BL63" s="88"/>
      <c r="BM63" s="88"/>
      <c r="BN63" s="88"/>
      <c r="BO63" s="88"/>
      <c r="BP63" s="88"/>
      <c r="BQ63" s="88"/>
      <c r="BR63" s="88"/>
      <c r="BS63" s="88"/>
      <c r="BT63" s="88"/>
      <c r="BU63" s="88"/>
      <c r="BV63" s="88"/>
    </row>
    <row r="64" ht="15.75" customHeight="1">
      <c r="A64" s="82" t="s">
        <v>123</v>
      </c>
      <c r="B64" s="44"/>
      <c r="C64" s="76">
        <f t="shared" ref="C64:BV64" si="40">C7+C12+C31-C37-C45</f>
        <v>9</v>
      </c>
      <c r="D64" s="76">
        <f t="shared" si="40"/>
        <v>9</v>
      </c>
      <c r="E64" s="76">
        <f t="shared" si="40"/>
        <v>10</v>
      </c>
      <c r="F64" s="76">
        <f t="shared" si="40"/>
        <v>10</v>
      </c>
      <c r="G64" s="76">
        <f t="shared" si="40"/>
        <v>13</v>
      </c>
      <c r="H64" s="76">
        <f t="shared" si="40"/>
        <v>8</v>
      </c>
      <c r="I64" s="76">
        <f t="shared" si="40"/>
        <v>17</v>
      </c>
      <c r="J64" s="76">
        <f t="shared" si="40"/>
        <v>9</v>
      </c>
      <c r="K64" s="76">
        <f t="shared" si="40"/>
        <v>9</v>
      </c>
      <c r="L64" s="76">
        <f t="shared" si="40"/>
        <v>9</v>
      </c>
      <c r="M64" s="76">
        <f t="shared" si="40"/>
        <v>9</v>
      </c>
      <c r="N64" s="76">
        <f t="shared" si="40"/>
        <v>11</v>
      </c>
      <c r="O64" s="76">
        <f t="shared" si="40"/>
        <v>10</v>
      </c>
      <c r="P64" s="76">
        <f t="shared" si="40"/>
        <v>20</v>
      </c>
      <c r="Q64" s="76">
        <f t="shared" si="40"/>
        <v>11</v>
      </c>
      <c r="R64" s="76">
        <f t="shared" si="40"/>
        <v>34</v>
      </c>
      <c r="S64" s="76">
        <f t="shared" si="40"/>
        <v>14</v>
      </c>
      <c r="T64" s="76">
        <f t="shared" si="40"/>
        <v>22</v>
      </c>
      <c r="U64" s="76">
        <f t="shared" si="40"/>
        <v>23</v>
      </c>
      <c r="V64" s="76">
        <f t="shared" si="40"/>
        <v>24</v>
      </c>
      <c r="W64" s="76">
        <f t="shared" si="40"/>
        <v>17</v>
      </c>
      <c r="X64" s="76">
        <f t="shared" si="40"/>
        <v>12</v>
      </c>
      <c r="Y64" s="76">
        <f t="shared" si="40"/>
        <v>16</v>
      </c>
      <c r="Z64" s="76">
        <f t="shared" si="40"/>
        <v>21</v>
      </c>
      <c r="AA64" s="76">
        <f t="shared" si="40"/>
        <v>24</v>
      </c>
      <c r="AB64" s="76">
        <f t="shared" si="40"/>
        <v>22</v>
      </c>
      <c r="AC64" s="76">
        <f t="shared" si="40"/>
        <v>11</v>
      </c>
      <c r="AD64" s="76">
        <f t="shared" si="40"/>
        <v>2</v>
      </c>
      <c r="AE64" s="96">
        <f t="shared" si="40"/>
        <v>-3.304</v>
      </c>
      <c r="AF64" s="96">
        <f t="shared" si="40"/>
        <v>-0.752704</v>
      </c>
      <c r="AG64" s="96">
        <f t="shared" si="40"/>
        <v>2.335077376</v>
      </c>
      <c r="AH64" s="96">
        <f t="shared" si="40"/>
        <v>8.755824399</v>
      </c>
      <c r="AI64" s="96">
        <f t="shared" si="40"/>
        <v>11.12462382</v>
      </c>
      <c r="AJ64" s="96">
        <f t="shared" si="40"/>
        <v>12.00225296</v>
      </c>
      <c r="AK64" s="96">
        <f t="shared" si="40"/>
        <v>11.87022818</v>
      </c>
      <c r="AL64" s="96">
        <f t="shared" si="40"/>
        <v>12.73965567</v>
      </c>
      <c r="AM64" s="96">
        <f t="shared" si="40"/>
        <v>12.59951946</v>
      </c>
      <c r="AN64" s="96">
        <f t="shared" si="40"/>
        <v>13.46092474</v>
      </c>
      <c r="AO64" s="96">
        <f t="shared" si="40"/>
        <v>13.31285457</v>
      </c>
      <c r="AP64" s="96">
        <f t="shared" si="40"/>
        <v>14.16641317</v>
      </c>
      <c r="AQ64" s="96">
        <f t="shared" si="40"/>
        <v>15.01058263</v>
      </c>
      <c r="AR64" s="96">
        <f t="shared" si="40"/>
        <v>14.84546622</v>
      </c>
      <c r="AS64" s="96">
        <f t="shared" si="40"/>
        <v>15.68216609</v>
      </c>
      <c r="AT64" s="96">
        <f t="shared" si="40"/>
        <v>15.50966226</v>
      </c>
      <c r="AU64" s="96">
        <f t="shared" si="40"/>
        <v>16.33905598</v>
      </c>
      <c r="AV64" s="96">
        <f t="shared" si="40"/>
        <v>17.15932636</v>
      </c>
      <c r="AW64" s="96">
        <f t="shared" si="40"/>
        <v>16.97057377</v>
      </c>
      <c r="AX64" s="96">
        <f t="shared" si="40"/>
        <v>17.78389746</v>
      </c>
      <c r="AY64" s="97">
        <f t="shared" si="40"/>
        <v>16.58827459</v>
      </c>
      <c r="AZ64" s="97">
        <f t="shared" si="40"/>
        <v>17.40580357</v>
      </c>
      <c r="BA64" s="97">
        <f t="shared" si="40"/>
        <v>17.21433973</v>
      </c>
      <c r="BB64" s="97">
        <f t="shared" si="40"/>
        <v>17.02498199</v>
      </c>
      <c r="BC64" s="97">
        <f t="shared" si="40"/>
        <v>16.83770719</v>
      </c>
      <c r="BD64" s="97">
        <f t="shared" si="40"/>
        <v>17.65249241</v>
      </c>
      <c r="BE64" s="97">
        <f t="shared" si="40"/>
        <v>17.45831499</v>
      </c>
      <c r="BF64" s="97">
        <f t="shared" si="40"/>
        <v>18.26627353</v>
      </c>
      <c r="BG64" s="97">
        <f t="shared" si="40"/>
        <v>18.06534452</v>
      </c>
      <c r="BH64" s="97">
        <f t="shared" si="40"/>
        <v>17.86662573</v>
      </c>
      <c r="BI64" s="97">
        <f t="shared" si="40"/>
        <v>18.67009285</v>
      </c>
      <c r="BJ64" s="97">
        <f t="shared" si="40"/>
        <v>18.46472183</v>
      </c>
      <c r="BK64" s="97">
        <f t="shared" si="40"/>
        <v>18.26160989</v>
      </c>
      <c r="BL64" s="97">
        <f t="shared" si="40"/>
        <v>19.06073218</v>
      </c>
      <c r="BM64" s="97">
        <f t="shared" si="40"/>
        <v>18.85106412</v>
      </c>
      <c r="BN64" s="97">
        <f t="shared" si="40"/>
        <v>19.64370242</v>
      </c>
      <c r="BO64" s="97">
        <f t="shared" si="40"/>
        <v>19.42762169</v>
      </c>
      <c r="BP64" s="97">
        <f t="shared" si="40"/>
        <v>19.21391785</v>
      </c>
      <c r="BQ64" s="97">
        <f t="shared" si="40"/>
        <v>20.00256476</v>
      </c>
      <c r="BR64" s="97">
        <f t="shared" si="40"/>
        <v>19.78253654</v>
      </c>
      <c r="BS64" s="97">
        <f t="shared" si="40"/>
        <v>20.56492864</v>
      </c>
      <c r="BT64" s="97">
        <f t="shared" si="40"/>
        <v>20.33871443</v>
      </c>
      <c r="BU64" s="97">
        <f t="shared" si="40"/>
        <v>21.11498857</v>
      </c>
      <c r="BV64" s="97">
        <f t="shared" si="40"/>
        <v>20.88272369</v>
      </c>
    </row>
    <row r="65" ht="15.75" customHeight="1">
      <c r="A65" s="112" t="s">
        <v>124</v>
      </c>
      <c r="B65" s="44"/>
      <c r="C65" s="90">
        <f>SUMIFS(MRR_Export_Total_Customer_Count,MRR_Export_Months,"&gt;="&amp;C$1,MRR_Export_Months,"&lt;"&amp;D$1)</f>
        <v>237</v>
      </c>
      <c r="D65" s="90">
        <f>SUMIFS(MRR_Export_Total_Customer_Count,MRR_Export_Months,"&gt;="&amp;D$1,MRR_Export_Months,"&lt;"&amp;E$1)</f>
        <v>218</v>
      </c>
      <c r="E65" s="90">
        <f>SUMIFS(MRR_Export_Total_Customer_Count,MRR_Export_Months,"&gt;="&amp;E$1,MRR_Export_Months,"&lt;"&amp;F$1)</f>
        <v>228</v>
      </c>
      <c r="F65" s="90">
        <f>SUMIFS(MRR_Export_Total_Customer_Count,MRR_Export_Months,"&gt;="&amp;F$1,MRR_Export_Months,"&lt;"&amp;G$1)</f>
        <v>238</v>
      </c>
      <c r="G65" s="90">
        <f>SUMIFS(MRR_Export_Total_Customer_Count,MRR_Export_Months,"&gt;="&amp;G$1,MRR_Export_Months,"&lt;"&amp;H$1)</f>
        <v>251</v>
      </c>
      <c r="H65" s="90">
        <f>SUMIFS(MRR_Export_Total_Customer_Count,MRR_Export_Months,"&gt;="&amp;H$1,MRR_Export_Months,"&lt;"&amp;I$1)</f>
        <v>259</v>
      </c>
      <c r="I65" s="90">
        <f>SUMIFS(MRR_Export_Total_Customer_Count,MRR_Export_Months,"&gt;="&amp;I$1,MRR_Export_Months,"&lt;"&amp;J$1)</f>
        <v>276</v>
      </c>
      <c r="J65" s="90">
        <f>SUMIFS(MRR_Export_Total_Customer_Count,MRR_Export_Months,"&gt;="&amp;J$1,MRR_Export_Months,"&lt;"&amp;K$1)</f>
        <v>285</v>
      </c>
      <c r="K65" s="90">
        <f>SUMIFS(MRR_Export_Total_Customer_Count,MRR_Export_Months,"&gt;="&amp;K$1,MRR_Export_Months,"&lt;"&amp;L$1)</f>
        <v>294</v>
      </c>
      <c r="L65" s="90">
        <f>SUMIFS(MRR_Export_Total_Customer_Count,MRR_Export_Months,"&gt;="&amp;L$1,MRR_Export_Months,"&lt;"&amp;M$1)</f>
        <v>303</v>
      </c>
      <c r="M65" s="90">
        <f>SUMIFS(MRR_Export_Total_Customer_Count,MRR_Export_Months,"&gt;="&amp;M$1,MRR_Export_Months,"&lt;"&amp;N$1)</f>
        <v>312</v>
      </c>
      <c r="N65" s="90">
        <f>SUMIFS(MRR_Export_Total_Customer_Count,MRR_Export_Months,"&gt;="&amp;N$1,MRR_Export_Months,"&lt;"&amp;O$1)</f>
        <v>323</v>
      </c>
      <c r="O65" s="90">
        <f>SUMIFS(MRR_Export_Total_Customer_Count,MRR_Export_Months,"&gt;="&amp;O$1,MRR_Export_Months,"&lt;"&amp;P$1)</f>
        <v>333</v>
      </c>
      <c r="P65" s="90">
        <f>SUMIFS(MRR_Export_Total_Customer_Count,MRR_Export_Months,"&gt;="&amp;P$1,MRR_Export_Months,"&lt;"&amp;Q$1)</f>
        <v>353</v>
      </c>
      <c r="Q65" s="90">
        <f>SUMIFS(MRR_Export_Total_Customer_Count,MRR_Export_Months,"&gt;="&amp;Q$1,MRR_Export_Months,"&lt;"&amp;R$1)</f>
        <v>364</v>
      </c>
      <c r="R65" s="90">
        <f>SUMIFS(MRR_Export_Total_Customer_Count,MRR_Export_Months,"&gt;="&amp;R$1,MRR_Export_Months,"&lt;"&amp;S$1)</f>
        <v>398</v>
      </c>
      <c r="S65" s="90">
        <f>SUMIFS(MRR_Export_Total_Customer_Count,MRR_Export_Months,"&gt;="&amp;S$1,MRR_Export_Months,"&lt;"&amp;T$1)</f>
        <v>412</v>
      </c>
      <c r="T65" s="90">
        <f>SUMIFS(MRR_Export_Total_Customer_Count,MRR_Export_Months,"&gt;="&amp;T$1,MRR_Export_Months,"&lt;"&amp;U$1)</f>
        <v>434</v>
      </c>
      <c r="U65" s="90">
        <f>SUMIFS(MRR_Export_Total_Customer_Count,MRR_Export_Months,"&gt;="&amp;U$1,MRR_Export_Months,"&lt;"&amp;V$1)</f>
        <v>457</v>
      </c>
      <c r="V65" s="90">
        <f>SUMIFS(MRR_Export_Total_Customer_Count,MRR_Export_Months,"&gt;="&amp;V$1,MRR_Export_Months,"&lt;"&amp;W$1)</f>
        <v>479</v>
      </c>
      <c r="W65" s="90">
        <f>SUMIFS(MRR_Export_Total_Customer_Count,MRR_Export_Months,"&gt;="&amp;W$1,MRR_Export_Months,"&lt;"&amp;X$1)</f>
        <v>496</v>
      </c>
      <c r="X65" s="90">
        <f>SUMIFS(MRR_Export_Total_Customer_Count,MRR_Export_Months,"&gt;="&amp;X$1,MRR_Export_Months,"&lt;"&amp;Y$1)</f>
        <v>508</v>
      </c>
      <c r="Y65" s="90">
        <f>SUMIFS(MRR_Export_Total_Customer_Count,MRR_Export_Months,"&gt;="&amp;Y$1,MRR_Export_Months,"&lt;"&amp;Z$1)</f>
        <v>524</v>
      </c>
      <c r="Z65" s="90">
        <f>SUMIFS(MRR_Export_Total_Customer_Count,MRR_Export_Months,"&gt;="&amp;Z$1,MRR_Export_Months,"&lt;"&amp;AA$1)</f>
        <v>545</v>
      </c>
      <c r="AA65" s="90">
        <f>SUMIFS(MRR_Export_Total_Customer_Count,MRR_Export_Months,"&gt;="&amp;AA$1,MRR_Export_Months,"&lt;"&amp;AB$1)</f>
        <v>571</v>
      </c>
      <c r="AB65" s="90">
        <f>SUMIFS(MRR_Export_Total_Customer_Count,MRR_Export_Months,"&gt;="&amp;AB$1,MRR_Export_Months,"&lt;"&amp;AC$1)</f>
        <v>605</v>
      </c>
      <c r="AC65" s="90">
        <f>SUMIFS(MRR_Export_Total_Customer_Count,MRR_Export_Months,"&gt;="&amp;AC$1,MRR_Export_Months,"&lt;"&amp;AD$1)</f>
        <v>616</v>
      </c>
      <c r="AD65" s="90">
        <f>SUMIFS(MRR_Export_Total_Customer_Count,MRR_Export_Months,"&gt;="&amp;AD$1,MRR_Export_Months,"&lt;"&amp;AE$1)</f>
        <v>618</v>
      </c>
      <c r="AE65" s="96">
        <f t="shared" ref="AE65:BV65" si="41">AD65+AE64</f>
        <v>614.696</v>
      </c>
      <c r="AF65" s="96">
        <f t="shared" si="41"/>
        <v>613.943296</v>
      </c>
      <c r="AG65" s="96">
        <f t="shared" si="41"/>
        <v>616.2783734</v>
      </c>
      <c r="AH65" s="96">
        <f t="shared" si="41"/>
        <v>625.0341978</v>
      </c>
      <c r="AI65" s="96">
        <f t="shared" si="41"/>
        <v>636.1588216</v>
      </c>
      <c r="AJ65" s="96">
        <f t="shared" si="41"/>
        <v>648.1610746</v>
      </c>
      <c r="AK65" s="96">
        <f t="shared" si="41"/>
        <v>660.0313027</v>
      </c>
      <c r="AL65" s="96">
        <f t="shared" si="41"/>
        <v>672.7709584</v>
      </c>
      <c r="AM65" s="96">
        <f t="shared" si="41"/>
        <v>685.3704779</v>
      </c>
      <c r="AN65" s="96">
        <f t="shared" si="41"/>
        <v>698.8314026</v>
      </c>
      <c r="AO65" s="96">
        <f t="shared" si="41"/>
        <v>712.1442572</v>
      </c>
      <c r="AP65" s="96">
        <f t="shared" si="41"/>
        <v>726.3106704</v>
      </c>
      <c r="AQ65" s="96">
        <f t="shared" si="41"/>
        <v>741.321253</v>
      </c>
      <c r="AR65" s="96">
        <f t="shared" si="41"/>
        <v>756.1667192</v>
      </c>
      <c r="AS65" s="96">
        <f t="shared" si="41"/>
        <v>771.8488853</v>
      </c>
      <c r="AT65" s="96">
        <f t="shared" si="41"/>
        <v>787.3585475</v>
      </c>
      <c r="AU65" s="96">
        <f t="shared" si="41"/>
        <v>803.6976035</v>
      </c>
      <c r="AV65" s="96">
        <f t="shared" si="41"/>
        <v>820.8569299</v>
      </c>
      <c r="AW65" s="96">
        <f t="shared" si="41"/>
        <v>837.8275037</v>
      </c>
      <c r="AX65" s="96">
        <f t="shared" si="41"/>
        <v>855.6114011</v>
      </c>
      <c r="AY65" s="97">
        <f t="shared" si="41"/>
        <v>872.1996757</v>
      </c>
      <c r="AZ65" s="97">
        <f t="shared" si="41"/>
        <v>889.6054793</v>
      </c>
      <c r="BA65" s="97">
        <f t="shared" si="41"/>
        <v>906.819819</v>
      </c>
      <c r="BB65" s="97">
        <f t="shared" si="41"/>
        <v>923.844801</v>
      </c>
      <c r="BC65" s="97">
        <f t="shared" si="41"/>
        <v>940.6825082</v>
      </c>
      <c r="BD65" s="97">
        <f t="shared" si="41"/>
        <v>958.3350006</v>
      </c>
      <c r="BE65" s="97">
        <f t="shared" si="41"/>
        <v>975.7933156</v>
      </c>
      <c r="BF65" s="97">
        <f t="shared" si="41"/>
        <v>994.0595891</v>
      </c>
      <c r="BG65" s="97">
        <f t="shared" si="41"/>
        <v>1012.124934</v>
      </c>
      <c r="BH65" s="97">
        <f t="shared" si="41"/>
        <v>1029.991559</v>
      </c>
      <c r="BI65" s="97">
        <f t="shared" si="41"/>
        <v>1048.661652</v>
      </c>
      <c r="BJ65" s="97">
        <f t="shared" si="41"/>
        <v>1067.126374</v>
      </c>
      <c r="BK65" s="97">
        <f t="shared" si="41"/>
        <v>1085.387984</v>
      </c>
      <c r="BL65" s="97">
        <f t="shared" si="41"/>
        <v>1104.448716</v>
      </c>
      <c r="BM65" s="97">
        <f t="shared" si="41"/>
        <v>1123.29978</v>
      </c>
      <c r="BN65" s="97">
        <f t="shared" si="41"/>
        <v>1142.943483</v>
      </c>
      <c r="BO65" s="97">
        <f t="shared" si="41"/>
        <v>1162.371104</v>
      </c>
      <c r="BP65" s="97">
        <f t="shared" si="41"/>
        <v>1181.585022</v>
      </c>
      <c r="BQ65" s="97">
        <f t="shared" si="41"/>
        <v>1201.587587</v>
      </c>
      <c r="BR65" s="97">
        <f t="shared" si="41"/>
        <v>1221.370123</v>
      </c>
      <c r="BS65" s="97">
        <f t="shared" si="41"/>
        <v>1241.935052</v>
      </c>
      <c r="BT65" s="97">
        <f t="shared" si="41"/>
        <v>1262.273767</v>
      </c>
      <c r="BU65" s="97">
        <f t="shared" si="41"/>
        <v>1283.388755</v>
      </c>
      <c r="BV65" s="97">
        <f t="shared" si="41"/>
        <v>1304.271479</v>
      </c>
    </row>
    <row r="66" ht="15.75" customHeight="1">
      <c r="A66" s="87"/>
      <c r="B66" s="96"/>
      <c r="C66" s="96"/>
      <c r="D66" s="96"/>
      <c r="E66" s="96"/>
      <c r="F66" s="96"/>
      <c r="G66" s="96"/>
      <c r="H66" s="96"/>
      <c r="I66" s="96"/>
      <c r="J66" s="96"/>
      <c r="K66" s="96"/>
      <c r="L66" s="96"/>
      <c r="M66" s="96"/>
      <c r="N66" s="96"/>
      <c r="O66" s="96"/>
      <c r="P66" s="96"/>
      <c r="Q66" s="96"/>
      <c r="R66" s="96"/>
      <c r="S66" s="96"/>
      <c r="T66" s="96"/>
      <c r="U66" s="96"/>
      <c r="V66" s="96"/>
      <c r="W66" s="96"/>
      <c r="X66" s="96"/>
      <c r="Y66" s="96"/>
      <c r="Z66" s="96"/>
      <c r="AA66" s="96"/>
      <c r="AB66" s="96"/>
      <c r="AC66" s="96"/>
      <c r="AD66" s="96"/>
      <c r="AE66" s="113"/>
      <c r="AF66" s="113"/>
      <c r="AG66" s="113"/>
      <c r="AH66" s="113"/>
      <c r="AI66" s="113"/>
      <c r="AJ66" s="113"/>
      <c r="AK66" s="113"/>
      <c r="AL66" s="113"/>
      <c r="AM66" s="113"/>
      <c r="AN66" s="113"/>
      <c r="AO66" s="113"/>
      <c r="AP66" s="113"/>
      <c r="AQ66" s="113"/>
      <c r="AR66" s="113"/>
      <c r="AS66" s="113"/>
      <c r="AT66" s="113"/>
      <c r="AU66" s="113"/>
      <c r="AV66" s="113"/>
      <c r="AW66" s="113"/>
      <c r="AX66" s="114" t="s">
        <v>125</v>
      </c>
      <c r="AY66" s="110">
        <v>0.03</v>
      </c>
      <c r="AZ66" s="110">
        <v>0.03</v>
      </c>
      <c r="BA66" s="110">
        <v>0.03</v>
      </c>
      <c r="BB66" s="110">
        <v>0.03</v>
      </c>
      <c r="BC66" s="110">
        <v>0.03</v>
      </c>
      <c r="BD66" s="110">
        <v>0.03</v>
      </c>
      <c r="BE66" s="110">
        <v>0.03</v>
      </c>
      <c r="BF66" s="110">
        <v>0.03</v>
      </c>
      <c r="BG66" s="110">
        <v>0.03</v>
      </c>
      <c r="BH66" s="110">
        <v>0.03</v>
      </c>
      <c r="BI66" s="110">
        <v>0.03</v>
      </c>
      <c r="BJ66" s="110">
        <v>0.03</v>
      </c>
      <c r="BK66" s="110">
        <v>0.03</v>
      </c>
      <c r="BL66" s="110">
        <v>0.03</v>
      </c>
      <c r="BM66" s="110">
        <v>0.03</v>
      </c>
      <c r="BN66" s="110">
        <v>0.03</v>
      </c>
      <c r="BO66" s="110">
        <v>0.03</v>
      </c>
      <c r="BP66" s="110">
        <v>0.03</v>
      </c>
      <c r="BQ66" s="110">
        <v>0.03</v>
      </c>
      <c r="BR66" s="110">
        <v>0.03</v>
      </c>
      <c r="BS66" s="110">
        <v>0.03</v>
      </c>
      <c r="BT66" s="110">
        <v>0.03</v>
      </c>
      <c r="BU66" s="110">
        <v>0.03</v>
      </c>
      <c r="BV66" s="110">
        <v>0.03</v>
      </c>
    </row>
    <row r="67" ht="15.75" customHeight="1">
      <c r="A67" s="82" t="s">
        <v>126</v>
      </c>
      <c r="B67" s="96"/>
      <c r="C67" s="76">
        <f t="shared" ref="C67:AX67" si="42">C9+C14+C21+C27+C33+C40+C48+C55+C61</f>
        <v>15234</v>
      </c>
      <c r="D67" s="76">
        <f t="shared" si="42"/>
        <v>17687</v>
      </c>
      <c r="E67" s="76">
        <f t="shared" si="42"/>
        <v>19464</v>
      </c>
      <c r="F67" s="76">
        <f t="shared" si="42"/>
        <v>20249</v>
      </c>
      <c r="G67" s="76">
        <f t="shared" si="42"/>
        <v>25254</v>
      </c>
      <c r="H67" s="76">
        <f t="shared" si="42"/>
        <v>15441</v>
      </c>
      <c r="I67" s="76">
        <f t="shared" si="42"/>
        <v>24628</v>
      </c>
      <c r="J67" s="76">
        <f t="shared" si="42"/>
        <v>13979</v>
      </c>
      <c r="K67" s="76">
        <f t="shared" si="42"/>
        <v>13845</v>
      </c>
      <c r="L67" s="76">
        <f t="shared" si="42"/>
        <v>13187</v>
      </c>
      <c r="M67" s="76">
        <f t="shared" si="42"/>
        <v>13090</v>
      </c>
      <c r="N67" s="76">
        <f t="shared" si="42"/>
        <v>12451</v>
      </c>
      <c r="O67" s="76">
        <f t="shared" si="42"/>
        <v>13555</v>
      </c>
      <c r="P67" s="76">
        <f t="shared" si="42"/>
        <v>23041</v>
      </c>
      <c r="Q67" s="76">
        <f t="shared" si="42"/>
        <v>12294</v>
      </c>
      <c r="R67" s="76">
        <f t="shared" si="42"/>
        <v>57351</v>
      </c>
      <c r="S67" s="76">
        <f t="shared" si="42"/>
        <v>15166</v>
      </c>
      <c r="T67" s="76">
        <f t="shared" si="42"/>
        <v>23434</v>
      </c>
      <c r="U67" s="76">
        <f t="shared" si="42"/>
        <v>20030.30143</v>
      </c>
      <c r="V67" s="76">
        <f t="shared" si="42"/>
        <v>26493.35866</v>
      </c>
      <c r="W67" s="76">
        <f t="shared" si="42"/>
        <v>26054.85019</v>
      </c>
      <c r="X67" s="76">
        <f t="shared" si="42"/>
        <v>23495.85019</v>
      </c>
      <c r="Y67" s="76">
        <f t="shared" si="42"/>
        <v>21763.85019</v>
      </c>
      <c r="Z67" s="76">
        <f t="shared" si="42"/>
        <v>20960.85019</v>
      </c>
      <c r="AA67" s="76">
        <f t="shared" si="42"/>
        <v>22458.85019</v>
      </c>
      <c r="AB67" s="76">
        <f t="shared" si="42"/>
        <v>25563.85019</v>
      </c>
      <c r="AC67" s="76">
        <f t="shared" si="42"/>
        <v>-4145</v>
      </c>
      <c r="AD67" s="76">
        <f t="shared" si="42"/>
        <v>-25456</v>
      </c>
      <c r="AE67" s="96">
        <f t="shared" si="42"/>
        <v>-43355.59234</v>
      </c>
      <c r="AF67" s="96">
        <f t="shared" si="42"/>
        <v>-32085.77823</v>
      </c>
      <c r="AG67" s="96">
        <f t="shared" si="42"/>
        <v>-20289.47662</v>
      </c>
      <c r="AH67" s="96">
        <f t="shared" si="42"/>
        <v>-3066.609445</v>
      </c>
      <c r="AI67" s="96">
        <f t="shared" si="42"/>
        <v>5364.585637</v>
      </c>
      <c r="AJ67" s="96">
        <f t="shared" si="42"/>
        <v>6855.669651</v>
      </c>
      <c r="AK67" s="96">
        <f t="shared" si="42"/>
        <v>6134.240685</v>
      </c>
      <c r="AL67" s="96">
        <f t="shared" si="42"/>
        <v>6969.345075</v>
      </c>
      <c r="AM67" s="96">
        <f t="shared" si="42"/>
        <v>6643.87777</v>
      </c>
      <c r="AN67" s="96">
        <f t="shared" si="42"/>
        <v>7565.077297</v>
      </c>
      <c r="AO67" s="96">
        <f t="shared" si="42"/>
        <v>7180.601465</v>
      </c>
      <c r="AP67" s="96">
        <f t="shared" si="42"/>
        <v>8072.921835</v>
      </c>
      <c r="AQ67" s="96">
        <f t="shared" si="42"/>
        <v>8936.964121</v>
      </c>
      <c r="AR67" s="96">
        <f t="shared" si="42"/>
        <v>8525.032377</v>
      </c>
      <c r="AS67" s="96">
        <f t="shared" si="42"/>
        <v>9370.664677</v>
      </c>
      <c r="AT67" s="96">
        <f t="shared" si="42"/>
        <v>8943.82988</v>
      </c>
      <c r="AU67" s="96">
        <f t="shared" si="42"/>
        <v>9769.088268</v>
      </c>
      <c r="AV67" s="96">
        <f t="shared" si="42"/>
        <v>10572.74399</v>
      </c>
      <c r="AW67" s="96">
        <f t="shared" si="42"/>
        <v>10105.64367</v>
      </c>
      <c r="AX67" s="96">
        <f t="shared" si="42"/>
        <v>10891.63089</v>
      </c>
      <c r="AY67" s="97">
        <f t="shared" ref="AY67:BV67" si="43">AX68*AY66</f>
        <v>24834.33666</v>
      </c>
      <c r="AZ67" s="97">
        <f t="shared" si="43"/>
        <v>25579.36676</v>
      </c>
      <c r="BA67" s="97">
        <f t="shared" si="43"/>
        <v>26346.74776</v>
      </c>
      <c r="BB67" s="97">
        <f t="shared" si="43"/>
        <v>27137.15019</v>
      </c>
      <c r="BC67" s="97">
        <f t="shared" si="43"/>
        <v>27951.2647</v>
      </c>
      <c r="BD67" s="97">
        <f t="shared" si="43"/>
        <v>28789.80264</v>
      </c>
      <c r="BE67" s="97">
        <f t="shared" si="43"/>
        <v>29653.49672</v>
      </c>
      <c r="BF67" s="97">
        <f t="shared" si="43"/>
        <v>30543.10162</v>
      </c>
      <c r="BG67" s="97">
        <f t="shared" si="43"/>
        <v>31459.39467</v>
      </c>
      <c r="BH67" s="97">
        <f t="shared" si="43"/>
        <v>32403.17651</v>
      </c>
      <c r="BI67" s="97">
        <f t="shared" si="43"/>
        <v>33375.2718</v>
      </c>
      <c r="BJ67" s="97">
        <f t="shared" si="43"/>
        <v>34376.52996</v>
      </c>
      <c r="BK67" s="97">
        <f t="shared" si="43"/>
        <v>35407.82585</v>
      </c>
      <c r="BL67" s="97">
        <f t="shared" si="43"/>
        <v>36470.06063</v>
      </c>
      <c r="BM67" s="97">
        <f t="shared" si="43"/>
        <v>37564.16245</v>
      </c>
      <c r="BN67" s="97">
        <f t="shared" si="43"/>
        <v>38691.08732</v>
      </c>
      <c r="BO67" s="97">
        <f t="shared" si="43"/>
        <v>39851.81994</v>
      </c>
      <c r="BP67" s="97">
        <f t="shared" si="43"/>
        <v>41047.37454</v>
      </c>
      <c r="BQ67" s="97">
        <f t="shared" si="43"/>
        <v>42278.79578</v>
      </c>
      <c r="BR67" s="97">
        <f t="shared" si="43"/>
        <v>43547.15965</v>
      </c>
      <c r="BS67" s="97">
        <f t="shared" si="43"/>
        <v>44853.57444</v>
      </c>
      <c r="BT67" s="97">
        <f t="shared" si="43"/>
        <v>46199.18167</v>
      </c>
      <c r="BU67" s="97">
        <f t="shared" si="43"/>
        <v>47585.15712</v>
      </c>
      <c r="BV67" s="97">
        <f t="shared" si="43"/>
        <v>49012.71184</v>
      </c>
    </row>
    <row r="68" ht="15.75" customHeight="1">
      <c r="A68" s="115" t="s">
        <v>127</v>
      </c>
      <c r="B68" s="116"/>
      <c r="C68" s="117">
        <f>SUMIFS(MRR_Export_MRR,MRR_Export_Months,"&gt;="&amp;C$1,MRR_Export_Months,"&lt;"&amp;D$1)</f>
        <v>303370</v>
      </c>
      <c r="D68" s="117">
        <f>SUMIFS(MRR_Export_MRR,MRR_Export_Months,"&gt;="&amp;D$1,MRR_Export_Months,"&lt;"&amp;E$1)</f>
        <v>321057</v>
      </c>
      <c r="E68" s="117">
        <f>SUMIFS(MRR_Export_MRR,MRR_Export_Months,"&gt;="&amp;E$1,MRR_Export_Months,"&lt;"&amp;F$1)</f>
        <v>340521</v>
      </c>
      <c r="F68" s="117">
        <f>SUMIFS(MRR_Export_MRR,MRR_Export_Months,"&gt;="&amp;F$1,MRR_Export_Months,"&lt;"&amp;G$1)</f>
        <v>360770</v>
      </c>
      <c r="G68" s="117">
        <f>SUMIFS(MRR_Export_MRR,MRR_Export_Months,"&gt;="&amp;G$1,MRR_Export_Months,"&lt;"&amp;H$1)</f>
        <v>386024</v>
      </c>
      <c r="H68" s="117">
        <f>SUMIFS(MRR_Export_MRR,MRR_Export_Months,"&gt;="&amp;H$1,MRR_Export_Months,"&lt;"&amp;I$1)</f>
        <v>401465</v>
      </c>
      <c r="I68" s="117">
        <f>SUMIFS(MRR_Export_MRR,MRR_Export_Months,"&gt;="&amp;I$1,MRR_Export_Months,"&lt;"&amp;J$1)</f>
        <v>426093</v>
      </c>
      <c r="J68" s="117">
        <f>SUMIFS(MRR_Export_MRR,MRR_Export_Months,"&gt;="&amp;J$1,MRR_Export_Months,"&lt;"&amp;K$1)</f>
        <v>440072</v>
      </c>
      <c r="K68" s="117">
        <f>SUMIFS(MRR_Export_MRR,MRR_Export_Months,"&gt;="&amp;K$1,MRR_Export_Months,"&lt;"&amp;L$1)</f>
        <v>453917</v>
      </c>
      <c r="L68" s="117">
        <f>SUMIFS(MRR_Export_MRR,MRR_Export_Months,"&gt;="&amp;L$1,MRR_Export_Months,"&lt;"&amp;M$1)</f>
        <v>467104</v>
      </c>
      <c r="M68" s="117">
        <f>SUMIFS(MRR_Export_MRR,MRR_Export_Months,"&gt;="&amp;M$1,MRR_Export_Months,"&lt;"&amp;N$1)</f>
        <v>480194</v>
      </c>
      <c r="N68" s="117">
        <f>SUMIFS(MRR_Export_MRR,MRR_Export_Months,"&gt;="&amp;N$1,MRR_Export_Months,"&lt;"&amp;O$1)</f>
        <v>492645</v>
      </c>
      <c r="O68" s="117">
        <f>SUMIFS(MRR_Export_MRR,MRR_Export_Months,"&gt;="&amp;O$1,MRR_Export_Months,"&lt;"&amp;P$1)</f>
        <v>506200</v>
      </c>
      <c r="P68" s="117">
        <f>SUMIFS(MRR_Export_MRR,MRR_Export_Months,"&gt;="&amp;P$1,MRR_Export_Months,"&lt;"&amp;Q$1)</f>
        <v>529241</v>
      </c>
      <c r="Q68" s="117">
        <f>SUMIFS(MRR_Export_MRR,MRR_Export_Months,"&gt;="&amp;Q$1,MRR_Export_Months,"&lt;"&amp;R$1)</f>
        <v>541535</v>
      </c>
      <c r="R68" s="117">
        <f>SUMIFS(MRR_Export_MRR,MRR_Export_Months,"&gt;="&amp;R$1,MRR_Export_Months,"&lt;"&amp;S$1)</f>
        <v>598886</v>
      </c>
      <c r="S68" s="117">
        <f>SUMIFS(MRR_Export_MRR,MRR_Export_Months,"&gt;="&amp;S$1,MRR_Export_Months,"&lt;"&amp;T$1)</f>
        <v>614052</v>
      </c>
      <c r="T68" s="117">
        <f>SUMIFS(MRR_Export_MRR,MRR_Export_Months,"&gt;="&amp;T$1,MRR_Export_Months,"&lt;"&amp;U$1)</f>
        <v>637486</v>
      </c>
      <c r="U68" s="117">
        <f>SUMIFS(MRR_Export_MRR,MRR_Export_Months,"&gt;="&amp;U$1,MRR_Export_Months,"&lt;"&amp;V$1)</f>
        <v>657516.3014</v>
      </c>
      <c r="V68" s="117">
        <f>SUMIFS(MRR_Export_MRR,MRR_Export_Months,"&gt;="&amp;V$1,MRR_Export_Months,"&lt;"&amp;W$1)</f>
        <v>684009.6601</v>
      </c>
      <c r="W68" s="117">
        <f>SUMIFS(MRR_Export_MRR,MRR_Export_Months,"&gt;="&amp;W$1,MRR_Export_Months,"&lt;"&amp;X$1)</f>
        <v>710064.5103</v>
      </c>
      <c r="X68" s="117">
        <f>SUMIFS(MRR_Export_MRR,MRR_Export_Months,"&gt;="&amp;X$1,MRR_Export_Months,"&lt;"&amp;Y$1)</f>
        <v>733560.3605</v>
      </c>
      <c r="Y68" s="117">
        <f>SUMIFS(MRR_Export_MRR,MRR_Export_Months,"&gt;="&amp;Y$1,MRR_Export_Months,"&lt;"&amp;Z$1)</f>
        <v>755324.2106</v>
      </c>
      <c r="Z68" s="117">
        <f>SUMIFS(MRR_Export_MRR,MRR_Export_Months,"&gt;="&amp;Z$1,MRR_Export_Months,"&lt;"&amp;AA$1)</f>
        <v>776285.0608</v>
      </c>
      <c r="AA68" s="117">
        <f>SUMIFS(MRR_Export_MRR,MRR_Export_Months,"&gt;="&amp;AA$1,MRR_Export_Months,"&lt;"&amp;AB$1)</f>
        <v>798743.911</v>
      </c>
      <c r="AB68" s="117">
        <f>SUMIFS(MRR_Export_MRR,MRR_Export_Months,"&gt;="&amp;AB$1,MRR_Export_Months,"&lt;"&amp;AC$1)</f>
        <v>824307.7612</v>
      </c>
      <c r="AC68" s="117">
        <f>SUMIFS(MRR_Export_MRR,MRR_Export_Months,"&gt;="&amp;AC$1,MRR_Export_Months,"&lt;"&amp;AD$1)</f>
        <v>820162.7612</v>
      </c>
      <c r="AD68" s="117">
        <f>SUMIFS(MRR_Export_MRR,MRR_Export_Months,"&gt;="&amp;AD$1,MRR_Export_Months,"&lt;"&amp;AE$1)</f>
        <v>794706.7612</v>
      </c>
      <c r="AE68" s="118">
        <f t="shared" ref="AE68:BV68" si="44">AD68+AE67</f>
        <v>751351.1689</v>
      </c>
      <c r="AF68" s="118">
        <f t="shared" si="44"/>
        <v>719265.3906</v>
      </c>
      <c r="AG68" s="118">
        <f t="shared" si="44"/>
        <v>698975.914</v>
      </c>
      <c r="AH68" s="118">
        <f t="shared" si="44"/>
        <v>695909.3046</v>
      </c>
      <c r="AI68" s="118">
        <f t="shared" si="44"/>
        <v>701273.8902</v>
      </c>
      <c r="AJ68" s="118">
        <f t="shared" si="44"/>
        <v>708129.5599</v>
      </c>
      <c r="AK68" s="118">
        <f t="shared" si="44"/>
        <v>714263.8005</v>
      </c>
      <c r="AL68" s="118">
        <f t="shared" si="44"/>
        <v>721233.1456</v>
      </c>
      <c r="AM68" s="118">
        <f t="shared" si="44"/>
        <v>727877.0234</v>
      </c>
      <c r="AN68" s="118">
        <f t="shared" si="44"/>
        <v>735442.1007</v>
      </c>
      <c r="AO68" s="118">
        <f t="shared" si="44"/>
        <v>742622.7021</v>
      </c>
      <c r="AP68" s="118">
        <f t="shared" si="44"/>
        <v>750695.624</v>
      </c>
      <c r="AQ68" s="118">
        <f t="shared" si="44"/>
        <v>759632.5881</v>
      </c>
      <c r="AR68" s="118">
        <f t="shared" si="44"/>
        <v>768157.6205</v>
      </c>
      <c r="AS68" s="118">
        <f t="shared" si="44"/>
        <v>777528.2852</v>
      </c>
      <c r="AT68" s="118">
        <f t="shared" si="44"/>
        <v>786472.115</v>
      </c>
      <c r="AU68" s="118">
        <f t="shared" si="44"/>
        <v>796241.2033</v>
      </c>
      <c r="AV68" s="118">
        <f t="shared" si="44"/>
        <v>806813.9473</v>
      </c>
      <c r="AW68" s="118">
        <f t="shared" si="44"/>
        <v>816919.591</v>
      </c>
      <c r="AX68" s="118">
        <f t="shared" si="44"/>
        <v>827811.2219</v>
      </c>
      <c r="AY68" s="118">
        <f t="shared" si="44"/>
        <v>852645.5585</v>
      </c>
      <c r="AZ68" s="118">
        <f t="shared" si="44"/>
        <v>878224.9253</v>
      </c>
      <c r="BA68" s="118">
        <f t="shared" si="44"/>
        <v>904571.673</v>
      </c>
      <c r="BB68" s="118">
        <f t="shared" si="44"/>
        <v>931708.8232</v>
      </c>
      <c r="BC68" s="118">
        <f t="shared" si="44"/>
        <v>959660.0879</v>
      </c>
      <c r="BD68" s="118">
        <f t="shared" si="44"/>
        <v>988449.8906</v>
      </c>
      <c r="BE68" s="118">
        <f t="shared" si="44"/>
        <v>1018103.387</v>
      </c>
      <c r="BF68" s="118">
        <f t="shared" si="44"/>
        <v>1048646.489</v>
      </c>
      <c r="BG68" s="118">
        <f t="shared" si="44"/>
        <v>1080105.884</v>
      </c>
      <c r="BH68" s="118">
        <f t="shared" si="44"/>
        <v>1112509.06</v>
      </c>
      <c r="BI68" s="118">
        <f t="shared" si="44"/>
        <v>1145884.332</v>
      </c>
      <c r="BJ68" s="118">
        <f t="shared" si="44"/>
        <v>1180260.862</v>
      </c>
      <c r="BK68" s="118">
        <f t="shared" si="44"/>
        <v>1215668.688</v>
      </c>
      <c r="BL68" s="118">
        <f t="shared" si="44"/>
        <v>1252138.748</v>
      </c>
      <c r="BM68" s="118">
        <f t="shared" si="44"/>
        <v>1289702.911</v>
      </c>
      <c r="BN68" s="118">
        <f t="shared" si="44"/>
        <v>1328393.998</v>
      </c>
      <c r="BO68" s="118">
        <f t="shared" si="44"/>
        <v>1368245.818</v>
      </c>
      <c r="BP68" s="118">
        <f t="shared" si="44"/>
        <v>1409293.193</v>
      </c>
      <c r="BQ68" s="118">
        <f t="shared" si="44"/>
        <v>1451571.988</v>
      </c>
      <c r="BR68" s="118">
        <f t="shared" si="44"/>
        <v>1495119.148</v>
      </c>
      <c r="BS68" s="118">
        <f t="shared" si="44"/>
        <v>1539972.722</v>
      </c>
      <c r="BT68" s="118">
        <f t="shared" si="44"/>
        <v>1586171.904</v>
      </c>
      <c r="BU68" s="118">
        <f t="shared" si="44"/>
        <v>1633757.061</v>
      </c>
      <c r="BV68" s="118">
        <f t="shared" si="44"/>
        <v>1682769.773</v>
      </c>
    </row>
    <row r="69" ht="15.75" customHeight="1">
      <c r="U69" s="119"/>
      <c r="V69" s="119"/>
      <c r="W69" s="119"/>
      <c r="BJ69" s="52"/>
    </row>
    <row r="70" ht="15.75" customHeight="1"/>
    <row r="71" ht="15.75" customHeight="1">
      <c r="AH71" s="52"/>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9.88"/>
    <col customWidth="1" min="2" max="85" width="14.38"/>
  </cols>
  <sheetData>
    <row r="1" ht="15.75" customHeight="1">
      <c r="A1" s="125" t="str">
        <f>IFERROR(__xludf.DUMMYFUNCTION("IMPORTRANGE($A$42,""Marketing Funnel - Summary!""&amp;$A$45)"),"Marketing Funnel, Summary")</f>
        <v>Marketing Funnel, Summary</v>
      </c>
      <c r="B1" s="126"/>
      <c r="C1" s="126"/>
      <c r="D1" s="127">
        <f>IFERROR(__xludf.DUMMYFUNCTION("""COMPUTED_VALUE"""),43101.0)</f>
        <v>43101</v>
      </c>
      <c r="E1" s="127">
        <f>IFERROR(__xludf.DUMMYFUNCTION("""COMPUTED_VALUE"""),43132.0)</f>
        <v>43132</v>
      </c>
      <c r="F1" s="127">
        <f>IFERROR(__xludf.DUMMYFUNCTION("""COMPUTED_VALUE"""),43160.0)</f>
        <v>43160</v>
      </c>
      <c r="G1" s="127">
        <f>IFERROR(__xludf.DUMMYFUNCTION("""COMPUTED_VALUE"""),43191.0)</f>
        <v>43191</v>
      </c>
      <c r="H1" s="127">
        <f>IFERROR(__xludf.DUMMYFUNCTION("""COMPUTED_VALUE"""),43221.0)</f>
        <v>43221</v>
      </c>
      <c r="I1" s="127">
        <f>IFERROR(__xludf.DUMMYFUNCTION("""COMPUTED_VALUE"""),43252.0)</f>
        <v>43252</v>
      </c>
      <c r="J1" s="127">
        <f>IFERROR(__xludf.DUMMYFUNCTION("""COMPUTED_VALUE"""),43282.0)</f>
        <v>43282</v>
      </c>
      <c r="K1" s="127">
        <f>IFERROR(__xludf.DUMMYFUNCTION("""COMPUTED_VALUE"""),43313.0)</f>
        <v>43313</v>
      </c>
      <c r="L1" s="127">
        <f>IFERROR(__xludf.DUMMYFUNCTION("""COMPUTED_VALUE"""),43344.0)</f>
        <v>43344</v>
      </c>
      <c r="M1" s="127">
        <f>IFERROR(__xludf.DUMMYFUNCTION("""COMPUTED_VALUE"""),43374.0)</f>
        <v>43374</v>
      </c>
      <c r="N1" s="127">
        <f>IFERROR(__xludf.DUMMYFUNCTION("""COMPUTED_VALUE"""),43405.0)</f>
        <v>43405</v>
      </c>
      <c r="O1" s="127">
        <f>IFERROR(__xludf.DUMMYFUNCTION("""COMPUTED_VALUE"""),43435.0)</f>
        <v>43435</v>
      </c>
      <c r="P1" s="127">
        <f>IFERROR(__xludf.DUMMYFUNCTION("""COMPUTED_VALUE"""),43466.0)</f>
        <v>43466</v>
      </c>
      <c r="Q1" s="127">
        <f>IFERROR(__xludf.DUMMYFUNCTION("""COMPUTED_VALUE"""),43497.0)</f>
        <v>43497</v>
      </c>
      <c r="R1" s="127">
        <f>IFERROR(__xludf.DUMMYFUNCTION("""COMPUTED_VALUE"""),43525.0)</f>
        <v>43525</v>
      </c>
      <c r="S1" s="127">
        <f>IFERROR(__xludf.DUMMYFUNCTION("""COMPUTED_VALUE"""),43556.0)</f>
        <v>43556</v>
      </c>
      <c r="T1" s="127">
        <f>IFERROR(__xludf.DUMMYFUNCTION("""COMPUTED_VALUE"""),43586.0)</f>
        <v>43586</v>
      </c>
      <c r="U1" s="127">
        <f>IFERROR(__xludf.DUMMYFUNCTION("""COMPUTED_VALUE"""),43617.0)</f>
        <v>43617</v>
      </c>
      <c r="V1" s="127">
        <f>IFERROR(__xludf.DUMMYFUNCTION("""COMPUTED_VALUE"""),43647.0)</f>
        <v>43647</v>
      </c>
      <c r="W1" s="127">
        <f>IFERROR(__xludf.DUMMYFUNCTION("""COMPUTED_VALUE"""),43678.0)</f>
        <v>43678</v>
      </c>
      <c r="X1" s="127">
        <f>IFERROR(__xludf.DUMMYFUNCTION("""COMPUTED_VALUE"""),43709.0)</f>
        <v>43709</v>
      </c>
      <c r="Y1" s="127">
        <f>IFERROR(__xludf.DUMMYFUNCTION("""COMPUTED_VALUE"""),43739.0)</f>
        <v>43739</v>
      </c>
      <c r="Z1" s="127">
        <f>IFERROR(__xludf.DUMMYFUNCTION("""COMPUTED_VALUE"""),43770.0)</f>
        <v>43770</v>
      </c>
      <c r="AA1" s="127">
        <f>IFERROR(__xludf.DUMMYFUNCTION("""COMPUTED_VALUE"""),43800.0)</f>
        <v>43800</v>
      </c>
      <c r="AB1" s="127">
        <f>IFERROR(__xludf.DUMMYFUNCTION("""COMPUTED_VALUE"""),43831.0)</f>
        <v>43831</v>
      </c>
      <c r="AC1" s="127">
        <f>IFERROR(__xludf.DUMMYFUNCTION("""COMPUTED_VALUE"""),43862.0)</f>
        <v>43862</v>
      </c>
      <c r="AD1" s="127">
        <f>IFERROR(__xludf.DUMMYFUNCTION("""COMPUTED_VALUE"""),43891.0)</f>
        <v>43891</v>
      </c>
      <c r="AE1" s="127">
        <f>IFERROR(__xludf.DUMMYFUNCTION("""COMPUTED_VALUE"""),43922.0)</f>
        <v>43922</v>
      </c>
      <c r="AF1" s="127">
        <f>IFERROR(__xludf.DUMMYFUNCTION("""COMPUTED_VALUE"""),43952.0)</f>
        <v>43952</v>
      </c>
      <c r="AG1" s="127">
        <f>IFERROR(__xludf.DUMMYFUNCTION("""COMPUTED_VALUE"""),43983.0)</f>
        <v>43983</v>
      </c>
      <c r="AH1" s="127">
        <f>IFERROR(__xludf.DUMMYFUNCTION("""COMPUTED_VALUE"""),44013.0)</f>
        <v>44013</v>
      </c>
      <c r="AI1" s="127">
        <f>IFERROR(__xludf.DUMMYFUNCTION("""COMPUTED_VALUE"""),44044.0)</f>
        <v>44044</v>
      </c>
      <c r="AJ1" s="127">
        <f>IFERROR(__xludf.DUMMYFUNCTION("""COMPUTED_VALUE"""),44075.0)</f>
        <v>44075</v>
      </c>
      <c r="AK1" s="127">
        <f>IFERROR(__xludf.DUMMYFUNCTION("""COMPUTED_VALUE"""),44105.0)</f>
        <v>44105</v>
      </c>
      <c r="AL1" s="127">
        <f>IFERROR(__xludf.DUMMYFUNCTION("""COMPUTED_VALUE"""),44136.0)</f>
        <v>44136</v>
      </c>
      <c r="AM1" s="127">
        <f>IFERROR(__xludf.DUMMYFUNCTION("""COMPUTED_VALUE"""),44166.0)</f>
        <v>44166</v>
      </c>
      <c r="AN1" s="127">
        <f>IFERROR(__xludf.DUMMYFUNCTION("""COMPUTED_VALUE"""),44197.0)</f>
        <v>44197</v>
      </c>
      <c r="AO1" s="127">
        <f>IFERROR(__xludf.DUMMYFUNCTION("""COMPUTED_VALUE"""),44228.0)</f>
        <v>44228</v>
      </c>
      <c r="AP1" s="127">
        <f>IFERROR(__xludf.DUMMYFUNCTION("""COMPUTED_VALUE"""),44256.0)</f>
        <v>44256</v>
      </c>
      <c r="AQ1" s="127">
        <f>IFERROR(__xludf.DUMMYFUNCTION("""COMPUTED_VALUE"""),44287.0)</f>
        <v>44287</v>
      </c>
      <c r="AR1" s="127">
        <f>IFERROR(__xludf.DUMMYFUNCTION("""COMPUTED_VALUE"""),44317.0)</f>
        <v>44317</v>
      </c>
      <c r="AS1" s="127">
        <f>IFERROR(__xludf.DUMMYFUNCTION("""COMPUTED_VALUE"""),44348.0)</f>
        <v>44348</v>
      </c>
      <c r="AT1" s="127">
        <f>IFERROR(__xludf.DUMMYFUNCTION("""COMPUTED_VALUE"""),44378.0)</f>
        <v>44378</v>
      </c>
      <c r="AU1" s="127">
        <f>IFERROR(__xludf.DUMMYFUNCTION("""COMPUTED_VALUE"""),44409.0)</f>
        <v>44409</v>
      </c>
      <c r="AV1" s="127">
        <f>IFERROR(__xludf.DUMMYFUNCTION("""COMPUTED_VALUE"""),44440.0)</f>
        <v>44440</v>
      </c>
      <c r="AW1" s="127">
        <f>IFERROR(__xludf.DUMMYFUNCTION("""COMPUTED_VALUE"""),44470.0)</f>
        <v>44470</v>
      </c>
      <c r="AX1" s="127">
        <f>IFERROR(__xludf.DUMMYFUNCTION("""COMPUTED_VALUE"""),44501.0)</f>
        <v>44501</v>
      </c>
      <c r="AY1" s="127">
        <f>IFERROR(__xludf.DUMMYFUNCTION("""COMPUTED_VALUE"""),44531.0)</f>
        <v>44531</v>
      </c>
      <c r="AZ1" s="127">
        <f>IFERROR(__xludf.DUMMYFUNCTION("""COMPUTED_VALUE"""),44562.0)</f>
        <v>44562</v>
      </c>
      <c r="BA1" s="127">
        <f>IFERROR(__xludf.DUMMYFUNCTION("""COMPUTED_VALUE"""),44593.0)</f>
        <v>44593</v>
      </c>
      <c r="BB1" s="127">
        <f>IFERROR(__xludf.DUMMYFUNCTION("""COMPUTED_VALUE"""),44621.0)</f>
        <v>44621</v>
      </c>
      <c r="BC1" s="127">
        <f>IFERROR(__xludf.DUMMYFUNCTION("""COMPUTED_VALUE"""),44652.0)</f>
        <v>44652</v>
      </c>
      <c r="BD1" s="127">
        <f>IFERROR(__xludf.DUMMYFUNCTION("""COMPUTED_VALUE"""),44682.0)</f>
        <v>44682</v>
      </c>
      <c r="BE1" s="127">
        <f>IFERROR(__xludf.DUMMYFUNCTION("""COMPUTED_VALUE"""),44713.0)</f>
        <v>44713</v>
      </c>
      <c r="BF1" s="127">
        <f>IFERROR(__xludf.DUMMYFUNCTION("""COMPUTED_VALUE"""),44743.0)</f>
        <v>44743</v>
      </c>
      <c r="BG1" s="127">
        <f>IFERROR(__xludf.DUMMYFUNCTION("""COMPUTED_VALUE"""),44774.0)</f>
        <v>44774</v>
      </c>
      <c r="BH1" s="127">
        <f>IFERROR(__xludf.DUMMYFUNCTION("""COMPUTED_VALUE"""),44805.0)</f>
        <v>44805</v>
      </c>
      <c r="BI1" s="127">
        <f>IFERROR(__xludf.DUMMYFUNCTION("""COMPUTED_VALUE"""),44835.0)</f>
        <v>44835</v>
      </c>
      <c r="BJ1" s="127">
        <f>IFERROR(__xludf.DUMMYFUNCTION("""COMPUTED_VALUE"""),44866.0)</f>
        <v>44866</v>
      </c>
      <c r="BK1" s="127">
        <f>IFERROR(__xludf.DUMMYFUNCTION("""COMPUTED_VALUE"""),44896.0)</f>
        <v>44896</v>
      </c>
      <c r="BL1" s="127">
        <f>IFERROR(__xludf.DUMMYFUNCTION("""COMPUTED_VALUE"""),44927.0)</f>
        <v>44927</v>
      </c>
      <c r="BM1" s="127">
        <f>IFERROR(__xludf.DUMMYFUNCTION("""COMPUTED_VALUE"""),44958.0)</f>
        <v>44958</v>
      </c>
      <c r="BN1" s="127">
        <f>IFERROR(__xludf.DUMMYFUNCTION("""COMPUTED_VALUE"""),44986.0)</f>
        <v>44986</v>
      </c>
      <c r="BO1" s="127">
        <f>IFERROR(__xludf.DUMMYFUNCTION("""COMPUTED_VALUE"""),45017.0)</f>
        <v>45017</v>
      </c>
      <c r="BP1" s="127">
        <f>IFERROR(__xludf.DUMMYFUNCTION("""COMPUTED_VALUE"""),45047.0)</f>
        <v>45047</v>
      </c>
      <c r="BQ1" s="127">
        <f>IFERROR(__xludf.DUMMYFUNCTION("""COMPUTED_VALUE"""),45078.0)</f>
        <v>45078</v>
      </c>
      <c r="BR1" s="127">
        <f>IFERROR(__xludf.DUMMYFUNCTION("""COMPUTED_VALUE"""),45108.0)</f>
        <v>45108</v>
      </c>
      <c r="BS1" s="127">
        <f>IFERROR(__xludf.DUMMYFUNCTION("""COMPUTED_VALUE"""),45139.0)</f>
        <v>45139</v>
      </c>
      <c r="BT1" s="127">
        <f>IFERROR(__xludf.DUMMYFUNCTION("""COMPUTED_VALUE"""),45170.0)</f>
        <v>45170</v>
      </c>
      <c r="BU1" s="127">
        <f>IFERROR(__xludf.DUMMYFUNCTION("""COMPUTED_VALUE"""),45200.0)</f>
        <v>45200</v>
      </c>
      <c r="BV1" s="127">
        <f>IFERROR(__xludf.DUMMYFUNCTION("""COMPUTED_VALUE"""),45231.0)</f>
        <v>45231</v>
      </c>
      <c r="BW1" s="127">
        <f>IFERROR(__xludf.DUMMYFUNCTION("""COMPUTED_VALUE"""),45261.0)</f>
        <v>45261</v>
      </c>
      <c r="BX1" s="127"/>
      <c r="BY1" s="127"/>
      <c r="BZ1" s="127"/>
      <c r="CA1" s="127"/>
      <c r="CB1" s="127"/>
      <c r="CC1" s="127"/>
      <c r="CD1" s="127"/>
      <c r="CE1" s="127"/>
      <c r="CF1" s="127"/>
      <c r="CG1" s="127"/>
    </row>
    <row r="2" ht="15.75" customHeight="1">
      <c r="A2" s="1"/>
      <c r="B2" s="1"/>
      <c r="C2" s="1"/>
      <c r="D2" s="96"/>
      <c r="E2" s="96"/>
      <c r="F2" s="96"/>
      <c r="G2" s="96"/>
      <c r="H2" s="96"/>
      <c r="I2" s="96"/>
      <c r="J2" s="96"/>
      <c r="K2" s="96"/>
      <c r="L2" s="96"/>
      <c r="M2" s="96"/>
      <c r="N2" s="96"/>
      <c r="O2" s="96"/>
      <c r="P2" s="96"/>
      <c r="Q2" s="96"/>
      <c r="R2" s="96"/>
      <c r="S2" s="96"/>
      <c r="T2" s="96"/>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c r="BN2" s="96"/>
      <c r="BO2" s="96"/>
      <c r="BP2" s="96"/>
      <c r="BQ2" s="96"/>
      <c r="BR2" s="96"/>
      <c r="BS2" s="96"/>
      <c r="BT2" s="96"/>
      <c r="BU2" s="96"/>
      <c r="BV2" s="96"/>
      <c r="BW2" s="96"/>
      <c r="BX2" s="96"/>
      <c r="BY2" s="96"/>
      <c r="BZ2" s="96"/>
      <c r="CA2" s="96"/>
      <c r="CB2" s="96"/>
      <c r="CC2" s="96"/>
      <c r="CD2" s="96"/>
      <c r="CE2" s="96"/>
      <c r="CF2" s="96"/>
      <c r="CG2" s="96"/>
    </row>
    <row r="3" ht="15.75" customHeight="1">
      <c r="A3" s="1" t="str">
        <f>IFERROR(__xludf.DUMMYFUNCTION("""COMPUTED_VALUE"""),"Visitors")</f>
        <v>Visitors</v>
      </c>
      <c r="B3" s="1"/>
      <c r="C3" s="1"/>
      <c r="D3" s="96"/>
      <c r="E3" s="96"/>
      <c r="F3" s="96"/>
      <c r="G3" s="96"/>
      <c r="H3" s="96"/>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96"/>
      <c r="AR3" s="96"/>
      <c r="AS3" s="96"/>
      <c r="AT3" s="96"/>
      <c r="AU3" s="96"/>
      <c r="AV3" s="96"/>
      <c r="AW3" s="96"/>
      <c r="AX3" s="96"/>
      <c r="AY3" s="96"/>
      <c r="AZ3" s="96"/>
      <c r="BA3" s="96"/>
      <c r="BB3" s="96"/>
      <c r="BC3" s="96"/>
      <c r="BD3" s="96"/>
      <c r="BE3" s="96"/>
      <c r="BF3" s="96"/>
      <c r="BG3" s="96"/>
      <c r="BH3" s="96"/>
      <c r="BI3" s="96"/>
      <c r="BJ3" s="96"/>
      <c r="BK3" s="96"/>
      <c r="BL3" s="96"/>
      <c r="BM3" s="96"/>
      <c r="BN3" s="96"/>
      <c r="BO3" s="96"/>
      <c r="BP3" s="96"/>
      <c r="BQ3" s="96"/>
      <c r="BR3" s="96"/>
      <c r="BS3" s="96"/>
      <c r="BT3" s="96"/>
      <c r="BU3" s="96"/>
      <c r="BV3" s="96"/>
      <c r="BW3" s="96"/>
      <c r="BX3" s="96"/>
      <c r="BY3" s="96"/>
      <c r="BZ3" s="96"/>
      <c r="CA3" s="96"/>
      <c r="CB3" s="96"/>
      <c r="CC3" s="96"/>
      <c r="CD3" s="96"/>
      <c r="CE3" s="96"/>
      <c r="CF3" s="96"/>
      <c r="CG3" s="96"/>
    </row>
    <row r="4" ht="15.75" customHeight="1">
      <c r="A4" s="1" t="str">
        <f>IFERROR(__xludf.DUMMYFUNCTION("""COMPUTED_VALUE"""),"  Organic")</f>
        <v>  Organic</v>
      </c>
      <c r="B4" s="1"/>
      <c r="C4" s="1"/>
      <c r="D4" s="90">
        <f>IFERROR(__xludf.DUMMYFUNCTION("""COMPUTED_VALUE"""),4364.0)</f>
        <v>4364</v>
      </c>
      <c r="E4" s="90">
        <f>IFERROR(__xludf.DUMMYFUNCTION("""COMPUTED_VALUE"""),4640.0)</f>
        <v>4640</v>
      </c>
      <c r="F4" s="90">
        <f>IFERROR(__xludf.DUMMYFUNCTION("""COMPUTED_VALUE"""),4289.0)</f>
        <v>4289</v>
      </c>
      <c r="G4" s="90">
        <f>IFERROR(__xludf.DUMMYFUNCTION("""COMPUTED_VALUE"""),4742.0)</f>
        <v>4742</v>
      </c>
      <c r="H4" s="90">
        <f>IFERROR(__xludf.DUMMYFUNCTION("""COMPUTED_VALUE"""),6144.0)</f>
        <v>6144</v>
      </c>
      <c r="I4" s="90">
        <f>IFERROR(__xludf.DUMMYFUNCTION("""COMPUTED_VALUE"""),7749.0)</f>
        <v>7749</v>
      </c>
      <c r="J4" s="90">
        <f>IFERROR(__xludf.DUMMYFUNCTION("""COMPUTED_VALUE"""),8236.0)</f>
        <v>8236</v>
      </c>
      <c r="K4" s="90">
        <f>IFERROR(__xludf.DUMMYFUNCTION("""COMPUTED_VALUE"""),13981.0)</f>
        <v>13981</v>
      </c>
      <c r="L4" s="90">
        <f>IFERROR(__xludf.DUMMYFUNCTION("""COMPUTED_VALUE"""),20065.0)</f>
        <v>20065</v>
      </c>
      <c r="M4" s="90">
        <f>IFERROR(__xludf.DUMMYFUNCTION("""COMPUTED_VALUE"""),14773.0)</f>
        <v>14773</v>
      </c>
      <c r="N4" s="90">
        <f>IFERROR(__xludf.DUMMYFUNCTION("""COMPUTED_VALUE"""),14770.0)</f>
        <v>14770</v>
      </c>
      <c r="O4" s="90">
        <f>IFERROR(__xludf.DUMMYFUNCTION("""COMPUTED_VALUE"""),23331.0)</f>
        <v>23331</v>
      </c>
      <c r="P4" s="90">
        <f>IFERROR(__xludf.DUMMYFUNCTION("""COMPUTED_VALUE"""),25045.0)</f>
        <v>25045</v>
      </c>
      <c r="Q4" s="90">
        <f>IFERROR(__xludf.DUMMYFUNCTION("""COMPUTED_VALUE"""),34736.0)</f>
        <v>34736</v>
      </c>
      <c r="R4" s="90">
        <f>IFERROR(__xludf.DUMMYFUNCTION("""COMPUTED_VALUE"""),26920.0)</f>
        <v>26920</v>
      </c>
      <c r="S4" s="90">
        <f>IFERROR(__xludf.DUMMYFUNCTION("""COMPUTED_VALUE"""),29943.0)</f>
        <v>29943</v>
      </c>
      <c r="T4" s="90">
        <f>IFERROR(__xludf.DUMMYFUNCTION("""COMPUTED_VALUE"""),30342.0)</f>
        <v>30342</v>
      </c>
      <c r="U4" s="90">
        <f>IFERROR(__xludf.DUMMYFUNCTION("""COMPUTED_VALUE"""),31614.0)</f>
        <v>31614</v>
      </c>
      <c r="V4" s="90">
        <f>IFERROR(__xludf.DUMMYFUNCTION("""COMPUTED_VALUE"""),28916.0)</f>
        <v>28916</v>
      </c>
      <c r="W4" s="90">
        <f>IFERROR(__xludf.DUMMYFUNCTION("""COMPUTED_VALUE"""),27462.0)</f>
        <v>27462</v>
      </c>
      <c r="X4" s="90">
        <f>IFERROR(__xludf.DUMMYFUNCTION("""COMPUTED_VALUE"""),29945.0)</f>
        <v>29945</v>
      </c>
      <c r="Y4" s="90">
        <f>IFERROR(__xludf.DUMMYFUNCTION("""COMPUTED_VALUE"""),30481.232790195085)</f>
        <v>30481.23279</v>
      </c>
      <c r="Z4" s="90">
        <f>IFERROR(__xludf.DUMMYFUNCTION("""COMPUTED_VALUE"""),31027.06803840588)</f>
        <v>31027.06804</v>
      </c>
      <c r="AA4" s="90">
        <f>IFERROR(__xludf.DUMMYFUNCTION("""COMPUTED_VALUE"""),31582.67769830927)</f>
        <v>31582.6777</v>
      </c>
      <c r="AB4" s="90">
        <f>IFERROR(__xludf.DUMMYFUNCTION("""COMPUTED_VALUE"""),32148.236802800722)</f>
        <v>32148.2368</v>
      </c>
      <c r="AC4" s="90">
        <f>IFERROR(__xludf.DUMMYFUNCTION("""COMPUTED_VALUE"""),32723.923519134605)</f>
        <v>32723.92352</v>
      </c>
      <c r="AD4" s="90">
        <f>IFERROR(__xludf.DUMMYFUNCTION("""COMPUTED_VALUE"""),31001.0)</f>
        <v>31001</v>
      </c>
      <c r="AE4" s="90">
        <f>IFERROR(__xludf.DUMMYFUNCTION("""COMPUTED_VALUE"""),29786.0)</f>
        <v>29786</v>
      </c>
      <c r="AF4" s="90">
        <f>IFERROR(__xludf.DUMMYFUNCTION("""COMPUTED_VALUE"""),28618.61862520564)</f>
        <v>28618.61863</v>
      </c>
      <c r="AG4" s="90">
        <f>IFERROR(__xludf.DUMMYFUNCTION("""COMPUTED_VALUE"""),27496.98959292846)</f>
        <v>27496.98959</v>
      </c>
      <c r="AH4" s="90">
        <f>IFERROR(__xludf.DUMMYFUNCTION("""COMPUTED_VALUE"""),26419.319764361382)</f>
        <v>26419.31976</v>
      </c>
      <c r="AI4" s="90">
        <f>IFERROR(__xludf.DUMMYFUNCTION("""COMPUTED_VALUE"""),25383.88627790291)</f>
        <v>25383.88628</v>
      </c>
      <c r="AJ4" s="90">
        <f>IFERROR(__xludf.DUMMYFUNCTION("""COMPUTED_VALUE"""),24389.033794832943)</f>
        <v>24389.03379</v>
      </c>
      <c r="AK4" s="90">
        <f>IFERROR(__xludf.DUMMYFUNCTION("""COMPUTED_VALUE"""),23433.17185293681)</f>
        <v>23433.17185</v>
      </c>
      <c r="AL4" s="90">
        <f>IFERROR(__xludf.DUMMYFUNCTION("""COMPUTED_VALUE"""),22514.77232384684)</f>
        <v>22514.77232</v>
      </c>
      <c r="AM4" s="90">
        <f>IFERROR(__xludf.DUMMYFUNCTION("""COMPUTED_VALUE"""),21632.366970036514)</f>
        <v>21632.36697</v>
      </c>
      <c r="AN4" s="90">
        <f>IFERROR(__xludf.DUMMYFUNCTION("""COMPUTED_VALUE"""),20784.545097561615)</f>
        <v>20784.5451</v>
      </c>
      <c r="AO4" s="90">
        <f>IFERROR(__xludf.DUMMYFUNCTION("""COMPUTED_VALUE"""),19969.95130079579)</f>
        <v>19969.9513</v>
      </c>
      <c r="AP4" s="90">
        <f>IFERROR(__xludf.DUMMYFUNCTION("""COMPUTED_VALUE"""),19187.28329555509)</f>
        <v>19187.2833</v>
      </c>
      <c r="AQ4" s="90">
        <f>IFERROR(__xludf.DUMMYFUNCTION("""COMPUTED_VALUE"""),18435.289837147317)</f>
        <v>18435.28984</v>
      </c>
      <c r="AR4" s="90">
        <f>IFERROR(__xludf.DUMMYFUNCTION("""COMPUTED_VALUE"""),17712.768720017742)</f>
        <v>17712.76872</v>
      </c>
      <c r="AS4" s="90">
        <f>IFERROR(__xludf.DUMMYFUNCTION("""COMPUTED_VALUE"""),17018.564855793313)</f>
        <v>17018.56486</v>
      </c>
      <c r="AT4" s="90">
        <f>IFERROR(__xludf.DUMMYFUNCTION("""COMPUTED_VALUE"""),16351.568426652677)</f>
        <v>16351.56843</v>
      </c>
      <c r="AU4" s="90">
        <f>IFERROR(__xludf.DUMMYFUNCTION("""COMPUTED_VALUE"""),15710.713111069857)</f>
        <v>15710.71311</v>
      </c>
      <c r="AV4" s="90">
        <f>IFERROR(__xludf.DUMMYFUNCTION("""COMPUTED_VALUE"""),15094.974379095087)</f>
        <v>15094.97438</v>
      </c>
      <c r="AW4" s="90">
        <f>IFERROR(__xludf.DUMMYFUNCTION("""COMPUTED_VALUE"""),14503.367854447479)</f>
        <v>14503.36785</v>
      </c>
      <c r="AX4" s="90">
        <f>IFERROR(__xludf.DUMMYFUNCTION("""COMPUTED_VALUE"""),13934.947740801026)</f>
        <v>13934.94774</v>
      </c>
      <c r="AY4" s="90">
        <f>IFERROR(__xludf.DUMMYFUNCTION("""COMPUTED_VALUE"""),13388.805309748053)</f>
        <v>13388.80531</v>
      </c>
      <c r="AZ4" s="90">
        <f>IFERROR(__xludf.DUMMYFUNCTION("""COMPUTED_VALUE"""),12864.067448022823)</f>
        <v>12864.06745</v>
      </c>
      <c r="BA4" s="90">
        <f>IFERROR(__xludf.DUMMYFUNCTION("""COMPUTED_VALUE"""),12359.89526166278)</f>
        <v>12359.89526</v>
      </c>
      <c r="BB4" s="90">
        <f>IFERROR(__xludf.DUMMYFUNCTION("""COMPUTED_VALUE"""),11875.482734875894)</f>
        <v>11875.48273</v>
      </c>
      <c r="BC4" s="90">
        <f>IFERROR(__xludf.DUMMYFUNCTION("""COMPUTED_VALUE"""),11410.055441470062)</f>
        <v>11410.05544</v>
      </c>
      <c r="BD4" s="90">
        <f>IFERROR(__xludf.DUMMYFUNCTION("""COMPUTED_VALUE"""),10962.869306784532)</f>
        <v>10962.86931</v>
      </c>
      <c r="BE4" s="90">
        <f>IFERROR(__xludf.DUMMYFUNCTION("""COMPUTED_VALUE"""),10533.209418144063)</f>
        <v>10533.20942</v>
      </c>
      <c r="BF4" s="90">
        <f>IFERROR(__xludf.DUMMYFUNCTION("""COMPUTED_VALUE"""),10120.388881934101)</f>
        <v>10120.38888</v>
      </c>
      <c r="BG4" s="90">
        <f>IFERROR(__xludf.DUMMYFUNCTION("""COMPUTED_VALUE"""),9723.747725469795)</f>
        <v>9723.747725</v>
      </c>
      <c r="BH4" s="90">
        <f>IFERROR(__xludf.DUMMYFUNCTION("""COMPUTED_VALUE"""),9342.65184190327)</f>
        <v>9342.651842</v>
      </c>
      <c r="BI4" s="90">
        <f>IFERROR(__xludf.DUMMYFUNCTION("""COMPUTED_VALUE"""),8976.491976482399)</f>
        <v>8976.491976</v>
      </c>
      <c r="BJ4" s="90">
        <f>IFERROR(__xludf.DUMMYFUNCTION("""COMPUTED_VALUE"""),8624.682752540393)</f>
        <v>8624.682753</v>
      </c>
      <c r="BK4" s="90">
        <f>IFERROR(__xludf.DUMMYFUNCTION("""COMPUTED_VALUE"""),8286.661735659112)</f>
        <v>8286.661736</v>
      </c>
      <c r="BL4" s="90">
        <f>IFERROR(__xludf.DUMMYFUNCTION("""COMPUTED_VALUE"""),7961.88853450993)</f>
        <v>7961.888535</v>
      </c>
      <c r="BM4" s="90">
        <f>IFERROR(__xludf.DUMMYFUNCTION("""COMPUTED_VALUE"""),7649.843936934704)</f>
        <v>7649.843937</v>
      </c>
      <c r="BN4" s="90">
        <f>IFERROR(__xludf.DUMMYFUNCTION("""COMPUTED_VALUE"""),7350.029079885717)</f>
        <v>7350.02908</v>
      </c>
      <c r="BO4" s="90">
        <f>IFERROR(__xludf.DUMMYFUNCTION("""COMPUTED_VALUE"""),7061.9646518975505)</f>
        <v>7061.964652</v>
      </c>
      <c r="BP4" s="90">
        <f>IFERROR(__xludf.DUMMYFUNCTION("""COMPUTED_VALUE"""),6785.190126815924)</f>
        <v>6785.190127</v>
      </c>
      <c r="BQ4" s="90">
        <f>IFERROR(__xludf.DUMMYFUNCTION("""COMPUTED_VALUE"""),6519.263027558437)</f>
        <v>6519.263028</v>
      </c>
      <c r="BR4" s="90">
        <f>IFERROR(__xludf.DUMMYFUNCTION("""COMPUTED_VALUE"""),6263.758218730221)</f>
        <v>6263.758219</v>
      </c>
      <c r="BS4" s="90">
        <f>IFERROR(__xludf.DUMMYFUNCTION("""COMPUTED_VALUE"""),6018.267226963594)</f>
        <v>6018.267227</v>
      </c>
      <c r="BT4" s="90">
        <f>IFERROR(__xludf.DUMMYFUNCTION("""COMPUTED_VALUE"""),5782.397587895152)</f>
        <v>5782.397588</v>
      </c>
      <c r="BU4" s="90">
        <f>IFERROR(__xludf.DUMMYFUNCTION("""COMPUTED_VALUE"""),5555.7722187363315)</f>
        <v>5555.772219</v>
      </c>
      <c r="BV4" s="90">
        <f>IFERROR(__xludf.DUMMYFUNCTION("""COMPUTED_VALUE"""),5338.0288154343525)</f>
        <v>5338.028815</v>
      </c>
      <c r="BW4" s="90">
        <f>IFERROR(__xludf.DUMMYFUNCTION("""COMPUTED_VALUE"""),5128.8192734598115)</f>
        <v>5128.819273</v>
      </c>
      <c r="BX4" s="106"/>
      <c r="BY4" s="106"/>
      <c r="BZ4" s="106"/>
      <c r="CA4" s="106"/>
      <c r="CB4" s="106"/>
      <c r="CC4" s="106"/>
      <c r="CD4" s="106"/>
      <c r="CE4" s="106"/>
      <c r="CF4" s="106"/>
      <c r="CG4" s="106"/>
    </row>
    <row r="5" ht="15.75" customHeight="1">
      <c r="A5" s="128" t="str">
        <f>IFERROR(__xludf.DUMMYFUNCTION("""COMPUTED_VALUE"""),"  Adwords")</f>
        <v>  Adwords</v>
      </c>
      <c r="B5" s="128"/>
      <c r="C5" s="128"/>
      <c r="D5" s="129">
        <f>IFERROR(__xludf.DUMMYFUNCTION("""COMPUTED_VALUE"""),3590.4)</f>
        <v>3590.4</v>
      </c>
      <c r="E5" s="129">
        <f>IFERROR(__xludf.DUMMYFUNCTION("""COMPUTED_VALUE"""),3718.2)</f>
        <v>3718.2</v>
      </c>
      <c r="F5" s="129">
        <f>IFERROR(__xludf.DUMMYFUNCTION("""COMPUTED_VALUE"""),3762.0)</f>
        <v>3762</v>
      </c>
      <c r="G5" s="129">
        <f>IFERROR(__xludf.DUMMYFUNCTION("""COMPUTED_VALUE"""),4384.2)</f>
        <v>4384.2</v>
      </c>
      <c r="H5" s="129">
        <f>IFERROR(__xludf.DUMMYFUNCTION("""COMPUTED_VALUE"""),4785.0)</f>
        <v>4785</v>
      </c>
      <c r="I5" s="129">
        <f>IFERROR(__xludf.DUMMYFUNCTION("""COMPUTED_VALUE"""),5811.599999999999)</f>
        <v>5811.6</v>
      </c>
      <c r="J5" s="129">
        <f>IFERROR(__xludf.DUMMYFUNCTION("""COMPUTED_VALUE"""),6826.8)</f>
        <v>6826.8</v>
      </c>
      <c r="K5" s="129">
        <f>IFERROR(__xludf.DUMMYFUNCTION("""COMPUTED_VALUE"""),10666.199999999999)</f>
        <v>10666.2</v>
      </c>
      <c r="L5" s="129">
        <f>IFERROR(__xludf.DUMMYFUNCTION("""COMPUTED_VALUE"""),14667.6)</f>
        <v>14667.6</v>
      </c>
      <c r="M5" s="129">
        <f>IFERROR(__xludf.DUMMYFUNCTION("""COMPUTED_VALUE"""),12594.0)</f>
        <v>12594</v>
      </c>
      <c r="N5" s="129">
        <f>IFERROR(__xludf.DUMMYFUNCTION("""COMPUTED_VALUE"""),14197.8)</f>
        <v>14197.8</v>
      </c>
      <c r="O5" s="129">
        <f>IFERROR(__xludf.DUMMYFUNCTION("""COMPUTED_VALUE"""),19829.399999999998)</f>
        <v>19829.4</v>
      </c>
      <c r="P5" s="129">
        <f>IFERROR(__xludf.DUMMYFUNCTION("""COMPUTED_VALUE"""),20386.8)</f>
        <v>20386.8</v>
      </c>
      <c r="Q5" s="129">
        <f>IFERROR(__xludf.DUMMYFUNCTION("""COMPUTED_VALUE"""),28008.6)</f>
        <v>28008.6</v>
      </c>
      <c r="R5" s="129">
        <f>IFERROR(__xludf.DUMMYFUNCTION("""COMPUTED_VALUE"""),21674.399999999998)</f>
        <v>21674.4</v>
      </c>
      <c r="S5" s="129">
        <f>IFERROR(__xludf.DUMMYFUNCTION("""COMPUTED_VALUE"""),27435.6)</f>
        <v>27435.6</v>
      </c>
      <c r="T5" s="129">
        <f>IFERROR(__xludf.DUMMYFUNCTION("""COMPUTED_VALUE"""),22971.0)</f>
        <v>22971</v>
      </c>
      <c r="U5" s="129">
        <f>IFERROR(__xludf.DUMMYFUNCTION("""COMPUTED_VALUE"""),25003.2)</f>
        <v>25003.2</v>
      </c>
      <c r="V5" s="129">
        <f>IFERROR(__xludf.DUMMYFUNCTION("""COMPUTED_VALUE"""),21871.2)</f>
        <v>21871.2</v>
      </c>
      <c r="W5" s="129">
        <f>IFERROR(__xludf.DUMMYFUNCTION("""COMPUTED_VALUE"""),20243.399999999998)</f>
        <v>20243.4</v>
      </c>
      <c r="X5" s="129">
        <f>IFERROR(__xludf.DUMMYFUNCTION("""COMPUTED_VALUE"""),27685.8)</f>
        <v>27685.8</v>
      </c>
      <c r="Y5" s="129">
        <f>IFERROR(__xludf.DUMMYFUNCTION("""COMPUTED_VALUE"""),20958.97774521382)</f>
        <v>20958.97775</v>
      </c>
      <c r="Z5" s="129">
        <f>IFERROR(__xludf.DUMMYFUNCTION("""COMPUTED_VALUE"""),22816.13487519311)</f>
        <v>22816.13488</v>
      </c>
      <c r="AA5" s="129">
        <f>IFERROR(__xludf.DUMMYFUNCTION("""COMPUTED_VALUE"""),25731.819456460496)</f>
        <v>25731.81946</v>
      </c>
      <c r="AB5" s="129">
        <f>IFERROR(__xludf.DUMMYFUNCTION("""COMPUTED_VALUE"""),25427.17748015416)</f>
        <v>25427.17748</v>
      </c>
      <c r="AC5" s="129">
        <f>IFERROR(__xludf.DUMMYFUNCTION("""COMPUTED_VALUE"""),26535.96799499606)</f>
        <v>26535.96799</v>
      </c>
      <c r="AD5" s="129">
        <f>IFERROR(__xludf.DUMMYFUNCTION("""COMPUTED_VALUE"""),25260.219559017605)</f>
        <v>25260.21956</v>
      </c>
      <c r="AE5" s="129">
        <f>IFERROR(__xludf.DUMMYFUNCTION("""COMPUTED_VALUE"""),23906.830917372154)</f>
        <v>23906.83092</v>
      </c>
      <c r="AF5" s="129">
        <f>IFERROR(__xludf.DUMMYFUNCTION("""COMPUTED_VALUE"""),21466.00599002995)</f>
        <v>21466.00599</v>
      </c>
      <c r="AG5" s="129">
        <f>IFERROR(__xludf.DUMMYFUNCTION("""COMPUTED_VALUE"""),23628.699452306017)</f>
        <v>23628.69945</v>
      </c>
      <c r="AH5" s="129">
        <f>IFERROR(__xludf.DUMMYFUNCTION("""COMPUTED_VALUE"""),25743.159756891037)</f>
        <v>25743.15976</v>
      </c>
      <c r="AI5" s="129">
        <f>IFERROR(__xludf.DUMMYFUNCTION("""COMPUTED_VALUE"""),27905.82568454397)</f>
        <v>27905.82568</v>
      </c>
      <c r="AJ5" s="129">
        <f>IFERROR(__xludf.DUMMYFUNCTION("""COMPUTED_VALUE"""),30052.433014232614)</f>
        <v>30052.43301</v>
      </c>
      <c r="AK5" s="129">
        <f>IFERROR(__xludf.DUMMYFUNCTION("""COMPUTED_VALUE"""),32192.853252179855)</f>
        <v>32192.85325</v>
      </c>
      <c r="AL5" s="129">
        <f>IFERROR(__xludf.DUMMYFUNCTION("""COMPUTED_VALUE"""),34343.2807432215)</f>
        <v>34343.28074</v>
      </c>
      <c r="AM5" s="129">
        <f>IFERROR(__xludf.DUMMYFUNCTION("""COMPUTED_VALUE"""),36489.0142036395)</f>
        <v>36489.0142</v>
      </c>
      <c r="AN5" s="129">
        <f>IFERROR(__xludf.DUMMYFUNCTION("""COMPUTED_VALUE"""),38634.43057464032)</f>
        <v>38634.43057</v>
      </c>
      <c r="AO5" s="129">
        <f>IFERROR(__xludf.DUMMYFUNCTION("""COMPUTED_VALUE"""),40781.72127271617)</f>
        <v>40781.72127</v>
      </c>
      <c r="AP5" s="129">
        <f>IFERROR(__xludf.DUMMYFUNCTION("""COMPUTED_VALUE"""),42927.839278146654)</f>
        <v>42927.83928</v>
      </c>
      <c r="AQ5" s="129">
        <f>IFERROR(__xludf.DUMMYFUNCTION("""COMPUTED_VALUE"""),45074.10199360642)</f>
        <v>45074.10199</v>
      </c>
      <c r="AR5" s="129">
        <f>IFERROR(__xludf.DUMMYFUNCTION("""COMPUTED_VALUE"""),47220.67626630538)</f>
        <v>47220.67627</v>
      </c>
      <c r="AS5" s="129">
        <f>IFERROR(__xludf.DUMMYFUNCTION("""COMPUTED_VALUE"""),49366.9873551642)</f>
        <v>49366.98736</v>
      </c>
      <c r="AT5" s="129">
        <f>IFERROR(__xludf.DUMMYFUNCTION("""COMPUTED_VALUE"""),51513.369314573094)</f>
        <v>51513.36931</v>
      </c>
      <c r="AU5" s="129">
        <f>IFERROR(__xludf.DUMMYFUNCTION("""COMPUTED_VALUE"""),53659.794542044445)</f>
        <v>53659.79454</v>
      </c>
      <c r="AV5" s="129">
        <f>IFERROR(__xludf.DUMMYFUNCTION("""COMPUTED_VALUE"""),55806.16571536562)</f>
        <v>55806.16572</v>
      </c>
      <c r="AW5" s="129">
        <f>IFERROR(__xludf.DUMMYFUNCTION("""COMPUTED_VALUE"""),57952.558645913945)</f>
        <v>57952.55865</v>
      </c>
      <c r="AX5" s="129">
        <f>IFERROR(__xludf.DUMMYFUNCTION("""COMPUTED_VALUE"""),60098.955503757345)</f>
        <v>60098.9555</v>
      </c>
      <c r="AY5" s="129">
        <f>IFERROR(__xludf.DUMMYFUNCTION("""COMPUTED_VALUE"""),62245.3421739021)</f>
        <v>62245.34217</v>
      </c>
      <c r="AZ5" s="129">
        <f>IFERROR(__xludf.DUMMYFUNCTION("""COMPUTED_VALUE"""),61042.81507496734)</f>
        <v>61042.81507</v>
      </c>
      <c r="BA5" s="129">
        <f>IFERROR(__xludf.DUMMYFUNCTION("""COMPUTED_VALUE"""),62717.052763774416)</f>
        <v>62717.05276</v>
      </c>
      <c r="BB5" s="129">
        <f>IFERROR(__xludf.DUMMYFUNCTION("""COMPUTED_VALUE"""),64175.26548968168)</f>
        <v>64175.26549</v>
      </c>
      <c r="BC5" s="129">
        <f>IFERROR(__xludf.DUMMYFUNCTION("""COMPUTED_VALUE"""),65344.96547746606)</f>
        <v>65344.96548</v>
      </c>
      <c r="BD5" s="129">
        <f>IFERROR(__xludf.DUMMYFUNCTION("""COMPUTED_VALUE"""),66154.55987149959)</f>
        <v>66154.55987</v>
      </c>
      <c r="BE5" s="129">
        <f>IFERROR(__xludf.DUMMYFUNCTION("""COMPUTED_VALUE"""),67489.70292541217)</f>
        <v>67489.70293</v>
      </c>
      <c r="BF5" s="129">
        <f>IFERROR(__xludf.DUMMYFUNCTION("""COMPUTED_VALUE"""),68736.27790917132)</f>
        <v>68736.27791</v>
      </c>
      <c r="BG5" s="129">
        <f>IFERROR(__xludf.DUMMYFUNCTION("""COMPUTED_VALUE"""),69927.57461164864)</f>
        <v>69927.57461</v>
      </c>
      <c r="BH5" s="129">
        <f>IFERROR(__xludf.DUMMYFUNCTION("""COMPUTED_VALUE"""),71124.51224920731)</f>
        <v>71124.51225</v>
      </c>
      <c r="BI5" s="129">
        <f>IFERROR(__xludf.DUMMYFUNCTION("""COMPUTED_VALUE"""),72422.62064967981)</f>
        <v>72422.62065</v>
      </c>
      <c r="BJ5" s="90">
        <f>IFERROR(__xludf.DUMMYFUNCTION("""COMPUTED_VALUE"""),73711.05584937501)</f>
        <v>73711.05585</v>
      </c>
      <c r="BK5" s="90">
        <f>IFERROR(__xludf.DUMMYFUNCTION("""COMPUTED_VALUE"""),75010.4245959471)</f>
        <v>75010.4246</v>
      </c>
      <c r="BL5" s="90">
        <f>IFERROR(__xludf.DUMMYFUNCTION("""COMPUTED_VALUE"""),76338.02082997246)</f>
        <v>76338.02083</v>
      </c>
      <c r="BM5" s="90">
        <f>IFERROR(__xludf.DUMMYFUNCTION("""COMPUTED_VALUE"""),77699.74393972436)</f>
        <v>77699.74394</v>
      </c>
      <c r="BN5" s="90">
        <f>IFERROR(__xludf.DUMMYFUNCTION("""COMPUTED_VALUE"""),79078.08266461447)</f>
        <v>79078.08266</v>
      </c>
      <c r="BO5" s="90">
        <f>IFERROR(__xludf.DUMMYFUNCTION("""COMPUTED_VALUE"""),80479.90340919247)</f>
        <v>80479.90341</v>
      </c>
      <c r="BP5" s="90">
        <f>IFERROR(__xludf.DUMMYFUNCTION("""COMPUTED_VALUE"""),81908.48372249598)</f>
        <v>81908.48372</v>
      </c>
      <c r="BQ5" s="90">
        <f>IFERROR(__xludf.DUMMYFUNCTION("""COMPUTED_VALUE"""),83363.44020081291)</f>
        <v>83363.4402</v>
      </c>
      <c r="BR5" s="90">
        <f>IFERROR(__xludf.DUMMYFUNCTION("""COMPUTED_VALUE"""),84842.74842427405)</f>
        <v>84842.74842</v>
      </c>
      <c r="BS5" s="90">
        <f>IFERROR(__xludf.DUMMYFUNCTION("""COMPUTED_VALUE"""),86348.42900254342)</f>
        <v>86348.429</v>
      </c>
      <c r="BT5" s="90">
        <f>IFERROR(__xludf.DUMMYFUNCTION("""COMPUTED_VALUE"""),87881.23686673254)</f>
        <v>87881.23687</v>
      </c>
      <c r="BU5" s="90">
        <f>IFERROR(__xludf.DUMMYFUNCTION("""COMPUTED_VALUE"""),89441.26806098032)</f>
        <v>89441.26806</v>
      </c>
      <c r="BV5" s="90">
        <f>IFERROR(__xludf.DUMMYFUNCTION("""COMPUTED_VALUE"""),91028.74385745752)</f>
        <v>91028.74386</v>
      </c>
      <c r="BW5" s="90">
        <f>IFERROR(__xludf.DUMMYFUNCTION("""COMPUTED_VALUE"""),92644.47208366195)</f>
        <v>92644.47208</v>
      </c>
      <c r="BX5" s="106"/>
      <c r="BY5" s="106"/>
      <c r="BZ5" s="106"/>
      <c r="CA5" s="106"/>
      <c r="CB5" s="106"/>
      <c r="CC5" s="106"/>
      <c r="CD5" s="106"/>
      <c r="CE5" s="106"/>
      <c r="CF5" s="106"/>
      <c r="CG5" s="106"/>
    </row>
    <row r="6" ht="15.75" customHeight="1">
      <c r="A6" s="7" t="str">
        <f>IFERROR(__xludf.DUMMYFUNCTION("""COMPUTED_VALUE"""),"Total Visitors")</f>
        <v>Total Visitors</v>
      </c>
      <c r="B6" s="1"/>
      <c r="C6" s="1"/>
      <c r="D6" s="130">
        <f>IFERROR(__xludf.DUMMYFUNCTION("""COMPUTED_VALUE"""),7954.4)</f>
        <v>7954.4</v>
      </c>
      <c r="E6" s="130">
        <f>IFERROR(__xludf.DUMMYFUNCTION("""COMPUTED_VALUE"""),8358.2)</f>
        <v>8358.2</v>
      </c>
      <c r="F6" s="130">
        <f>IFERROR(__xludf.DUMMYFUNCTION("""COMPUTED_VALUE"""),8051.0)</f>
        <v>8051</v>
      </c>
      <c r="G6" s="130">
        <f>IFERROR(__xludf.DUMMYFUNCTION("""COMPUTED_VALUE"""),9126.2)</f>
        <v>9126.2</v>
      </c>
      <c r="H6" s="130">
        <f>IFERROR(__xludf.DUMMYFUNCTION("""COMPUTED_VALUE"""),10929.0)</f>
        <v>10929</v>
      </c>
      <c r="I6" s="130">
        <f>IFERROR(__xludf.DUMMYFUNCTION("""COMPUTED_VALUE"""),13560.599999999999)</f>
        <v>13560.6</v>
      </c>
      <c r="J6" s="130">
        <f>IFERROR(__xludf.DUMMYFUNCTION("""COMPUTED_VALUE"""),15062.8)</f>
        <v>15062.8</v>
      </c>
      <c r="K6" s="130">
        <f>IFERROR(__xludf.DUMMYFUNCTION("""COMPUTED_VALUE"""),24647.199999999997)</f>
        <v>24647.2</v>
      </c>
      <c r="L6" s="130">
        <f>IFERROR(__xludf.DUMMYFUNCTION("""COMPUTED_VALUE"""),34732.6)</f>
        <v>34732.6</v>
      </c>
      <c r="M6" s="130">
        <f>IFERROR(__xludf.DUMMYFUNCTION("""COMPUTED_VALUE"""),27367.0)</f>
        <v>27367</v>
      </c>
      <c r="N6" s="130">
        <f>IFERROR(__xludf.DUMMYFUNCTION("""COMPUTED_VALUE"""),28967.8)</f>
        <v>28967.8</v>
      </c>
      <c r="O6" s="130">
        <f>IFERROR(__xludf.DUMMYFUNCTION("""COMPUTED_VALUE"""),43160.399999999994)</f>
        <v>43160.4</v>
      </c>
      <c r="P6" s="130">
        <f>IFERROR(__xludf.DUMMYFUNCTION("""COMPUTED_VALUE"""),45431.8)</f>
        <v>45431.8</v>
      </c>
      <c r="Q6" s="130">
        <f>IFERROR(__xludf.DUMMYFUNCTION("""COMPUTED_VALUE"""),62744.6)</f>
        <v>62744.6</v>
      </c>
      <c r="R6" s="130">
        <f>IFERROR(__xludf.DUMMYFUNCTION("""COMPUTED_VALUE"""),48594.399999999994)</f>
        <v>48594.4</v>
      </c>
      <c r="S6" s="130">
        <f>IFERROR(__xludf.DUMMYFUNCTION("""COMPUTED_VALUE"""),57378.6)</f>
        <v>57378.6</v>
      </c>
      <c r="T6" s="130">
        <f>IFERROR(__xludf.DUMMYFUNCTION("""COMPUTED_VALUE"""),53313.0)</f>
        <v>53313</v>
      </c>
      <c r="U6" s="130">
        <f>IFERROR(__xludf.DUMMYFUNCTION("""COMPUTED_VALUE"""),56617.2)</f>
        <v>56617.2</v>
      </c>
      <c r="V6" s="130">
        <f>IFERROR(__xludf.DUMMYFUNCTION("""COMPUTED_VALUE"""),50787.2)</f>
        <v>50787.2</v>
      </c>
      <c r="W6" s="130">
        <f>IFERROR(__xludf.DUMMYFUNCTION("""COMPUTED_VALUE"""),47705.399999999994)</f>
        <v>47705.4</v>
      </c>
      <c r="X6" s="130">
        <f>IFERROR(__xludf.DUMMYFUNCTION("""COMPUTED_VALUE"""),57630.8)</f>
        <v>57630.8</v>
      </c>
      <c r="Y6" s="130">
        <f>IFERROR(__xludf.DUMMYFUNCTION("""COMPUTED_VALUE"""),51440.2105354089)</f>
        <v>51440.21054</v>
      </c>
      <c r="Z6" s="130">
        <f>IFERROR(__xludf.DUMMYFUNCTION("""COMPUTED_VALUE"""),53843.20291359899)</f>
        <v>53843.20291</v>
      </c>
      <c r="AA6" s="130">
        <f>IFERROR(__xludf.DUMMYFUNCTION("""COMPUTED_VALUE"""),57314.497154769764)</f>
        <v>57314.49715</v>
      </c>
      <c r="AB6" s="130">
        <f>IFERROR(__xludf.DUMMYFUNCTION("""COMPUTED_VALUE"""),57575.41428295488)</f>
        <v>57575.41428</v>
      </c>
      <c r="AC6" s="130">
        <f>IFERROR(__xludf.DUMMYFUNCTION("""COMPUTED_VALUE"""),59259.891514130664)</f>
        <v>59259.89151</v>
      </c>
      <c r="AD6" s="130">
        <f>IFERROR(__xludf.DUMMYFUNCTION("""COMPUTED_VALUE"""),56261.219559017605)</f>
        <v>56261.21956</v>
      </c>
      <c r="AE6" s="130">
        <f>IFERROR(__xludf.DUMMYFUNCTION("""COMPUTED_VALUE"""),53692.83091737215)</f>
        <v>53692.83092</v>
      </c>
      <c r="AF6" s="130">
        <f>IFERROR(__xludf.DUMMYFUNCTION("""COMPUTED_VALUE"""),50084.62461523559)</f>
        <v>50084.62462</v>
      </c>
      <c r="AG6" s="130">
        <f>IFERROR(__xludf.DUMMYFUNCTION("""COMPUTED_VALUE"""),51125.68904523448)</f>
        <v>51125.68905</v>
      </c>
      <c r="AH6" s="130">
        <f>IFERROR(__xludf.DUMMYFUNCTION("""COMPUTED_VALUE"""),52162.47952125242)</f>
        <v>52162.47952</v>
      </c>
      <c r="AI6" s="130">
        <f>IFERROR(__xludf.DUMMYFUNCTION("""COMPUTED_VALUE"""),53289.711962446876)</f>
        <v>53289.71196</v>
      </c>
      <c r="AJ6" s="130">
        <f>IFERROR(__xludf.DUMMYFUNCTION("""COMPUTED_VALUE"""),54441.46680906556)</f>
        <v>54441.46681</v>
      </c>
      <c r="AK6" s="130">
        <f>IFERROR(__xludf.DUMMYFUNCTION("""COMPUTED_VALUE"""),55626.02510511667)</f>
        <v>55626.02511</v>
      </c>
      <c r="AL6" s="130">
        <f>IFERROR(__xludf.DUMMYFUNCTION("""COMPUTED_VALUE"""),56858.05306706834)</f>
        <v>56858.05307</v>
      </c>
      <c r="AM6" s="130">
        <f>IFERROR(__xludf.DUMMYFUNCTION("""COMPUTED_VALUE"""),58121.38117367601)</f>
        <v>58121.38117</v>
      </c>
      <c r="AN6" s="130">
        <f>IFERROR(__xludf.DUMMYFUNCTION("""COMPUTED_VALUE"""),59418.97567220194)</f>
        <v>59418.97567</v>
      </c>
      <c r="AO6" s="130">
        <f>IFERROR(__xludf.DUMMYFUNCTION("""COMPUTED_VALUE"""),60751.672573511954)</f>
        <v>60751.67257</v>
      </c>
      <c r="AP6" s="130">
        <f>IFERROR(__xludf.DUMMYFUNCTION("""COMPUTED_VALUE"""),62115.122573701745)</f>
        <v>62115.12257</v>
      </c>
      <c r="AQ6" s="130">
        <f>IFERROR(__xludf.DUMMYFUNCTION("""COMPUTED_VALUE"""),63509.39183075374)</f>
        <v>63509.39183</v>
      </c>
      <c r="AR6" s="130">
        <f>IFERROR(__xludf.DUMMYFUNCTION("""COMPUTED_VALUE"""),64933.44498632313)</f>
        <v>64933.44499</v>
      </c>
      <c r="AS6" s="130">
        <f>IFERROR(__xludf.DUMMYFUNCTION("""COMPUTED_VALUE"""),66385.55221095751)</f>
        <v>66385.55221</v>
      </c>
      <c r="AT6" s="130">
        <f>IFERROR(__xludf.DUMMYFUNCTION("""COMPUTED_VALUE"""),67864.93774122577)</f>
        <v>67864.93774</v>
      </c>
      <c r="AU6" s="130">
        <f>IFERROR(__xludf.DUMMYFUNCTION("""COMPUTED_VALUE"""),69370.5076531143)</f>
        <v>69370.50765</v>
      </c>
      <c r="AV6" s="130">
        <f>IFERROR(__xludf.DUMMYFUNCTION("""COMPUTED_VALUE"""),70901.1400944607)</f>
        <v>70901.14009</v>
      </c>
      <c r="AW6" s="130">
        <f>IFERROR(__xludf.DUMMYFUNCTION("""COMPUTED_VALUE"""),72455.92650036143)</f>
        <v>72455.9265</v>
      </c>
      <c r="AX6" s="130">
        <f>IFERROR(__xludf.DUMMYFUNCTION("""COMPUTED_VALUE"""),74033.90324455837)</f>
        <v>74033.90324</v>
      </c>
      <c r="AY6" s="130">
        <f>IFERROR(__xludf.DUMMYFUNCTION("""COMPUTED_VALUE"""),75634.14748365016)</f>
        <v>75634.14748</v>
      </c>
      <c r="AZ6" s="130">
        <f>IFERROR(__xludf.DUMMYFUNCTION("""COMPUTED_VALUE"""),73906.88252299016)</f>
        <v>73906.88252</v>
      </c>
      <c r="BA6" s="130">
        <f>IFERROR(__xludf.DUMMYFUNCTION("""COMPUTED_VALUE"""),75076.94802543719)</f>
        <v>75076.94803</v>
      </c>
      <c r="BB6" s="130">
        <f>IFERROR(__xludf.DUMMYFUNCTION("""COMPUTED_VALUE"""),76050.74822455758)</f>
        <v>76050.74822</v>
      </c>
      <c r="BC6" s="130">
        <f>IFERROR(__xludf.DUMMYFUNCTION("""COMPUTED_VALUE"""),76755.02091893612)</f>
        <v>76755.02092</v>
      </c>
      <c r="BD6" s="130">
        <f>IFERROR(__xludf.DUMMYFUNCTION("""COMPUTED_VALUE"""),77117.42917828412)</f>
        <v>77117.42918</v>
      </c>
      <c r="BE6" s="130">
        <f>IFERROR(__xludf.DUMMYFUNCTION("""COMPUTED_VALUE"""),78022.91234355624)</f>
        <v>78022.91234</v>
      </c>
      <c r="BF6" s="130">
        <f>IFERROR(__xludf.DUMMYFUNCTION("""COMPUTED_VALUE"""),78856.66679110541)</f>
        <v>78856.66679</v>
      </c>
      <c r="BG6" s="130">
        <f>IFERROR(__xludf.DUMMYFUNCTION("""COMPUTED_VALUE"""),79651.32233711844)</f>
        <v>79651.32234</v>
      </c>
      <c r="BH6" s="130">
        <f>IFERROR(__xludf.DUMMYFUNCTION("""COMPUTED_VALUE"""),80467.16409111058)</f>
        <v>80467.16409</v>
      </c>
      <c r="BI6" s="130">
        <f>IFERROR(__xludf.DUMMYFUNCTION("""COMPUTED_VALUE"""),81399.11262616221)</f>
        <v>81399.11263</v>
      </c>
      <c r="BJ6" s="130">
        <f>IFERROR(__xludf.DUMMYFUNCTION("""COMPUTED_VALUE"""),82335.73860191541)</f>
        <v>82335.7386</v>
      </c>
      <c r="BK6" s="130">
        <f>IFERROR(__xludf.DUMMYFUNCTION("""COMPUTED_VALUE"""),83297.08633160622)</f>
        <v>83297.08633</v>
      </c>
      <c r="BL6" s="130">
        <f>IFERROR(__xludf.DUMMYFUNCTION("""COMPUTED_VALUE"""),84299.90936448239)</f>
        <v>84299.90936</v>
      </c>
      <c r="BM6" s="130">
        <f>IFERROR(__xludf.DUMMYFUNCTION("""COMPUTED_VALUE"""),85349.58787665906)</f>
        <v>85349.58788</v>
      </c>
      <c r="BN6" s="130">
        <f>IFERROR(__xludf.DUMMYFUNCTION("""COMPUTED_VALUE"""),86428.11174450019)</f>
        <v>86428.11174</v>
      </c>
      <c r="BO6" s="130">
        <f>IFERROR(__xludf.DUMMYFUNCTION("""COMPUTED_VALUE"""),87541.86806109002)</f>
        <v>87541.86806</v>
      </c>
      <c r="BP6" s="130">
        <f>IFERROR(__xludf.DUMMYFUNCTION("""COMPUTED_VALUE"""),88693.6738493119)</f>
        <v>88693.67385</v>
      </c>
      <c r="BQ6" s="130">
        <f>IFERROR(__xludf.DUMMYFUNCTION("""COMPUTED_VALUE"""),89882.70322837135)</f>
        <v>89882.70323</v>
      </c>
      <c r="BR6" s="130">
        <f>IFERROR(__xludf.DUMMYFUNCTION("""COMPUTED_VALUE"""),91106.50664300426)</f>
        <v>91106.50664</v>
      </c>
      <c r="BS6" s="130">
        <f>IFERROR(__xludf.DUMMYFUNCTION("""COMPUTED_VALUE"""),92366.69622950701)</f>
        <v>92366.69623</v>
      </c>
      <c r="BT6" s="130">
        <f>IFERROR(__xludf.DUMMYFUNCTION("""COMPUTED_VALUE"""),93663.63445462768)</f>
        <v>93663.63445</v>
      </c>
      <c r="BU6" s="130">
        <f>IFERROR(__xludf.DUMMYFUNCTION("""COMPUTED_VALUE"""),94997.04027971665)</f>
        <v>94997.04028</v>
      </c>
      <c r="BV6" s="130">
        <f>IFERROR(__xludf.DUMMYFUNCTION("""COMPUTED_VALUE"""),96366.77267289188)</f>
        <v>96366.77267</v>
      </c>
      <c r="BW6" s="130">
        <f>IFERROR(__xludf.DUMMYFUNCTION("""COMPUTED_VALUE"""),97773.29135712177)</f>
        <v>97773.29136</v>
      </c>
      <c r="BX6" s="130"/>
      <c r="BY6" s="130"/>
      <c r="BZ6" s="130"/>
      <c r="CA6" s="130"/>
      <c r="CB6" s="130"/>
      <c r="CC6" s="130"/>
      <c r="CD6" s="130"/>
      <c r="CE6" s="130"/>
      <c r="CF6" s="130"/>
      <c r="CG6" s="130"/>
    </row>
    <row r="7" ht="15.75" customHeight="1">
      <c r="A7" s="1" t="str">
        <f>IFERROR(__xludf.DUMMYFUNCTION("""COMPUTED_VALUE"""),"  Visitor Growth, m/m")</f>
        <v>  Visitor Growth, m/m</v>
      </c>
      <c r="B7" s="1"/>
      <c r="C7" s="1"/>
      <c r="D7" s="43"/>
      <c r="E7" s="109">
        <f>IFERROR(__xludf.DUMMYFUNCTION("""COMPUTED_VALUE"""),0.05076435683395375)</f>
        <v>0.05076435683</v>
      </c>
      <c r="F7" s="109">
        <f>IFERROR(__xludf.DUMMYFUNCTION("""COMPUTED_VALUE"""),-0.03675432509391985)</f>
        <v>-0.03675432509</v>
      </c>
      <c r="G7" s="109">
        <f>IFERROR(__xludf.DUMMYFUNCTION("""COMPUTED_VALUE"""),0.13354862749968954)</f>
        <v>0.1335486275</v>
      </c>
      <c r="H7" s="109">
        <f>IFERROR(__xludf.DUMMYFUNCTION("""COMPUTED_VALUE"""),0.1975411452740461)</f>
        <v>0.1975411453</v>
      </c>
      <c r="I7" s="109">
        <f>IFERROR(__xludf.DUMMYFUNCTION("""COMPUTED_VALUE"""),0.24079055723304954)</f>
        <v>0.2407905572</v>
      </c>
      <c r="J7" s="109">
        <f>IFERROR(__xludf.DUMMYFUNCTION("""COMPUTED_VALUE"""),0.11077680928572486)</f>
        <v>0.1107768093</v>
      </c>
      <c r="K7" s="109">
        <f>IFERROR(__xludf.DUMMYFUNCTION("""COMPUTED_VALUE"""),0.636296040576785)</f>
        <v>0.6362960406</v>
      </c>
      <c r="L7" s="109">
        <f>IFERROR(__xludf.DUMMYFUNCTION("""COMPUTED_VALUE"""),0.40919049628355353)</f>
        <v>0.4091904963</v>
      </c>
      <c r="M7" s="109">
        <f>IFERROR(__xludf.DUMMYFUNCTION("""COMPUTED_VALUE"""),-0.21206589774448215)</f>
        <v>-0.2120658977</v>
      </c>
      <c r="N7" s="109">
        <f>IFERROR(__xludf.DUMMYFUNCTION("""COMPUTED_VALUE"""),0.058493806409178895)</f>
        <v>0.05849380641</v>
      </c>
      <c r="O7" s="109">
        <f>IFERROR(__xludf.DUMMYFUNCTION("""COMPUTED_VALUE"""),0.48994400679375016)</f>
        <v>0.4899440068</v>
      </c>
      <c r="P7" s="109">
        <f>IFERROR(__xludf.DUMMYFUNCTION("""COMPUTED_VALUE"""),0.05262694507001808)</f>
        <v>0.05262694507</v>
      </c>
      <c r="Q7" s="109">
        <f>IFERROR(__xludf.DUMMYFUNCTION("""COMPUTED_VALUE"""),0.38107228857320186)</f>
        <v>0.3810722886</v>
      </c>
      <c r="R7" s="109">
        <f>IFERROR(__xludf.DUMMYFUNCTION("""COMPUTED_VALUE"""),-0.225520602569783)</f>
        <v>-0.2255206026</v>
      </c>
      <c r="S7" s="109">
        <f>IFERROR(__xludf.DUMMYFUNCTION("""COMPUTED_VALUE"""),0.18076568493488976)</f>
        <v>0.1807656849</v>
      </c>
      <c r="T7" s="109">
        <f>IFERROR(__xludf.DUMMYFUNCTION("""COMPUTED_VALUE"""),-0.07085568487206029)</f>
        <v>-0.07085568487</v>
      </c>
      <c r="U7" s="109">
        <f>IFERROR(__xludf.DUMMYFUNCTION("""COMPUTED_VALUE"""),0.06197737887569632)</f>
        <v>0.06197737888</v>
      </c>
      <c r="V7" s="109">
        <f>IFERROR(__xludf.DUMMYFUNCTION("""COMPUTED_VALUE"""),-0.1029722416509471)</f>
        <v>-0.1029722417</v>
      </c>
      <c r="W7" s="109">
        <f>IFERROR(__xludf.DUMMYFUNCTION("""COMPUTED_VALUE"""),-0.06068064394178063)</f>
        <v>-0.06068064394</v>
      </c>
      <c r="X7" s="109">
        <f>IFERROR(__xludf.DUMMYFUNCTION("""COMPUTED_VALUE"""),0.2080561110482253)</f>
        <v>0.208056111</v>
      </c>
      <c r="Y7" s="109">
        <f>IFERROR(__xludf.DUMMYFUNCTION("""COMPUTED_VALUE"""),-0.10741807270749504)</f>
        <v>-0.1074180727</v>
      </c>
      <c r="Z7" s="109">
        <f>IFERROR(__xludf.DUMMYFUNCTION("""COMPUTED_VALUE"""),0.046714279610811094)</f>
        <v>0.04671427961</v>
      </c>
      <c r="AA7" s="109">
        <f>IFERROR(__xludf.DUMMYFUNCTION("""COMPUTED_VALUE"""),0.0644704262252207)</f>
        <v>0.06447042623</v>
      </c>
      <c r="AB7" s="109">
        <f>IFERROR(__xludf.DUMMYFUNCTION("""COMPUTED_VALUE"""),0.004552375771186501)</f>
        <v>0.004552375771</v>
      </c>
      <c r="AC7" s="109">
        <f>IFERROR(__xludf.DUMMYFUNCTION("""COMPUTED_VALUE"""),0.02925688424745676)</f>
        <v>0.02925688425</v>
      </c>
      <c r="AD7" s="109">
        <f>IFERROR(__xludf.DUMMYFUNCTION("""COMPUTED_VALUE"""),-0.050602049354039336)</f>
        <v>-0.05060204935</v>
      </c>
      <c r="AE7" s="109">
        <f>IFERROR(__xludf.DUMMYFUNCTION("""COMPUTED_VALUE"""),-0.04565113699590595)</f>
        <v>-0.045651137</v>
      </c>
      <c r="AF7" s="109">
        <f>IFERROR(__xludf.DUMMYFUNCTION("""COMPUTED_VALUE"""),-0.06720089517517203)</f>
        <v>-0.06720089518</v>
      </c>
      <c r="AG7" s="109">
        <f>IFERROR(__xludf.DUMMYFUNCTION("""COMPUTED_VALUE"""),0.020786108271683146)</f>
        <v>0.02078610827</v>
      </c>
      <c r="AH7" s="109">
        <f>IFERROR(__xludf.DUMMYFUNCTION("""COMPUTED_VALUE"""),0.020279246996566025)</f>
        <v>0.020279247</v>
      </c>
      <c r="AI7" s="109">
        <f>IFERROR(__xludf.DUMMYFUNCTION("""COMPUTED_VALUE"""),0.02161002413114188)</f>
        <v>0.02161002413</v>
      </c>
      <c r="AJ7" s="109">
        <f>IFERROR(__xludf.DUMMYFUNCTION("""COMPUTED_VALUE"""),0.02161308072804613)</f>
        <v>0.02161308073</v>
      </c>
      <c r="AK7" s="109">
        <f>IFERROR(__xludf.DUMMYFUNCTION("""COMPUTED_VALUE"""),0.02175838318621226)</f>
        <v>0.02175838319</v>
      </c>
      <c r="AL7" s="109">
        <f>IFERROR(__xludf.DUMMYFUNCTION("""COMPUTED_VALUE"""),0.02214840912367011)</f>
        <v>0.02214840912</v>
      </c>
      <c r="AM7" s="109">
        <f>IFERROR(__xludf.DUMMYFUNCTION("""COMPUTED_VALUE"""),0.022218982861011538)</f>
        <v>0.02221898286</v>
      </c>
      <c r="AN7" s="109">
        <f>IFERROR(__xludf.DUMMYFUNCTION("""COMPUTED_VALUE"""),0.022325596403989456)</f>
        <v>0.0223255964</v>
      </c>
      <c r="AO7" s="109">
        <f>IFERROR(__xludf.DUMMYFUNCTION("""COMPUTED_VALUE"""),0.022428809757040202)</f>
        <v>0.02242880976</v>
      </c>
      <c r="AP7" s="109">
        <f>IFERROR(__xludf.DUMMYFUNCTION("""COMPUTED_VALUE"""),0.022443003499861947)</f>
        <v>0.0224430035</v>
      </c>
      <c r="AQ7" s="109">
        <f>IFERROR(__xludf.DUMMYFUNCTION("""COMPUTED_VALUE"""),0.022446534745184543)</f>
        <v>0.02244653475</v>
      </c>
      <c r="AR7" s="109">
        <f>IFERROR(__xludf.DUMMYFUNCTION("""COMPUTED_VALUE"""),0.022422717562220473)</f>
        <v>0.02242271756</v>
      </c>
      <c r="AS7" s="109">
        <f>IFERROR(__xludf.DUMMYFUNCTION("""COMPUTED_VALUE"""),0.02236300915406897)</f>
        <v>0.02236300915</v>
      </c>
      <c r="AT7" s="109">
        <f>IFERROR(__xludf.DUMMYFUNCTION("""COMPUTED_VALUE"""),0.02228475144060149)</f>
        <v>0.02228475144</v>
      </c>
      <c r="AU7" s="109">
        <f>IFERROR(__xludf.DUMMYFUNCTION("""COMPUTED_VALUE"""),0.022184797658392874)</f>
        <v>0.02218479766</v>
      </c>
      <c r="AV7" s="109">
        <f>IFERROR(__xludf.DUMMYFUNCTION("""COMPUTED_VALUE"""),0.02206459910889369)</f>
        <v>0.02206459911</v>
      </c>
      <c r="AW7" s="109">
        <f>IFERROR(__xludf.DUMMYFUNCTION("""COMPUTED_VALUE"""),0.021928933777782822)</f>
        <v>0.02192893378</v>
      </c>
      <c r="AX7" s="109">
        <f>IFERROR(__xludf.DUMMYFUNCTION("""COMPUTED_VALUE"""),0.021778435807995322)</f>
        <v>0.02177843581</v>
      </c>
      <c r="AY7" s="109">
        <f>IFERROR(__xludf.DUMMYFUNCTION("""COMPUTED_VALUE"""),0.021615019186623785)</f>
        <v>0.02161501919</v>
      </c>
      <c r="AZ7" s="109">
        <f>IFERROR(__xludf.DUMMYFUNCTION("""COMPUTED_VALUE"""),-0.02283710490732227)</f>
        <v>-0.02283710491</v>
      </c>
      <c r="BA7" s="109">
        <f>IFERROR(__xludf.DUMMYFUNCTION("""COMPUTED_VALUE"""),0.015831617604531667)</f>
        <v>0.0158316176</v>
      </c>
      <c r="BB7" s="109">
        <f>IFERROR(__xludf.DUMMYFUNCTION("""COMPUTED_VALUE"""),0.012970695063289739)</f>
        <v>0.01297069506</v>
      </c>
      <c r="BC7" s="109">
        <f>IFERROR(__xludf.DUMMYFUNCTION("""COMPUTED_VALUE"""),0.00926056233265471)</f>
        <v>0.009260562333</v>
      </c>
      <c r="BD7" s="109">
        <f>IFERROR(__xludf.DUMMYFUNCTION("""COMPUTED_VALUE"""),0.004721622833387729)</f>
        <v>0.004721622833</v>
      </c>
      <c r="BE7" s="109">
        <f>IFERROR(__xludf.DUMMYFUNCTION("""COMPUTED_VALUE"""),0.011741615026854335)</f>
        <v>0.01174161503</v>
      </c>
      <c r="BF7" s="109">
        <f>IFERROR(__xludf.DUMMYFUNCTION("""COMPUTED_VALUE"""),0.01068602058684931)</f>
        <v>0.01068602059</v>
      </c>
      <c r="BG7" s="109">
        <f>IFERROR(__xludf.DUMMYFUNCTION("""COMPUTED_VALUE"""),0.010077214500051168)</f>
        <v>0.0100772145</v>
      </c>
      <c r="BH7" s="109">
        <f>IFERROR(__xludf.DUMMYFUNCTION("""COMPUTED_VALUE"""),0.010242664277928082)</f>
        <v>0.01024266428</v>
      </c>
      <c r="BI7" s="109">
        <f>IFERROR(__xludf.DUMMYFUNCTION("""COMPUTED_VALUE"""),0.01158172461497986)</f>
        <v>0.01158172461</v>
      </c>
      <c r="BJ7" s="109">
        <f>IFERROR(__xludf.DUMMYFUNCTION("""COMPUTED_VALUE"""),0.011506587056480555)</f>
        <v>0.01150658706</v>
      </c>
      <c r="BK7" s="109">
        <f>IFERROR(__xludf.DUMMYFUNCTION("""COMPUTED_VALUE"""),0.01167594711621911)</f>
        <v>0.01167594712</v>
      </c>
      <c r="BL7" s="109">
        <f>IFERROR(__xludf.DUMMYFUNCTION("""COMPUTED_VALUE"""),0.012039112975499755)</f>
        <v>0.01203911298</v>
      </c>
      <c r="BM7" s="109">
        <f>IFERROR(__xludf.DUMMYFUNCTION("""COMPUTED_VALUE"""),0.012451715785817052)</f>
        <v>0.01245171579</v>
      </c>
      <c r="BN7" s="109">
        <f>IFERROR(__xludf.DUMMYFUNCTION("""COMPUTED_VALUE"""),0.01263654453024099)</f>
        <v>0.01263654453</v>
      </c>
      <c r="BO7" s="109">
        <f>IFERROR(__xludf.DUMMYFUNCTION("""COMPUTED_VALUE"""),0.012886505259797065)</f>
        <v>0.01288650526</v>
      </c>
      <c r="BP7" s="109">
        <f>IFERROR(__xludf.DUMMYFUNCTION("""COMPUTED_VALUE"""),0.01315719910635349)</f>
        <v>0.01315719911</v>
      </c>
      <c r="BQ7" s="109">
        <f>IFERROR(__xludf.DUMMYFUNCTION("""COMPUTED_VALUE"""),0.013406022407861595)</f>
        <v>0.01340602241</v>
      </c>
      <c r="BR7" s="109">
        <f>IFERROR(__xludf.DUMMYFUNCTION("""COMPUTED_VALUE"""),0.013615560844042696)</f>
        <v>0.01361556084</v>
      </c>
      <c r="BS7" s="109">
        <f>IFERROR(__xludf.DUMMYFUNCTION("""COMPUTED_VALUE"""),0.013832048148226361)</f>
        <v>0.01383204815</v>
      </c>
      <c r="BT7" s="109">
        <f>IFERROR(__xludf.DUMMYFUNCTION("""COMPUTED_VALUE"""),0.014041188849042818)</f>
        <v>0.01404118885</v>
      </c>
      <c r="BU7" s="109">
        <f>IFERROR(__xludf.DUMMYFUNCTION("""COMPUTED_VALUE"""),0.014236110234809418)</f>
        <v>0.01423611023</v>
      </c>
      <c r="BV7" s="109">
        <f>IFERROR(__xludf.DUMMYFUNCTION("""COMPUTED_VALUE"""),0.014418684931047254)</f>
        <v>0.01441868493</v>
      </c>
      <c r="BW7" s="109">
        <f>IFERROR(__xludf.DUMMYFUNCTION("""COMPUTED_VALUE"""),0.014595473576812568)</f>
        <v>0.01459547358</v>
      </c>
      <c r="BX7" s="109"/>
      <c r="BY7" s="109"/>
      <c r="BZ7" s="109"/>
      <c r="CA7" s="109"/>
      <c r="CB7" s="109"/>
      <c r="CC7" s="109"/>
      <c r="CD7" s="109"/>
      <c r="CE7" s="109"/>
      <c r="CF7" s="109"/>
      <c r="CG7" s="109"/>
    </row>
    <row r="8" ht="15.75" customHeight="1">
      <c r="A8" s="1" t="str">
        <f>IFERROR(__xludf.DUMMYFUNCTION("""COMPUTED_VALUE"""),"Signups")</f>
        <v>Signups</v>
      </c>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row>
    <row r="9" ht="15.75" customHeight="1">
      <c r="A9" s="1" t="str">
        <f>IFERROR(__xludf.DUMMYFUNCTION("""COMPUTED_VALUE"""),"  Organic")</f>
        <v>  Organic</v>
      </c>
      <c r="B9" s="1"/>
      <c r="C9" s="1"/>
      <c r="D9" s="90">
        <f>IFERROR(__xludf.DUMMYFUNCTION("""COMPUTED_VALUE"""),577.0)</f>
        <v>577</v>
      </c>
      <c r="E9" s="90">
        <f>IFERROR(__xludf.DUMMYFUNCTION("""COMPUTED_VALUE"""),556.0)</f>
        <v>556</v>
      </c>
      <c r="F9" s="90">
        <f>IFERROR(__xludf.DUMMYFUNCTION("""COMPUTED_VALUE"""),736.0)</f>
        <v>736</v>
      </c>
      <c r="G9" s="90">
        <f>IFERROR(__xludf.DUMMYFUNCTION("""COMPUTED_VALUE"""),703.0)</f>
        <v>703</v>
      </c>
      <c r="H9" s="90">
        <f>IFERROR(__xludf.DUMMYFUNCTION("""COMPUTED_VALUE"""),752.0)</f>
        <v>752</v>
      </c>
      <c r="I9" s="90">
        <f>IFERROR(__xludf.DUMMYFUNCTION("""COMPUTED_VALUE"""),874.0)</f>
        <v>874</v>
      </c>
      <c r="J9" s="90">
        <f>IFERROR(__xludf.DUMMYFUNCTION("""COMPUTED_VALUE"""),915.0)</f>
        <v>915</v>
      </c>
      <c r="K9" s="90">
        <f>IFERROR(__xludf.DUMMYFUNCTION("""COMPUTED_VALUE"""),894.0)</f>
        <v>894</v>
      </c>
      <c r="L9" s="90">
        <f>IFERROR(__xludf.DUMMYFUNCTION("""COMPUTED_VALUE"""),1407.0)</f>
        <v>1407</v>
      </c>
      <c r="M9" s="90">
        <f>IFERROR(__xludf.DUMMYFUNCTION("""COMPUTED_VALUE"""),1139.0)</f>
        <v>1139</v>
      </c>
      <c r="N9" s="90">
        <f>IFERROR(__xludf.DUMMYFUNCTION("""COMPUTED_VALUE"""),1601.0)</f>
        <v>1601</v>
      </c>
      <c r="O9" s="90">
        <f>IFERROR(__xludf.DUMMYFUNCTION("""COMPUTED_VALUE"""),1963.0)</f>
        <v>1963</v>
      </c>
      <c r="P9" s="90">
        <f>IFERROR(__xludf.DUMMYFUNCTION("""COMPUTED_VALUE"""),2989.0)</f>
        <v>2989</v>
      </c>
      <c r="Q9" s="90">
        <f>IFERROR(__xludf.DUMMYFUNCTION("""COMPUTED_VALUE"""),2984.0)</f>
        <v>2984</v>
      </c>
      <c r="R9" s="90">
        <f>IFERROR(__xludf.DUMMYFUNCTION("""COMPUTED_VALUE"""),2461.0)</f>
        <v>2461</v>
      </c>
      <c r="S9" s="90">
        <f>IFERROR(__xludf.DUMMYFUNCTION("""COMPUTED_VALUE"""),2501.0)</f>
        <v>2501</v>
      </c>
      <c r="T9" s="90">
        <f>IFERROR(__xludf.DUMMYFUNCTION("""COMPUTED_VALUE"""),2628.0)</f>
        <v>2628</v>
      </c>
      <c r="U9" s="90">
        <f>IFERROR(__xludf.DUMMYFUNCTION("""COMPUTED_VALUE"""),2594.0)</f>
        <v>2594</v>
      </c>
      <c r="V9" s="90">
        <f>IFERROR(__xludf.DUMMYFUNCTION("""COMPUTED_VALUE"""),2494.0)</f>
        <v>2494</v>
      </c>
      <c r="W9" s="90">
        <f>IFERROR(__xludf.DUMMYFUNCTION("""COMPUTED_VALUE"""),1909.0)</f>
        <v>1909</v>
      </c>
      <c r="X9" s="90">
        <f>IFERROR(__xludf.DUMMYFUNCTION("""COMPUTED_VALUE"""),2695.0)</f>
        <v>2695</v>
      </c>
      <c r="Y9" s="90">
        <f>IFERROR(__xludf.DUMMYFUNCTION("""COMPUTED_VALUE"""),2506.3516136464755)</f>
        <v>2506.351614</v>
      </c>
      <c r="Z9" s="90">
        <f>IFERROR(__xludf.DUMMYFUNCTION("""COMPUTED_VALUE"""),2510.1581439262945)</f>
        <v>2510.158144</v>
      </c>
      <c r="AA9" s="90">
        <f>IFERROR(__xludf.DUMMYFUNCTION("""COMPUTED_VALUE"""),2663.109204743109)</f>
        <v>2663.109205</v>
      </c>
      <c r="AB9" s="90">
        <f>IFERROR(__xludf.DUMMYFUNCTION("""COMPUTED_VALUE"""),2652.0959695835736)</f>
        <v>2652.09597</v>
      </c>
      <c r="AC9" s="90">
        <f>IFERROR(__xludf.DUMMYFUNCTION("""COMPUTED_VALUE"""),2702.4276358898105)</f>
        <v>2702.427636</v>
      </c>
      <c r="AD9" s="90">
        <f>IFERROR(__xludf.DUMMYFUNCTION("""COMPUTED_VALUE"""),2657.0)</f>
        <v>2657</v>
      </c>
      <c r="AE9" s="90">
        <f>IFERROR(__xludf.DUMMYFUNCTION("""COMPUTED_VALUE"""),2459.0)</f>
        <v>2459</v>
      </c>
      <c r="AF9" s="90">
        <f>IFERROR(__xludf.DUMMYFUNCTION("""COMPUTED_VALUE"""),2392.7963743670375)</f>
        <v>2392.796374</v>
      </c>
      <c r="AG9" s="90">
        <f>IFERROR(__xludf.DUMMYFUNCTION("""COMPUTED_VALUE"""),2309.354813895115)</f>
        <v>2309.354814</v>
      </c>
      <c r="AH9" s="90">
        <f>IFERROR(__xludf.DUMMYFUNCTION("""COMPUTED_VALUE"""),2202.4354031091952)</f>
        <v>2202.435403</v>
      </c>
      <c r="AI9" s="90">
        <f>IFERROR(__xludf.DUMMYFUNCTION("""COMPUTED_VALUE"""),2123.528124583509)</f>
        <v>2123.528125</v>
      </c>
      <c r="AJ9" s="90">
        <f>IFERROR(__xludf.DUMMYFUNCTION("""COMPUTED_VALUE"""),2040.713796179361)</f>
        <v>2040.713796</v>
      </c>
      <c r="AK9" s="90">
        <f>IFERROR(__xludf.DUMMYFUNCTION("""COMPUTED_VALUE"""),1958.0923750432933)</f>
        <v>1958.092375</v>
      </c>
      <c r="AL9" s="90">
        <f>IFERROR(__xludf.DUMMYFUNCTION("""COMPUTED_VALUE"""),1882.9438798687565)</f>
        <v>1882.94388</v>
      </c>
      <c r="AM9" s="90">
        <f>IFERROR(__xludf.DUMMYFUNCTION("""COMPUTED_VALUE"""),1808.9514107726466)</f>
        <v>1808.951411</v>
      </c>
      <c r="AN9" s="90">
        <f>IFERROR(__xludf.DUMMYFUNCTION("""COMPUTED_VALUE"""),1737.6721332780658)</f>
        <v>1737.672133</v>
      </c>
      <c r="AO9" s="90">
        <f>IFERROR(__xludf.DUMMYFUNCTION("""COMPUTED_VALUE"""),1669.8811690513442)</f>
        <v>1669.881169</v>
      </c>
      <c r="AP9" s="90">
        <f>IFERROR(__xludf.DUMMYFUNCTION("""COMPUTED_VALUE"""),1604.3530374632492)</f>
        <v>1604.353037</v>
      </c>
      <c r="AQ9" s="90">
        <f>IFERROR(__xludf.DUMMYFUNCTION("""COMPUTED_VALUE"""),1541.4281404810754)</f>
        <v>1541.42814</v>
      </c>
      <c r="AR9" s="90">
        <f>IFERROR(__xludf.DUMMYFUNCTION("""COMPUTED_VALUE"""),1481.0726604722129)</f>
        <v>1481.07266</v>
      </c>
      <c r="AS9" s="90">
        <f>IFERROR(__xludf.DUMMYFUNCTION("""COMPUTED_VALUE"""),1423.0039878844136)</f>
        <v>1423.003988</v>
      </c>
      <c r="AT9" s="90">
        <f>IFERROR(__xludf.DUMMYFUNCTION("""COMPUTED_VALUE"""),1367.2294962402063)</f>
        <v>1367.229496</v>
      </c>
      <c r="AU9" s="90">
        <f>IFERROR(__xludf.DUMMYFUNCTION("""COMPUTED_VALUE"""),1313.654135077804)</f>
        <v>1313.654135</v>
      </c>
      <c r="AV9" s="90">
        <f>IFERROR(__xludf.DUMMYFUNCTION("""COMPUTED_VALUE"""),1262.1640215791022)</f>
        <v>1262.164022</v>
      </c>
      <c r="AW9" s="90">
        <f>IFERROR(__xludf.DUMMYFUNCTION("""COMPUTED_VALUE"""),1212.6971653833632)</f>
        <v>1212.697165</v>
      </c>
      <c r="AX9" s="90">
        <f>IFERROR(__xludf.DUMMYFUNCTION("""COMPUTED_VALUE"""),1165.17024304133)</f>
        <v>1165.170243</v>
      </c>
      <c r="AY9" s="90">
        <f>IFERROR(__xludf.DUMMYFUNCTION("""COMPUTED_VALUE"""),1119.5035377846941)</f>
        <v>1119.503538</v>
      </c>
      <c r="AZ9" s="90">
        <f>IFERROR(__xludf.DUMMYFUNCTION("""COMPUTED_VALUE"""),1075.6278407251914)</f>
        <v>1075.627841</v>
      </c>
      <c r="BA9" s="90">
        <f>IFERROR(__xludf.DUMMYFUNCTION("""COMPUTED_VALUE"""),1033.4717228928728)</f>
        <v>1033.471723</v>
      </c>
      <c r="BB9" s="90">
        <f>IFERROR(__xludf.DUMMYFUNCTION("""COMPUTED_VALUE"""),992.9674135036948)</f>
        <v>992.9674135</v>
      </c>
      <c r="BC9" s="90">
        <f>IFERROR(__xludf.DUMMYFUNCTION("""COMPUTED_VALUE"""),954.0508158000329)</f>
        <v>954.0508158</v>
      </c>
      <c r="BD9" s="90">
        <f>IFERROR(__xludf.DUMMYFUNCTION("""COMPUTED_VALUE"""),916.6594052767148)</f>
        <v>916.6594053</v>
      </c>
      <c r="BE9" s="90">
        <f>IFERROR(__xludf.DUMMYFUNCTION("""COMPUTED_VALUE"""),880.7333960257503)</f>
        <v>880.733396</v>
      </c>
      <c r="BF9" s="90">
        <f>IFERROR(__xludf.DUMMYFUNCTION("""COMPUTED_VALUE"""),846.215457913821)</f>
        <v>846.2154579</v>
      </c>
      <c r="BG9" s="90">
        <f>IFERROR(__xludf.DUMMYFUNCTION("""COMPUTED_VALUE"""),813.0503419049828)</f>
        <v>813.0503419</v>
      </c>
      <c r="BH9" s="90">
        <f>IFERROR(__xludf.DUMMYFUNCTION("""COMPUTED_VALUE"""),781.1850365575804)</f>
        <v>781.1850366</v>
      </c>
      <c r="BI9" s="90">
        <f>IFERROR(__xludf.DUMMYFUNCTION("""COMPUTED_VALUE"""),750.5686139391739)</f>
        <v>750.5686139</v>
      </c>
      <c r="BJ9" s="90">
        <f>IFERROR(__xludf.DUMMYFUNCTION("""COMPUTED_VALUE"""),721.1521151350835)</f>
        <v>721.1521151</v>
      </c>
      <c r="BK9" s="90">
        <f>IFERROR(__xludf.DUMMYFUNCTION("""COMPUTED_VALUE"""),692.8885157779387)</f>
        <v>692.8885158</v>
      </c>
      <c r="BL9" s="90">
        <f>IFERROR(__xludf.DUMMYFUNCTION("""COMPUTED_VALUE"""),665.732632844591)</f>
        <v>665.7326328</v>
      </c>
      <c r="BM9" s="90">
        <f>IFERROR(__xludf.DUMMYFUNCTION("""COMPUTED_VALUE"""),639.6410501774816)</f>
        <v>639.6410502</v>
      </c>
      <c r="BN9" s="90">
        <f>IFERROR(__xludf.DUMMYFUNCTION("""COMPUTED_VALUE"""),614.5720563120803)</f>
        <v>614.5720563</v>
      </c>
      <c r="BO9" s="90">
        <f>IFERROR(__xludf.DUMMYFUNCTION("""COMPUTED_VALUE"""),590.4855737844532)</f>
        <v>590.4855738</v>
      </c>
      <c r="BP9" s="90">
        <f>IFERROR(__xludf.DUMMYFUNCTION("""COMPUTED_VALUE"""),567.343095362054)</f>
        <v>567.3430954</v>
      </c>
      <c r="BQ9" s="90">
        <f>IFERROR(__xludf.DUMMYFUNCTION("""COMPUTED_VALUE"""),545.1076235682334)</f>
        <v>545.1076236</v>
      </c>
      <c r="BR9" s="90">
        <f>IFERROR(__xludf.DUMMYFUNCTION("""COMPUTED_VALUE"""),523.7436107286898)</f>
        <v>523.7436107</v>
      </c>
      <c r="BS9" s="90">
        <f>IFERROR(__xludf.DUMMYFUNCTION("""COMPUTED_VALUE"""),503.2169023206954)</f>
        <v>503.2169023</v>
      </c>
      <c r="BT9" s="90">
        <f>IFERROR(__xludf.DUMMYFUNCTION("""COMPUTED_VALUE"""),483.49468251162347)</f>
        <v>483.4946825</v>
      </c>
      <c r="BU9" s="90">
        <f>IFERROR(__xludf.DUMMYFUNCTION("""COMPUTED_VALUE"""),464.54542154710407)</f>
        <v>464.5454215</v>
      </c>
      <c r="BV9" s="90">
        <f>IFERROR(__xludf.DUMMYFUNCTION("""COMPUTED_VALUE"""),446.3388253971462)</f>
        <v>446.3388254</v>
      </c>
      <c r="BW9" s="90">
        <f>IFERROR(__xludf.DUMMYFUNCTION("""COMPUTED_VALUE"""),428.8457873388905)</f>
        <v>428.8457873</v>
      </c>
      <c r="BX9" s="106"/>
      <c r="BY9" s="106"/>
      <c r="BZ9" s="106"/>
      <c r="CA9" s="106"/>
      <c r="CB9" s="106"/>
      <c r="CC9" s="106"/>
      <c r="CD9" s="106"/>
      <c r="CE9" s="106"/>
      <c r="CF9" s="106"/>
      <c r="CG9" s="106"/>
    </row>
    <row r="10" ht="15.75" customHeight="1">
      <c r="A10" s="128" t="str">
        <f>IFERROR(__xludf.DUMMYFUNCTION("""COMPUTED_VALUE"""),"  Adwords")</f>
        <v>  Adwords</v>
      </c>
      <c r="B10" s="128"/>
      <c r="C10" s="128"/>
      <c r="D10" s="129">
        <f>IFERROR(__xludf.DUMMYFUNCTION("""COMPUTED_VALUE"""),452.40000000000003)</f>
        <v>452.4</v>
      </c>
      <c r="E10" s="129">
        <f>IFERROR(__xludf.DUMMYFUNCTION("""COMPUTED_VALUE"""),486.0)</f>
        <v>486</v>
      </c>
      <c r="F10" s="129">
        <f>IFERROR(__xludf.DUMMYFUNCTION("""COMPUTED_VALUE"""),594.4)</f>
        <v>594.4</v>
      </c>
      <c r="G10" s="129">
        <f>IFERROR(__xludf.DUMMYFUNCTION("""COMPUTED_VALUE"""),575.6)</f>
        <v>575.6</v>
      </c>
      <c r="H10" s="129">
        <f>IFERROR(__xludf.DUMMYFUNCTION("""COMPUTED_VALUE"""),654.0)</f>
        <v>654</v>
      </c>
      <c r="I10" s="129">
        <f>IFERROR(__xludf.DUMMYFUNCTION("""COMPUTED_VALUE"""),732.4000000000001)</f>
        <v>732.4</v>
      </c>
      <c r="J10" s="129">
        <f>IFERROR(__xludf.DUMMYFUNCTION("""COMPUTED_VALUE"""),814.8000000000001)</f>
        <v>814.8</v>
      </c>
      <c r="K10" s="129">
        <f>IFERROR(__xludf.DUMMYFUNCTION("""COMPUTED_VALUE"""),810.8000000000001)</f>
        <v>810.8</v>
      </c>
      <c r="L10" s="129">
        <f>IFERROR(__xludf.DUMMYFUNCTION("""COMPUTED_VALUE"""),1075.6000000000001)</f>
        <v>1075.6</v>
      </c>
      <c r="M10" s="129">
        <f>IFERROR(__xludf.DUMMYFUNCTION("""COMPUTED_VALUE"""),965.6)</f>
        <v>965.6</v>
      </c>
      <c r="N10" s="129">
        <f>IFERROR(__xludf.DUMMYFUNCTION("""COMPUTED_VALUE"""),1211.6000000000001)</f>
        <v>1211.6</v>
      </c>
      <c r="O10" s="129">
        <f>IFERROR(__xludf.DUMMYFUNCTION("""COMPUTED_VALUE"""),1652.4)</f>
        <v>1652.4</v>
      </c>
      <c r="P10" s="129">
        <f>IFERROR(__xludf.DUMMYFUNCTION("""COMPUTED_VALUE"""),2242.4)</f>
        <v>2242.4</v>
      </c>
      <c r="Q10" s="129">
        <f>IFERROR(__xludf.DUMMYFUNCTION("""COMPUTED_VALUE"""),2259.2000000000003)</f>
        <v>2259.2</v>
      </c>
      <c r="R10" s="129">
        <f>IFERROR(__xludf.DUMMYFUNCTION("""COMPUTED_VALUE"""),1878.4)</f>
        <v>1878.4</v>
      </c>
      <c r="S10" s="129">
        <f>IFERROR(__xludf.DUMMYFUNCTION("""COMPUTED_VALUE"""),2249.6)</f>
        <v>2249.6</v>
      </c>
      <c r="T10" s="129">
        <f>IFERROR(__xludf.DUMMYFUNCTION("""COMPUTED_VALUE"""),2144.0)</f>
        <v>2144</v>
      </c>
      <c r="U10" s="129">
        <f>IFERROR(__xludf.DUMMYFUNCTION("""COMPUTED_VALUE"""),2266.8)</f>
        <v>2266.8</v>
      </c>
      <c r="V10" s="129">
        <f>IFERROR(__xludf.DUMMYFUNCTION("""COMPUTED_VALUE"""),2201.6)</f>
        <v>2201.6</v>
      </c>
      <c r="W10" s="129">
        <f>IFERROR(__xludf.DUMMYFUNCTION("""COMPUTED_VALUE"""),1538.4)</f>
        <v>1538.4</v>
      </c>
      <c r="X10" s="129">
        <f>IFERROR(__xludf.DUMMYFUNCTION("""COMPUTED_VALUE"""),2399.6)</f>
        <v>2399.6</v>
      </c>
      <c r="Y10" s="129">
        <f>IFERROR(__xludf.DUMMYFUNCTION("""COMPUTED_VALUE"""),1843.5387156021281)</f>
        <v>1843.538716</v>
      </c>
      <c r="Z10" s="129">
        <f>IFERROR(__xludf.DUMMYFUNCTION("""COMPUTED_VALUE"""),1914.8767094582329)</f>
        <v>1914.876709</v>
      </c>
      <c r="AA10" s="129">
        <f>IFERROR(__xludf.DUMMYFUNCTION("""COMPUTED_VALUE"""),2217.3931918482367)</f>
        <v>2217.393192</v>
      </c>
      <c r="AB10" s="129">
        <f>IFERROR(__xludf.DUMMYFUNCTION("""COMPUTED_VALUE"""),2186.083340889379)</f>
        <v>2186.083341</v>
      </c>
      <c r="AC10" s="129">
        <f>IFERROR(__xludf.DUMMYFUNCTION("""COMPUTED_VALUE"""),2266.4862543607724)</f>
        <v>2266.486254</v>
      </c>
      <c r="AD10" s="129">
        <f>IFERROR(__xludf.DUMMYFUNCTION("""COMPUTED_VALUE"""),2168.5410965934184)</f>
        <v>2168.541097</v>
      </c>
      <c r="AE10" s="129">
        <f>IFERROR(__xludf.DUMMYFUNCTION("""COMPUTED_VALUE"""),2049.7652973950717)</f>
        <v>2049.765297</v>
      </c>
      <c r="AF10" s="129">
        <f>IFERROR(__xludf.DUMMYFUNCTION("""COMPUTED_VALUE"""),1838.798513512155)</f>
        <v>1838.798514</v>
      </c>
      <c r="AG10" s="129">
        <f>IFERROR(__xludf.DUMMYFUNCTION("""COMPUTED_VALUE"""),2026.268132378828)</f>
        <v>2026.268132</v>
      </c>
      <c r="AH10" s="129">
        <f>IFERROR(__xludf.DUMMYFUNCTION("""COMPUTED_VALUE"""),2206.7112079563453)</f>
        <v>2206.711208</v>
      </c>
      <c r="AI10" s="129">
        <f>IFERROR(__xludf.DUMMYFUNCTION("""COMPUTED_VALUE"""),2391.9124878792504)</f>
        <v>2391.912488</v>
      </c>
      <c r="AJ10" s="129">
        <f>IFERROR(__xludf.DUMMYFUNCTION("""COMPUTED_VALUE"""),2576.346822083387)</f>
        <v>2576.346822</v>
      </c>
      <c r="AK10" s="129">
        <f>IFERROR(__xludf.DUMMYFUNCTION("""COMPUTED_VALUE"""),2759.6040453534547)</f>
        <v>2759.604045</v>
      </c>
      <c r="AL10" s="129">
        <f>IFERROR(__xludf.DUMMYFUNCTION("""COMPUTED_VALUE"""),2943.947944882321)</f>
        <v>2943.947945</v>
      </c>
      <c r="AM10" s="129">
        <f>IFERROR(__xludf.DUMMYFUNCTION("""COMPUTED_VALUE"""),3127.9617735427946)</f>
        <v>3127.961774</v>
      </c>
      <c r="AN10" s="129">
        <f>IFERROR(__xludf.DUMMYFUNCTION("""COMPUTED_VALUE"""),3311.817661416964)</f>
        <v>3311.817661</v>
      </c>
      <c r="AO10" s="129">
        <f>IFERROR(__xludf.DUMMYFUNCTION("""COMPUTED_VALUE"""),3495.898435627441)</f>
        <v>3495.898436</v>
      </c>
      <c r="AP10" s="129">
        <f>IFERROR(__xludf.DUMMYFUNCTION("""COMPUTED_VALUE"""),3679.880692810074)</f>
        <v>3679.880693</v>
      </c>
      <c r="AQ10" s="129">
        <f>IFERROR(__xludf.DUMMYFUNCTION("""COMPUTED_VALUE"""),3863.8514488937553)</f>
        <v>3863.851449</v>
      </c>
      <c r="AR10" s="129">
        <f>IFERROR(__xludf.DUMMYFUNCTION("""COMPUTED_VALUE"""),4047.8645450214653)</f>
        <v>4047.864545</v>
      </c>
      <c r="AS10" s="129">
        <f>IFERROR(__xludf.DUMMYFUNCTION("""COMPUTED_VALUE"""),4231.852758645742)</f>
        <v>4231.852759</v>
      </c>
      <c r="AT10" s="129">
        <f>IFERROR(__xludf.DUMMYFUNCTION("""COMPUTED_VALUE"""),4415.843182749441)</f>
        <v>4415.843183</v>
      </c>
      <c r="AU10" s="129">
        <f>IFERROR(__xludf.DUMMYFUNCTION("""COMPUTED_VALUE"""),4599.840755948061)</f>
        <v>4599.840756</v>
      </c>
      <c r="AV10" s="129">
        <f>IFERROR(__xludf.DUMMYFUNCTION("""COMPUTED_VALUE"""),4783.832696262839)</f>
        <v>4783.832696</v>
      </c>
      <c r="AW10" s="129">
        <f>IFERROR(__xludf.DUMMYFUNCTION("""COMPUTED_VALUE"""),4967.825988585723)</f>
        <v>4967.825989</v>
      </c>
      <c r="AX10" s="129">
        <f>IFERROR(__xludf.DUMMYFUNCTION("""COMPUTED_VALUE"""),5151.820312080838)</f>
        <v>5151.820312</v>
      </c>
      <c r="AY10" s="129">
        <f>IFERROR(__xludf.DUMMYFUNCTION("""COMPUTED_VALUE"""),5335.813468036451)</f>
        <v>5335.813468</v>
      </c>
      <c r="AZ10" s="129">
        <f>IFERROR(__xludf.DUMMYFUNCTION("""COMPUTED_VALUE"""),5232.730019797812)</f>
        <v>5232.73002</v>
      </c>
      <c r="BA10" s="129">
        <f>IFERROR(__xludf.DUMMYFUNCTION("""COMPUTED_VALUE"""),5376.24956904657)</f>
        <v>5376.249569</v>
      </c>
      <c r="BB10" s="129">
        <f>IFERROR(__xludf.DUMMYFUNCTION("""COMPUTED_VALUE"""),5501.250892562652)</f>
        <v>5501.250893</v>
      </c>
      <c r="BC10" s="129">
        <f>IFERROR(__xludf.DUMMYFUNCTION("""COMPUTED_VALUE"""),5601.520247956477)</f>
        <v>5601.520248</v>
      </c>
      <c r="BD10" s="129">
        <f>IFERROR(__xludf.DUMMYFUNCTION("""COMPUTED_VALUE"""),5670.920546716447)</f>
        <v>5670.920547</v>
      </c>
      <c r="BE10" s="129">
        <f>IFERROR(__xludf.DUMMYFUNCTION("""COMPUTED_VALUE"""),5785.372065977931)</f>
        <v>5785.372066</v>
      </c>
      <c r="BF10" s="129">
        <f>IFERROR(__xludf.DUMMYFUNCTION("""COMPUTED_VALUE"""),5892.231330711209)</f>
        <v>5892.231331</v>
      </c>
      <c r="BG10" s="129">
        <f>IFERROR(__xludf.DUMMYFUNCTION("""COMPUTED_VALUE"""),5994.352017352839)</f>
        <v>5994.352017</v>
      </c>
      <c r="BH10" s="129">
        <f>IFERROR(__xludf.DUMMYFUNCTION("""COMPUTED_VALUE"""),6096.956254733596)</f>
        <v>6096.956255</v>
      </c>
      <c r="BI10" s="129">
        <f>IFERROR(__xludf.DUMMYFUNCTION("""COMPUTED_VALUE"""),6208.233082991192)</f>
        <v>6208.233083</v>
      </c>
      <c r="BJ10" s="90">
        <f>IFERROR(__xludf.DUMMYFUNCTION("""COMPUTED_VALUE"""),6318.680702609711)</f>
        <v>6318.680703</v>
      </c>
      <c r="BK10" s="90">
        <f>IFERROR(__xludf.DUMMYFUNCTION("""COMPUTED_VALUE"""),6430.065570342761)</f>
        <v>6430.06557</v>
      </c>
      <c r="BL10" s="90">
        <f>IFERROR(__xludf.DUMMYFUNCTION("""COMPUTED_VALUE"""),6543.8701633090595)</f>
        <v>6543.870163</v>
      </c>
      <c r="BM10" s="90">
        <f>IFERROR(__xludf.DUMMYFUNCTION("""COMPUTED_VALUE"""),6660.600190307945)</f>
        <v>6660.60019</v>
      </c>
      <c r="BN10" s="90">
        <f>IFERROR(__xludf.DUMMYFUNCTION("""COMPUTED_VALUE"""),6778.7545458288805)</f>
        <v>6778.754546</v>
      </c>
      <c r="BO10" s="90">
        <f>IFERROR(__xludf.DUMMYFUNCTION("""COMPUTED_VALUE"""),6898.9218339810905)</f>
        <v>6898.921834</v>
      </c>
      <c r="BP10" s="90">
        <f>IFERROR(__xludf.DUMMYFUNCTION("""COMPUTED_VALUE"""),7021.383013704617)</f>
        <v>7021.383014</v>
      </c>
      <c r="BQ10" s="90">
        <f>IFERROR(__xludf.DUMMYFUNCTION("""COMPUTED_VALUE"""),7146.105218749291)</f>
        <v>7146.105219</v>
      </c>
      <c r="BR10" s="90">
        <f>IFERROR(__xludf.DUMMYFUNCTION("""COMPUTED_VALUE"""),7272.914911232317)</f>
        <v>7272.914911</v>
      </c>
      <c r="BS10" s="90">
        <f>IFERROR(__xludf.DUMMYFUNCTION("""COMPUTED_VALUE"""),7401.985302428378)</f>
        <v>7401.985302</v>
      </c>
      <c r="BT10" s="90">
        <f>IFERROR(__xludf.DUMMYFUNCTION("""COMPUTED_VALUE"""),7533.381106765391)</f>
        <v>7533.381107</v>
      </c>
      <c r="BU10" s="90">
        <f>IFERROR(__xludf.DUMMYFUNCTION("""COMPUTED_VALUE"""),7667.110557371851)</f>
        <v>7667.110557</v>
      </c>
      <c r="BV10" s="90">
        <f>IFERROR(__xludf.DUMMYFUNCTION("""COMPUTED_VALUE"""),7803.1926222016145)</f>
        <v>7803.192622</v>
      </c>
      <c r="BW10" s="90">
        <f>IFERROR(__xludf.DUMMYFUNCTION("""COMPUTED_VALUE"""),7941.696550080917)</f>
        <v>7941.69655</v>
      </c>
      <c r="BX10" s="106"/>
      <c r="BY10" s="106"/>
      <c r="BZ10" s="106"/>
      <c r="CA10" s="106"/>
      <c r="CB10" s="106"/>
      <c r="CC10" s="106"/>
      <c r="CD10" s="106"/>
      <c r="CE10" s="106"/>
      <c r="CF10" s="106"/>
      <c r="CG10" s="106"/>
    </row>
    <row r="11" ht="15.75" customHeight="1">
      <c r="A11" s="7" t="str">
        <f>IFERROR(__xludf.DUMMYFUNCTION("""COMPUTED_VALUE"""),"Total Signups")</f>
        <v>Total Signups</v>
      </c>
      <c r="B11" s="1"/>
      <c r="C11" s="1"/>
      <c r="D11" s="130">
        <f>IFERROR(__xludf.DUMMYFUNCTION("""COMPUTED_VALUE"""),1029.4)</f>
        <v>1029.4</v>
      </c>
      <c r="E11" s="130">
        <f>IFERROR(__xludf.DUMMYFUNCTION("""COMPUTED_VALUE"""),1042.0)</f>
        <v>1042</v>
      </c>
      <c r="F11" s="130">
        <f>IFERROR(__xludf.DUMMYFUNCTION("""COMPUTED_VALUE"""),1330.4)</f>
        <v>1330.4</v>
      </c>
      <c r="G11" s="130">
        <f>IFERROR(__xludf.DUMMYFUNCTION("""COMPUTED_VALUE"""),1278.6)</f>
        <v>1278.6</v>
      </c>
      <c r="H11" s="130">
        <f>IFERROR(__xludf.DUMMYFUNCTION("""COMPUTED_VALUE"""),1406.0)</f>
        <v>1406</v>
      </c>
      <c r="I11" s="130">
        <f>IFERROR(__xludf.DUMMYFUNCTION("""COMPUTED_VALUE"""),1606.4)</f>
        <v>1606.4</v>
      </c>
      <c r="J11" s="130">
        <f>IFERROR(__xludf.DUMMYFUNCTION("""COMPUTED_VALUE"""),1729.8000000000002)</f>
        <v>1729.8</v>
      </c>
      <c r="K11" s="130">
        <f>IFERROR(__xludf.DUMMYFUNCTION("""COMPUTED_VALUE"""),1704.8000000000002)</f>
        <v>1704.8</v>
      </c>
      <c r="L11" s="130">
        <f>IFERROR(__xludf.DUMMYFUNCTION("""COMPUTED_VALUE"""),2482.6000000000004)</f>
        <v>2482.6</v>
      </c>
      <c r="M11" s="130">
        <f>IFERROR(__xludf.DUMMYFUNCTION("""COMPUTED_VALUE"""),2104.6)</f>
        <v>2104.6</v>
      </c>
      <c r="N11" s="130">
        <f>IFERROR(__xludf.DUMMYFUNCTION("""COMPUTED_VALUE"""),2812.6000000000004)</f>
        <v>2812.6</v>
      </c>
      <c r="O11" s="130">
        <f>IFERROR(__xludf.DUMMYFUNCTION("""COMPUTED_VALUE"""),3615.4)</f>
        <v>3615.4</v>
      </c>
      <c r="P11" s="130">
        <f>IFERROR(__xludf.DUMMYFUNCTION("""COMPUTED_VALUE"""),5231.4)</f>
        <v>5231.4</v>
      </c>
      <c r="Q11" s="130">
        <f>IFERROR(__xludf.DUMMYFUNCTION("""COMPUTED_VALUE"""),5243.200000000001)</f>
        <v>5243.2</v>
      </c>
      <c r="R11" s="130">
        <f>IFERROR(__xludf.DUMMYFUNCTION("""COMPUTED_VALUE"""),4339.4)</f>
        <v>4339.4</v>
      </c>
      <c r="S11" s="130">
        <f>IFERROR(__xludf.DUMMYFUNCTION("""COMPUTED_VALUE"""),4750.6)</f>
        <v>4750.6</v>
      </c>
      <c r="T11" s="130">
        <f>IFERROR(__xludf.DUMMYFUNCTION("""COMPUTED_VALUE"""),4772.0)</f>
        <v>4772</v>
      </c>
      <c r="U11" s="130">
        <f>IFERROR(__xludf.DUMMYFUNCTION("""COMPUTED_VALUE"""),4860.8)</f>
        <v>4860.8</v>
      </c>
      <c r="V11" s="130">
        <f>IFERROR(__xludf.DUMMYFUNCTION("""COMPUTED_VALUE"""),4695.6)</f>
        <v>4695.6</v>
      </c>
      <c r="W11" s="130">
        <f>IFERROR(__xludf.DUMMYFUNCTION("""COMPUTED_VALUE"""),3447.4)</f>
        <v>3447.4</v>
      </c>
      <c r="X11" s="130">
        <f>IFERROR(__xludf.DUMMYFUNCTION("""COMPUTED_VALUE"""),5094.6)</f>
        <v>5094.6</v>
      </c>
      <c r="Y11" s="130">
        <f>IFERROR(__xludf.DUMMYFUNCTION("""COMPUTED_VALUE"""),4349.890329248604)</f>
        <v>4349.890329</v>
      </c>
      <c r="Z11" s="130">
        <f>IFERROR(__xludf.DUMMYFUNCTION("""COMPUTED_VALUE"""),4425.034853384527)</f>
        <v>4425.034853</v>
      </c>
      <c r="AA11" s="130">
        <f>IFERROR(__xludf.DUMMYFUNCTION("""COMPUTED_VALUE"""),4880.502396591346)</f>
        <v>4880.502397</v>
      </c>
      <c r="AB11" s="130">
        <f>IFERROR(__xludf.DUMMYFUNCTION("""COMPUTED_VALUE"""),4838.179310472953)</f>
        <v>4838.17931</v>
      </c>
      <c r="AC11" s="130">
        <f>IFERROR(__xludf.DUMMYFUNCTION("""COMPUTED_VALUE"""),4968.913890250583)</f>
        <v>4968.91389</v>
      </c>
      <c r="AD11" s="130">
        <f>IFERROR(__xludf.DUMMYFUNCTION("""COMPUTED_VALUE"""),4825.541096593419)</f>
        <v>4825.541097</v>
      </c>
      <c r="AE11" s="130">
        <f>IFERROR(__xludf.DUMMYFUNCTION("""COMPUTED_VALUE"""),4508.765297395072)</f>
        <v>4508.765297</v>
      </c>
      <c r="AF11" s="130">
        <f>IFERROR(__xludf.DUMMYFUNCTION("""COMPUTED_VALUE"""),4231.594887879192)</f>
        <v>4231.594888</v>
      </c>
      <c r="AG11" s="130">
        <f>IFERROR(__xludf.DUMMYFUNCTION("""COMPUTED_VALUE"""),4335.622946273943)</f>
        <v>4335.622946</v>
      </c>
      <c r="AH11" s="130">
        <f>IFERROR(__xludf.DUMMYFUNCTION("""COMPUTED_VALUE"""),4409.14661106554)</f>
        <v>4409.146611</v>
      </c>
      <c r="AI11" s="130">
        <f>IFERROR(__xludf.DUMMYFUNCTION("""COMPUTED_VALUE"""),4515.440612462759)</f>
        <v>4515.440612</v>
      </c>
      <c r="AJ11" s="130">
        <f>IFERROR(__xludf.DUMMYFUNCTION("""COMPUTED_VALUE"""),4617.060618262748)</f>
        <v>4617.060618</v>
      </c>
      <c r="AK11" s="130">
        <f>IFERROR(__xludf.DUMMYFUNCTION("""COMPUTED_VALUE"""),4717.696420396748)</f>
        <v>4717.69642</v>
      </c>
      <c r="AL11" s="130">
        <f>IFERROR(__xludf.DUMMYFUNCTION("""COMPUTED_VALUE"""),4826.891824751077)</f>
        <v>4826.891825</v>
      </c>
      <c r="AM11" s="130">
        <f>IFERROR(__xludf.DUMMYFUNCTION("""COMPUTED_VALUE"""),4936.913184315441)</f>
        <v>4936.913184</v>
      </c>
      <c r="AN11" s="130">
        <f>IFERROR(__xludf.DUMMYFUNCTION("""COMPUTED_VALUE"""),5049.48979469503)</f>
        <v>5049.489795</v>
      </c>
      <c r="AO11" s="130">
        <f>IFERROR(__xludf.DUMMYFUNCTION("""COMPUTED_VALUE"""),5165.779604678785)</f>
        <v>5165.779605</v>
      </c>
      <c r="AP11" s="130">
        <f>IFERROR(__xludf.DUMMYFUNCTION("""COMPUTED_VALUE"""),5284.233730273323)</f>
        <v>5284.23373</v>
      </c>
      <c r="AQ11" s="130">
        <f>IFERROR(__xludf.DUMMYFUNCTION("""COMPUTED_VALUE"""),5405.279589374831)</f>
        <v>5405.279589</v>
      </c>
      <c r="AR11" s="130">
        <f>IFERROR(__xludf.DUMMYFUNCTION("""COMPUTED_VALUE"""),5528.937205493678)</f>
        <v>5528.937205</v>
      </c>
      <c r="AS11" s="130">
        <f>IFERROR(__xludf.DUMMYFUNCTION("""COMPUTED_VALUE"""),5654.856746530156)</f>
        <v>5654.856747</v>
      </c>
      <c r="AT11" s="130">
        <f>IFERROR(__xludf.DUMMYFUNCTION("""COMPUTED_VALUE"""),5783.072678989648)</f>
        <v>5783.072679</v>
      </c>
      <c r="AU11" s="130">
        <f>IFERROR(__xludf.DUMMYFUNCTION("""COMPUTED_VALUE"""),5913.494891025865)</f>
        <v>5913.494891</v>
      </c>
      <c r="AV11" s="130">
        <f>IFERROR(__xludf.DUMMYFUNCTION("""COMPUTED_VALUE"""),6045.996717841941)</f>
        <v>6045.996718</v>
      </c>
      <c r="AW11" s="130">
        <f>IFERROR(__xludf.DUMMYFUNCTION("""COMPUTED_VALUE"""),6180.523153969087)</f>
        <v>6180.523154</v>
      </c>
      <c r="AX11" s="130">
        <f>IFERROR(__xludf.DUMMYFUNCTION("""COMPUTED_VALUE"""),6316.990555122168)</f>
        <v>6316.990555</v>
      </c>
      <c r="AY11" s="130">
        <f>IFERROR(__xludf.DUMMYFUNCTION("""COMPUTED_VALUE"""),6455.317005821145)</f>
        <v>6455.317006</v>
      </c>
      <c r="AZ11" s="130">
        <f>IFERROR(__xludf.DUMMYFUNCTION("""COMPUTED_VALUE"""),6308.357860523003)</f>
        <v>6308.357861</v>
      </c>
      <c r="BA11" s="130">
        <f>IFERROR(__xludf.DUMMYFUNCTION("""COMPUTED_VALUE"""),6409.721291939443)</f>
        <v>6409.721292</v>
      </c>
      <c r="BB11" s="130">
        <f>IFERROR(__xludf.DUMMYFUNCTION("""COMPUTED_VALUE"""),6494.2183060663465)</f>
        <v>6494.218306</v>
      </c>
      <c r="BC11" s="130">
        <f>IFERROR(__xludf.DUMMYFUNCTION("""COMPUTED_VALUE"""),6555.57106375651)</f>
        <v>6555.571064</v>
      </c>
      <c r="BD11" s="130">
        <f>IFERROR(__xludf.DUMMYFUNCTION("""COMPUTED_VALUE"""),6587.579951993162)</f>
        <v>6587.579952</v>
      </c>
      <c r="BE11" s="130">
        <f>IFERROR(__xludf.DUMMYFUNCTION("""COMPUTED_VALUE"""),6666.105462003681)</f>
        <v>6666.105462</v>
      </c>
      <c r="BF11" s="130">
        <f>IFERROR(__xludf.DUMMYFUNCTION("""COMPUTED_VALUE"""),6738.4467886250295)</f>
        <v>6738.446789</v>
      </c>
      <c r="BG11" s="130">
        <f>IFERROR(__xludf.DUMMYFUNCTION("""COMPUTED_VALUE"""),6807.402359257821)</f>
        <v>6807.402359</v>
      </c>
      <c r="BH11" s="130">
        <f>IFERROR(__xludf.DUMMYFUNCTION("""COMPUTED_VALUE"""),6878.1412912911765)</f>
        <v>6878.141291</v>
      </c>
      <c r="BI11" s="130">
        <f>IFERROR(__xludf.DUMMYFUNCTION("""COMPUTED_VALUE"""),6958.801696930365)</f>
        <v>6958.801697</v>
      </c>
      <c r="BJ11" s="130">
        <f>IFERROR(__xludf.DUMMYFUNCTION("""COMPUTED_VALUE"""),7039.832817744795)</f>
        <v>7039.832818</v>
      </c>
      <c r="BK11" s="130">
        <f>IFERROR(__xludf.DUMMYFUNCTION("""COMPUTED_VALUE"""),7122.9540861207)</f>
        <v>7122.954086</v>
      </c>
      <c r="BL11" s="130">
        <f>IFERROR(__xludf.DUMMYFUNCTION("""COMPUTED_VALUE"""),7209.60279615365)</f>
        <v>7209.602796</v>
      </c>
      <c r="BM11" s="130">
        <f>IFERROR(__xludf.DUMMYFUNCTION("""COMPUTED_VALUE"""),7300.241240485427)</f>
        <v>7300.24124</v>
      </c>
      <c r="BN11" s="130">
        <f>IFERROR(__xludf.DUMMYFUNCTION("""COMPUTED_VALUE"""),7393.326602140961)</f>
        <v>7393.326602</v>
      </c>
      <c r="BO11" s="130">
        <f>IFERROR(__xludf.DUMMYFUNCTION("""COMPUTED_VALUE"""),7489.407407765544)</f>
        <v>7489.407408</v>
      </c>
      <c r="BP11" s="130">
        <f>IFERROR(__xludf.DUMMYFUNCTION("""COMPUTED_VALUE"""),7588.726109066671)</f>
        <v>7588.726109</v>
      </c>
      <c r="BQ11" s="130">
        <f>IFERROR(__xludf.DUMMYFUNCTION("""COMPUTED_VALUE"""),7691.2128423175245)</f>
        <v>7691.212842</v>
      </c>
      <c r="BR11" s="130">
        <f>IFERROR(__xludf.DUMMYFUNCTION("""COMPUTED_VALUE"""),7796.658521961006)</f>
        <v>7796.658522</v>
      </c>
      <c r="BS11" s="130">
        <f>IFERROR(__xludf.DUMMYFUNCTION("""COMPUTED_VALUE"""),7905.202204749074)</f>
        <v>7905.202205</v>
      </c>
      <c r="BT11" s="130">
        <f>IFERROR(__xludf.DUMMYFUNCTION("""COMPUTED_VALUE"""),8016.8757892770145)</f>
        <v>8016.875789</v>
      </c>
      <c r="BU11" s="130">
        <f>IFERROR(__xludf.DUMMYFUNCTION("""COMPUTED_VALUE"""),8131.655978918956)</f>
        <v>8131.655979</v>
      </c>
      <c r="BV11" s="130">
        <f>IFERROR(__xludf.DUMMYFUNCTION("""COMPUTED_VALUE"""),8249.531447598762)</f>
        <v>8249.531448</v>
      </c>
      <c r="BW11" s="130">
        <f>IFERROR(__xludf.DUMMYFUNCTION("""COMPUTED_VALUE"""),8370.542337419807)</f>
        <v>8370.542337</v>
      </c>
      <c r="BX11" s="130"/>
      <c r="BY11" s="130"/>
      <c r="BZ11" s="130"/>
      <c r="CA11" s="130"/>
      <c r="CB11" s="130"/>
      <c r="CC11" s="130"/>
      <c r="CD11" s="130"/>
      <c r="CE11" s="130"/>
      <c r="CF11" s="130"/>
      <c r="CG11" s="130"/>
    </row>
    <row r="12" ht="15.75" customHeight="1">
      <c r="A12" s="1" t="str">
        <f>IFERROR(__xludf.DUMMYFUNCTION("""COMPUTED_VALUE"""),"  Visitor to Signup Conversion Rate")</f>
        <v>  Visitor to Signup Conversion Rate</v>
      </c>
      <c r="B12" s="1"/>
      <c r="C12" s="1"/>
      <c r="D12" s="109">
        <f>IFERROR(__xludf.DUMMYFUNCTION("""COMPUTED_VALUE"""),0.1294126521170673)</f>
        <v>0.1294126521</v>
      </c>
      <c r="E12" s="109">
        <f>IFERROR(__xludf.DUMMYFUNCTION("""COMPUTED_VALUE"""),0.12466799071570432)</f>
        <v>0.1246679907</v>
      </c>
      <c r="F12" s="109">
        <f>IFERROR(__xludf.DUMMYFUNCTION("""COMPUTED_VALUE"""),0.1652465532232021)</f>
        <v>0.1652465532</v>
      </c>
      <c r="G12" s="109">
        <f>IFERROR(__xludf.DUMMYFUNCTION("""COMPUTED_VALUE"""),0.1401021235563542)</f>
        <v>0.1401021236</v>
      </c>
      <c r="H12" s="109">
        <f>IFERROR(__xludf.DUMMYFUNCTION("""COMPUTED_VALUE"""),0.12864854973007595)</f>
        <v>0.1286485497</v>
      </c>
      <c r="I12" s="109">
        <f>IFERROR(__xludf.DUMMYFUNCTION("""COMPUTED_VALUE"""),0.11846083506629503)</f>
        <v>0.1184608351</v>
      </c>
      <c r="J12" s="109">
        <f>IFERROR(__xludf.DUMMYFUNCTION("""COMPUTED_VALUE"""),0.1148392065220278)</f>
        <v>0.1148392065</v>
      </c>
      <c r="K12" s="109">
        <f>IFERROR(__xludf.DUMMYFUNCTION("""COMPUTED_VALUE"""),0.06916810023045215)</f>
        <v>0.06916810023</v>
      </c>
      <c r="L12" s="109">
        <f>IFERROR(__xludf.DUMMYFUNCTION("""COMPUTED_VALUE"""),0.0714775167997789)</f>
        <v>0.0714775168</v>
      </c>
      <c r="M12" s="109">
        <f>IFERROR(__xludf.DUMMYFUNCTION("""COMPUTED_VALUE"""),0.0769028391858808)</f>
        <v>0.07690283919</v>
      </c>
      <c r="N12" s="109">
        <f>IFERROR(__xludf.DUMMYFUNCTION("""COMPUTED_VALUE"""),0.09709401473360077)</f>
        <v>0.09709401473</v>
      </c>
      <c r="O12" s="109">
        <f>IFERROR(__xludf.DUMMYFUNCTION("""COMPUTED_VALUE"""),0.0837666008656083)</f>
        <v>0.08376660087</v>
      </c>
      <c r="P12" s="109">
        <f>IFERROR(__xludf.DUMMYFUNCTION("""COMPUTED_VALUE"""),0.11514842026950284)</f>
        <v>0.1151484203</v>
      </c>
      <c r="Q12" s="109">
        <f>IFERROR(__xludf.DUMMYFUNCTION("""COMPUTED_VALUE"""),0.08356416329054613)</f>
        <v>0.08356416329</v>
      </c>
      <c r="R12" s="109">
        <f>IFERROR(__xludf.DUMMYFUNCTION("""COMPUTED_VALUE"""),0.08929835536605041)</f>
        <v>0.08929835537</v>
      </c>
      <c r="S12" s="109">
        <f>IFERROR(__xludf.DUMMYFUNCTION("""COMPUTED_VALUE"""),0.08279393362682255)</f>
        <v>0.08279393363</v>
      </c>
      <c r="T12" s="109">
        <f>IFERROR(__xludf.DUMMYFUNCTION("""COMPUTED_VALUE"""),0.08950912535404122)</f>
        <v>0.08950912535</v>
      </c>
      <c r="U12" s="109">
        <f>IFERROR(__xludf.DUMMYFUNCTION("""COMPUTED_VALUE"""),0.08585376881936939)</f>
        <v>0.08585376882</v>
      </c>
      <c r="V12" s="109">
        <f>IFERROR(__xludf.DUMMYFUNCTION("""COMPUTED_VALUE"""),0.09245636695860375)</f>
        <v>0.09245636696</v>
      </c>
      <c r="W12" s="109">
        <f>IFERROR(__xludf.DUMMYFUNCTION("""COMPUTED_VALUE"""),0.07226435581716117)</f>
        <v>0.07226435582</v>
      </c>
      <c r="X12" s="109">
        <f>IFERROR(__xludf.DUMMYFUNCTION("""COMPUTED_VALUE"""),0.08840064687632308)</f>
        <v>0.08840064688</v>
      </c>
      <c r="Y12" s="109">
        <f>IFERROR(__xludf.DUMMYFUNCTION("""COMPUTED_VALUE"""),0.08456206310147883)</f>
        <v>0.0845620631</v>
      </c>
      <c r="Z12" s="109">
        <f>IFERROR(__xludf.DUMMYFUNCTION("""COMPUTED_VALUE"""),0.08218372262298891)</f>
        <v>0.08218372262</v>
      </c>
      <c r="AA12" s="109">
        <f>IFERROR(__xludf.DUMMYFUNCTION("""COMPUTED_VALUE"""),0.0851530178030217)</f>
        <v>0.0851530178</v>
      </c>
      <c r="AB12" s="109">
        <f>IFERROR(__xludf.DUMMYFUNCTION("""COMPUTED_VALUE"""),0.0840320364295718)</f>
        <v>0.08403203643</v>
      </c>
      <c r="AC12" s="109">
        <f>IFERROR(__xludf.DUMMYFUNCTION("""COMPUTED_VALUE"""),0.08384952728213708)</f>
        <v>0.08384952728</v>
      </c>
      <c r="AD12" s="109">
        <f>IFERROR(__xludf.DUMMYFUNCTION("""COMPUTED_VALUE"""),0.08577028963141231)</f>
        <v>0.08577028963</v>
      </c>
      <c r="AE12" s="109">
        <f>IFERROR(__xludf.DUMMYFUNCTION("""COMPUTED_VALUE"""),0.08397332046681626)</f>
        <v>0.08397332047</v>
      </c>
      <c r="AF12" s="109">
        <f>IFERROR(__xludf.DUMMYFUNCTION("""COMPUTED_VALUE"""),0.08448890094290443)</f>
        <v>0.08448890094</v>
      </c>
      <c r="AG12" s="109">
        <f>IFERROR(__xludf.DUMMYFUNCTION("""COMPUTED_VALUE"""),0.08480321785859772)</f>
        <v>0.08480321786</v>
      </c>
      <c r="AH12" s="109">
        <f>IFERROR(__xludf.DUMMYFUNCTION("""COMPUTED_VALUE"""),0.08452716687421144)</f>
        <v>0.08452716687</v>
      </c>
      <c r="AI12" s="109">
        <f>IFERROR(__xludf.DUMMYFUNCTION("""COMPUTED_VALUE"""),0.08473381533089874)</f>
        <v>0.08473381533</v>
      </c>
      <c r="AJ12" s="109">
        <f>IFERROR(__xludf.DUMMYFUNCTION("""COMPUTED_VALUE"""),0.08480779245819141)</f>
        <v>0.08480779246</v>
      </c>
      <c r="AK12" s="109">
        <f>IFERROR(__xludf.DUMMYFUNCTION("""COMPUTED_VALUE"""),0.08481095694832955)</f>
        <v>0.08481095695</v>
      </c>
      <c r="AL12" s="109">
        <f>IFERROR(__xludf.DUMMYFUNCTION("""COMPUTED_VALUE"""),0.08489372330525276)</f>
        <v>0.08489372331</v>
      </c>
      <c r="AM12" s="109">
        <f>IFERROR(__xludf.DUMMYFUNCTION("""COMPUTED_VALUE"""),0.0849414292059432)</f>
        <v>0.08494142921</v>
      </c>
      <c r="AN12" s="109">
        <f>IFERROR(__xludf.DUMMYFUNCTION("""COMPUTED_VALUE"""),0.08498109800060621)</f>
        <v>0.084981098</v>
      </c>
      <c r="AO12" s="109">
        <f>IFERROR(__xludf.DUMMYFUNCTION("""COMPUTED_VALUE"""),0.08503106804883413)</f>
        <v>0.08503106805</v>
      </c>
      <c r="AP12" s="109">
        <f>IFERROR(__xludf.DUMMYFUNCTION("""COMPUTED_VALUE"""),0.08507161398584373)</f>
        <v>0.08507161399</v>
      </c>
      <c r="AQ12" s="109">
        <f>IFERROR(__xludf.DUMMYFUNCTION("""COMPUTED_VALUE"""),0.08510992521829476)</f>
        <v>0.08510992522</v>
      </c>
      <c r="AR12" s="109">
        <f>IFERROR(__xludf.DUMMYFUNCTION("""COMPUTED_VALUE"""),0.08514775716363476)</f>
        <v>0.08514775716</v>
      </c>
      <c r="AS12" s="109">
        <f>IFERROR(__xludf.DUMMYFUNCTION("""COMPUTED_VALUE"""),0.08518203973901377)</f>
        <v>0.08518203974</v>
      </c>
      <c r="AT12" s="109">
        <f>IFERROR(__xludf.DUMMYFUNCTION("""COMPUTED_VALUE"""),0.08521444020240539)</f>
        <v>0.0852144402</v>
      </c>
      <c r="AU12" s="109">
        <f>IFERROR(__xludf.DUMMYFUNCTION("""COMPUTED_VALUE"""),0.08524508600392788)</f>
        <v>0.085245086</v>
      </c>
      <c r="AV12" s="109">
        <f>IFERROR(__xludf.DUMMYFUNCTION("""COMPUTED_VALUE"""),0.08527361774136404)</f>
        <v>0.08527361774</v>
      </c>
      <c r="AW12" s="109">
        <f>IFERROR(__xludf.DUMMYFUNCTION("""COMPUTED_VALUE"""),0.08530045025286175)</f>
        <v>0.08530045025</v>
      </c>
      <c r="AX12" s="109">
        <f>IFERROR(__xludf.DUMMYFUNCTION("""COMPUTED_VALUE"""),0.08532564512038582)</f>
        <v>0.08532564512</v>
      </c>
      <c r="AY12" s="109">
        <f>IFERROR(__xludf.DUMMYFUNCTION("""COMPUTED_VALUE"""),0.08534924000057767)</f>
        <v>0.08534924</v>
      </c>
      <c r="AZ12" s="109">
        <f>IFERROR(__xludf.DUMMYFUNCTION("""COMPUTED_VALUE"""),0.0853554857838939)</f>
        <v>0.08535548578</v>
      </c>
      <c r="BA12" s="109">
        <f>IFERROR(__xludf.DUMMYFUNCTION("""COMPUTED_VALUE"""),0.0853753576899228)</f>
        <v>0.08537535769</v>
      </c>
      <c r="BB12" s="109">
        <f>IFERROR(__xludf.DUMMYFUNCTION("""COMPUTED_VALUE"""),0.08539322041764338)</f>
        <v>0.08539322042</v>
      </c>
      <c r="BC12" s="109">
        <f>IFERROR(__xludf.DUMMYFUNCTION("""COMPUTED_VALUE"""),0.08540901930936995)</f>
        <v>0.08540901931</v>
      </c>
      <c r="BD12" s="109">
        <f>IFERROR(__xludf.DUMMYFUNCTION("""COMPUTED_VALUE"""),0.08542271211821194)</f>
        <v>0.08542271212</v>
      </c>
      <c r="BE12" s="109">
        <f>IFERROR(__xludf.DUMMYFUNCTION("""COMPUTED_VALUE"""),0.08543779335807146)</f>
        <v>0.08543779336</v>
      </c>
      <c r="BF12" s="109">
        <f>IFERROR(__xludf.DUMMYFUNCTION("""COMPUTED_VALUE"""),0.0854518338503383)</f>
        <v>0.08545183385</v>
      </c>
      <c r="BG12" s="109">
        <f>IFERROR(__xludf.DUMMYFUNCTION("""COMPUTED_VALUE"""),0.0854650263111262)</f>
        <v>0.08546502631</v>
      </c>
      <c r="BH12" s="109">
        <f>IFERROR(__xludf.DUMMYFUNCTION("""COMPUTED_VALUE"""),0.08547761523574089)</f>
        <v>0.08547761524</v>
      </c>
      <c r="BI12" s="109">
        <f>IFERROR(__xludf.DUMMYFUNCTION("""COMPUTED_VALUE"""),0.08548989629518099)</f>
        <v>0.0854898963</v>
      </c>
      <c r="BJ12" s="109">
        <f>IFERROR(__xludf.DUMMYFUNCTION("""COMPUTED_VALUE"""),0.08550154449675422)</f>
        <v>0.0855015445</v>
      </c>
      <c r="BK12" s="109">
        <f>IFERROR(__xludf.DUMMYFUNCTION("""COMPUTED_VALUE"""),0.08551264395688675)</f>
        <v>0.08551264396</v>
      </c>
      <c r="BL12" s="109">
        <f>IFERROR(__xludf.DUMMYFUNCTION("""COMPUTED_VALUE"""),0.08552325679238787)</f>
        <v>0.08552325679</v>
      </c>
      <c r="BM12" s="109">
        <f>IFERROR(__xludf.DUMMYFUNCTION("""COMPUTED_VALUE"""),0.08553340938254086)</f>
        <v>0.08553340938</v>
      </c>
      <c r="BN12" s="109">
        <f>IFERROR(__xludf.DUMMYFUNCTION("""COMPUTED_VALUE"""),0.08554307681738091)</f>
        <v>0.08554307682</v>
      </c>
      <c r="BO12" s="109">
        <f>IFERROR(__xludf.DUMMYFUNCTION("""COMPUTED_VALUE"""),0.08555229141945146)</f>
        <v>0.08555229142</v>
      </c>
      <c r="BP12" s="109">
        <f>IFERROR(__xludf.DUMMYFUNCTION("""COMPUTED_VALUE"""),0.08556107532494038)</f>
        <v>0.08556107532</v>
      </c>
      <c r="BQ12" s="109">
        <f>IFERROR(__xludf.DUMMYFUNCTION("""COMPUTED_VALUE"""),0.08556944290800773)</f>
        <v>0.08556944291</v>
      </c>
      <c r="BR12" s="109">
        <f>IFERROR(__xludf.DUMMYFUNCTION("""COMPUTED_VALUE"""),0.08557740615071298)</f>
        <v>0.08557740615</v>
      </c>
      <c r="BS12" s="109">
        <f>IFERROR(__xludf.DUMMYFUNCTION("""COMPUTED_VALUE"""),0.08558498384641494)</f>
        <v>0.08558498385</v>
      </c>
      <c r="BT12" s="109">
        <f>IFERROR(__xludf.DUMMYFUNCTION("""COMPUTED_VALUE"""),0.08559219205998814)</f>
        <v>0.08559219206</v>
      </c>
      <c r="BU12" s="109">
        <f>IFERROR(__xludf.DUMMYFUNCTION("""COMPUTED_VALUE"""),0.0855990455594772)</f>
        <v>0.08559904556</v>
      </c>
      <c r="BV12" s="109">
        <f>IFERROR(__xludf.DUMMYFUNCTION("""COMPUTED_VALUE"""),0.0856055590405734)</f>
        <v>0.08560555904</v>
      </c>
      <c r="BW12" s="109">
        <f>IFERROR(__xludf.DUMMYFUNCTION("""COMPUTED_VALUE"""),0.08561174755635452)</f>
        <v>0.08561174756</v>
      </c>
      <c r="BX12" s="109"/>
      <c r="BY12" s="109"/>
      <c r="BZ12" s="109"/>
      <c r="CA12" s="109"/>
      <c r="CB12" s="109"/>
      <c r="CC12" s="109"/>
      <c r="CD12" s="109"/>
      <c r="CE12" s="109"/>
      <c r="CF12" s="109"/>
      <c r="CG12" s="109"/>
    </row>
    <row r="13" ht="15.75" customHeight="1">
      <c r="A13" s="1" t="str">
        <f>IFERROR(__xludf.DUMMYFUNCTION("""COMPUTED_VALUE"""),"MQLs")</f>
        <v>MQLs</v>
      </c>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row>
    <row r="14" ht="15.75" customHeight="1">
      <c r="A14" s="1" t="str">
        <f>IFERROR(__xludf.DUMMYFUNCTION("""COMPUTED_VALUE"""),"  Organic")</f>
        <v>  Organic</v>
      </c>
      <c r="B14" s="1"/>
      <c r="C14" s="1"/>
      <c r="D14" s="90">
        <f>IFERROR(__xludf.DUMMYFUNCTION("""COMPUTED_VALUE"""),141.0)</f>
        <v>141</v>
      </c>
      <c r="E14" s="90">
        <f>IFERROR(__xludf.DUMMYFUNCTION("""COMPUTED_VALUE"""),158.0)</f>
        <v>158</v>
      </c>
      <c r="F14" s="90">
        <f>IFERROR(__xludf.DUMMYFUNCTION("""COMPUTED_VALUE"""),175.0)</f>
        <v>175</v>
      </c>
      <c r="G14" s="90">
        <f>IFERROR(__xludf.DUMMYFUNCTION("""COMPUTED_VALUE"""),192.0)</f>
        <v>192</v>
      </c>
      <c r="H14" s="90">
        <f>IFERROR(__xludf.DUMMYFUNCTION("""COMPUTED_VALUE"""),177.0)</f>
        <v>177</v>
      </c>
      <c r="I14" s="90">
        <f>IFERROR(__xludf.DUMMYFUNCTION("""COMPUTED_VALUE"""),206.0)</f>
        <v>206</v>
      </c>
      <c r="J14" s="90">
        <f>IFERROR(__xludf.DUMMYFUNCTION("""COMPUTED_VALUE"""),295.0)</f>
        <v>295</v>
      </c>
      <c r="K14" s="90">
        <f>IFERROR(__xludf.DUMMYFUNCTION("""COMPUTED_VALUE"""),231.0)</f>
        <v>231</v>
      </c>
      <c r="L14" s="90">
        <f>IFERROR(__xludf.DUMMYFUNCTION("""COMPUTED_VALUE"""),354.0)</f>
        <v>354</v>
      </c>
      <c r="M14" s="90">
        <f>IFERROR(__xludf.DUMMYFUNCTION("""COMPUTED_VALUE"""),349.0)</f>
        <v>349</v>
      </c>
      <c r="N14" s="90">
        <f>IFERROR(__xludf.DUMMYFUNCTION("""COMPUTED_VALUE"""),482.0)</f>
        <v>482</v>
      </c>
      <c r="O14" s="90">
        <f>IFERROR(__xludf.DUMMYFUNCTION("""COMPUTED_VALUE"""),428.0)</f>
        <v>428</v>
      </c>
      <c r="P14" s="90">
        <f>IFERROR(__xludf.DUMMYFUNCTION("""COMPUTED_VALUE"""),580.0)</f>
        <v>580</v>
      </c>
      <c r="Q14" s="90">
        <f>IFERROR(__xludf.DUMMYFUNCTION("""COMPUTED_VALUE"""),824.0)</f>
        <v>824</v>
      </c>
      <c r="R14" s="90">
        <f>IFERROR(__xludf.DUMMYFUNCTION("""COMPUTED_VALUE"""),570.0)</f>
        <v>570</v>
      </c>
      <c r="S14" s="90">
        <f>IFERROR(__xludf.DUMMYFUNCTION("""COMPUTED_VALUE"""),778.0)</f>
        <v>778</v>
      </c>
      <c r="T14" s="90">
        <f>IFERROR(__xludf.DUMMYFUNCTION("""COMPUTED_VALUE"""),580.0)</f>
        <v>580</v>
      </c>
      <c r="U14" s="90">
        <f>IFERROR(__xludf.DUMMYFUNCTION("""COMPUTED_VALUE"""),823.0)</f>
        <v>823</v>
      </c>
      <c r="V14" s="90">
        <f>IFERROR(__xludf.DUMMYFUNCTION("""COMPUTED_VALUE"""),956.0)</f>
        <v>956</v>
      </c>
      <c r="W14" s="90">
        <f>IFERROR(__xludf.DUMMYFUNCTION("""COMPUTED_VALUE"""),494.0)</f>
        <v>494</v>
      </c>
      <c r="X14" s="90">
        <f>IFERROR(__xludf.DUMMYFUNCTION("""COMPUTED_VALUE"""),743.0)</f>
        <v>743</v>
      </c>
      <c r="Y14" s="90">
        <f>IFERROR(__xludf.DUMMYFUNCTION("""COMPUTED_VALUE"""),774.3630725171486)</f>
        <v>774.3630725</v>
      </c>
      <c r="Z14" s="90">
        <f>IFERROR(__xludf.DUMMYFUNCTION("""COMPUTED_VALUE"""),710.0688786165789)</f>
        <v>710.0688786</v>
      </c>
      <c r="AA14" s="90">
        <f>IFERROR(__xludf.DUMMYFUNCTION("""COMPUTED_VALUE"""),769.2260943037725)</f>
        <v>769.2260943</v>
      </c>
      <c r="AB14" s="90">
        <f>IFERROR(__xludf.DUMMYFUNCTION("""COMPUTED_VALUE"""),778.283069570678)</f>
        <v>778.2830696</v>
      </c>
      <c r="AC14" s="90">
        <f>IFERROR(__xludf.DUMMYFUNCTION("""COMPUTED_VALUE"""),779.6368097025074)</f>
        <v>779.6368097</v>
      </c>
      <c r="AD14" s="90">
        <f>IFERROR(__xludf.DUMMYFUNCTION("""COMPUTED_VALUE"""),803.6615471993298)</f>
        <v>803.6615472</v>
      </c>
      <c r="AE14" s="90">
        <f>IFERROR(__xludf.DUMMYFUNCTION("""COMPUTED_VALUE"""),815.553559847774)</f>
        <v>815.5535598</v>
      </c>
      <c r="AF14" s="90">
        <f>IFERROR(__xludf.DUMMYFUNCTION("""COMPUTED_VALUE"""),734.1583802212458)</f>
        <v>734.1583802</v>
      </c>
      <c r="AG14" s="90">
        <f>IFERROR(__xludf.DUMMYFUNCTION("""COMPUTED_VALUE"""),723.7876912295984)</f>
        <v>723.7876912</v>
      </c>
      <c r="AH14" s="90">
        <f>IFERROR(__xludf.DUMMYFUNCTION("""COMPUTED_VALUE"""),699.2222263279601)</f>
        <v>699.2222263</v>
      </c>
      <c r="AI14" s="90">
        <f>IFERROR(__xludf.DUMMYFUNCTION("""COMPUTED_VALUE"""),663.4441453044927)</f>
        <v>663.4441453</v>
      </c>
      <c r="AJ14" s="90">
        <f>IFERROR(__xludf.DUMMYFUNCTION("""COMPUTED_VALUE"""),641.695751730605)</f>
        <v>641.6957517</v>
      </c>
      <c r="AK14" s="90">
        <f>IFERROR(__xludf.DUMMYFUNCTION("""COMPUTED_VALUE"""),616.4481080055524)</f>
        <v>616.448108</v>
      </c>
      <c r="AL14" s="90">
        <f>IFERROR(__xludf.DUMMYFUNCTION("""COMPUTED_VALUE"""),590.9906579585216)</f>
        <v>590.990658</v>
      </c>
      <c r="AM14" s="90">
        <f>IFERROR(__xludf.DUMMYFUNCTION("""COMPUTED_VALUE"""),568.7073516276834)</f>
        <v>568.7073516</v>
      </c>
      <c r="AN14" s="90">
        <f>IFERROR(__xludf.DUMMYFUNCTION("""COMPUTED_VALUE"""),546.259531133897)</f>
        <v>546.2595311</v>
      </c>
      <c r="AO14" s="90">
        <f>IFERROR(__xludf.DUMMYFUNCTION("""COMPUTED_VALUE"""),524.6728054061443)</f>
        <v>524.6728054</v>
      </c>
      <c r="AP14" s="90">
        <f>IFERROR(__xludf.DUMMYFUNCTION("""COMPUTED_VALUE"""),504.2765335666474)</f>
        <v>504.2765336</v>
      </c>
      <c r="AQ14" s="90">
        <f>IFERROR(__xludf.DUMMYFUNCTION("""COMPUTED_VALUE"""),484.46062533927915)</f>
        <v>484.4606253</v>
      </c>
      <c r="AR14" s="90">
        <f>IFERROR(__xludf.DUMMYFUNCTION("""COMPUTED_VALUE"""),465.4541703130857)</f>
        <v>465.4541703</v>
      </c>
      <c r="AS14" s="90">
        <f>IFERROR(__xludf.DUMMYFUNCTION("""COMPUTED_VALUE"""),447.2412859563725)</f>
        <v>447.241286</v>
      </c>
      <c r="AT14" s="90">
        <f>IFERROR(__xludf.DUMMYFUNCTION("""COMPUTED_VALUE"""),429.6999095408226)</f>
        <v>429.6999095</v>
      </c>
      <c r="AU14" s="90">
        <f>IFERROR(__xludf.DUMMYFUNCTION("""COMPUTED_VALUE"""),412.858072802086)</f>
        <v>412.8580728</v>
      </c>
      <c r="AV14" s="90">
        <f>IFERROR(__xludf.DUMMYFUNCTION("""COMPUTED_VALUE"""),396.6819714772765)</f>
        <v>396.6819715</v>
      </c>
      <c r="AW14" s="90">
        <f>IFERROR(__xludf.DUMMYFUNCTION("""COMPUTED_VALUE"""),381.1322894166306)</f>
        <v>381.1322894</v>
      </c>
      <c r="AX14" s="90">
        <f>IFERROR(__xludf.DUMMYFUNCTION("""COMPUTED_VALUE"""),366.19515945048647)</f>
        <v>366.1951595</v>
      </c>
      <c r="AY14" s="90">
        <f>IFERROR(__xludf.DUMMYFUNCTION("""COMPUTED_VALUE"""),351.84382826420557)</f>
        <v>351.8438283</v>
      </c>
      <c r="AZ14" s="90">
        <f>IFERROR(__xludf.DUMMYFUNCTION("""COMPUTED_VALUE"""),338.05371108527856)</f>
        <v>338.0537111</v>
      </c>
      <c r="BA14" s="90">
        <f>IFERROR(__xludf.DUMMYFUNCTION("""COMPUTED_VALUE"""),324.8047538243151)</f>
        <v>324.8047538</v>
      </c>
      <c r="BB14" s="90">
        <f>IFERROR(__xludf.DUMMYFUNCTION("""COMPUTED_VALUE"""),312.0749995845849)</f>
        <v>312.0749996</v>
      </c>
      <c r="BC14" s="90">
        <f>IFERROR(__xludf.DUMMYFUNCTION("""COMPUTED_VALUE"""),299.8439666233276)</f>
        <v>299.8439666</v>
      </c>
      <c r="BD14" s="90">
        <f>IFERROR(__xludf.DUMMYFUNCTION("""COMPUTED_VALUE"""),288.09243509796426)</f>
        <v>288.0924351</v>
      </c>
      <c r="BE14" s="90">
        <f>IFERROR(__xludf.DUMMYFUNCTION("""COMPUTED_VALUE"""),276.801441741243)</f>
        <v>276.8014417</v>
      </c>
      <c r="BF14" s="90">
        <f>IFERROR(__xludf.DUMMYFUNCTION("""COMPUTED_VALUE"""),265.95294398642204)</f>
        <v>265.952944</v>
      </c>
      <c r="BG14" s="90">
        <f>IFERROR(__xludf.DUMMYFUNCTION("""COMPUTED_VALUE"""),255.52964944329838)</f>
        <v>255.5296494</v>
      </c>
      <c r="BH14" s="90">
        <f>IFERROR(__xludf.DUMMYFUNCTION("""COMPUTED_VALUE"""),245.51485851593404)</f>
        <v>245.5148585</v>
      </c>
      <c r="BI14" s="90">
        <f>IFERROR(__xludf.DUMMYFUNCTION("""COMPUTED_VALUE"""),235.89256780788588)</f>
        <v>235.8925678</v>
      </c>
      <c r="BJ14" s="90">
        <f>IFERROR(__xludf.DUMMYFUNCTION("""COMPUTED_VALUE"""),226.64740107618684)</f>
        <v>226.6474011</v>
      </c>
      <c r="BK14" s="90">
        <f>IFERROR(__xludf.DUMMYFUNCTION("""COMPUTED_VALUE"""),217.7645713952014)</f>
        <v>217.7645714</v>
      </c>
      <c r="BL14" s="90">
        <f>IFERROR(__xludf.DUMMYFUNCTION("""COMPUTED_VALUE"""),209.2298800872835)</f>
        <v>209.2298801</v>
      </c>
      <c r="BM14" s="90">
        <f>IFERROR(__xludf.DUMMYFUNCTION("""COMPUTED_VALUE"""),201.02968352193912)</f>
        <v>201.0296835</v>
      </c>
      <c r="BN14" s="90">
        <f>IFERROR(__xludf.DUMMYFUNCTION("""COMPUTED_VALUE"""),193.15087093929077)</f>
        <v>193.1508709</v>
      </c>
      <c r="BO14" s="90">
        <f>IFERROR(__xludf.DUMMYFUNCTION("""COMPUTED_VALUE"""),185.58084708970665)</f>
        <v>185.5808471</v>
      </c>
      <c r="BP14" s="90">
        <f>IFERROR(__xludf.DUMMYFUNCTION("""COMPUTED_VALUE"""),178.30750986306995)</f>
        <v>178.3075099</v>
      </c>
      <c r="BQ14" s="90">
        <f>IFERROR(__xludf.DUMMYFUNCTION("""COMPUTED_VALUE"""),171.31923124888337)</f>
        <v>171.3192312</v>
      </c>
      <c r="BR14" s="90">
        <f>IFERROR(__xludf.DUMMYFUNCTION("""COMPUTED_VALUE"""),164.60483926105752)</f>
        <v>164.6048393</v>
      </c>
      <c r="BS14" s="90">
        <f>IFERROR(__xludf.DUMMYFUNCTION("""COMPUTED_VALUE"""),158.15359964284698)</f>
        <v>158.1535996</v>
      </c>
      <c r="BT14" s="90">
        <f>IFERROR(__xludf.DUMMYFUNCTION("""COMPUTED_VALUE"""),151.9551988252718)</f>
        <v>151.9551988</v>
      </c>
      <c r="BU14" s="90">
        <f>IFERROR(__xludf.DUMMYFUNCTION("""COMPUTED_VALUE"""),145.99972750012776)</f>
        <v>145.9997275</v>
      </c>
      <c r="BV14" s="90">
        <f>IFERROR(__xludf.DUMMYFUNCTION("""COMPUTED_VALUE"""),140.27766469991212)</f>
        <v>140.2776647</v>
      </c>
      <c r="BW14" s="90">
        <f>IFERROR(__xludf.DUMMYFUNCTION("""COMPUTED_VALUE"""),134.77986260818574)</f>
        <v>134.7798626</v>
      </c>
      <c r="BX14" s="106"/>
      <c r="BY14" s="106"/>
      <c r="BZ14" s="106"/>
      <c r="CA14" s="106"/>
      <c r="CB14" s="106"/>
      <c r="CC14" s="106"/>
      <c r="CD14" s="106"/>
      <c r="CE14" s="106"/>
      <c r="CF14" s="106"/>
      <c r="CG14" s="106"/>
    </row>
    <row r="15" ht="15.75" customHeight="1">
      <c r="A15" s="128" t="str">
        <f>IFERROR(__xludf.DUMMYFUNCTION("""COMPUTED_VALUE"""),"  Adwords")</f>
        <v>  Adwords</v>
      </c>
      <c r="B15" s="128"/>
      <c r="C15" s="128"/>
      <c r="D15" s="129">
        <f>IFERROR(__xludf.DUMMYFUNCTION("""COMPUTED_VALUE"""),135.9)</f>
        <v>135.9</v>
      </c>
      <c r="E15" s="129">
        <f>IFERROR(__xludf.DUMMYFUNCTION("""COMPUTED_VALUE"""),132.0)</f>
        <v>132</v>
      </c>
      <c r="F15" s="129">
        <f>IFERROR(__xludf.DUMMYFUNCTION("""COMPUTED_VALUE"""),125.69999999999999)</f>
        <v>125.7</v>
      </c>
      <c r="G15" s="129">
        <f>IFERROR(__xludf.DUMMYFUNCTION("""COMPUTED_VALUE"""),146.7)</f>
        <v>146.7</v>
      </c>
      <c r="H15" s="129">
        <f>IFERROR(__xludf.DUMMYFUNCTION("""COMPUTED_VALUE"""),168.9)</f>
        <v>168.9</v>
      </c>
      <c r="I15" s="129">
        <f>IFERROR(__xludf.DUMMYFUNCTION("""COMPUTED_VALUE"""),195.9)</f>
        <v>195.9</v>
      </c>
      <c r="J15" s="129">
        <f>IFERROR(__xludf.DUMMYFUNCTION("""COMPUTED_VALUE"""),236.39999999999998)</f>
        <v>236.4</v>
      </c>
      <c r="K15" s="129">
        <f>IFERROR(__xludf.DUMMYFUNCTION("""COMPUTED_VALUE"""),201.9)</f>
        <v>201.9</v>
      </c>
      <c r="L15" s="129">
        <f>IFERROR(__xludf.DUMMYFUNCTION("""COMPUTED_VALUE"""),330.59999999999997)</f>
        <v>330.6</v>
      </c>
      <c r="M15" s="129">
        <f>IFERROR(__xludf.DUMMYFUNCTION("""COMPUTED_VALUE"""),297.0)</f>
        <v>297</v>
      </c>
      <c r="N15" s="129">
        <f>IFERROR(__xludf.DUMMYFUNCTION("""COMPUTED_VALUE"""),343.5)</f>
        <v>343.5</v>
      </c>
      <c r="O15" s="129">
        <f>IFERROR(__xludf.DUMMYFUNCTION("""COMPUTED_VALUE"""),362.09999999999997)</f>
        <v>362.1</v>
      </c>
      <c r="P15" s="129">
        <f>IFERROR(__xludf.DUMMYFUNCTION("""COMPUTED_VALUE"""),475.79999999999995)</f>
        <v>475.8</v>
      </c>
      <c r="Q15" s="129">
        <f>IFERROR(__xludf.DUMMYFUNCTION("""COMPUTED_VALUE"""),706.5)</f>
        <v>706.5</v>
      </c>
      <c r="R15" s="129">
        <f>IFERROR(__xludf.DUMMYFUNCTION("""COMPUTED_VALUE"""),518.4)</f>
        <v>518.4</v>
      </c>
      <c r="S15" s="129">
        <f>IFERROR(__xludf.DUMMYFUNCTION("""COMPUTED_VALUE"""),706.8)</f>
        <v>706.8</v>
      </c>
      <c r="T15" s="129">
        <f>IFERROR(__xludf.DUMMYFUNCTION("""COMPUTED_VALUE"""),530.6999999999999)</f>
        <v>530.7</v>
      </c>
      <c r="U15" s="129">
        <f>IFERROR(__xludf.DUMMYFUNCTION("""COMPUTED_VALUE"""),612.0)</f>
        <v>612</v>
      </c>
      <c r="V15" s="129">
        <f>IFERROR(__xludf.DUMMYFUNCTION("""COMPUTED_VALUE"""),675.3)</f>
        <v>675.3</v>
      </c>
      <c r="W15" s="129">
        <f>IFERROR(__xludf.DUMMYFUNCTION("""COMPUTED_VALUE"""),456.9)</f>
        <v>456.9</v>
      </c>
      <c r="X15" s="129">
        <f>IFERROR(__xludf.DUMMYFUNCTION("""COMPUTED_VALUE"""),597.6)</f>
        <v>597.6</v>
      </c>
      <c r="Y15" s="129">
        <f>IFERROR(__xludf.DUMMYFUNCTION("""COMPUTED_VALUE"""),519.4073343945145)</f>
        <v>519.4073344</v>
      </c>
      <c r="Z15" s="129">
        <f>IFERROR(__xludf.DUMMYFUNCTION("""COMPUTED_VALUE"""),521.2865719197497)</f>
        <v>521.2865719</v>
      </c>
      <c r="AA15" s="129">
        <f>IFERROR(__xludf.DUMMYFUNCTION("""COMPUTED_VALUE"""),589.9208597828568)</f>
        <v>589.9208598</v>
      </c>
      <c r="AB15" s="129">
        <f>IFERROR(__xludf.DUMMYFUNCTION("""COMPUTED_VALUE"""),596.5150499443563)</f>
        <v>596.5150499</v>
      </c>
      <c r="AC15" s="129">
        <f>IFERROR(__xludf.DUMMYFUNCTION("""COMPUTED_VALUE"""),612.5851756858349)</f>
        <v>612.5851757</v>
      </c>
      <c r="AD15" s="129">
        <f>IFERROR(__xludf.DUMMYFUNCTION("""COMPUTED_VALUE"""),584.8984892243217)</f>
        <v>584.8984892</v>
      </c>
      <c r="AE15" s="129">
        <f>IFERROR(__xludf.DUMMYFUNCTION("""COMPUTED_VALUE"""),555.3866232458715)</f>
        <v>555.3866232</v>
      </c>
      <c r="AF15" s="129">
        <f>IFERROR(__xludf.DUMMYFUNCTION("""COMPUTED_VALUE"""),497.0359817227777)</f>
        <v>497.0359817</v>
      </c>
      <c r="AG15" s="129">
        <f>IFERROR(__xludf.DUMMYFUNCTION("""COMPUTED_VALUE"""),547.7289243457761)</f>
        <v>547.7289243</v>
      </c>
      <c r="AH15" s="129">
        <f>IFERROR(__xludf.DUMMYFUNCTION("""COMPUTED_VALUE"""),596.9860763626193)</f>
        <v>596.9860764</v>
      </c>
      <c r="AI15" s="129">
        <f>IFERROR(__xludf.DUMMYFUNCTION("""COMPUTED_VALUE"""),646.7503870183409)</f>
        <v>646.750387</v>
      </c>
      <c r="AJ15" s="129">
        <f>IFERROR(__xludf.DUMMYFUNCTION("""COMPUTED_VALUE"""),696.6809841159532)</f>
        <v>696.6809841</v>
      </c>
      <c r="AK15" s="129">
        <f>IFERROR(__xludf.DUMMYFUNCTION("""COMPUTED_VALUE"""),746.3144028834283)</f>
        <v>746.3144029</v>
      </c>
      <c r="AL15" s="129">
        <f>IFERROR(__xludf.DUMMYFUNCTION("""COMPUTED_VALUE"""),796.0936281972276)</f>
        <v>796.0936282</v>
      </c>
      <c r="AM15" s="129">
        <f>IFERROR(__xludf.DUMMYFUNCTION("""COMPUTED_VALUE"""),845.8780724076079)</f>
        <v>845.8780724</v>
      </c>
      <c r="AN15" s="129">
        <f>IFERROR(__xludf.DUMMYFUNCTION("""COMPUTED_VALUE"""),895.607288808099)</f>
        <v>895.6072888</v>
      </c>
      <c r="AO15" s="129">
        <f>IFERROR(__xludf.DUMMYFUNCTION("""COMPUTED_VALUE"""),945.37256468325)</f>
        <v>945.3725647</v>
      </c>
      <c r="AP15" s="129">
        <f>IFERROR(__xludf.DUMMYFUNCTION("""COMPUTED_VALUE"""),995.1325651477616)</f>
        <v>995.1325651</v>
      </c>
      <c r="AQ15" s="129">
        <f>IFERROR(__xludf.DUMMYFUNCTION("""COMPUTED_VALUE"""),1044.8835226565143)</f>
        <v>1044.883523</v>
      </c>
      <c r="AR15" s="129">
        <f>IFERROR(__xludf.DUMMYFUNCTION("""COMPUTED_VALUE"""),1094.6425059120927)</f>
        <v>1094.642506</v>
      </c>
      <c r="AS15" s="129">
        <f>IFERROR(__xludf.DUMMYFUNCTION("""COMPUTED_VALUE"""),1144.3991691345473)</f>
        <v>1144.399169</v>
      </c>
      <c r="AT15" s="129">
        <f>IFERROR(__xludf.DUMMYFUNCTION("""COMPUTED_VALUE"""),1194.1546173466018)</f>
        <v>1194.154617</v>
      </c>
      <c r="AU15" s="129">
        <f>IFERROR(__xludf.DUMMYFUNCTION("""COMPUTED_VALUE"""),1243.911700142479)</f>
        <v>1243.9117</v>
      </c>
      <c r="AV15" s="129">
        <f>IFERROR(__xludf.DUMMYFUNCTION("""COMPUTED_VALUE"""),1293.6680923918657)</f>
        <v>1293.668092</v>
      </c>
      <c r="AW15" s="129">
        <f>IFERROR(__xludf.DUMMYFUNCTION("""COMPUTED_VALUE"""),1343.4243875571406)</f>
        <v>1343.424388</v>
      </c>
      <c r="AX15" s="129">
        <f>IFERROR(__xludf.DUMMYFUNCTION("""COMPUTED_VALUE"""),1393.1809877251485)</f>
        <v>1393.180988</v>
      </c>
      <c r="AY15" s="129">
        <f>IFERROR(__xludf.DUMMYFUNCTION("""COMPUTED_VALUE"""),1442.937414352475)</f>
        <v>1442.937414</v>
      </c>
      <c r="AZ15" s="129">
        <f>IFERROR(__xludf.DUMMYFUNCTION("""COMPUTED_VALUE"""),1415.0610432591895)</f>
        <v>1415.061043</v>
      </c>
      <c r="BA15" s="129">
        <f>IFERROR(__xludf.DUMMYFUNCTION("""COMPUTED_VALUE"""),1453.872311851658)</f>
        <v>1453.872312</v>
      </c>
      <c r="BB15" s="129">
        <f>IFERROR(__xludf.DUMMYFUNCTION("""COMPUTED_VALUE"""),1487.6758095576824)</f>
        <v>1487.67581</v>
      </c>
      <c r="BC15" s="129">
        <f>IFERROR(__xludf.DUMMYFUNCTION("""COMPUTED_VALUE"""),1514.7911432110163)</f>
        <v>1514.791143</v>
      </c>
      <c r="BD15" s="129">
        <f>IFERROR(__xludf.DUMMYFUNCTION("""COMPUTED_VALUE"""),1533.558719554572)</f>
        <v>1533.55872</v>
      </c>
      <c r="BE15" s="129">
        <f>IFERROR(__xludf.DUMMYFUNCTION("""COMPUTED_VALUE"""),1564.5092746749287)</f>
        <v>1564.509275</v>
      </c>
      <c r="BF15" s="129">
        <f>IFERROR(__xludf.DUMMYFUNCTION("""COMPUTED_VALUE"""),1593.406690284643)</f>
        <v>1593.40669</v>
      </c>
      <c r="BG15" s="129">
        <f>IFERROR(__xludf.DUMMYFUNCTION("""COMPUTED_VALUE"""),1621.0226778495942)</f>
        <v>1621.022678</v>
      </c>
      <c r="BH15" s="129">
        <f>IFERROR(__xludf.DUMMYFUNCTION("""COMPUTED_VALUE"""),1648.7694296756454)</f>
        <v>1648.76943</v>
      </c>
      <c r="BI15" s="129">
        <f>IFERROR(__xludf.DUMMYFUNCTION("""COMPUTED_VALUE"""),1678.861466239352)</f>
        <v>1678.861466</v>
      </c>
      <c r="BJ15" s="90">
        <f>IFERROR(__xludf.DUMMYFUNCTION("""COMPUTED_VALUE"""),1708.7292645053433)</f>
        <v>1708.729265</v>
      </c>
      <c r="BK15" s="90">
        <f>IFERROR(__xludf.DUMMYFUNCTION("""COMPUTED_VALUE"""),1738.8505180303077)</f>
        <v>1738.850518</v>
      </c>
      <c r="BL15" s="90">
        <f>IFERROR(__xludf.DUMMYFUNCTION("""COMPUTED_VALUE"""),1769.6261256568555)</f>
        <v>1769.626126</v>
      </c>
      <c r="BM15" s="90">
        <f>IFERROR(__xludf.DUMMYFUNCTION("""COMPUTED_VALUE"""),1801.1928438938296)</f>
        <v>1801.192844</v>
      </c>
      <c r="BN15" s="90">
        <f>IFERROR(__xludf.DUMMYFUNCTION("""COMPUTED_VALUE"""),1833.1447361517128)</f>
        <v>1833.144736</v>
      </c>
      <c r="BO15" s="90">
        <f>IFERROR(__xludf.DUMMYFUNCTION("""COMPUTED_VALUE"""),1865.6409757138558)</f>
        <v>1865.640976</v>
      </c>
      <c r="BP15" s="90">
        <f>IFERROR(__xludf.DUMMYFUNCTION("""COMPUTED_VALUE"""),1898.7575409357705)</f>
        <v>1898.757541</v>
      </c>
      <c r="BQ15" s="90">
        <f>IFERROR(__xludf.DUMMYFUNCTION("""COMPUTED_VALUE"""),1932.485543934982)</f>
        <v>1932.485544</v>
      </c>
      <c r="BR15" s="90">
        <f>IFERROR(__xludf.DUMMYFUNCTION("""COMPUTED_VALUE"""),1966.7780557353915)</f>
        <v>1966.778056</v>
      </c>
      <c r="BS15" s="90">
        <f>IFERROR(__xludf.DUMMYFUNCTION("""COMPUTED_VALUE"""),2001.6819170013541)</f>
        <v>2001.681917</v>
      </c>
      <c r="BT15" s="90">
        <f>IFERROR(__xludf.DUMMYFUNCTION("""COMPUTED_VALUE"""),2037.214628127109)</f>
        <v>2037.214628</v>
      </c>
      <c r="BU15" s="90">
        <f>IFERROR(__xludf.DUMMYFUNCTION("""COMPUTED_VALUE"""),2073.3784155585345)</f>
        <v>2073.378416</v>
      </c>
      <c r="BV15" s="90">
        <f>IFERROR(__xludf.DUMMYFUNCTION("""COMPUTED_VALUE"""),2110.17840870507)</f>
        <v>2110.178409</v>
      </c>
      <c r="BW15" s="90">
        <f>IFERROR(__xludf.DUMMYFUNCTION("""COMPUTED_VALUE"""),2147.6333341799645)</f>
        <v>2147.633334</v>
      </c>
      <c r="BX15" s="106"/>
      <c r="BY15" s="106"/>
      <c r="BZ15" s="106"/>
      <c r="CA15" s="106"/>
      <c r="CB15" s="106"/>
      <c r="CC15" s="106"/>
      <c r="CD15" s="106"/>
      <c r="CE15" s="106"/>
      <c r="CF15" s="106"/>
      <c r="CG15" s="106"/>
    </row>
    <row r="16" ht="15.75" customHeight="1">
      <c r="A16" s="7" t="str">
        <f>IFERROR(__xludf.DUMMYFUNCTION("""COMPUTED_VALUE"""),"Total MQLs")</f>
        <v>Total MQLs</v>
      </c>
      <c r="B16" s="1"/>
      <c r="C16" s="1"/>
      <c r="D16" s="130">
        <f>IFERROR(__xludf.DUMMYFUNCTION("""COMPUTED_VALUE"""),276.9)</f>
        <v>276.9</v>
      </c>
      <c r="E16" s="130">
        <f>IFERROR(__xludf.DUMMYFUNCTION("""COMPUTED_VALUE"""),290.0)</f>
        <v>290</v>
      </c>
      <c r="F16" s="130">
        <f>IFERROR(__xludf.DUMMYFUNCTION("""COMPUTED_VALUE"""),300.7)</f>
        <v>300.7</v>
      </c>
      <c r="G16" s="130">
        <f>IFERROR(__xludf.DUMMYFUNCTION("""COMPUTED_VALUE"""),338.7)</f>
        <v>338.7</v>
      </c>
      <c r="H16" s="130">
        <f>IFERROR(__xludf.DUMMYFUNCTION("""COMPUTED_VALUE"""),345.9)</f>
        <v>345.9</v>
      </c>
      <c r="I16" s="130">
        <f>IFERROR(__xludf.DUMMYFUNCTION("""COMPUTED_VALUE"""),401.9)</f>
        <v>401.9</v>
      </c>
      <c r="J16" s="130">
        <f>IFERROR(__xludf.DUMMYFUNCTION("""COMPUTED_VALUE"""),531.4)</f>
        <v>531.4</v>
      </c>
      <c r="K16" s="130">
        <f>IFERROR(__xludf.DUMMYFUNCTION("""COMPUTED_VALUE"""),432.9)</f>
        <v>432.9</v>
      </c>
      <c r="L16" s="130">
        <f>IFERROR(__xludf.DUMMYFUNCTION("""COMPUTED_VALUE"""),684.5999999999999)</f>
        <v>684.6</v>
      </c>
      <c r="M16" s="130">
        <f>IFERROR(__xludf.DUMMYFUNCTION("""COMPUTED_VALUE"""),646.0)</f>
        <v>646</v>
      </c>
      <c r="N16" s="130">
        <f>IFERROR(__xludf.DUMMYFUNCTION("""COMPUTED_VALUE"""),825.5)</f>
        <v>825.5</v>
      </c>
      <c r="O16" s="130">
        <f>IFERROR(__xludf.DUMMYFUNCTION("""COMPUTED_VALUE"""),790.0999999999999)</f>
        <v>790.1</v>
      </c>
      <c r="P16" s="130">
        <f>IFERROR(__xludf.DUMMYFUNCTION("""COMPUTED_VALUE"""),1055.8)</f>
        <v>1055.8</v>
      </c>
      <c r="Q16" s="130">
        <f>IFERROR(__xludf.DUMMYFUNCTION("""COMPUTED_VALUE"""),1530.5)</f>
        <v>1530.5</v>
      </c>
      <c r="R16" s="130">
        <f>IFERROR(__xludf.DUMMYFUNCTION("""COMPUTED_VALUE"""),1088.4)</f>
        <v>1088.4</v>
      </c>
      <c r="S16" s="130">
        <f>IFERROR(__xludf.DUMMYFUNCTION("""COMPUTED_VALUE"""),1484.8)</f>
        <v>1484.8</v>
      </c>
      <c r="T16" s="130">
        <f>IFERROR(__xludf.DUMMYFUNCTION("""COMPUTED_VALUE"""),1110.6999999999998)</f>
        <v>1110.7</v>
      </c>
      <c r="U16" s="130">
        <f>IFERROR(__xludf.DUMMYFUNCTION("""COMPUTED_VALUE"""),1435.0)</f>
        <v>1435</v>
      </c>
      <c r="V16" s="130">
        <f>IFERROR(__xludf.DUMMYFUNCTION("""COMPUTED_VALUE"""),1631.3)</f>
        <v>1631.3</v>
      </c>
      <c r="W16" s="130">
        <f>IFERROR(__xludf.DUMMYFUNCTION("""COMPUTED_VALUE"""),950.9)</f>
        <v>950.9</v>
      </c>
      <c r="X16" s="130">
        <f>IFERROR(__xludf.DUMMYFUNCTION("""COMPUTED_VALUE"""),1340.6)</f>
        <v>1340.6</v>
      </c>
      <c r="Y16" s="130">
        <f>IFERROR(__xludf.DUMMYFUNCTION("""COMPUTED_VALUE"""),1293.770406911663)</f>
        <v>1293.770407</v>
      </c>
      <c r="Z16" s="130">
        <f>IFERROR(__xludf.DUMMYFUNCTION("""COMPUTED_VALUE"""),1231.3554505363286)</f>
        <v>1231.355451</v>
      </c>
      <c r="AA16" s="130">
        <f>IFERROR(__xludf.DUMMYFUNCTION("""COMPUTED_VALUE"""),1359.1469540866292)</f>
        <v>1359.146954</v>
      </c>
      <c r="AB16" s="130">
        <f>IFERROR(__xludf.DUMMYFUNCTION("""COMPUTED_VALUE"""),1374.7981195150342)</f>
        <v>1374.79812</v>
      </c>
      <c r="AC16" s="130">
        <f>IFERROR(__xludf.DUMMYFUNCTION("""COMPUTED_VALUE"""),1392.2219853883423)</f>
        <v>1392.221985</v>
      </c>
      <c r="AD16" s="130">
        <f>IFERROR(__xludf.DUMMYFUNCTION("""COMPUTED_VALUE"""),1388.5600364236516)</f>
        <v>1388.560036</v>
      </c>
      <c r="AE16" s="130">
        <f>IFERROR(__xludf.DUMMYFUNCTION("""COMPUTED_VALUE"""),1370.9401830936454)</f>
        <v>1370.940183</v>
      </c>
      <c r="AF16" s="130">
        <f>IFERROR(__xludf.DUMMYFUNCTION("""COMPUTED_VALUE"""),1231.1943619440235)</f>
        <v>1231.194362</v>
      </c>
      <c r="AG16" s="130">
        <f>IFERROR(__xludf.DUMMYFUNCTION("""COMPUTED_VALUE"""),1271.5166155753745)</f>
        <v>1271.516616</v>
      </c>
      <c r="AH16" s="130">
        <f>IFERROR(__xludf.DUMMYFUNCTION("""COMPUTED_VALUE"""),1296.2083026905793)</f>
        <v>1296.208303</v>
      </c>
      <c r="AI16" s="130">
        <f>IFERROR(__xludf.DUMMYFUNCTION("""COMPUTED_VALUE"""),1310.1945323228338)</f>
        <v>1310.194532</v>
      </c>
      <c r="AJ16" s="130">
        <f>IFERROR(__xludf.DUMMYFUNCTION("""COMPUTED_VALUE"""),1338.3767358465582)</f>
        <v>1338.376736</v>
      </c>
      <c r="AK16" s="130">
        <f>IFERROR(__xludf.DUMMYFUNCTION("""COMPUTED_VALUE"""),1362.7625108889806)</f>
        <v>1362.762511</v>
      </c>
      <c r="AL16" s="130">
        <f>IFERROR(__xludf.DUMMYFUNCTION("""COMPUTED_VALUE"""),1387.0842861557494)</f>
        <v>1387.084286</v>
      </c>
      <c r="AM16" s="130">
        <f>IFERROR(__xludf.DUMMYFUNCTION("""COMPUTED_VALUE"""),1414.5854240352912)</f>
        <v>1414.585424</v>
      </c>
      <c r="AN16" s="130">
        <f>IFERROR(__xludf.DUMMYFUNCTION("""COMPUTED_VALUE"""),1441.866819941996)</f>
        <v>1441.86682</v>
      </c>
      <c r="AO16" s="130">
        <f>IFERROR(__xludf.DUMMYFUNCTION("""COMPUTED_VALUE"""),1470.0453700893943)</f>
        <v>1470.04537</v>
      </c>
      <c r="AP16" s="130">
        <f>IFERROR(__xludf.DUMMYFUNCTION("""COMPUTED_VALUE"""),1499.409098714409)</f>
        <v>1499.409099</v>
      </c>
      <c r="AQ16" s="130">
        <f>IFERROR(__xludf.DUMMYFUNCTION("""COMPUTED_VALUE"""),1529.3441479957935)</f>
        <v>1529.344148</v>
      </c>
      <c r="AR16" s="130">
        <f>IFERROR(__xludf.DUMMYFUNCTION("""COMPUTED_VALUE"""),1560.0966762251783)</f>
        <v>1560.096676</v>
      </c>
      <c r="AS16" s="130">
        <f>IFERROR(__xludf.DUMMYFUNCTION("""COMPUTED_VALUE"""),1591.6404550909197)</f>
        <v>1591.640455</v>
      </c>
      <c r="AT16" s="130">
        <f>IFERROR(__xludf.DUMMYFUNCTION("""COMPUTED_VALUE"""),1623.8545268874243)</f>
        <v>1623.854527</v>
      </c>
      <c r="AU16" s="130">
        <f>IFERROR(__xludf.DUMMYFUNCTION("""COMPUTED_VALUE"""),1656.769772944565)</f>
        <v>1656.769773</v>
      </c>
      <c r="AV16" s="130">
        <f>IFERROR(__xludf.DUMMYFUNCTION("""COMPUTED_VALUE"""),1690.350063869142)</f>
        <v>1690.350064</v>
      </c>
      <c r="AW16" s="130">
        <f>IFERROR(__xludf.DUMMYFUNCTION("""COMPUTED_VALUE"""),1724.5566769737711)</f>
        <v>1724.556677</v>
      </c>
      <c r="AX16" s="130">
        <f>IFERROR(__xludf.DUMMYFUNCTION("""COMPUTED_VALUE"""),1759.376147175635)</f>
        <v>1759.376147</v>
      </c>
      <c r="AY16" s="130">
        <f>IFERROR(__xludf.DUMMYFUNCTION("""COMPUTED_VALUE"""),1794.7812426166804)</f>
        <v>1794.781243</v>
      </c>
      <c r="AZ16" s="130">
        <f>IFERROR(__xludf.DUMMYFUNCTION("""COMPUTED_VALUE"""),1753.114754344468)</f>
        <v>1753.114754</v>
      </c>
      <c r="BA16" s="130">
        <f>IFERROR(__xludf.DUMMYFUNCTION("""COMPUTED_VALUE"""),1778.6770656759732)</f>
        <v>1778.677066</v>
      </c>
      <c r="BB16" s="130">
        <f>IFERROR(__xludf.DUMMYFUNCTION("""COMPUTED_VALUE"""),1799.7508091422674)</f>
        <v>1799.750809</v>
      </c>
      <c r="BC16" s="130">
        <f>IFERROR(__xludf.DUMMYFUNCTION("""COMPUTED_VALUE"""),1814.635109834344)</f>
        <v>1814.63511</v>
      </c>
      <c r="BD16" s="130">
        <f>IFERROR(__xludf.DUMMYFUNCTION("""COMPUTED_VALUE"""),1821.6511546525362)</f>
        <v>1821.651155</v>
      </c>
      <c r="BE16" s="130">
        <f>IFERROR(__xludf.DUMMYFUNCTION("""COMPUTED_VALUE"""),1841.3107164161718)</f>
        <v>1841.310716</v>
      </c>
      <c r="BF16" s="130">
        <f>IFERROR(__xludf.DUMMYFUNCTION("""COMPUTED_VALUE"""),1859.359634271065)</f>
        <v>1859.359634</v>
      </c>
      <c r="BG16" s="130">
        <f>IFERROR(__xludf.DUMMYFUNCTION("""COMPUTED_VALUE"""),1876.5523272928926)</f>
        <v>1876.552327</v>
      </c>
      <c r="BH16" s="130">
        <f>IFERROR(__xludf.DUMMYFUNCTION("""COMPUTED_VALUE"""),1894.2842881915794)</f>
        <v>1894.284288</v>
      </c>
      <c r="BI16" s="130">
        <f>IFERROR(__xludf.DUMMYFUNCTION("""COMPUTED_VALUE"""),1914.7540340472378)</f>
        <v>1914.754034</v>
      </c>
      <c r="BJ16" s="130">
        <f>IFERROR(__xludf.DUMMYFUNCTION("""COMPUTED_VALUE"""),1935.3766655815302)</f>
        <v>1935.376666</v>
      </c>
      <c r="BK16" s="130">
        <f>IFERROR(__xludf.DUMMYFUNCTION("""COMPUTED_VALUE"""),1956.615089425509)</f>
        <v>1956.615089</v>
      </c>
      <c r="BL16" s="130">
        <f>IFERROR(__xludf.DUMMYFUNCTION("""COMPUTED_VALUE"""),1978.856005744139)</f>
        <v>1978.856006</v>
      </c>
      <c r="BM16" s="130">
        <f>IFERROR(__xludf.DUMMYFUNCTION("""COMPUTED_VALUE"""),2002.2225274157688)</f>
        <v>2002.222527</v>
      </c>
      <c r="BN16" s="130">
        <f>IFERROR(__xludf.DUMMYFUNCTION("""COMPUTED_VALUE"""),2026.2956070910036)</f>
        <v>2026.295607</v>
      </c>
      <c r="BO16" s="130">
        <f>IFERROR(__xludf.DUMMYFUNCTION("""COMPUTED_VALUE"""),2051.2218228035626)</f>
        <v>2051.221823</v>
      </c>
      <c r="BP16" s="130">
        <f>IFERROR(__xludf.DUMMYFUNCTION("""COMPUTED_VALUE"""),2077.0650507988403)</f>
        <v>2077.065051</v>
      </c>
      <c r="BQ16" s="130">
        <f>IFERROR(__xludf.DUMMYFUNCTION("""COMPUTED_VALUE"""),2103.8047751838653)</f>
        <v>2103.804775</v>
      </c>
      <c r="BR16" s="130">
        <f>IFERROR(__xludf.DUMMYFUNCTION("""COMPUTED_VALUE"""),2131.382894996449)</f>
        <v>2131.382895</v>
      </c>
      <c r="BS16" s="130">
        <f>IFERROR(__xludf.DUMMYFUNCTION("""COMPUTED_VALUE"""),2159.835516644201)</f>
        <v>2159.835517</v>
      </c>
      <c r="BT16" s="130">
        <f>IFERROR(__xludf.DUMMYFUNCTION("""COMPUTED_VALUE"""),2189.169826952381)</f>
        <v>2189.169827</v>
      </c>
      <c r="BU16" s="130">
        <f>IFERROR(__xludf.DUMMYFUNCTION("""COMPUTED_VALUE"""),2219.3781430586623)</f>
        <v>2219.378143</v>
      </c>
      <c r="BV16" s="130">
        <f>IFERROR(__xludf.DUMMYFUNCTION("""COMPUTED_VALUE"""),2250.4560734049824)</f>
        <v>2250.456073</v>
      </c>
      <c r="BW16" s="130">
        <f>IFERROR(__xludf.DUMMYFUNCTION("""COMPUTED_VALUE"""),2282.4131967881503)</f>
        <v>2282.413197</v>
      </c>
      <c r="BX16" s="130"/>
      <c r="BY16" s="130"/>
      <c r="BZ16" s="130"/>
      <c r="CA16" s="130"/>
      <c r="CB16" s="130"/>
      <c r="CC16" s="130"/>
      <c r="CD16" s="130"/>
      <c r="CE16" s="130"/>
      <c r="CF16" s="130"/>
      <c r="CG16" s="130"/>
    </row>
    <row r="17" ht="15.75" customHeight="1">
      <c r="A17" s="1" t="str">
        <f>IFERROR(__xludf.DUMMYFUNCTION("""COMPUTED_VALUE"""),"  Signup-to-MQL Conversion Rate")</f>
        <v>  Signup-to-MQL Conversion Rate</v>
      </c>
      <c r="B17" s="1"/>
      <c r="C17" s="1"/>
      <c r="D17" s="109">
        <f>IFERROR(__xludf.DUMMYFUNCTION("""COMPUTED_VALUE"""),0.268991645618807)</f>
        <v>0.2689916456</v>
      </c>
      <c r="E17" s="109">
        <f>IFERROR(__xludf.DUMMYFUNCTION("""COMPUTED_VALUE"""),0.2783109404990403)</f>
        <v>0.2783109405</v>
      </c>
      <c r="F17" s="109">
        <f>IFERROR(__xludf.DUMMYFUNCTION("""COMPUTED_VALUE"""),0.22602224894768488)</f>
        <v>0.2260222489</v>
      </c>
      <c r="G17" s="109">
        <f>IFERROR(__xludf.DUMMYFUNCTION("""COMPUTED_VALUE"""),0.2648991083998123)</f>
        <v>0.2648991084</v>
      </c>
      <c r="H17" s="109">
        <f>IFERROR(__xludf.DUMMYFUNCTION("""COMPUTED_VALUE"""),0.2460170697012802)</f>
        <v>0.2460170697</v>
      </c>
      <c r="I17" s="109">
        <f>IFERROR(__xludf.DUMMYFUNCTION("""COMPUTED_VALUE"""),0.25018675298804777)</f>
        <v>0.250186753</v>
      </c>
      <c r="J17" s="109">
        <f>IFERROR(__xludf.DUMMYFUNCTION("""COMPUTED_VALUE"""),0.30720314487223954)</f>
        <v>0.3072031449</v>
      </c>
      <c r="K17" s="109">
        <f>IFERROR(__xludf.DUMMYFUNCTION("""COMPUTED_VALUE"""),0.25393007977475357)</f>
        <v>0.2539300798</v>
      </c>
      <c r="L17" s="109">
        <f>IFERROR(__xludf.DUMMYFUNCTION("""COMPUTED_VALUE"""),0.27575928462096183)</f>
        <v>0.2757592846</v>
      </c>
      <c r="M17" s="109">
        <f>IFERROR(__xludf.DUMMYFUNCTION("""COMPUTED_VALUE"""),0.30694668820678517)</f>
        <v>0.3069466882</v>
      </c>
      <c r="N17" s="109">
        <f>IFERROR(__xludf.DUMMYFUNCTION("""COMPUTED_VALUE"""),0.29350067553153664)</f>
        <v>0.2935006755</v>
      </c>
      <c r="O17" s="109">
        <f>IFERROR(__xludf.DUMMYFUNCTION("""COMPUTED_VALUE"""),0.2185373679260939)</f>
        <v>0.2185373679</v>
      </c>
      <c r="P17" s="109">
        <f>IFERROR(__xludf.DUMMYFUNCTION("""COMPUTED_VALUE"""),0.20181978055587416)</f>
        <v>0.2018197806</v>
      </c>
      <c r="Q17" s="109">
        <f>IFERROR(__xludf.DUMMYFUNCTION("""COMPUTED_VALUE"""),0.2919018919743668)</f>
        <v>0.291901892</v>
      </c>
      <c r="R17" s="109">
        <f>IFERROR(__xludf.DUMMYFUNCTION("""COMPUTED_VALUE"""),0.2508180854496014)</f>
        <v>0.2508180854</v>
      </c>
      <c r="S17" s="109">
        <f>IFERROR(__xludf.DUMMYFUNCTION("""COMPUTED_VALUE"""),0.3125499936850082)</f>
        <v>0.3125499937</v>
      </c>
      <c r="T17" s="109">
        <f>IFERROR(__xludf.DUMMYFUNCTION("""COMPUTED_VALUE"""),0.23275356244761103)</f>
        <v>0.2327535624</v>
      </c>
      <c r="U17" s="109">
        <f>IFERROR(__xludf.DUMMYFUNCTION("""COMPUTED_VALUE"""),0.2952188940092166)</f>
        <v>0.295218894</v>
      </c>
      <c r="V17" s="109">
        <f>IFERROR(__xludf.DUMMYFUNCTION("""COMPUTED_VALUE"""),0.34741034159638806)</f>
        <v>0.3474103416</v>
      </c>
      <c r="W17" s="109">
        <f>IFERROR(__xludf.DUMMYFUNCTION("""COMPUTED_VALUE"""),0.2758310610895167)</f>
        <v>0.2758310611</v>
      </c>
      <c r="X17" s="109">
        <f>IFERROR(__xludf.DUMMYFUNCTION("""COMPUTED_VALUE"""),0.2631413653672516)</f>
        <v>0.2631413654</v>
      </c>
      <c r="Y17" s="109">
        <f>IFERROR(__xludf.DUMMYFUNCTION("""COMPUTED_VALUE"""),0.2974259829523444)</f>
        <v>0.297425983</v>
      </c>
      <c r="Z17" s="109">
        <f>IFERROR(__xludf.DUMMYFUNCTION("""COMPUTED_VALUE"""),0.2782702264129096)</f>
        <v>0.2782702264</v>
      </c>
      <c r="AA17" s="109">
        <f>IFERROR(__xludf.DUMMYFUNCTION("""COMPUTED_VALUE"""),0.2784850500300724)</f>
        <v>0.27848505</v>
      </c>
      <c r="AB17" s="109">
        <f>IFERROR(__xludf.DUMMYFUNCTION("""COMPUTED_VALUE"""),0.28415609081273213)</f>
        <v>0.2841560908</v>
      </c>
      <c r="AC17" s="109">
        <f>IFERROR(__xludf.DUMMYFUNCTION("""COMPUTED_VALUE"""),0.28018637797688467)</f>
        <v>0.280186378</v>
      </c>
      <c r="AD17" s="109">
        <f>IFERROR(__xludf.DUMMYFUNCTION("""COMPUTED_VALUE"""),0.28775219371852473)</f>
        <v>0.2877521937</v>
      </c>
      <c r="AE17" s="109">
        <f>IFERROR(__xludf.DUMMYFUNCTION("""COMPUTED_VALUE"""),0.3040611104520572)</f>
        <v>0.3040611105</v>
      </c>
      <c r="AF17" s="109">
        <f>IFERROR(__xludf.DUMMYFUNCTION("""COMPUTED_VALUE"""),0.2909527954744927)</f>
        <v>0.2909527955</v>
      </c>
      <c r="AG17" s="109">
        <f>IFERROR(__xludf.DUMMYFUNCTION("""COMPUTED_VALUE"""),0.2932719545338052)</f>
        <v>0.2932719545</v>
      </c>
      <c r="AH17" s="109">
        <f>IFERROR(__xludf.DUMMYFUNCTION("""COMPUTED_VALUE"""),0.2939816742399795)</f>
        <v>0.2939816742</v>
      </c>
      <c r="AI17" s="109">
        <f>IFERROR(__xludf.DUMMYFUNCTION("""COMPUTED_VALUE"""),0.29015873416796917)</f>
        <v>0.2901587342</v>
      </c>
      <c r="AJ17" s="109">
        <f>IFERROR(__xludf.DUMMYFUNCTION("""COMPUTED_VALUE"""),0.2898763621496801)</f>
        <v>0.2898763621</v>
      </c>
      <c r="AK17" s="109">
        <f>IFERROR(__xludf.DUMMYFUNCTION("""COMPUTED_VALUE"""),0.28886184897297296)</f>
        <v>0.288861849</v>
      </c>
      <c r="AL17" s="109">
        <f>IFERROR(__xludf.DUMMYFUNCTION("""COMPUTED_VALUE"""),0.28736593578566083)</f>
        <v>0.2873659358</v>
      </c>
      <c r="AM17" s="109">
        <f>IFERROR(__xludf.DUMMYFUNCTION("""COMPUTED_VALUE"""),0.28653236774132973)</f>
        <v>0.2865323677</v>
      </c>
      <c r="AN17" s="109">
        <f>IFERROR(__xludf.DUMMYFUNCTION("""COMPUTED_VALUE"""),0.285547031198442)</f>
        <v>0.2855470312</v>
      </c>
      <c r="AO17" s="109">
        <f>IFERROR(__xludf.DUMMYFUNCTION("""COMPUTED_VALUE"""),0.28457376864431744)</f>
        <v>0.2845737686</v>
      </c>
      <c r="AP17" s="109">
        <f>IFERROR(__xludf.DUMMYFUNCTION("""COMPUTED_VALUE"""),0.2837514718783746)</f>
        <v>0.2837514719</v>
      </c>
      <c r="AQ17" s="109">
        <f>IFERROR(__xludf.DUMMYFUNCTION("""COMPUTED_VALUE"""),0.2829352529704529)</f>
        <v>0.282935253</v>
      </c>
      <c r="AR17" s="109">
        <f>IFERROR(__xludf.DUMMYFUNCTION("""COMPUTED_VALUE"""),0.2821693606277587)</f>
        <v>0.2821693606</v>
      </c>
      <c r="AS17" s="109">
        <f>IFERROR(__xludf.DUMMYFUNCTION("""COMPUTED_VALUE"""),0.2814643281755205)</f>
        <v>0.2814643282</v>
      </c>
      <c r="AT17" s="109">
        <f>IFERROR(__xludf.DUMMYFUNCTION("""COMPUTED_VALUE"""),0.28079441795483806)</f>
        <v>0.280794418</v>
      </c>
      <c r="AU17" s="109">
        <f>IFERROR(__xludf.DUMMYFUNCTION("""COMPUTED_VALUE"""),0.28016761720024935)</f>
        <v>0.2801676172</v>
      </c>
      <c r="AV17" s="109">
        <f>IFERROR(__xludf.DUMMYFUNCTION("""COMPUTED_VALUE"""),0.27958170385386777)</f>
        <v>0.2795817039</v>
      </c>
      <c r="AW17" s="109">
        <f>IFERROR(__xludf.DUMMYFUNCTION("""COMPUTED_VALUE"""),0.27903085774644715)</f>
        <v>0.2790308577</v>
      </c>
      <c r="AX17" s="109">
        <f>IFERROR(__xludf.DUMMYFUNCTION("""COMPUTED_VALUE"""),0.2785149244443677)</f>
        <v>0.2785149244</v>
      </c>
      <c r="AY17" s="109">
        <f>IFERROR(__xludf.DUMMYFUNCTION("""COMPUTED_VALUE"""),0.2780314647597041)</f>
        <v>0.2780314648</v>
      </c>
      <c r="AZ17" s="109">
        <f>IFERROR(__xludf.DUMMYFUNCTION("""COMPUTED_VALUE"""),0.2779035040664487)</f>
        <v>0.2779035041</v>
      </c>
      <c r="BA17" s="109">
        <f>IFERROR(__xludf.DUMMYFUNCTION("""COMPUTED_VALUE"""),0.27749678724919785)</f>
        <v>0.2774967872</v>
      </c>
      <c r="BB17" s="109">
        <f>IFERROR(__xludf.DUMMYFUNCTION("""COMPUTED_VALUE"""),0.2771312457206887)</f>
        <v>0.2771312457</v>
      </c>
      <c r="BC17" s="109">
        <f>IFERROR(__xludf.DUMMYFUNCTION("""COMPUTED_VALUE"""),0.2768080907347394)</f>
        <v>0.2768080907</v>
      </c>
      <c r="BD17" s="109">
        <f>IFERROR(__xludf.DUMMYFUNCTION("""COMPUTED_VALUE"""),0.2765281283760922)</f>
        <v>0.2765281284</v>
      </c>
      <c r="BE17" s="109">
        <f>IFERROR(__xludf.DUMMYFUNCTION("""COMPUTED_VALUE"""),0.2762198598434288)</f>
        <v>0.2762198598</v>
      </c>
      <c r="BF17" s="109">
        <f>IFERROR(__xludf.DUMMYFUNCTION("""COMPUTED_VALUE"""),0.2759329698068989)</f>
        <v>0.2759329698</v>
      </c>
      <c r="BG17" s="109">
        <f>IFERROR(__xludf.DUMMYFUNCTION("""COMPUTED_VALUE"""),0.27566349515698146)</f>
        <v>0.2756634952</v>
      </c>
      <c r="BH17" s="109">
        <f>IFERROR(__xludf.DUMMYFUNCTION("""COMPUTED_VALUE"""),0.2754064227482569)</f>
        <v>0.2754064227</v>
      </c>
      <c r="BI17" s="109">
        <f>IFERROR(__xludf.DUMMYFUNCTION("""COMPUTED_VALUE"""),0.275155711778921)</f>
        <v>0.2751557118</v>
      </c>
      <c r="BJ17" s="109">
        <f>IFERROR(__xludf.DUMMYFUNCTION("""COMPUTED_VALUE"""),0.27491798678843155)</f>
        <v>0.2749179868</v>
      </c>
      <c r="BK17" s="109">
        <f>IFERROR(__xludf.DUMMYFUNCTION("""COMPUTED_VALUE"""),0.27469152064843927)</f>
        <v>0.2746915206</v>
      </c>
      <c r="BL17" s="109">
        <f>IFERROR(__xludf.DUMMYFUNCTION("""COMPUTED_VALUE"""),0.2744750385971147)</f>
        <v>0.2744750386</v>
      </c>
      <c r="BM17" s="109">
        <f>IFERROR(__xludf.DUMMYFUNCTION("""COMPUTED_VALUE"""),0.2742679949139094)</f>
        <v>0.2742679949</v>
      </c>
      <c r="BN17" s="109">
        <f>IFERROR(__xludf.DUMMYFUNCTION("""COMPUTED_VALUE"""),0.2740708907008421)</f>
        <v>0.2740708907</v>
      </c>
      <c r="BO17" s="109">
        <f>IFERROR(__xludf.DUMMYFUNCTION("""COMPUTED_VALUE"""),0.27388306058456796)</f>
        <v>0.2738830606</v>
      </c>
      <c r="BP17" s="109">
        <f>IFERROR(__xludf.DUMMYFUNCTION("""COMPUTED_VALUE"""),0.2737040474180846)</f>
        <v>0.2737040474</v>
      </c>
      <c r="BQ17" s="109">
        <f>IFERROR(__xludf.DUMMYFUNCTION("""COMPUTED_VALUE"""),0.2735335529409097)</f>
        <v>0.2735335529</v>
      </c>
      <c r="BR17" s="109">
        <f>IFERROR(__xludf.DUMMYFUNCTION("""COMPUTED_VALUE"""),0.2733713281135681)</f>
        <v>0.2733713281</v>
      </c>
      <c r="BS17" s="109">
        <f>IFERROR(__xludf.DUMMYFUNCTION("""COMPUTED_VALUE"""),0.27321698556257973)</f>
        <v>0.2732169856</v>
      </c>
      <c r="BT17" s="109">
        <f>IFERROR(__xludf.DUMMYFUNCTION("""COMPUTED_VALUE"""),0.2730701939876016)</f>
        <v>0.273070194</v>
      </c>
      <c r="BU17" s="109">
        <f>IFERROR(__xludf.DUMMYFUNCTION("""COMPUTED_VALUE"""),0.2729306489123895)</f>
        <v>0.2729306489</v>
      </c>
      <c r="BV17" s="109">
        <f>IFERROR(__xludf.DUMMYFUNCTION("""COMPUTED_VALUE"""),0.27279804770730776)</f>
        <v>0.2727980477</v>
      </c>
      <c r="BW17" s="109">
        <f>IFERROR(__xludf.DUMMYFUNCTION("""COMPUTED_VALUE"""),0.2726720808262105)</f>
        <v>0.2726720808</v>
      </c>
      <c r="BX17" s="109"/>
      <c r="BY17" s="109"/>
      <c r="BZ17" s="109"/>
      <c r="CA17" s="109"/>
      <c r="CB17" s="109"/>
      <c r="CC17" s="109"/>
      <c r="CD17" s="109"/>
      <c r="CE17" s="109"/>
      <c r="CF17" s="109"/>
      <c r="CG17" s="109"/>
    </row>
    <row r="18" ht="15.75" customHeight="1">
      <c r="A18" s="1" t="str">
        <f>IFERROR(__xludf.DUMMYFUNCTION("""COMPUTED_VALUE"""),"SQLs")</f>
        <v>SQLs</v>
      </c>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row>
    <row r="19" ht="15.75" customHeight="1">
      <c r="A19" s="1" t="str">
        <f>IFERROR(__xludf.DUMMYFUNCTION("""COMPUTED_VALUE"""),"  Organic")</f>
        <v>  Organic</v>
      </c>
      <c r="B19" s="1"/>
      <c r="C19" s="1"/>
      <c r="D19" s="90">
        <f>IFERROR(__xludf.DUMMYFUNCTION("""COMPUTED_VALUE"""),37.0)</f>
        <v>37</v>
      </c>
      <c r="E19" s="90">
        <f>IFERROR(__xludf.DUMMYFUNCTION("""COMPUTED_VALUE"""),34.0)</f>
        <v>34</v>
      </c>
      <c r="F19" s="90">
        <f>IFERROR(__xludf.DUMMYFUNCTION("""COMPUTED_VALUE"""),40.0)</f>
        <v>40</v>
      </c>
      <c r="G19" s="90">
        <f>IFERROR(__xludf.DUMMYFUNCTION("""COMPUTED_VALUE"""),43.0)</f>
        <v>43</v>
      </c>
      <c r="H19" s="90">
        <f>IFERROR(__xludf.DUMMYFUNCTION("""COMPUTED_VALUE"""),61.0)</f>
        <v>61</v>
      </c>
      <c r="I19" s="90">
        <f>IFERROR(__xludf.DUMMYFUNCTION("""COMPUTED_VALUE"""),46.0)</f>
        <v>46</v>
      </c>
      <c r="J19" s="90">
        <f>IFERROR(__xludf.DUMMYFUNCTION("""COMPUTED_VALUE"""),62.0)</f>
        <v>62</v>
      </c>
      <c r="K19" s="90">
        <f>IFERROR(__xludf.DUMMYFUNCTION("""COMPUTED_VALUE"""),57.0)</f>
        <v>57</v>
      </c>
      <c r="L19" s="90">
        <f>IFERROR(__xludf.DUMMYFUNCTION("""COMPUTED_VALUE"""),86.0)</f>
        <v>86</v>
      </c>
      <c r="M19" s="90">
        <f>IFERROR(__xludf.DUMMYFUNCTION("""COMPUTED_VALUE"""),63.0)</f>
        <v>63</v>
      </c>
      <c r="N19" s="90">
        <f>IFERROR(__xludf.DUMMYFUNCTION("""COMPUTED_VALUE"""),79.0)</f>
        <v>79</v>
      </c>
      <c r="O19" s="90">
        <f>IFERROR(__xludf.DUMMYFUNCTION("""COMPUTED_VALUE"""),122.0)</f>
        <v>122</v>
      </c>
      <c r="P19" s="90">
        <f>IFERROR(__xludf.DUMMYFUNCTION("""COMPUTED_VALUE"""),147.0)</f>
        <v>147</v>
      </c>
      <c r="Q19" s="90">
        <f>IFERROR(__xludf.DUMMYFUNCTION("""COMPUTED_VALUE"""),203.0)</f>
        <v>203</v>
      </c>
      <c r="R19" s="90">
        <f>IFERROR(__xludf.DUMMYFUNCTION("""COMPUTED_VALUE"""),145.0)</f>
        <v>145</v>
      </c>
      <c r="S19" s="90">
        <f>IFERROR(__xludf.DUMMYFUNCTION("""COMPUTED_VALUE"""),143.0)</f>
        <v>143</v>
      </c>
      <c r="T19" s="90">
        <f>IFERROR(__xludf.DUMMYFUNCTION("""COMPUTED_VALUE"""),170.0)</f>
        <v>170</v>
      </c>
      <c r="U19" s="90">
        <f>IFERROR(__xludf.DUMMYFUNCTION("""COMPUTED_VALUE"""),149.0)</f>
        <v>149</v>
      </c>
      <c r="V19" s="90">
        <f>IFERROR(__xludf.DUMMYFUNCTION("""COMPUTED_VALUE"""),159.0)</f>
        <v>159</v>
      </c>
      <c r="W19" s="90">
        <f>IFERROR(__xludf.DUMMYFUNCTION("""COMPUTED_VALUE"""),90.0)</f>
        <v>90</v>
      </c>
      <c r="X19" s="90">
        <f>IFERROR(__xludf.DUMMYFUNCTION("""COMPUTED_VALUE"""),120.0)</f>
        <v>120</v>
      </c>
      <c r="Y19" s="90">
        <f>IFERROR(__xludf.DUMMYFUNCTION("""COMPUTED_VALUE"""),130.2963856629402)</f>
        <v>130.2963857</v>
      </c>
      <c r="Z19" s="90">
        <f>IFERROR(__xludf.DUMMYFUNCTION("""COMPUTED_VALUE"""),120.13438859775958)</f>
        <v>120.1343886</v>
      </c>
      <c r="AA19" s="90">
        <f>IFERROR(__xludf.DUMMYFUNCTION("""COMPUTED_VALUE"""),127.92535257898585)</f>
        <v>127.9253526</v>
      </c>
      <c r="AB19" s="90">
        <f>IFERROR(__xludf.DUMMYFUNCTION("""COMPUTED_VALUE"""),130.66231071914842)</f>
        <v>130.6623107</v>
      </c>
      <c r="AC19" s="90">
        <f>IFERROR(__xludf.DUMMYFUNCTION("""COMPUTED_VALUE"""),130.78868005745827)</f>
        <v>130.7886801</v>
      </c>
      <c r="AD19" s="90">
        <f>IFERROR(__xludf.DUMMYFUNCTION("""COMPUTED_VALUE"""),134.46805576316575)</f>
        <v>134.4680558</v>
      </c>
      <c r="AE19" s="90">
        <f>IFERROR(__xludf.DUMMYFUNCTION("""COMPUTED_VALUE"""),136.72752681636396)</f>
        <v>136.7275268</v>
      </c>
      <c r="AF19" s="90">
        <f>IFERROR(__xludf.DUMMYFUNCTION("""COMPUTED_VALUE"""),123.02556613493837)</f>
        <v>123.0255661</v>
      </c>
      <c r="AG19" s="90">
        <f>IFERROR(__xludf.DUMMYFUNCTION("""COMPUTED_VALUE"""),121.24399998791576)</f>
        <v>121.244</v>
      </c>
      <c r="AH19" s="90">
        <f>IFERROR(__xludf.DUMMYFUNCTION("""COMPUTED_VALUE"""),117.17689850570716)</f>
        <v>117.1768985</v>
      </c>
      <c r="AI19" s="90">
        <f>IFERROR(__xludf.DUMMYFUNCTION("""COMPUTED_VALUE"""),111.16403900694421)</f>
        <v>111.164039</v>
      </c>
      <c r="AJ19" s="90">
        <f>IFERROR(__xludf.DUMMYFUNCTION("""COMPUTED_VALUE"""),107.51598765390827)</f>
        <v>107.5159877</v>
      </c>
      <c r="AK19" s="90">
        <f>IFERROR(__xludf.DUMMYFUNCTION("""COMPUTED_VALUE"""),103.29389268846526)</f>
        <v>103.2938927</v>
      </c>
      <c r="AL19" s="90">
        <f>IFERROR(__xludf.DUMMYFUNCTION("""COMPUTED_VALUE"""),99.02412897176254)</f>
        <v>99.02412897</v>
      </c>
      <c r="AM19" s="90">
        <f>IFERROR(__xludf.DUMMYFUNCTION("""COMPUTED_VALUE"""),95.2904600477116)</f>
        <v>95.29046005</v>
      </c>
      <c r="AN19" s="90">
        <f>IFERROR(__xludf.DUMMYFUNCTION("""COMPUTED_VALUE"""),91.5304591604645)</f>
        <v>91.53045916</v>
      </c>
      <c r="AO19" s="90">
        <f>IFERROR(__xludf.DUMMYFUNCTION("""COMPUTED_VALUE"""),87.91257681402604)</f>
        <v>87.91257681</v>
      </c>
      <c r="AP19" s="90">
        <f>IFERROR(__xludf.DUMMYFUNCTION("""COMPUTED_VALUE"""),84.49518270903827)</f>
        <v>84.49518271</v>
      </c>
      <c r="AQ19" s="90">
        <f>IFERROR(__xludf.DUMMYFUNCTION("""COMPUTED_VALUE"""),81.17505995614239)</f>
        <v>81.17505996</v>
      </c>
      <c r="AR19" s="90">
        <f>IFERROR(__xludf.DUMMYFUNCTION("""COMPUTED_VALUE"""),77.9902231580713)</f>
        <v>77.99022316</v>
      </c>
      <c r="AS19" s="90">
        <f>IFERROR(__xludf.DUMMYFUNCTION("""COMPUTED_VALUE"""),74.93857093072207)</f>
        <v>74.93857093</v>
      </c>
      <c r="AT19" s="90">
        <f>IFERROR(__xludf.DUMMYFUNCTION("""COMPUTED_VALUE"""),71.99940381065996)</f>
        <v>71.99940381</v>
      </c>
      <c r="AU19" s="90">
        <f>IFERROR(__xludf.DUMMYFUNCTION("""COMPUTED_VALUE"""),69.1774008379129)</f>
        <v>69.17740084</v>
      </c>
      <c r="AV19" s="90">
        <f>IFERROR(__xludf.DUMMYFUNCTION("""COMPUTED_VALUE"""),66.46698859147936)</f>
        <v>66.46698859</v>
      </c>
      <c r="AW19" s="90">
        <f>IFERROR(__xludf.DUMMYFUNCTION("""COMPUTED_VALUE"""),63.861525814086086)</f>
        <v>63.86152581</v>
      </c>
      <c r="AX19" s="90">
        <f>IFERROR(__xludf.DUMMYFUNCTION("""COMPUTED_VALUE"""),61.35869489561371)</f>
        <v>61.3586949</v>
      </c>
      <c r="AY19" s="90">
        <f>IFERROR(__xludf.DUMMYFUNCTION("""COMPUTED_VALUE"""),58.95402638337149)</f>
        <v>58.95402638</v>
      </c>
      <c r="AZ19" s="90">
        <f>IFERROR(__xludf.DUMMYFUNCTION("""COMPUTED_VALUE"""),56.64339035372307)</f>
        <v>56.64339035</v>
      </c>
      <c r="BA19" s="90">
        <f>IFERROR(__xludf.DUMMYFUNCTION("""COMPUTED_VALUE"""),54.42342925188249)</f>
        <v>54.42342925</v>
      </c>
      <c r="BB19" s="90">
        <f>IFERROR(__xludf.DUMMYFUNCTION("""COMPUTED_VALUE"""),52.29046568468998)</f>
        <v>52.29046568</v>
      </c>
      <c r="BC19" s="90">
        <f>IFERROR(__xludf.DUMMYFUNCTION("""COMPUTED_VALUE"""),50.241065859477686)</f>
        <v>50.24106586</v>
      </c>
      <c r="BD19" s="90">
        <f>IFERROR(__xludf.DUMMYFUNCTION("""COMPUTED_VALUE"""),48.2720100809275)</f>
        <v>48.27201008</v>
      </c>
      <c r="BE19" s="90">
        <f>IFERROR(__xludf.DUMMYFUNCTION("""COMPUTED_VALUE"""),46.38012105285019)</f>
        <v>46.38012105</v>
      </c>
      <c r="BF19" s="90">
        <f>IFERROR(__xludf.DUMMYFUNCTION("""COMPUTED_VALUE"""),44.5623752855109)</f>
        <v>44.56237529</v>
      </c>
      <c r="BG19" s="90">
        <f>IFERROR(__xludf.DUMMYFUNCTION("""COMPUTED_VALUE"""),42.81587547917989)</f>
        <v>42.81587548</v>
      </c>
      <c r="BH19" s="90">
        <f>IFERROR(__xludf.DUMMYFUNCTION("""COMPUTED_VALUE"""),41.13782348794212)</f>
        <v>41.13782349</v>
      </c>
      <c r="BI19" s="90">
        <f>IFERROR(__xludf.DUMMYFUNCTION("""COMPUTED_VALUE"""),39.52553777478591)</f>
        <v>39.52553777</v>
      </c>
      <c r="BJ19" s="90">
        <f>IFERROR(__xludf.DUMMYFUNCTION("""COMPUTED_VALUE"""),37.97644197137484)</f>
        <v>37.97644197</v>
      </c>
      <c r="BK19" s="90">
        <f>IFERROR(__xludf.DUMMYFUNCTION("""COMPUTED_VALUE"""),36.488058412869165)</f>
        <v>36.48805841</v>
      </c>
      <c r="BL19" s="90">
        <f>IFERROR(__xludf.DUMMYFUNCTION("""COMPUTED_VALUE"""),35.05800799942906)</f>
        <v>35.058008</v>
      </c>
      <c r="BM19" s="90">
        <f>IFERROR(__xludf.DUMMYFUNCTION("""COMPUTED_VALUE"""),33.68400464675328)</f>
        <v>33.68400465</v>
      </c>
      <c r="BN19" s="90">
        <f>IFERROR(__xludf.DUMMYFUNCTION("""COMPUTED_VALUE"""),32.36385154834228)</f>
        <v>32.36385155</v>
      </c>
      <c r="BO19" s="90">
        <f>IFERROR(__xludf.DUMMYFUNCTION("""COMPUTED_VALUE"""),31.095438276595086)</f>
        <v>31.09543828</v>
      </c>
      <c r="BP19" s="90">
        <f>IFERROR(__xludf.DUMMYFUNCTION("""COMPUTED_VALUE"""),29.876737034933964)</f>
        <v>29.87673703</v>
      </c>
      <c r="BQ19" s="90">
        <f>IFERROR(__xludf.DUMMYFUNCTION("""COMPUTED_VALUE"""),28.705799464012934)</f>
        <v>28.70579946</v>
      </c>
      <c r="BR19" s="90">
        <f>IFERROR(__xludf.DUMMYFUNCTION("""COMPUTED_VALUE"""),27.58075361521841)</f>
        <v>27.58075362</v>
      </c>
      <c r="BS19" s="90">
        <f>IFERROR(__xludf.DUMMYFUNCTION("""COMPUTED_VALUE"""),26.4998008849271)</f>
        <v>26.49980088</v>
      </c>
      <c r="BT19" s="90">
        <f>IFERROR(__xludf.DUMMYFUNCTION("""COMPUTED_VALUE"""),25.461213158556344)</f>
        <v>25.46121316</v>
      </c>
      <c r="BU19" s="90">
        <f>IFERROR(__xludf.DUMMYFUNCTION("""COMPUTED_VALUE"""),24.463330058518768)</f>
        <v>24.46333006</v>
      </c>
      <c r="BV19" s="90">
        <f>IFERROR(__xludf.DUMMYFUNCTION("""COMPUTED_VALUE"""),23.504556276586076)</f>
        <v>23.50455628</v>
      </c>
      <c r="BW19" s="90">
        <f>IFERROR(__xludf.DUMMYFUNCTION("""COMPUTED_VALUE"""),22.583359028691756)</f>
        <v>22.58335903</v>
      </c>
      <c r="BX19" s="106"/>
      <c r="BY19" s="106"/>
      <c r="BZ19" s="106"/>
      <c r="CA19" s="106"/>
      <c r="CB19" s="106"/>
      <c r="CC19" s="106"/>
      <c r="CD19" s="106"/>
      <c r="CE19" s="106"/>
      <c r="CF19" s="106"/>
      <c r="CG19" s="106"/>
    </row>
    <row r="20" ht="15.75" customHeight="1">
      <c r="A20" s="128" t="str">
        <f>IFERROR(__xludf.DUMMYFUNCTION("""COMPUTED_VALUE"""),"  Adwords")</f>
        <v>  Adwords</v>
      </c>
      <c r="B20" s="128"/>
      <c r="C20" s="128"/>
      <c r="D20" s="129">
        <f>IFERROR(__xludf.DUMMYFUNCTION("""COMPUTED_VALUE"""),26.4)</f>
        <v>26.4</v>
      </c>
      <c r="E20" s="129">
        <f>IFERROR(__xludf.DUMMYFUNCTION("""COMPUTED_VALUE"""),29.099999999999998)</f>
        <v>29.1</v>
      </c>
      <c r="F20" s="129">
        <f>IFERROR(__xludf.DUMMYFUNCTION("""COMPUTED_VALUE"""),36.6)</f>
        <v>36.6</v>
      </c>
      <c r="G20" s="129">
        <f>IFERROR(__xludf.DUMMYFUNCTION("""COMPUTED_VALUE"""),35.4)</f>
        <v>35.4</v>
      </c>
      <c r="H20" s="129">
        <f>IFERROR(__xludf.DUMMYFUNCTION("""COMPUTED_VALUE"""),44.699999999999996)</f>
        <v>44.7</v>
      </c>
      <c r="I20" s="129">
        <f>IFERROR(__xludf.DUMMYFUNCTION("""COMPUTED_VALUE"""),41.4)</f>
        <v>41.4</v>
      </c>
      <c r="J20" s="129">
        <f>IFERROR(__xludf.DUMMYFUNCTION("""COMPUTED_VALUE"""),47.1)</f>
        <v>47.1</v>
      </c>
      <c r="K20" s="129">
        <f>IFERROR(__xludf.DUMMYFUNCTION("""COMPUTED_VALUE"""),41.4)</f>
        <v>41.4</v>
      </c>
      <c r="L20" s="129">
        <f>IFERROR(__xludf.DUMMYFUNCTION("""COMPUTED_VALUE"""),63.0)</f>
        <v>63</v>
      </c>
      <c r="M20" s="129">
        <f>IFERROR(__xludf.DUMMYFUNCTION("""COMPUTED_VALUE"""),60.9)</f>
        <v>60.9</v>
      </c>
      <c r="N20" s="129">
        <f>IFERROR(__xludf.DUMMYFUNCTION("""COMPUTED_VALUE"""),70.8)</f>
        <v>70.8</v>
      </c>
      <c r="O20" s="129">
        <f>IFERROR(__xludf.DUMMYFUNCTION("""COMPUTED_VALUE"""),93.0)</f>
        <v>93</v>
      </c>
      <c r="P20" s="129">
        <f>IFERROR(__xludf.DUMMYFUNCTION("""COMPUTED_VALUE"""),130.5)</f>
        <v>130.5</v>
      </c>
      <c r="Q20" s="129">
        <f>IFERROR(__xludf.DUMMYFUNCTION("""COMPUTED_VALUE"""),162.6)</f>
        <v>162.6</v>
      </c>
      <c r="R20" s="129">
        <f>IFERROR(__xludf.DUMMYFUNCTION("""COMPUTED_VALUE"""),111.89999999999999)</f>
        <v>111.9</v>
      </c>
      <c r="S20" s="129">
        <f>IFERROR(__xludf.DUMMYFUNCTION("""COMPUTED_VALUE"""),120.3)</f>
        <v>120.3</v>
      </c>
      <c r="T20" s="129">
        <f>IFERROR(__xludf.DUMMYFUNCTION("""COMPUTED_VALUE"""),129.9)</f>
        <v>129.9</v>
      </c>
      <c r="U20" s="129">
        <f>IFERROR(__xludf.DUMMYFUNCTION("""COMPUTED_VALUE"""),118.19999999999999)</f>
        <v>118.2</v>
      </c>
      <c r="V20" s="129">
        <f>IFERROR(__xludf.DUMMYFUNCTION("""COMPUTED_VALUE"""),131.1)</f>
        <v>131.1</v>
      </c>
      <c r="W20" s="129">
        <f>IFERROR(__xludf.DUMMYFUNCTION("""COMPUTED_VALUE"""),85.8)</f>
        <v>85.8</v>
      </c>
      <c r="X20" s="129">
        <f>IFERROR(__xludf.DUMMYFUNCTION("""COMPUTED_VALUE"""),95.1)</f>
        <v>95.1</v>
      </c>
      <c r="Y20" s="129">
        <f>IFERROR(__xludf.DUMMYFUNCTION("""COMPUTED_VALUE"""),93.68429201704737)</f>
        <v>93.68429202</v>
      </c>
      <c r="Z20" s="129">
        <f>IFERROR(__xludf.DUMMYFUNCTION("""COMPUTED_VALUE"""),90.94379393285135)</f>
        <v>90.94379393</v>
      </c>
      <c r="AA20" s="129">
        <f>IFERROR(__xludf.DUMMYFUNCTION("""COMPUTED_VALUE"""),100.72517045505191)</f>
        <v>100.7251705</v>
      </c>
      <c r="AB20" s="129">
        <f>IFERROR(__xludf.DUMMYFUNCTION("""COMPUTED_VALUE"""),104.38855058549464)</f>
        <v>104.3885506</v>
      </c>
      <c r="AC20" s="129">
        <f>IFERROR(__xludf.DUMMYFUNCTION("""COMPUTED_VALUE"""),106.20018578673444)</f>
        <v>106.2001858</v>
      </c>
      <c r="AD20" s="129">
        <f>IFERROR(__xludf.DUMMYFUNCTION("""COMPUTED_VALUE"""),101.21450785330372)</f>
        <v>101.2145079</v>
      </c>
      <c r="AE20" s="129">
        <f>IFERROR(__xludf.DUMMYFUNCTION("""COMPUTED_VALUE"""),96.52813544048166)</f>
        <v>96.52813544</v>
      </c>
      <c r="AF20" s="129">
        <f>IFERROR(__xludf.DUMMYFUNCTION("""COMPUTED_VALUE"""),86.18465579592696)</f>
        <v>86.1846558</v>
      </c>
      <c r="AG20" s="129">
        <f>IFERROR(__xludf.DUMMYFUNCTION("""COMPUTED_VALUE"""),94.98148816036748)</f>
        <v>94.98148816</v>
      </c>
      <c r="AH20" s="129">
        <f>IFERROR(__xludf.DUMMYFUNCTION("""COMPUTED_VALUE"""),103.6024496732841)</f>
        <v>103.6024497</v>
      </c>
      <c r="AI20" s="129">
        <f>IFERROR(__xludf.DUMMYFUNCTION("""COMPUTED_VALUE"""),112.18156718740971)</f>
        <v>112.1815672</v>
      </c>
      <c r="AJ20" s="129">
        <f>IFERROR(__xludf.DUMMYFUNCTION("""COMPUTED_VALUE"""),120.85325195263496)</f>
        <v>120.853252</v>
      </c>
      <c r="AK20" s="129">
        <f>IFERROR(__xludf.DUMMYFUNCTION("""COMPUTED_VALUE"""),129.4758726205111)</f>
        <v>129.4758726</v>
      </c>
      <c r="AL20" s="129">
        <f>IFERROR(__xludf.DUMMYFUNCTION("""COMPUTED_VALUE"""),138.09931114687842)</f>
        <v>138.0993111</v>
      </c>
      <c r="AM20" s="129">
        <f>IFERROR(__xludf.DUMMYFUNCTION("""COMPUTED_VALUE"""),146.73963127200923)</f>
        <v>146.7396313</v>
      </c>
      <c r="AN20" s="129">
        <f>IFERROR(__xludf.DUMMYFUNCTION("""COMPUTED_VALUE"""),155.36805563977452)</f>
        <v>155.3680556</v>
      </c>
      <c r="AO20" s="129">
        <f>IFERROR(__xludf.DUMMYFUNCTION("""COMPUTED_VALUE"""),163.99868555126628)</f>
        <v>163.9986856</v>
      </c>
      <c r="AP20" s="129">
        <f>IFERROR(__xludf.DUMMYFUNCTION("""COMPUTED_VALUE"""),172.6319898011296)</f>
        <v>172.6319898</v>
      </c>
      <c r="AQ20" s="129">
        <f>IFERROR(__xludf.DUMMYFUNCTION("""COMPUTED_VALUE"""),181.26269036553643)</f>
        <v>181.2626904</v>
      </c>
      <c r="AR20" s="129">
        <f>IFERROR(__xludf.DUMMYFUNCTION("""COMPUTED_VALUE"""),189.89423409657513)</f>
        <v>189.8942341</v>
      </c>
      <c r="AS20" s="129">
        <f>IFERROR(__xludf.DUMMYFUNCTION("""COMPUTED_VALUE"""),198.5261115564214)</f>
        <v>198.5261116</v>
      </c>
      <c r="AT20" s="129">
        <f>IFERROR(__xludf.DUMMYFUNCTION("""COMPUTED_VALUE"""),207.1574676431029)</f>
        <v>207.1574676</v>
      </c>
      <c r="AU20" s="129">
        <f>IFERROR(__xludf.DUMMYFUNCTION("""COMPUTED_VALUE"""),215.7890627884418)</f>
        <v>215.7890628</v>
      </c>
      <c r="AV20" s="129">
        <f>IFERROR(__xludf.DUMMYFUNCTION("""COMPUTED_VALUE"""),224.4206762734322)</f>
        <v>224.4206763</v>
      </c>
      <c r="AW20" s="129">
        <f>IFERROR(__xludf.DUMMYFUNCTION("""COMPUTED_VALUE"""),233.05219441379168)</f>
        <v>233.0521944</v>
      </c>
      <c r="AX20" s="129">
        <f>IFERROR(__xludf.DUMMYFUNCTION("""COMPUTED_VALUE"""),241.68377099126462)</f>
        <v>241.683771</v>
      </c>
      <c r="AY20" s="129">
        <f>IFERROR(__xludf.DUMMYFUNCTION("""COMPUTED_VALUE"""),250.31534084785386)</f>
        <v>250.3153408</v>
      </c>
      <c r="AZ20" s="129">
        <f>IFERROR(__xludf.DUMMYFUNCTION("""COMPUTED_VALUE"""),245.47944822747922)</f>
        <v>245.4794482</v>
      </c>
      <c r="BA20" s="129">
        <f>IFERROR(__xludf.DUMMYFUNCTION("""COMPUTED_VALUE"""),252.2122796395173)</f>
        <v>252.2122796</v>
      </c>
      <c r="BB20" s="129">
        <f>IFERROR(__xludf.DUMMYFUNCTION("""COMPUTED_VALUE"""),258.076385170453)</f>
        <v>258.0763852</v>
      </c>
      <c r="BC20" s="129">
        <f>IFERROR(__xludf.DUMMYFUNCTION("""COMPUTED_VALUE"""),262.7802496571975)</f>
        <v>262.7802497</v>
      </c>
      <c r="BD20" s="129">
        <f>IFERROR(__xludf.DUMMYFUNCTION("""COMPUTED_VALUE"""),266.03597800777214)</f>
        <v>266.035978</v>
      </c>
      <c r="BE20" s="129">
        <f>IFERROR(__xludf.DUMMYFUNCTION("""COMPUTED_VALUE"""),271.40516387854984)</f>
        <v>271.4051639</v>
      </c>
      <c r="BF20" s="129">
        <f>IFERROR(__xludf.DUMMYFUNCTION("""COMPUTED_VALUE"""),276.4181781847816)</f>
        <v>276.4181782</v>
      </c>
      <c r="BG20" s="129">
        <f>IFERROR(__xludf.DUMMYFUNCTION("""COMPUTED_VALUE"""),281.2088955247421)</f>
        <v>281.2088955</v>
      </c>
      <c r="BH20" s="129">
        <f>IFERROR(__xludf.DUMMYFUNCTION("""COMPUTED_VALUE"""),286.0222973583373)</f>
        <v>286.0222974</v>
      </c>
      <c r="BI20" s="129">
        <f>IFERROR(__xludf.DUMMYFUNCTION("""COMPUTED_VALUE"""),291.24255022039233)</f>
        <v>291.2425502</v>
      </c>
      <c r="BJ20" s="90">
        <f>IFERROR(__xludf.DUMMYFUNCTION("""COMPUTED_VALUE"""),296.4239031455235)</f>
        <v>296.4239031</v>
      </c>
      <c r="BK20" s="90">
        <f>IFERROR(__xludf.DUMMYFUNCTION("""COMPUTED_VALUE"""),301.64922451998046)</f>
        <v>301.6492245</v>
      </c>
      <c r="BL20" s="90">
        <f>IFERROR(__xludf.DUMMYFUNCTION("""COMPUTED_VALUE"""),306.9880607564123)</f>
        <v>306.9880608</v>
      </c>
      <c r="BM20" s="90">
        <f>IFERROR(__xludf.DUMMYFUNCTION("""COMPUTED_VALUE"""),312.46413589153843)</f>
        <v>312.4641359</v>
      </c>
      <c r="BN20" s="90">
        <f>IFERROR(__xludf.DUMMYFUNCTION("""COMPUTED_VALUE"""),318.00702955714786)</f>
        <v>318.0070296</v>
      </c>
      <c r="BO20" s="90">
        <f>IFERROR(__xludf.DUMMYFUNCTION("""COMPUTED_VALUE"""),323.64435453622457)</f>
        <v>323.6443545</v>
      </c>
      <c r="BP20" s="90">
        <f>IFERROR(__xludf.DUMMYFUNCTION("""COMPUTED_VALUE"""),329.38929127243944)</f>
        <v>329.3892913</v>
      </c>
      <c r="BQ20" s="90">
        <f>IFERROR(__xludf.DUMMYFUNCTION("""COMPUTED_VALUE"""),335.2402979250176)</f>
        <v>335.2402979</v>
      </c>
      <c r="BR20" s="90">
        <f>IFERROR(__xludf.DUMMYFUNCTION("""COMPUTED_VALUE"""),341.18923343351594)</f>
        <v>341.1892334</v>
      </c>
      <c r="BS20" s="90">
        <f>IFERROR(__xludf.DUMMYFUNCTION("""COMPUTED_VALUE"""),347.2442235402976)</f>
        <v>347.2442235</v>
      </c>
      <c r="BT20" s="90">
        <f>IFERROR(__xludf.DUMMYFUNCTION("""COMPUTED_VALUE"""),353.40830414681454)</f>
        <v>353.4083041</v>
      </c>
      <c r="BU20" s="90">
        <f>IFERROR(__xludf.DUMMYFUNCTION("""COMPUTED_VALUE"""),359.68186148884723)</f>
        <v>359.6818615</v>
      </c>
      <c r="BV20" s="90">
        <f>IFERROR(__xludf.DUMMYFUNCTION("""COMPUTED_VALUE"""),366.0657853970467)</f>
        <v>366.0657854</v>
      </c>
      <c r="BW20" s="90">
        <f>IFERROR(__xludf.DUMMYFUNCTION("""COMPUTED_VALUE"""),372.5633244934331)</f>
        <v>372.5633245</v>
      </c>
      <c r="BX20" s="106"/>
      <c r="BY20" s="106"/>
      <c r="BZ20" s="106"/>
      <c r="CA20" s="106"/>
      <c r="CB20" s="106"/>
      <c r="CC20" s="106"/>
      <c r="CD20" s="106"/>
      <c r="CE20" s="106"/>
      <c r="CF20" s="106"/>
      <c r="CG20" s="106"/>
    </row>
    <row r="21" ht="15.75" customHeight="1">
      <c r="A21" s="7" t="str">
        <f>IFERROR(__xludf.DUMMYFUNCTION("""COMPUTED_VALUE"""),"Total SQLs")</f>
        <v>Total SQLs</v>
      </c>
      <c r="B21" s="1"/>
      <c r="C21" s="1"/>
      <c r="D21" s="130">
        <f>IFERROR(__xludf.DUMMYFUNCTION("""COMPUTED_VALUE"""),63.4)</f>
        <v>63.4</v>
      </c>
      <c r="E21" s="130">
        <f>IFERROR(__xludf.DUMMYFUNCTION("""COMPUTED_VALUE"""),63.099999999999994)</f>
        <v>63.1</v>
      </c>
      <c r="F21" s="130">
        <f>IFERROR(__xludf.DUMMYFUNCTION("""COMPUTED_VALUE"""),76.6)</f>
        <v>76.6</v>
      </c>
      <c r="G21" s="130">
        <f>IFERROR(__xludf.DUMMYFUNCTION("""COMPUTED_VALUE"""),78.4)</f>
        <v>78.4</v>
      </c>
      <c r="H21" s="130">
        <f>IFERROR(__xludf.DUMMYFUNCTION("""COMPUTED_VALUE"""),105.69999999999999)</f>
        <v>105.7</v>
      </c>
      <c r="I21" s="130">
        <f>IFERROR(__xludf.DUMMYFUNCTION("""COMPUTED_VALUE"""),87.4)</f>
        <v>87.4</v>
      </c>
      <c r="J21" s="130">
        <f>IFERROR(__xludf.DUMMYFUNCTION("""COMPUTED_VALUE"""),109.1)</f>
        <v>109.1</v>
      </c>
      <c r="K21" s="130">
        <f>IFERROR(__xludf.DUMMYFUNCTION("""COMPUTED_VALUE"""),98.4)</f>
        <v>98.4</v>
      </c>
      <c r="L21" s="130">
        <f>IFERROR(__xludf.DUMMYFUNCTION("""COMPUTED_VALUE"""),149.0)</f>
        <v>149</v>
      </c>
      <c r="M21" s="130">
        <f>IFERROR(__xludf.DUMMYFUNCTION("""COMPUTED_VALUE"""),123.9)</f>
        <v>123.9</v>
      </c>
      <c r="N21" s="130">
        <f>IFERROR(__xludf.DUMMYFUNCTION("""COMPUTED_VALUE"""),149.8)</f>
        <v>149.8</v>
      </c>
      <c r="O21" s="130">
        <f>IFERROR(__xludf.DUMMYFUNCTION("""COMPUTED_VALUE"""),215.0)</f>
        <v>215</v>
      </c>
      <c r="P21" s="130">
        <f>IFERROR(__xludf.DUMMYFUNCTION("""COMPUTED_VALUE"""),277.5)</f>
        <v>277.5</v>
      </c>
      <c r="Q21" s="130">
        <f>IFERROR(__xludf.DUMMYFUNCTION("""COMPUTED_VALUE"""),365.6)</f>
        <v>365.6</v>
      </c>
      <c r="R21" s="130">
        <f>IFERROR(__xludf.DUMMYFUNCTION("""COMPUTED_VALUE"""),256.9)</f>
        <v>256.9</v>
      </c>
      <c r="S21" s="130">
        <f>IFERROR(__xludf.DUMMYFUNCTION("""COMPUTED_VALUE"""),263.3)</f>
        <v>263.3</v>
      </c>
      <c r="T21" s="130">
        <f>IFERROR(__xludf.DUMMYFUNCTION("""COMPUTED_VALUE"""),299.9)</f>
        <v>299.9</v>
      </c>
      <c r="U21" s="130">
        <f>IFERROR(__xludf.DUMMYFUNCTION("""COMPUTED_VALUE"""),267.2)</f>
        <v>267.2</v>
      </c>
      <c r="V21" s="130">
        <f>IFERROR(__xludf.DUMMYFUNCTION("""COMPUTED_VALUE"""),290.1)</f>
        <v>290.1</v>
      </c>
      <c r="W21" s="130">
        <f>IFERROR(__xludf.DUMMYFUNCTION("""COMPUTED_VALUE"""),175.8)</f>
        <v>175.8</v>
      </c>
      <c r="X21" s="130">
        <f>IFERROR(__xludf.DUMMYFUNCTION("""COMPUTED_VALUE"""),215.1)</f>
        <v>215.1</v>
      </c>
      <c r="Y21" s="130">
        <f>IFERROR(__xludf.DUMMYFUNCTION("""COMPUTED_VALUE"""),223.98067767998756)</f>
        <v>223.9806777</v>
      </c>
      <c r="Z21" s="130">
        <f>IFERROR(__xludf.DUMMYFUNCTION("""COMPUTED_VALUE"""),211.07818253061095)</f>
        <v>211.0781825</v>
      </c>
      <c r="AA21" s="130">
        <f>IFERROR(__xludf.DUMMYFUNCTION("""COMPUTED_VALUE"""),228.65052303403775)</f>
        <v>228.650523</v>
      </c>
      <c r="AB21" s="130">
        <f>IFERROR(__xludf.DUMMYFUNCTION("""COMPUTED_VALUE"""),235.05086130464306)</f>
        <v>235.0508613</v>
      </c>
      <c r="AC21" s="130">
        <f>IFERROR(__xludf.DUMMYFUNCTION("""COMPUTED_VALUE"""),236.9888658441927)</f>
        <v>236.9888658</v>
      </c>
      <c r="AD21" s="130">
        <f>IFERROR(__xludf.DUMMYFUNCTION("""COMPUTED_VALUE"""),235.68256361646945)</f>
        <v>235.6825636</v>
      </c>
      <c r="AE21" s="130">
        <f>IFERROR(__xludf.DUMMYFUNCTION("""COMPUTED_VALUE"""),233.25566225684562)</f>
        <v>233.2556623</v>
      </c>
      <c r="AF21" s="130">
        <f>IFERROR(__xludf.DUMMYFUNCTION("""COMPUTED_VALUE"""),209.21022193086532)</f>
        <v>209.2102219</v>
      </c>
      <c r="AG21" s="130">
        <f>IFERROR(__xludf.DUMMYFUNCTION("""COMPUTED_VALUE"""),216.22548814828323)</f>
        <v>216.2254881</v>
      </c>
      <c r="AH21" s="130">
        <f>IFERROR(__xludf.DUMMYFUNCTION("""COMPUTED_VALUE"""),220.77934817899126)</f>
        <v>220.7793482</v>
      </c>
      <c r="AI21" s="130">
        <f>IFERROR(__xludf.DUMMYFUNCTION("""COMPUTED_VALUE"""),223.34560619435393)</f>
        <v>223.3456062</v>
      </c>
      <c r="AJ21" s="130">
        <f>IFERROR(__xludf.DUMMYFUNCTION("""COMPUTED_VALUE"""),228.36923960654323)</f>
        <v>228.3692396</v>
      </c>
      <c r="AK21" s="130">
        <f>IFERROR(__xludf.DUMMYFUNCTION("""COMPUTED_VALUE"""),232.76976530897636)</f>
        <v>232.7697653</v>
      </c>
      <c r="AL21" s="130">
        <f>IFERROR(__xludf.DUMMYFUNCTION("""COMPUTED_VALUE"""),237.12344011864096)</f>
        <v>237.1234401</v>
      </c>
      <c r="AM21" s="130">
        <f>IFERROR(__xludf.DUMMYFUNCTION("""COMPUTED_VALUE"""),242.03009131972084)</f>
        <v>242.0300913</v>
      </c>
      <c r="AN21" s="130">
        <f>IFERROR(__xludf.DUMMYFUNCTION("""COMPUTED_VALUE"""),246.898514800239)</f>
        <v>246.8985148</v>
      </c>
      <c r="AO21" s="130">
        <f>IFERROR(__xludf.DUMMYFUNCTION("""COMPUTED_VALUE"""),251.91126236529232)</f>
        <v>251.9112624</v>
      </c>
      <c r="AP21" s="130">
        <f>IFERROR(__xludf.DUMMYFUNCTION("""COMPUTED_VALUE"""),257.1271725101679)</f>
        <v>257.1271725</v>
      </c>
      <c r="AQ21" s="130">
        <f>IFERROR(__xludf.DUMMYFUNCTION("""COMPUTED_VALUE"""),262.43775032167883)</f>
        <v>262.4377503</v>
      </c>
      <c r="AR21" s="130">
        <f>IFERROR(__xludf.DUMMYFUNCTION("""COMPUTED_VALUE"""),267.88445725464646)</f>
        <v>267.8844573</v>
      </c>
      <c r="AS21" s="130">
        <f>IFERROR(__xludf.DUMMYFUNCTION("""COMPUTED_VALUE"""),273.4646824871435)</f>
        <v>273.4646825</v>
      </c>
      <c r="AT21" s="130">
        <f>IFERROR(__xludf.DUMMYFUNCTION("""COMPUTED_VALUE"""),279.15687145376285)</f>
        <v>279.1568715</v>
      </c>
      <c r="AU21" s="130">
        <f>IFERROR(__xludf.DUMMYFUNCTION("""COMPUTED_VALUE"""),284.9664636263547)</f>
        <v>284.9664636</v>
      </c>
      <c r="AV21" s="130">
        <f>IFERROR(__xludf.DUMMYFUNCTION("""COMPUTED_VALUE"""),290.8876648649116)</f>
        <v>290.8876649</v>
      </c>
      <c r="AW21" s="130">
        <f>IFERROR(__xludf.DUMMYFUNCTION("""COMPUTED_VALUE"""),296.9137202278778)</f>
        <v>296.9137202</v>
      </c>
      <c r="AX21" s="130">
        <f>IFERROR(__xludf.DUMMYFUNCTION("""COMPUTED_VALUE"""),303.04246588687835)</f>
        <v>303.0424659</v>
      </c>
      <c r="AY21" s="130">
        <f>IFERROR(__xludf.DUMMYFUNCTION("""COMPUTED_VALUE"""),309.2693672312254)</f>
        <v>309.2693672</v>
      </c>
      <c r="AZ21" s="130">
        <f>IFERROR(__xludf.DUMMYFUNCTION("""COMPUTED_VALUE"""),302.1228385812023)</f>
        <v>302.1228386</v>
      </c>
      <c r="BA21" s="130">
        <f>IFERROR(__xludf.DUMMYFUNCTION("""COMPUTED_VALUE"""),306.6357088913998)</f>
        <v>306.6357089</v>
      </c>
      <c r="BB21" s="130">
        <f>IFERROR(__xludf.DUMMYFUNCTION("""COMPUTED_VALUE"""),310.366850855143)</f>
        <v>310.3668509</v>
      </c>
      <c r="BC21" s="130">
        <f>IFERROR(__xludf.DUMMYFUNCTION("""COMPUTED_VALUE"""),313.02131551667514)</f>
        <v>313.0213155</v>
      </c>
      <c r="BD21" s="130">
        <f>IFERROR(__xludf.DUMMYFUNCTION("""COMPUTED_VALUE"""),314.30798808869963)</f>
        <v>314.3079881</v>
      </c>
      <c r="BE21" s="130">
        <f>IFERROR(__xludf.DUMMYFUNCTION("""COMPUTED_VALUE"""),317.78528493140004)</f>
        <v>317.7852849</v>
      </c>
      <c r="BF21" s="130">
        <f>IFERROR(__xludf.DUMMYFUNCTION("""COMPUTED_VALUE"""),320.9805534702925)</f>
        <v>320.9805535</v>
      </c>
      <c r="BG21" s="130">
        <f>IFERROR(__xludf.DUMMYFUNCTION("""COMPUTED_VALUE"""),324.024771003922)</f>
        <v>324.024771</v>
      </c>
      <c r="BH21" s="130">
        <f>IFERROR(__xludf.DUMMYFUNCTION("""COMPUTED_VALUE"""),327.1601208462794)</f>
        <v>327.1601208</v>
      </c>
      <c r="BI21" s="130">
        <f>IFERROR(__xludf.DUMMYFUNCTION("""COMPUTED_VALUE"""),330.76808799517823)</f>
        <v>330.768088</v>
      </c>
      <c r="BJ21" s="130">
        <f>IFERROR(__xludf.DUMMYFUNCTION("""COMPUTED_VALUE"""),334.4003451168984)</f>
        <v>334.4003451</v>
      </c>
      <c r="BK21" s="130">
        <f>IFERROR(__xludf.DUMMYFUNCTION("""COMPUTED_VALUE"""),338.13728293284964)</f>
        <v>338.1372829</v>
      </c>
      <c r="BL21" s="130">
        <f>IFERROR(__xludf.DUMMYFUNCTION("""COMPUTED_VALUE"""),342.04606875584136)</f>
        <v>342.0460688</v>
      </c>
      <c r="BM21" s="130">
        <f>IFERROR(__xludf.DUMMYFUNCTION("""COMPUTED_VALUE"""),346.1481405382917)</f>
        <v>346.1481405</v>
      </c>
      <c r="BN21" s="130">
        <f>IFERROR(__xludf.DUMMYFUNCTION("""COMPUTED_VALUE"""),350.3708811054901)</f>
        <v>350.3708811</v>
      </c>
      <c r="BO21" s="130">
        <f>IFERROR(__xludf.DUMMYFUNCTION("""COMPUTED_VALUE"""),354.73979281281964)</f>
        <v>354.7397928</v>
      </c>
      <c r="BP21" s="130">
        <f>IFERROR(__xludf.DUMMYFUNCTION("""COMPUTED_VALUE"""),359.2660283073734)</f>
        <v>359.2660283</v>
      </c>
      <c r="BQ21" s="130">
        <f>IFERROR(__xludf.DUMMYFUNCTION("""COMPUTED_VALUE"""),363.94609738903057)</f>
        <v>363.9460974</v>
      </c>
      <c r="BR21" s="130">
        <f>IFERROR(__xludf.DUMMYFUNCTION("""COMPUTED_VALUE"""),368.7699870487343)</f>
        <v>368.769987</v>
      </c>
      <c r="BS21" s="130">
        <f>IFERROR(__xludf.DUMMYFUNCTION("""COMPUTED_VALUE"""),373.74402442522467)</f>
        <v>373.7440244</v>
      </c>
      <c r="BT21" s="130">
        <f>IFERROR(__xludf.DUMMYFUNCTION("""COMPUTED_VALUE"""),378.8695173053709)</f>
        <v>378.8695173</v>
      </c>
      <c r="BU21" s="130">
        <f>IFERROR(__xludf.DUMMYFUNCTION("""COMPUTED_VALUE"""),384.145191547366)</f>
        <v>384.1451915</v>
      </c>
      <c r="BV21" s="130">
        <f>IFERROR(__xludf.DUMMYFUNCTION("""COMPUTED_VALUE"""),389.57034167363275)</f>
        <v>389.5703417</v>
      </c>
      <c r="BW21" s="130">
        <f>IFERROR(__xludf.DUMMYFUNCTION("""COMPUTED_VALUE"""),395.1466835221248)</f>
        <v>395.1466835</v>
      </c>
      <c r="BX21" s="130"/>
      <c r="BY21" s="130"/>
      <c r="BZ21" s="130"/>
      <c r="CA21" s="130"/>
      <c r="CB21" s="130"/>
      <c r="CC21" s="130"/>
      <c r="CD21" s="130"/>
      <c r="CE21" s="130"/>
      <c r="CF21" s="130"/>
      <c r="CG21" s="130"/>
    </row>
    <row r="22" ht="15.75" customHeight="1">
      <c r="A22" s="1" t="str">
        <f>IFERROR(__xludf.DUMMYFUNCTION("""COMPUTED_VALUE"""),"  MQL-to-SQL Conversion Rate")</f>
        <v>  MQL-to-SQL Conversion Rate</v>
      </c>
      <c r="B22" s="1"/>
      <c r="C22" s="1"/>
      <c r="D22" s="109">
        <f>IFERROR(__xludf.DUMMYFUNCTION("""COMPUTED_VALUE"""),0.22896352473817264)</f>
        <v>0.2289635247</v>
      </c>
      <c r="E22" s="109">
        <f>IFERROR(__xludf.DUMMYFUNCTION("""COMPUTED_VALUE"""),0.2175862068965517)</f>
        <v>0.2175862069</v>
      </c>
      <c r="F22" s="109">
        <f>IFERROR(__xludf.DUMMYFUNCTION("""COMPUTED_VALUE"""),0.25473894246757567)</f>
        <v>0.2547389425</v>
      </c>
      <c r="G22" s="109">
        <f>IFERROR(__xludf.DUMMYFUNCTION("""COMPUTED_VALUE"""),0.2314732801889578)</f>
        <v>0.2314732802</v>
      </c>
      <c r="H22" s="109">
        <f>IFERROR(__xludf.DUMMYFUNCTION("""COMPUTED_VALUE"""),0.3055796472969066)</f>
        <v>0.3055796473</v>
      </c>
      <c r="I22" s="109">
        <f>IFERROR(__xludf.DUMMYFUNCTION("""COMPUTED_VALUE"""),0.2174670315999005)</f>
        <v>0.2174670316</v>
      </c>
      <c r="J22" s="109">
        <f>IFERROR(__xludf.DUMMYFUNCTION("""COMPUTED_VALUE"""),0.20530673692133986)</f>
        <v>0.2053067369</v>
      </c>
      <c r="K22" s="109">
        <f>IFERROR(__xludf.DUMMYFUNCTION("""COMPUTED_VALUE"""),0.22730422730422734)</f>
        <v>0.2273042273</v>
      </c>
      <c r="L22" s="109">
        <f>IFERROR(__xludf.DUMMYFUNCTION("""COMPUTED_VALUE"""),0.21764534034472688)</f>
        <v>0.2176453403</v>
      </c>
      <c r="M22" s="109">
        <f>IFERROR(__xludf.DUMMYFUNCTION("""COMPUTED_VALUE"""),0.19179566563467493)</f>
        <v>0.1917956656</v>
      </c>
      <c r="N22" s="109">
        <f>IFERROR(__xludf.DUMMYFUNCTION("""COMPUTED_VALUE"""),0.18146577831617203)</f>
        <v>0.1814657783</v>
      </c>
      <c r="O22" s="109">
        <f>IFERROR(__xludf.DUMMYFUNCTION("""COMPUTED_VALUE"""),0.2721174534869004)</f>
        <v>0.2721174535</v>
      </c>
      <c r="P22" s="109">
        <f>IFERROR(__xludf.DUMMYFUNCTION("""COMPUTED_VALUE"""),0.26283387005114606)</f>
        <v>0.2628338701</v>
      </c>
      <c r="Q22" s="109">
        <f>IFERROR(__xludf.DUMMYFUNCTION("""COMPUTED_VALUE"""),0.23887618425351195)</f>
        <v>0.2388761843</v>
      </c>
      <c r="R22" s="109">
        <f>IFERROR(__xludf.DUMMYFUNCTION("""COMPUTED_VALUE"""),0.23603454612274896)</f>
        <v>0.2360345461</v>
      </c>
      <c r="S22" s="109">
        <f>IFERROR(__xludf.DUMMYFUNCTION("""COMPUTED_VALUE"""),0.1773302801724138)</f>
        <v>0.1773302802</v>
      </c>
      <c r="T22" s="109">
        <f>IFERROR(__xludf.DUMMYFUNCTION("""COMPUTED_VALUE"""),0.27000990366435584)</f>
        <v>0.2700099037</v>
      </c>
      <c r="U22" s="109">
        <f>IFERROR(__xludf.DUMMYFUNCTION("""COMPUTED_VALUE"""),0.18620209059233447)</f>
        <v>0.1862020906</v>
      </c>
      <c r="V22" s="109">
        <f>IFERROR(__xludf.DUMMYFUNCTION("""COMPUTED_VALUE"""),0.17783362962054805)</f>
        <v>0.1778336296</v>
      </c>
      <c r="W22" s="109">
        <f>IFERROR(__xludf.DUMMYFUNCTION("""COMPUTED_VALUE"""),0.18487748448837946)</f>
        <v>0.1848774845</v>
      </c>
      <c r="X22" s="109">
        <f>IFERROR(__xludf.DUMMYFUNCTION("""COMPUTED_VALUE"""),0.16045054453229898)</f>
        <v>0.1604505445</v>
      </c>
      <c r="Y22" s="109">
        <f>IFERROR(__xludf.DUMMYFUNCTION("""COMPUTED_VALUE"""),0.17312243075233724)</f>
        <v>0.1731224308</v>
      </c>
      <c r="Z22" s="109">
        <f>IFERROR(__xludf.DUMMYFUNCTION("""COMPUTED_VALUE"""),0.1714193756471162)</f>
        <v>0.1714193756</v>
      </c>
      <c r="AA22" s="109">
        <f>IFERROR(__xludf.DUMMYFUNCTION("""COMPUTED_VALUE"""),0.16823090567693244)</f>
        <v>0.1682309057</v>
      </c>
      <c r="AB22" s="109">
        <f>IFERROR(__xludf.DUMMYFUNCTION("""COMPUTED_VALUE"""),0.17097118330912342)</f>
        <v>0.1709711833</v>
      </c>
      <c r="AC22" s="109">
        <f>IFERROR(__xludf.DUMMYFUNCTION("""COMPUTED_VALUE"""),0.17022347609177263)</f>
        <v>0.1702234761</v>
      </c>
      <c r="AD22" s="109">
        <f>IFERROR(__xludf.DUMMYFUNCTION("""COMPUTED_VALUE"""),0.16973163380352563)</f>
        <v>0.1697316338</v>
      </c>
      <c r="AE22" s="109">
        <f>IFERROR(__xludf.DUMMYFUNCTION("""COMPUTED_VALUE"""),0.17014284440221455)</f>
        <v>0.1701428444</v>
      </c>
      <c r="AF22" s="109">
        <f>IFERROR(__xludf.DUMMYFUNCTION("""COMPUTED_VALUE"""),0.16992461011641402)</f>
        <v>0.1699246101</v>
      </c>
      <c r="AG22" s="109">
        <f>IFERROR(__xludf.DUMMYFUNCTION("""COMPUTED_VALUE"""),0.1700532147984861)</f>
        <v>0.1700532148</v>
      </c>
      <c r="AH22" s="109">
        <f>IFERROR(__xludf.DUMMYFUNCTION("""COMPUTED_VALUE"""),0.17032705910054177)</f>
        <v>0.1703270591</v>
      </c>
      <c r="AI22" s="109">
        <f>IFERROR(__xludf.DUMMYFUNCTION("""COMPUTED_VALUE"""),0.17046751507838018)</f>
        <v>0.1704675151</v>
      </c>
      <c r="AJ22" s="109">
        <f>IFERROR(__xludf.DUMMYFUNCTION("""COMPUTED_VALUE"""),0.17063150717581305)</f>
        <v>0.1706315072</v>
      </c>
      <c r="AK22" s="109">
        <f>IFERROR(__xludf.DUMMYFUNCTION("""COMPUTED_VALUE"""),0.17080728553145477)</f>
        <v>0.1708072855</v>
      </c>
      <c r="AL22" s="109">
        <f>IFERROR(__xludf.DUMMYFUNCTION("""COMPUTED_VALUE"""),0.17095099590221688)</f>
        <v>0.1709509959</v>
      </c>
      <c r="AM22" s="109">
        <f>IFERROR(__xludf.DUMMYFUNCTION("""COMPUTED_VALUE"""),0.1710961297970243)</f>
        <v>0.1710961298</v>
      </c>
      <c r="AN22" s="109">
        <f>IFERROR(__xludf.DUMMYFUNCTION("""COMPUTED_VALUE"""),0.17123531201735492)</f>
        <v>0.171235312</v>
      </c>
      <c r="AO22" s="109">
        <f>IFERROR(__xludf.DUMMYFUNCTION("""COMPUTED_VALUE"""),0.1713629167445175)</f>
        <v>0.1713629167</v>
      </c>
      <c r="AP22" s="109">
        <f>IFERROR(__xludf.DUMMYFUNCTION("""COMPUTED_VALUE"""),0.17148566907498983)</f>
        <v>0.1714856691</v>
      </c>
      <c r="AQ22" s="109">
        <f>IFERROR(__xludf.DUMMYFUNCTION("""COMPUTED_VALUE"""),0.17160150033307)</f>
        <v>0.1716015003</v>
      </c>
      <c r="AR22" s="109">
        <f>IFERROR(__xludf.DUMMYFUNCTION("""COMPUTED_VALUE"""),0.1717101647205747)</f>
        <v>0.1717101647</v>
      </c>
      <c r="AS22" s="109">
        <f>IFERROR(__xludf.DUMMYFUNCTION("""COMPUTED_VALUE"""),0.17181310113880102)</f>
        <v>0.1718131011</v>
      </c>
      <c r="AT22" s="109">
        <f>IFERROR(__xludf.DUMMYFUNCTION("""COMPUTED_VALUE"""),0.17191002447050832)</f>
        <v>0.1719100245</v>
      </c>
      <c r="AU22" s="109">
        <f>IFERROR(__xludf.DUMMYFUNCTION("""COMPUTED_VALUE"""),0.1720012450009188)</f>
        <v>0.172001245</v>
      </c>
      <c r="AV22" s="109">
        <f>IFERROR(__xludf.DUMMYFUNCTION("""COMPUTED_VALUE"""),0.1720872327469741)</f>
        <v>0.1720872327</v>
      </c>
      <c r="AW22" s="109">
        <f>IFERROR(__xludf.DUMMYFUNCTION("""COMPUTED_VALUE"""),0.17216814279997916)</f>
        <v>0.1721681428</v>
      </c>
      <c r="AX22" s="109">
        <f>IFERROR(__xludf.DUMMYFUNCTION("""COMPUTED_VALUE"""),0.17224427327456898)</f>
        <v>0.1722442733</v>
      </c>
      <c r="AY22" s="109">
        <f>IFERROR(__xludf.DUMMYFUNCTION("""COMPUTED_VALUE"""),0.17231591231716334)</f>
        <v>0.1723159123</v>
      </c>
      <c r="AZ22" s="109">
        <f>IFERROR(__xludf.DUMMYFUNCTION("""COMPUTED_VALUE"""),0.17233489013340333)</f>
        <v>0.1723348901</v>
      </c>
      <c r="BA22" s="109">
        <f>IFERROR(__xludf.DUMMYFUNCTION("""COMPUTED_VALUE"""),0.17239538014443626)</f>
        <v>0.1723953801</v>
      </c>
      <c r="BB22" s="109">
        <f>IFERROR(__xludf.DUMMYFUNCTION("""COMPUTED_VALUE"""),0.17244990210786953)</f>
        <v>0.1724499021</v>
      </c>
      <c r="BC22" s="109">
        <f>IFERROR(__xludf.DUMMYFUNCTION("""COMPUTED_VALUE"""),0.17249821400471554)</f>
        <v>0.172498214</v>
      </c>
      <c r="BD22" s="109">
        <f>IFERROR(__xludf.DUMMYFUNCTION("""COMPUTED_VALUE"""),0.17254016351371682)</f>
        <v>0.1725401635</v>
      </c>
      <c r="BE22" s="109">
        <f>IFERROR(__xludf.DUMMYFUNCTION("""COMPUTED_VALUE"""),0.17258645273619014)</f>
        <v>0.1725864527</v>
      </c>
      <c r="BF22" s="109">
        <f>IFERROR(__xludf.DUMMYFUNCTION("""COMPUTED_VALUE"""),0.17262962342200586)</f>
        <v>0.1726296234</v>
      </c>
      <c r="BG22" s="109">
        <f>IFERROR(__xludf.DUMMYFUNCTION("""COMPUTED_VALUE"""),0.17267025613474843)</f>
        <v>0.1726702561</v>
      </c>
      <c r="BH22" s="109">
        <f>IFERROR(__xludf.DUMMYFUNCTION("""COMPUTED_VALUE"""),0.17270909276168367)</f>
        <v>0.1727090928</v>
      </c>
      <c r="BI22" s="109">
        <f>IFERROR(__xludf.DUMMYFUNCTION("""COMPUTED_VALUE"""),0.17274703806004257)</f>
        <v>0.1727470381</v>
      </c>
      <c r="BJ22" s="109">
        <f>IFERROR(__xludf.DUMMYFUNCTION("""COMPUTED_VALUE"""),0.17278308200353332)</f>
        <v>0.172783082</v>
      </c>
      <c r="BK22" s="109">
        <f>IFERROR(__xludf.DUMMYFUNCTION("""COMPUTED_VALUE"""),0.1728174768559777)</f>
        <v>0.1728174769</v>
      </c>
      <c r="BL22" s="109">
        <f>IFERROR(__xludf.DUMMYFUNCTION("""COMPUTED_VALUE"""),0.17285040839907734)</f>
        <v>0.1728504084</v>
      </c>
      <c r="BM22" s="109">
        <f>IFERROR(__xludf.DUMMYFUNCTION("""COMPUTED_VALUE"""),0.17288195282921856)</f>
        <v>0.1728819528</v>
      </c>
      <c r="BN22" s="109">
        <f>IFERROR(__xludf.DUMMYFUNCTION("""COMPUTED_VALUE"""),0.1729120271886147)</f>
        <v>0.1729120272</v>
      </c>
      <c r="BO22" s="109">
        <f>IFERROR(__xludf.DUMMYFUNCTION("""COMPUTED_VALUE"""),0.17294072677521025)</f>
        <v>0.1729407268</v>
      </c>
      <c r="BP22" s="109">
        <f>IFERROR(__xludf.DUMMYFUNCTION("""COMPUTED_VALUE"""),0.17296811583691107)</f>
        <v>0.1729681158</v>
      </c>
      <c r="BQ22" s="109">
        <f>IFERROR(__xludf.DUMMYFUNCTION("""COMPUTED_VALUE"""),0.17299423486536336)</f>
        <v>0.1729942349</v>
      </c>
      <c r="BR22" s="109">
        <f>IFERROR(__xludf.DUMMYFUNCTION("""COMPUTED_VALUE"""),0.17301911726628016)</f>
        <v>0.1730191173</v>
      </c>
      <c r="BS22" s="109">
        <f>IFERROR(__xludf.DUMMYFUNCTION("""COMPUTED_VALUE"""),0.17304281809659355)</f>
        <v>0.1730428181</v>
      </c>
      <c r="BT22" s="109">
        <f>IFERROR(__xludf.DUMMYFUNCTION("""COMPUTED_VALUE"""),0.1730653842570123)</f>
        <v>0.1730653843</v>
      </c>
      <c r="BU22" s="109">
        <f>IFERROR(__xludf.DUMMYFUNCTION("""COMPUTED_VALUE"""),0.17308685892434345)</f>
        <v>0.1730868589</v>
      </c>
      <c r="BV22" s="109">
        <f>IFERROR(__xludf.DUMMYFUNCTION("""COMPUTED_VALUE"""),0.1731072853531442)</f>
        <v>0.1731072854</v>
      </c>
      <c r="BW22" s="109">
        <f>IFERROR(__xludf.DUMMYFUNCTION("""COMPUTED_VALUE"""),0.17312670820436096)</f>
        <v>0.1731267082</v>
      </c>
      <c r="BX22" s="109"/>
      <c r="BY22" s="109"/>
      <c r="BZ22" s="109"/>
      <c r="CA22" s="109"/>
      <c r="CB22" s="109"/>
      <c r="CC22" s="109"/>
      <c r="CD22" s="109"/>
      <c r="CE22" s="109"/>
      <c r="CF22" s="109"/>
      <c r="CG22" s="109"/>
    </row>
    <row r="23" ht="15.75" customHeight="1">
      <c r="A23" s="1" t="str">
        <f>IFERROR(__xludf.DUMMYFUNCTION("""COMPUTED_VALUE"""),"Opportunities")</f>
        <v>Opportunities</v>
      </c>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row>
    <row r="24" ht="15.75" customHeight="1">
      <c r="A24" s="1" t="str">
        <f>IFERROR(__xludf.DUMMYFUNCTION("""COMPUTED_VALUE"""),"  Organic")</f>
        <v>  Organic</v>
      </c>
      <c r="B24" s="1"/>
      <c r="C24" s="1"/>
      <c r="D24" s="90">
        <f>IFERROR(__xludf.DUMMYFUNCTION("""COMPUTED_VALUE"""),15.0)</f>
        <v>15</v>
      </c>
      <c r="E24" s="90">
        <f>IFERROR(__xludf.DUMMYFUNCTION("""COMPUTED_VALUE"""),30.0)</f>
        <v>30</v>
      </c>
      <c r="F24" s="90">
        <f>IFERROR(__xludf.DUMMYFUNCTION("""COMPUTED_VALUE"""),33.0)</f>
        <v>33</v>
      </c>
      <c r="G24" s="90">
        <f>IFERROR(__xludf.DUMMYFUNCTION("""COMPUTED_VALUE"""),38.0)</f>
        <v>38</v>
      </c>
      <c r="H24" s="90">
        <f>IFERROR(__xludf.DUMMYFUNCTION("""COMPUTED_VALUE"""),30.0)</f>
        <v>30</v>
      </c>
      <c r="I24" s="90">
        <f>IFERROR(__xludf.DUMMYFUNCTION("""COMPUTED_VALUE"""),31.0)</f>
        <v>31</v>
      </c>
      <c r="J24" s="90">
        <f>IFERROR(__xludf.DUMMYFUNCTION("""COMPUTED_VALUE"""),47.0)</f>
        <v>47</v>
      </c>
      <c r="K24" s="90">
        <f>IFERROR(__xludf.DUMMYFUNCTION("""COMPUTED_VALUE"""),38.0)</f>
        <v>38</v>
      </c>
      <c r="L24" s="90">
        <f>IFERROR(__xludf.DUMMYFUNCTION("""COMPUTED_VALUE"""),46.0)</f>
        <v>46</v>
      </c>
      <c r="M24" s="90">
        <f>IFERROR(__xludf.DUMMYFUNCTION("""COMPUTED_VALUE"""),58.0)</f>
        <v>58</v>
      </c>
      <c r="N24" s="90">
        <f>IFERROR(__xludf.DUMMYFUNCTION("""COMPUTED_VALUE"""),73.0)</f>
        <v>73</v>
      </c>
      <c r="O24" s="90">
        <f>IFERROR(__xludf.DUMMYFUNCTION("""COMPUTED_VALUE"""),109.0)</f>
        <v>109</v>
      </c>
      <c r="P24" s="90">
        <f>IFERROR(__xludf.DUMMYFUNCTION("""COMPUTED_VALUE"""),150.0)</f>
        <v>150</v>
      </c>
      <c r="Q24" s="90">
        <f>IFERROR(__xludf.DUMMYFUNCTION("""COMPUTED_VALUE"""),153.0)</f>
        <v>153</v>
      </c>
      <c r="R24" s="90">
        <f>IFERROR(__xludf.DUMMYFUNCTION("""COMPUTED_VALUE"""),108.0)</f>
        <v>108</v>
      </c>
      <c r="S24" s="90">
        <f>IFERROR(__xludf.DUMMYFUNCTION("""COMPUTED_VALUE"""),127.0)</f>
        <v>127</v>
      </c>
      <c r="T24" s="90">
        <f>IFERROR(__xludf.DUMMYFUNCTION("""COMPUTED_VALUE"""),96.0)</f>
        <v>96</v>
      </c>
      <c r="U24" s="90">
        <f>IFERROR(__xludf.DUMMYFUNCTION("""COMPUTED_VALUE"""),114.0)</f>
        <v>114</v>
      </c>
      <c r="V24" s="90">
        <f>IFERROR(__xludf.DUMMYFUNCTION("""COMPUTED_VALUE"""),124.0)</f>
        <v>124</v>
      </c>
      <c r="W24" s="90">
        <f>IFERROR(__xludf.DUMMYFUNCTION("""COMPUTED_VALUE"""),80.0)</f>
        <v>80</v>
      </c>
      <c r="X24" s="90">
        <f>IFERROR(__xludf.DUMMYFUNCTION("""COMPUTED_VALUE"""),103.0)</f>
        <v>103</v>
      </c>
      <c r="Y24" s="90">
        <f>IFERROR(__xludf.DUMMYFUNCTION("""COMPUTED_VALUE"""),108.40376801767653)</f>
        <v>108.403768</v>
      </c>
      <c r="Z24" s="90">
        <f>IFERROR(__xludf.DUMMYFUNCTION("""COMPUTED_VALUE"""),102.87389164503671)</f>
        <v>102.8738916</v>
      </c>
      <c r="AA24" s="90">
        <f>IFERROR(__xludf.DUMMYFUNCTION("""COMPUTED_VALUE"""),108.53331638088065)</f>
        <v>108.5333164</v>
      </c>
      <c r="AB24" s="90">
        <f>IFERROR(__xludf.DUMMYFUNCTION("""COMPUTED_VALUE"""),110.44420364549295)</f>
        <v>110.4442036</v>
      </c>
      <c r="AC24" s="90">
        <f>IFERROR(__xludf.DUMMYFUNCTION("""COMPUTED_VALUE"""),111.14885203121113)</f>
        <v>111.148852</v>
      </c>
      <c r="AD24" s="90">
        <f>IFERROR(__xludf.DUMMYFUNCTION("""COMPUTED_VALUE"""),114.00654447615229)</f>
        <v>114.0065445</v>
      </c>
      <c r="AE24" s="90">
        <f>IFERROR(__xludf.DUMMYFUNCTION("""COMPUTED_VALUE"""),115.89668072422779)</f>
        <v>115.8966807</v>
      </c>
      <c r="AF24" s="90">
        <f>IFERROR(__xludf.DUMMYFUNCTION("""COMPUTED_VALUE"""),104.37753111942975)</f>
        <v>104.3775311</v>
      </c>
      <c r="AG24" s="90">
        <f>IFERROR(__xludf.DUMMYFUNCTION("""COMPUTED_VALUE"""),102.80913681917856)</f>
        <v>102.8091368</v>
      </c>
      <c r="AH24" s="90">
        <f>IFERROR(__xludf.DUMMYFUNCTION("""COMPUTED_VALUE"""),99.36533757539394)</f>
        <v>99.36533758</v>
      </c>
      <c r="AI24" s="90">
        <f>IFERROR(__xludf.DUMMYFUNCTION("""COMPUTED_VALUE"""),94.28106907515378)</f>
        <v>94.28106908</v>
      </c>
      <c r="AJ24" s="90">
        <f>IFERROR(__xludf.DUMMYFUNCTION("""COMPUTED_VALUE"""),91.1758692451446)</f>
        <v>91.17586925</v>
      </c>
      <c r="AK24" s="90">
        <f>IFERROR(__xludf.DUMMYFUNCTION("""COMPUTED_VALUE"""),87.59801986236786)</f>
        <v>87.59801986</v>
      </c>
      <c r="AL24" s="90">
        <f>IFERROR(__xludf.DUMMYFUNCTION("""COMPUTED_VALUE"""),83.97894292215712)</f>
        <v>83.97894292</v>
      </c>
      <c r="AM24" s="90">
        <f>IFERROR(__xludf.DUMMYFUNCTION("""COMPUTED_VALUE"""),80.81049042476423)</f>
        <v>80.81049042</v>
      </c>
      <c r="AN24" s="90">
        <f>IFERROR(__xludf.DUMMYFUNCTION("""COMPUTED_VALUE"""),77.62258436322722)</f>
        <v>77.62258436</v>
      </c>
      <c r="AO24" s="90">
        <f>IFERROR(__xludf.DUMMYFUNCTION("""COMPUTED_VALUE"""),74.55460664188669)</f>
        <v>74.55460664</v>
      </c>
      <c r="AP24" s="90">
        <f>IFERROR(__xludf.DUMMYFUNCTION("""COMPUTED_VALUE"""),71.6561212826478)</f>
        <v>71.65612128</v>
      </c>
      <c r="AQ24" s="90">
        <f>IFERROR(__xludf.DUMMYFUNCTION("""COMPUTED_VALUE"""),68.84066519721074)</f>
        <v>68.8406652</v>
      </c>
      <c r="AR24" s="90">
        <f>IFERROR(__xludf.DUMMYFUNCTION("""COMPUTED_VALUE"""),66.13975731662016)</f>
        <v>66.13975732</v>
      </c>
      <c r="AS24" s="90">
        <f>IFERROR(__xludf.DUMMYFUNCTION("""COMPUTED_VALUE"""),63.551742962702534)</f>
        <v>63.55174296</v>
      </c>
      <c r="AT24" s="90">
        <f>IFERROR(__xludf.DUMMYFUNCTION("""COMPUTED_VALUE"""),61.05921497903213)</f>
        <v>61.05921498</v>
      </c>
      <c r="AU24" s="90">
        <f>IFERROR(__xludf.DUMMYFUNCTION("""COMPUTED_VALUE"""),58.66600458624788)</f>
        <v>58.66600459</v>
      </c>
      <c r="AV24" s="90">
        <f>IFERROR(__xludf.DUMMYFUNCTION("""COMPUTED_VALUE"""),56.367427559353615)</f>
        <v>56.36742756</v>
      </c>
      <c r="AW24" s="90">
        <f>IFERROR(__xludf.DUMMYFUNCTION("""COMPUTED_VALUE"""),54.157867926347436)</f>
        <v>54.15786793</v>
      </c>
      <c r="AX24" s="90">
        <f>IFERROR(__xludf.DUMMYFUNCTION("""COMPUTED_VALUE"""),52.03533613245232)</f>
        <v>52.03533613</v>
      </c>
      <c r="AY24" s="90">
        <f>IFERROR(__xludf.DUMMYFUNCTION("""COMPUTED_VALUE"""),49.99605242442848)</f>
        <v>49.99605242</v>
      </c>
      <c r="AZ24" s="90">
        <f>IFERROR(__xludf.DUMMYFUNCTION("""COMPUTED_VALUE"""),48.03651522227453)</f>
        <v>48.03651522</v>
      </c>
      <c r="BA24" s="90">
        <f>IFERROR(__xludf.DUMMYFUNCTION("""COMPUTED_VALUE"""),46.153873234144655)</f>
        <v>46.15387323</v>
      </c>
      <c r="BB24" s="90">
        <f>IFERROR(__xludf.DUMMYFUNCTION("""COMPUTED_VALUE"""),44.34501013814717)</f>
        <v>44.34501014</v>
      </c>
      <c r="BC24" s="90">
        <f>IFERROR(__xludf.DUMMYFUNCTION("""COMPUTED_VALUE"""),42.6070136528651)</f>
        <v>42.60701365</v>
      </c>
      <c r="BD24" s="90">
        <f>IFERROR(__xludf.DUMMYFUNCTION("""COMPUTED_VALUE"""),40.937152737583105)</f>
        <v>40.93715274</v>
      </c>
      <c r="BE24" s="90">
        <f>IFERROR(__xludf.DUMMYFUNCTION("""COMPUTED_VALUE"""),39.33273333521313)</f>
        <v>39.33273334</v>
      </c>
      <c r="BF24" s="90">
        <f>IFERROR(__xludf.DUMMYFUNCTION("""COMPUTED_VALUE"""),37.791191257584714)</f>
        <v>37.79119126</v>
      </c>
      <c r="BG24" s="90">
        <f>IFERROR(__xludf.DUMMYFUNCTION("""COMPUTED_VALUE"""),36.310069373740546)</f>
        <v>36.31006937</v>
      </c>
      <c r="BH24" s="90">
        <f>IFERROR(__xludf.DUMMYFUNCTION("""COMPUTED_VALUE"""),34.886994794562796)</f>
        <v>34.88699479</v>
      </c>
      <c r="BI24" s="90">
        <f>IFERROR(__xludf.DUMMYFUNCTION("""COMPUTED_VALUE"""),33.51969340719027)</f>
        <v>33.51969341</v>
      </c>
      <c r="BJ24" s="90">
        <f>IFERROR(__xludf.DUMMYFUNCTION("""COMPUTED_VALUE"""),32.20598031236918)</f>
        <v>32.20598031</v>
      </c>
      <c r="BK24" s="90">
        <f>IFERROR(__xludf.DUMMYFUNCTION("""COMPUTED_VALUE"""),30.943754336594047)</f>
        <v>30.94375434</v>
      </c>
      <c r="BL24" s="90">
        <f>IFERROR(__xludf.DUMMYFUNCTION("""COMPUTED_VALUE"""),29.730997873382087)</f>
        <v>29.73099787</v>
      </c>
      <c r="BM24" s="90">
        <f>IFERROR(__xludf.DUMMYFUNCTION("""COMPUTED_VALUE"""),28.565772205623805)</f>
        <v>28.56577221</v>
      </c>
      <c r="BN24" s="90">
        <f>IFERROR(__xludf.DUMMYFUNCTION("""COMPUTED_VALUE"""),27.446214330331024)</f>
        <v>27.44621433</v>
      </c>
      <c r="BO24" s="90">
        <f>IFERROR(__xludf.DUMMYFUNCTION("""COMPUTED_VALUE"""),26.370534494634978)</f>
        <v>26.37053449</v>
      </c>
      <c r="BP24" s="90">
        <f>IFERROR(__xludf.DUMMYFUNCTION("""COMPUTED_VALUE"""),25.33701302278896)</f>
        <v>25.33701302</v>
      </c>
      <c r="BQ24" s="90">
        <f>IFERROR(__xludf.DUMMYFUNCTION("""COMPUTED_VALUE"""),24.343997605931776)</f>
        <v>24.34399761</v>
      </c>
      <c r="BR24" s="90">
        <f>IFERROR(__xludf.DUMMYFUNCTION("""COMPUTED_VALUE"""),23.389900734868174)</f>
        <v>23.38990073</v>
      </c>
      <c r="BS24" s="90">
        <f>IFERROR(__xludf.DUMMYFUNCTION("""COMPUTED_VALUE"""),22.473197101104237)</f>
        <v>22.4731971</v>
      </c>
      <c r="BT24" s="90">
        <f>IFERROR(__xludf.DUMMYFUNCTION("""COMPUTED_VALUE"""),21.592421174428555)</f>
        <v>21.59242117</v>
      </c>
      <c r="BU24" s="90">
        <f>IFERROR(__xludf.DUMMYFUNCTION("""COMPUTED_VALUE"""),20.746164869012635)</f>
        <v>20.74616487</v>
      </c>
      <c r="BV24" s="90">
        <f>IFERROR(__xludf.DUMMYFUNCTION("""COMPUTED_VALUE"""),19.93307528126958)</f>
        <v>19.93307528</v>
      </c>
      <c r="BW24" s="90">
        <f>IFERROR(__xludf.DUMMYFUNCTION("""COMPUTED_VALUE"""),19.15185253130392)</f>
        <v>19.15185253</v>
      </c>
      <c r="BX24" s="106"/>
      <c r="BY24" s="106"/>
      <c r="BZ24" s="106"/>
      <c r="CA24" s="106"/>
      <c r="CB24" s="106"/>
      <c r="CC24" s="106"/>
      <c r="CD24" s="106"/>
      <c r="CE24" s="106"/>
      <c r="CF24" s="106"/>
      <c r="CG24" s="106"/>
    </row>
    <row r="25" ht="15.75" customHeight="1">
      <c r="A25" s="128" t="str">
        <f>IFERROR(__xludf.DUMMYFUNCTION("""COMPUTED_VALUE"""),"  Adwords")</f>
        <v>  Adwords</v>
      </c>
      <c r="B25" s="128"/>
      <c r="C25" s="128"/>
      <c r="D25" s="129">
        <f>IFERROR(__xludf.DUMMYFUNCTION("""COMPUTED_VALUE"""),11.4)</f>
        <v>11.4</v>
      </c>
      <c r="E25" s="129">
        <f>IFERROR(__xludf.DUMMYFUNCTION("""COMPUTED_VALUE"""),27.599999999999998)</f>
        <v>27.6</v>
      </c>
      <c r="F25" s="129">
        <f>IFERROR(__xludf.DUMMYFUNCTION("""COMPUTED_VALUE"""),24.599999999999998)</f>
        <v>24.6</v>
      </c>
      <c r="G25" s="129">
        <f>IFERROR(__xludf.DUMMYFUNCTION("""COMPUTED_VALUE"""),30.9)</f>
        <v>30.9</v>
      </c>
      <c r="H25" s="129">
        <f>IFERROR(__xludf.DUMMYFUNCTION("""COMPUTED_VALUE"""),24.3)</f>
        <v>24.3</v>
      </c>
      <c r="I25" s="129">
        <f>IFERROR(__xludf.DUMMYFUNCTION("""COMPUTED_VALUE"""),27.0)</f>
        <v>27</v>
      </c>
      <c r="J25" s="129">
        <f>IFERROR(__xludf.DUMMYFUNCTION("""COMPUTED_VALUE"""),36.3)</f>
        <v>36.3</v>
      </c>
      <c r="K25" s="129">
        <f>IFERROR(__xludf.DUMMYFUNCTION("""COMPUTED_VALUE"""),32.699999999999996)</f>
        <v>32.7</v>
      </c>
      <c r="L25" s="129">
        <f>IFERROR(__xludf.DUMMYFUNCTION("""COMPUTED_VALUE"""),44.1)</f>
        <v>44.1</v>
      </c>
      <c r="M25" s="129">
        <f>IFERROR(__xludf.DUMMYFUNCTION("""COMPUTED_VALUE"""),50.1)</f>
        <v>50.1</v>
      </c>
      <c r="N25" s="129">
        <f>IFERROR(__xludf.DUMMYFUNCTION("""COMPUTED_VALUE"""),59.699999999999996)</f>
        <v>59.7</v>
      </c>
      <c r="O25" s="129">
        <f>IFERROR(__xludf.DUMMYFUNCTION("""COMPUTED_VALUE"""),78.89999999999999)</f>
        <v>78.9</v>
      </c>
      <c r="P25" s="129">
        <f>IFERROR(__xludf.DUMMYFUNCTION("""COMPUTED_VALUE"""),124.5)</f>
        <v>124.5</v>
      </c>
      <c r="Q25" s="129">
        <f>IFERROR(__xludf.DUMMYFUNCTION("""COMPUTED_VALUE"""),142.79999999999998)</f>
        <v>142.8</v>
      </c>
      <c r="R25" s="129">
        <f>IFERROR(__xludf.DUMMYFUNCTION("""COMPUTED_VALUE"""),83.39999999999999)</f>
        <v>83.4</v>
      </c>
      <c r="S25" s="129">
        <f>IFERROR(__xludf.DUMMYFUNCTION("""COMPUTED_VALUE"""),106.2)</f>
        <v>106.2</v>
      </c>
      <c r="T25" s="129">
        <f>IFERROR(__xludf.DUMMYFUNCTION("""COMPUTED_VALUE"""),96.3)</f>
        <v>96.3</v>
      </c>
      <c r="U25" s="129">
        <f>IFERROR(__xludf.DUMMYFUNCTION("""COMPUTED_VALUE"""),88.2)</f>
        <v>88.2</v>
      </c>
      <c r="V25" s="129">
        <f>IFERROR(__xludf.DUMMYFUNCTION("""COMPUTED_VALUE"""),96.6)</f>
        <v>96.6</v>
      </c>
      <c r="W25" s="129">
        <f>IFERROR(__xludf.DUMMYFUNCTION("""COMPUTED_VALUE"""),70.5)</f>
        <v>70.5</v>
      </c>
      <c r="X25" s="129">
        <f>IFERROR(__xludf.DUMMYFUNCTION("""COMPUTED_VALUE"""),89.39999999999999)</f>
        <v>89.4</v>
      </c>
      <c r="Y25" s="129">
        <f>IFERROR(__xludf.DUMMYFUNCTION("""COMPUTED_VALUE"""),77.01929776401491)</f>
        <v>77.01929776</v>
      </c>
      <c r="Z25" s="129">
        <f>IFERROR(__xludf.DUMMYFUNCTION("""COMPUTED_VALUE"""),78.46894531471862)</f>
        <v>78.46894531</v>
      </c>
      <c r="AA25" s="129">
        <f>IFERROR(__xludf.DUMMYFUNCTION("""COMPUTED_VALUE"""),88.17995498300284)</f>
        <v>88.17995498</v>
      </c>
      <c r="AB25" s="129">
        <f>IFERROR(__xludf.DUMMYFUNCTION("""COMPUTED_VALUE"""),89.13923163136049)</f>
        <v>89.13923163</v>
      </c>
      <c r="AC25" s="129">
        <f>IFERROR(__xludf.DUMMYFUNCTION("""COMPUTED_VALUE"""),91.75496570438725)</f>
        <v>91.7549657</v>
      </c>
      <c r="AD25" s="129">
        <f>IFERROR(__xludf.DUMMYFUNCTION("""COMPUTED_VALUE"""),87.48150116562873)</f>
        <v>87.48150117</v>
      </c>
      <c r="AE25" s="129">
        <f>IFERROR(__xludf.DUMMYFUNCTION("""COMPUTED_VALUE"""),83.08382370497918)</f>
        <v>83.0838237</v>
      </c>
      <c r="AF25" s="129">
        <f>IFERROR(__xludf.DUMMYFUNCTION("""COMPUTED_VALUE"""),74.38235677376106)</f>
        <v>74.38235677</v>
      </c>
      <c r="AG25" s="129">
        <f>IFERROR(__xludf.DUMMYFUNCTION("""COMPUTED_VALUE"""),81.94173437568223)</f>
        <v>81.94173438</v>
      </c>
      <c r="AH25" s="129">
        <f>IFERROR(__xludf.DUMMYFUNCTION("""COMPUTED_VALUE"""),89.31853585162166)</f>
        <v>89.31853585</v>
      </c>
      <c r="AI25" s="129">
        <f>IFERROR(__xludf.DUMMYFUNCTION("""COMPUTED_VALUE"""),96.76830760648014)</f>
        <v>96.76830761</v>
      </c>
      <c r="AJ25" s="129">
        <f>IFERROR(__xludf.DUMMYFUNCTION("""COMPUTED_VALUE"""),104.23333582424935)</f>
        <v>104.2333358</v>
      </c>
      <c r="AK25" s="129">
        <f>IFERROR(__xludf.DUMMYFUNCTION("""COMPUTED_VALUE"""),111.66160741628893)</f>
        <v>111.6616074</v>
      </c>
      <c r="AL25" s="129">
        <f>IFERROR(__xludf.DUMMYFUNCTION("""COMPUTED_VALUE"""),119.10980984648322)</f>
        <v>119.1098098</v>
      </c>
      <c r="AM25" s="129">
        <f>IFERROR(__xludf.DUMMYFUNCTION("""COMPUTED_VALUE"""),126.55735116620812)</f>
        <v>126.5573512</v>
      </c>
      <c r="AN25" s="129">
        <f>IFERROR(__xludf.DUMMYFUNCTION("""COMPUTED_VALUE"""),133.99828816086765)</f>
        <v>133.9982882</v>
      </c>
      <c r="AO25" s="129">
        <f>IFERROR(__xludf.DUMMYFUNCTION("""COMPUTED_VALUE"""),141.44399086858076)</f>
        <v>141.4439909</v>
      </c>
      <c r="AP25" s="129">
        <f>IFERROR(__xludf.DUMMYFUNCTION("""COMPUTED_VALUE"""),148.88875192431723)</f>
        <v>148.8887519</v>
      </c>
      <c r="AQ25" s="129">
        <f>IFERROR(__xludf.DUMMYFUNCTION("""COMPUTED_VALUE"""),156.33248508822942)</f>
        <v>156.3324851</v>
      </c>
      <c r="AR25" s="129">
        <f>IFERROR(__xludf.DUMMYFUNCTION("""COMPUTED_VALUE"""),163.77725022308002)</f>
        <v>163.7772502</v>
      </c>
      <c r="AS25" s="129">
        <f>IFERROR(__xludf.DUMMYFUNCTION("""COMPUTED_VALUE"""),171.22166994316532)</f>
        <v>171.2216699</v>
      </c>
      <c r="AT25" s="129">
        <f>IFERROR(__xludf.DUMMYFUNCTION("""COMPUTED_VALUE"""),178.66596554708178)</f>
        <v>178.6659655</v>
      </c>
      <c r="AU25" s="129">
        <f>IFERROR(__xludf.DUMMYFUNCTION("""COMPUTED_VALUE"""),186.11046583816196)</f>
        <v>186.1104658</v>
      </c>
      <c r="AV25" s="129">
        <f>IFERROR(__xludf.DUMMYFUNCTION("""COMPUTED_VALUE"""),193.55486992414774)</f>
        <v>193.5548699</v>
      </c>
      <c r="AW25" s="129">
        <f>IFERROR(__xludf.DUMMYFUNCTION("""COMPUTED_VALUE"""),200.99926847138093)</f>
        <v>200.9992685</v>
      </c>
      <c r="AX25" s="129">
        <f>IFERROR(__xludf.DUMMYFUNCTION("""COMPUTED_VALUE"""),208.44370408388895)</f>
        <v>208.4437041</v>
      </c>
      <c r="AY25" s="129">
        <f>IFERROR(__xludf.DUMMYFUNCTION("""COMPUTED_VALUE"""),215.88811644324824)</f>
        <v>215.8881164</v>
      </c>
      <c r="AZ25" s="129">
        <f>IFERROR(__xludf.DUMMYFUNCTION("""COMPUTED_VALUE"""),211.71733553611375)</f>
        <v>211.7173355</v>
      </c>
      <c r="BA25" s="129">
        <f>IFERROR(__xludf.DUMMYFUNCTION("""COMPUTED_VALUE"""),217.52416449776794)</f>
        <v>217.5241645</v>
      </c>
      <c r="BB25" s="129">
        <f>IFERROR(__xludf.DUMMYFUNCTION("""COMPUTED_VALUE"""),222.58174601594243)</f>
        <v>222.581746</v>
      </c>
      <c r="BC25" s="129">
        <f>IFERROR(__xludf.DUMMYFUNCTION("""COMPUTED_VALUE"""),226.63866386335636)</f>
        <v>226.6386639</v>
      </c>
      <c r="BD25" s="129">
        <f>IFERROR(__xludf.DUMMYFUNCTION("""COMPUTED_VALUE"""),229.4466141456939)</f>
        <v>229.4466141</v>
      </c>
      <c r="BE25" s="129">
        <f>IFERROR(__xludf.DUMMYFUNCTION("""COMPUTED_VALUE"""),234.07734660357616)</f>
        <v>234.0773466</v>
      </c>
      <c r="BF25" s="129">
        <f>IFERROR(__xludf.DUMMYFUNCTION("""COMPUTED_VALUE"""),238.40089425586726)</f>
        <v>238.4008943</v>
      </c>
      <c r="BG25" s="129">
        <f>IFERROR(__xludf.DUMMYFUNCTION("""COMPUTED_VALUE"""),242.53271830826296)</f>
        <v>242.5327183</v>
      </c>
      <c r="BH25" s="129">
        <f>IFERROR(__xludf.DUMMYFUNCTION("""COMPUTED_VALUE"""),246.68410696852948)</f>
        <v>246.684107</v>
      </c>
      <c r="BI25" s="129">
        <f>IFERROR(__xludf.DUMMYFUNCTION("""COMPUTED_VALUE"""),251.18639032943963)</f>
        <v>251.1863903</v>
      </c>
      <c r="BJ25" s="90">
        <f>IFERROR(__xludf.DUMMYFUNCTION("""COMPUTED_VALUE"""),255.6551237992177)</f>
        <v>255.6551238</v>
      </c>
      <c r="BK25" s="90">
        <f>IFERROR(__xludf.DUMMYFUNCTION("""COMPUTED_VALUE"""),260.1617785183568)</f>
        <v>260.1617785</v>
      </c>
      <c r="BL25" s="90">
        <f>IFERROR(__xludf.DUMMYFUNCTION("""COMPUTED_VALUE"""),264.7663358001665)</f>
        <v>264.7663358</v>
      </c>
      <c r="BM25" s="90">
        <f>IFERROR(__xludf.DUMMYFUNCTION("""COMPUTED_VALUE"""),269.48925675970656)</f>
        <v>269.4892568</v>
      </c>
      <c r="BN25" s="90">
        <f>IFERROR(__xludf.DUMMYFUNCTION("""COMPUTED_VALUE"""),274.26980634212686)</f>
        <v>274.2698063</v>
      </c>
      <c r="BO25" s="90">
        <f>IFERROR(__xludf.DUMMYFUNCTION("""COMPUTED_VALUE"""),279.13179959096345)</f>
        <v>279.1317996</v>
      </c>
      <c r="BP25" s="90">
        <f>IFERROR(__xludf.DUMMYFUNCTION("""COMPUTED_VALUE"""),284.0866041684693)</f>
        <v>284.0866042</v>
      </c>
      <c r="BQ25" s="90">
        <f>IFERROR(__xludf.DUMMYFUNCTION("""COMPUTED_VALUE"""),289.13289029562884)</f>
        <v>289.1328903</v>
      </c>
      <c r="BR25" s="90">
        <f>IFERROR(__xludf.DUMMYFUNCTION("""COMPUTED_VALUE"""),294.263636594551)</f>
        <v>294.2636366</v>
      </c>
      <c r="BS25" s="90">
        <f>IFERROR(__xludf.DUMMYFUNCTION("""COMPUTED_VALUE"""),299.48585122997366)</f>
        <v>299.4858512</v>
      </c>
      <c r="BT25" s="90">
        <f>IFERROR(__xludf.DUMMYFUNCTION("""COMPUTED_VALUE"""),304.80215256020375)</f>
        <v>304.8021526</v>
      </c>
      <c r="BU25" s="90">
        <f>IFERROR(__xludf.DUMMYFUNCTION("""COMPUTED_VALUE"""),310.212873699556)</f>
        <v>310.2128737</v>
      </c>
      <c r="BV25" s="90">
        <f>IFERROR(__xludf.DUMMYFUNCTION("""COMPUTED_VALUE"""),315.7187820954602)</f>
        <v>315.7187821</v>
      </c>
      <c r="BW25" s="90">
        <f>IFERROR(__xludf.DUMMYFUNCTION("""COMPUTED_VALUE"""),321.32267956954865)</f>
        <v>321.3226796</v>
      </c>
      <c r="BX25" s="106"/>
      <c r="BY25" s="106"/>
      <c r="BZ25" s="106"/>
      <c r="CA25" s="106"/>
      <c r="CB25" s="106"/>
      <c r="CC25" s="106"/>
      <c r="CD25" s="106"/>
      <c r="CE25" s="106"/>
      <c r="CF25" s="106"/>
      <c r="CG25" s="106"/>
    </row>
    <row r="26" ht="15.75" customHeight="1">
      <c r="A26" s="7" t="str">
        <f>IFERROR(__xludf.DUMMYFUNCTION("""COMPUTED_VALUE"""),"Total Opportunities")</f>
        <v>Total Opportunities</v>
      </c>
      <c r="B26" s="1"/>
      <c r="C26" s="1"/>
      <c r="D26" s="130">
        <f>IFERROR(__xludf.DUMMYFUNCTION("""COMPUTED_VALUE"""),26.4)</f>
        <v>26.4</v>
      </c>
      <c r="E26" s="130">
        <f>IFERROR(__xludf.DUMMYFUNCTION("""COMPUTED_VALUE"""),57.599999999999994)</f>
        <v>57.6</v>
      </c>
      <c r="F26" s="130">
        <f>IFERROR(__xludf.DUMMYFUNCTION("""COMPUTED_VALUE"""),57.599999999999994)</f>
        <v>57.6</v>
      </c>
      <c r="G26" s="130">
        <f>IFERROR(__xludf.DUMMYFUNCTION("""COMPUTED_VALUE"""),68.9)</f>
        <v>68.9</v>
      </c>
      <c r="H26" s="130">
        <f>IFERROR(__xludf.DUMMYFUNCTION("""COMPUTED_VALUE"""),54.3)</f>
        <v>54.3</v>
      </c>
      <c r="I26" s="130">
        <f>IFERROR(__xludf.DUMMYFUNCTION("""COMPUTED_VALUE"""),58.0)</f>
        <v>58</v>
      </c>
      <c r="J26" s="130">
        <f>IFERROR(__xludf.DUMMYFUNCTION("""COMPUTED_VALUE"""),83.3)</f>
        <v>83.3</v>
      </c>
      <c r="K26" s="130">
        <f>IFERROR(__xludf.DUMMYFUNCTION("""COMPUTED_VALUE"""),70.69999999999999)</f>
        <v>70.7</v>
      </c>
      <c r="L26" s="130">
        <f>IFERROR(__xludf.DUMMYFUNCTION("""COMPUTED_VALUE"""),90.1)</f>
        <v>90.1</v>
      </c>
      <c r="M26" s="130">
        <f>IFERROR(__xludf.DUMMYFUNCTION("""COMPUTED_VALUE"""),108.1)</f>
        <v>108.1</v>
      </c>
      <c r="N26" s="130">
        <f>IFERROR(__xludf.DUMMYFUNCTION("""COMPUTED_VALUE"""),132.7)</f>
        <v>132.7</v>
      </c>
      <c r="O26" s="130">
        <f>IFERROR(__xludf.DUMMYFUNCTION("""COMPUTED_VALUE"""),187.89999999999998)</f>
        <v>187.9</v>
      </c>
      <c r="P26" s="130">
        <f>IFERROR(__xludf.DUMMYFUNCTION("""COMPUTED_VALUE"""),274.5)</f>
        <v>274.5</v>
      </c>
      <c r="Q26" s="130">
        <f>IFERROR(__xludf.DUMMYFUNCTION("""COMPUTED_VALUE"""),295.79999999999995)</f>
        <v>295.8</v>
      </c>
      <c r="R26" s="130">
        <f>IFERROR(__xludf.DUMMYFUNCTION("""COMPUTED_VALUE"""),191.39999999999998)</f>
        <v>191.4</v>
      </c>
      <c r="S26" s="130">
        <f>IFERROR(__xludf.DUMMYFUNCTION("""COMPUTED_VALUE"""),233.2)</f>
        <v>233.2</v>
      </c>
      <c r="T26" s="130">
        <f>IFERROR(__xludf.DUMMYFUNCTION("""COMPUTED_VALUE"""),192.3)</f>
        <v>192.3</v>
      </c>
      <c r="U26" s="130">
        <f>IFERROR(__xludf.DUMMYFUNCTION("""COMPUTED_VALUE"""),202.2)</f>
        <v>202.2</v>
      </c>
      <c r="V26" s="130">
        <f>IFERROR(__xludf.DUMMYFUNCTION("""COMPUTED_VALUE"""),220.6)</f>
        <v>220.6</v>
      </c>
      <c r="W26" s="130">
        <f>IFERROR(__xludf.DUMMYFUNCTION("""COMPUTED_VALUE"""),150.5)</f>
        <v>150.5</v>
      </c>
      <c r="X26" s="130">
        <f>IFERROR(__xludf.DUMMYFUNCTION("""COMPUTED_VALUE"""),192.39999999999998)</f>
        <v>192.4</v>
      </c>
      <c r="Y26" s="130">
        <f>IFERROR(__xludf.DUMMYFUNCTION("""COMPUTED_VALUE"""),185.42306578169143)</f>
        <v>185.4230658</v>
      </c>
      <c r="Z26" s="130">
        <f>IFERROR(__xludf.DUMMYFUNCTION("""COMPUTED_VALUE"""),181.34283695975535)</f>
        <v>181.342837</v>
      </c>
      <c r="AA26" s="130">
        <f>IFERROR(__xludf.DUMMYFUNCTION("""COMPUTED_VALUE"""),196.7132713638835)</f>
        <v>196.7132714</v>
      </c>
      <c r="AB26" s="130">
        <f>IFERROR(__xludf.DUMMYFUNCTION("""COMPUTED_VALUE"""),199.58343527685344)</f>
        <v>199.5834353</v>
      </c>
      <c r="AC26" s="130">
        <f>IFERROR(__xludf.DUMMYFUNCTION("""COMPUTED_VALUE"""),202.90381773559838)</f>
        <v>202.9038177</v>
      </c>
      <c r="AD26" s="130">
        <f>IFERROR(__xludf.DUMMYFUNCTION("""COMPUTED_VALUE"""),201.488045641781)</f>
        <v>201.4880456</v>
      </c>
      <c r="AE26" s="130">
        <f>IFERROR(__xludf.DUMMYFUNCTION("""COMPUTED_VALUE"""),198.98050442920697)</f>
        <v>198.9805044</v>
      </c>
      <c r="AF26" s="130">
        <f>IFERROR(__xludf.DUMMYFUNCTION("""COMPUTED_VALUE"""),178.7598878931908)</f>
        <v>178.7598879</v>
      </c>
      <c r="AG26" s="130">
        <f>IFERROR(__xludf.DUMMYFUNCTION("""COMPUTED_VALUE"""),184.7508711948608)</f>
        <v>184.7508712</v>
      </c>
      <c r="AH26" s="130">
        <f>IFERROR(__xludf.DUMMYFUNCTION("""COMPUTED_VALUE"""),188.6838734270156)</f>
        <v>188.6838734</v>
      </c>
      <c r="AI26" s="130">
        <f>IFERROR(__xludf.DUMMYFUNCTION("""COMPUTED_VALUE"""),191.04937668163393)</f>
        <v>191.0493767</v>
      </c>
      <c r="AJ26" s="130">
        <f>IFERROR(__xludf.DUMMYFUNCTION("""COMPUTED_VALUE"""),195.40920506939395)</f>
        <v>195.4092051</v>
      </c>
      <c r="AK26" s="130">
        <f>IFERROR(__xludf.DUMMYFUNCTION("""COMPUTED_VALUE"""),199.2596272786568)</f>
        <v>199.2596273</v>
      </c>
      <c r="AL26" s="130">
        <f>IFERROR(__xludf.DUMMYFUNCTION("""COMPUTED_VALUE"""),203.08875276864035)</f>
        <v>203.0887528</v>
      </c>
      <c r="AM26" s="130">
        <f>IFERROR(__xludf.DUMMYFUNCTION("""COMPUTED_VALUE"""),207.36784159097235)</f>
        <v>207.3678416</v>
      </c>
      <c r="AN26" s="130">
        <f>IFERROR(__xludf.DUMMYFUNCTION("""COMPUTED_VALUE"""),211.62087252409486)</f>
        <v>211.6208725</v>
      </c>
      <c r="AO26" s="130">
        <f>IFERROR(__xludf.DUMMYFUNCTION("""COMPUTED_VALUE"""),215.99859751046745)</f>
        <v>215.9985975</v>
      </c>
      <c r="AP26" s="130">
        <f>IFERROR(__xludf.DUMMYFUNCTION("""COMPUTED_VALUE"""),220.54487320696504)</f>
        <v>220.5448732</v>
      </c>
      <c r="AQ26" s="130">
        <f>IFERROR(__xludf.DUMMYFUNCTION("""COMPUTED_VALUE"""),225.17315028544016)</f>
        <v>225.1731503</v>
      </c>
      <c r="AR26" s="130">
        <f>IFERROR(__xludf.DUMMYFUNCTION("""COMPUTED_VALUE"""),229.9170075397002)</f>
        <v>229.9170075</v>
      </c>
      <c r="AS26" s="130">
        <f>IFERROR(__xludf.DUMMYFUNCTION("""COMPUTED_VALUE"""),234.77341290586787)</f>
        <v>234.7734129</v>
      </c>
      <c r="AT26" s="130">
        <f>IFERROR(__xludf.DUMMYFUNCTION("""COMPUTED_VALUE"""),239.72518052611392)</f>
        <v>239.7251805</v>
      </c>
      <c r="AU26" s="130">
        <f>IFERROR(__xludf.DUMMYFUNCTION("""COMPUTED_VALUE"""),244.77647042440984)</f>
        <v>244.7764704</v>
      </c>
      <c r="AV26" s="130">
        <f>IFERROR(__xludf.DUMMYFUNCTION("""COMPUTED_VALUE"""),249.92229748350135)</f>
        <v>249.9222975</v>
      </c>
      <c r="AW26" s="130">
        <f>IFERROR(__xludf.DUMMYFUNCTION("""COMPUTED_VALUE"""),255.15713639772838)</f>
        <v>255.1571364</v>
      </c>
      <c r="AX26" s="130">
        <f>IFERROR(__xludf.DUMMYFUNCTION("""COMPUTED_VALUE"""),260.4790402163413)</f>
        <v>260.4790402</v>
      </c>
      <c r="AY26" s="130">
        <f>IFERROR(__xludf.DUMMYFUNCTION("""COMPUTED_VALUE"""),265.8841688676767)</f>
        <v>265.8841689</v>
      </c>
      <c r="AZ26" s="130">
        <f>IFERROR(__xludf.DUMMYFUNCTION("""COMPUTED_VALUE"""),259.7538507583883)</f>
        <v>259.7538508</v>
      </c>
      <c r="BA26" s="130">
        <f>IFERROR(__xludf.DUMMYFUNCTION("""COMPUTED_VALUE"""),263.6780377319126)</f>
        <v>263.6780377</v>
      </c>
      <c r="BB26" s="130">
        <f>IFERROR(__xludf.DUMMYFUNCTION("""COMPUTED_VALUE"""),266.9267561540896)</f>
        <v>266.9267562</v>
      </c>
      <c r="BC26" s="130">
        <f>IFERROR(__xludf.DUMMYFUNCTION("""COMPUTED_VALUE"""),269.24567751622146)</f>
        <v>269.2456775</v>
      </c>
      <c r="BD26" s="130">
        <f>IFERROR(__xludf.DUMMYFUNCTION("""COMPUTED_VALUE"""),270.383766883277)</f>
        <v>270.3837669</v>
      </c>
      <c r="BE26" s="130">
        <f>IFERROR(__xludf.DUMMYFUNCTION("""COMPUTED_VALUE"""),273.4100799387893)</f>
        <v>273.4100799</v>
      </c>
      <c r="BF26" s="130">
        <f>IFERROR(__xludf.DUMMYFUNCTION("""COMPUTED_VALUE"""),276.19208551345196)</f>
        <v>276.1920855</v>
      </c>
      <c r="BG26" s="130">
        <f>IFERROR(__xludf.DUMMYFUNCTION("""COMPUTED_VALUE"""),278.8427876820035)</f>
        <v>278.8427877</v>
      </c>
      <c r="BH26" s="130">
        <f>IFERROR(__xludf.DUMMYFUNCTION("""COMPUTED_VALUE"""),281.57110176309226)</f>
        <v>281.5711018</v>
      </c>
      <c r="BI26" s="130">
        <f>IFERROR(__xludf.DUMMYFUNCTION("""COMPUTED_VALUE"""),284.7060837366299)</f>
        <v>284.7060837</v>
      </c>
      <c r="BJ26" s="130">
        <f>IFERROR(__xludf.DUMMYFUNCTION("""COMPUTED_VALUE"""),287.8611041115869)</f>
        <v>287.8611041</v>
      </c>
      <c r="BK26" s="130">
        <f>IFERROR(__xludf.DUMMYFUNCTION("""COMPUTED_VALUE"""),291.10553285495087)</f>
        <v>291.1055329</v>
      </c>
      <c r="BL26" s="130">
        <f>IFERROR(__xludf.DUMMYFUNCTION("""COMPUTED_VALUE"""),294.49733367354855)</f>
        <v>294.4973337</v>
      </c>
      <c r="BM26" s="130">
        <f>IFERROR(__xludf.DUMMYFUNCTION("""COMPUTED_VALUE"""),298.0550289653304)</f>
        <v>298.055029</v>
      </c>
      <c r="BN26" s="130">
        <f>IFERROR(__xludf.DUMMYFUNCTION("""COMPUTED_VALUE"""),301.7160206724579)</f>
        <v>301.7160207</v>
      </c>
      <c r="BO26" s="130">
        <f>IFERROR(__xludf.DUMMYFUNCTION("""COMPUTED_VALUE"""),305.5023340855984)</f>
        <v>305.5023341</v>
      </c>
      <c r="BP26" s="130">
        <f>IFERROR(__xludf.DUMMYFUNCTION("""COMPUTED_VALUE"""),309.42361719125824)</f>
        <v>309.4236172</v>
      </c>
      <c r="BQ26" s="130">
        <f>IFERROR(__xludf.DUMMYFUNCTION("""COMPUTED_VALUE"""),313.47688790156064)</f>
        <v>313.4768879</v>
      </c>
      <c r="BR26" s="130">
        <f>IFERROR(__xludf.DUMMYFUNCTION("""COMPUTED_VALUE"""),317.6535373294191)</f>
        <v>317.6535373</v>
      </c>
      <c r="BS26" s="130">
        <f>IFERROR(__xludf.DUMMYFUNCTION("""COMPUTED_VALUE"""),321.9590483310779)</f>
        <v>321.9590483</v>
      </c>
      <c r="BT26" s="130">
        <f>IFERROR(__xludf.DUMMYFUNCTION("""COMPUTED_VALUE"""),326.39457373463233)</f>
        <v>326.3945737</v>
      </c>
      <c r="BU26" s="130">
        <f>IFERROR(__xludf.DUMMYFUNCTION("""COMPUTED_VALUE"""),330.95903856856864)</f>
        <v>330.9590386</v>
      </c>
      <c r="BV26" s="130">
        <f>IFERROR(__xludf.DUMMYFUNCTION("""COMPUTED_VALUE"""),335.65185737672977)</f>
        <v>335.6518574</v>
      </c>
      <c r="BW26" s="130">
        <f>IFERROR(__xludf.DUMMYFUNCTION("""COMPUTED_VALUE"""),340.47453210085257)</f>
        <v>340.4745321</v>
      </c>
      <c r="BX26" s="130"/>
      <c r="BY26" s="130"/>
      <c r="BZ26" s="130"/>
      <c r="CA26" s="130"/>
      <c r="CB26" s="130"/>
      <c r="CC26" s="130"/>
      <c r="CD26" s="130"/>
      <c r="CE26" s="130"/>
      <c r="CF26" s="130"/>
      <c r="CG26" s="130"/>
    </row>
    <row r="27" ht="15.75" customHeight="1">
      <c r="A27" s="1" t="str">
        <f>IFERROR(__xludf.DUMMYFUNCTION("""COMPUTED_VALUE"""),"  SQL-to-Opp Conversion Rate")</f>
        <v>  SQL-to-Opp Conversion Rate</v>
      </c>
      <c r="B27" s="1"/>
      <c r="C27" s="1"/>
      <c r="D27" s="109">
        <f>IFERROR(__xludf.DUMMYFUNCTION("""COMPUTED_VALUE"""),0.41640378548895896)</f>
        <v>0.4164037855</v>
      </c>
      <c r="E27" s="109">
        <f>IFERROR(__xludf.DUMMYFUNCTION("""COMPUTED_VALUE"""),0.9128367670364501)</f>
        <v>0.912836767</v>
      </c>
      <c r="F27" s="109">
        <f>IFERROR(__xludf.DUMMYFUNCTION("""COMPUTED_VALUE"""),0.7519582245430809)</f>
        <v>0.7519582245</v>
      </c>
      <c r="G27" s="109">
        <f>IFERROR(__xludf.DUMMYFUNCTION("""COMPUTED_VALUE"""),0.8788265306122449)</f>
        <v>0.8788265306</v>
      </c>
      <c r="H27" s="109">
        <f>IFERROR(__xludf.DUMMYFUNCTION("""COMPUTED_VALUE"""),0.5137180700094608)</f>
        <v>0.51371807</v>
      </c>
      <c r="I27" s="109">
        <f>IFERROR(__xludf.DUMMYFUNCTION("""COMPUTED_VALUE"""),0.6636155606407322)</f>
        <v>0.6636155606</v>
      </c>
      <c r="J27" s="109">
        <f>IFERROR(__xludf.DUMMYFUNCTION("""COMPUTED_VALUE"""),0.7635197066911091)</f>
        <v>0.7635197067</v>
      </c>
      <c r="K27" s="109">
        <f>IFERROR(__xludf.DUMMYFUNCTION("""COMPUTED_VALUE"""),0.7184959349593495)</f>
        <v>0.718495935</v>
      </c>
      <c r="L27" s="109">
        <f>IFERROR(__xludf.DUMMYFUNCTION("""COMPUTED_VALUE"""),0.6046979865771812)</f>
        <v>0.6046979866</v>
      </c>
      <c r="M27" s="109">
        <f>IFERROR(__xludf.DUMMYFUNCTION("""COMPUTED_VALUE"""),0.8724778046811944)</f>
        <v>0.8724778047</v>
      </c>
      <c r="N27" s="109">
        <f>IFERROR(__xludf.DUMMYFUNCTION("""COMPUTED_VALUE"""),0.8858477970627502)</f>
        <v>0.8858477971</v>
      </c>
      <c r="O27" s="109">
        <f>IFERROR(__xludf.DUMMYFUNCTION("""COMPUTED_VALUE"""),0.873953488372093)</f>
        <v>0.8739534884</v>
      </c>
      <c r="P27" s="109">
        <f>IFERROR(__xludf.DUMMYFUNCTION("""COMPUTED_VALUE"""),0.9891891891891892)</f>
        <v>0.9891891892</v>
      </c>
      <c r="Q27" s="109">
        <f>IFERROR(__xludf.DUMMYFUNCTION("""COMPUTED_VALUE"""),0.809080962800875)</f>
        <v>0.8090809628</v>
      </c>
      <c r="R27" s="109">
        <f>IFERROR(__xludf.DUMMYFUNCTION("""COMPUTED_VALUE"""),0.7450369793694044)</f>
        <v>0.7450369794</v>
      </c>
      <c r="S27" s="109">
        <f>IFERROR(__xludf.DUMMYFUNCTION("""COMPUTED_VALUE"""),0.8856817318647929)</f>
        <v>0.8856817319</v>
      </c>
      <c r="T27" s="109">
        <f>IFERROR(__xludf.DUMMYFUNCTION("""COMPUTED_VALUE"""),0.6412137379126376)</f>
        <v>0.6412137379</v>
      </c>
      <c r="U27" s="109">
        <f>IFERROR(__xludf.DUMMYFUNCTION("""COMPUTED_VALUE"""),0.7567365269461078)</f>
        <v>0.7567365269</v>
      </c>
      <c r="V27" s="109">
        <f>IFERROR(__xludf.DUMMYFUNCTION("""COMPUTED_VALUE"""),0.7604274388142019)</f>
        <v>0.7604274388</v>
      </c>
      <c r="W27" s="109">
        <f>IFERROR(__xludf.DUMMYFUNCTION("""COMPUTED_VALUE"""),0.8560864618885096)</f>
        <v>0.8560864619</v>
      </c>
      <c r="X27" s="109">
        <f>IFERROR(__xludf.DUMMYFUNCTION("""COMPUTED_VALUE"""),0.8944676894467689)</f>
        <v>0.8944676894</v>
      </c>
      <c r="Y27" s="109">
        <f>IFERROR(__xludf.DUMMYFUNCTION("""COMPUTED_VALUE"""),0.8278529545598334)</f>
        <v>0.8278529546</v>
      </c>
      <c r="Z27" s="109">
        <f>IFERROR(__xludf.DUMMYFUNCTION("""COMPUTED_VALUE"""),0.8591263899738035)</f>
        <v>0.85912639</v>
      </c>
      <c r="AA27" s="109">
        <f>IFERROR(__xludf.DUMMYFUNCTION("""COMPUTED_VALUE"""),0.8603228575803435)</f>
        <v>0.8603228576</v>
      </c>
      <c r="AB27" s="109">
        <f>IFERROR(__xludf.DUMMYFUNCTION("""COMPUTED_VALUE"""),0.8491074407005841)</f>
        <v>0.8491074407</v>
      </c>
      <c r="AC27" s="109">
        <f>IFERROR(__xludf.DUMMYFUNCTION("""COMPUTED_VALUE"""),0.8561744747493606)</f>
        <v>0.8561744747</v>
      </c>
      <c r="AD27" s="109">
        <f>IFERROR(__xludf.DUMMYFUNCTION("""COMPUTED_VALUE"""),0.85491282235739)</f>
        <v>0.8549128224</v>
      </c>
      <c r="AE27" s="109">
        <f>IFERROR(__xludf.DUMMYFUNCTION("""COMPUTED_VALUE"""),0.8530575528327491)</f>
        <v>0.8530575528</v>
      </c>
      <c r="AF27" s="109">
        <f>IFERROR(__xludf.DUMMYFUNCTION("""COMPUTED_VALUE"""),0.8544510217682528)</f>
        <v>0.8544510218</v>
      </c>
      <c r="AG27" s="109">
        <f>IFERROR(__xludf.DUMMYFUNCTION("""COMPUTED_VALUE"""),0.8544361387597481)</f>
        <v>0.8544361388</v>
      </c>
      <c r="AH27" s="109">
        <f>IFERROR(__xludf.DUMMYFUNCTION("""COMPUTED_VALUE"""),0.8546264629518018)</f>
        <v>0.854626463</v>
      </c>
      <c r="AI27" s="109">
        <f>IFERROR(__xludf.DUMMYFUNCTION("""COMPUTED_VALUE"""),0.8553979634387076)</f>
        <v>0.8553979634</v>
      </c>
      <c r="AJ27" s="109">
        <f>IFERROR(__xludf.DUMMYFUNCTION("""COMPUTED_VALUE"""),0.8556721798700384)</f>
        <v>0.8556721799</v>
      </c>
      <c r="AK27" s="109">
        <f>IFERROR(__xludf.DUMMYFUNCTION("""COMPUTED_VALUE"""),0.8560374111051815)</f>
        <v>0.8560374111</v>
      </c>
      <c r="AL27" s="109">
        <f>IFERROR(__xludf.DUMMYFUNCTION("""COMPUTED_VALUE"""),0.8564684818465358)</f>
        <v>0.8564684818</v>
      </c>
      <c r="AM27" s="109">
        <f>IFERROR(__xludf.DUMMYFUNCTION("""COMPUTED_VALUE"""),0.8567853710266142)</f>
        <v>0.856785371</v>
      </c>
      <c r="AN27" s="109">
        <f>IFERROR(__xludf.DUMMYFUNCTION("""COMPUTED_VALUE"""),0.8571168307566102)</f>
        <v>0.8571168308</v>
      </c>
      <c r="AO27" s="109">
        <f>IFERROR(__xludf.DUMMYFUNCTION("""COMPUTED_VALUE"""),0.8574392247586433)</f>
        <v>0.8574392248</v>
      </c>
      <c r="AP27" s="109">
        <f>IFERROR(__xludf.DUMMYFUNCTION("""COMPUTED_VALUE"""),0.8577268246445006)</f>
        <v>0.8577268246</v>
      </c>
      <c r="AQ27" s="109">
        <f>IFERROR(__xludf.DUMMYFUNCTION("""COMPUTED_VALUE"""),0.858005946207959)</f>
        <v>0.8580059462</v>
      </c>
      <c r="AR27" s="109">
        <f>IFERROR(__xludf.DUMMYFUNCTION("""COMPUTED_VALUE"""),0.8582693072078644)</f>
        <v>0.8582693072</v>
      </c>
      <c r="AS27" s="109">
        <f>IFERROR(__xludf.DUMMYFUNCTION("""COMPUTED_VALUE"""),0.8585145649179228)</f>
        <v>0.8585145649</v>
      </c>
      <c r="AT27" s="109">
        <f>IFERROR(__xludf.DUMMYFUNCTION("""COMPUTED_VALUE"""),0.8587471957172294)</f>
        <v>0.8587471957</v>
      </c>
      <c r="AU27" s="109">
        <f>IFERROR(__xludf.DUMMYFUNCTION("""COMPUTED_VALUE"""),0.8589658842991377)</f>
        <v>0.8589658843</v>
      </c>
      <c r="AV27" s="109">
        <f>IFERROR(__xludf.DUMMYFUNCTION("""COMPUTED_VALUE"""),0.8591711772981692)</f>
        <v>0.8591711773</v>
      </c>
      <c r="AW27" s="109">
        <f>IFERROR(__xludf.DUMMYFUNCTION("""COMPUTED_VALUE"""),0.8593645864593199)</f>
        <v>0.8593645865</v>
      </c>
      <c r="AX27" s="109">
        <f>IFERROR(__xludf.DUMMYFUNCTION("""COMPUTED_VALUE"""),0.859546332736002)</f>
        <v>0.8595463327</v>
      </c>
      <c r="AY27" s="109">
        <f>IFERROR(__xludf.DUMMYFUNCTION("""COMPUTED_VALUE"""),0.8597171173079301)</f>
        <v>0.8597171173</v>
      </c>
      <c r="AZ27" s="109">
        <f>IFERROR(__xludf.DUMMYFUNCTION("""COMPUTED_VALUE"""),0.8597623800246853)</f>
        <v>0.85976238</v>
      </c>
      <c r="BA27" s="109">
        <f>IFERROR(__xludf.DUMMYFUNCTION("""COMPUTED_VALUE"""),0.8599064951867644)</f>
        <v>0.8599064952</v>
      </c>
      <c r="BB27" s="109">
        <f>IFERROR(__xludf.DUMMYFUNCTION("""COMPUTED_VALUE"""),0.8600362938845937)</f>
        <v>0.8600362939</v>
      </c>
      <c r="BC27" s="109">
        <f>IFERROR(__xludf.DUMMYFUNCTION("""COMPUTED_VALUE"""),0.8601512554242599)</f>
        <v>0.8601512554</v>
      </c>
      <c r="BD27" s="109">
        <f>IFERROR(__xludf.DUMMYFUNCTION("""COMPUTED_VALUE"""),0.8602510185231852)</f>
        <v>0.8602510185</v>
      </c>
      <c r="BE27" s="109">
        <f>IFERROR(__xludf.DUMMYFUNCTION("""COMPUTED_VALUE"""),0.8603610453448467)</f>
        <v>0.8603610453</v>
      </c>
      <c r="BF27" s="109">
        <f>IFERROR(__xludf.DUMMYFUNCTION("""COMPUTED_VALUE"""),0.8604636091731775)</f>
        <v>0.8604636092</v>
      </c>
      <c r="BG27" s="109">
        <f>IFERROR(__xludf.DUMMYFUNCTION("""COMPUTED_VALUE"""),0.8605600948904872)</f>
        <v>0.8605600949</v>
      </c>
      <c r="BH27" s="109">
        <f>IFERROR(__xludf.DUMMYFUNCTION("""COMPUTED_VALUE"""),0.8606522733722556)</f>
        <v>0.8606522734</v>
      </c>
      <c r="BI27" s="109">
        <f>IFERROR(__xludf.DUMMYFUNCTION("""COMPUTED_VALUE"""),0.8607422967017914)</f>
        <v>0.8607422967</v>
      </c>
      <c r="BJ27" s="109">
        <f>IFERROR(__xludf.DUMMYFUNCTION("""COMPUTED_VALUE"""),0.860827772205072)</f>
        <v>0.8608277722</v>
      </c>
      <c r="BK27" s="109">
        <f>IFERROR(__xludf.DUMMYFUNCTION("""COMPUTED_VALUE"""),0.8609093038485237)</f>
        <v>0.8609093038</v>
      </c>
      <c r="BL27" s="109">
        <f>IFERROR(__xludf.DUMMYFUNCTION("""COMPUTED_VALUE"""),0.8609873364273807)</f>
        <v>0.8609873364</v>
      </c>
      <c r="BM27" s="109">
        <f>IFERROR(__xludf.DUMMYFUNCTION("""COMPUTED_VALUE"""),0.8610620542459879)</f>
        <v>0.8610620542</v>
      </c>
      <c r="BN27" s="109">
        <f>IFERROR(__xludf.DUMMYFUNCTION("""COMPUTED_VALUE"""),0.8611332646151517)</f>
        <v>0.8611332646</v>
      </c>
      <c r="BO27" s="109">
        <f>IFERROR(__xludf.DUMMYFUNCTION("""COMPUTED_VALUE"""),0.8612011966946104)</f>
        <v>0.8612011967</v>
      </c>
      <c r="BP27" s="109">
        <f>IFERROR(__xludf.DUMMYFUNCTION("""COMPUTED_VALUE"""),0.8612660057202179)</f>
        <v>0.8612660057</v>
      </c>
      <c r="BQ27" s="109">
        <f>IFERROR(__xludf.DUMMYFUNCTION("""COMPUTED_VALUE"""),0.8613277904350704)</f>
        <v>0.8613277904</v>
      </c>
      <c r="BR27" s="109">
        <f>IFERROR(__xludf.DUMMYFUNCTION("""COMPUTED_VALUE"""),0.8613866325500075)</f>
        <v>0.8613866326</v>
      </c>
      <c r="BS27" s="109">
        <f>IFERROR(__xludf.DUMMYFUNCTION("""COMPUTED_VALUE"""),0.8614426647388246)</f>
        <v>0.8614426647</v>
      </c>
      <c r="BT27" s="109">
        <f>IFERROR(__xludf.DUMMYFUNCTION("""COMPUTED_VALUE"""),0.861496000142858)</f>
        <v>0.8614960001</v>
      </c>
      <c r="BU27" s="109">
        <f>IFERROR(__xludf.DUMMYFUNCTION("""COMPUTED_VALUE"""),0.86154674287459)</f>
        <v>0.8615467429</v>
      </c>
      <c r="BV27" s="109">
        <f>IFERROR(__xludf.DUMMYFUNCTION("""COMPUTED_VALUE"""),0.8615949970286141)</f>
        <v>0.861594997</v>
      </c>
      <c r="BW27" s="109">
        <f>IFERROR(__xludf.DUMMYFUNCTION("""COMPUTED_VALUE"""),0.8616408698310356)</f>
        <v>0.8616408698</v>
      </c>
      <c r="BX27" s="109"/>
      <c r="BY27" s="109"/>
      <c r="BZ27" s="109"/>
      <c r="CA27" s="109"/>
      <c r="CB27" s="109"/>
      <c r="CC27" s="109"/>
      <c r="CD27" s="109"/>
      <c r="CE27" s="109"/>
      <c r="CF27" s="109"/>
      <c r="CG27" s="109"/>
    </row>
    <row r="28" ht="15.75" customHeight="1">
      <c r="A28" s="1" t="str">
        <f>IFERROR(__xludf.DUMMYFUNCTION("""COMPUTED_VALUE"""),"Trials")</f>
        <v>Trials</v>
      </c>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row>
    <row r="29" ht="15.75" customHeight="1">
      <c r="A29" s="1" t="str">
        <f>IFERROR(__xludf.DUMMYFUNCTION("""COMPUTED_VALUE"""),"  Organic")</f>
        <v>  Organic</v>
      </c>
      <c r="B29" s="1"/>
      <c r="C29" s="1"/>
      <c r="D29" s="90">
        <f>IFERROR(__xludf.DUMMYFUNCTION("""COMPUTED_VALUE"""),9.0)</f>
        <v>9</v>
      </c>
      <c r="E29" s="90">
        <f>IFERROR(__xludf.DUMMYFUNCTION("""COMPUTED_VALUE"""),24.0)</f>
        <v>24</v>
      </c>
      <c r="F29" s="90">
        <f>IFERROR(__xludf.DUMMYFUNCTION("""COMPUTED_VALUE"""),18.0)</f>
        <v>18</v>
      </c>
      <c r="G29" s="90">
        <f>IFERROR(__xludf.DUMMYFUNCTION("""COMPUTED_VALUE"""),24.0)</f>
        <v>24</v>
      </c>
      <c r="H29" s="90">
        <f>IFERROR(__xludf.DUMMYFUNCTION("""COMPUTED_VALUE"""),18.0)</f>
        <v>18</v>
      </c>
      <c r="I29" s="90">
        <f>IFERROR(__xludf.DUMMYFUNCTION("""COMPUTED_VALUE"""),24.0)</f>
        <v>24</v>
      </c>
      <c r="J29" s="90">
        <f>IFERROR(__xludf.DUMMYFUNCTION("""COMPUTED_VALUE"""),30.0)</f>
        <v>30</v>
      </c>
      <c r="K29" s="90">
        <f>IFERROR(__xludf.DUMMYFUNCTION("""COMPUTED_VALUE"""),31.0)</f>
        <v>31</v>
      </c>
      <c r="L29" s="90">
        <f>IFERROR(__xludf.DUMMYFUNCTION("""COMPUTED_VALUE"""),27.0)</f>
        <v>27</v>
      </c>
      <c r="M29" s="90">
        <f>IFERROR(__xludf.DUMMYFUNCTION("""COMPUTED_VALUE"""),29.0)</f>
        <v>29</v>
      </c>
      <c r="N29" s="90">
        <f>IFERROR(__xludf.DUMMYFUNCTION("""COMPUTED_VALUE"""),32.0)</f>
        <v>32</v>
      </c>
      <c r="O29" s="90">
        <f>IFERROR(__xludf.DUMMYFUNCTION("""COMPUTED_VALUE"""),32.0)</f>
        <v>32</v>
      </c>
      <c r="P29" s="90">
        <f>IFERROR(__xludf.DUMMYFUNCTION("""COMPUTED_VALUE"""),32.0)</f>
        <v>32</v>
      </c>
      <c r="Q29" s="90">
        <f>IFERROR(__xludf.DUMMYFUNCTION("""COMPUTED_VALUE"""),36.0)</f>
        <v>36</v>
      </c>
      <c r="R29" s="90">
        <f>IFERROR(__xludf.DUMMYFUNCTION("""COMPUTED_VALUE"""),33.0)</f>
        <v>33</v>
      </c>
      <c r="S29" s="90">
        <f>IFERROR(__xludf.DUMMYFUNCTION("""COMPUTED_VALUE"""),39.0)</f>
        <v>39</v>
      </c>
      <c r="T29" s="90">
        <f>IFERROR(__xludf.DUMMYFUNCTION("""COMPUTED_VALUE"""),29.0)</f>
        <v>29</v>
      </c>
      <c r="U29" s="90">
        <f>IFERROR(__xludf.DUMMYFUNCTION("""COMPUTED_VALUE"""),35.0)</f>
        <v>35</v>
      </c>
      <c r="V29" s="90">
        <f>IFERROR(__xludf.DUMMYFUNCTION("""COMPUTED_VALUE"""),35.0)</f>
        <v>35</v>
      </c>
      <c r="W29" s="90">
        <f>IFERROR(__xludf.DUMMYFUNCTION("""COMPUTED_VALUE"""),42.0)</f>
        <v>42</v>
      </c>
      <c r="X29" s="90">
        <f>IFERROR(__xludf.DUMMYFUNCTION("""COMPUTED_VALUE"""),43.0)</f>
        <v>43</v>
      </c>
      <c r="Y29" s="90">
        <f>IFERROR(__xludf.DUMMYFUNCTION("""COMPUTED_VALUE"""),42.37280834567161)</f>
        <v>42.37280835</v>
      </c>
      <c r="Z29" s="90">
        <f>IFERROR(__xludf.DUMMYFUNCTION("""COMPUTED_VALUE"""),44.96625617923308)</f>
        <v>44.96625618</v>
      </c>
      <c r="AA29" s="90">
        <f>IFERROR(__xludf.DUMMYFUNCTION("""COMPUTED_VALUE"""),45.011570157583925)</f>
        <v>45.01157016</v>
      </c>
      <c r="AB29" s="90">
        <f>IFERROR(__xludf.DUMMYFUNCTION("""COMPUTED_VALUE"""),45.70625008033027)</f>
        <v>45.70625008</v>
      </c>
      <c r="AC29" s="90">
        <f>IFERROR(__xludf.DUMMYFUNCTION("""COMPUTED_VALUE"""),46.85742794901243)</f>
        <v>46.85742795</v>
      </c>
      <c r="AD29" s="90">
        <f>IFERROR(__xludf.DUMMYFUNCTION("""COMPUTED_VALUE"""),47.51052923607284)</f>
        <v>47.51052924</v>
      </c>
      <c r="AE29" s="90">
        <f>IFERROR(__xludf.DUMMYFUNCTION("""COMPUTED_VALUE"""),48.37352508687428)</f>
        <v>48.37352509</v>
      </c>
      <c r="AF29" s="90">
        <f>IFERROR(__xludf.DUMMYFUNCTION("""COMPUTED_VALUE"""),43.68542079794409)</f>
        <v>43.6854208</v>
      </c>
      <c r="AG29" s="90">
        <f>IFERROR(__xludf.DUMMYFUNCTION("""COMPUTED_VALUE"""),42.925047261041826)</f>
        <v>42.92504726</v>
      </c>
      <c r="AH29" s="90">
        <f>IFERROR(__xludf.DUMMYFUNCTION("""COMPUTED_VALUE"""),41.51476732467058)</f>
        <v>41.51476732</v>
      </c>
      <c r="AI29" s="90">
        <f>IFERROR(__xludf.DUMMYFUNCTION("""COMPUTED_VALUE"""),39.4053340059623)</f>
        <v>39.40533401</v>
      </c>
      <c r="AJ29" s="90">
        <f>IFERROR(__xludf.DUMMYFUNCTION("""COMPUTED_VALUE"""),38.08897935414432)</f>
        <v>38.08897935</v>
      </c>
      <c r="AK29" s="90">
        <f>IFERROR(__xludf.DUMMYFUNCTION("""COMPUTED_VALUE"""),36.601630897174225)</f>
        <v>36.6016309</v>
      </c>
      <c r="AL29" s="90">
        <f>IFERROR(__xludf.DUMMYFUNCTION("""COMPUTED_VALUE"""),35.090579765345055)</f>
        <v>35.09057977</v>
      </c>
      <c r="AM29" s="90">
        <f>IFERROR(__xludf.DUMMYFUNCTION("""COMPUTED_VALUE"""),33.76356302663587)</f>
        <v>33.76356303</v>
      </c>
      <c r="AN29" s="90">
        <f>IFERROR(__xludf.DUMMYFUNCTION("""COMPUTED_VALUE"""),32.4332671283303)</f>
        <v>32.43326713</v>
      </c>
      <c r="AO29" s="90">
        <f>IFERROR(__xludf.DUMMYFUNCTION("""COMPUTED_VALUE"""),31.151273256648427)</f>
        <v>31.15127326</v>
      </c>
      <c r="AP29" s="90">
        <f>IFERROR(__xludf.DUMMYFUNCTION("""COMPUTED_VALUE"""),29.93972669236517)</f>
        <v>29.93972669</v>
      </c>
      <c r="AQ29" s="90">
        <f>IFERROR(__xludf.DUMMYFUNCTION("""COMPUTED_VALUE"""),28.763693356817505)</f>
        <v>28.76369336</v>
      </c>
      <c r="AR29" s="90">
        <f>IFERROR(__xludf.DUMMYFUNCTION("""COMPUTED_VALUE"""),27.63510397555323)</f>
        <v>27.63510398</v>
      </c>
      <c r="AS29" s="90">
        <f>IFERROR(__xludf.DUMMYFUNCTION("""COMPUTED_VALUE"""),26.55369464562559)</f>
        <v>26.55369465</v>
      </c>
      <c r="AT29" s="90">
        <f>IFERROR(__xludf.DUMMYFUNCTION("""COMPUTED_VALUE"""),25.51230944654962)</f>
        <v>25.51230945</v>
      </c>
      <c r="AU29" s="90">
        <f>IFERROR(__xludf.DUMMYFUNCTION("""COMPUTED_VALUE"""),24.512335720982822)</f>
        <v>24.51233572</v>
      </c>
      <c r="AV29" s="90">
        <f>IFERROR(__xludf.DUMMYFUNCTION("""COMPUTED_VALUE"""),23.551918159788944)</f>
        <v>23.55191816</v>
      </c>
      <c r="AW29" s="90">
        <f>IFERROR(__xludf.DUMMYFUNCTION("""COMPUTED_VALUE"""),22.62871201166799)</f>
        <v>22.62871201</v>
      </c>
      <c r="AX29" s="90">
        <f>IFERROR(__xludf.DUMMYFUNCTION("""COMPUTED_VALUE"""),21.741852216093775)</f>
        <v>21.74185222</v>
      </c>
      <c r="AY29" s="90">
        <f>IFERROR(__xludf.DUMMYFUNCTION("""COMPUTED_VALUE"""),20.8897809785951)</f>
        <v>20.88978098</v>
      </c>
      <c r="AZ29" s="90">
        <f>IFERROR(__xludf.DUMMYFUNCTION("""COMPUTED_VALUE"""),20.07103200630626)</f>
        <v>20.07103201</v>
      </c>
      <c r="BA29" s="90">
        <f>IFERROR(__xludf.DUMMYFUNCTION("""COMPUTED_VALUE"""),19.284409179118022)</f>
        <v>19.28440918</v>
      </c>
      <c r="BB29" s="90">
        <f>IFERROR(__xludf.DUMMYFUNCTION("""COMPUTED_VALUE"""),18.52861455846667)</f>
        <v>18.52861456</v>
      </c>
      <c r="BC29" s="90">
        <f>IFERROR(__xludf.DUMMYFUNCTION("""COMPUTED_VALUE"""),17.80243012532032)</f>
        <v>17.80243013</v>
      </c>
      <c r="BD29" s="90">
        <f>IFERROR(__xludf.DUMMYFUNCTION("""COMPUTED_VALUE"""),17.1047142180744)</f>
        <v>17.10471422</v>
      </c>
      <c r="BE29" s="90">
        <f>IFERROR(__xludf.DUMMYFUNCTION("""COMPUTED_VALUE"""),16.43434192401504)</f>
        <v>16.43434192</v>
      </c>
      <c r="BF29" s="90">
        <f>IFERROR(__xludf.DUMMYFUNCTION("""COMPUTED_VALUE"""),15.790241545092815)</f>
        <v>15.79024155</v>
      </c>
      <c r="BG29" s="90">
        <f>IFERROR(__xludf.DUMMYFUNCTION("""COMPUTED_VALUE"""),15.171386384753628)</f>
        <v>15.17138638</v>
      </c>
      <c r="BH29" s="90">
        <f>IFERROR(__xludf.DUMMYFUNCTION("""COMPUTED_VALUE"""),14.576785104319642)</f>
        <v>14.5767851</v>
      </c>
      <c r="BI29" s="90">
        <f>IFERROR(__xludf.DUMMYFUNCTION("""COMPUTED_VALUE"""),14.005487446243398)</f>
        <v>14.00548745</v>
      </c>
      <c r="BJ29" s="90">
        <f>IFERROR(__xludf.DUMMYFUNCTION("""COMPUTED_VALUE"""),13.456580502399902)</f>
        <v>13.4565805</v>
      </c>
      <c r="BK29" s="90">
        <f>IFERROR(__xludf.DUMMYFUNCTION("""COMPUTED_VALUE"""),12.929186360666627)</f>
        <v>12.92918636</v>
      </c>
      <c r="BL29" s="90">
        <f>IFERROR(__xludf.DUMMYFUNCTION("""COMPUTED_VALUE"""),12.422461993628058)</f>
        <v>12.42246199</v>
      </c>
      <c r="BM29" s="90">
        <f>IFERROR(__xludf.DUMMYFUNCTION("""COMPUTED_VALUE"""),11.93559735284548)</f>
        <v>11.93559735</v>
      </c>
      <c r="BN29" s="90">
        <f>IFERROR(__xludf.DUMMYFUNCTION("""COMPUTED_VALUE"""),11.467814024712155)</f>
        <v>11.46781402</v>
      </c>
      <c r="BO29" s="90">
        <f>IFERROR(__xludf.DUMMYFUNCTION("""COMPUTED_VALUE"""),11.018364196714378)</f>
        <v>11.0183642</v>
      </c>
      <c r="BP29" s="90">
        <f>IFERROR(__xludf.DUMMYFUNCTION("""COMPUTED_VALUE"""),10.586529339992023)</f>
        <v>10.58652934</v>
      </c>
      <c r="BQ29" s="90">
        <f>IFERROR(__xludf.DUMMYFUNCTION("""COMPUTED_VALUE"""),10.171619072829836)</f>
        <v>10.17161907</v>
      </c>
      <c r="BR29" s="90">
        <f>IFERROR(__xludf.DUMMYFUNCTION("""COMPUTED_VALUE"""),9.772970088007913)</f>
        <v>9.772970088</v>
      </c>
      <c r="BS29" s="90">
        <f>IFERROR(__xludf.DUMMYFUNCTION("""COMPUTED_VALUE"""),9.389945068185037)</f>
        <v>9.389945068</v>
      </c>
      <c r="BT29" s="90">
        <f>IFERROR(__xludf.DUMMYFUNCTION("""COMPUTED_VALUE"""),9.021931672887497)</f>
        <v>9.021931673</v>
      </c>
      <c r="BU29" s="90">
        <f>IFERROR(__xludf.DUMMYFUNCTION("""COMPUTED_VALUE"""),8.668341563479956)</f>
        <v>8.668341563</v>
      </c>
      <c r="BV29" s="90">
        <f>IFERROR(__xludf.DUMMYFUNCTION("""COMPUTED_VALUE"""),8.328609458159743)</f>
        <v>8.328609458</v>
      </c>
      <c r="BW29" s="90">
        <f>IFERROR(__xludf.DUMMYFUNCTION("""COMPUTED_VALUE"""),8.002192229889008)</f>
        <v>8.00219223</v>
      </c>
      <c r="BX29" s="106"/>
      <c r="BY29" s="106"/>
      <c r="BZ29" s="106"/>
      <c r="CA29" s="106"/>
      <c r="CB29" s="106"/>
      <c r="CC29" s="106"/>
      <c r="CD29" s="106"/>
      <c r="CE29" s="106"/>
      <c r="CF29" s="106"/>
      <c r="CG29" s="106"/>
    </row>
    <row r="30" ht="15.75" customHeight="1">
      <c r="A30" s="128" t="str">
        <f>IFERROR(__xludf.DUMMYFUNCTION("""COMPUTED_VALUE"""),"  Adwords")</f>
        <v>  Adwords</v>
      </c>
      <c r="B30" s="128"/>
      <c r="C30" s="128"/>
      <c r="D30" s="129">
        <f>IFERROR(__xludf.DUMMYFUNCTION("""COMPUTED_VALUE"""),8.7)</f>
        <v>8.7</v>
      </c>
      <c r="E30" s="129">
        <f>IFERROR(__xludf.DUMMYFUNCTION("""COMPUTED_VALUE"""),20.0)</f>
        <v>20</v>
      </c>
      <c r="F30" s="129">
        <f>IFERROR(__xludf.DUMMYFUNCTION("""COMPUTED_VALUE"""),16.2)</f>
        <v>16.2</v>
      </c>
      <c r="G30" s="129">
        <f>IFERROR(__xludf.DUMMYFUNCTION("""COMPUTED_VALUE"""),22.0)</f>
        <v>22</v>
      </c>
      <c r="H30" s="129">
        <f>IFERROR(__xludf.DUMMYFUNCTION("""COMPUTED_VALUE"""),17.7)</f>
        <v>17.7</v>
      </c>
      <c r="I30" s="129">
        <f>IFERROR(__xludf.DUMMYFUNCTION("""COMPUTED_VALUE"""),21.0)</f>
        <v>21</v>
      </c>
      <c r="J30" s="129">
        <f>IFERROR(__xludf.DUMMYFUNCTION("""COMPUTED_VALUE"""),27.0)</f>
        <v>27</v>
      </c>
      <c r="K30" s="129">
        <f>IFERROR(__xludf.DUMMYFUNCTION("""COMPUTED_VALUE"""),25.8)</f>
        <v>25.8</v>
      </c>
      <c r="L30" s="129">
        <f>IFERROR(__xludf.DUMMYFUNCTION("""COMPUTED_VALUE"""),25.0)</f>
        <v>25</v>
      </c>
      <c r="M30" s="129">
        <f>IFERROR(__xludf.DUMMYFUNCTION("""COMPUTED_VALUE"""),29.0)</f>
        <v>29</v>
      </c>
      <c r="N30" s="129">
        <f>IFERROR(__xludf.DUMMYFUNCTION("""COMPUTED_VALUE"""),27.0)</f>
        <v>27</v>
      </c>
      <c r="O30" s="129">
        <f>IFERROR(__xludf.DUMMYFUNCTION("""COMPUTED_VALUE"""),27.0)</f>
        <v>27</v>
      </c>
      <c r="P30" s="129">
        <f>IFERROR(__xludf.DUMMYFUNCTION("""COMPUTED_VALUE"""),29.0)</f>
        <v>29</v>
      </c>
      <c r="Q30" s="129">
        <f>IFERROR(__xludf.DUMMYFUNCTION("""COMPUTED_VALUE"""),32.0)</f>
        <v>32</v>
      </c>
      <c r="R30" s="129">
        <f>IFERROR(__xludf.DUMMYFUNCTION("""COMPUTED_VALUE"""),32.0)</f>
        <v>32</v>
      </c>
      <c r="S30" s="129">
        <f>IFERROR(__xludf.DUMMYFUNCTION("""COMPUTED_VALUE"""),35.0)</f>
        <v>35</v>
      </c>
      <c r="T30" s="129">
        <f>IFERROR(__xludf.DUMMYFUNCTION("""COMPUTED_VALUE"""),27.0)</f>
        <v>27</v>
      </c>
      <c r="U30" s="129">
        <f>IFERROR(__xludf.DUMMYFUNCTION("""COMPUTED_VALUE"""),29.0)</f>
        <v>29</v>
      </c>
      <c r="V30" s="129">
        <f>IFERROR(__xludf.DUMMYFUNCTION("""COMPUTED_VALUE"""),35.0)</f>
        <v>35</v>
      </c>
      <c r="W30" s="129">
        <f>IFERROR(__xludf.DUMMYFUNCTION("""COMPUTED_VALUE"""),42.0)</f>
        <v>42</v>
      </c>
      <c r="X30" s="129">
        <f>IFERROR(__xludf.DUMMYFUNCTION("""COMPUTED_VALUE"""),39.0)</f>
        <v>39</v>
      </c>
      <c r="Y30" s="129">
        <f>IFERROR(__xludf.DUMMYFUNCTION("""COMPUTED_VALUE"""),34.83133933967146)</f>
        <v>34.83133934</v>
      </c>
      <c r="Z30" s="129">
        <f>IFERROR(__xludf.DUMMYFUNCTION("""COMPUTED_VALUE"""),38.36396240473674)</f>
        <v>38.3639624</v>
      </c>
      <c r="AA30" s="129">
        <f>IFERROR(__xludf.DUMMYFUNCTION("""COMPUTED_VALUE"""),40.39955749915497)</f>
        <v>40.3995575</v>
      </c>
      <c r="AB30" s="129">
        <f>IFERROR(__xludf.DUMMYFUNCTION("""COMPUTED_VALUE"""),41.55551914771529)</f>
        <v>41.55551915</v>
      </c>
      <c r="AC30" s="129">
        <f>IFERROR(__xludf.DUMMYFUNCTION("""COMPUTED_VALUE"""),43.16020926579138)</f>
        <v>43.16020927</v>
      </c>
      <c r="AD30" s="129">
        <f>IFERROR(__xludf.DUMMYFUNCTION("""COMPUTED_VALUE"""),40.677534189313334)</f>
        <v>40.67753419</v>
      </c>
      <c r="AE30" s="129">
        <f>IFERROR(__xludf.DUMMYFUNCTION("""COMPUTED_VALUE"""),38.819281261531295)</f>
        <v>38.81928126</v>
      </c>
      <c r="AF30" s="129">
        <f>IFERROR(__xludf.DUMMYFUNCTION("""COMPUTED_VALUE"""),34.78007192383965)</f>
        <v>34.78007192</v>
      </c>
      <c r="AG30" s="129">
        <f>IFERROR(__xludf.DUMMYFUNCTION("""COMPUTED_VALUE"""),38.22876088344231)</f>
        <v>38.22876088</v>
      </c>
      <c r="AH30" s="129">
        <f>IFERROR(__xludf.DUMMYFUNCTION("""COMPUTED_VALUE"""),41.72094068714547)</f>
        <v>41.72094069</v>
      </c>
      <c r="AI30" s="129">
        <f>IFERROR(__xludf.DUMMYFUNCTION("""COMPUTED_VALUE"""),45.196577437198684)</f>
        <v>45.19657744</v>
      </c>
      <c r="AJ30" s="129">
        <f>IFERROR(__xludf.DUMMYFUNCTION("""COMPUTED_VALUE"""),48.66799739191697)</f>
        <v>48.66799739</v>
      </c>
      <c r="AK30" s="129">
        <f>IFERROR(__xludf.DUMMYFUNCTION("""COMPUTED_VALUE"""),52.14827519856198)</f>
        <v>52.1482752</v>
      </c>
      <c r="AL30" s="129">
        <f>IFERROR(__xludf.DUMMYFUNCTION("""COMPUTED_VALUE"""),55.62394286768673)</f>
        <v>55.62394287</v>
      </c>
      <c r="AM30" s="129">
        <f>IFERROR(__xludf.DUMMYFUNCTION("""COMPUTED_VALUE"""),59.09963695086258)</f>
        <v>59.09963695</v>
      </c>
      <c r="AN30" s="129">
        <f>IFERROR(__xludf.DUMMYFUNCTION("""COMPUTED_VALUE"""),62.576945631416756)</f>
        <v>62.57694563</v>
      </c>
      <c r="AO30" s="129">
        <f>IFERROR(__xludf.DUMMYFUNCTION("""COMPUTED_VALUE"""),66.05313693234028)</f>
        <v>66.05313693</v>
      </c>
      <c r="AP30" s="129">
        <f>IFERROR(__xludf.DUMMYFUNCTION("""COMPUTED_VALUE"""),69.5295257461554)</f>
        <v>69.52952575</v>
      </c>
      <c r="AQ30" s="129">
        <f>IFERROR(__xludf.DUMMYFUNCTION("""COMPUTED_VALUE"""),73.0061714825993)</f>
        <v>73.00617148</v>
      </c>
      <c r="AR30" s="129">
        <f>IFERROR(__xludf.DUMMYFUNCTION("""COMPUTED_VALUE"""),76.48257252573482)</f>
        <v>76.48257253</v>
      </c>
      <c r="AS30" s="129">
        <f>IFERROR(__xludf.DUMMYFUNCTION("""COMPUTED_VALUE"""),79.95905086275016)</f>
        <v>79.95905086</v>
      </c>
      <c r="AT30" s="129">
        <f>IFERROR(__xludf.DUMMYFUNCTION("""COMPUTED_VALUE"""),83.43556177130338)</f>
        <v>83.43556177</v>
      </c>
      <c r="AU30" s="129">
        <f>IFERROR(__xludf.DUMMYFUNCTION("""COMPUTED_VALUE"""),86.91202360861895)</f>
        <v>86.91202361</v>
      </c>
      <c r="AV30" s="129">
        <f>IFERROR(__xludf.DUMMYFUNCTION("""COMPUTED_VALUE"""),90.38850753207618)</f>
        <v>90.38850753</v>
      </c>
      <c r="AW30" s="129">
        <f>IFERROR(__xludf.DUMMYFUNCTION("""COMPUTED_VALUE"""),93.86499344831947)</f>
        <v>93.86499345</v>
      </c>
      <c r="AX30" s="129">
        <f>IFERROR(__xludf.DUMMYFUNCTION("""COMPUTED_VALUE"""),97.3414703652873)</f>
        <v>97.34147037</v>
      </c>
      <c r="AY30" s="129">
        <f>IFERROR(__xludf.DUMMYFUNCTION("""COMPUTED_VALUE"""),100.81795270400993)</f>
        <v>100.8179527</v>
      </c>
      <c r="AZ30" s="129">
        <f>IFERROR(__xludf.DUMMYFUNCTION("""COMPUTED_VALUE"""),98.8702344475066)</f>
        <v>98.87023445</v>
      </c>
      <c r="BA30" s="129">
        <f>IFERROR(__xludf.DUMMYFUNCTION("""COMPUTED_VALUE"""),101.58197281842749)</f>
        <v>101.5819728</v>
      </c>
      <c r="BB30" s="129">
        <f>IFERROR(__xludf.DUMMYFUNCTION("""COMPUTED_VALUE"""),103.94382232022303)</f>
        <v>103.9438223</v>
      </c>
      <c r="BC30" s="129">
        <f>IFERROR(__xludf.DUMMYFUNCTION("""COMPUTED_VALUE"""),105.83836929535347)</f>
        <v>105.8383693</v>
      </c>
      <c r="BD30" s="129">
        <f>IFERROR(__xludf.DUMMYFUNCTION("""COMPUTED_VALUE"""),107.14965826670941)</f>
        <v>107.1496583</v>
      </c>
      <c r="BE30" s="129">
        <f>IFERROR(__xludf.DUMMYFUNCTION("""COMPUTED_VALUE"""),109.31217202012807)</f>
        <v>109.312172</v>
      </c>
      <c r="BF30" s="129">
        <f>IFERROR(__xludf.DUMMYFUNCTION("""COMPUTED_VALUE"""),111.33123275454909)</f>
        <v>111.3312328</v>
      </c>
      <c r="BG30" s="129">
        <f>IFERROR(__xludf.DUMMYFUNCTION("""COMPUTED_VALUE"""),113.26076011574976)</f>
        <v>113.2607601</v>
      </c>
      <c r="BH30" s="129">
        <f>IFERROR(__xludf.DUMMYFUNCTION("""COMPUTED_VALUE"""),115.19942411085185)</f>
        <v>115.1994241</v>
      </c>
      <c r="BI30" s="129">
        <f>IFERROR(__xludf.DUMMYFUNCTION("""COMPUTED_VALUE"""),117.3019529420485)</f>
        <v>117.3019529</v>
      </c>
      <c r="BJ30" s="90">
        <f>IFERROR(__xludf.DUMMYFUNCTION("""COMPUTED_VALUE"""),119.38881425650753)</f>
        <v>119.3888143</v>
      </c>
      <c r="BK30" s="90">
        <f>IFERROR(__xludf.DUMMYFUNCTION("""COMPUTED_VALUE"""),121.49338449954686)</f>
        <v>121.4933845</v>
      </c>
      <c r="BL30" s="90">
        <f>IFERROR(__xludf.DUMMYFUNCTION("""COMPUTED_VALUE"""),123.64367440915558)</f>
        <v>123.6436744</v>
      </c>
      <c r="BM30" s="90">
        <f>IFERROR(__xludf.DUMMYFUNCTION("""COMPUTED_VALUE"""),125.84923917384693)</f>
        <v>125.8492392</v>
      </c>
      <c r="BN30" s="90">
        <f>IFERROR(__xludf.DUMMYFUNCTION("""COMPUTED_VALUE"""),128.0817160286687)</f>
        <v>128.081716</v>
      </c>
      <c r="BO30" s="90">
        <f>IFERROR(__xludf.DUMMYFUNCTION("""COMPUTED_VALUE"""),130.35222639452513)</f>
        <v>130.3522264</v>
      </c>
      <c r="BP30" s="90">
        <f>IFERROR(__xludf.DUMMYFUNCTION("""COMPUTED_VALUE"""),132.66607887917934)</f>
        <v>132.6660789</v>
      </c>
      <c r="BQ30" s="90">
        <f>IFERROR(__xludf.DUMMYFUNCTION("""COMPUTED_VALUE"""),135.02265248620552)</f>
        <v>135.0226525</v>
      </c>
      <c r="BR30" s="90">
        <f>IFERROR(__xludf.DUMMYFUNCTION("""COMPUTED_VALUE"""),137.4186682896532)</f>
        <v>137.4186683</v>
      </c>
      <c r="BS30" s="90">
        <f>IFERROR(__xludf.DUMMYFUNCTION("""COMPUTED_VALUE"""),139.85739904497083)</f>
        <v>139.857399</v>
      </c>
      <c r="BT30" s="90">
        <f>IFERROR(__xludf.DUMMYFUNCTION("""COMPUTED_VALUE"""),142.34006750342292)</f>
        <v>142.3400675</v>
      </c>
      <c r="BU30" s="90">
        <f>IFERROR(__xludf.DUMMYFUNCTION("""COMPUTED_VALUE"""),144.8668292265056)</f>
        <v>144.8668292</v>
      </c>
      <c r="BV30" s="90">
        <f>IFERROR(__xludf.DUMMYFUNCTION("""COMPUTED_VALUE"""),147.43804260594635)</f>
        <v>147.4380426</v>
      </c>
      <c r="BW30" s="90">
        <f>IFERROR(__xludf.DUMMYFUNCTION("""COMPUTED_VALUE"""),150.05501606904636)</f>
        <v>150.0550161</v>
      </c>
      <c r="BX30" s="106"/>
      <c r="BY30" s="106"/>
      <c r="BZ30" s="106"/>
      <c r="CA30" s="106"/>
      <c r="CB30" s="106"/>
      <c r="CC30" s="106"/>
      <c r="CD30" s="106"/>
      <c r="CE30" s="106"/>
      <c r="CF30" s="106"/>
      <c r="CG30" s="106"/>
    </row>
    <row r="31" ht="15.75" customHeight="1">
      <c r="A31" s="7" t="str">
        <f>IFERROR(__xludf.DUMMYFUNCTION("""COMPUTED_VALUE"""),"Total Trials")</f>
        <v>Total Trials</v>
      </c>
      <c r="B31" s="1"/>
      <c r="C31" s="1"/>
      <c r="D31" s="130">
        <f>IFERROR(__xludf.DUMMYFUNCTION("""COMPUTED_VALUE"""),17.7)</f>
        <v>17.7</v>
      </c>
      <c r="E31" s="130">
        <f>IFERROR(__xludf.DUMMYFUNCTION("""COMPUTED_VALUE"""),44.0)</f>
        <v>44</v>
      </c>
      <c r="F31" s="130">
        <f>IFERROR(__xludf.DUMMYFUNCTION("""COMPUTED_VALUE"""),34.2)</f>
        <v>34.2</v>
      </c>
      <c r="G31" s="130">
        <f>IFERROR(__xludf.DUMMYFUNCTION("""COMPUTED_VALUE"""),46.0)</f>
        <v>46</v>
      </c>
      <c r="H31" s="130">
        <f>IFERROR(__xludf.DUMMYFUNCTION("""COMPUTED_VALUE"""),35.7)</f>
        <v>35.7</v>
      </c>
      <c r="I31" s="130">
        <f>IFERROR(__xludf.DUMMYFUNCTION("""COMPUTED_VALUE"""),45.0)</f>
        <v>45</v>
      </c>
      <c r="J31" s="130">
        <f>IFERROR(__xludf.DUMMYFUNCTION("""COMPUTED_VALUE"""),57.0)</f>
        <v>57</v>
      </c>
      <c r="K31" s="130">
        <f>IFERROR(__xludf.DUMMYFUNCTION("""COMPUTED_VALUE"""),56.8)</f>
        <v>56.8</v>
      </c>
      <c r="L31" s="130">
        <f>IFERROR(__xludf.DUMMYFUNCTION("""COMPUTED_VALUE"""),52.0)</f>
        <v>52</v>
      </c>
      <c r="M31" s="130">
        <f>IFERROR(__xludf.DUMMYFUNCTION("""COMPUTED_VALUE"""),58.0)</f>
        <v>58</v>
      </c>
      <c r="N31" s="130">
        <f>IFERROR(__xludf.DUMMYFUNCTION("""COMPUTED_VALUE"""),59.0)</f>
        <v>59</v>
      </c>
      <c r="O31" s="130">
        <f>IFERROR(__xludf.DUMMYFUNCTION("""COMPUTED_VALUE"""),59.0)</f>
        <v>59</v>
      </c>
      <c r="P31" s="130">
        <f>IFERROR(__xludf.DUMMYFUNCTION("""COMPUTED_VALUE"""),61.0)</f>
        <v>61</v>
      </c>
      <c r="Q31" s="130">
        <f>IFERROR(__xludf.DUMMYFUNCTION("""COMPUTED_VALUE"""),68.0)</f>
        <v>68</v>
      </c>
      <c r="R31" s="130">
        <f>IFERROR(__xludf.DUMMYFUNCTION("""COMPUTED_VALUE"""),65.0)</f>
        <v>65</v>
      </c>
      <c r="S31" s="130">
        <f>IFERROR(__xludf.DUMMYFUNCTION("""COMPUTED_VALUE"""),74.0)</f>
        <v>74</v>
      </c>
      <c r="T31" s="130">
        <f>IFERROR(__xludf.DUMMYFUNCTION("""COMPUTED_VALUE"""),56.0)</f>
        <v>56</v>
      </c>
      <c r="U31" s="130">
        <f>IFERROR(__xludf.DUMMYFUNCTION("""COMPUTED_VALUE"""),64.0)</f>
        <v>64</v>
      </c>
      <c r="V31" s="130">
        <f>IFERROR(__xludf.DUMMYFUNCTION("""COMPUTED_VALUE"""),70.0)</f>
        <v>70</v>
      </c>
      <c r="W31" s="130">
        <f>IFERROR(__xludf.DUMMYFUNCTION("""COMPUTED_VALUE"""),84.0)</f>
        <v>84</v>
      </c>
      <c r="X31" s="130">
        <f>IFERROR(__xludf.DUMMYFUNCTION("""COMPUTED_VALUE"""),82.0)</f>
        <v>82</v>
      </c>
      <c r="Y31" s="130">
        <f>IFERROR(__xludf.DUMMYFUNCTION("""COMPUTED_VALUE"""),77.20414768534306)</f>
        <v>77.20414769</v>
      </c>
      <c r="Z31" s="130">
        <f>IFERROR(__xludf.DUMMYFUNCTION("""COMPUTED_VALUE"""),83.33021858396981)</f>
        <v>83.33021858</v>
      </c>
      <c r="AA31" s="130">
        <f>IFERROR(__xludf.DUMMYFUNCTION("""COMPUTED_VALUE"""),85.4111276567389)</f>
        <v>85.41112766</v>
      </c>
      <c r="AB31" s="130">
        <f>IFERROR(__xludf.DUMMYFUNCTION("""COMPUTED_VALUE"""),87.26176922804555)</f>
        <v>87.26176923</v>
      </c>
      <c r="AC31" s="130">
        <f>IFERROR(__xludf.DUMMYFUNCTION("""COMPUTED_VALUE"""),90.01763721480381)</f>
        <v>90.01763721</v>
      </c>
      <c r="AD31" s="130">
        <f>IFERROR(__xludf.DUMMYFUNCTION("""COMPUTED_VALUE"""),88.18806342538618)</f>
        <v>88.18806343</v>
      </c>
      <c r="AE31" s="130">
        <f>IFERROR(__xludf.DUMMYFUNCTION("""COMPUTED_VALUE"""),87.19280634840558)</f>
        <v>87.19280635</v>
      </c>
      <c r="AF31" s="130">
        <f>IFERROR(__xludf.DUMMYFUNCTION("""COMPUTED_VALUE"""),78.46549272178373)</f>
        <v>78.46549272</v>
      </c>
      <c r="AG31" s="130">
        <f>IFERROR(__xludf.DUMMYFUNCTION("""COMPUTED_VALUE"""),81.15380814448415)</f>
        <v>81.15380814</v>
      </c>
      <c r="AH31" s="130">
        <f>IFERROR(__xludf.DUMMYFUNCTION("""COMPUTED_VALUE"""),83.23570801181606)</f>
        <v>83.23570801</v>
      </c>
      <c r="AI31" s="130">
        <f>IFERROR(__xludf.DUMMYFUNCTION("""COMPUTED_VALUE"""),84.60191144316099)</f>
        <v>84.60191144</v>
      </c>
      <c r="AJ31" s="130">
        <f>IFERROR(__xludf.DUMMYFUNCTION("""COMPUTED_VALUE"""),86.7569767460613)</f>
        <v>86.75697675</v>
      </c>
      <c r="AK31" s="130">
        <f>IFERROR(__xludf.DUMMYFUNCTION("""COMPUTED_VALUE"""),88.74990609573621)</f>
        <v>88.7499061</v>
      </c>
      <c r="AL31" s="130">
        <f>IFERROR(__xludf.DUMMYFUNCTION("""COMPUTED_VALUE"""),90.71452263303178)</f>
        <v>90.71452263</v>
      </c>
      <c r="AM31" s="130">
        <f>IFERROR(__xludf.DUMMYFUNCTION("""COMPUTED_VALUE"""),92.86319997749845)</f>
        <v>92.86319998</v>
      </c>
      <c r="AN31" s="130">
        <f>IFERROR(__xludf.DUMMYFUNCTION("""COMPUTED_VALUE"""),95.01021275974705)</f>
        <v>95.01021276</v>
      </c>
      <c r="AO31" s="130">
        <f>IFERROR(__xludf.DUMMYFUNCTION("""COMPUTED_VALUE"""),97.2044101889887)</f>
        <v>97.20441019</v>
      </c>
      <c r="AP31" s="130">
        <f>IFERROR(__xludf.DUMMYFUNCTION("""COMPUTED_VALUE"""),99.46925243852057)</f>
        <v>99.46925244</v>
      </c>
      <c r="AQ31" s="130">
        <f>IFERROR(__xludf.DUMMYFUNCTION("""COMPUTED_VALUE"""),101.76986483941681)</f>
        <v>101.7698648</v>
      </c>
      <c r="AR31" s="130">
        <f>IFERROR(__xludf.DUMMYFUNCTION("""COMPUTED_VALUE"""),104.11767650128806)</f>
        <v>104.1176765</v>
      </c>
      <c r="AS31" s="130">
        <f>IFERROR(__xludf.DUMMYFUNCTION("""COMPUTED_VALUE"""),106.51274550837576)</f>
        <v>106.5127455</v>
      </c>
      <c r="AT31" s="130">
        <f>IFERROR(__xludf.DUMMYFUNCTION("""COMPUTED_VALUE"""),108.947871217853)</f>
        <v>108.9478712</v>
      </c>
      <c r="AU31" s="130">
        <f>IFERROR(__xludf.DUMMYFUNCTION("""COMPUTED_VALUE"""),111.42435932960177)</f>
        <v>111.4243593</v>
      </c>
      <c r="AV31" s="130">
        <f>IFERROR(__xludf.DUMMYFUNCTION("""COMPUTED_VALUE"""),113.94042569186512)</f>
        <v>113.9404257</v>
      </c>
      <c r="AW31" s="130">
        <f>IFERROR(__xludf.DUMMYFUNCTION("""COMPUTED_VALUE"""),116.49370545998745)</f>
        <v>116.4937055</v>
      </c>
      <c r="AX31" s="130">
        <f>IFERROR(__xludf.DUMMYFUNCTION("""COMPUTED_VALUE"""),119.08332258138107)</f>
        <v>119.0833226</v>
      </c>
      <c r="AY31" s="130">
        <f>IFERROR(__xludf.DUMMYFUNCTION("""COMPUTED_VALUE"""),121.70773368260502)</f>
        <v>121.7077337</v>
      </c>
      <c r="AZ31" s="130">
        <f>IFERROR(__xludf.DUMMYFUNCTION("""COMPUTED_VALUE"""),118.94126645381286)</f>
        <v>118.9412665</v>
      </c>
      <c r="BA31" s="130">
        <f>IFERROR(__xludf.DUMMYFUNCTION("""COMPUTED_VALUE"""),120.86638199754552)</f>
        <v>120.866382</v>
      </c>
      <c r="BB31" s="130">
        <f>IFERROR(__xludf.DUMMYFUNCTION("""COMPUTED_VALUE"""),122.4724368786897)</f>
        <v>122.4724369</v>
      </c>
      <c r="BC31" s="130">
        <f>IFERROR(__xludf.DUMMYFUNCTION("""COMPUTED_VALUE"""),123.6407994206738)</f>
        <v>123.6407994</v>
      </c>
      <c r="BD31" s="130">
        <f>IFERROR(__xludf.DUMMYFUNCTION("""COMPUTED_VALUE"""),124.2543724847838)</f>
        <v>124.2543725</v>
      </c>
      <c r="BE31" s="130">
        <f>IFERROR(__xludf.DUMMYFUNCTION("""COMPUTED_VALUE"""),125.74651394414312)</f>
        <v>125.7465139</v>
      </c>
      <c r="BF31" s="130">
        <f>IFERROR(__xludf.DUMMYFUNCTION("""COMPUTED_VALUE"""),127.1214742996419)</f>
        <v>127.1214743</v>
      </c>
      <c r="BG31" s="130">
        <f>IFERROR(__xludf.DUMMYFUNCTION("""COMPUTED_VALUE"""),128.4321465005034)</f>
        <v>128.4321465</v>
      </c>
      <c r="BH31" s="130">
        <f>IFERROR(__xludf.DUMMYFUNCTION("""COMPUTED_VALUE"""),129.7762092151715)</f>
        <v>129.7762092</v>
      </c>
      <c r="BI31" s="130">
        <f>IFERROR(__xludf.DUMMYFUNCTION("""COMPUTED_VALUE"""),131.3074403882919)</f>
        <v>131.3074404</v>
      </c>
      <c r="BJ31" s="130">
        <f>IFERROR(__xludf.DUMMYFUNCTION("""COMPUTED_VALUE"""),132.84539475890745)</f>
        <v>132.8453948</v>
      </c>
      <c r="BK31" s="130">
        <f>IFERROR(__xludf.DUMMYFUNCTION("""COMPUTED_VALUE"""),134.42257086021348)</f>
        <v>134.4225709</v>
      </c>
      <c r="BL31" s="130">
        <f>IFERROR(__xludf.DUMMYFUNCTION("""COMPUTED_VALUE"""),136.06613640278363)</f>
        <v>136.0661364</v>
      </c>
      <c r="BM31" s="130">
        <f>IFERROR(__xludf.DUMMYFUNCTION("""COMPUTED_VALUE"""),137.7848365266924)</f>
        <v>137.7848365</v>
      </c>
      <c r="BN31" s="130">
        <f>IFERROR(__xludf.DUMMYFUNCTION("""COMPUTED_VALUE"""),139.54953005338086)</f>
        <v>139.5495301</v>
      </c>
      <c r="BO31" s="130">
        <f>IFERROR(__xludf.DUMMYFUNCTION("""COMPUTED_VALUE"""),141.3705905912395)</f>
        <v>141.3705906</v>
      </c>
      <c r="BP31" s="130">
        <f>IFERROR(__xludf.DUMMYFUNCTION("""COMPUTED_VALUE"""),143.25260821917135)</f>
        <v>143.2526082</v>
      </c>
      <c r="BQ31" s="130">
        <f>IFERROR(__xludf.DUMMYFUNCTION("""COMPUTED_VALUE"""),145.19427155903534)</f>
        <v>145.1942716</v>
      </c>
      <c r="BR31" s="130">
        <f>IFERROR(__xludf.DUMMYFUNCTION("""COMPUTED_VALUE"""),147.19163837766112)</f>
        <v>147.1916384</v>
      </c>
      <c r="BS31" s="130">
        <f>IFERROR(__xludf.DUMMYFUNCTION("""COMPUTED_VALUE"""),149.24734411315586)</f>
        <v>149.2473441</v>
      </c>
      <c r="BT31" s="130">
        <f>IFERROR(__xludf.DUMMYFUNCTION("""COMPUTED_VALUE"""),151.3619991763104)</f>
        <v>151.3619992</v>
      </c>
      <c r="BU31" s="130">
        <f>IFERROR(__xludf.DUMMYFUNCTION("""COMPUTED_VALUE"""),153.53517078998556)</f>
        <v>153.5351708</v>
      </c>
      <c r="BV31" s="130">
        <f>IFERROR(__xludf.DUMMYFUNCTION("""COMPUTED_VALUE"""),155.7666520641061)</f>
        <v>155.7666521</v>
      </c>
      <c r="BW31" s="130">
        <f>IFERROR(__xludf.DUMMYFUNCTION("""COMPUTED_VALUE"""),158.05720829893536)</f>
        <v>158.0572083</v>
      </c>
      <c r="BX31" s="130"/>
      <c r="BY31" s="130"/>
      <c r="BZ31" s="130"/>
      <c r="CA31" s="130"/>
      <c r="CB31" s="130"/>
      <c r="CC31" s="130"/>
      <c r="CD31" s="130"/>
      <c r="CE31" s="130"/>
      <c r="CF31" s="130"/>
      <c r="CG31" s="130"/>
    </row>
    <row r="32" ht="15.75" customHeight="1">
      <c r="A32" s="1" t="str">
        <f>IFERROR(__xludf.DUMMYFUNCTION("""COMPUTED_VALUE"""),"  Opp-to-Trial Conversion Rate")</f>
        <v>  Opp-to-Trial Conversion Rate</v>
      </c>
      <c r="B32" s="1"/>
      <c r="C32" s="1"/>
      <c r="D32" s="109">
        <f>IFERROR(__xludf.DUMMYFUNCTION("""COMPUTED_VALUE"""),0.6704545454545454)</f>
        <v>0.6704545455</v>
      </c>
      <c r="E32" s="109">
        <f>IFERROR(__xludf.DUMMYFUNCTION("""COMPUTED_VALUE"""),0.763888888888889)</f>
        <v>0.7638888889</v>
      </c>
      <c r="F32" s="109">
        <f>IFERROR(__xludf.DUMMYFUNCTION("""COMPUTED_VALUE"""),0.5937500000000001)</f>
        <v>0.59375</v>
      </c>
      <c r="G32" s="109">
        <f>IFERROR(__xludf.DUMMYFUNCTION("""COMPUTED_VALUE"""),0.6676342525399128)</f>
        <v>0.6676342525</v>
      </c>
      <c r="H32" s="109">
        <f>IFERROR(__xludf.DUMMYFUNCTION("""COMPUTED_VALUE"""),0.6574585635359117)</f>
        <v>0.6574585635</v>
      </c>
      <c r="I32" s="109">
        <f>IFERROR(__xludf.DUMMYFUNCTION("""COMPUTED_VALUE"""),0.7758620689655172)</f>
        <v>0.775862069</v>
      </c>
      <c r="J32" s="109">
        <f>IFERROR(__xludf.DUMMYFUNCTION("""COMPUTED_VALUE"""),0.6842737094837935)</f>
        <v>0.6842737095</v>
      </c>
      <c r="K32" s="109">
        <f>IFERROR(__xludf.DUMMYFUNCTION("""COMPUTED_VALUE"""),0.8033946251768035)</f>
        <v>0.8033946252</v>
      </c>
      <c r="L32" s="109">
        <f>IFERROR(__xludf.DUMMYFUNCTION("""COMPUTED_VALUE"""),0.5771365149833518)</f>
        <v>0.577136515</v>
      </c>
      <c r="M32" s="109">
        <f>IFERROR(__xludf.DUMMYFUNCTION("""COMPUTED_VALUE"""),0.5365402405180388)</f>
        <v>0.5365402405</v>
      </c>
      <c r="N32" s="109">
        <f>IFERROR(__xludf.DUMMYFUNCTION("""COMPUTED_VALUE"""),0.4446119065561417)</f>
        <v>0.4446119066</v>
      </c>
      <c r="O32" s="109">
        <f>IFERROR(__xludf.DUMMYFUNCTION("""COMPUTED_VALUE"""),0.31399680681213415)</f>
        <v>0.3139968068</v>
      </c>
      <c r="P32" s="109">
        <f>IFERROR(__xludf.DUMMYFUNCTION("""COMPUTED_VALUE"""),0.2222222222222222)</f>
        <v>0.2222222222</v>
      </c>
      <c r="Q32" s="109">
        <f>IFERROR(__xludf.DUMMYFUNCTION("""COMPUTED_VALUE"""),0.2298850574712644)</f>
        <v>0.2298850575</v>
      </c>
      <c r="R32" s="109">
        <f>IFERROR(__xludf.DUMMYFUNCTION("""COMPUTED_VALUE"""),0.3396029258098224)</f>
        <v>0.3396029258</v>
      </c>
      <c r="S32" s="109">
        <f>IFERROR(__xludf.DUMMYFUNCTION("""COMPUTED_VALUE"""),0.3173241852487136)</f>
        <v>0.3173241852</v>
      </c>
      <c r="T32" s="109">
        <f>IFERROR(__xludf.DUMMYFUNCTION("""COMPUTED_VALUE"""),0.2912116484659386)</f>
        <v>0.2912116485</v>
      </c>
      <c r="U32" s="109">
        <f>IFERROR(__xludf.DUMMYFUNCTION("""COMPUTED_VALUE"""),0.31651829871414444)</f>
        <v>0.3165182987</v>
      </c>
      <c r="V32" s="109">
        <f>IFERROR(__xludf.DUMMYFUNCTION("""COMPUTED_VALUE"""),0.3173164097914778)</f>
        <v>0.3173164098</v>
      </c>
      <c r="W32" s="109">
        <f>IFERROR(__xludf.DUMMYFUNCTION("""COMPUTED_VALUE"""),0.5581395348837209)</f>
        <v>0.5581395349</v>
      </c>
      <c r="X32" s="109">
        <f>IFERROR(__xludf.DUMMYFUNCTION("""COMPUTED_VALUE"""),0.4261954261954262)</f>
        <v>0.4261954262</v>
      </c>
      <c r="Y32" s="109">
        <f>IFERROR(__xludf.DUMMYFUNCTION("""COMPUTED_VALUE"""),0.41636755039008827)</f>
        <v>0.4163675504</v>
      </c>
      <c r="Z32" s="109">
        <f>IFERROR(__xludf.DUMMYFUNCTION("""COMPUTED_VALUE"""),0.4595175634230479)</f>
        <v>0.4595175634</v>
      </c>
      <c r="AA32" s="109">
        <f>IFERROR(__xludf.DUMMYFUNCTION("""COMPUTED_VALUE"""),0.43419097788650957)</f>
        <v>0.4341909779</v>
      </c>
      <c r="AB32" s="109">
        <f>IFERROR(__xludf.DUMMYFUNCTION("""COMPUTED_VALUE"""),0.43721949723432624)</f>
        <v>0.4372194972</v>
      </c>
      <c r="AC32" s="109">
        <f>IFERROR(__xludf.DUMMYFUNCTION("""COMPUTED_VALUE"""),0.44364683828721624)</f>
        <v>0.4436468383</v>
      </c>
      <c r="AD32" s="109">
        <f>IFERROR(__xludf.DUMMYFUNCTION("""COMPUTED_VALUE"""),0.437683849404013)</f>
        <v>0.4376838494</v>
      </c>
      <c r="AE32" s="109">
        <f>IFERROR(__xludf.DUMMYFUNCTION("""COMPUTED_VALUE"""),0.4381977349918063)</f>
        <v>0.438197735</v>
      </c>
      <c r="AF32" s="109">
        <f>IFERROR(__xludf.DUMMYFUNCTION("""COMPUTED_VALUE"""),0.43894351046285585)</f>
        <v>0.4389435105</v>
      </c>
      <c r="AG32" s="109">
        <f>IFERROR(__xludf.DUMMYFUNCTION("""COMPUTED_VALUE"""),0.4392607602856143)</f>
        <v>0.4392607603</v>
      </c>
      <c r="AH32" s="109">
        <f>IFERROR(__xludf.DUMMYFUNCTION("""COMPUTED_VALUE"""),0.4411384317060476)</f>
        <v>0.4411384317</v>
      </c>
      <c r="AI32" s="109">
        <f>IFERROR(__xludf.DUMMYFUNCTION("""COMPUTED_VALUE"""),0.44282746645199594)</f>
        <v>0.4428274665</v>
      </c>
      <c r="AJ32" s="109">
        <f>IFERROR(__xludf.DUMMYFUNCTION("""COMPUTED_VALUE"""),0.44397589517470304)</f>
        <v>0.4439758952</v>
      </c>
      <c r="AK32" s="109">
        <f>IFERROR(__xludf.DUMMYFUNCTION("""COMPUTED_VALUE"""),0.4453983343631519)</f>
        <v>0.4453983344</v>
      </c>
      <c r="AL32" s="109">
        <f>IFERROR(__xludf.DUMMYFUNCTION("""COMPUTED_VALUE"""),0.44667428105373314)</f>
        <v>0.4466742811</v>
      </c>
      <c r="AM32" s="109">
        <f>IFERROR(__xludf.DUMMYFUNCTION("""COMPUTED_VALUE"""),0.44781871318634203)</f>
        <v>0.4478187132</v>
      </c>
      <c r="AN32" s="109">
        <f>IFERROR(__xludf.DUMMYFUNCTION("""COMPUTED_VALUE"""),0.44896428044416703)</f>
        <v>0.4489642804</v>
      </c>
      <c r="AO32" s="109">
        <f>IFERROR(__xludf.DUMMYFUNCTION("""COMPUTED_VALUE"""),0.45002333954635104)</f>
        <v>0.4500233395</v>
      </c>
      <c r="AP32" s="109">
        <f>IFERROR(__xludf.DUMMYFUNCTION("""COMPUTED_VALUE"""),0.45101593608651264)</f>
        <v>0.4510159361</v>
      </c>
      <c r="AQ32" s="109">
        <f>IFERROR(__xludf.DUMMYFUNCTION("""COMPUTED_VALUE"""),0.45196269941779693)</f>
        <v>0.4519626994</v>
      </c>
      <c r="AR32" s="109">
        <f>IFERROR(__xludf.DUMMYFUNCTION("""COMPUTED_VALUE"""),0.45284895456596386)</f>
        <v>0.4528489546</v>
      </c>
      <c r="AS32" s="109">
        <f>IFERROR(__xludf.DUMMYFUNCTION("""COMPUTED_VALUE"""),0.453683167058963)</f>
        <v>0.4536831671</v>
      </c>
      <c r="AT32" s="109">
        <f>IFERROR(__xludf.DUMMYFUNCTION("""COMPUTED_VALUE"""),0.4544698682831319)</f>
        <v>0.4544698683</v>
      </c>
      <c r="AU32" s="109">
        <f>IFERROR(__xludf.DUMMYFUNCTION("""COMPUTED_VALUE"""),0.45520862007858337)</f>
        <v>0.4552086201</v>
      </c>
      <c r="AV32" s="109">
        <f>IFERROR(__xludf.DUMMYFUNCTION("""COMPUTED_VALUE"""),0.45590340213396485)</f>
        <v>0.4559034021</v>
      </c>
      <c r="AW32" s="109">
        <f>IFERROR(__xludf.DUMMYFUNCTION("""COMPUTED_VALUE"""),0.4565567207119063)</f>
        <v>0.4565567207</v>
      </c>
      <c r="AX32" s="109">
        <f>IFERROR(__xludf.DUMMYFUNCTION("""COMPUTED_VALUE"""),0.45717045979007076)</f>
        <v>0.4571704598</v>
      </c>
      <c r="AY32" s="109">
        <f>IFERROR(__xludf.DUMMYFUNCTION("""COMPUTED_VALUE"""),0.45774719947006565)</f>
        <v>0.4577471995</v>
      </c>
      <c r="AZ32" s="109">
        <f>IFERROR(__xludf.DUMMYFUNCTION("""COMPUTED_VALUE"""),0.45789991604184854)</f>
        <v>0.457899916</v>
      </c>
      <c r="BA32" s="109">
        <f>IFERROR(__xludf.DUMMYFUNCTION("""COMPUTED_VALUE"""),0.4583862313190949)</f>
        <v>0.4583862313</v>
      </c>
      <c r="BB32" s="109">
        <f>IFERROR(__xludf.DUMMYFUNCTION("""COMPUTED_VALUE"""),0.458824130796351)</f>
        <v>0.4588241308</v>
      </c>
      <c r="BC32" s="109">
        <f>IFERROR(__xludf.DUMMYFUNCTION("""COMPUTED_VALUE"""),0.4592118267645159)</f>
        <v>0.4592118268</v>
      </c>
      <c r="BD32" s="109">
        <f>IFERROR(__xludf.DUMMYFUNCTION("""COMPUTED_VALUE"""),0.45954819668750174)</f>
        <v>0.4595481967</v>
      </c>
      <c r="BE32" s="109">
        <f>IFERROR(__xludf.DUMMYFUNCTION("""COMPUTED_VALUE"""),0.4599190855446701)</f>
        <v>0.4599190855</v>
      </c>
      <c r="BF32" s="109">
        <f>IFERROR(__xludf.DUMMYFUNCTION("""COMPUTED_VALUE"""),0.46026472504930066)</f>
        <v>0.460264725</v>
      </c>
      <c r="BG32" s="109">
        <f>IFERROR(__xludf.DUMMYFUNCTION("""COMPUTED_VALUE"""),0.4605898096491896)</f>
        <v>0.4605898096</v>
      </c>
      <c r="BH32" s="109">
        <f>IFERROR(__xludf.DUMMYFUNCTION("""COMPUTED_VALUE"""),0.46090031399728776)</f>
        <v>0.460900314</v>
      </c>
      <c r="BI32" s="109">
        <f>IFERROR(__xludf.DUMMYFUNCTION("""COMPUTED_VALUE"""),0.4612034933182499)</f>
        <v>0.4612034933</v>
      </c>
      <c r="BJ32" s="109">
        <f>IFERROR(__xludf.DUMMYFUNCTION("""COMPUTED_VALUE"""),0.46149129862091776)</f>
        <v>0.4614912986</v>
      </c>
      <c r="BK32" s="109">
        <f>IFERROR(__xludf.DUMMYFUNCTION("""COMPUTED_VALUE"""),0.4617657711342512)</f>
        <v>0.4617657711</v>
      </c>
      <c r="BL32" s="109">
        <f>IFERROR(__xludf.DUMMYFUNCTION("""COMPUTED_VALUE"""),0.4620284153526954)</f>
        <v>0.4620284154</v>
      </c>
      <c r="BM32" s="109">
        <f>IFERROR(__xludf.DUMMYFUNCTION("""COMPUTED_VALUE"""),0.4622798582026927)</f>
        <v>0.4622798582</v>
      </c>
      <c r="BN32" s="109">
        <f>IFERROR(__xludf.DUMMYFUNCTION("""COMPUTED_VALUE"""),0.462519457012445)</f>
        <v>0.462519457</v>
      </c>
      <c r="BO32" s="109">
        <f>IFERROR(__xludf.DUMMYFUNCTION("""COMPUTED_VALUE"""),0.462747988536248)</f>
        <v>0.4627479885</v>
      </c>
      <c r="BP32" s="109">
        <f>IFERROR(__xludf.DUMMYFUNCTION("""COMPUTED_VALUE"""),0.462965980165067)</f>
        <v>0.4629659802</v>
      </c>
      <c r="BQ32" s="109">
        <f>IFERROR(__xludf.DUMMYFUNCTION("""COMPUTED_VALUE"""),0.46317376866593707)</f>
        <v>0.4631737687</v>
      </c>
      <c r="BR32" s="109">
        <f>IFERROR(__xludf.DUMMYFUNCTION("""COMPUTED_VALUE"""),0.46337163317976104)</f>
        <v>0.4633716332</v>
      </c>
      <c r="BS32" s="109">
        <f>IFERROR(__xludf.DUMMYFUNCTION("""COMPUTED_VALUE"""),0.4635600238191827)</f>
        <v>0.4635600238</v>
      </c>
      <c r="BT32" s="109">
        <f>IFERROR(__xludf.DUMMYFUNCTION("""COMPUTED_VALUE"""),0.4637393245984899)</f>
        <v>0.4637393246</v>
      </c>
      <c r="BU32" s="109">
        <f>IFERROR(__xludf.DUMMYFUNCTION("""COMPUTED_VALUE"""),0.46390988883107925)</f>
        <v>0.4639098888</v>
      </c>
      <c r="BV32" s="109">
        <f>IFERROR(__xludf.DUMMYFUNCTION("""COMPUTED_VALUE"""),0.46407206943972407)</f>
        <v>0.4640720694</v>
      </c>
      <c r="BW32" s="109">
        <f>IFERROR(__xludf.DUMMYFUNCTION("""COMPUTED_VALUE"""),0.46422622956161946)</f>
        <v>0.4642262296</v>
      </c>
      <c r="BX32" s="109"/>
      <c r="BY32" s="109"/>
      <c r="BZ32" s="109"/>
      <c r="CA32" s="109"/>
      <c r="CB32" s="109"/>
      <c r="CC32" s="109"/>
      <c r="CD32" s="109"/>
      <c r="CE32" s="109"/>
      <c r="CF32" s="109"/>
      <c r="CG32" s="109"/>
    </row>
    <row r="33" ht="15.75" customHeight="1">
      <c r="A33" s="1" t="str">
        <f>IFERROR(__xludf.DUMMYFUNCTION("""COMPUTED_VALUE"""),"New Customers")</f>
        <v>New Customers</v>
      </c>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row>
    <row r="34" ht="15.75" customHeight="1">
      <c r="A34" s="1" t="str">
        <f>IFERROR(__xludf.DUMMYFUNCTION("""COMPUTED_VALUE"""),"  Organic")</f>
        <v>  Organic</v>
      </c>
      <c r="B34" s="1"/>
      <c r="C34" s="1"/>
      <c r="D34" s="90">
        <f>IFERROR(__xludf.DUMMYFUNCTION("""COMPUTED_VALUE"""),5.0)</f>
        <v>5</v>
      </c>
      <c r="E34" s="90">
        <f>IFERROR(__xludf.DUMMYFUNCTION("""COMPUTED_VALUE"""),5.0)</f>
        <v>5</v>
      </c>
      <c r="F34" s="90">
        <f>IFERROR(__xludf.DUMMYFUNCTION("""COMPUTED_VALUE"""),6.0)</f>
        <v>6</v>
      </c>
      <c r="G34" s="90">
        <f>IFERROR(__xludf.DUMMYFUNCTION("""COMPUTED_VALUE"""),7.0)</f>
        <v>7</v>
      </c>
      <c r="H34" s="90">
        <f>IFERROR(__xludf.DUMMYFUNCTION("""COMPUTED_VALUE"""),7.0)</f>
        <v>7</v>
      </c>
      <c r="I34" s="90">
        <f>IFERROR(__xludf.DUMMYFUNCTION("""COMPUTED_VALUE"""),4.0)</f>
        <v>4</v>
      </c>
      <c r="J34" s="90">
        <f>IFERROR(__xludf.DUMMYFUNCTION("""COMPUTED_VALUE"""),11.0)</f>
        <v>11</v>
      </c>
      <c r="K34" s="90">
        <f>IFERROR(__xludf.DUMMYFUNCTION("""COMPUTED_VALUE"""),7.0)</f>
        <v>7</v>
      </c>
      <c r="L34" s="90">
        <f>IFERROR(__xludf.DUMMYFUNCTION("""COMPUTED_VALUE"""),8.0)</f>
        <v>8</v>
      </c>
      <c r="M34" s="90">
        <f>IFERROR(__xludf.DUMMYFUNCTION("""COMPUTED_VALUE"""),6.0)</f>
        <v>6</v>
      </c>
      <c r="N34" s="90">
        <f>IFERROR(__xludf.DUMMYFUNCTION("""COMPUTED_VALUE"""),6.0)</f>
        <v>6</v>
      </c>
      <c r="O34" s="90">
        <f>IFERROR(__xludf.DUMMYFUNCTION("""COMPUTED_VALUE"""),8.0)</f>
        <v>8</v>
      </c>
      <c r="P34" s="90">
        <f>IFERROR(__xludf.DUMMYFUNCTION("""COMPUTED_VALUE"""),7.0)</f>
        <v>7</v>
      </c>
      <c r="Q34" s="90">
        <f>IFERROR(__xludf.DUMMYFUNCTION("""COMPUTED_VALUE"""),13.0)</f>
        <v>13</v>
      </c>
      <c r="R34" s="90">
        <f>IFERROR(__xludf.DUMMYFUNCTION("""COMPUTED_VALUE"""),8.0)</f>
        <v>8</v>
      </c>
      <c r="S34" s="90">
        <f>IFERROR(__xludf.DUMMYFUNCTION("""COMPUTED_VALUE"""),18.0)</f>
        <v>18</v>
      </c>
      <c r="T34" s="90">
        <f>IFERROR(__xludf.DUMMYFUNCTION("""COMPUTED_VALUE"""),10.0)</f>
        <v>10</v>
      </c>
      <c r="U34" s="90">
        <f>IFERROR(__xludf.DUMMYFUNCTION("""COMPUTED_VALUE"""),19.0)</f>
        <v>19</v>
      </c>
      <c r="V34" s="90">
        <f>IFERROR(__xludf.DUMMYFUNCTION("""COMPUTED_VALUE"""),17.0)</f>
        <v>17</v>
      </c>
      <c r="W34" s="90">
        <f>IFERROR(__xludf.DUMMYFUNCTION("""COMPUTED_VALUE"""),13.0)</f>
        <v>13</v>
      </c>
      <c r="X34" s="90">
        <f>IFERROR(__xludf.DUMMYFUNCTION("""COMPUTED_VALUE"""),12.0)</f>
        <v>12</v>
      </c>
      <c r="Y34" s="90">
        <f>IFERROR(__xludf.DUMMYFUNCTION("""COMPUTED_VALUE"""),11.0)</f>
        <v>11</v>
      </c>
      <c r="Z34" s="90">
        <f>IFERROR(__xludf.DUMMYFUNCTION("""COMPUTED_VALUE"""),11.0)</f>
        <v>11</v>
      </c>
      <c r="AA34" s="90">
        <f>IFERROR(__xludf.DUMMYFUNCTION("""COMPUTED_VALUE"""),13.0)</f>
        <v>13</v>
      </c>
      <c r="AB34" s="90">
        <f>IFERROR(__xludf.DUMMYFUNCTION("""COMPUTED_VALUE"""),13.0)</f>
        <v>13</v>
      </c>
      <c r="AC34" s="90">
        <f>IFERROR(__xludf.DUMMYFUNCTION("""COMPUTED_VALUE"""),14.0)</f>
        <v>14</v>
      </c>
      <c r="AD34" s="90">
        <f>IFERROR(__xludf.DUMMYFUNCTION("""COMPUTED_VALUE"""),10.0)</f>
        <v>10</v>
      </c>
      <c r="AE34" s="90">
        <f>IFERROR(__xludf.DUMMYFUNCTION("""COMPUTED_VALUE"""),7.0)</f>
        <v>7</v>
      </c>
      <c r="AF34" s="90">
        <f>IFERROR(__xludf.DUMMYFUNCTION("""COMPUTED_VALUE"""),9.487417555017908)</f>
        <v>9.487417555</v>
      </c>
      <c r="AG34" s="90">
        <f>IFERROR(__xludf.DUMMYFUNCTION("""COMPUTED_VALUE"""),8.146291654298173)</f>
        <v>8.146291654</v>
      </c>
      <c r="AH34" s="90">
        <f>IFERROR(__xludf.DUMMYFUNCTION("""COMPUTED_VALUE"""),7.576177606949953)</f>
        <v>7.576177607</v>
      </c>
      <c r="AI34" s="90">
        <f>IFERROR(__xludf.DUMMYFUNCTION("""COMPUTED_VALUE"""),7.753382909095409)</f>
        <v>7.753382909</v>
      </c>
      <c r="AJ34" s="90">
        <f>IFERROR(__xludf.DUMMYFUNCTION("""COMPUTED_VALUE"""),7.220074898414457)</f>
        <v>7.220074898</v>
      </c>
      <c r="AK34" s="90">
        <f>IFERROR(__xludf.DUMMYFUNCTION("""COMPUTED_VALUE"""),6.935213914407456)</f>
        <v>6.935213914</v>
      </c>
      <c r="AL34" s="90">
        <f>IFERROR(__xludf.DUMMYFUNCTION("""COMPUTED_VALUE"""),6.738083440346658)</f>
        <v>6.73808344</v>
      </c>
      <c r="AM34" s="90">
        <f>IFERROR(__xludf.DUMMYFUNCTION("""COMPUTED_VALUE"""),6.425824777466384)</f>
        <v>6.425824777</v>
      </c>
      <c r="AN34" s="90">
        <f>IFERROR(__xludf.DUMMYFUNCTION("""COMPUTED_VALUE"""),6.181550562425784)</f>
        <v>6.181550562</v>
      </c>
      <c r="AO34" s="90">
        <f>IFERROR(__xludf.DUMMYFUNCTION("""COMPUTED_VALUE"""),5.949758940549247)</f>
        <v>5.949758941</v>
      </c>
      <c r="AP34" s="90">
        <f>IFERROR(__xludf.DUMMYFUNCTION("""COMPUTED_VALUE"""),5.707307169619173)</f>
        <v>5.70730717</v>
      </c>
      <c r="AQ34" s="90">
        <f>IFERROR(__xludf.DUMMYFUNCTION("""COMPUTED_VALUE"""),5.486324735974441)</f>
        <v>5.486324736</v>
      </c>
      <c r="AR34" s="90">
        <f>IFERROR(__xludf.DUMMYFUNCTION("""COMPUTED_VALUE"""),5.272505765661112)</f>
        <v>5.272505766</v>
      </c>
      <c r="AS34" s="90">
        <f>IFERROR(__xludf.DUMMYFUNCTION("""COMPUTED_VALUE"""),5.064214342951503)</f>
        <v>5.064214343</v>
      </c>
      <c r="AT34" s="90">
        <f>IFERROR(__xludf.DUMMYFUNCTION("""COMPUTED_VALUE"""),4.866429046746612)</f>
        <v>4.866429047</v>
      </c>
      <c r="AU34" s="90">
        <f>IFERROR(__xludf.DUMMYFUNCTION("""COMPUTED_VALUE"""),4.675778105815777)</f>
        <v>4.675778106</v>
      </c>
      <c r="AV34" s="90">
        <f>IFERROR(__xludf.DUMMYFUNCTION("""COMPUTED_VALUE"""),4.49225256788103)</f>
        <v>4.492252568</v>
      </c>
      <c r="AW34" s="90">
        <f>IFERROR(__xludf.DUMMYFUNCTION("""COMPUTED_VALUE"""),4.31634385857949)</f>
        <v>4.316343859</v>
      </c>
      <c r="AX34" s="90">
        <f>IFERROR(__xludf.DUMMYFUNCTION("""COMPUTED_VALUE"""),4.147163364927704)</f>
        <v>4.147163365</v>
      </c>
      <c r="AY34" s="90">
        <f>IFERROR(__xludf.DUMMYFUNCTION("""COMPUTED_VALUE"""),3.984586177359652)</f>
        <v>3.984586177</v>
      </c>
      <c r="AZ34" s="90">
        <f>IFERROR(__xludf.DUMMYFUNCTION("""COMPUTED_VALUE"""),3.8284517232671833)</f>
        <v>3.828451723</v>
      </c>
      <c r="BA34" s="90">
        <f>IFERROR(__xludf.DUMMYFUNCTION("""COMPUTED_VALUE"""),3.678398905855415)</f>
        <v>3.678398906</v>
      </c>
      <c r="BB34" s="90">
        <f>IFERROR(__xludf.DUMMYFUNCTION("""COMPUTED_VALUE"""),3.534228867653683)</f>
        <v>3.534228868</v>
      </c>
      <c r="BC34" s="90">
        <f>IFERROR(__xludf.DUMMYFUNCTION("""COMPUTED_VALUE"""),3.395720008272074)</f>
        <v>3.395720008</v>
      </c>
      <c r="BD34" s="90">
        <f>IFERROR(__xludf.DUMMYFUNCTION("""COMPUTED_VALUE"""),3.262631958027366)</f>
        <v>3.262631958</v>
      </c>
      <c r="BE34" s="90">
        <f>IFERROR(__xludf.DUMMYFUNCTION("""COMPUTED_VALUE"""),3.134761477253259)</f>
        <v>3.134761477</v>
      </c>
      <c r="BF34" s="90">
        <f>IFERROR(__xludf.DUMMYFUNCTION("""COMPUTED_VALUE"""),3.011903978524896)</f>
        <v>3.011903979</v>
      </c>
      <c r="BG34" s="90">
        <f>IFERROR(__xludf.DUMMYFUNCTION("""COMPUTED_VALUE"""),2.8938601068103065)</f>
        <v>2.893860107</v>
      </c>
      <c r="BH34" s="90">
        <f>IFERROR(__xludf.DUMMYFUNCTION("""COMPUTED_VALUE"""),2.780443121267278)</f>
        <v>2.780443121</v>
      </c>
      <c r="BI34" s="90">
        <f>IFERROR(__xludf.DUMMYFUNCTION("""COMPUTED_VALUE"""),2.671471355320754)</f>
        <v>2.671471355</v>
      </c>
      <c r="BJ34" s="90">
        <f>IFERROR(__xludf.DUMMYFUNCTION("""COMPUTED_VALUE"""),2.5667701917777888)</f>
        <v>2.566770192</v>
      </c>
      <c r="BK34" s="90">
        <f>IFERROR(__xludf.DUMMYFUNCTION("""COMPUTED_VALUE"""),2.4661726216485067)</f>
        <v>2.466172622</v>
      </c>
      <c r="BL34" s="90">
        <f>IFERROR(__xludf.DUMMYFUNCTION("""COMPUTED_VALUE"""),2.3695177045385716)</f>
        <v>2.369517705</v>
      </c>
      <c r="BM34" s="90">
        <f>IFERROR(__xludf.DUMMYFUNCTION("""COMPUTED_VALUE"""),2.276650874458122)</f>
        <v>2.276650874</v>
      </c>
      <c r="BN34" s="90">
        <f>IFERROR(__xludf.DUMMYFUNCTION("""COMPUTED_VALUE"""),2.187423732230202)</f>
        <v>2.187423732</v>
      </c>
      <c r="BO34" s="90">
        <f>IFERROR(__xludf.DUMMYFUNCTION("""COMPUTED_VALUE"""),2.101693602186512)</f>
        <v>2.101693602</v>
      </c>
      <c r="BP34" s="90">
        <f>IFERROR(__xludf.DUMMYFUNCTION("""COMPUTED_VALUE"""),2.019323426034811)</f>
        <v>2.019323426</v>
      </c>
      <c r="BQ34" s="90">
        <f>IFERROR(__xludf.DUMMYFUNCTION("""COMPUTED_VALUE"""),1.9401815300323608)</f>
        <v>1.94018153</v>
      </c>
      <c r="BR34" s="90">
        <f>IFERROR(__xludf.DUMMYFUNCTION("""COMPUTED_VALUE"""),1.8641413843982693)</f>
        <v>1.864141384</v>
      </c>
      <c r="BS34" s="90">
        <f>IFERROR(__xludf.DUMMYFUNCTION("""COMPUTED_VALUE"""),1.7910814250719675)</f>
        <v>1.791081425</v>
      </c>
      <c r="BT34" s="90">
        <f>IFERROR(__xludf.DUMMYFUNCTION("""COMPUTED_VALUE"""),1.7208848532943724)</f>
        <v>1.720884853</v>
      </c>
      <c r="BU34" s="90">
        <f>IFERROR(__xludf.DUMMYFUNCTION("""COMPUTED_VALUE"""),1.653439445156139)</f>
        <v>1.653439445</v>
      </c>
      <c r="BV34" s="90">
        <f>IFERROR(__xludf.DUMMYFUNCTION("""COMPUTED_VALUE"""),1.5886373765653703)</f>
        <v>1.588637377</v>
      </c>
      <c r="BW34" s="90">
        <f>IFERROR(__xludf.DUMMYFUNCTION("""COMPUTED_VALUE"""),1.5263750492023462)</f>
        <v>1.526375049</v>
      </c>
      <c r="BX34" s="106"/>
      <c r="BY34" s="106"/>
      <c r="BZ34" s="106"/>
      <c r="CA34" s="106"/>
      <c r="CB34" s="106"/>
      <c r="CC34" s="106"/>
      <c r="CD34" s="106"/>
      <c r="CE34" s="106"/>
      <c r="CF34" s="106"/>
      <c r="CG34" s="106"/>
    </row>
    <row r="35" ht="15.75" customHeight="1">
      <c r="A35" s="128" t="str">
        <f>IFERROR(__xludf.DUMMYFUNCTION("""COMPUTED_VALUE"""),"  Adwords")</f>
        <v>  Adwords</v>
      </c>
      <c r="B35" s="128"/>
      <c r="C35" s="128"/>
      <c r="D35" s="129">
        <f>IFERROR(__xludf.DUMMYFUNCTION("""COMPUTED_VALUE"""),5.0)</f>
        <v>5</v>
      </c>
      <c r="E35" s="129">
        <f>IFERROR(__xludf.DUMMYFUNCTION("""COMPUTED_VALUE"""),6.0)</f>
        <v>6</v>
      </c>
      <c r="F35" s="129">
        <f>IFERROR(__xludf.DUMMYFUNCTION("""COMPUTED_VALUE"""),6.0)</f>
        <v>6</v>
      </c>
      <c r="G35" s="129">
        <f>IFERROR(__xludf.DUMMYFUNCTION("""COMPUTED_VALUE"""),6.0)</f>
        <v>6</v>
      </c>
      <c r="H35" s="129">
        <f>IFERROR(__xludf.DUMMYFUNCTION("""COMPUTED_VALUE"""),7.0)</f>
        <v>7</v>
      </c>
      <c r="I35" s="129">
        <f>IFERROR(__xludf.DUMMYFUNCTION("""COMPUTED_VALUE"""),6.0)</f>
        <v>6</v>
      </c>
      <c r="J35" s="129">
        <f>IFERROR(__xludf.DUMMYFUNCTION("""COMPUTED_VALUE"""),10.0)</f>
        <v>10</v>
      </c>
      <c r="K35" s="129">
        <f>IFERROR(__xludf.DUMMYFUNCTION("""COMPUTED_VALUE"""),7.0)</f>
        <v>7</v>
      </c>
      <c r="L35" s="129">
        <f>IFERROR(__xludf.DUMMYFUNCTION("""COMPUTED_VALUE"""),6.0)</f>
        <v>6</v>
      </c>
      <c r="M35" s="129">
        <f>IFERROR(__xludf.DUMMYFUNCTION("""COMPUTED_VALUE"""),8.0)</f>
        <v>8</v>
      </c>
      <c r="N35" s="129">
        <f>IFERROR(__xludf.DUMMYFUNCTION("""COMPUTED_VALUE"""),8.0)</f>
        <v>8</v>
      </c>
      <c r="O35" s="129">
        <f>IFERROR(__xludf.DUMMYFUNCTION("""COMPUTED_VALUE"""),8.0)</f>
        <v>8</v>
      </c>
      <c r="P35" s="129">
        <f>IFERROR(__xludf.DUMMYFUNCTION("""COMPUTED_VALUE"""),8.0)</f>
        <v>8</v>
      </c>
      <c r="Q35" s="129">
        <f>IFERROR(__xludf.DUMMYFUNCTION("""COMPUTED_VALUE"""),12.0)</f>
        <v>12</v>
      </c>
      <c r="R35" s="129">
        <f>IFERROR(__xludf.DUMMYFUNCTION("""COMPUTED_VALUE"""),9.0)</f>
        <v>9</v>
      </c>
      <c r="S35" s="129">
        <f>IFERROR(__xludf.DUMMYFUNCTION("""COMPUTED_VALUE"""),20.0)</f>
        <v>20</v>
      </c>
      <c r="T35" s="129">
        <f>IFERROR(__xludf.DUMMYFUNCTION("""COMPUTED_VALUE"""),10.0)</f>
        <v>10</v>
      </c>
      <c r="U35" s="129">
        <f>IFERROR(__xludf.DUMMYFUNCTION("""COMPUTED_VALUE"""),10.0)</f>
        <v>10</v>
      </c>
      <c r="V35" s="129">
        <f>IFERROR(__xludf.DUMMYFUNCTION("""COMPUTED_VALUE"""),15.0)</f>
        <v>15</v>
      </c>
      <c r="W35" s="129">
        <f>IFERROR(__xludf.DUMMYFUNCTION("""COMPUTED_VALUE"""),17.0)</f>
        <v>17</v>
      </c>
      <c r="X35" s="129">
        <f>IFERROR(__xludf.DUMMYFUNCTION("""COMPUTED_VALUE"""),14.0)</f>
        <v>14</v>
      </c>
      <c r="Y35" s="129">
        <f>IFERROR(__xludf.DUMMYFUNCTION("""COMPUTED_VALUE"""),10.0)</f>
        <v>10</v>
      </c>
      <c r="Z35" s="129">
        <f>IFERROR(__xludf.DUMMYFUNCTION("""COMPUTED_VALUE"""),11.0)</f>
        <v>11</v>
      </c>
      <c r="AA35" s="129">
        <f>IFERROR(__xludf.DUMMYFUNCTION("""COMPUTED_VALUE"""),12.0)</f>
        <v>12</v>
      </c>
      <c r="AB35" s="129">
        <f>IFERROR(__xludf.DUMMYFUNCTION("""COMPUTED_VALUE"""),12.0)</f>
        <v>12</v>
      </c>
      <c r="AC35" s="129">
        <f>IFERROR(__xludf.DUMMYFUNCTION("""COMPUTED_VALUE"""),14.0)</f>
        <v>14</v>
      </c>
      <c r="AD35" s="129">
        <f>IFERROR(__xludf.DUMMYFUNCTION("""COMPUTED_VALUE"""),10.0)</f>
        <v>10</v>
      </c>
      <c r="AE35" s="129">
        <f>IFERROR(__xludf.DUMMYFUNCTION("""COMPUTED_VALUE"""),7.0)</f>
        <v>7</v>
      </c>
      <c r="AF35" s="129">
        <f>IFERROR(__xludf.DUMMYFUNCTION("""COMPUTED_VALUE"""),8.790219982343945)</f>
        <v>8.790219982</v>
      </c>
      <c r="AG35" s="129">
        <f>IFERROR(__xludf.DUMMYFUNCTION("""COMPUTED_VALUE"""),8.627537689259945)</f>
        <v>8.627537689</v>
      </c>
      <c r="AH35" s="129">
        <f>IFERROR(__xludf.DUMMYFUNCTION("""COMPUTED_VALUE"""),9.109800590066307)</f>
        <v>9.10980059</v>
      </c>
      <c r="AI35" s="129">
        <f>IFERROR(__xludf.DUMMYFUNCTION("""COMPUTED_VALUE"""),10.450250224294319)</f>
        <v>10.45025022</v>
      </c>
      <c r="AJ35" s="129">
        <f>IFERROR(__xludf.DUMMYFUNCTION("""COMPUTED_VALUE"""),10.961839973630225)</f>
        <v>10.96183997</v>
      </c>
      <c r="AK35" s="129">
        <f>IFERROR(__xludf.DUMMYFUNCTION("""COMPUTED_VALUE"""),11.739188764611868)</f>
        <v>11.73918876</v>
      </c>
      <c r="AL35" s="129">
        <f>IFERROR(__xludf.DUMMYFUNCTION("""COMPUTED_VALUE"""),12.629058652394823)</f>
        <v>12.62905865</v>
      </c>
      <c r="AM35" s="129">
        <f>IFERROR(__xludf.DUMMYFUNCTION("""COMPUTED_VALUE"""),13.346921903129502)</f>
        <v>13.3469219</v>
      </c>
      <c r="AN35" s="129">
        <f>IFERROR(__xludf.DUMMYFUNCTION("""COMPUTED_VALUE"""),14.143188495051078)</f>
        <v>14.1431885</v>
      </c>
      <c r="AO35" s="129">
        <f>IFERROR(__xludf.DUMMYFUNCTION("""COMPUTED_VALUE"""),14.946357097273184)</f>
        <v>14.9463571</v>
      </c>
      <c r="AP35" s="129">
        <f>IFERROR(__xludf.DUMMYFUNCTION("""COMPUTED_VALUE"""),15.717210183501392)</f>
        <v>15.71721018</v>
      </c>
      <c r="AQ35" s="129">
        <f>IFERROR(__xludf.DUMMYFUNCTION("""COMPUTED_VALUE"""),16.507752127935763)</f>
        <v>16.50775213</v>
      </c>
      <c r="AR35" s="129">
        <f>IFERROR(__xludf.DUMMYFUNCTION("""COMPUTED_VALUE"""),17.296150449860455)</f>
        <v>17.29615045</v>
      </c>
      <c r="AS35" s="129">
        <f>IFERROR(__xludf.DUMMYFUNCTION("""COMPUTED_VALUE"""),18.079136404918174)</f>
        <v>18.0791364</v>
      </c>
      <c r="AT35" s="129">
        <f>IFERROR(__xludf.DUMMYFUNCTION("""COMPUTED_VALUE"""),18.866559630077962)</f>
        <v>18.86655963</v>
      </c>
      <c r="AU35" s="129">
        <f>IFERROR(__xludf.DUMMYFUNCTION("""COMPUTED_VALUE"""),19.652842929295865)</f>
        <v>19.65284293</v>
      </c>
      <c r="AV35" s="129">
        <f>IFERROR(__xludf.DUMMYFUNCTION("""COMPUTED_VALUE"""),20.438361292661)</f>
        <v>20.43836129</v>
      </c>
      <c r="AW35" s="129">
        <f>IFERROR(__xludf.DUMMYFUNCTION("""COMPUTED_VALUE"""),21.224794986732537)</f>
        <v>21.22479499</v>
      </c>
      <c r="AX35" s="129">
        <f>IFERROR(__xludf.DUMMYFUNCTION("""COMPUTED_VALUE"""),22.010871510811583)</f>
        <v>22.01087151</v>
      </c>
      <c r="AY35" s="129">
        <f>IFERROR(__xludf.DUMMYFUNCTION("""COMPUTED_VALUE"""),22.79687414711047)</f>
        <v>22.79687415</v>
      </c>
      <c r="AZ35" s="129">
        <f>IFERROR(__xludf.DUMMYFUNCTION("""COMPUTED_VALUE"""),22.356530500276367)</f>
        <v>22.3565305</v>
      </c>
      <c r="BA35" s="129">
        <f>IFERROR(__xludf.DUMMYFUNCTION("""COMPUTED_VALUE"""),22.9696917543848)</f>
        <v>22.96969175</v>
      </c>
      <c r="BB35" s="129">
        <f>IFERROR(__xludf.DUMMYFUNCTION("""COMPUTED_VALUE"""),23.503738402089354)</f>
        <v>23.5037384</v>
      </c>
      <c r="BC35" s="129">
        <f>IFERROR(__xludf.DUMMYFUNCTION("""COMPUTED_VALUE"""),23.93214788142264)</f>
        <v>23.93214788</v>
      </c>
      <c r="BD35" s="129">
        <f>IFERROR(__xludf.DUMMYFUNCTION("""COMPUTED_VALUE"""),24.22865084857823)</f>
        <v>24.22865085</v>
      </c>
      <c r="BE35" s="129">
        <f>IFERROR(__xludf.DUMMYFUNCTION("""COMPUTED_VALUE"""),24.71763634243613)</f>
        <v>24.71763634</v>
      </c>
      <c r="BF35" s="129">
        <f>IFERROR(__xludf.DUMMYFUNCTION("""COMPUTED_VALUE"""),25.17418862400576)</f>
        <v>25.17418862</v>
      </c>
      <c r="BG35" s="129">
        <f>IFERROR(__xludf.DUMMYFUNCTION("""COMPUTED_VALUE"""),25.61049142730118)</f>
        <v>25.61049143</v>
      </c>
      <c r="BH35" s="129">
        <f>IFERROR(__xludf.DUMMYFUNCTION("""COMPUTED_VALUE"""),26.048861566158617)</f>
        <v>26.04886157</v>
      </c>
      <c r="BI35" s="129">
        <f>IFERROR(__xludf.DUMMYFUNCTION("""COMPUTED_VALUE"""),26.52428529023979)</f>
        <v>26.52428529</v>
      </c>
      <c r="BJ35" s="90">
        <f>IFERROR(__xludf.DUMMYFUNCTION("""COMPUTED_VALUE"""),26.996165471980742)</f>
        <v>26.99616547</v>
      </c>
      <c r="BK35" s="90">
        <f>IFERROR(__xludf.DUMMYFUNCTION("""COMPUTED_VALUE"""),27.47205036066559)</f>
        <v>27.47205036</v>
      </c>
      <c r="BL35" s="90">
        <f>IFERROR(__xludf.DUMMYFUNCTION("""COMPUTED_VALUE"""),27.95827339357499)</f>
        <v>27.95827339</v>
      </c>
      <c r="BM35" s="90">
        <f>IFERROR(__xludf.DUMMYFUNCTION("""COMPUTED_VALUE"""),28.45699501881411)</f>
        <v>28.45699502</v>
      </c>
      <c r="BN35" s="90">
        <f>IFERROR(__xludf.DUMMYFUNCTION("""COMPUTED_VALUE"""),28.96180208549379)</f>
        <v>28.96180209</v>
      </c>
      <c r="BO35" s="90">
        <f>IFERROR(__xludf.DUMMYFUNCTION("""COMPUTED_VALUE"""),29.475209268926346)</f>
        <v>29.47520927</v>
      </c>
      <c r="BP35" s="90">
        <f>IFERROR(__xludf.DUMMYFUNCTION("""COMPUTED_VALUE"""),29.99841693755816)</f>
        <v>29.99841694</v>
      </c>
      <c r="BQ35" s="90">
        <f>IFERROR(__xludf.DUMMYFUNCTION("""COMPUTED_VALUE"""),30.531284713238847)</f>
        <v>30.53128471</v>
      </c>
      <c r="BR35" s="90">
        <f>IFERROR(__xludf.DUMMYFUNCTION("""COMPUTED_VALUE"""),31.073071142537)</f>
        <v>31.07307114</v>
      </c>
      <c r="BS35" s="90">
        <f>IFERROR(__xludf.DUMMYFUNCTION("""COMPUTED_VALUE"""),31.624516261841592)</f>
        <v>31.62451626</v>
      </c>
      <c r="BT35" s="90">
        <f>IFERROR(__xludf.DUMMYFUNCTION("""COMPUTED_VALUE"""),32.185896566102386)</f>
        <v>32.18589657</v>
      </c>
      <c r="BU35" s="90">
        <f>IFERROR(__xludf.DUMMYFUNCTION("""COMPUTED_VALUE"""),32.7572472256642)</f>
        <v>32.75724723</v>
      </c>
      <c r="BV35" s="90">
        <f>IFERROR(__xludf.DUMMYFUNCTION("""COMPUTED_VALUE"""),33.33864928114941)</f>
        <v>33.33864928</v>
      </c>
      <c r="BW35" s="90">
        <f>IFERROR(__xludf.DUMMYFUNCTION("""COMPUTED_VALUE"""),33.93039859473604)</f>
        <v>33.93039859</v>
      </c>
      <c r="BX35" s="106"/>
      <c r="BY35" s="106"/>
      <c r="BZ35" s="106"/>
      <c r="CA35" s="106"/>
      <c r="CB35" s="106"/>
      <c r="CC35" s="106"/>
      <c r="CD35" s="106"/>
      <c r="CE35" s="106"/>
      <c r="CF35" s="106"/>
      <c r="CG35" s="106"/>
    </row>
    <row r="36" ht="15.75" customHeight="1">
      <c r="A36" s="131" t="str">
        <f>IFERROR(__xludf.DUMMYFUNCTION("""COMPUTED_VALUE"""),"Total New Customers")</f>
        <v>Total New Customers</v>
      </c>
      <c r="B36" s="132"/>
      <c r="C36" s="132"/>
      <c r="D36" s="133">
        <f>IFERROR(__xludf.DUMMYFUNCTION("""COMPUTED_VALUE"""),10.0)</f>
        <v>10</v>
      </c>
      <c r="E36" s="133">
        <f>IFERROR(__xludf.DUMMYFUNCTION("""COMPUTED_VALUE"""),11.0)</f>
        <v>11</v>
      </c>
      <c r="F36" s="133">
        <f>IFERROR(__xludf.DUMMYFUNCTION("""COMPUTED_VALUE"""),12.0)</f>
        <v>12</v>
      </c>
      <c r="G36" s="133">
        <f>IFERROR(__xludf.DUMMYFUNCTION("""COMPUTED_VALUE"""),13.0)</f>
        <v>13</v>
      </c>
      <c r="H36" s="133">
        <f>IFERROR(__xludf.DUMMYFUNCTION("""COMPUTED_VALUE"""),14.0)</f>
        <v>14</v>
      </c>
      <c r="I36" s="133">
        <f>IFERROR(__xludf.DUMMYFUNCTION("""COMPUTED_VALUE"""),10.0)</f>
        <v>10</v>
      </c>
      <c r="J36" s="133">
        <f>IFERROR(__xludf.DUMMYFUNCTION("""COMPUTED_VALUE"""),21.0)</f>
        <v>21</v>
      </c>
      <c r="K36" s="133">
        <f>IFERROR(__xludf.DUMMYFUNCTION("""COMPUTED_VALUE"""),14.0)</f>
        <v>14</v>
      </c>
      <c r="L36" s="133">
        <f>IFERROR(__xludf.DUMMYFUNCTION("""COMPUTED_VALUE"""),14.0)</f>
        <v>14</v>
      </c>
      <c r="M36" s="133">
        <f>IFERROR(__xludf.DUMMYFUNCTION("""COMPUTED_VALUE"""),14.0)</f>
        <v>14</v>
      </c>
      <c r="N36" s="133">
        <f>IFERROR(__xludf.DUMMYFUNCTION("""COMPUTED_VALUE"""),14.0)</f>
        <v>14</v>
      </c>
      <c r="O36" s="133">
        <f>IFERROR(__xludf.DUMMYFUNCTION("""COMPUTED_VALUE"""),16.0)</f>
        <v>16</v>
      </c>
      <c r="P36" s="133">
        <f>IFERROR(__xludf.DUMMYFUNCTION("""COMPUTED_VALUE"""),15.0)</f>
        <v>15</v>
      </c>
      <c r="Q36" s="133">
        <f>IFERROR(__xludf.DUMMYFUNCTION("""COMPUTED_VALUE"""),25.0)</f>
        <v>25</v>
      </c>
      <c r="R36" s="133">
        <f>IFERROR(__xludf.DUMMYFUNCTION("""COMPUTED_VALUE"""),17.0)</f>
        <v>17</v>
      </c>
      <c r="S36" s="133">
        <f>IFERROR(__xludf.DUMMYFUNCTION("""COMPUTED_VALUE"""),38.0)</f>
        <v>38</v>
      </c>
      <c r="T36" s="133">
        <f>IFERROR(__xludf.DUMMYFUNCTION("""COMPUTED_VALUE"""),20.0)</f>
        <v>20</v>
      </c>
      <c r="U36" s="133">
        <f>IFERROR(__xludf.DUMMYFUNCTION("""COMPUTED_VALUE"""),29.0)</f>
        <v>29</v>
      </c>
      <c r="V36" s="133">
        <f>IFERROR(__xludf.DUMMYFUNCTION("""COMPUTED_VALUE"""),32.0)</f>
        <v>32</v>
      </c>
      <c r="W36" s="133">
        <f>IFERROR(__xludf.DUMMYFUNCTION("""COMPUTED_VALUE"""),30.0)</f>
        <v>30</v>
      </c>
      <c r="X36" s="133">
        <f>IFERROR(__xludf.DUMMYFUNCTION("""COMPUTED_VALUE"""),26.0)</f>
        <v>26</v>
      </c>
      <c r="Y36" s="133">
        <f>IFERROR(__xludf.DUMMYFUNCTION("""COMPUTED_VALUE"""),21.0)</f>
        <v>21</v>
      </c>
      <c r="Z36" s="133">
        <f>IFERROR(__xludf.DUMMYFUNCTION("""COMPUTED_VALUE"""),22.0)</f>
        <v>22</v>
      </c>
      <c r="AA36" s="133">
        <f>IFERROR(__xludf.DUMMYFUNCTION("""COMPUTED_VALUE"""),25.0)</f>
        <v>25</v>
      </c>
      <c r="AB36" s="133">
        <f>IFERROR(__xludf.DUMMYFUNCTION("""COMPUTED_VALUE"""),25.0)</f>
        <v>25</v>
      </c>
      <c r="AC36" s="133">
        <f>IFERROR(__xludf.DUMMYFUNCTION("""COMPUTED_VALUE"""),28.0)</f>
        <v>28</v>
      </c>
      <c r="AD36" s="133">
        <f>IFERROR(__xludf.DUMMYFUNCTION("""COMPUTED_VALUE"""),20.0)</f>
        <v>20</v>
      </c>
      <c r="AE36" s="133">
        <f>IFERROR(__xludf.DUMMYFUNCTION("""COMPUTED_VALUE"""),14.0)</f>
        <v>14</v>
      </c>
      <c r="AF36" s="133">
        <f>IFERROR(__xludf.DUMMYFUNCTION("""COMPUTED_VALUE"""),18.277637537361855)</f>
        <v>18.27763754</v>
      </c>
      <c r="AG36" s="133">
        <f>IFERROR(__xludf.DUMMYFUNCTION("""COMPUTED_VALUE"""),16.77382934355812)</f>
        <v>16.77382934</v>
      </c>
      <c r="AH36" s="133">
        <f>IFERROR(__xludf.DUMMYFUNCTION("""COMPUTED_VALUE"""),16.68597819701626)</f>
        <v>16.6859782</v>
      </c>
      <c r="AI36" s="133">
        <f>IFERROR(__xludf.DUMMYFUNCTION("""COMPUTED_VALUE"""),18.20363313338973)</f>
        <v>18.20363313</v>
      </c>
      <c r="AJ36" s="133">
        <f>IFERROR(__xludf.DUMMYFUNCTION("""COMPUTED_VALUE"""),18.181914872044683)</f>
        <v>18.18191487</v>
      </c>
      <c r="AK36" s="133">
        <f>IFERROR(__xludf.DUMMYFUNCTION("""COMPUTED_VALUE"""),18.674402679019323)</f>
        <v>18.67440268</v>
      </c>
      <c r="AL36" s="133">
        <f>IFERROR(__xludf.DUMMYFUNCTION("""COMPUTED_VALUE"""),19.36714209274148)</f>
        <v>19.36714209</v>
      </c>
      <c r="AM36" s="133">
        <f>IFERROR(__xludf.DUMMYFUNCTION("""COMPUTED_VALUE"""),19.772746680595887)</f>
        <v>19.77274668</v>
      </c>
      <c r="AN36" s="133">
        <f>IFERROR(__xludf.DUMMYFUNCTION("""COMPUTED_VALUE"""),20.32473905747686)</f>
        <v>20.32473906</v>
      </c>
      <c r="AO36" s="133">
        <f>IFERROR(__xludf.DUMMYFUNCTION("""COMPUTED_VALUE"""),20.89611603782243)</f>
        <v>20.89611604</v>
      </c>
      <c r="AP36" s="133">
        <f>IFERROR(__xludf.DUMMYFUNCTION("""COMPUTED_VALUE"""),21.424517353120564)</f>
        <v>21.42451735</v>
      </c>
      <c r="AQ36" s="133">
        <f>IFERROR(__xludf.DUMMYFUNCTION("""COMPUTED_VALUE"""),21.994076863910205)</f>
        <v>21.99407686</v>
      </c>
      <c r="AR36" s="133">
        <f>IFERROR(__xludf.DUMMYFUNCTION("""COMPUTED_VALUE"""),22.568656215521568)</f>
        <v>22.56865622</v>
      </c>
      <c r="AS36" s="133">
        <f>IFERROR(__xludf.DUMMYFUNCTION("""COMPUTED_VALUE"""),23.143350747869675)</f>
        <v>23.14335075</v>
      </c>
      <c r="AT36" s="133">
        <f>IFERROR(__xludf.DUMMYFUNCTION("""COMPUTED_VALUE"""),23.732988676824576)</f>
        <v>23.73298868</v>
      </c>
      <c r="AU36" s="133">
        <f>IFERROR(__xludf.DUMMYFUNCTION("""COMPUTED_VALUE"""),24.32862103511164)</f>
        <v>24.32862104</v>
      </c>
      <c r="AV36" s="133">
        <f>IFERROR(__xludf.DUMMYFUNCTION("""COMPUTED_VALUE"""),24.93061386054203)</f>
        <v>24.93061386</v>
      </c>
      <c r="AW36" s="133">
        <f>IFERROR(__xludf.DUMMYFUNCTION("""COMPUTED_VALUE"""),25.541138845312027)</f>
        <v>25.54113885</v>
      </c>
      <c r="AX36" s="133">
        <f>IFERROR(__xludf.DUMMYFUNCTION("""COMPUTED_VALUE"""),26.158034875739286)</f>
        <v>26.15803488</v>
      </c>
      <c r="AY36" s="133">
        <f>IFERROR(__xludf.DUMMYFUNCTION("""COMPUTED_VALUE"""),26.78146032447012)</f>
        <v>26.78146032</v>
      </c>
      <c r="AZ36" s="133">
        <f>IFERROR(__xludf.DUMMYFUNCTION("""COMPUTED_VALUE"""),26.18498222354355)</f>
        <v>26.18498222</v>
      </c>
      <c r="BA36" s="133">
        <f>IFERROR(__xludf.DUMMYFUNCTION("""COMPUTED_VALUE"""),26.648090660240214)</f>
        <v>26.64809066</v>
      </c>
      <c r="BB36" s="133">
        <f>IFERROR(__xludf.DUMMYFUNCTION("""COMPUTED_VALUE"""),27.037967269743035)</f>
        <v>27.03796727</v>
      </c>
      <c r="BC36" s="133">
        <f>IFERROR(__xludf.DUMMYFUNCTION("""COMPUTED_VALUE"""),27.327867889694716)</f>
        <v>27.32786789</v>
      </c>
      <c r="BD36" s="133">
        <f>IFERROR(__xludf.DUMMYFUNCTION("""COMPUTED_VALUE"""),27.491282806605597)</f>
        <v>27.49128281</v>
      </c>
      <c r="BE36" s="133">
        <f>IFERROR(__xludf.DUMMYFUNCTION("""COMPUTED_VALUE"""),27.85239781968939)</f>
        <v>27.85239782</v>
      </c>
      <c r="BF36" s="133">
        <f>IFERROR(__xludf.DUMMYFUNCTION("""COMPUTED_VALUE"""),28.186092602530657)</f>
        <v>28.1860926</v>
      </c>
      <c r="BG36" s="133">
        <f>IFERROR(__xludf.DUMMYFUNCTION("""COMPUTED_VALUE"""),28.504351534111485)</f>
        <v>28.50435153</v>
      </c>
      <c r="BH36" s="133">
        <f>IFERROR(__xludf.DUMMYFUNCTION("""COMPUTED_VALUE"""),28.829304687425896)</f>
        <v>28.82930469</v>
      </c>
      <c r="BI36" s="133">
        <f>IFERROR(__xludf.DUMMYFUNCTION("""COMPUTED_VALUE"""),29.195756645560543)</f>
        <v>29.19575665</v>
      </c>
      <c r="BJ36" s="133">
        <f>IFERROR(__xludf.DUMMYFUNCTION("""COMPUTED_VALUE"""),29.56293566375853)</f>
        <v>29.56293566</v>
      </c>
      <c r="BK36" s="133">
        <f>IFERROR(__xludf.DUMMYFUNCTION("""COMPUTED_VALUE"""),29.938222982314098)</f>
        <v>29.93822298</v>
      </c>
      <c r="BL36" s="133">
        <f>IFERROR(__xludf.DUMMYFUNCTION("""COMPUTED_VALUE"""),30.327791098113565)</f>
        <v>30.3277911</v>
      </c>
      <c r="BM36" s="133">
        <f>IFERROR(__xludf.DUMMYFUNCTION("""COMPUTED_VALUE"""),30.733645893272232)</f>
        <v>30.73364589</v>
      </c>
      <c r="BN36" s="133">
        <f>IFERROR(__xludf.DUMMYFUNCTION("""COMPUTED_VALUE"""),31.14922581772399)</f>
        <v>31.14922582</v>
      </c>
      <c r="BO36" s="133">
        <f>IFERROR(__xludf.DUMMYFUNCTION("""COMPUTED_VALUE"""),31.576902871112857)</f>
        <v>31.57690287</v>
      </c>
      <c r="BP36" s="133">
        <f>IFERROR(__xludf.DUMMYFUNCTION("""COMPUTED_VALUE"""),32.01774036359297)</f>
        <v>32.01774036</v>
      </c>
      <c r="BQ36" s="133">
        <f>IFERROR(__xludf.DUMMYFUNCTION("""COMPUTED_VALUE"""),32.47146624327121)</f>
        <v>32.47146624</v>
      </c>
      <c r="BR36" s="133">
        <f>IFERROR(__xludf.DUMMYFUNCTION("""COMPUTED_VALUE"""),32.93721252693527)</f>
        <v>32.93721253</v>
      </c>
      <c r="BS36" s="133">
        <f>IFERROR(__xludf.DUMMYFUNCTION("""COMPUTED_VALUE"""),33.41559768691356)</f>
        <v>33.41559769</v>
      </c>
      <c r="BT36" s="133">
        <f>IFERROR(__xludf.DUMMYFUNCTION("""COMPUTED_VALUE"""),33.90678141939676)</f>
        <v>33.90678142</v>
      </c>
      <c r="BU36" s="133">
        <f>IFERROR(__xludf.DUMMYFUNCTION("""COMPUTED_VALUE"""),34.41068667082034)</f>
        <v>34.41068667</v>
      </c>
      <c r="BV36" s="133">
        <f>IFERROR(__xludf.DUMMYFUNCTION("""COMPUTED_VALUE"""),34.92728665771478)</f>
        <v>34.92728666</v>
      </c>
      <c r="BW36" s="133">
        <f>IFERROR(__xludf.DUMMYFUNCTION("""COMPUTED_VALUE"""),35.456773643938384)</f>
        <v>35.45677364</v>
      </c>
      <c r="BX36" s="133"/>
      <c r="BY36" s="133"/>
      <c r="BZ36" s="133"/>
      <c r="CA36" s="133"/>
      <c r="CB36" s="133"/>
      <c r="CC36" s="133"/>
      <c r="CD36" s="133"/>
      <c r="CE36" s="133"/>
      <c r="CF36" s="133"/>
      <c r="CG36" s="133"/>
    </row>
    <row r="37" ht="15.75" customHeight="1">
      <c r="A37" s="1" t="str">
        <f>IFERROR(__xludf.DUMMYFUNCTION("""COMPUTED_VALUE"""),"  Trial-to-Customer Conversion Rate")</f>
        <v>  Trial-to-Customer Conversion Rate</v>
      </c>
      <c r="B37" s="1"/>
      <c r="C37" s="1"/>
      <c r="D37" s="109">
        <f>IFERROR(__xludf.DUMMYFUNCTION("""COMPUTED_VALUE"""),0.5649717514124294)</f>
        <v>0.5649717514</v>
      </c>
      <c r="E37" s="109">
        <f>IFERROR(__xludf.DUMMYFUNCTION("""COMPUTED_VALUE"""),0.25)</f>
        <v>0.25</v>
      </c>
      <c r="F37" s="109">
        <f>IFERROR(__xludf.DUMMYFUNCTION("""COMPUTED_VALUE"""),0.3508771929824561)</f>
        <v>0.350877193</v>
      </c>
      <c r="G37" s="109">
        <f>IFERROR(__xludf.DUMMYFUNCTION("""COMPUTED_VALUE"""),0.2826086956521739)</f>
        <v>0.2826086957</v>
      </c>
      <c r="H37" s="109">
        <f>IFERROR(__xludf.DUMMYFUNCTION("""COMPUTED_VALUE"""),0.39215686274509803)</f>
        <v>0.3921568627</v>
      </c>
      <c r="I37" s="109">
        <f>IFERROR(__xludf.DUMMYFUNCTION("""COMPUTED_VALUE"""),0.2222222222222222)</f>
        <v>0.2222222222</v>
      </c>
      <c r="J37" s="109">
        <f>IFERROR(__xludf.DUMMYFUNCTION("""COMPUTED_VALUE"""),0.3684210526315789)</f>
        <v>0.3684210526</v>
      </c>
      <c r="K37" s="109">
        <f>IFERROR(__xludf.DUMMYFUNCTION("""COMPUTED_VALUE"""),0.24647887323943662)</f>
        <v>0.2464788732</v>
      </c>
      <c r="L37" s="109">
        <f>IFERROR(__xludf.DUMMYFUNCTION("""COMPUTED_VALUE"""),0.2692307692307692)</f>
        <v>0.2692307692</v>
      </c>
      <c r="M37" s="109">
        <f>IFERROR(__xludf.DUMMYFUNCTION("""COMPUTED_VALUE"""),0.2413793103448276)</f>
        <v>0.2413793103</v>
      </c>
      <c r="N37" s="109">
        <f>IFERROR(__xludf.DUMMYFUNCTION("""COMPUTED_VALUE"""),0.23728813559322035)</f>
        <v>0.2372881356</v>
      </c>
      <c r="O37" s="109">
        <f>IFERROR(__xludf.DUMMYFUNCTION("""COMPUTED_VALUE"""),0.2711864406779661)</f>
        <v>0.2711864407</v>
      </c>
      <c r="P37" s="109">
        <f>IFERROR(__xludf.DUMMYFUNCTION("""COMPUTED_VALUE"""),0.2459016393442623)</f>
        <v>0.2459016393</v>
      </c>
      <c r="Q37" s="109">
        <f>IFERROR(__xludf.DUMMYFUNCTION("""COMPUTED_VALUE"""),0.36764705882352944)</f>
        <v>0.3676470588</v>
      </c>
      <c r="R37" s="109">
        <f>IFERROR(__xludf.DUMMYFUNCTION("""COMPUTED_VALUE"""),0.26153846153846155)</f>
        <v>0.2615384615</v>
      </c>
      <c r="S37" s="109">
        <f>IFERROR(__xludf.DUMMYFUNCTION("""COMPUTED_VALUE"""),0.5135135135135135)</f>
        <v>0.5135135135</v>
      </c>
      <c r="T37" s="109">
        <f>IFERROR(__xludf.DUMMYFUNCTION("""COMPUTED_VALUE"""),0.35714285714285715)</f>
        <v>0.3571428571</v>
      </c>
      <c r="U37" s="109">
        <f>IFERROR(__xludf.DUMMYFUNCTION("""COMPUTED_VALUE"""),0.453125)</f>
        <v>0.453125</v>
      </c>
      <c r="V37" s="109">
        <f>IFERROR(__xludf.DUMMYFUNCTION("""COMPUTED_VALUE"""),0.45714285714285713)</f>
        <v>0.4571428571</v>
      </c>
      <c r="W37" s="109">
        <f>IFERROR(__xludf.DUMMYFUNCTION("""COMPUTED_VALUE"""),0.35714285714285715)</f>
        <v>0.3571428571</v>
      </c>
      <c r="X37" s="109">
        <f>IFERROR(__xludf.DUMMYFUNCTION("""COMPUTED_VALUE"""),0.3170731707317073)</f>
        <v>0.3170731707</v>
      </c>
      <c r="Y37" s="109">
        <f>IFERROR(__xludf.DUMMYFUNCTION("""COMPUTED_VALUE"""),0.272006111453864)</f>
        <v>0.2720061115</v>
      </c>
      <c r="Z37" s="109">
        <f>IFERROR(__xludf.DUMMYFUNCTION("""COMPUTED_VALUE"""),0.2640098678948159)</f>
        <v>0.2640098679</v>
      </c>
      <c r="AA37" s="109">
        <f>IFERROR(__xludf.DUMMYFUNCTION("""COMPUTED_VALUE"""),0.29270190765392046)</f>
        <v>0.2927019077</v>
      </c>
      <c r="AB37" s="109">
        <f>IFERROR(__xludf.DUMMYFUNCTION("""COMPUTED_VALUE"""),0.2864943058244241)</f>
        <v>0.2864943058</v>
      </c>
      <c r="AC37" s="109">
        <f>IFERROR(__xludf.DUMMYFUNCTION("""COMPUTED_VALUE"""),0.3110501549067017)</f>
        <v>0.3110501549</v>
      </c>
      <c r="AD37" s="109">
        <f>IFERROR(__xludf.DUMMYFUNCTION("""COMPUTED_VALUE"""),0.22678806204789295)</f>
        <v>0.226788062</v>
      </c>
      <c r="AE37" s="109">
        <f>IFERROR(__xludf.DUMMYFUNCTION("""COMPUTED_VALUE"""),0.1605637045796956)</f>
        <v>0.1605637046</v>
      </c>
      <c r="AF37" s="109">
        <f>IFERROR(__xludf.DUMMYFUNCTION("""COMPUTED_VALUE"""),0.23293854283397095)</f>
        <v>0.2329385428</v>
      </c>
      <c r="AG37" s="109">
        <f>IFERROR(__xludf.DUMMYFUNCTION("""COMPUTED_VALUE"""),0.20669183279353234)</f>
        <v>0.2066918328</v>
      </c>
      <c r="AH37" s="109">
        <f>IFERROR(__xludf.DUMMYFUNCTION("""COMPUTED_VALUE"""),0.20046658574283452)</f>
        <v>0.2004665857</v>
      </c>
      <c r="AI37" s="109">
        <f>IFERROR(__xludf.DUMMYFUNCTION("""COMPUTED_VALUE"""),0.21516810699507272)</f>
        <v>0.215168107</v>
      </c>
      <c r="AJ37" s="109">
        <f>IFERROR(__xludf.DUMMYFUNCTION("""COMPUTED_VALUE"""),0.20957294218842323)</f>
        <v>0.2095729422</v>
      </c>
      <c r="AK37" s="109">
        <f>IFERROR(__xludf.DUMMYFUNCTION("""COMPUTED_VALUE"""),0.2104160274702138)</f>
        <v>0.2104160275</v>
      </c>
      <c r="AL37" s="109">
        <f>IFERROR(__xludf.DUMMYFUNCTION("""COMPUTED_VALUE"""),0.21349549697888556)</f>
        <v>0.213495497</v>
      </c>
      <c r="AM37" s="109">
        <f>IFERROR(__xludf.DUMMYFUNCTION("""COMPUTED_VALUE"""),0.2129233828404254)</f>
        <v>0.2129233828</v>
      </c>
      <c r="AN37" s="109">
        <f>IFERROR(__xludf.DUMMYFUNCTION("""COMPUTED_VALUE"""),0.21392162449811752)</f>
        <v>0.2139216245</v>
      </c>
      <c r="AO37" s="109">
        <f>IFERROR(__xludf.DUMMYFUNCTION("""COMPUTED_VALUE"""),0.21497086394738021)</f>
        <v>0.2149708639</v>
      </c>
      <c r="AP37" s="109">
        <f>IFERROR(__xludf.DUMMYFUNCTION("""COMPUTED_VALUE"""),0.2153883419035698)</f>
        <v>0.2153883419</v>
      </c>
      <c r="AQ37" s="109">
        <f>IFERROR(__xludf.DUMMYFUNCTION("""COMPUTED_VALUE"""),0.21611581088974394)</f>
        <v>0.2161158109</v>
      </c>
      <c r="AR37" s="109">
        <f>IFERROR(__xludf.DUMMYFUNCTION("""COMPUTED_VALUE"""),0.21676104359899317)</f>
        <v>0.2167610436</v>
      </c>
      <c r="AS37" s="109">
        <f>IFERROR(__xludf.DUMMYFUNCTION("""COMPUTED_VALUE"""),0.21728245420215714)</f>
        <v>0.2172824542</v>
      </c>
      <c r="AT37" s="109">
        <f>IFERROR(__xludf.DUMMYFUNCTION("""COMPUTED_VALUE"""),0.21783802117039908)</f>
        <v>0.2178380212</v>
      </c>
      <c r="AU37" s="109">
        <f>IFERROR(__xludf.DUMMYFUNCTION("""COMPUTED_VALUE"""),0.21834203204297295)</f>
        <v>0.218342032</v>
      </c>
      <c r="AV37" s="109">
        <f>IFERROR(__xludf.DUMMYFUNCTION("""COMPUTED_VALUE"""),0.21880393819102587)</f>
        <v>0.2188039382</v>
      </c>
      <c r="AW37" s="109">
        <f>IFERROR(__xludf.DUMMYFUNCTION("""COMPUTED_VALUE"""),0.21924908942041285)</f>
        <v>0.2192490894</v>
      </c>
      <c r="AX37" s="109">
        <f>IFERROR(__xludf.DUMMYFUNCTION("""COMPUTED_VALUE"""),0.21966161431096273)</f>
        <v>0.2196616143</v>
      </c>
      <c r="AY37" s="109">
        <f>IFERROR(__xludf.DUMMYFUNCTION("""COMPUTED_VALUE"""),0.22004731757073084)</f>
        <v>0.2200473176</v>
      </c>
      <c r="AZ37" s="109">
        <f>IFERROR(__xludf.DUMMYFUNCTION("""COMPUTED_VALUE"""),0.22015052474417424)</f>
        <v>0.2201505247</v>
      </c>
      <c r="BA37" s="109">
        <f>IFERROR(__xludf.DUMMYFUNCTION("""COMPUTED_VALUE"""),0.22047562125903106)</f>
        <v>0.2204756213</v>
      </c>
      <c r="BB37" s="109">
        <f>IFERROR(__xludf.DUMMYFUNCTION("""COMPUTED_VALUE"""),0.22076777403004105)</f>
        <v>0.220767774</v>
      </c>
      <c r="BC37" s="109">
        <f>IFERROR(__xludf.DUMMYFUNCTION("""COMPUTED_VALUE"""),0.2210262956705314)</f>
        <v>0.2210262957</v>
      </c>
      <c r="BD37" s="109">
        <f>IFERROR(__xludf.DUMMYFUNCTION("""COMPUTED_VALUE"""),0.22125002329372498)</f>
        <v>0.2212500233</v>
      </c>
      <c r="BE37" s="109">
        <f>IFERROR(__xludf.DUMMYFUNCTION("""COMPUTED_VALUE"""),0.22149638145882508)</f>
        <v>0.2214963815</v>
      </c>
      <c r="BF37" s="109">
        <f>IFERROR(__xludf.DUMMYFUNCTION("""COMPUTED_VALUE"""),0.22172565853108625)</f>
        <v>0.2217256585</v>
      </c>
      <c r="BG37" s="109">
        <f>IFERROR(__xludf.DUMMYFUNCTION("""COMPUTED_VALUE"""),0.22194094166291742)</f>
        <v>0.2219409417</v>
      </c>
      <c r="BH37" s="109">
        <f>IFERROR(__xludf.DUMMYFUNCTION("""COMPUTED_VALUE"""),0.22214629986322335)</f>
        <v>0.2221462999</v>
      </c>
      <c r="BI37" s="109">
        <f>IFERROR(__xludf.DUMMYFUNCTION("""COMPUTED_VALUE"""),0.2223465521772809)</f>
        <v>0.2223465522</v>
      </c>
      <c r="BJ37" s="109">
        <f>IFERROR(__xludf.DUMMYFUNCTION("""COMPUTED_VALUE"""),0.22253639817481366)</f>
        <v>0.2225363982</v>
      </c>
      <c r="BK37" s="109">
        <f>IFERROR(__xludf.DUMMYFUNCTION("""COMPUTED_VALUE"""),0.2227172326100426)</f>
        <v>0.2227172326</v>
      </c>
      <c r="BL37" s="109">
        <f>IFERROR(__xludf.DUMMYFUNCTION("""COMPUTED_VALUE"""),0.22289007316513415)</f>
        <v>0.2228900732</v>
      </c>
      <c r="BM37" s="109">
        <f>IFERROR(__xludf.DUMMYFUNCTION("""COMPUTED_VALUE"""),0.22305535694646886)</f>
        <v>0.2230553569</v>
      </c>
      <c r="BN37" s="109">
        <f>IFERROR(__xludf.DUMMYFUNCTION("""COMPUTED_VALUE"""),0.2232126887550872)</f>
        <v>0.2232126888</v>
      </c>
      <c r="BO37" s="109">
        <f>IFERROR(__xludf.DUMMYFUNCTION("""COMPUTED_VALUE"""),0.2233626013660413)</f>
        <v>0.2233626014</v>
      </c>
      <c r="BP37" s="109">
        <f>IFERROR(__xludf.DUMMYFUNCTION("""COMPUTED_VALUE"""),0.22350546186640438)</f>
        <v>0.2235054619</v>
      </c>
      <c r="BQ37" s="109">
        <f>IFERROR(__xludf.DUMMYFUNCTION("""COMPUTED_VALUE"""),0.22364151074698876)</f>
        <v>0.2236415107</v>
      </c>
      <c r="BR37" s="109">
        <f>IFERROR(__xludf.DUMMYFUNCTION("""COMPUTED_VALUE"""),0.22377094847212503)</f>
        <v>0.2237709485</v>
      </c>
      <c r="BS37" s="109">
        <f>IFERROR(__xludf.DUMMYFUNCTION("""COMPUTED_VALUE"""),0.2238940859247628)</f>
        <v>0.2238940859</v>
      </c>
      <c r="BT37" s="109">
        <f>IFERROR(__xludf.DUMMYFUNCTION("""COMPUTED_VALUE"""),0.22401118909576012)</f>
        <v>0.2240111891</v>
      </c>
      <c r="BU37" s="109">
        <f>IFERROR(__xludf.DUMMYFUNCTION("""COMPUTED_VALUE"""),0.22412250231505132)</f>
        <v>0.2241225023</v>
      </c>
      <c r="BV37" s="109">
        <f>IFERROR(__xludf.DUMMYFUNCTION("""COMPUTED_VALUE"""),0.22422826834167547)</f>
        <v>0.2242282683</v>
      </c>
      <c r="BW37" s="109">
        <f>IFERROR(__xludf.DUMMYFUNCTION("""COMPUTED_VALUE"""),0.22432873530752606)</f>
        <v>0.2243287353</v>
      </c>
      <c r="BX37" s="109"/>
      <c r="BY37" s="109"/>
      <c r="BZ37" s="109"/>
      <c r="CA37" s="109"/>
      <c r="CB37" s="109"/>
      <c r="CC37" s="109"/>
      <c r="CD37" s="109"/>
      <c r="CE37" s="109"/>
      <c r="CF37" s="109"/>
      <c r="CG37" s="109"/>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row>
    <row r="39" ht="15.75" customHeight="1">
      <c r="A39" s="1"/>
      <c r="B39" s="1"/>
      <c r="C39" s="1"/>
      <c r="D39" s="26"/>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row>
    <row r="40" ht="15.75" customHeight="1">
      <c r="A40" s="1"/>
      <c r="B40" s="1"/>
      <c r="C40" s="1"/>
      <c r="D40" s="26"/>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row>
    <row r="41" ht="15.75" customHeight="1">
      <c r="A41" s="7" t="s">
        <v>129</v>
      </c>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row>
    <row r="42" ht="15.75" customHeight="1">
      <c r="A42" s="134" t="s">
        <v>130</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row>
    <row r="44" ht="15.75" customHeight="1">
      <c r="A44" s="7" t="s">
        <v>131</v>
      </c>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row>
    <row r="45" ht="15.75" customHeight="1">
      <c r="A45" s="132" t="s">
        <v>132</v>
      </c>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1605229514" ref="A42"/>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0C0"/>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38"/>
    <col customWidth="1" min="2" max="2" width="30.63"/>
    <col customWidth="1" min="3" max="4" width="19.0"/>
    <col customWidth="1" min="5" max="6" width="12.75"/>
    <col customWidth="1" min="7" max="7" width="17.13"/>
    <col customWidth="1" min="8" max="11" width="14.38"/>
    <col customWidth="1" min="12" max="13" width="2.88"/>
    <col customWidth="1" min="14" max="61" width="14.38"/>
  </cols>
  <sheetData>
    <row r="1" ht="22.5" customHeight="1">
      <c r="A1" s="36" t="s">
        <v>133</v>
      </c>
      <c r="B1" s="135"/>
      <c r="C1" s="135" t="s">
        <v>134</v>
      </c>
      <c r="D1" s="136" t="s">
        <v>135</v>
      </c>
      <c r="E1" s="137" t="s">
        <v>136</v>
      </c>
      <c r="F1" s="138" t="s">
        <v>137</v>
      </c>
      <c r="G1" s="138" t="s">
        <v>138</v>
      </c>
      <c r="H1" s="138" t="s">
        <v>139</v>
      </c>
      <c r="I1" s="137" t="s">
        <v>140</v>
      </c>
      <c r="J1" s="137" t="s">
        <v>141</v>
      </c>
      <c r="K1" s="137" t="s">
        <v>142</v>
      </c>
      <c r="L1" s="135"/>
      <c r="M1" s="135"/>
      <c r="N1" s="139">
        <v>43952.0</v>
      </c>
      <c r="O1" s="139">
        <f t="shared" ref="O1:BI1" si="1">EDATE(N1,1)</f>
        <v>43983</v>
      </c>
      <c r="P1" s="139">
        <f t="shared" si="1"/>
        <v>44013</v>
      </c>
      <c r="Q1" s="139">
        <f t="shared" si="1"/>
        <v>44044</v>
      </c>
      <c r="R1" s="139">
        <f t="shared" si="1"/>
        <v>44075</v>
      </c>
      <c r="S1" s="139">
        <f t="shared" si="1"/>
        <v>44105</v>
      </c>
      <c r="T1" s="139">
        <f t="shared" si="1"/>
        <v>44136</v>
      </c>
      <c r="U1" s="139">
        <f t="shared" si="1"/>
        <v>44166</v>
      </c>
      <c r="V1" s="139">
        <f t="shared" si="1"/>
        <v>44197</v>
      </c>
      <c r="W1" s="139">
        <f t="shared" si="1"/>
        <v>44228</v>
      </c>
      <c r="X1" s="139">
        <f t="shared" si="1"/>
        <v>44256</v>
      </c>
      <c r="Y1" s="139">
        <f t="shared" si="1"/>
        <v>44287</v>
      </c>
      <c r="Z1" s="139">
        <f t="shared" si="1"/>
        <v>44317</v>
      </c>
      <c r="AA1" s="139">
        <f t="shared" si="1"/>
        <v>44348</v>
      </c>
      <c r="AB1" s="139">
        <f t="shared" si="1"/>
        <v>44378</v>
      </c>
      <c r="AC1" s="139">
        <f t="shared" si="1"/>
        <v>44409</v>
      </c>
      <c r="AD1" s="139">
        <f t="shared" si="1"/>
        <v>44440</v>
      </c>
      <c r="AE1" s="139">
        <f t="shared" si="1"/>
        <v>44470</v>
      </c>
      <c r="AF1" s="139">
        <f t="shared" si="1"/>
        <v>44501</v>
      </c>
      <c r="AG1" s="139">
        <f t="shared" si="1"/>
        <v>44531</v>
      </c>
      <c r="AH1" s="139">
        <f t="shared" si="1"/>
        <v>44562</v>
      </c>
      <c r="AI1" s="139">
        <f t="shared" si="1"/>
        <v>44593</v>
      </c>
      <c r="AJ1" s="139">
        <f t="shared" si="1"/>
        <v>44621</v>
      </c>
      <c r="AK1" s="139">
        <f t="shared" si="1"/>
        <v>44652</v>
      </c>
      <c r="AL1" s="139">
        <f t="shared" si="1"/>
        <v>44682</v>
      </c>
      <c r="AM1" s="139">
        <f t="shared" si="1"/>
        <v>44713</v>
      </c>
      <c r="AN1" s="139">
        <f t="shared" si="1"/>
        <v>44743</v>
      </c>
      <c r="AO1" s="139">
        <f t="shared" si="1"/>
        <v>44774</v>
      </c>
      <c r="AP1" s="139">
        <f t="shared" si="1"/>
        <v>44805</v>
      </c>
      <c r="AQ1" s="139">
        <f t="shared" si="1"/>
        <v>44835</v>
      </c>
      <c r="AR1" s="139">
        <f t="shared" si="1"/>
        <v>44866</v>
      </c>
      <c r="AS1" s="139">
        <f t="shared" si="1"/>
        <v>44896</v>
      </c>
      <c r="AT1" s="139">
        <f t="shared" si="1"/>
        <v>44927</v>
      </c>
      <c r="AU1" s="139">
        <f t="shared" si="1"/>
        <v>44958</v>
      </c>
      <c r="AV1" s="139">
        <f t="shared" si="1"/>
        <v>44986</v>
      </c>
      <c r="AW1" s="139">
        <f t="shared" si="1"/>
        <v>45017</v>
      </c>
      <c r="AX1" s="139">
        <f t="shared" si="1"/>
        <v>45047</v>
      </c>
      <c r="AY1" s="139">
        <f t="shared" si="1"/>
        <v>45078</v>
      </c>
      <c r="AZ1" s="139">
        <f t="shared" si="1"/>
        <v>45108</v>
      </c>
      <c r="BA1" s="139">
        <f t="shared" si="1"/>
        <v>45139</v>
      </c>
      <c r="BB1" s="139">
        <f t="shared" si="1"/>
        <v>45170</v>
      </c>
      <c r="BC1" s="139">
        <f t="shared" si="1"/>
        <v>45200</v>
      </c>
      <c r="BD1" s="139">
        <f t="shared" si="1"/>
        <v>45231</v>
      </c>
      <c r="BE1" s="139">
        <f t="shared" si="1"/>
        <v>45261</v>
      </c>
      <c r="BF1" s="139">
        <f t="shared" si="1"/>
        <v>45292</v>
      </c>
      <c r="BG1" s="139">
        <f t="shared" si="1"/>
        <v>45323</v>
      </c>
      <c r="BH1" s="139">
        <f t="shared" si="1"/>
        <v>45352</v>
      </c>
      <c r="BI1" s="139">
        <f t="shared" si="1"/>
        <v>45383</v>
      </c>
    </row>
    <row r="2" ht="15.75" customHeight="1">
      <c r="A2" s="7" t="s">
        <v>143</v>
      </c>
      <c r="B2" s="1"/>
      <c r="C2" s="1"/>
      <c r="D2" s="1"/>
      <c r="E2" s="1"/>
      <c r="F2" s="1"/>
      <c r="G2" s="1"/>
      <c r="H2" s="1"/>
      <c r="I2" s="1"/>
      <c r="J2" s="1"/>
      <c r="K2" s="76"/>
    </row>
    <row r="3" ht="15.75" customHeight="1">
      <c r="A3" s="7"/>
      <c r="B3" s="7" t="s">
        <v>77</v>
      </c>
      <c r="C3" s="1"/>
      <c r="D3" s="1"/>
      <c r="E3" s="1"/>
      <c r="F3" s="1"/>
      <c r="G3" s="1"/>
      <c r="H3" s="1"/>
      <c r="I3" s="1"/>
      <c r="J3" s="1"/>
      <c r="K3" s="76"/>
    </row>
    <row r="4" ht="15.75" customHeight="1">
      <c r="A4" s="1"/>
      <c r="B4" s="1" t="s">
        <v>144</v>
      </c>
      <c r="C4" s="1" t="s">
        <v>145</v>
      </c>
      <c r="D4" s="1" t="str">
        <f t="shared" ref="D4:D5" si="3">$B$3</f>
        <v>General &amp; Admin</v>
      </c>
      <c r="E4" s="140">
        <v>120000.0</v>
      </c>
      <c r="F4" s="141">
        <v>43466.0</v>
      </c>
      <c r="G4" s="141"/>
      <c r="H4" s="142">
        <v>0.09</v>
      </c>
      <c r="I4" s="143">
        <f t="shared" ref="I4:I5" si="4">0.04*E4/12</f>
        <v>400</v>
      </c>
      <c r="J4" s="143">
        <v>500.0</v>
      </c>
      <c r="K4" s="76">
        <f t="shared" ref="K4:K54" si="5">SUM(I4:J4)</f>
        <v>900</v>
      </c>
      <c r="N4" s="76">
        <f t="shared" ref="N4:BI4" si="2">IF($F4=0,0, IF(AND(N$1&gt;=$G4,$G4&lt;&gt;0),0,IF(N$1&gt;=$F4,$E4/12,0)))</f>
        <v>10000</v>
      </c>
      <c r="O4" s="76">
        <f t="shared" si="2"/>
        <v>10000</v>
      </c>
      <c r="P4" s="76">
        <f t="shared" si="2"/>
        <v>10000</v>
      </c>
      <c r="Q4" s="76">
        <f t="shared" si="2"/>
        <v>10000</v>
      </c>
      <c r="R4" s="76">
        <f t="shared" si="2"/>
        <v>10000</v>
      </c>
      <c r="S4" s="76">
        <f t="shared" si="2"/>
        <v>10000</v>
      </c>
      <c r="T4" s="76">
        <f t="shared" si="2"/>
        <v>10000</v>
      </c>
      <c r="U4" s="76">
        <f t="shared" si="2"/>
        <v>10000</v>
      </c>
      <c r="V4" s="76">
        <f t="shared" si="2"/>
        <v>10000</v>
      </c>
      <c r="W4" s="76">
        <f t="shared" si="2"/>
        <v>10000</v>
      </c>
      <c r="X4" s="76">
        <f t="shared" si="2"/>
        <v>10000</v>
      </c>
      <c r="Y4" s="76">
        <f t="shared" si="2"/>
        <v>10000</v>
      </c>
      <c r="Z4" s="76">
        <f t="shared" si="2"/>
        <v>10000</v>
      </c>
      <c r="AA4" s="76">
        <f t="shared" si="2"/>
        <v>10000</v>
      </c>
      <c r="AB4" s="76">
        <f t="shared" si="2"/>
        <v>10000</v>
      </c>
      <c r="AC4" s="76">
        <f t="shared" si="2"/>
        <v>10000</v>
      </c>
      <c r="AD4" s="76">
        <f t="shared" si="2"/>
        <v>10000</v>
      </c>
      <c r="AE4" s="76">
        <f t="shared" si="2"/>
        <v>10000</v>
      </c>
      <c r="AF4" s="76">
        <f t="shared" si="2"/>
        <v>10000</v>
      </c>
      <c r="AG4" s="76">
        <f t="shared" si="2"/>
        <v>10000</v>
      </c>
      <c r="AH4" s="76">
        <f t="shared" si="2"/>
        <v>10000</v>
      </c>
      <c r="AI4" s="76">
        <f t="shared" si="2"/>
        <v>10000</v>
      </c>
      <c r="AJ4" s="76">
        <f t="shared" si="2"/>
        <v>10000</v>
      </c>
      <c r="AK4" s="76">
        <f t="shared" si="2"/>
        <v>10000</v>
      </c>
      <c r="AL4" s="76">
        <f t="shared" si="2"/>
        <v>10000</v>
      </c>
      <c r="AM4" s="76">
        <f t="shared" si="2"/>
        <v>10000</v>
      </c>
      <c r="AN4" s="76">
        <f t="shared" si="2"/>
        <v>10000</v>
      </c>
      <c r="AO4" s="76">
        <f t="shared" si="2"/>
        <v>10000</v>
      </c>
      <c r="AP4" s="76">
        <f t="shared" si="2"/>
        <v>10000</v>
      </c>
      <c r="AQ4" s="76">
        <f t="shared" si="2"/>
        <v>10000</v>
      </c>
      <c r="AR4" s="76">
        <f t="shared" si="2"/>
        <v>10000</v>
      </c>
      <c r="AS4" s="76">
        <f t="shared" si="2"/>
        <v>10000</v>
      </c>
      <c r="AT4" s="76">
        <f t="shared" si="2"/>
        <v>10000</v>
      </c>
      <c r="AU4" s="76">
        <f t="shared" si="2"/>
        <v>10000</v>
      </c>
      <c r="AV4" s="76">
        <f t="shared" si="2"/>
        <v>10000</v>
      </c>
      <c r="AW4" s="76">
        <f t="shared" si="2"/>
        <v>10000</v>
      </c>
      <c r="AX4" s="76">
        <f t="shared" si="2"/>
        <v>10000</v>
      </c>
      <c r="AY4" s="76">
        <f t="shared" si="2"/>
        <v>10000</v>
      </c>
      <c r="AZ4" s="76">
        <f t="shared" si="2"/>
        <v>10000</v>
      </c>
      <c r="BA4" s="76">
        <f t="shared" si="2"/>
        <v>10000</v>
      </c>
      <c r="BB4" s="76">
        <f t="shared" si="2"/>
        <v>10000</v>
      </c>
      <c r="BC4" s="76">
        <f t="shared" si="2"/>
        <v>10000</v>
      </c>
      <c r="BD4" s="76">
        <f t="shared" si="2"/>
        <v>10000</v>
      </c>
      <c r="BE4" s="76">
        <f t="shared" si="2"/>
        <v>10000</v>
      </c>
      <c r="BF4" s="76">
        <f t="shared" si="2"/>
        <v>10000</v>
      </c>
      <c r="BG4" s="76">
        <f t="shared" si="2"/>
        <v>10000</v>
      </c>
      <c r="BH4" s="76">
        <f t="shared" si="2"/>
        <v>10000</v>
      </c>
      <c r="BI4" s="76">
        <f t="shared" si="2"/>
        <v>10000</v>
      </c>
    </row>
    <row r="5" ht="15.75" customHeight="1">
      <c r="A5" s="1"/>
      <c r="B5" s="1" t="s">
        <v>146</v>
      </c>
      <c r="C5" s="1" t="s">
        <v>147</v>
      </c>
      <c r="D5" s="1" t="str">
        <f t="shared" si="3"/>
        <v>General &amp; Admin</v>
      </c>
      <c r="E5" s="140">
        <v>150000.0</v>
      </c>
      <c r="F5" s="141">
        <v>43466.0</v>
      </c>
      <c r="G5" s="141"/>
      <c r="H5" s="142">
        <v>0.09</v>
      </c>
      <c r="I5" s="143">
        <f t="shared" si="4"/>
        <v>500</v>
      </c>
      <c r="J5" s="143">
        <v>500.0</v>
      </c>
      <c r="K5" s="76">
        <f t="shared" si="5"/>
        <v>1000</v>
      </c>
      <c r="N5" s="76">
        <f t="shared" ref="N5:BI5" si="6">IF($F5=0,0, IF(AND(N$1&gt;=$G5,$G5&lt;&gt;0),0,IF(N$1&gt;=$F5,$E5/12,0)))</f>
        <v>12500</v>
      </c>
      <c r="O5" s="76">
        <f t="shared" si="6"/>
        <v>12500</v>
      </c>
      <c r="P5" s="76">
        <f t="shared" si="6"/>
        <v>12500</v>
      </c>
      <c r="Q5" s="76">
        <f t="shared" si="6"/>
        <v>12500</v>
      </c>
      <c r="R5" s="76">
        <f t="shared" si="6"/>
        <v>12500</v>
      </c>
      <c r="S5" s="76">
        <f t="shared" si="6"/>
        <v>12500</v>
      </c>
      <c r="T5" s="76">
        <f t="shared" si="6"/>
        <v>12500</v>
      </c>
      <c r="U5" s="76">
        <f t="shared" si="6"/>
        <v>12500</v>
      </c>
      <c r="V5" s="76">
        <f t="shared" si="6"/>
        <v>12500</v>
      </c>
      <c r="W5" s="76">
        <f t="shared" si="6"/>
        <v>12500</v>
      </c>
      <c r="X5" s="76">
        <f t="shared" si="6"/>
        <v>12500</v>
      </c>
      <c r="Y5" s="76">
        <f t="shared" si="6"/>
        <v>12500</v>
      </c>
      <c r="Z5" s="76">
        <f t="shared" si="6"/>
        <v>12500</v>
      </c>
      <c r="AA5" s="76">
        <f t="shared" si="6"/>
        <v>12500</v>
      </c>
      <c r="AB5" s="76">
        <f t="shared" si="6"/>
        <v>12500</v>
      </c>
      <c r="AC5" s="76">
        <f t="shared" si="6"/>
        <v>12500</v>
      </c>
      <c r="AD5" s="76">
        <f t="shared" si="6"/>
        <v>12500</v>
      </c>
      <c r="AE5" s="76">
        <f t="shared" si="6"/>
        <v>12500</v>
      </c>
      <c r="AF5" s="76">
        <f t="shared" si="6"/>
        <v>12500</v>
      </c>
      <c r="AG5" s="76">
        <f t="shared" si="6"/>
        <v>12500</v>
      </c>
      <c r="AH5" s="76">
        <f t="shared" si="6"/>
        <v>12500</v>
      </c>
      <c r="AI5" s="76">
        <f t="shared" si="6"/>
        <v>12500</v>
      </c>
      <c r="AJ5" s="76">
        <f t="shared" si="6"/>
        <v>12500</v>
      </c>
      <c r="AK5" s="76">
        <f t="shared" si="6"/>
        <v>12500</v>
      </c>
      <c r="AL5" s="76">
        <f t="shared" si="6"/>
        <v>12500</v>
      </c>
      <c r="AM5" s="76">
        <f t="shared" si="6"/>
        <v>12500</v>
      </c>
      <c r="AN5" s="76">
        <f t="shared" si="6"/>
        <v>12500</v>
      </c>
      <c r="AO5" s="76">
        <f t="shared" si="6"/>
        <v>12500</v>
      </c>
      <c r="AP5" s="76">
        <f t="shared" si="6"/>
        <v>12500</v>
      </c>
      <c r="AQ5" s="76">
        <f t="shared" si="6"/>
        <v>12500</v>
      </c>
      <c r="AR5" s="76">
        <f t="shared" si="6"/>
        <v>12500</v>
      </c>
      <c r="AS5" s="76">
        <f t="shared" si="6"/>
        <v>12500</v>
      </c>
      <c r="AT5" s="76">
        <f t="shared" si="6"/>
        <v>12500</v>
      </c>
      <c r="AU5" s="76">
        <f t="shared" si="6"/>
        <v>12500</v>
      </c>
      <c r="AV5" s="76">
        <f t="shared" si="6"/>
        <v>12500</v>
      </c>
      <c r="AW5" s="76">
        <f t="shared" si="6"/>
        <v>12500</v>
      </c>
      <c r="AX5" s="76">
        <f t="shared" si="6"/>
        <v>12500</v>
      </c>
      <c r="AY5" s="76">
        <f t="shared" si="6"/>
        <v>12500</v>
      </c>
      <c r="AZ5" s="76">
        <f t="shared" si="6"/>
        <v>12500</v>
      </c>
      <c r="BA5" s="76">
        <f t="shared" si="6"/>
        <v>12500</v>
      </c>
      <c r="BB5" s="76">
        <f t="shared" si="6"/>
        <v>12500</v>
      </c>
      <c r="BC5" s="76">
        <f t="shared" si="6"/>
        <v>12500</v>
      </c>
      <c r="BD5" s="76">
        <f t="shared" si="6"/>
        <v>12500</v>
      </c>
      <c r="BE5" s="76">
        <f t="shared" si="6"/>
        <v>12500</v>
      </c>
      <c r="BF5" s="76">
        <f t="shared" si="6"/>
        <v>12500</v>
      </c>
      <c r="BG5" s="76">
        <f t="shared" si="6"/>
        <v>12500</v>
      </c>
      <c r="BH5" s="76">
        <f t="shared" si="6"/>
        <v>12500</v>
      </c>
      <c r="BI5" s="76">
        <f t="shared" si="6"/>
        <v>12500</v>
      </c>
    </row>
    <row r="6" ht="15.75" customHeight="1">
      <c r="A6" s="7"/>
      <c r="B6" s="7" t="s">
        <v>78</v>
      </c>
      <c r="C6" s="1"/>
      <c r="D6" s="1"/>
      <c r="E6" s="1"/>
      <c r="F6" s="46"/>
      <c r="G6" s="46"/>
      <c r="H6" s="1"/>
      <c r="I6" s="1"/>
      <c r="J6" s="1"/>
      <c r="K6" s="76">
        <f t="shared" si="5"/>
        <v>0</v>
      </c>
      <c r="N6" s="76">
        <f t="shared" ref="N6:BI6" si="7">IF($F6=0,0, IF(AND(N$1&gt;=$G6,$G6&lt;&gt;0),0,IF(N$1&gt;=$F6,$E6/12,0)))</f>
        <v>0</v>
      </c>
      <c r="O6" s="76">
        <f t="shared" si="7"/>
        <v>0</v>
      </c>
      <c r="P6" s="76">
        <f t="shared" si="7"/>
        <v>0</v>
      </c>
      <c r="Q6" s="76">
        <f t="shared" si="7"/>
        <v>0</v>
      </c>
      <c r="R6" s="76">
        <f t="shared" si="7"/>
        <v>0</v>
      </c>
      <c r="S6" s="76">
        <f t="shared" si="7"/>
        <v>0</v>
      </c>
      <c r="T6" s="76">
        <f t="shared" si="7"/>
        <v>0</v>
      </c>
      <c r="U6" s="76">
        <f t="shared" si="7"/>
        <v>0</v>
      </c>
      <c r="V6" s="76">
        <f t="shared" si="7"/>
        <v>0</v>
      </c>
      <c r="W6" s="76">
        <f t="shared" si="7"/>
        <v>0</v>
      </c>
      <c r="X6" s="76">
        <f t="shared" si="7"/>
        <v>0</v>
      </c>
      <c r="Y6" s="76">
        <f t="shared" si="7"/>
        <v>0</v>
      </c>
      <c r="Z6" s="76">
        <f t="shared" si="7"/>
        <v>0</v>
      </c>
      <c r="AA6" s="76">
        <f t="shared" si="7"/>
        <v>0</v>
      </c>
      <c r="AB6" s="76">
        <f t="shared" si="7"/>
        <v>0</v>
      </c>
      <c r="AC6" s="76">
        <f t="shared" si="7"/>
        <v>0</v>
      </c>
      <c r="AD6" s="76">
        <f t="shared" si="7"/>
        <v>0</v>
      </c>
      <c r="AE6" s="76">
        <f t="shared" si="7"/>
        <v>0</v>
      </c>
      <c r="AF6" s="76">
        <f t="shared" si="7"/>
        <v>0</v>
      </c>
      <c r="AG6" s="76">
        <f t="shared" si="7"/>
        <v>0</v>
      </c>
      <c r="AH6" s="76">
        <f t="shared" si="7"/>
        <v>0</v>
      </c>
      <c r="AI6" s="76">
        <f t="shared" si="7"/>
        <v>0</v>
      </c>
      <c r="AJ6" s="76">
        <f t="shared" si="7"/>
        <v>0</v>
      </c>
      <c r="AK6" s="76">
        <f t="shared" si="7"/>
        <v>0</v>
      </c>
      <c r="AL6" s="76">
        <f t="shared" si="7"/>
        <v>0</v>
      </c>
      <c r="AM6" s="76">
        <f t="shared" si="7"/>
        <v>0</v>
      </c>
      <c r="AN6" s="76">
        <f t="shared" si="7"/>
        <v>0</v>
      </c>
      <c r="AO6" s="76">
        <f t="shared" si="7"/>
        <v>0</v>
      </c>
      <c r="AP6" s="76">
        <f t="shared" si="7"/>
        <v>0</v>
      </c>
      <c r="AQ6" s="76">
        <f t="shared" si="7"/>
        <v>0</v>
      </c>
      <c r="AR6" s="76">
        <f t="shared" si="7"/>
        <v>0</v>
      </c>
      <c r="AS6" s="76">
        <f t="shared" si="7"/>
        <v>0</v>
      </c>
      <c r="AT6" s="76">
        <f t="shared" si="7"/>
        <v>0</v>
      </c>
      <c r="AU6" s="76">
        <f t="shared" si="7"/>
        <v>0</v>
      </c>
      <c r="AV6" s="76">
        <f t="shared" si="7"/>
        <v>0</v>
      </c>
      <c r="AW6" s="76">
        <f t="shared" si="7"/>
        <v>0</v>
      </c>
      <c r="AX6" s="76">
        <f t="shared" si="7"/>
        <v>0</v>
      </c>
      <c r="AY6" s="76">
        <f t="shared" si="7"/>
        <v>0</v>
      </c>
      <c r="AZ6" s="76">
        <f t="shared" si="7"/>
        <v>0</v>
      </c>
      <c r="BA6" s="76">
        <f t="shared" si="7"/>
        <v>0</v>
      </c>
      <c r="BB6" s="76">
        <f t="shared" si="7"/>
        <v>0</v>
      </c>
      <c r="BC6" s="76">
        <f t="shared" si="7"/>
        <v>0</v>
      </c>
      <c r="BD6" s="76">
        <f t="shared" si="7"/>
        <v>0</v>
      </c>
      <c r="BE6" s="76">
        <f t="shared" si="7"/>
        <v>0</v>
      </c>
      <c r="BF6" s="76">
        <f t="shared" si="7"/>
        <v>0</v>
      </c>
      <c r="BG6" s="76">
        <f t="shared" si="7"/>
        <v>0</v>
      </c>
      <c r="BH6" s="76">
        <f t="shared" si="7"/>
        <v>0</v>
      </c>
      <c r="BI6" s="76">
        <f t="shared" si="7"/>
        <v>0</v>
      </c>
    </row>
    <row r="7" ht="15.75" customHeight="1">
      <c r="A7" s="1"/>
      <c r="B7" s="1" t="s">
        <v>148</v>
      </c>
      <c r="C7" s="1" t="s">
        <v>149</v>
      </c>
      <c r="D7" s="1" t="str">
        <f t="shared" ref="D7:D31" si="9">$B$6</f>
        <v>Engineering</v>
      </c>
      <c r="E7" s="140">
        <v>220000.0</v>
      </c>
      <c r="F7" s="141">
        <v>43586.0</v>
      </c>
      <c r="G7" s="141"/>
      <c r="H7" s="142">
        <v>0.09</v>
      </c>
      <c r="I7" s="143">
        <f t="shared" ref="I7:I31" si="10">0.04*E7/12</f>
        <v>733.3333333</v>
      </c>
      <c r="J7" s="143">
        <v>500.0</v>
      </c>
      <c r="K7" s="76">
        <f t="shared" si="5"/>
        <v>1233.333333</v>
      </c>
      <c r="N7" s="76">
        <f t="shared" ref="N7:BI7" si="8">IF($F7=0,0, IF(AND(N$1&gt;=$G7,$G7&lt;&gt;0),0,IF(N$1&gt;=$F7,$E7/12,0)))</f>
        <v>18333.33333</v>
      </c>
      <c r="O7" s="76">
        <f t="shared" si="8"/>
        <v>18333.33333</v>
      </c>
      <c r="P7" s="76">
        <f t="shared" si="8"/>
        <v>18333.33333</v>
      </c>
      <c r="Q7" s="76">
        <f t="shared" si="8"/>
        <v>18333.33333</v>
      </c>
      <c r="R7" s="76">
        <f t="shared" si="8"/>
        <v>18333.33333</v>
      </c>
      <c r="S7" s="76">
        <f t="shared" si="8"/>
        <v>18333.33333</v>
      </c>
      <c r="T7" s="76">
        <f t="shared" si="8"/>
        <v>18333.33333</v>
      </c>
      <c r="U7" s="76">
        <f t="shared" si="8"/>
        <v>18333.33333</v>
      </c>
      <c r="V7" s="76">
        <f t="shared" si="8"/>
        <v>18333.33333</v>
      </c>
      <c r="W7" s="76">
        <f t="shared" si="8"/>
        <v>18333.33333</v>
      </c>
      <c r="X7" s="76">
        <f t="shared" si="8"/>
        <v>18333.33333</v>
      </c>
      <c r="Y7" s="76">
        <f t="shared" si="8"/>
        <v>18333.33333</v>
      </c>
      <c r="Z7" s="76">
        <f t="shared" si="8"/>
        <v>18333.33333</v>
      </c>
      <c r="AA7" s="76">
        <f t="shared" si="8"/>
        <v>18333.33333</v>
      </c>
      <c r="AB7" s="76">
        <f t="shared" si="8"/>
        <v>18333.33333</v>
      </c>
      <c r="AC7" s="76">
        <f t="shared" si="8"/>
        <v>18333.33333</v>
      </c>
      <c r="AD7" s="76">
        <f t="shared" si="8"/>
        <v>18333.33333</v>
      </c>
      <c r="AE7" s="76">
        <f t="shared" si="8"/>
        <v>18333.33333</v>
      </c>
      <c r="AF7" s="76">
        <f t="shared" si="8"/>
        <v>18333.33333</v>
      </c>
      <c r="AG7" s="76">
        <f t="shared" si="8"/>
        <v>18333.33333</v>
      </c>
      <c r="AH7" s="76">
        <f t="shared" si="8"/>
        <v>18333.33333</v>
      </c>
      <c r="AI7" s="76">
        <f t="shared" si="8"/>
        <v>18333.33333</v>
      </c>
      <c r="AJ7" s="76">
        <f t="shared" si="8"/>
        <v>18333.33333</v>
      </c>
      <c r="AK7" s="76">
        <f t="shared" si="8"/>
        <v>18333.33333</v>
      </c>
      <c r="AL7" s="76">
        <f t="shared" si="8"/>
        <v>18333.33333</v>
      </c>
      <c r="AM7" s="76">
        <f t="shared" si="8"/>
        <v>18333.33333</v>
      </c>
      <c r="AN7" s="76">
        <f t="shared" si="8"/>
        <v>18333.33333</v>
      </c>
      <c r="AO7" s="76">
        <f t="shared" si="8"/>
        <v>18333.33333</v>
      </c>
      <c r="AP7" s="76">
        <f t="shared" si="8"/>
        <v>18333.33333</v>
      </c>
      <c r="AQ7" s="76">
        <f t="shared" si="8"/>
        <v>18333.33333</v>
      </c>
      <c r="AR7" s="76">
        <f t="shared" si="8"/>
        <v>18333.33333</v>
      </c>
      <c r="AS7" s="76">
        <f t="shared" si="8"/>
        <v>18333.33333</v>
      </c>
      <c r="AT7" s="76">
        <f t="shared" si="8"/>
        <v>18333.33333</v>
      </c>
      <c r="AU7" s="76">
        <f t="shared" si="8"/>
        <v>18333.33333</v>
      </c>
      <c r="AV7" s="76">
        <f t="shared" si="8"/>
        <v>18333.33333</v>
      </c>
      <c r="AW7" s="76">
        <f t="shared" si="8"/>
        <v>18333.33333</v>
      </c>
      <c r="AX7" s="76">
        <f t="shared" si="8"/>
        <v>18333.33333</v>
      </c>
      <c r="AY7" s="76">
        <f t="shared" si="8"/>
        <v>18333.33333</v>
      </c>
      <c r="AZ7" s="76">
        <f t="shared" si="8"/>
        <v>18333.33333</v>
      </c>
      <c r="BA7" s="76">
        <f t="shared" si="8"/>
        <v>18333.33333</v>
      </c>
      <c r="BB7" s="76">
        <f t="shared" si="8"/>
        <v>18333.33333</v>
      </c>
      <c r="BC7" s="76">
        <f t="shared" si="8"/>
        <v>18333.33333</v>
      </c>
      <c r="BD7" s="76">
        <f t="shared" si="8"/>
        <v>18333.33333</v>
      </c>
      <c r="BE7" s="76">
        <f t="shared" si="8"/>
        <v>18333.33333</v>
      </c>
      <c r="BF7" s="76">
        <f t="shared" si="8"/>
        <v>18333.33333</v>
      </c>
      <c r="BG7" s="76">
        <f t="shared" si="8"/>
        <v>18333.33333</v>
      </c>
      <c r="BH7" s="76">
        <f t="shared" si="8"/>
        <v>18333.33333</v>
      </c>
      <c r="BI7" s="76">
        <f t="shared" si="8"/>
        <v>18333.33333</v>
      </c>
    </row>
    <row r="8" ht="15.75" customHeight="1">
      <c r="A8" s="7"/>
      <c r="B8" s="1" t="s">
        <v>150</v>
      </c>
      <c r="C8" s="1" t="s">
        <v>151</v>
      </c>
      <c r="D8" s="1" t="str">
        <f t="shared" si="9"/>
        <v>Engineering</v>
      </c>
      <c r="E8" s="140">
        <v>190000.0</v>
      </c>
      <c r="F8" s="141">
        <v>43556.0</v>
      </c>
      <c r="G8" s="141"/>
      <c r="H8" s="142">
        <v>0.09</v>
      </c>
      <c r="I8" s="143">
        <f t="shared" si="10"/>
        <v>633.3333333</v>
      </c>
      <c r="J8" s="143">
        <v>500.0</v>
      </c>
      <c r="K8" s="76">
        <f t="shared" si="5"/>
        <v>1133.333333</v>
      </c>
      <c r="N8" s="76">
        <f t="shared" ref="N8:BI8" si="11">IF($F8=0,0, IF(AND(N$1&gt;=$G8,$G8&lt;&gt;0),0,IF(N$1&gt;=$F8,$E8/12,0)))</f>
        <v>15833.33333</v>
      </c>
      <c r="O8" s="76">
        <f t="shared" si="11"/>
        <v>15833.33333</v>
      </c>
      <c r="P8" s="76">
        <f t="shared" si="11"/>
        <v>15833.33333</v>
      </c>
      <c r="Q8" s="76">
        <f t="shared" si="11"/>
        <v>15833.33333</v>
      </c>
      <c r="R8" s="76">
        <f t="shared" si="11"/>
        <v>15833.33333</v>
      </c>
      <c r="S8" s="76">
        <f t="shared" si="11"/>
        <v>15833.33333</v>
      </c>
      <c r="T8" s="76">
        <f t="shared" si="11"/>
        <v>15833.33333</v>
      </c>
      <c r="U8" s="76">
        <f t="shared" si="11"/>
        <v>15833.33333</v>
      </c>
      <c r="V8" s="76">
        <f t="shared" si="11"/>
        <v>15833.33333</v>
      </c>
      <c r="W8" s="76">
        <f t="shared" si="11"/>
        <v>15833.33333</v>
      </c>
      <c r="X8" s="76">
        <f t="shared" si="11"/>
        <v>15833.33333</v>
      </c>
      <c r="Y8" s="76">
        <f t="shared" si="11"/>
        <v>15833.33333</v>
      </c>
      <c r="Z8" s="76">
        <f t="shared" si="11"/>
        <v>15833.33333</v>
      </c>
      <c r="AA8" s="76">
        <f t="shared" si="11"/>
        <v>15833.33333</v>
      </c>
      <c r="AB8" s="76">
        <f t="shared" si="11"/>
        <v>15833.33333</v>
      </c>
      <c r="AC8" s="76">
        <f t="shared" si="11"/>
        <v>15833.33333</v>
      </c>
      <c r="AD8" s="76">
        <f t="shared" si="11"/>
        <v>15833.33333</v>
      </c>
      <c r="AE8" s="76">
        <f t="shared" si="11"/>
        <v>15833.33333</v>
      </c>
      <c r="AF8" s="76">
        <f t="shared" si="11"/>
        <v>15833.33333</v>
      </c>
      <c r="AG8" s="76">
        <f t="shared" si="11"/>
        <v>15833.33333</v>
      </c>
      <c r="AH8" s="76">
        <f t="shared" si="11"/>
        <v>15833.33333</v>
      </c>
      <c r="AI8" s="76">
        <f t="shared" si="11"/>
        <v>15833.33333</v>
      </c>
      <c r="AJ8" s="76">
        <f t="shared" si="11"/>
        <v>15833.33333</v>
      </c>
      <c r="AK8" s="76">
        <f t="shared" si="11"/>
        <v>15833.33333</v>
      </c>
      <c r="AL8" s="76">
        <f t="shared" si="11"/>
        <v>15833.33333</v>
      </c>
      <c r="AM8" s="76">
        <f t="shared" si="11"/>
        <v>15833.33333</v>
      </c>
      <c r="AN8" s="76">
        <f t="shared" si="11"/>
        <v>15833.33333</v>
      </c>
      <c r="AO8" s="76">
        <f t="shared" si="11"/>
        <v>15833.33333</v>
      </c>
      <c r="AP8" s="76">
        <f t="shared" si="11"/>
        <v>15833.33333</v>
      </c>
      <c r="AQ8" s="76">
        <f t="shared" si="11"/>
        <v>15833.33333</v>
      </c>
      <c r="AR8" s="76">
        <f t="shared" si="11"/>
        <v>15833.33333</v>
      </c>
      <c r="AS8" s="76">
        <f t="shared" si="11"/>
        <v>15833.33333</v>
      </c>
      <c r="AT8" s="76">
        <f t="shared" si="11"/>
        <v>15833.33333</v>
      </c>
      <c r="AU8" s="76">
        <f t="shared" si="11"/>
        <v>15833.33333</v>
      </c>
      <c r="AV8" s="76">
        <f t="shared" si="11"/>
        <v>15833.33333</v>
      </c>
      <c r="AW8" s="76">
        <f t="shared" si="11"/>
        <v>15833.33333</v>
      </c>
      <c r="AX8" s="76">
        <f t="shared" si="11"/>
        <v>15833.33333</v>
      </c>
      <c r="AY8" s="76">
        <f t="shared" si="11"/>
        <v>15833.33333</v>
      </c>
      <c r="AZ8" s="76">
        <f t="shared" si="11"/>
        <v>15833.33333</v>
      </c>
      <c r="BA8" s="76">
        <f t="shared" si="11"/>
        <v>15833.33333</v>
      </c>
      <c r="BB8" s="76">
        <f t="shared" si="11"/>
        <v>15833.33333</v>
      </c>
      <c r="BC8" s="76">
        <f t="shared" si="11"/>
        <v>15833.33333</v>
      </c>
      <c r="BD8" s="76">
        <f t="shared" si="11"/>
        <v>15833.33333</v>
      </c>
      <c r="BE8" s="76">
        <f t="shared" si="11"/>
        <v>15833.33333</v>
      </c>
      <c r="BF8" s="76">
        <f t="shared" si="11"/>
        <v>15833.33333</v>
      </c>
      <c r="BG8" s="76">
        <f t="shared" si="11"/>
        <v>15833.33333</v>
      </c>
      <c r="BH8" s="76">
        <f t="shared" si="11"/>
        <v>15833.33333</v>
      </c>
      <c r="BI8" s="76">
        <f t="shared" si="11"/>
        <v>15833.33333</v>
      </c>
    </row>
    <row r="9" ht="15.75" customHeight="1">
      <c r="A9" s="1"/>
      <c r="B9" s="1" t="s">
        <v>152</v>
      </c>
      <c r="C9" s="1" t="s">
        <v>153</v>
      </c>
      <c r="D9" s="1" t="str">
        <f t="shared" si="9"/>
        <v>Engineering</v>
      </c>
      <c r="E9" s="143">
        <v>175000.0</v>
      </c>
      <c r="F9" s="141">
        <v>43221.0</v>
      </c>
      <c r="G9" s="141"/>
      <c r="H9" s="142">
        <v>0.09</v>
      </c>
      <c r="I9" s="143">
        <f t="shared" si="10"/>
        <v>583.3333333</v>
      </c>
      <c r="J9" s="143">
        <v>500.0</v>
      </c>
      <c r="K9" s="76">
        <f t="shared" si="5"/>
        <v>1083.333333</v>
      </c>
      <c r="N9" s="76">
        <f t="shared" ref="N9:BI9" si="12">IF($F9=0,0, IF(AND(N$1&gt;=$G9,$G9&lt;&gt;0),0,IF(N$1&gt;=$F9,$E9/12,0)))</f>
        <v>14583.33333</v>
      </c>
      <c r="O9" s="76">
        <f t="shared" si="12"/>
        <v>14583.33333</v>
      </c>
      <c r="P9" s="76">
        <f t="shared" si="12"/>
        <v>14583.33333</v>
      </c>
      <c r="Q9" s="76">
        <f t="shared" si="12"/>
        <v>14583.33333</v>
      </c>
      <c r="R9" s="76">
        <f t="shared" si="12"/>
        <v>14583.33333</v>
      </c>
      <c r="S9" s="76">
        <f t="shared" si="12"/>
        <v>14583.33333</v>
      </c>
      <c r="T9" s="76">
        <f t="shared" si="12"/>
        <v>14583.33333</v>
      </c>
      <c r="U9" s="76">
        <f t="shared" si="12"/>
        <v>14583.33333</v>
      </c>
      <c r="V9" s="76">
        <f t="shared" si="12"/>
        <v>14583.33333</v>
      </c>
      <c r="W9" s="76">
        <f t="shared" si="12"/>
        <v>14583.33333</v>
      </c>
      <c r="X9" s="76">
        <f t="shared" si="12"/>
        <v>14583.33333</v>
      </c>
      <c r="Y9" s="76">
        <f t="shared" si="12"/>
        <v>14583.33333</v>
      </c>
      <c r="Z9" s="76">
        <f t="shared" si="12"/>
        <v>14583.33333</v>
      </c>
      <c r="AA9" s="76">
        <f t="shared" si="12"/>
        <v>14583.33333</v>
      </c>
      <c r="AB9" s="76">
        <f t="shared" si="12"/>
        <v>14583.33333</v>
      </c>
      <c r="AC9" s="76">
        <f t="shared" si="12"/>
        <v>14583.33333</v>
      </c>
      <c r="AD9" s="76">
        <f t="shared" si="12"/>
        <v>14583.33333</v>
      </c>
      <c r="AE9" s="76">
        <f t="shared" si="12"/>
        <v>14583.33333</v>
      </c>
      <c r="AF9" s="76">
        <f t="shared" si="12"/>
        <v>14583.33333</v>
      </c>
      <c r="AG9" s="76">
        <f t="shared" si="12"/>
        <v>14583.33333</v>
      </c>
      <c r="AH9" s="76">
        <f t="shared" si="12"/>
        <v>14583.33333</v>
      </c>
      <c r="AI9" s="76">
        <f t="shared" si="12"/>
        <v>14583.33333</v>
      </c>
      <c r="AJ9" s="76">
        <f t="shared" si="12"/>
        <v>14583.33333</v>
      </c>
      <c r="AK9" s="76">
        <f t="shared" si="12"/>
        <v>14583.33333</v>
      </c>
      <c r="AL9" s="76">
        <f t="shared" si="12"/>
        <v>14583.33333</v>
      </c>
      <c r="AM9" s="76">
        <f t="shared" si="12"/>
        <v>14583.33333</v>
      </c>
      <c r="AN9" s="76">
        <f t="shared" si="12"/>
        <v>14583.33333</v>
      </c>
      <c r="AO9" s="76">
        <f t="shared" si="12"/>
        <v>14583.33333</v>
      </c>
      <c r="AP9" s="76">
        <f t="shared" si="12"/>
        <v>14583.33333</v>
      </c>
      <c r="AQ9" s="76">
        <f t="shared" si="12"/>
        <v>14583.33333</v>
      </c>
      <c r="AR9" s="76">
        <f t="shared" si="12"/>
        <v>14583.33333</v>
      </c>
      <c r="AS9" s="76">
        <f t="shared" si="12"/>
        <v>14583.33333</v>
      </c>
      <c r="AT9" s="76">
        <f t="shared" si="12"/>
        <v>14583.33333</v>
      </c>
      <c r="AU9" s="76">
        <f t="shared" si="12"/>
        <v>14583.33333</v>
      </c>
      <c r="AV9" s="76">
        <f t="shared" si="12"/>
        <v>14583.33333</v>
      </c>
      <c r="AW9" s="76">
        <f t="shared" si="12"/>
        <v>14583.33333</v>
      </c>
      <c r="AX9" s="76">
        <f t="shared" si="12"/>
        <v>14583.33333</v>
      </c>
      <c r="AY9" s="76">
        <f t="shared" si="12"/>
        <v>14583.33333</v>
      </c>
      <c r="AZ9" s="76">
        <f t="shared" si="12"/>
        <v>14583.33333</v>
      </c>
      <c r="BA9" s="76">
        <f t="shared" si="12"/>
        <v>14583.33333</v>
      </c>
      <c r="BB9" s="76">
        <f t="shared" si="12"/>
        <v>14583.33333</v>
      </c>
      <c r="BC9" s="76">
        <f t="shared" si="12"/>
        <v>14583.33333</v>
      </c>
      <c r="BD9" s="76">
        <f t="shared" si="12"/>
        <v>14583.33333</v>
      </c>
      <c r="BE9" s="76">
        <f t="shared" si="12"/>
        <v>14583.33333</v>
      </c>
      <c r="BF9" s="76">
        <f t="shared" si="12"/>
        <v>14583.33333</v>
      </c>
      <c r="BG9" s="76">
        <f t="shared" si="12"/>
        <v>14583.33333</v>
      </c>
      <c r="BH9" s="76">
        <f t="shared" si="12"/>
        <v>14583.33333</v>
      </c>
      <c r="BI9" s="76">
        <f t="shared" si="12"/>
        <v>14583.33333</v>
      </c>
    </row>
    <row r="10" ht="15.75" customHeight="1">
      <c r="A10" s="7"/>
      <c r="B10" s="1" t="s">
        <v>154</v>
      </c>
      <c r="C10" s="1" t="s">
        <v>155</v>
      </c>
      <c r="D10" s="1" t="str">
        <f t="shared" si="9"/>
        <v>Engineering</v>
      </c>
      <c r="E10" s="143">
        <v>175000.0</v>
      </c>
      <c r="F10" s="141">
        <v>42798.0</v>
      </c>
      <c r="G10" s="141"/>
      <c r="H10" s="142">
        <v>0.09</v>
      </c>
      <c r="I10" s="143">
        <f t="shared" si="10"/>
        <v>583.3333333</v>
      </c>
      <c r="J10" s="143">
        <v>500.0</v>
      </c>
      <c r="K10" s="76">
        <f t="shared" si="5"/>
        <v>1083.333333</v>
      </c>
      <c r="N10" s="76">
        <f t="shared" ref="N10:BI10" si="13">IF($F10=0,0, IF(AND(N$1&gt;=$G10,$G10&lt;&gt;0),0,IF(N$1&gt;=$F10,$E10/12,0)))</f>
        <v>14583.33333</v>
      </c>
      <c r="O10" s="76">
        <f t="shared" si="13"/>
        <v>14583.33333</v>
      </c>
      <c r="P10" s="76">
        <f t="shared" si="13"/>
        <v>14583.33333</v>
      </c>
      <c r="Q10" s="76">
        <f t="shared" si="13"/>
        <v>14583.33333</v>
      </c>
      <c r="R10" s="76">
        <f t="shared" si="13"/>
        <v>14583.33333</v>
      </c>
      <c r="S10" s="76">
        <f t="shared" si="13"/>
        <v>14583.33333</v>
      </c>
      <c r="T10" s="76">
        <f t="shared" si="13"/>
        <v>14583.33333</v>
      </c>
      <c r="U10" s="76">
        <f t="shared" si="13"/>
        <v>14583.33333</v>
      </c>
      <c r="V10" s="76">
        <f t="shared" si="13"/>
        <v>14583.33333</v>
      </c>
      <c r="W10" s="76">
        <f t="shared" si="13"/>
        <v>14583.33333</v>
      </c>
      <c r="X10" s="76">
        <f t="shared" si="13"/>
        <v>14583.33333</v>
      </c>
      <c r="Y10" s="76">
        <f t="shared" si="13"/>
        <v>14583.33333</v>
      </c>
      <c r="Z10" s="76">
        <f t="shared" si="13"/>
        <v>14583.33333</v>
      </c>
      <c r="AA10" s="76">
        <f t="shared" si="13"/>
        <v>14583.33333</v>
      </c>
      <c r="AB10" s="76">
        <f t="shared" si="13"/>
        <v>14583.33333</v>
      </c>
      <c r="AC10" s="76">
        <f t="shared" si="13"/>
        <v>14583.33333</v>
      </c>
      <c r="AD10" s="76">
        <f t="shared" si="13"/>
        <v>14583.33333</v>
      </c>
      <c r="AE10" s="76">
        <f t="shared" si="13"/>
        <v>14583.33333</v>
      </c>
      <c r="AF10" s="76">
        <f t="shared" si="13"/>
        <v>14583.33333</v>
      </c>
      <c r="AG10" s="76">
        <f t="shared" si="13"/>
        <v>14583.33333</v>
      </c>
      <c r="AH10" s="76">
        <f t="shared" si="13"/>
        <v>14583.33333</v>
      </c>
      <c r="AI10" s="76">
        <f t="shared" si="13"/>
        <v>14583.33333</v>
      </c>
      <c r="AJ10" s="76">
        <f t="shared" si="13"/>
        <v>14583.33333</v>
      </c>
      <c r="AK10" s="76">
        <f t="shared" si="13"/>
        <v>14583.33333</v>
      </c>
      <c r="AL10" s="76">
        <f t="shared" si="13"/>
        <v>14583.33333</v>
      </c>
      <c r="AM10" s="76">
        <f t="shared" si="13"/>
        <v>14583.33333</v>
      </c>
      <c r="AN10" s="76">
        <f t="shared" si="13"/>
        <v>14583.33333</v>
      </c>
      <c r="AO10" s="76">
        <f t="shared" si="13"/>
        <v>14583.33333</v>
      </c>
      <c r="AP10" s="76">
        <f t="shared" si="13"/>
        <v>14583.33333</v>
      </c>
      <c r="AQ10" s="76">
        <f t="shared" si="13"/>
        <v>14583.33333</v>
      </c>
      <c r="AR10" s="76">
        <f t="shared" si="13"/>
        <v>14583.33333</v>
      </c>
      <c r="AS10" s="76">
        <f t="shared" si="13"/>
        <v>14583.33333</v>
      </c>
      <c r="AT10" s="76">
        <f t="shared" si="13"/>
        <v>14583.33333</v>
      </c>
      <c r="AU10" s="76">
        <f t="shared" si="13"/>
        <v>14583.33333</v>
      </c>
      <c r="AV10" s="76">
        <f t="shared" si="13"/>
        <v>14583.33333</v>
      </c>
      <c r="AW10" s="76">
        <f t="shared" si="13"/>
        <v>14583.33333</v>
      </c>
      <c r="AX10" s="76">
        <f t="shared" si="13"/>
        <v>14583.33333</v>
      </c>
      <c r="AY10" s="76">
        <f t="shared" si="13"/>
        <v>14583.33333</v>
      </c>
      <c r="AZ10" s="76">
        <f t="shared" si="13"/>
        <v>14583.33333</v>
      </c>
      <c r="BA10" s="76">
        <f t="shared" si="13"/>
        <v>14583.33333</v>
      </c>
      <c r="BB10" s="76">
        <f t="shared" si="13"/>
        <v>14583.33333</v>
      </c>
      <c r="BC10" s="76">
        <f t="shared" si="13"/>
        <v>14583.33333</v>
      </c>
      <c r="BD10" s="76">
        <f t="shared" si="13"/>
        <v>14583.33333</v>
      </c>
      <c r="BE10" s="76">
        <f t="shared" si="13"/>
        <v>14583.33333</v>
      </c>
      <c r="BF10" s="76">
        <f t="shared" si="13"/>
        <v>14583.33333</v>
      </c>
      <c r="BG10" s="76">
        <f t="shared" si="13"/>
        <v>14583.33333</v>
      </c>
      <c r="BH10" s="76">
        <f t="shared" si="13"/>
        <v>14583.33333</v>
      </c>
      <c r="BI10" s="76">
        <f t="shared" si="13"/>
        <v>14583.33333</v>
      </c>
    </row>
    <row r="11" ht="15.75" customHeight="1">
      <c r="A11" s="7"/>
      <c r="B11" s="1" t="s">
        <v>156</v>
      </c>
      <c r="C11" s="1" t="s">
        <v>157</v>
      </c>
      <c r="D11" s="1" t="str">
        <f t="shared" si="9"/>
        <v>Engineering</v>
      </c>
      <c r="E11" s="143">
        <v>175000.0</v>
      </c>
      <c r="F11" s="141">
        <v>43101.0</v>
      </c>
      <c r="G11" s="141"/>
      <c r="H11" s="142">
        <v>0.09</v>
      </c>
      <c r="I11" s="143">
        <f t="shared" si="10"/>
        <v>583.3333333</v>
      </c>
      <c r="J11" s="143">
        <v>500.0</v>
      </c>
      <c r="K11" s="76">
        <f t="shared" si="5"/>
        <v>1083.333333</v>
      </c>
      <c r="N11" s="76">
        <f t="shared" ref="N11:BI11" si="14">IF($F11=0,0, IF(AND(N$1&gt;=$G11,$G11&lt;&gt;0),0,IF(N$1&gt;=$F11,$E11/12,0)))</f>
        <v>14583.33333</v>
      </c>
      <c r="O11" s="76">
        <f t="shared" si="14"/>
        <v>14583.33333</v>
      </c>
      <c r="P11" s="76">
        <f t="shared" si="14"/>
        <v>14583.33333</v>
      </c>
      <c r="Q11" s="76">
        <f t="shared" si="14"/>
        <v>14583.33333</v>
      </c>
      <c r="R11" s="76">
        <f t="shared" si="14"/>
        <v>14583.33333</v>
      </c>
      <c r="S11" s="76">
        <f t="shared" si="14"/>
        <v>14583.33333</v>
      </c>
      <c r="T11" s="76">
        <f t="shared" si="14"/>
        <v>14583.33333</v>
      </c>
      <c r="U11" s="76">
        <f t="shared" si="14"/>
        <v>14583.33333</v>
      </c>
      <c r="V11" s="76">
        <f t="shared" si="14"/>
        <v>14583.33333</v>
      </c>
      <c r="W11" s="76">
        <f t="shared" si="14"/>
        <v>14583.33333</v>
      </c>
      <c r="X11" s="76">
        <f t="shared" si="14"/>
        <v>14583.33333</v>
      </c>
      <c r="Y11" s="76">
        <f t="shared" si="14"/>
        <v>14583.33333</v>
      </c>
      <c r="Z11" s="76">
        <f t="shared" si="14"/>
        <v>14583.33333</v>
      </c>
      <c r="AA11" s="76">
        <f t="shared" si="14"/>
        <v>14583.33333</v>
      </c>
      <c r="AB11" s="76">
        <f t="shared" si="14"/>
        <v>14583.33333</v>
      </c>
      <c r="AC11" s="76">
        <f t="shared" si="14"/>
        <v>14583.33333</v>
      </c>
      <c r="AD11" s="76">
        <f t="shared" si="14"/>
        <v>14583.33333</v>
      </c>
      <c r="AE11" s="76">
        <f t="shared" si="14"/>
        <v>14583.33333</v>
      </c>
      <c r="AF11" s="76">
        <f t="shared" si="14"/>
        <v>14583.33333</v>
      </c>
      <c r="AG11" s="76">
        <f t="shared" si="14"/>
        <v>14583.33333</v>
      </c>
      <c r="AH11" s="76">
        <f t="shared" si="14"/>
        <v>14583.33333</v>
      </c>
      <c r="AI11" s="76">
        <f t="shared" si="14"/>
        <v>14583.33333</v>
      </c>
      <c r="AJ11" s="76">
        <f t="shared" si="14"/>
        <v>14583.33333</v>
      </c>
      <c r="AK11" s="76">
        <f t="shared" si="14"/>
        <v>14583.33333</v>
      </c>
      <c r="AL11" s="76">
        <f t="shared" si="14"/>
        <v>14583.33333</v>
      </c>
      <c r="AM11" s="76">
        <f t="shared" si="14"/>
        <v>14583.33333</v>
      </c>
      <c r="AN11" s="76">
        <f t="shared" si="14"/>
        <v>14583.33333</v>
      </c>
      <c r="AO11" s="76">
        <f t="shared" si="14"/>
        <v>14583.33333</v>
      </c>
      <c r="AP11" s="76">
        <f t="shared" si="14"/>
        <v>14583.33333</v>
      </c>
      <c r="AQ11" s="76">
        <f t="shared" si="14"/>
        <v>14583.33333</v>
      </c>
      <c r="AR11" s="76">
        <f t="shared" si="14"/>
        <v>14583.33333</v>
      </c>
      <c r="AS11" s="76">
        <f t="shared" si="14"/>
        <v>14583.33333</v>
      </c>
      <c r="AT11" s="76">
        <f t="shared" si="14"/>
        <v>14583.33333</v>
      </c>
      <c r="AU11" s="76">
        <f t="shared" si="14"/>
        <v>14583.33333</v>
      </c>
      <c r="AV11" s="76">
        <f t="shared" si="14"/>
        <v>14583.33333</v>
      </c>
      <c r="AW11" s="76">
        <f t="shared" si="14"/>
        <v>14583.33333</v>
      </c>
      <c r="AX11" s="76">
        <f t="shared" si="14"/>
        <v>14583.33333</v>
      </c>
      <c r="AY11" s="76">
        <f t="shared" si="14"/>
        <v>14583.33333</v>
      </c>
      <c r="AZ11" s="76">
        <f t="shared" si="14"/>
        <v>14583.33333</v>
      </c>
      <c r="BA11" s="76">
        <f t="shared" si="14"/>
        <v>14583.33333</v>
      </c>
      <c r="BB11" s="76">
        <f t="shared" si="14"/>
        <v>14583.33333</v>
      </c>
      <c r="BC11" s="76">
        <f t="shared" si="14"/>
        <v>14583.33333</v>
      </c>
      <c r="BD11" s="76">
        <f t="shared" si="14"/>
        <v>14583.33333</v>
      </c>
      <c r="BE11" s="76">
        <f t="shared" si="14"/>
        <v>14583.33333</v>
      </c>
      <c r="BF11" s="76">
        <f t="shared" si="14"/>
        <v>14583.33333</v>
      </c>
      <c r="BG11" s="76">
        <f t="shared" si="14"/>
        <v>14583.33333</v>
      </c>
      <c r="BH11" s="76">
        <f t="shared" si="14"/>
        <v>14583.33333</v>
      </c>
      <c r="BI11" s="76">
        <f t="shared" si="14"/>
        <v>14583.33333</v>
      </c>
    </row>
    <row r="12" ht="15.75" customHeight="1">
      <c r="A12" s="7"/>
      <c r="B12" s="1" t="s">
        <v>158</v>
      </c>
      <c r="C12" s="1" t="s">
        <v>159</v>
      </c>
      <c r="D12" s="1" t="str">
        <f t="shared" si="9"/>
        <v>Engineering</v>
      </c>
      <c r="E12" s="143">
        <v>210000.0</v>
      </c>
      <c r="F12" s="141">
        <v>43497.0</v>
      </c>
      <c r="G12" s="141"/>
      <c r="H12" s="142">
        <v>0.09</v>
      </c>
      <c r="I12" s="143">
        <f t="shared" si="10"/>
        <v>700</v>
      </c>
      <c r="J12" s="143">
        <v>500.0</v>
      </c>
      <c r="K12" s="76">
        <f t="shared" si="5"/>
        <v>1200</v>
      </c>
      <c r="N12" s="76">
        <f t="shared" ref="N12:BI12" si="15">IF($F12=0,0, IF(AND(N$1&gt;=$G12,$G12&lt;&gt;0),0,IF(N$1&gt;=$F12,$E12/12,0)))</f>
        <v>17500</v>
      </c>
      <c r="O12" s="76">
        <f t="shared" si="15"/>
        <v>17500</v>
      </c>
      <c r="P12" s="76">
        <f t="shared" si="15"/>
        <v>17500</v>
      </c>
      <c r="Q12" s="76">
        <f t="shared" si="15"/>
        <v>17500</v>
      </c>
      <c r="R12" s="76">
        <f t="shared" si="15"/>
        <v>17500</v>
      </c>
      <c r="S12" s="76">
        <f t="shared" si="15"/>
        <v>17500</v>
      </c>
      <c r="T12" s="76">
        <f t="shared" si="15"/>
        <v>17500</v>
      </c>
      <c r="U12" s="76">
        <f t="shared" si="15"/>
        <v>17500</v>
      </c>
      <c r="V12" s="76">
        <f t="shared" si="15"/>
        <v>17500</v>
      </c>
      <c r="W12" s="76">
        <f t="shared" si="15"/>
        <v>17500</v>
      </c>
      <c r="X12" s="76">
        <f t="shared" si="15"/>
        <v>17500</v>
      </c>
      <c r="Y12" s="76">
        <f t="shared" si="15"/>
        <v>17500</v>
      </c>
      <c r="Z12" s="76">
        <f t="shared" si="15"/>
        <v>17500</v>
      </c>
      <c r="AA12" s="76">
        <f t="shared" si="15"/>
        <v>17500</v>
      </c>
      <c r="AB12" s="76">
        <f t="shared" si="15"/>
        <v>17500</v>
      </c>
      <c r="AC12" s="76">
        <f t="shared" si="15"/>
        <v>17500</v>
      </c>
      <c r="AD12" s="76">
        <f t="shared" si="15"/>
        <v>17500</v>
      </c>
      <c r="AE12" s="76">
        <f t="shared" si="15"/>
        <v>17500</v>
      </c>
      <c r="AF12" s="76">
        <f t="shared" si="15"/>
        <v>17500</v>
      </c>
      <c r="AG12" s="76">
        <f t="shared" si="15"/>
        <v>17500</v>
      </c>
      <c r="AH12" s="76">
        <f t="shared" si="15"/>
        <v>17500</v>
      </c>
      <c r="AI12" s="76">
        <f t="shared" si="15"/>
        <v>17500</v>
      </c>
      <c r="AJ12" s="76">
        <f t="shared" si="15"/>
        <v>17500</v>
      </c>
      <c r="AK12" s="76">
        <f t="shared" si="15"/>
        <v>17500</v>
      </c>
      <c r="AL12" s="76">
        <f t="shared" si="15"/>
        <v>17500</v>
      </c>
      <c r="AM12" s="76">
        <f t="shared" si="15"/>
        <v>17500</v>
      </c>
      <c r="AN12" s="76">
        <f t="shared" si="15"/>
        <v>17500</v>
      </c>
      <c r="AO12" s="76">
        <f t="shared" si="15"/>
        <v>17500</v>
      </c>
      <c r="AP12" s="76">
        <f t="shared" si="15"/>
        <v>17500</v>
      </c>
      <c r="AQ12" s="76">
        <f t="shared" si="15"/>
        <v>17500</v>
      </c>
      <c r="AR12" s="76">
        <f t="shared" si="15"/>
        <v>17500</v>
      </c>
      <c r="AS12" s="76">
        <f t="shared" si="15"/>
        <v>17500</v>
      </c>
      <c r="AT12" s="76">
        <f t="shared" si="15"/>
        <v>17500</v>
      </c>
      <c r="AU12" s="76">
        <f t="shared" si="15"/>
        <v>17500</v>
      </c>
      <c r="AV12" s="76">
        <f t="shared" si="15"/>
        <v>17500</v>
      </c>
      <c r="AW12" s="76">
        <f t="shared" si="15"/>
        <v>17500</v>
      </c>
      <c r="AX12" s="76">
        <f t="shared" si="15"/>
        <v>17500</v>
      </c>
      <c r="AY12" s="76">
        <f t="shared" si="15"/>
        <v>17500</v>
      </c>
      <c r="AZ12" s="76">
        <f t="shared" si="15"/>
        <v>17500</v>
      </c>
      <c r="BA12" s="76">
        <f t="shared" si="15"/>
        <v>17500</v>
      </c>
      <c r="BB12" s="76">
        <f t="shared" si="15"/>
        <v>17500</v>
      </c>
      <c r="BC12" s="76">
        <f t="shared" si="15"/>
        <v>17500</v>
      </c>
      <c r="BD12" s="76">
        <f t="shared" si="15"/>
        <v>17500</v>
      </c>
      <c r="BE12" s="76">
        <f t="shared" si="15"/>
        <v>17500</v>
      </c>
      <c r="BF12" s="76">
        <f t="shared" si="15"/>
        <v>17500</v>
      </c>
      <c r="BG12" s="76">
        <f t="shared" si="15"/>
        <v>17500</v>
      </c>
      <c r="BH12" s="76">
        <f t="shared" si="15"/>
        <v>17500</v>
      </c>
      <c r="BI12" s="76">
        <f t="shared" si="15"/>
        <v>17500</v>
      </c>
    </row>
    <row r="13" ht="15.75" customHeight="1">
      <c r="A13" s="7"/>
      <c r="B13" s="1" t="s">
        <v>160</v>
      </c>
      <c r="C13" s="1" t="s">
        <v>161</v>
      </c>
      <c r="D13" s="1" t="str">
        <f t="shared" si="9"/>
        <v>Engineering</v>
      </c>
      <c r="E13" s="143">
        <v>185000.0</v>
      </c>
      <c r="F13" s="141">
        <v>43678.0</v>
      </c>
      <c r="G13" s="141"/>
      <c r="H13" s="142">
        <v>0.09</v>
      </c>
      <c r="I13" s="143">
        <f t="shared" si="10"/>
        <v>616.6666667</v>
      </c>
      <c r="J13" s="143">
        <v>500.0</v>
      </c>
      <c r="K13" s="76">
        <f t="shared" si="5"/>
        <v>1116.666667</v>
      </c>
      <c r="N13" s="76">
        <f t="shared" ref="N13:BI13" si="16">IF($F13=0,0, IF(AND(N$1&gt;=$G13,$G13&lt;&gt;0),0,IF(N$1&gt;=$F13,$E13/12,0)))</f>
        <v>15416.66667</v>
      </c>
      <c r="O13" s="76">
        <f t="shared" si="16"/>
        <v>15416.66667</v>
      </c>
      <c r="P13" s="76">
        <f t="shared" si="16"/>
        <v>15416.66667</v>
      </c>
      <c r="Q13" s="76">
        <f t="shared" si="16"/>
        <v>15416.66667</v>
      </c>
      <c r="R13" s="76">
        <f t="shared" si="16"/>
        <v>15416.66667</v>
      </c>
      <c r="S13" s="76">
        <f t="shared" si="16"/>
        <v>15416.66667</v>
      </c>
      <c r="T13" s="76">
        <f t="shared" si="16"/>
        <v>15416.66667</v>
      </c>
      <c r="U13" s="76">
        <f t="shared" si="16"/>
        <v>15416.66667</v>
      </c>
      <c r="V13" s="76">
        <f t="shared" si="16"/>
        <v>15416.66667</v>
      </c>
      <c r="W13" s="76">
        <f t="shared" si="16"/>
        <v>15416.66667</v>
      </c>
      <c r="X13" s="76">
        <f t="shared" si="16"/>
        <v>15416.66667</v>
      </c>
      <c r="Y13" s="76">
        <f t="shared" si="16"/>
        <v>15416.66667</v>
      </c>
      <c r="Z13" s="76">
        <f t="shared" si="16"/>
        <v>15416.66667</v>
      </c>
      <c r="AA13" s="76">
        <f t="shared" si="16"/>
        <v>15416.66667</v>
      </c>
      <c r="AB13" s="76">
        <f t="shared" si="16"/>
        <v>15416.66667</v>
      </c>
      <c r="AC13" s="76">
        <f t="shared" si="16"/>
        <v>15416.66667</v>
      </c>
      <c r="AD13" s="76">
        <f t="shared" si="16"/>
        <v>15416.66667</v>
      </c>
      <c r="AE13" s="76">
        <f t="shared" si="16"/>
        <v>15416.66667</v>
      </c>
      <c r="AF13" s="76">
        <f t="shared" si="16"/>
        <v>15416.66667</v>
      </c>
      <c r="AG13" s="76">
        <f t="shared" si="16"/>
        <v>15416.66667</v>
      </c>
      <c r="AH13" s="76">
        <f t="shared" si="16"/>
        <v>15416.66667</v>
      </c>
      <c r="AI13" s="76">
        <f t="shared" si="16"/>
        <v>15416.66667</v>
      </c>
      <c r="AJ13" s="76">
        <f t="shared" si="16"/>
        <v>15416.66667</v>
      </c>
      <c r="AK13" s="76">
        <f t="shared" si="16"/>
        <v>15416.66667</v>
      </c>
      <c r="AL13" s="76">
        <f t="shared" si="16"/>
        <v>15416.66667</v>
      </c>
      <c r="AM13" s="76">
        <f t="shared" si="16"/>
        <v>15416.66667</v>
      </c>
      <c r="AN13" s="76">
        <f t="shared" si="16"/>
        <v>15416.66667</v>
      </c>
      <c r="AO13" s="76">
        <f t="shared" si="16"/>
        <v>15416.66667</v>
      </c>
      <c r="AP13" s="76">
        <f t="shared" si="16"/>
        <v>15416.66667</v>
      </c>
      <c r="AQ13" s="76">
        <f t="shared" si="16"/>
        <v>15416.66667</v>
      </c>
      <c r="AR13" s="76">
        <f t="shared" si="16"/>
        <v>15416.66667</v>
      </c>
      <c r="AS13" s="76">
        <f t="shared" si="16"/>
        <v>15416.66667</v>
      </c>
      <c r="AT13" s="76">
        <f t="shared" si="16"/>
        <v>15416.66667</v>
      </c>
      <c r="AU13" s="76">
        <f t="shared" si="16"/>
        <v>15416.66667</v>
      </c>
      <c r="AV13" s="76">
        <f t="shared" si="16"/>
        <v>15416.66667</v>
      </c>
      <c r="AW13" s="76">
        <f t="shared" si="16"/>
        <v>15416.66667</v>
      </c>
      <c r="AX13" s="76">
        <f t="shared" si="16"/>
        <v>15416.66667</v>
      </c>
      <c r="AY13" s="76">
        <f t="shared" si="16"/>
        <v>15416.66667</v>
      </c>
      <c r="AZ13" s="76">
        <f t="shared" si="16"/>
        <v>15416.66667</v>
      </c>
      <c r="BA13" s="76">
        <f t="shared" si="16"/>
        <v>15416.66667</v>
      </c>
      <c r="BB13" s="76">
        <f t="shared" si="16"/>
        <v>15416.66667</v>
      </c>
      <c r="BC13" s="76">
        <f t="shared" si="16"/>
        <v>15416.66667</v>
      </c>
      <c r="BD13" s="76">
        <f t="shared" si="16"/>
        <v>15416.66667</v>
      </c>
      <c r="BE13" s="76">
        <f t="shared" si="16"/>
        <v>15416.66667</v>
      </c>
      <c r="BF13" s="76">
        <f t="shared" si="16"/>
        <v>15416.66667</v>
      </c>
      <c r="BG13" s="76">
        <f t="shared" si="16"/>
        <v>15416.66667</v>
      </c>
      <c r="BH13" s="76">
        <f t="shared" si="16"/>
        <v>15416.66667</v>
      </c>
      <c r="BI13" s="76">
        <f t="shared" si="16"/>
        <v>15416.66667</v>
      </c>
    </row>
    <row r="14" ht="15.75" customHeight="1">
      <c r="A14" s="7"/>
      <c r="B14" s="1" t="s">
        <v>162</v>
      </c>
      <c r="C14" s="1" t="s">
        <v>155</v>
      </c>
      <c r="D14" s="1" t="str">
        <f t="shared" si="9"/>
        <v>Engineering</v>
      </c>
      <c r="E14" s="143">
        <v>160000.0</v>
      </c>
      <c r="F14" s="141">
        <v>43770.0</v>
      </c>
      <c r="G14" s="141"/>
      <c r="H14" s="142">
        <v>0.09</v>
      </c>
      <c r="I14" s="143">
        <f t="shared" si="10"/>
        <v>533.3333333</v>
      </c>
      <c r="J14" s="143">
        <v>500.0</v>
      </c>
      <c r="K14" s="76">
        <f t="shared" si="5"/>
        <v>1033.333333</v>
      </c>
      <c r="N14" s="76">
        <f t="shared" ref="N14:BI14" si="17">IF($F14=0,0, IF(AND(N$1&gt;=$G14,$G14&lt;&gt;0),0,IF(N$1&gt;=$F14,$E14/12,0)))</f>
        <v>13333.33333</v>
      </c>
      <c r="O14" s="76">
        <f t="shared" si="17"/>
        <v>13333.33333</v>
      </c>
      <c r="P14" s="76">
        <f t="shared" si="17"/>
        <v>13333.33333</v>
      </c>
      <c r="Q14" s="76">
        <f t="shared" si="17"/>
        <v>13333.33333</v>
      </c>
      <c r="R14" s="76">
        <f t="shared" si="17"/>
        <v>13333.33333</v>
      </c>
      <c r="S14" s="76">
        <f t="shared" si="17"/>
        <v>13333.33333</v>
      </c>
      <c r="T14" s="76">
        <f t="shared" si="17"/>
        <v>13333.33333</v>
      </c>
      <c r="U14" s="76">
        <f t="shared" si="17"/>
        <v>13333.33333</v>
      </c>
      <c r="V14" s="76">
        <f t="shared" si="17"/>
        <v>13333.33333</v>
      </c>
      <c r="W14" s="76">
        <f t="shared" si="17"/>
        <v>13333.33333</v>
      </c>
      <c r="X14" s="76">
        <f t="shared" si="17"/>
        <v>13333.33333</v>
      </c>
      <c r="Y14" s="76">
        <f t="shared" si="17"/>
        <v>13333.33333</v>
      </c>
      <c r="Z14" s="76">
        <f t="shared" si="17"/>
        <v>13333.33333</v>
      </c>
      <c r="AA14" s="76">
        <f t="shared" si="17"/>
        <v>13333.33333</v>
      </c>
      <c r="AB14" s="76">
        <f t="shared" si="17"/>
        <v>13333.33333</v>
      </c>
      <c r="AC14" s="76">
        <f t="shared" si="17"/>
        <v>13333.33333</v>
      </c>
      <c r="AD14" s="76">
        <f t="shared" si="17"/>
        <v>13333.33333</v>
      </c>
      <c r="AE14" s="76">
        <f t="shared" si="17"/>
        <v>13333.33333</v>
      </c>
      <c r="AF14" s="76">
        <f t="shared" si="17"/>
        <v>13333.33333</v>
      </c>
      <c r="AG14" s="76">
        <f t="shared" si="17"/>
        <v>13333.33333</v>
      </c>
      <c r="AH14" s="76">
        <f t="shared" si="17"/>
        <v>13333.33333</v>
      </c>
      <c r="AI14" s="76">
        <f t="shared" si="17"/>
        <v>13333.33333</v>
      </c>
      <c r="AJ14" s="76">
        <f t="shared" si="17"/>
        <v>13333.33333</v>
      </c>
      <c r="AK14" s="76">
        <f t="shared" si="17"/>
        <v>13333.33333</v>
      </c>
      <c r="AL14" s="76">
        <f t="shared" si="17"/>
        <v>13333.33333</v>
      </c>
      <c r="AM14" s="76">
        <f t="shared" si="17"/>
        <v>13333.33333</v>
      </c>
      <c r="AN14" s="76">
        <f t="shared" si="17"/>
        <v>13333.33333</v>
      </c>
      <c r="AO14" s="76">
        <f t="shared" si="17"/>
        <v>13333.33333</v>
      </c>
      <c r="AP14" s="76">
        <f t="shared" si="17"/>
        <v>13333.33333</v>
      </c>
      <c r="AQ14" s="76">
        <f t="shared" si="17"/>
        <v>13333.33333</v>
      </c>
      <c r="AR14" s="76">
        <f t="shared" si="17"/>
        <v>13333.33333</v>
      </c>
      <c r="AS14" s="76">
        <f t="shared" si="17"/>
        <v>13333.33333</v>
      </c>
      <c r="AT14" s="76">
        <f t="shared" si="17"/>
        <v>13333.33333</v>
      </c>
      <c r="AU14" s="76">
        <f t="shared" si="17"/>
        <v>13333.33333</v>
      </c>
      <c r="AV14" s="76">
        <f t="shared" si="17"/>
        <v>13333.33333</v>
      </c>
      <c r="AW14" s="76">
        <f t="shared" si="17"/>
        <v>13333.33333</v>
      </c>
      <c r="AX14" s="76">
        <f t="shared" si="17"/>
        <v>13333.33333</v>
      </c>
      <c r="AY14" s="76">
        <f t="shared" si="17"/>
        <v>13333.33333</v>
      </c>
      <c r="AZ14" s="76">
        <f t="shared" si="17"/>
        <v>13333.33333</v>
      </c>
      <c r="BA14" s="76">
        <f t="shared" si="17"/>
        <v>13333.33333</v>
      </c>
      <c r="BB14" s="76">
        <f t="shared" si="17"/>
        <v>13333.33333</v>
      </c>
      <c r="BC14" s="76">
        <f t="shared" si="17"/>
        <v>13333.33333</v>
      </c>
      <c r="BD14" s="76">
        <f t="shared" si="17"/>
        <v>13333.33333</v>
      </c>
      <c r="BE14" s="76">
        <f t="shared" si="17"/>
        <v>13333.33333</v>
      </c>
      <c r="BF14" s="76">
        <f t="shared" si="17"/>
        <v>13333.33333</v>
      </c>
      <c r="BG14" s="76">
        <f t="shared" si="17"/>
        <v>13333.33333</v>
      </c>
      <c r="BH14" s="76">
        <f t="shared" si="17"/>
        <v>13333.33333</v>
      </c>
      <c r="BI14" s="76">
        <f t="shared" si="17"/>
        <v>13333.33333</v>
      </c>
    </row>
    <row r="15" ht="15.75" customHeight="1">
      <c r="A15" s="7"/>
      <c r="B15" s="1" t="s">
        <v>163</v>
      </c>
      <c r="C15" s="1" t="s">
        <v>164</v>
      </c>
      <c r="D15" s="1" t="str">
        <f t="shared" si="9"/>
        <v>Engineering</v>
      </c>
      <c r="E15" s="143">
        <v>185000.0</v>
      </c>
      <c r="F15" s="141">
        <v>43647.0</v>
      </c>
      <c r="G15" s="141"/>
      <c r="H15" s="142">
        <v>0.09</v>
      </c>
      <c r="I15" s="143">
        <f t="shared" si="10"/>
        <v>616.6666667</v>
      </c>
      <c r="J15" s="143">
        <v>500.0</v>
      </c>
      <c r="K15" s="76">
        <f t="shared" si="5"/>
        <v>1116.666667</v>
      </c>
      <c r="N15" s="76">
        <f t="shared" ref="N15:BI15" si="18">IF($F15=0,0, IF(AND(N$1&gt;=$G15,$G15&lt;&gt;0),0,IF(N$1&gt;=$F15,$E15/12,0)))</f>
        <v>15416.66667</v>
      </c>
      <c r="O15" s="76">
        <f t="shared" si="18"/>
        <v>15416.66667</v>
      </c>
      <c r="P15" s="76">
        <f t="shared" si="18"/>
        <v>15416.66667</v>
      </c>
      <c r="Q15" s="76">
        <f t="shared" si="18"/>
        <v>15416.66667</v>
      </c>
      <c r="R15" s="76">
        <f t="shared" si="18"/>
        <v>15416.66667</v>
      </c>
      <c r="S15" s="76">
        <f t="shared" si="18"/>
        <v>15416.66667</v>
      </c>
      <c r="T15" s="76">
        <f t="shared" si="18"/>
        <v>15416.66667</v>
      </c>
      <c r="U15" s="76">
        <f t="shared" si="18"/>
        <v>15416.66667</v>
      </c>
      <c r="V15" s="76">
        <f t="shared" si="18"/>
        <v>15416.66667</v>
      </c>
      <c r="W15" s="76">
        <f t="shared" si="18"/>
        <v>15416.66667</v>
      </c>
      <c r="X15" s="76">
        <f t="shared" si="18"/>
        <v>15416.66667</v>
      </c>
      <c r="Y15" s="76">
        <f t="shared" si="18"/>
        <v>15416.66667</v>
      </c>
      <c r="Z15" s="76">
        <f t="shared" si="18"/>
        <v>15416.66667</v>
      </c>
      <c r="AA15" s="76">
        <f t="shared" si="18"/>
        <v>15416.66667</v>
      </c>
      <c r="AB15" s="76">
        <f t="shared" si="18"/>
        <v>15416.66667</v>
      </c>
      <c r="AC15" s="76">
        <f t="shared" si="18"/>
        <v>15416.66667</v>
      </c>
      <c r="AD15" s="76">
        <f t="shared" si="18"/>
        <v>15416.66667</v>
      </c>
      <c r="AE15" s="76">
        <f t="shared" si="18"/>
        <v>15416.66667</v>
      </c>
      <c r="AF15" s="76">
        <f t="shared" si="18"/>
        <v>15416.66667</v>
      </c>
      <c r="AG15" s="76">
        <f t="shared" si="18"/>
        <v>15416.66667</v>
      </c>
      <c r="AH15" s="76">
        <f t="shared" si="18"/>
        <v>15416.66667</v>
      </c>
      <c r="AI15" s="76">
        <f t="shared" si="18"/>
        <v>15416.66667</v>
      </c>
      <c r="AJ15" s="76">
        <f t="shared" si="18"/>
        <v>15416.66667</v>
      </c>
      <c r="AK15" s="76">
        <f t="shared" si="18"/>
        <v>15416.66667</v>
      </c>
      <c r="AL15" s="76">
        <f t="shared" si="18"/>
        <v>15416.66667</v>
      </c>
      <c r="AM15" s="76">
        <f t="shared" si="18"/>
        <v>15416.66667</v>
      </c>
      <c r="AN15" s="76">
        <f t="shared" si="18"/>
        <v>15416.66667</v>
      </c>
      <c r="AO15" s="76">
        <f t="shared" si="18"/>
        <v>15416.66667</v>
      </c>
      <c r="AP15" s="76">
        <f t="shared" si="18"/>
        <v>15416.66667</v>
      </c>
      <c r="AQ15" s="76">
        <f t="shared" si="18"/>
        <v>15416.66667</v>
      </c>
      <c r="AR15" s="76">
        <f t="shared" si="18"/>
        <v>15416.66667</v>
      </c>
      <c r="AS15" s="76">
        <f t="shared" si="18"/>
        <v>15416.66667</v>
      </c>
      <c r="AT15" s="76">
        <f t="shared" si="18"/>
        <v>15416.66667</v>
      </c>
      <c r="AU15" s="76">
        <f t="shared" si="18"/>
        <v>15416.66667</v>
      </c>
      <c r="AV15" s="76">
        <f t="shared" si="18"/>
        <v>15416.66667</v>
      </c>
      <c r="AW15" s="76">
        <f t="shared" si="18"/>
        <v>15416.66667</v>
      </c>
      <c r="AX15" s="76">
        <f t="shared" si="18"/>
        <v>15416.66667</v>
      </c>
      <c r="AY15" s="76">
        <f t="shared" si="18"/>
        <v>15416.66667</v>
      </c>
      <c r="AZ15" s="76">
        <f t="shared" si="18"/>
        <v>15416.66667</v>
      </c>
      <c r="BA15" s="76">
        <f t="shared" si="18"/>
        <v>15416.66667</v>
      </c>
      <c r="BB15" s="76">
        <f t="shared" si="18"/>
        <v>15416.66667</v>
      </c>
      <c r="BC15" s="76">
        <f t="shared" si="18"/>
        <v>15416.66667</v>
      </c>
      <c r="BD15" s="76">
        <f t="shared" si="18"/>
        <v>15416.66667</v>
      </c>
      <c r="BE15" s="76">
        <f t="shared" si="18"/>
        <v>15416.66667</v>
      </c>
      <c r="BF15" s="76">
        <f t="shared" si="18"/>
        <v>15416.66667</v>
      </c>
      <c r="BG15" s="76">
        <f t="shared" si="18"/>
        <v>15416.66667</v>
      </c>
      <c r="BH15" s="76">
        <f t="shared" si="18"/>
        <v>15416.66667</v>
      </c>
      <c r="BI15" s="76">
        <f t="shared" si="18"/>
        <v>15416.66667</v>
      </c>
    </row>
    <row r="16" ht="15.75" customHeight="1">
      <c r="A16" s="7"/>
      <c r="B16" s="1" t="s">
        <v>165</v>
      </c>
      <c r="C16" s="1" t="s">
        <v>166</v>
      </c>
      <c r="D16" s="1" t="str">
        <f t="shared" si="9"/>
        <v>Engineering</v>
      </c>
      <c r="E16" s="143">
        <v>175000.0</v>
      </c>
      <c r="F16" s="141">
        <v>43009.0</v>
      </c>
      <c r="G16" s="141"/>
      <c r="H16" s="142">
        <v>0.09</v>
      </c>
      <c r="I16" s="143">
        <f t="shared" si="10"/>
        <v>583.3333333</v>
      </c>
      <c r="J16" s="143">
        <v>500.0</v>
      </c>
      <c r="K16" s="76">
        <f t="shared" si="5"/>
        <v>1083.333333</v>
      </c>
      <c r="N16" s="76">
        <f t="shared" ref="N16:BI16" si="19">IF($F16=0,0, IF(AND(N$1&gt;=$G16,$G16&lt;&gt;0),0,IF(N$1&gt;=$F16,$E16/12,0)))</f>
        <v>14583.33333</v>
      </c>
      <c r="O16" s="76">
        <f t="shared" si="19"/>
        <v>14583.33333</v>
      </c>
      <c r="P16" s="76">
        <f t="shared" si="19"/>
        <v>14583.33333</v>
      </c>
      <c r="Q16" s="76">
        <f t="shared" si="19"/>
        <v>14583.33333</v>
      </c>
      <c r="R16" s="76">
        <f t="shared" si="19"/>
        <v>14583.33333</v>
      </c>
      <c r="S16" s="76">
        <f t="shared" si="19"/>
        <v>14583.33333</v>
      </c>
      <c r="T16" s="76">
        <f t="shared" si="19"/>
        <v>14583.33333</v>
      </c>
      <c r="U16" s="76">
        <f t="shared" si="19"/>
        <v>14583.33333</v>
      </c>
      <c r="V16" s="76">
        <f t="shared" si="19"/>
        <v>14583.33333</v>
      </c>
      <c r="W16" s="76">
        <f t="shared" si="19"/>
        <v>14583.33333</v>
      </c>
      <c r="X16" s="76">
        <f t="shared" si="19"/>
        <v>14583.33333</v>
      </c>
      <c r="Y16" s="76">
        <f t="shared" si="19"/>
        <v>14583.33333</v>
      </c>
      <c r="Z16" s="76">
        <f t="shared" si="19"/>
        <v>14583.33333</v>
      </c>
      <c r="AA16" s="76">
        <f t="shared" si="19"/>
        <v>14583.33333</v>
      </c>
      <c r="AB16" s="76">
        <f t="shared" si="19"/>
        <v>14583.33333</v>
      </c>
      <c r="AC16" s="76">
        <f t="shared" si="19"/>
        <v>14583.33333</v>
      </c>
      <c r="AD16" s="76">
        <f t="shared" si="19"/>
        <v>14583.33333</v>
      </c>
      <c r="AE16" s="76">
        <f t="shared" si="19"/>
        <v>14583.33333</v>
      </c>
      <c r="AF16" s="76">
        <f t="shared" si="19"/>
        <v>14583.33333</v>
      </c>
      <c r="AG16" s="76">
        <f t="shared" si="19"/>
        <v>14583.33333</v>
      </c>
      <c r="AH16" s="76">
        <f t="shared" si="19"/>
        <v>14583.33333</v>
      </c>
      <c r="AI16" s="76">
        <f t="shared" si="19"/>
        <v>14583.33333</v>
      </c>
      <c r="AJ16" s="76">
        <f t="shared" si="19"/>
        <v>14583.33333</v>
      </c>
      <c r="AK16" s="76">
        <f t="shared" si="19"/>
        <v>14583.33333</v>
      </c>
      <c r="AL16" s="76">
        <f t="shared" si="19"/>
        <v>14583.33333</v>
      </c>
      <c r="AM16" s="76">
        <f t="shared" si="19"/>
        <v>14583.33333</v>
      </c>
      <c r="AN16" s="76">
        <f t="shared" si="19"/>
        <v>14583.33333</v>
      </c>
      <c r="AO16" s="76">
        <f t="shared" si="19"/>
        <v>14583.33333</v>
      </c>
      <c r="AP16" s="76">
        <f t="shared" si="19"/>
        <v>14583.33333</v>
      </c>
      <c r="AQ16" s="76">
        <f t="shared" si="19"/>
        <v>14583.33333</v>
      </c>
      <c r="AR16" s="76">
        <f t="shared" si="19"/>
        <v>14583.33333</v>
      </c>
      <c r="AS16" s="76">
        <f t="shared" si="19"/>
        <v>14583.33333</v>
      </c>
      <c r="AT16" s="76">
        <f t="shared" si="19"/>
        <v>14583.33333</v>
      </c>
      <c r="AU16" s="76">
        <f t="shared" si="19"/>
        <v>14583.33333</v>
      </c>
      <c r="AV16" s="76">
        <f t="shared" si="19"/>
        <v>14583.33333</v>
      </c>
      <c r="AW16" s="76">
        <f t="shared" si="19"/>
        <v>14583.33333</v>
      </c>
      <c r="AX16" s="76">
        <f t="shared" si="19"/>
        <v>14583.33333</v>
      </c>
      <c r="AY16" s="76">
        <f t="shared" si="19"/>
        <v>14583.33333</v>
      </c>
      <c r="AZ16" s="76">
        <f t="shared" si="19"/>
        <v>14583.33333</v>
      </c>
      <c r="BA16" s="76">
        <f t="shared" si="19"/>
        <v>14583.33333</v>
      </c>
      <c r="BB16" s="76">
        <f t="shared" si="19"/>
        <v>14583.33333</v>
      </c>
      <c r="BC16" s="76">
        <f t="shared" si="19"/>
        <v>14583.33333</v>
      </c>
      <c r="BD16" s="76">
        <f t="shared" si="19"/>
        <v>14583.33333</v>
      </c>
      <c r="BE16" s="76">
        <f t="shared" si="19"/>
        <v>14583.33333</v>
      </c>
      <c r="BF16" s="76">
        <f t="shared" si="19"/>
        <v>14583.33333</v>
      </c>
      <c r="BG16" s="76">
        <f t="shared" si="19"/>
        <v>14583.33333</v>
      </c>
      <c r="BH16" s="76">
        <f t="shared" si="19"/>
        <v>14583.33333</v>
      </c>
      <c r="BI16" s="76">
        <f t="shared" si="19"/>
        <v>14583.33333</v>
      </c>
    </row>
    <row r="17" ht="15.75" customHeight="1">
      <c r="A17" s="7"/>
      <c r="B17" s="1" t="s">
        <v>167</v>
      </c>
      <c r="C17" s="1" t="s">
        <v>166</v>
      </c>
      <c r="D17" s="1" t="str">
        <f t="shared" si="9"/>
        <v>Engineering</v>
      </c>
      <c r="E17" s="143">
        <v>175000.0</v>
      </c>
      <c r="F17" s="141">
        <v>43160.0</v>
      </c>
      <c r="G17" s="141"/>
      <c r="H17" s="142">
        <v>0.09</v>
      </c>
      <c r="I17" s="143">
        <f t="shared" si="10"/>
        <v>583.3333333</v>
      </c>
      <c r="J17" s="143">
        <v>500.0</v>
      </c>
      <c r="K17" s="76">
        <f t="shared" si="5"/>
        <v>1083.333333</v>
      </c>
      <c r="N17" s="76">
        <f t="shared" ref="N17:BI17" si="20">IF($F17=0,0, IF(AND(N$1&gt;=$G17,$G17&lt;&gt;0),0,IF(N$1&gt;=$F17,$E17/12,0)))</f>
        <v>14583.33333</v>
      </c>
      <c r="O17" s="76">
        <f t="shared" si="20"/>
        <v>14583.33333</v>
      </c>
      <c r="P17" s="76">
        <f t="shared" si="20"/>
        <v>14583.33333</v>
      </c>
      <c r="Q17" s="76">
        <f t="shared" si="20"/>
        <v>14583.33333</v>
      </c>
      <c r="R17" s="76">
        <f t="shared" si="20"/>
        <v>14583.33333</v>
      </c>
      <c r="S17" s="76">
        <f t="shared" si="20"/>
        <v>14583.33333</v>
      </c>
      <c r="T17" s="76">
        <f t="shared" si="20"/>
        <v>14583.33333</v>
      </c>
      <c r="U17" s="76">
        <f t="shared" si="20"/>
        <v>14583.33333</v>
      </c>
      <c r="V17" s="76">
        <f t="shared" si="20"/>
        <v>14583.33333</v>
      </c>
      <c r="W17" s="76">
        <f t="shared" si="20"/>
        <v>14583.33333</v>
      </c>
      <c r="X17" s="76">
        <f t="shared" si="20"/>
        <v>14583.33333</v>
      </c>
      <c r="Y17" s="76">
        <f t="shared" si="20"/>
        <v>14583.33333</v>
      </c>
      <c r="Z17" s="76">
        <f t="shared" si="20"/>
        <v>14583.33333</v>
      </c>
      <c r="AA17" s="76">
        <f t="shared" si="20"/>
        <v>14583.33333</v>
      </c>
      <c r="AB17" s="76">
        <f t="shared" si="20"/>
        <v>14583.33333</v>
      </c>
      <c r="AC17" s="76">
        <f t="shared" si="20"/>
        <v>14583.33333</v>
      </c>
      <c r="AD17" s="76">
        <f t="shared" si="20"/>
        <v>14583.33333</v>
      </c>
      <c r="AE17" s="76">
        <f t="shared" si="20"/>
        <v>14583.33333</v>
      </c>
      <c r="AF17" s="76">
        <f t="shared" si="20"/>
        <v>14583.33333</v>
      </c>
      <c r="AG17" s="76">
        <f t="shared" si="20"/>
        <v>14583.33333</v>
      </c>
      <c r="AH17" s="76">
        <f t="shared" si="20"/>
        <v>14583.33333</v>
      </c>
      <c r="AI17" s="76">
        <f t="shared" si="20"/>
        <v>14583.33333</v>
      </c>
      <c r="AJ17" s="76">
        <f t="shared" si="20"/>
        <v>14583.33333</v>
      </c>
      <c r="AK17" s="76">
        <f t="shared" si="20"/>
        <v>14583.33333</v>
      </c>
      <c r="AL17" s="76">
        <f t="shared" si="20"/>
        <v>14583.33333</v>
      </c>
      <c r="AM17" s="76">
        <f t="shared" si="20"/>
        <v>14583.33333</v>
      </c>
      <c r="AN17" s="76">
        <f t="shared" si="20"/>
        <v>14583.33333</v>
      </c>
      <c r="AO17" s="76">
        <f t="shared" si="20"/>
        <v>14583.33333</v>
      </c>
      <c r="AP17" s="76">
        <f t="shared" si="20"/>
        <v>14583.33333</v>
      </c>
      <c r="AQ17" s="76">
        <f t="shared" si="20"/>
        <v>14583.33333</v>
      </c>
      <c r="AR17" s="76">
        <f t="shared" si="20"/>
        <v>14583.33333</v>
      </c>
      <c r="AS17" s="76">
        <f t="shared" si="20"/>
        <v>14583.33333</v>
      </c>
      <c r="AT17" s="76">
        <f t="shared" si="20"/>
        <v>14583.33333</v>
      </c>
      <c r="AU17" s="76">
        <f t="shared" si="20"/>
        <v>14583.33333</v>
      </c>
      <c r="AV17" s="76">
        <f t="shared" si="20"/>
        <v>14583.33333</v>
      </c>
      <c r="AW17" s="76">
        <f t="shared" si="20"/>
        <v>14583.33333</v>
      </c>
      <c r="AX17" s="76">
        <f t="shared" si="20"/>
        <v>14583.33333</v>
      </c>
      <c r="AY17" s="76">
        <f t="shared" si="20"/>
        <v>14583.33333</v>
      </c>
      <c r="AZ17" s="76">
        <f t="shared" si="20"/>
        <v>14583.33333</v>
      </c>
      <c r="BA17" s="76">
        <f t="shared" si="20"/>
        <v>14583.33333</v>
      </c>
      <c r="BB17" s="76">
        <f t="shared" si="20"/>
        <v>14583.33333</v>
      </c>
      <c r="BC17" s="76">
        <f t="shared" si="20"/>
        <v>14583.33333</v>
      </c>
      <c r="BD17" s="76">
        <f t="shared" si="20"/>
        <v>14583.33333</v>
      </c>
      <c r="BE17" s="76">
        <f t="shared" si="20"/>
        <v>14583.33333</v>
      </c>
      <c r="BF17" s="76">
        <f t="shared" si="20"/>
        <v>14583.33333</v>
      </c>
      <c r="BG17" s="76">
        <f t="shared" si="20"/>
        <v>14583.33333</v>
      </c>
      <c r="BH17" s="76">
        <f t="shared" si="20"/>
        <v>14583.33333</v>
      </c>
      <c r="BI17" s="76">
        <f t="shared" si="20"/>
        <v>14583.33333</v>
      </c>
    </row>
    <row r="18" ht="15.75" customHeight="1">
      <c r="A18" s="7"/>
      <c r="B18" s="1" t="s">
        <v>168</v>
      </c>
      <c r="C18" s="1" t="s">
        <v>169</v>
      </c>
      <c r="D18" s="1" t="str">
        <f t="shared" si="9"/>
        <v>Engineering</v>
      </c>
      <c r="E18" s="143">
        <v>182000.0</v>
      </c>
      <c r="F18" s="141">
        <v>43101.0</v>
      </c>
      <c r="G18" s="141"/>
      <c r="H18" s="142">
        <v>0.09</v>
      </c>
      <c r="I18" s="143">
        <f t="shared" si="10"/>
        <v>606.6666667</v>
      </c>
      <c r="J18" s="143">
        <v>500.0</v>
      </c>
      <c r="K18" s="76">
        <f t="shared" si="5"/>
        <v>1106.666667</v>
      </c>
      <c r="N18" s="76">
        <f t="shared" ref="N18:BI18" si="21">IF($F18=0,0, IF(AND(N$1&gt;=$G18,$G18&lt;&gt;0),0,IF(N$1&gt;=$F18,$E18/12,0)))</f>
        <v>15166.66667</v>
      </c>
      <c r="O18" s="76">
        <f t="shared" si="21"/>
        <v>15166.66667</v>
      </c>
      <c r="P18" s="76">
        <f t="shared" si="21"/>
        <v>15166.66667</v>
      </c>
      <c r="Q18" s="76">
        <f t="shared" si="21"/>
        <v>15166.66667</v>
      </c>
      <c r="R18" s="76">
        <f t="shared" si="21"/>
        <v>15166.66667</v>
      </c>
      <c r="S18" s="76">
        <f t="shared" si="21"/>
        <v>15166.66667</v>
      </c>
      <c r="T18" s="76">
        <f t="shared" si="21"/>
        <v>15166.66667</v>
      </c>
      <c r="U18" s="76">
        <f t="shared" si="21"/>
        <v>15166.66667</v>
      </c>
      <c r="V18" s="76">
        <f t="shared" si="21"/>
        <v>15166.66667</v>
      </c>
      <c r="W18" s="76">
        <f t="shared" si="21"/>
        <v>15166.66667</v>
      </c>
      <c r="X18" s="76">
        <f t="shared" si="21"/>
        <v>15166.66667</v>
      </c>
      <c r="Y18" s="76">
        <f t="shared" si="21"/>
        <v>15166.66667</v>
      </c>
      <c r="Z18" s="76">
        <f t="shared" si="21"/>
        <v>15166.66667</v>
      </c>
      <c r="AA18" s="76">
        <f t="shared" si="21"/>
        <v>15166.66667</v>
      </c>
      <c r="AB18" s="76">
        <f t="shared" si="21"/>
        <v>15166.66667</v>
      </c>
      <c r="AC18" s="76">
        <f t="shared" si="21"/>
        <v>15166.66667</v>
      </c>
      <c r="AD18" s="76">
        <f t="shared" si="21"/>
        <v>15166.66667</v>
      </c>
      <c r="AE18" s="76">
        <f t="shared" si="21"/>
        <v>15166.66667</v>
      </c>
      <c r="AF18" s="76">
        <f t="shared" si="21"/>
        <v>15166.66667</v>
      </c>
      <c r="AG18" s="76">
        <f t="shared" si="21"/>
        <v>15166.66667</v>
      </c>
      <c r="AH18" s="76">
        <f t="shared" si="21"/>
        <v>15166.66667</v>
      </c>
      <c r="AI18" s="76">
        <f t="shared" si="21"/>
        <v>15166.66667</v>
      </c>
      <c r="AJ18" s="76">
        <f t="shared" si="21"/>
        <v>15166.66667</v>
      </c>
      <c r="AK18" s="76">
        <f t="shared" si="21"/>
        <v>15166.66667</v>
      </c>
      <c r="AL18" s="76">
        <f t="shared" si="21"/>
        <v>15166.66667</v>
      </c>
      <c r="AM18" s="76">
        <f t="shared" si="21"/>
        <v>15166.66667</v>
      </c>
      <c r="AN18" s="76">
        <f t="shared" si="21"/>
        <v>15166.66667</v>
      </c>
      <c r="AO18" s="76">
        <f t="shared" si="21"/>
        <v>15166.66667</v>
      </c>
      <c r="AP18" s="76">
        <f t="shared" si="21"/>
        <v>15166.66667</v>
      </c>
      <c r="AQ18" s="76">
        <f t="shared" si="21"/>
        <v>15166.66667</v>
      </c>
      <c r="AR18" s="76">
        <f t="shared" si="21"/>
        <v>15166.66667</v>
      </c>
      <c r="AS18" s="76">
        <f t="shared" si="21"/>
        <v>15166.66667</v>
      </c>
      <c r="AT18" s="76">
        <f t="shared" si="21"/>
        <v>15166.66667</v>
      </c>
      <c r="AU18" s="76">
        <f t="shared" si="21"/>
        <v>15166.66667</v>
      </c>
      <c r="AV18" s="76">
        <f t="shared" si="21"/>
        <v>15166.66667</v>
      </c>
      <c r="AW18" s="76">
        <f t="shared" si="21"/>
        <v>15166.66667</v>
      </c>
      <c r="AX18" s="76">
        <f t="shared" si="21"/>
        <v>15166.66667</v>
      </c>
      <c r="AY18" s="76">
        <f t="shared" si="21"/>
        <v>15166.66667</v>
      </c>
      <c r="AZ18" s="76">
        <f t="shared" si="21"/>
        <v>15166.66667</v>
      </c>
      <c r="BA18" s="76">
        <f t="shared" si="21"/>
        <v>15166.66667</v>
      </c>
      <c r="BB18" s="76">
        <f t="shared" si="21"/>
        <v>15166.66667</v>
      </c>
      <c r="BC18" s="76">
        <f t="shared" si="21"/>
        <v>15166.66667</v>
      </c>
      <c r="BD18" s="76">
        <f t="shared" si="21"/>
        <v>15166.66667</v>
      </c>
      <c r="BE18" s="76">
        <f t="shared" si="21"/>
        <v>15166.66667</v>
      </c>
      <c r="BF18" s="76">
        <f t="shared" si="21"/>
        <v>15166.66667</v>
      </c>
      <c r="BG18" s="76">
        <f t="shared" si="21"/>
        <v>15166.66667</v>
      </c>
      <c r="BH18" s="76">
        <f t="shared" si="21"/>
        <v>15166.66667</v>
      </c>
      <c r="BI18" s="76">
        <f t="shared" si="21"/>
        <v>15166.66667</v>
      </c>
    </row>
    <row r="19" ht="15.75" customHeight="1">
      <c r="A19" s="7"/>
      <c r="B19" s="1" t="s">
        <v>170</v>
      </c>
      <c r="C19" s="1" t="s">
        <v>169</v>
      </c>
      <c r="D19" s="1" t="str">
        <f t="shared" si="9"/>
        <v>Engineering</v>
      </c>
      <c r="E19" s="143">
        <v>160000.0</v>
      </c>
      <c r="F19" s="141">
        <v>43770.0</v>
      </c>
      <c r="G19" s="141"/>
      <c r="H19" s="142">
        <v>0.09</v>
      </c>
      <c r="I19" s="143">
        <f t="shared" si="10"/>
        <v>533.3333333</v>
      </c>
      <c r="J19" s="143">
        <v>500.0</v>
      </c>
      <c r="K19" s="76">
        <f t="shared" si="5"/>
        <v>1033.333333</v>
      </c>
      <c r="N19" s="76">
        <f t="shared" ref="N19:BI19" si="22">IF($F19=0,0, IF(AND(N$1&gt;=$G19,$G19&lt;&gt;0),0,IF(N$1&gt;=$F19,$E19/12,0)))</f>
        <v>13333.33333</v>
      </c>
      <c r="O19" s="76">
        <f t="shared" si="22"/>
        <v>13333.33333</v>
      </c>
      <c r="P19" s="76">
        <f t="shared" si="22"/>
        <v>13333.33333</v>
      </c>
      <c r="Q19" s="76">
        <f t="shared" si="22"/>
        <v>13333.33333</v>
      </c>
      <c r="R19" s="76">
        <f t="shared" si="22"/>
        <v>13333.33333</v>
      </c>
      <c r="S19" s="76">
        <f t="shared" si="22"/>
        <v>13333.33333</v>
      </c>
      <c r="T19" s="76">
        <f t="shared" si="22"/>
        <v>13333.33333</v>
      </c>
      <c r="U19" s="76">
        <f t="shared" si="22"/>
        <v>13333.33333</v>
      </c>
      <c r="V19" s="76">
        <f t="shared" si="22"/>
        <v>13333.33333</v>
      </c>
      <c r="W19" s="76">
        <f t="shared" si="22"/>
        <v>13333.33333</v>
      </c>
      <c r="X19" s="76">
        <f t="shared" si="22"/>
        <v>13333.33333</v>
      </c>
      <c r="Y19" s="76">
        <f t="shared" si="22"/>
        <v>13333.33333</v>
      </c>
      <c r="Z19" s="76">
        <f t="shared" si="22"/>
        <v>13333.33333</v>
      </c>
      <c r="AA19" s="76">
        <f t="shared" si="22"/>
        <v>13333.33333</v>
      </c>
      <c r="AB19" s="76">
        <f t="shared" si="22"/>
        <v>13333.33333</v>
      </c>
      <c r="AC19" s="76">
        <f t="shared" si="22"/>
        <v>13333.33333</v>
      </c>
      <c r="AD19" s="76">
        <f t="shared" si="22"/>
        <v>13333.33333</v>
      </c>
      <c r="AE19" s="76">
        <f t="shared" si="22"/>
        <v>13333.33333</v>
      </c>
      <c r="AF19" s="76">
        <f t="shared" si="22"/>
        <v>13333.33333</v>
      </c>
      <c r="AG19" s="76">
        <f t="shared" si="22"/>
        <v>13333.33333</v>
      </c>
      <c r="AH19" s="76">
        <f t="shared" si="22"/>
        <v>13333.33333</v>
      </c>
      <c r="AI19" s="76">
        <f t="shared" si="22"/>
        <v>13333.33333</v>
      </c>
      <c r="AJ19" s="76">
        <f t="shared" si="22"/>
        <v>13333.33333</v>
      </c>
      <c r="AK19" s="76">
        <f t="shared" si="22"/>
        <v>13333.33333</v>
      </c>
      <c r="AL19" s="76">
        <f t="shared" si="22"/>
        <v>13333.33333</v>
      </c>
      <c r="AM19" s="76">
        <f t="shared" si="22"/>
        <v>13333.33333</v>
      </c>
      <c r="AN19" s="76">
        <f t="shared" si="22"/>
        <v>13333.33333</v>
      </c>
      <c r="AO19" s="76">
        <f t="shared" si="22"/>
        <v>13333.33333</v>
      </c>
      <c r="AP19" s="76">
        <f t="shared" si="22"/>
        <v>13333.33333</v>
      </c>
      <c r="AQ19" s="76">
        <f t="shared" si="22"/>
        <v>13333.33333</v>
      </c>
      <c r="AR19" s="76">
        <f t="shared" si="22"/>
        <v>13333.33333</v>
      </c>
      <c r="AS19" s="76">
        <f t="shared" si="22"/>
        <v>13333.33333</v>
      </c>
      <c r="AT19" s="76">
        <f t="shared" si="22"/>
        <v>13333.33333</v>
      </c>
      <c r="AU19" s="76">
        <f t="shared" si="22"/>
        <v>13333.33333</v>
      </c>
      <c r="AV19" s="76">
        <f t="shared" si="22"/>
        <v>13333.33333</v>
      </c>
      <c r="AW19" s="76">
        <f t="shared" si="22"/>
        <v>13333.33333</v>
      </c>
      <c r="AX19" s="76">
        <f t="shared" si="22"/>
        <v>13333.33333</v>
      </c>
      <c r="AY19" s="76">
        <f t="shared" si="22"/>
        <v>13333.33333</v>
      </c>
      <c r="AZ19" s="76">
        <f t="shared" si="22"/>
        <v>13333.33333</v>
      </c>
      <c r="BA19" s="76">
        <f t="shared" si="22"/>
        <v>13333.33333</v>
      </c>
      <c r="BB19" s="76">
        <f t="shared" si="22"/>
        <v>13333.33333</v>
      </c>
      <c r="BC19" s="76">
        <f t="shared" si="22"/>
        <v>13333.33333</v>
      </c>
      <c r="BD19" s="76">
        <f t="shared" si="22"/>
        <v>13333.33333</v>
      </c>
      <c r="BE19" s="76">
        <f t="shared" si="22"/>
        <v>13333.33333</v>
      </c>
      <c r="BF19" s="76">
        <f t="shared" si="22"/>
        <v>13333.33333</v>
      </c>
      <c r="BG19" s="76">
        <f t="shared" si="22"/>
        <v>13333.33333</v>
      </c>
      <c r="BH19" s="76">
        <f t="shared" si="22"/>
        <v>13333.33333</v>
      </c>
      <c r="BI19" s="76">
        <f t="shared" si="22"/>
        <v>13333.33333</v>
      </c>
    </row>
    <row r="20" ht="15.75" customHeight="1">
      <c r="A20" s="7"/>
      <c r="B20" s="1" t="s">
        <v>171</v>
      </c>
      <c r="C20" s="1" t="s">
        <v>169</v>
      </c>
      <c r="D20" s="1" t="str">
        <f t="shared" si="9"/>
        <v>Engineering</v>
      </c>
      <c r="E20" s="143">
        <v>185000.0</v>
      </c>
      <c r="F20" s="144">
        <v>44105.0</v>
      </c>
      <c r="G20" s="141"/>
      <c r="H20" s="142">
        <v>0.09</v>
      </c>
      <c r="I20" s="143">
        <f t="shared" si="10"/>
        <v>616.6666667</v>
      </c>
      <c r="J20" s="143">
        <v>500.0</v>
      </c>
      <c r="K20" s="76">
        <f t="shared" si="5"/>
        <v>1116.666667</v>
      </c>
      <c r="N20" s="76">
        <f t="shared" ref="N20:BI20" si="23">IF($F20=0,0, IF(AND(N$1&gt;=$G20,$G20&lt;&gt;0),0,IF(N$1&gt;=$F20,$E20/12,0)))</f>
        <v>0</v>
      </c>
      <c r="O20" s="76">
        <f t="shared" si="23"/>
        <v>0</v>
      </c>
      <c r="P20" s="76">
        <f t="shared" si="23"/>
        <v>0</v>
      </c>
      <c r="Q20" s="76">
        <f t="shared" si="23"/>
        <v>0</v>
      </c>
      <c r="R20" s="76">
        <f t="shared" si="23"/>
        <v>0</v>
      </c>
      <c r="S20" s="76">
        <f t="shared" si="23"/>
        <v>15416.66667</v>
      </c>
      <c r="T20" s="76">
        <f t="shared" si="23"/>
        <v>15416.66667</v>
      </c>
      <c r="U20" s="76">
        <f t="shared" si="23"/>
        <v>15416.66667</v>
      </c>
      <c r="V20" s="76">
        <f t="shared" si="23"/>
        <v>15416.66667</v>
      </c>
      <c r="W20" s="76">
        <f t="shared" si="23"/>
        <v>15416.66667</v>
      </c>
      <c r="X20" s="76">
        <f t="shared" si="23"/>
        <v>15416.66667</v>
      </c>
      <c r="Y20" s="76">
        <f t="shared" si="23"/>
        <v>15416.66667</v>
      </c>
      <c r="Z20" s="76">
        <f t="shared" si="23"/>
        <v>15416.66667</v>
      </c>
      <c r="AA20" s="76">
        <f t="shared" si="23"/>
        <v>15416.66667</v>
      </c>
      <c r="AB20" s="76">
        <f t="shared" si="23"/>
        <v>15416.66667</v>
      </c>
      <c r="AC20" s="76">
        <f t="shared" si="23"/>
        <v>15416.66667</v>
      </c>
      <c r="AD20" s="76">
        <f t="shared" si="23"/>
        <v>15416.66667</v>
      </c>
      <c r="AE20" s="76">
        <f t="shared" si="23"/>
        <v>15416.66667</v>
      </c>
      <c r="AF20" s="76">
        <f t="shared" si="23"/>
        <v>15416.66667</v>
      </c>
      <c r="AG20" s="76">
        <f t="shared" si="23"/>
        <v>15416.66667</v>
      </c>
      <c r="AH20" s="76">
        <f t="shared" si="23"/>
        <v>15416.66667</v>
      </c>
      <c r="AI20" s="76">
        <f t="shared" si="23"/>
        <v>15416.66667</v>
      </c>
      <c r="AJ20" s="76">
        <f t="shared" si="23"/>
        <v>15416.66667</v>
      </c>
      <c r="AK20" s="76">
        <f t="shared" si="23"/>
        <v>15416.66667</v>
      </c>
      <c r="AL20" s="76">
        <f t="shared" si="23"/>
        <v>15416.66667</v>
      </c>
      <c r="AM20" s="76">
        <f t="shared" si="23"/>
        <v>15416.66667</v>
      </c>
      <c r="AN20" s="76">
        <f t="shared" si="23"/>
        <v>15416.66667</v>
      </c>
      <c r="AO20" s="76">
        <f t="shared" si="23"/>
        <v>15416.66667</v>
      </c>
      <c r="AP20" s="76">
        <f t="shared" si="23"/>
        <v>15416.66667</v>
      </c>
      <c r="AQ20" s="76">
        <f t="shared" si="23"/>
        <v>15416.66667</v>
      </c>
      <c r="AR20" s="76">
        <f t="shared" si="23"/>
        <v>15416.66667</v>
      </c>
      <c r="AS20" s="76">
        <f t="shared" si="23"/>
        <v>15416.66667</v>
      </c>
      <c r="AT20" s="76">
        <f t="shared" si="23"/>
        <v>15416.66667</v>
      </c>
      <c r="AU20" s="76">
        <f t="shared" si="23"/>
        <v>15416.66667</v>
      </c>
      <c r="AV20" s="76">
        <f t="shared" si="23"/>
        <v>15416.66667</v>
      </c>
      <c r="AW20" s="76">
        <f t="shared" si="23"/>
        <v>15416.66667</v>
      </c>
      <c r="AX20" s="76">
        <f t="shared" si="23"/>
        <v>15416.66667</v>
      </c>
      <c r="AY20" s="76">
        <f t="shared" si="23"/>
        <v>15416.66667</v>
      </c>
      <c r="AZ20" s="76">
        <f t="shared" si="23"/>
        <v>15416.66667</v>
      </c>
      <c r="BA20" s="76">
        <f t="shared" si="23"/>
        <v>15416.66667</v>
      </c>
      <c r="BB20" s="76">
        <f t="shared" si="23"/>
        <v>15416.66667</v>
      </c>
      <c r="BC20" s="76">
        <f t="shared" si="23"/>
        <v>15416.66667</v>
      </c>
      <c r="BD20" s="76">
        <f t="shared" si="23"/>
        <v>15416.66667</v>
      </c>
      <c r="BE20" s="76">
        <f t="shared" si="23"/>
        <v>15416.66667</v>
      </c>
      <c r="BF20" s="76">
        <f t="shared" si="23"/>
        <v>15416.66667</v>
      </c>
      <c r="BG20" s="76">
        <f t="shared" si="23"/>
        <v>15416.66667</v>
      </c>
      <c r="BH20" s="76">
        <f t="shared" si="23"/>
        <v>15416.66667</v>
      </c>
      <c r="BI20" s="76">
        <f t="shared" si="23"/>
        <v>15416.66667</v>
      </c>
    </row>
    <row r="21" ht="15.75" customHeight="1">
      <c r="A21" s="7"/>
      <c r="B21" s="1" t="s">
        <v>172</v>
      </c>
      <c r="C21" s="1" t="s">
        <v>169</v>
      </c>
      <c r="D21" s="1" t="str">
        <f t="shared" si="9"/>
        <v>Engineering</v>
      </c>
      <c r="E21" s="143">
        <v>175000.0</v>
      </c>
      <c r="F21" s="144">
        <f t="shared" ref="F21:F31" si="25">EDATE(F20,3)</f>
        <v>44197</v>
      </c>
      <c r="G21" s="141"/>
      <c r="H21" s="142">
        <v>0.09</v>
      </c>
      <c r="I21" s="143">
        <f t="shared" si="10"/>
        <v>583.3333333</v>
      </c>
      <c r="J21" s="143">
        <v>500.0</v>
      </c>
      <c r="K21" s="76">
        <f t="shared" si="5"/>
        <v>1083.333333</v>
      </c>
      <c r="N21" s="76">
        <f t="shared" ref="N21:BI21" si="24">IF($F21=0,0, IF(AND(N$1&gt;=$G21,$G21&lt;&gt;0),0,IF(N$1&gt;=$F21,$E21/12,0)))</f>
        <v>0</v>
      </c>
      <c r="O21" s="76">
        <f t="shared" si="24"/>
        <v>0</v>
      </c>
      <c r="P21" s="76">
        <f t="shared" si="24"/>
        <v>0</v>
      </c>
      <c r="Q21" s="76">
        <f t="shared" si="24"/>
        <v>0</v>
      </c>
      <c r="R21" s="76">
        <f t="shared" si="24"/>
        <v>0</v>
      </c>
      <c r="S21" s="76">
        <f t="shared" si="24"/>
        <v>0</v>
      </c>
      <c r="T21" s="76">
        <f t="shared" si="24"/>
        <v>0</v>
      </c>
      <c r="U21" s="76">
        <f t="shared" si="24"/>
        <v>0</v>
      </c>
      <c r="V21" s="76">
        <f t="shared" si="24"/>
        <v>14583.33333</v>
      </c>
      <c r="W21" s="76">
        <f t="shared" si="24"/>
        <v>14583.33333</v>
      </c>
      <c r="X21" s="76">
        <f t="shared" si="24"/>
        <v>14583.33333</v>
      </c>
      <c r="Y21" s="76">
        <f t="shared" si="24"/>
        <v>14583.33333</v>
      </c>
      <c r="Z21" s="76">
        <f t="shared" si="24"/>
        <v>14583.33333</v>
      </c>
      <c r="AA21" s="76">
        <f t="shared" si="24"/>
        <v>14583.33333</v>
      </c>
      <c r="AB21" s="76">
        <f t="shared" si="24"/>
        <v>14583.33333</v>
      </c>
      <c r="AC21" s="76">
        <f t="shared" si="24"/>
        <v>14583.33333</v>
      </c>
      <c r="AD21" s="76">
        <f t="shared" si="24"/>
        <v>14583.33333</v>
      </c>
      <c r="AE21" s="76">
        <f t="shared" si="24"/>
        <v>14583.33333</v>
      </c>
      <c r="AF21" s="76">
        <f t="shared" si="24"/>
        <v>14583.33333</v>
      </c>
      <c r="AG21" s="76">
        <f t="shared" si="24"/>
        <v>14583.33333</v>
      </c>
      <c r="AH21" s="76">
        <f t="shared" si="24"/>
        <v>14583.33333</v>
      </c>
      <c r="AI21" s="76">
        <f t="shared" si="24"/>
        <v>14583.33333</v>
      </c>
      <c r="AJ21" s="76">
        <f t="shared" si="24"/>
        <v>14583.33333</v>
      </c>
      <c r="AK21" s="76">
        <f t="shared" si="24"/>
        <v>14583.33333</v>
      </c>
      <c r="AL21" s="76">
        <f t="shared" si="24"/>
        <v>14583.33333</v>
      </c>
      <c r="AM21" s="76">
        <f t="shared" si="24"/>
        <v>14583.33333</v>
      </c>
      <c r="AN21" s="76">
        <f t="shared" si="24"/>
        <v>14583.33333</v>
      </c>
      <c r="AO21" s="76">
        <f t="shared" si="24"/>
        <v>14583.33333</v>
      </c>
      <c r="AP21" s="76">
        <f t="shared" si="24"/>
        <v>14583.33333</v>
      </c>
      <c r="AQ21" s="76">
        <f t="shared" si="24"/>
        <v>14583.33333</v>
      </c>
      <c r="AR21" s="76">
        <f t="shared" si="24"/>
        <v>14583.33333</v>
      </c>
      <c r="AS21" s="76">
        <f t="shared" si="24"/>
        <v>14583.33333</v>
      </c>
      <c r="AT21" s="76">
        <f t="shared" si="24"/>
        <v>14583.33333</v>
      </c>
      <c r="AU21" s="76">
        <f t="shared" si="24"/>
        <v>14583.33333</v>
      </c>
      <c r="AV21" s="76">
        <f t="shared" si="24"/>
        <v>14583.33333</v>
      </c>
      <c r="AW21" s="76">
        <f t="shared" si="24"/>
        <v>14583.33333</v>
      </c>
      <c r="AX21" s="76">
        <f t="shared" si="24"/>
        <v>14583.33333</v>
      </c>
      <c r="AY21" s="76">
        <f t="shared" si="24"/>
        <v>14583.33333</v>
      </c>
      <c r="AZ21" s="76">
        <f t="shared" si="24"/>
        <v>14583.33333</v>
      </c>
      <c r="BA21" s="76">
        <f t="shared" si="24"/>
        <v>14583.33333</v>
      </c>
      <c r="BB21" s="76">
        <f t="shared" si="24"/>
        <v>14583.33333</v>
      </c>
      <c r="BC21" s="76">
        <f t="shared" si="24"/>
        <v>14583.33333</v>
      </c>
      <c r="BD21" s="76">
        <f t="shared" si="24"/>
        <v>14583.33333</v>
      </c>
      <c r="BE21" s="76">
        <f t="shared" si="24"/>
        <v>14583.33333</v>
      </c>
      <c r="BF21" s="76">
        <f t="shared" si="24"/>
        <v>14583.33333</v>
      </c>
      <c r="BG21" s="76">
        <f t="shared" si="24"/>
        <v>14583.33333</v>
      </c>
      <c r="BH21" s="76">
        <f t="shared" si="24"/>
        <v>14583.33333</v>
      </c>
      <c r="BI21" s="76">
        <f t="shared" si="24"/>
        <v>14583.33333</v>
      </c>
    </row>
    <row r="22" ht="15.75" customHeight="1">
      <c r="A22" s="7"/>
      <c r="B22" s="1" t="s">
        <v>173</v>
      </c>
      <c r="C22" s="1" t="s">
        <v>169</v>
      </c>
      <c r="D22" s="1" t="str">
        <f t="shared" si="9"/>
        <v>Engineering</v>
      </c>
      <c r="E22" s="143">
        <v>175000.0</v>
      </c>
      <c r="F22" s="144">
        <f t="shared" si="25"/>
        <v>44287</v>
      </c>
      <c r="G22" s="141"/>
      <c r="H22" s="142">
        <v>0.09</v>
      </c>
      <c r="I22" s="143">
        <f t="shared" si="10"/>
        <v>583.3333333</v>
      </c>
      <c r="J22" s="143">
        <v>500.0</v>
      </c>
      <c r="K22" s="76">
        <f t="shared" si="5"/>
        <v>1083.333333</v>
      </c>
      <c r="N22" s="76">
        <f t="shared" ref="N22:BI22" si="26">IF($F22=0,0, IF(AND(N$1&gt;=$G22,$G22&lt;&gt;0),0,IF(N$1&gt;=$F22,$E22/12,0)))</f>
        <v>0</v>
      </c>
      <c r="O22" s="76">
        <f t="shared" si="26"/>
        <v>0</v>
      </c>
      <c r="P22" s="76">
        <f t="shared" si="26"/>
        <v>0</v>
      </c>
      <c r="Q22" s="76">
        <f t="shared" si="26"/>
        <v>0</v>
      </c>
      <c r="R22" s="76">
        <f t="shared" si="26"/>
        <v>0</v>
      </c>
      <c r="S22" s="76">
        <f t="shared" si="26"/>
        <v>0</v>
      </c>
      <c r="T22" s="76">
        <f t="shared" si="26"/>
        <v>0</v>
      </c>
      <c r="U22" s="76">
        <f t="shared" si="26"/>
        <v>0</v>
      </c>
      <c r="V22" s="76">
        <f t="shared" si="26"/>
        <v>0</v>
      </c>
      <c r="W22" s="76">
        <f t="shared" si="26"/>
        <v>0</v>
      </c>
      <c r="X22" s="76">
        <f t="shared" si="26"/>
        <v>0</v>
      </c>
      <c r="Y22" s="76">
        <f t="shared" si="26"/>
        <v>14583.33333</v>
      </c>
      <c r="Z22" s="76">
        <f t="shared" si="26"/>
        <v>14583.33333</v>
      </c>
      <c r="AA22" s="76">
        <f t="shared" si="26"/>
        <v>14583.33333</v>
      </c>
      <c r="AB22" s="76">
        <f t="shared" si="26"/>
        <v>14583.33333</v>
      </c>
      <c r="AC22" s="76">
        <f t="shared" si="26"/>
        <v>14583.33333</v>
      </c>
      <c r="AD22" s="76">
        <f t="shared" si="26"/>
        <v>14583.33333</v>
      </c>
      <c r="AE22" s="76">
        <f t="shared" si="26"/>
        <v>14583.33333</v>
      </c>
      <c r="AF22" s="76">
        <f t="shared" si="26"/>
        <v>14583.33333</v>
      </c>
      <c r="AG22" s="76">
        <f t="shared" si="26"/>
        <v>14583.33333</v>
      </c>
      <c r="AH22" s="76">
        <f t="shared" si="26"/>
        <v>14583.33333</v>
      </c>
      <c r="AI22" s="76">
        <f t="shared" si="26"/>
        <v>14583.33333</v>
      </c>
      <c r="AJ22" s="76">
        <f t="shared" si="26"/>
        <v>14583.33333</v>
      </c>
      <c r="AK22" s="76">
        <f t="shared" si="26"/>
        <v>14583.33333</v>
      </c>
      <c r="AL22" s="76">
        <f t="shared" si="26"/>
        <v>14583.33333</v>
      </c>
      <c r="AM22" s="76">
        <f t="shared" si="26"/>
        <v>14583.33333</v>
      </c>
      <c r="AN22" s="76">
        <f t="shared" si="26"/>
        <v>14583.33333</v>
      </c>
      <c r="AO22" s="76">
        <f t="shared" si="26"/>
        <v>14583.33333</v>
      </c>
      <c r="AP22" s="76">
        <f t="shared" si="26"/>
        <v>14583.33333</v>
      </c>
      <c r="AQ22" s="76">
        <f t="shared" si="26"/>
        <v>14583.33333</v>
      </c>
      <c r="AR22" s="76">
        <f t="shared" si="26"/>
        <v>14583.33333</v>
      </c>
      <c r="AS22" s="76">
        <f t="shared" si="26"/>
        <v>14583.33333</v>
      </c>
      <c r="AT22" s="76">
        <f t="shared" si="26"/>
        <v>14583.33333</v>
      </c>
      <c r="AU22" s="76">
        <f t="shared" si="26"/>
        <v>14583.33333</v>
      </c>
      <c r="AV22" s="76">
        <f t="shared" si="26"/>
        <v>14583.33333</v>
      </c>
      <c r="AW22" s="76">
        <f t="shared" si="26"/>
        <v>14583.33333</v>
      </c>
      <c r="AX22" s="76">
        <f t="shared" si="26"/>
        <v>14583.33333</v>
      </c>
      <c r="AY22" s="76">
        <f t="shared" si="26"/>
        <v>14583.33333</v>
      </c>
      <c r="AZ22" s="76">
        <f t="shared" si="26"/>
        <v>14583.33333</v>
      </c>
      <c r="BA22" s="76">
        <f t="shared" si="26"/>
        <v>14583.33333</v>
      </c>
      <c r="BB22" s="76">
        <f t="shared" si="26"/>
        <v>14583.33333</v>
      </c>
      <c r="BC22" s="76">
        <f t="shared" si="26"/>
        <v>14583.33333</v>
      </c>
      <c r="BD22" s="76">
        <f t="shared" si="26"/>
        <v>14583.33333</v>
      </c>
      <c r="BE22" s="76">
        <f t="shared" si="26"/>
        <v>14583.33333</v>
      </c>
      <c r="BF22" s="76">
        <f t="shared" si="26"/>
        <v>14583.33333</v>
      </c>
      <c r="BG22" s="76">
        <f t="shared" si="26"/>
        <v>14583.33333</v>
      </c>
      <c r="BH22" s="76">
        <f t="shared" si="26"/>
        <v>14583.33333</v>
      </c>
      <c r="BI22" s="76">
        <f t="shared" si="26"/>
        <v>14583.33333</v>
      </c>
    </row>
    <row r="23" ht="15.75" customHeight="1">
      <c r="A23" s="7"/>
      <c r="B23" s="1" t="s">
        <v>174</v>
      </c>
      <c r="C23" s="1" t="s">
        <v>169</v>
      </c>
      <c r="D23" s="1" t="str">
        <f t="shared" si="9"/>
        <v>Engineering</v>
      </c>
      <c r="E23" s="143">
        <v>182000.0</v>
      </c>
      <c r="F23" s="144">
        <f t="shared" si="25"/>
        <v>44378</v>
      </c>
      <c r="G23" s="141"/>
      <c r="H23" s="142">
        <v>0.09</v>
      </c>
      <c r="I23" s="143">
        <f t="shared" si="10"/>
        <v>606.6666667</v>
      </c>
      <c r="J23" s="143">
        <v>500.0</v>
      </c>
      <c r="K23" s="76">
        <f t="shared" si="5"/>
        <v>1106.666667</v>
      </c>
      <c r="N23" s="76">
        <f t="shared" ref="N23:BI23" si="27">IF($F23=0,0, IF(AND(N$1&gt;=$G23,$G23&lt;&gt;0),0,IF(N$1&gt;=$F23,$E23/12,0)))</f>
        <v>0</v>
      </c>
      <c r="O23" s="76">
        <f t="shared" si="27"/>
        <v>0</v>
      </c>
      <c r="P23" s="76">
        <f t="shared" si="27"/>
        <v>0</v>
      </c>
      <c r="Q23" s="76">
        <f t="shared" si="27"/>
        <v>0</v>
      </c>
      <c r="R23" s="76">
        <f t="shared" si="27"/>
        <v>0</v>
      </c>
      <c r="S23" s="76">
        <f t="shared" si="27"/>
        <v>0</v>
      </c>
      <c r="T23" s="76">
        <f t="shared" si="27"/>
        <v>0</v>
      </c>
      <c r="U23" s="76">
        <f t="shared" si="27"/>
        <v>0</v>
      </c>
      <c r="V23" s="76">
        <f t="shared" si="27"/>
        <v>0</v>
      </c>
      <c r="W23" s="76">
        <f t="shared" si="27"/>
        <v>0</v>
      </c>
      <c r="X23" s="76">
        <f t="shared" si="27"/>
        <v>0</v>
      </c>
      <c r="Y23" s="76">
        <f t="shared" si="27"/>
        <v>0</v>
      </c>
      <c r="Z23" s="76">
        <f t="shared" si="27"/>
        <v>0</v>
      </c>
      <c r="AA23" s="76">
        <f t="shared" si="27"/>
        <v>0</v>
      </c>
      <c r="AB23" s="76">
        <f t="shared" si="27"/>
        <v>15166.66667</v>
      </c>
      <c r="AC23" s="76">
        <f t="shared" si="27"/>
        <v>15166.66667</v>
      </c>
      <c r="AD23" s="76">
        <f t="shared" si="27"/>
        <v>15166.66667</v>
      </c>
      <c r="AE23" s="76">
        <f t="shared" si="27"/>
        <v>15166.66667</v>
      </c>
      <c r="AF23" s="76">
        <f t="shared" si="27"/>
        <v>15166.66667</v>
      </c>
      <c r="AG23" s="76">
        <f t="shared" si="27"/>
        <v>15166.66667</v>
      </c>
      <c r="AH23" s="76">
        <f t="shared" si="27"/>
        <v>15166.66667</v>
      </c>
      <c r="AI23" s="76">
        <f t="shared" si="27"/>
        <v>15166.66667</v>
      </c>
      <c r="AJ23" s="76">
        <f t="shared" si="27"/>
        <v>15166.66667</v>
      </c>
      <c r="AK23" s="76">
        <f t="shared" si="27"/>
        <v>15166.66667</v>
      </c>
      <c r="AL23" s="76">
        <f t="shared" si="27"/>
        <v>15166.66667</v>
      </c>
      <c r="AM23" s="76">
        <f t="shared" si="27"/>
        <v>15166.66667</v>
      </c>
      <c r="AN23" s="76">
        <f t="shared" si="27"/>
        <v>15166.66667</v>
      </c>
      <c r="AO23" s="76">
        <f t="shared" si="27"/>
        <v>15166.66667</v>
      </c>
      <c r="AP23" s="76">
        <f t="shared" si="27"/>
        <v>15166.66667</v>
      </c>
      <c r="AQ23" s="76">
        <f t="shared" si="27"/>
        <v>15166.66667</v>
      </c>
      <c r="AR23" s="76">
        <f t="shared" si="27"/>
        <v>15166.66667</v>
      </c>
      <c r="AS23" s="76">
        <f t="shared" si="27"/>
        <v>15166.66667</v>
      </c>
      <c r="AT23" s="76">
        <f t="shared" si="27"/>
        <v>15166.66667</v>
      </c>
      <c r="AU23" s="76">
        <f t="shared" si="27"/>
        <v>15166.66667</v>
      </c>
      <c r="AV23" s="76">
        <f t="shared" si="27"/>
        <v>15166.66667</v>
      </c>
      <c r="AW23" s="76">
        <f t="shared" si="27"/>
        <v>15166.66667</v>
      </c>
      <c r="AX23" s="76">
        <f t="shared" si="27"/>
        <v>15166.66667</v>
      </c>
      <c r="AY23" s="76">
        <f t="shared" si="27"/>
        <v>15166.66667</v>
      </c>
      <c r="AZ23" s="76">
        <f t="shared" si="27"/>
        <v>15166.66667</v>
      </c>
      <c r="BA23" s="76">
        <f t="shared" si="27"/>
        <v>15166.66667</v>
      </c>
      <c r="BB23" s="76">
        <f t="shared" si="27"/>
        <v>15166.66667</v>
      </c>
      <c r="BC23" s="76">
        <f t="shared" si="27"/>
        <v>15166.66667</v>
      </c>
      <c r="BD23" s="76">
        <f t="shared" si="27"/>
        <v>15166.66667</v>
      </c>
      <c r="BE23" s="76">
        <f t="shared" si="27"/>
        <v>15166.66667</v>
      </c>
      <c r="BF23" s="76">
        <f t="shared" si="27"/>
        <v>15166.66667</v>
      </c>
      <c r="BG23" s="76">
        <f t="shared" si="27"/>
        <v>15166.66667</v>
      </c>
      <c r="BH23" s="76">
        <f t="shared" si="27"/>
        <v>15166.66667</v>
      </c>
      <c r="BI23" s="76">
        <f t="shared" si="27"/>
        <v>15166.66667</v>
      </c>
    </row>
    <row r="24" ht="15.75" customHeight="1">
      <c r="A24" s="7"/>
      <c r="B24" s="1" t="s">
        <v>175</v>
      </c>
      <c r="C24" s="1" t="s">
        <v>169</v>
      </c>
      <c r="D24" s="1" t="str">
        <f t="shared" si="9"/>
        <v>Engineering</v>
      </c>
      <c r="E24" s="143">
        <v>165000.0</v>
      </c>
      <c r="F24" s="144">
        <f t="shared" si="25"/>
        <v>44470</v>
      </c>
      <c r="G24" s="141"/>
      <c r="H24" s="142">
        <v>0.09</v>
      </c>
      <c r="I24" s="143">
        <f t="shared" si="10"/>
        <v>550</v>
      </c>
      <c r="J24" s="143">
        <v>500.0</v>
      </c>
      <c r="K24" s="76">
        <f t="shared" si="5"/>
        <v>1050</v>
      </c>
      <c r="N24" s="76">
        <f t="shared" ref="N24:BI24" si="28">IF($F24=0,0, IF(AND(N$1&gt;=$G24,$G24&lt;&gt;0),0,IF(N$1&gt;=$F24,$E24/12,0)))</f>
        <v>0</v>
      </c>
      <c r="O24" s="76">
        <f t="shared" si="28"/>
        <v>0</v>
      </c>
      <c r="P24" s="76">
        <f t="shared" si="28"/>
        <v>0</v>
      </c>
      <c r="Q24" s="76">
        <f t="shared" si="28"/>
        <v>0</v>
      </c>
      <c r="R24" s="76">
        <f t="shared" si="28"/>
        <v>0</v>
      </c>
      <c r="S24" s="76">
        <f t="shared" si="28"/>
        <v>0</v>
      </c>
      <c r="T24" s="76">
        <f t="shared" si="28"/>
        <v>0</v>
      </c>
      <c r="U24" s="76">
        <f t="shared" si="28"/>
        <v>0</v>
      </c>
      <c r="V24" s="76">
        <f t="shared" si="28"/>
        <v>0</v>
      </c>
      <c r="W24" s="76">
        <f t="shared" si="28"/>
        <v>0</v>
      </c>
      <c r="X24" s="76">
        <f t="shared" si="28"/>
        <v>0</v>
      </c>
      <c r="Y24" s="76">
        <f t="shared" si="28"/>
        <v>0</v>
      </c>
      <c r="Z24" s="76">
        <f t="shared" si="28"/>
        <v>0</v>
      </c>
      <c r="AA24" s="76">
        <f t="shared" si="28"/>
        <v>0</v>
      </c>
      <c r="AB24" s="76">
        <f t="shared" si="28"/>
        <v>0</v>
      </c>
      <c r="AC24" s="76">
        <f t="shared" si="28"/>
        <v>0</v>
      </c>
      <c r="AD24" s="76">
        <f t="shared" si="28"/>
        <v>0</v>
      </c>
      <c r="AE24" s="76">
        <f t="shared" si="28"/>
        <v>13750</v>
      </c>
      <c r="AF24" s="76">
        <f t="shared" si="28"/>
        <v>13750</v>
      </c>
      <c r="AG24" s="76">
        <f t="shared" si="28"/>
        <v>13750</v>
      </c>
      <c r="AH24" s="76">
        <f t="shared" si="28"/>
        <v>13750</v>
      </c>
      <c r="AI24" s="76">
        <f t="shared" si="28"/>
        <v>13750</v>
      </c>
      <c r="AJ24" s="76">
        <f t="shared" si="28"/>
        <v>13750</v>
      </c>
      <c r="AK24" s="76">
        <f t="shared" si="28"/>
        <v>13750</v>
      </c>
      <c r="AL24" s="76">
        <f t="shared" si="28"/>
        <v>13750</v>
      </c>
      <c r="AM24" s="76">
        <f t="shared" si="28"/>
        <v>13750</v>
      </c>
      <c r="AN24" s="76">
        <f t="shared" si="28"/>
        <v>13750</v>
      </c>
      <c r="AO24" s="76">
        <f t="shared" si="28"/>
        <v>13750</v>
      </c>
      <c r="AP24" s="76">
        <f t="shared" si="28"/>
        <v>13750</v>
      </c>
      <c r="AQ24" s="76">
        <f t="shared" si="28"/>
        <v>13750</v>
      </c>
      <c r="AR24" s="76">
        <f t="shared" si="28"/>
        <v>13750</v>
      </c>
      <c r="AS24" s="76">
        <f t="shared" si="28"/>
        <v>13750</v>
      </c>
      <c r="AT24" s="76">
        <f t="shared" si="28"/>
        <v>13750</v>
      </c>
      <c r="AU24" s="76">
        <f t="shared" si="28"/>
        <v>13750</v>
      </c>
      <c r="AV24" s="76">
        <f t="shared" si="28"/>
        <v>13750</v>
      </c>
      <c r="AW24" s="76">
        <f t="shared" si="28"/>
        <v>13750</v>
      </c>
      <c r="AX24" s="76">
        <f t="shared" si="28"/>
        <v>13750</v>
      </c>
      <c r="AY24" s="76">
        <f t="shared" si="28"/>
        <v>13750</v>
      </c>
      <c r="AZ24" s="76">
        <f t="shared" si="28"/>
        <v>13750</v>
      </c>
      <c r="BA24" s="76">
        <f t="shared" si="28"/>
        <v>13750</v>
      </c>
      <c r="BB24" s="76">
        <f t="shared" si="28"/>
        <v>13750</v>
      </c>
      <c r="BC24" s="76">
        <f t="shared" si="28"/>
        <v>13750</v>
      </c>
      <c r="BD24" s="76">
        <f t="shared" si="28"/>
        <v>13750</v>
      </c>
      <c r="BE24" s="76">
        <f t="shared" si="28"/>
        <v>13750</v>
      </c>
      <c r="BF24" s="76">
        <f t="shared" si="28"/>
        <v>13750</v>
      </c>
      <c r="BG24" s="76">
        <f t="shared" si="28"/>
        <v>13750</v>
      </c>
      <c r="BH24" s="76">
        <f t="shared" si="28"/>
        <v>13750</v>
      </c>
      <c r="BI24" s="76">
        <f t="shared" si="28"/>
        <v>13750</v>
      </c>
    </row>
    <row r="25" ht="15.75" customHeight="1">
      <c r="A25" s="7"/>
      <c r="B25" s="1" t="s">
        <v>176</v>
      </c>
      <c r="C25" s="1" t="s">
        <v>155</v>
      </c>
      <c r="D25" s="1" t="str">
        <f t="shared" si="9"/>
        <v>Engineering</v>
      </c>
      <c r="E25" s="143">
        <v>165000.0</v>
      </c>
      <c r="F25" s="144">
        <f t="shared" si="25"/>
        <v>44562</v>
      </c>
      <c r="G25" s="141"/>
      <c r="H25" s="142">
        <v>0.09</v>
      </c>
      <c r="I25" s="143">
        <f t="shared" si="10"/>
        <v>550</v>
      </c>
      <c r="J25" s="143">
        <v>500.0</v>
      </c>
      <c r="K25" s="76">
        <f t="shared" si="5"/>
        <v>1050</v>
      </c>
      <c r="N25" s="76">
        <f t="shared" ref="N25:BI25" si="29">IF($F25=0,0, IF(AND(N$1&gt;=$G25,$G25&lt;&gt;0),0,IF(N$1&gt;=$F25,$E25/12,0)))</f>
        <v>0</v>
      </c>
      <c r="O25" s="76">
        <f t="shared" si="29"/>
        <v>0</v>
      </c>
      <c r="P25" s="76">
        <f t="shared" si="29"/>
        <v>0</v>
      </c>
      <c r="Q25" s="76">
        <f t="shared" si="29"/>
        <v>0</v>
      </c>
      <c r="R25" s="76">
        <f t="shared" si="29"/>
        <v>0</v>
      </c>
      <c r="S25" s="76">
        <f t="shared" si="29"/>
        <v>0</v>
      </c>
      <c r="T25" s="76">
        <f t="shared" si="29"/>
        <v>0</v>
      </c>
      <c r="U25" s="76">
        <f t="shared" si="29"/>
        <v>0</v>
      </c>
      <c r="V25" s="76">
        <f t="shared" si="29"/>
        <v>0</v>
      </c>
      <c r="W25" s="76">
        <f t="shared" si="29"/>
        <v>0</v>
      </c>
      <c r="X25" s="76">
        <f t="shared" si="29"/>
        <v>0</v>
      </c>
      <c r="Y25" s="76">
        <f t="shared" si="29"/>
        <v>0</v>
      </c>
      <c r="Z25" s="76">
        <f t="shared" si="29"/>
        <v>0</v>
      </c>
      <c r="AA25" s="76">
        <f t="shared" si="29"/>
        <v>0</v>
      </c>
      <c r="AB25" s="76">
        <f t="shared" si="29"/>
        <v>0</v>
      </c>
      <c r="AC25" s="76">
        <f t="shared" si="29"/>
        <v>0</v>
      </c>
      <c r="AD25" s="76">
        <f t="shared" si="29"/>
        <v>0</v>
      </c>
      <c r="AE25" s="76">
        <f t="shared" si="29"/>
        <v>0</v>
      </c>
      <c r="AF25" s="76">
        <f t="shared" si="29"/>
        <v>0</v>
      </c>
      <c r="AG25" s="76">
        <f t="shared" si="29"/>
        <v>0</v>
      </c>
      <c r="AH25" s="76">
        <f t="shared" si="29"/>
        <v>13750</v>
      </c>
      <c r="AI25" s="76">
        <f t="shared" si="29"/>
        <v>13750</v>
      </c>
      <c r="AJ25" s="76">
        <f t="shared" si="29"/>
        <v>13750</v>
      </c>
      <c r="AK25" s="76">
        <f t="shared" si="29"/>
        <v>13750</v>
      </c>
      <c r="AL25" s="76">
        <f t="shared" si="29"/>
        <v>13750</v>
      </c>
      <c r="AM25" s="76">
        <f t="shared" si="29"/>
        <v>13750</v>
      </c>
      <c r="AN25" s="76">
        <f t="shared" si="29"/>
        <v>13750</v>
      </c>
      <c r="AO25" s="76">
        <f t="shared" si="29"/>
        <v>13750</v>
      </c>
      <c r="AP25" s="76">
        <f t="shared" si="29"/>
        <v>13750</v>
      </c>
      <c r="AQ25" s="76">
        <f t="shared" si="29"/>
        <v>13750</v>
      </c>
      <c r="AR25" s="76">
        <f t="shared" si="29"/>
        <v>13750</v>
      </c>
      <c r="AS25" s="76">
        <f t="shared" si="29"/>
        <v>13750</v>
      </c>
      <c r="AT25" s="76">
        <f t="shared" si="29"/>
        <v>13750</v>
      </c>
      <c r="AU25" s="76">
        <f t="shared" si="29"/>
        <v>13750</v>
      </c>
      <c r="AV25" s="76">
        <f t="shared" si="29"/>
        <v>13750</v>
      </c>
      <c r="AW25" s="76">
        <f t="shared" si="29"/>
        <v>13750</v>
      </c>
      <c r="AX25" s="76">
        <f t="shared" si="29"/>
        <v>13750</v>
      </c>
      <c r="AY25" s="76">
        <f t="shared" si="29"/>
        <v>13750</v>
      </c>
      <c r="AZ25" s="76">
        <f t="shared" si="29"/>
        <v>13750</v>
      </c>
      <c r="BA25" s="76">
        <f t="shared" si="29"/>
        <v>13750</v>
      </c>
      <c r="BB25" s="76">
        <f t="shared" si="29"/>
        <v>13750</v>
      </c>
      <c r="BC25" s="76">
        <f t="shared" si="29"/>
        <v>13750</v>
      </c>
      <c r="BD25" s="76">
        <f t="shared" si="29"/>
        <v>13750</v>
      </c>
      <c r="BE25" s="76">
        <f t="shared" si="29"/>
        <v>13750</v>
      </c>
      <c r="BF25" s="76">
        <f t="shared" si="29"/>
        <v>13750</v>
      </c>
      <c r="BG25" s="76">
        <f t="shared" si="29"/>
        <v>13750</v>
      </c>
      <c r="BH25" s="76">
        <f t="shared" si="29"/>
        <v>13750</v>
      </c>
      <c r="BI25" s="76">
        <f t="shared" si="29"/>
        <v>13750</v>
      </c>
    </row>
    <row r="26" ht="15.75" customHeight="1">
      <c r="A26" s="7"/>
      <c r="B26" s="1" t="s">
        <v>177</v>
      </c>
      <c r="C26" s="1" t="s">
        <v>169</v>
      </c>
      <c r="D26" s="1" t="str">
        <f t="shared" si="9"/>
        <v>Engineering</v>
      </c>
      <c r="E26" s="143">
        <v>165000.0</v>
      </c>
      <c r="F26" s="144">
        <f t="shared" si="25"/>
        <v>44652</v>
      </c>
      <c r="G26" s="141"/>
      <c r="H26" s="142">
        <v>0.09</v>
      </c>
      <c r="I26" s="143">
        <f t="shared" si="10"/>
        <v>550</v>
      </c>
      <c r="J26" s="143">
        <v>500.0</v>
      </c>
      <c r="K26" s="76">
        <f t="shared" si="5"/>
        <v>1050</v>
      </c>
      <c r="N26" s="76">
        <f t="shared" ref="N26:BI26" si="30">IF($F26=0,0, IF(AND(N$1&gt;=$G26,$G26&lt;&gt;0),0,IF(N$1&gt;=$F26,$E26/12,0)))</f>
        <v>0</v>
      </c>
      <c r="O26" s="76">
        <f t="shared" si="30"/>
        <v>0</v>
      </c>
      <c r="P26" s="76">
        <f t="shared" si="30"/>
        <v>0</v>
      </c>
      <c r="Q26" s="76">
        <f t="shared" si="30"/>
        <v>0</v>
      </c>
      <c r="R26" s="76">
        <f t="shared" si="30"/>
        <v>0</v>
      </c>
      <c r="S26" s="76">
        <f t="shared" si="30"/>
        <v>0</v>
      </c>
      <c r="T26" s="76">
        <f t="shared" si="30"/>
        <v>0</v>
      </c>
      <c r="U26" s="76">
        <f t="shared" si="30"/>
        <v>0</v>
      </c>
      <c r="V26" s="76">
        <f t="shared" si="30"/>
        <v>0</v>
      </c>
      <c r="W26" s="76">
        <f t="shared" si="30"/>
        <v>0</v>
      </c>
      <c r="X26" s="76">
        <f t="shared" si="30"/>
        <v>0</v>
      </c>
      <c r="Y26" s="76">
        <f t="shared" si="30"/>
        <v>0</v>
      </c>
      <c r="Z26" s="76">
        <f t="shared" si="30"/>
        <v>0</v>
      </c>
      <c r="AA26" s="76">
        <f t="shared" si="30"/>
        <v>0</v>
      </c>
      <c r="AB26" s="76">
        <f t="shared" si="30"/>
        <v>0</v>
      </c>
      <c r="AC26" s="76">
        <f t="shared" si="30"/>
        <v>0</v>
      </c>
      <c r="AD26" s="76">
        <f t="shared" si="30"/>
        <v>0</v>
      </c>
      <c r="AE26" s="76">
        <f t="shared" si="30"/>
        <v>0</v>
      </c>
      <c r="AF26" s="76">
        <f t="shared" si="30"/>
        <v>0</v>
      </c>
      <c r="AG26" s="76">
        <f t="shared" si="30"/>
        <v>0</v>
      </c>
      <c r="AH26" s="76">
        <f t="shared" si="30"/>
        <v>0</v>
      </c>
      <c r="AI26" s="76">
        <f t="shared" si="30"/>
        <v>0</v>
      </c>
      <c r="AJ26" s="76">
        <f t="shared" si="30"/>
        <v>0</v>
      </c>
      <c r="AK26" s="76">
        <f t="shared" si="30"/>
        <v>13750</v>
      </c>
      <c r="AL26" s="76">
        <f t="shared" si="30"/>
        <v>13750</v>
      </c>
      <c r="AM26" s="76">
        <f t="shared" si="30"/>
        <v>13750</v>
      </c>
      <c r="AN26" s="76">
        <f t="shared" si="30"/>
        <v>13750</v>
      </c>
      <c r="AO26" s="76">
        <f t="shared" si="30"/>
        <v>13750</v>
      </c>
      <c r="AP26" s="76">
        <f t="shared" si="30"/>
        <v>13750</v>
      </c>
      <c r="AQ26" s="76">
        <f t="shared" si="30"/>
        <v>13750</v>
      </c>
      <c r="AR26" s="76">
        <f t="shared" si="30"/>
        <v>13750</v>
      </c>
      <c r="AS26" s="76">
        <f t="shared" si="30"/>
        <v>13750</v>
      </c>
      <c r="AT26" s="76">
        <f t="shared" si="30"/>
        <v>13750</v>
      </c>
      <c r="AU26" s="76">
        <f t="shared" si="30"/>
        <v>13750</v>
      </c>
      <c r="AV26" s="76">
        <f t="shared" si="30"/>
        <v>13750</v>
      </c>
      <c r="AW26" s="76">
        <f t="shared" si="30"/>
        <v>13750</v>
      </c>
      <c r="AX26" s="76">
        <f t="shared" si="30"/>
        <v>13750</v>
      </c>
      <c r="AY26" s="76">
        <f t="shared" si="30"/>
        <v>13750</v>
      </c>
      <c r="AZ26" s="76">
        <f t="shared" si="30"/>
        <v>13750</v>
      </c>
      <c r="BA26" s="76">
        <f t="shared" si="30"/>
        <v>13750</v>
      </c>
      <c r="BB26" s="76">
        <f t="shared" si="30"/>
        <v>13750</v>
      </c>
      <c r="BC26" s="76">
        <f t="shared" si="30"/>
        <v>13750</v>
      </c>
      <c r="BD26" s="76">
        <f t="shared" si="30"/>
        <v>13750</v>
      </c>
      <c r="BE26" s="76">
        <f t="shared" si="30"/>
        <v>13750</v>
      </c>
      <c r="BF26" s="76">
        <f t="shared" si="30"/>
        <v>13750</v>
      </c>
      <c r="BG26" s="76">
        <f t="shared" si="30"/>
        <v>13750</v>
      </c>
      <c r="BH26" s="76">
        <f t="shared" si="30"/>
        <v>13750</v>
      </c>
      <c r="BI26" s="76">
        <f t="shared" si="30"/>
        <v>13750</v>
      </c>
    </row>
    <row r="27" ht="15.75" customHeight="1">
      <c r="A27" s="7"/>
      <c r="B27" s="1" t="s">
        <v>178</v>
      </c>
      <c r="C27" s="1" t="s">
        <v>179</v>
      </c>
      <c r="D27" s="1" t="str">
        <f t="shared" si="9"/>
        <v>Engineering</v>
      </c>
      <c r="E27" s="145">
        <v>165000.0</v>
      </c>
      <c r="F27" s="144">
        <f t="shared" si="25"/>
        <v>44743</v>
      </c>
      <c r="G27" s="141"/>
      <c r="H27" s="142">
        <v>0.09</v>
      </c>
      <c r="I27" s="143">
        <f t="shared" si="10"/>
        <v>550</v>
      </c>
      <c r="J27" s="145">
        <v>500.0</v>
      </c>
      <c r="K27" s="76">
        <f t="shared" si="5"/>
        <v>1050</v>
      </c>
      <c r="N27" s="76">
        <f t="shared" ref="N27:BI27" si="31">IF($F27=0,0, IF(AND(N$1&gt;=$G27,$G27&lt;&gt;0),0,IF(N$1&gt;=$F27,$E27/12,0)))</f>
        <v>0</v>
      </c>
      <c r="O27" s="76">
        <f t="shared" si="31"/>
        <v>0</v>
      </c>
      <c r="P27" s="76">
        <f t="shared" si="31"/>
        <v>0</v>
      </c>
      <c r="Q27" s="76">
        <f t="shared" si="31"/>
        <v>0</v>
      </c>
      <c r="R27" s="76">
        <f t="shared" si="31"/>
        <v>0</v>
      </c>
      <c r="S27" s="76">
        <f t="shared" si="31"/>
        <v>0</v>
      </c>
      <c r="T27" s="76">
        <f t="shared" si="31"/>
        <v>0</v>
      </c>
      <c r="U27" s="76">
        <f t="shared" si="31"/>
        <v>0</v>
      </c>
      <c r="V27" s="76">
        <f t="shared" si="31"/>
        <v>0</v>
      </c>
      <c r="W27" s="76">
        <f t="shared" si="31"/>
        <v>0</v>
      </c>
      <c r="X27" s="76">
        <f t="shared" si="31"/>
        <v>0</v>
      </c>
      <c r="Y27" s="76">
        <f t="shared" si="31"/>
        <v>0</v>
      </c>
      <c r="Z27" s="76">
        <f t="shared" si="31"/>
        <v>0</v>
      </c>
      <c r="AA27" s="76">
        <f t="shared" si="31"/>
        <v>0</v>
      </c>
      <c r="AB27" s="76">
        <f t="shared" si="31"/>
        <v>0</v>
      </c>
      <c r="AC27" s="76">
        <f t="shared" si="31"/>
        <v>0</v>
      </c>
      <c r="AD27" s="76">
        <f t="shared" si="31"/>
        <v>0</v>
      </c>
      <c r="AE27" s="76">
        <f t="shared" si="31"/>
        <v>0</v>
      </c>
      <c r="AF27" s="76">
        <f t="shared" si="31"/>
        <v>0</v>
      </c>
      <c r="AG27" s="76">
        <f t="shared" si="31"/>
        <v>0</v>
      </c>
      <c r="AH27" s="76">
        <f t="shared" si="31"/>
        <v>0</v>
      </c>
      <c r="AI27" s="76">
        <f t="shared" si="31"/>
        <v>0</v>
      </c>
      <c r="AJ27" s="76">
        <f t="shared" si="31"/>
        <v>0</v>
      </c>
      <c r="AK27" s="76">
        <f t="shared" si="31"/>
        <v>0</v>
      </c>
      <c r="AL27" s="76">
        <f t="shared" si="31"/>
        <v>0</v>
      </c>
      <c r="AM27" s="76">
        <f t="shared" si="31"/>
        <v>0</v>
      </c>
      <c r="AN27" s="76">
        <f t="shared" si="31"/>
        <v>13750</v>
      </c>
      <c r="AO27" s="76">
        <f t="shared" si="31"/>
        <v>13750</v>
      </c>
      <c r="AP27" s="76">
        <f t="shared" si="31"/>
        <v>13750</v>
      </c>
      <c r="AQ27" s="76">
        <f t="shared" si="31"/>
        <v>13750</v>
      </c>
      <c r="AR27" s="76">
        <f t="shared" si="31"/>
        <v>13750</v>
      </c>
      <c r="AS27" s="76">
        <f t="shared" si="31"/>
        <v>13750</v>
      </c>
      <c r="AT27" s="76">
        <f t="shared" si="31"/>
        <v>13750</v>
      </c>
      <c r="AU27" s="76">
        <f t="shared" si="31"/>
        <v>13750</v>
      </c>
      <c r="AV27" s="76">
        <f t="shared" si="31"/>
        <v>13750</v>
      </c>
      <c r="AW27" s="76">
        <f t="shared" si="31"/>
        <v>13750</v>
      </c>
      <c r="AX27" s="76">
        <f t="shared" si="31"/>
        <v>13750</v>
      </c>
      <c r="AY27" s="76">
        <f t="shared" si="31"/>
        <v>13750</v>
      </c>
      <c r="AZ27" s="76">
        <f t="shared" si="31"/>
        <v>13750</v>
      </c>
      <c r="BA27" s="76">
        <f t="shared" si="31"/>
        <v>13750</v>
      </c>
      <c r="BB27" s="76">
        <f t="shared" si="31"/>
        <v>13750</v>
      </c>
      <c r="BC27" s="76">
        <f t="shared" si="31"/>
        <v>13750</v>
      </c>
      <c r="BD27" s="76">
        <f t="shared" si="31"/>
        <v>13750</v>
      </c>
      <c r="BE27" s="76">
        <f t="shared" si="31"/>
        <v>13750</v>
      </c>
      <c r="BF27" s="76">
        <f t="shared" si="31"/>
        <v>13750</v>
      </c>
      <c r="BG27" s="76">
        <f t="shared" si="31"/>
        <v>13750</v>
      </c>
      <c r="BH27" s="76">
        <f t="shared" si="31"/>
        <v>13750</v>
      </c>
      <c r="BI27" s="76">
        <f t="shared" si="31"/>
        <v>13750</v>
      </c>
    </row>
    <row r="28" ht="15.75" customHeight="1">
      <c r="A28" s="7"/>
      <c r="B28" s="1" t="s">
        <v>180</v>
      </c>
      <c r="C28" s="1" t="s">
        <v>169</v>
      </c>
      <c r="D28" s="1" t="str">
        <f t="shared" si="9"/>
        <v>Engineering</v>
      </c>
      <c r="E28" s="143">
        <v>165000.0</v>
      </c>
      <c r="F28" s="144">
        <f t="shared" si="25"/>
        <v>44835</v>
      </c>
      <c r="G28" s="141"/>
      <c r="H28" s="142">
        <v>0.09</v>
      </c>
      <c r="I28" s="143">
        <f t="shared" si="10"/>
        <v>550</v>
      </c>
      <c r="J28" s="143">
        <v>500.0</v>
      </c>
      <c r="K28" s="76">
        <f t="shared" si="5"/>
        <v>1050</v>
      </c>
      <c r="N28" s="76">
        <f t="shared" ref="N28:BI28" si="32">IF($F28=0,0, IF(AND(N$1&gt;=$G28,$G28&lt;&gt;0),0,IF(N$1&gt;=$F28,$E28/12,0)))</f>
        <v>0</v>
      </c>
      <c r="O28" s="76">
        <f t="shared" si="32"/>
        <v>0</v>
      </c>
      <c r="P28" s="76">
        <f t="shared" si="32"/>
        <v>0</v>
      </c>
      <c r="Q28" s="76">
        <f t="shared" si="32"/>
        <v>0</v>
      </c>
      <c r="R28" s="76">
        <f t="shared" si="32"/>
        <v>0</v>
      </c>
      <c r="S28" s="76">
        <f t="shared" si="32"/>
        <v>0</v>
      </c>
      <c r="T28" s="76">
        <f t="shared" si="32"/>
        <v>0</v>
      </c>
      <c r="U28" s="76">
        <f t="shared" si="32"/>
        <v>0</v>
      </c>
      <c r="V28" s="76">
        <f t="shared" si="32"/>
        <v>0</v>
      </c>
      <c r="W28" s="76">
        <f t="shared" si="32"/>
        <v>0</v>
      </c>
      <c r="X28" s="76">
        <f t="shared" si="32"/>
        <v>0</v>
      </c>
      <c r="Y28" s="76">
        <f t="shared" si="32"/>
        <v>0</v>
      </c>
      <c r="Z28" s="76">
        <f t="shared" si="32"/>
        <v>0</v>
      </c>
      <c r="AA28" s="76">
        <f t="shared" si="32"/>
        <v>0</v>
      </c>
      <c r="AB28" s="76">
        <f t="shared" si="32"/>
        <v>0</v>
      </c>
      <c r="AC28" s="76">
        <f t="shared" si="32"/>
        <v>0</v>
      </c>
      <c r="AD28" s="76">
        <f t="shared" si="32"/>
        <v>0</v>
      </c>
      <c r="AE28" s="76">
        <f t="shared" si="32"/>
        <v>0</v>
      </c>
      <c r="AF28" s="76">
        <f t="shared" si="32"/>
        <v>0</v>
      </c>
      <c r="AG28" s="76">
        <f t="shared" si="32"/>
        <v>0</v>
      </c>
      <c r="AH28" s="76">
        <f t="shared" si="32"/>
        <v>0</v>
      </c>
      <c r="AI28" s="76">
        <f t="shared" si="32"/>
        <v>0</v>
      </c>
      <c r="AJ28" s="76">
        <f t="shared" si="32"/>
        <v>0</v>
      </c>
      <c r="AK28" s="76">
        <f t="shared" si="32"/>
        <v>0</v>
      </c>
      <c r="AL28" s="76">
        <f t="shared" si="32"/>
        <v>0</v>
      </c>
      <c r="AM28" s="76">
        <f t="shared" si="32"/>
        <v>0</v>
      </c>
      <c r="AN28" s="76">
        <f t="shared" si="32"/>
        <v>0</v>
      </c>
      <c r="AO28" s="76">
        <f t="shared" si="32"/>
        <v>0</v>
      </c>
      <c r="AP28" s="76">
        <f t="shared" si="32"/>
        <v>0</v>
      </c>
      <c r="AQ28" s="76">
        <f t="shared" si="32"/>
        <v>13750</v>
      </c>
      <c r="AR28" s="76">
        <f t="shared" si="32"/>
        <v>13750</v>
      </c>
      <c r="AS28" s="76">
        <f t="shared" si="32"/>
        <v>13750</v>
      </c>
      <c r="AT28" s="76">
        <f t="shared" si="32"/>
        <v>13750</v>
      </c>
      <c r="AU28" s="76">
        <f t="shared" si="32"/>
        <v>13750</v>
      </c>
      <c r="AV28" s="76">
        <f t="shared" si="32"/>
        <v>13750</v>
      </c>
      <c r="AW28" s="76">
        <f t="shared" si="32"/>
        <v>13750</v>
      </c>
      <c r="AX28" s="76">
        <f t="shared" si="32"/>
        <v>13750</v>
      </c>
      <c r="AY28" s="76">
        <f t="shared" si="32"/>
        <v>13750</v>
      </c>
      <c r="AZ28" s="76">
        <f t="shared" si="32"/>
        <v>13750</v>
      </c>
      <c r="BA28" s="76">
        <f t="shared" si="32"/>
        <v>13750</v>
      </c>
      <c r="BB28" s="76">
        <f t="shared" si="32"/>
        <v>13750</v>
      </c>
      <c r="BC28" s="76">
        <f t="shared" si="32"/>
        <v>13750</v>
      </c>
      <c r="BD28" s="76">
        <f t="shared" si="32"/>
        <v>13750</v>
      </c>
      <c r="BE28" s="76">
        <f t="shared" si="32"/>
        <v>13750</v>
      </c>
      <c r="BF28" s="76">
        <f t="shared" si="32"/>
        <v>13750</v>
      </c>
      <c r="BG28" s="76">
        <f t="shared" si="32"/>
        <v>13750</v>
      </c>
      <c r="BH28" s="76">
        <f t="shared" si="32"/>
        <v>13750</v>
      </c>
      <c r="BI28" s="76">
        <f t="shared" si="32"/>
        <v>13750</v>
      </c>
    </row>
    <row r="29" ht="15.75" customHeight="1">
      <c r="A29" s="7"/>
      <c r="B29" s="1" t="s">
        <v>181</v>
      </c>
      <c r="C29" s="1" t="s">
        <v>169</v>
      </c>
      <c r="D29" s="1" t="str">
        <f t="shared" si="9"/>
        <v>Engineering</v>
      </c>
      <c r="E29" s="143">
        <v>165000.0</v>
      </c>
      <c r="F29" s="144">
        <f t="shared" si="25"/>
        <v>44927</v>
      </c>
      <c r="G29" s="141"/>
      <c r="H29" s="142">
        <v>0.09</v>
      </c>
      <c r="I29" s="143">
        <f t="shared" si="10"/>
        <v>550</v>
      </c>
      <c r="J29" s="143">
        <v>500.0</v>
      </c>
      <c r="K29" s="76">
        <f t="shared" si="5"/>
        <v>1050</v>
      </c>
      <c r="N29" s="76">
        <f t="shared" ref="N29:BI29" si="33">IF($F29=0,0, IF(AND(N$1&gt;=$G29,$G29&lt;&gt;0),0,IF(N$1&gt;=$F29,$E29/12,0)))</f>
        <v>0</v>
      </c>
      <c r="O29" s="76">
        <f t="shared" si="33"/>
        <v>0</v>
      </c>
      <c r="P29" s="76">
        <f t="shared" si="33"/>
        <v>0</v>
      </c>
      <c r="Q29" s="76">
        <f t="shared" si="33"/>
        <v>0</v>
      </c>
      <c r="R29" s="76">
        <f t="shared" si="33"/>
        <v>0</v>
      </c>
      <c r="S29" s="76">
        <f t="shared" si="33"/>
        <v>0</v>
      </c>
      <c r="T29" s="76">
        <f t="shared" si="33"/>
        <v>0</v>
      </c>
      <c r="U29" s="76">
        <f t="shared" si="33"/>
        <v>0</v>
      </c>
      <c r="V29" s="76">
        <f t="shared" si="33"/>
        <v>0</v>
      </c>
      <c r="W29" s="76">
        <f t="shared" si="33"/>
        <v>0</v>
      </c>
      <c r="X29" s="76">
        <f t="shared" si="33"/>
        <v>0</v>
      </c>
      <c r="Y29" s="76">
        <f t="shared" si="33"/>
        <v>0</v>
      </c>
      <c r="Z29" s="76">
        <f t="shared" si="33"/>
        <v>0</v>
      </c>
      <c r="AA29" s="76">
        <f t="shared" si="33"/>
        <v>0</v>
      </c>
      <c r="AB29" s="76">
        <f t="shared" si="33"/>
        <v>0</v>
      </c>
      <c r="AC29" s="76">
        <f t="shared" si="33"/>
        <v>0</v>
      </c>
      <c r="AD29" s="76">
        <f t="shared" si="33"/>
        <v>0</v>
      </c>
      <c r="AE29" s="76">
        <f t="shared" si="33"/>
        <v>0</v>
      </c>
      <c r="AF29" s="76">
        <f t="shared" si="33"/>
        <v>0</v>
      </c>
      <c r="AG29" s="76">
        <f t="shared" si="33"/>
        <v>0</v>
      </c>
      <c r="AH29" s="76">
        <f t="shared" si="33"/>
        <v>0</v>
      </c>
      <c r="AI29" s="76">
        <f t="shared" si="33"/>
        <v>0</v>
      </c>
      <c r="AJ29" s="76">
        <f t="shared" si="33"/>
        <v>0</v>
      </c>
      <c r="AK29" s="76">
        <f t="shared" si="33"/>
        <v>0</v>
      </c>
      <c r="AL29" s="76">
        <f t="shared" si="33"/>
        <v>0</v>
      </c>
      <c r="AM29" s="76">
        <f t="shared" si="33"/>
        <v>0</v>
      </c>
      <c r="AN29" s="76">
        <f t="shared" si="33"/>
        <v>0</v>
      </c>
      <c r="AO29" s="76">
        <f t="shared" si="33"/>
        <v>0</v>
      </c>
      <c r="AP29" s="76">
        <f t="shared" si="33"/>
        <v>0</v>
      </c>
      <c r="AQ29" s="76">
        <f t="shared" si="33"/>
        <v>0</v>
      </c>
      <c r="AR29" s="76">
        <f t="shared" si="33"/>
        <v>0</v>
      </c>
      <c r="AS29" s="76">
        <f t="shared" si="33"/>
        <v>0</v>
      </c>
      <c r="AT29" s="76">
        <f t="shared" si="33"/>
        <v>13750</v>
      </c>
      <c r="AU29" s="76">
        <f t="shared" si="33"/>
        <v>13750</v>
      </c>
      <c r="AV29" s="76">
        <f t="shared" si="33"/>
        <v>13750</v>
      </c>
      <c r="AW29" s="76">
        <f t="shared" si="33"/>
        <v>13750</v>
      </c>
      <c r="AX29" s="76">
        <f t="shared" si="33"/>
        <v>13750</v>
      </c>
      <c r="AY29" s="76">
        <f t="shared" si="33"/>
        <v>13750</v>
      </c>
      <c r="AZ29" s="76">
        <f t="shared" si="33"/>
        <v>13750</v>
      </c>
      <c r="BA29" s="76">
        <f t="shared" si="33"/>
        <v>13750</v>
      </c>
      <c r="BB29" s="76">
        <f t="shared" si="33"/>
        <v>13750</v>
      </c>
      <c r="BC29" s="76">
        <f t="shared" si="33"/>
        <v>13750</v>
      </c>
      <c r="BD29" s="76">
        <f t="shared" si="33"/>
        <v>13750</v>
      </c>
      <c r="BE29" s="76">
        <f t="shared" si="33"/>
        <v>13750</v>
      </c>
      <c r="BF29" s="76">
        <f t="shared" si="33"/>
        <v>13750</v>
      </c>
      <c r="BG29" s="76">
        <f t="shared" si="33"/>
        <v>13750</v>
      </c>
      <c r="BH29" s="76">
        <f t="shared" si="33"/>
        <v>13750</v>
      </c>
      <c r="BI29" s="76">
        <f t="shared" si="33"/>
        <v>13750</v>
      </c>
    </row>
    <row r="30" ht="15.75" customHeight="1">
      <c r="A30" s="7"/>
      <c r="B30" s="1" t="s">
        <v>182</v>
      </c>
      <c r="C30" s="1" t="s">
        <v>169</v>
      </c>
      <c r="D30" s="1" t="str">
        <f t="shared" si="9"/>
        <v>Engineering</v>
      </c>
      <c r="E30" s="143">
        <v>165000.0</v>
      </c>
      <c r="F30" s="144">
        <f t="shared" si="25"/>
        <v>45017</v>
      </c>
      <c r="G30" s="141"/>
      <c r="H30" s="142">
        <v>0.09</v>
      </c>
      <c r="I30" s="143">
        <f t="shared" si="10"/>
        <v>550</v>
      </c>
      <c r="J30" s="143">
        <v>500.0</v>
      </c>
      <c r="K30" s="76">
        <f t="shared" si="5"/>
        <v>1050</v>
      </c>
      <c r="N30" s="76">
        <f t="shared" ref="N30:BI30" si="34">IF($F30=0,0, IF(AND(N$1&gt;=$G30,$G30&lt;&gt;0),0,IF(N$1&gt;=$F30,$E30/12,0)))</f>
        <v>0</v>
      </c>
      <c r="O30" s="76">
        <f t="shared" si="34"/>
        <v>0</v>
      </c>
      <c r="P30" s="76">
        <f t="shared" si="34"/>
        <v>0</v>
      </c>
      <c r="Q30" s="76">
        <f t="shared" si="34"/>
        <v>0</v>
      </c>
      <c r="R30" s="76">
        <f t="shared" si="34"/>
        <v>0</v>
      </c>
      <c r="S30" s="76">
        <f t="shared" si="34"/>
        <v>0</v>
      </c>
      <c r="T30" s="76">
        <f t="shared" si="34"/>
        <v>0</v>
      </c>
      <c r="U30" s="76">
        <f t="shared" si="34"/>
        <v>0</v>
      </c>
      <c r="V30" s="76">
        <f t="shared" si="34"/>
        <v>0</v>
      </c>
      <c r="W30" s="76">
        <f t="shared" si="34"/>
        <v>0</v>
      </c>
      <c r="X30" s="76">
        <f t="shared" si="34"/>
        <v>0</v>
      </c>
      <c r="Y30" s="76">
        <f t="shared" si="34"/>
        <v>0</v>
      </c>
      <c r="Z30" s="76">
        <f t="shared" si="34"/>
        <v>0</v>
      </c>
      <c r="AA30" s="76">
        <f t="shared" si="34"/>
        <v>0</v>
      </c>
      <c r="AB30" s="76">
        <f t="shared" si="34"/>
        <v>0</v>
      </c>
      <c r="AC30" s="76">
        <f t="shared" si="34"/>
        <v>0</v>
      </c>
      <c r="AD30" s="76">
        <f t="shared" si="34"/>
        <v>0</v>
      </c>
      <c r="AE30" s="76">
        <f t="shared" si="34"/>
        <v>0</v>
      </c>
      <c r="AF30" s="76">
        <f t="shared" si="34"/>
        <v>0</v>
      </c>
      <c r="AG30" s="76">
        <f t="shared" si="34"/>
        <v>0</v>
      </c>
      <c r="AH30" s="76">
        <f t="shared" si="34"/>
        <v>0</v>
      </c>
      <c r="AI30" s="76">
        <f t="shared" si="34"/>
        <v>0</v>
      </c>
      <c r="AJ30" s="76">
        <f t="shared" si="34"/>
        <v>0</v>
      </c>
      <c r="AK30" s="76">
        <f t="shared" si="34"/>
        <v>0</v>
      </c>
      <c r="AL30" s="76">
        <f t="shared" si="34"/>
        <v>0</v>
      </c>
      <c r="AM30" s="76">
        <f t="shared" si="34"/>
        <v>0</v>
      </c>
      <c r="AN30" s="76">
        <f t="shared" si="34"/>
        <v>0</v>
      </c>
      <c r="AO30" s="76">
        <f t="shared" si="34"/>
        <v>0</v>
      </c>
      <c r="AP30" s="76">
        <f t="shared" si="34"/>
        <v>0</v>
      </c>
      <c r="AQ30" s="76">
        <f t="shared" si="34"/>
        <v>0</v>
      </c>
      <c r="AR30" s="76">
        <f t="shared" si="34"/>
        <v>0</v>
      </c>
      <c r="AS30" s="76">
        <f t="shared" si="34"/>
        <v>0</v>
      </c>
      <c r="AT30" s="76">
        <f t="shared" si="34"/>
        <v>0</v>
      </c>
      <c r="AU30" s="76">
        <f t="shared" si="34"/>
        <v>0</v>
      </c>
      <c r="AV30" s="76">
        <f t="shared" si="34"/>
        <v>0</v>
      </c>
      <c r="AW30" s="76">
        <f t="shared" si="34"/>
        <v>13750</v>
      </c>
      <c r="AX30" s="76">
        <f t="shared" si="34"/>
        <v>13750</v>
      </c>
      <c r="AY30" s="76">
        <f t="shared" si="34"/>
        <v>13750</v>
      </c>
      <c r="AZ30" s="76">
        <f t="shared" si="34"/>
        <v>13750</v>
      </c>
      <c r="BA30" s="76">
        <f t="shared" si="34"/>
        <v>13750</v>
      </c>
      <c r="BB30" s="76">
        <f t="shared" si="34"/>
        <v>13750</v>
      </c>
      <c r="BC30" s="76">
        <f t="shared" si="34"/>
        <v>13750</v>
      </c>
      <c r="BD30" s="76">
        <f t="shared" si="34"/>
        <v>13750</v>
      </c>
      <c r="BE30" s="76">
        <f t="shared" si="34"/>
        <v>13750</v>
      </c>
      <c r="BF30" s="76">
        <f t="shared" si="34"/>
        <v>13750</v>
      </c>
      <c r="BG30" s="76">
        <f t="shared" si="34"/>
        <v>13750</v>
      </c>
      <c r="BH30" s="76">
        <f t="shared" si="34"/>
        <v>13750</v>
      </c>
      <c r="BI30" s="76">
        <f t="shared" si="34"/>
        <v>13750</v>
      </c>
    </row>
    <row r="31" ht="15.75" customHeight="1">
      <c r="A31" s="7"/>
      <c r="B31" s="1" t="s">
        <v>183</v>
      </c>
      <c r="C31" s="1" t="s">
        <v>166</v>
      </c>
      <c r="D31" s="1" t="str">
        <f t="shared" si="9"/>
        <v>Engineering</v>
      </c>
      <c r="E31" s="143">
        <v>165000.0</v>
      </c>
      <c r="F31" s="144">
        <f t="shared" si="25"/>
        <v>45108</v>
      </c>
      <c r="G31" s="141"/>
      <c r="H31" s="142">
        <v>0.09</v>
      </c>
      <c r="I31" s="143">
        <f t="shared" si="10"/>
        <v>550</v>
      </c>
      <c r="J31" s="143">
        <v>500.0</v>
      </c>
      <c r="K31" s="76">
        <f t="shared" si="5"/>
        <v>1050</v>
      </c>
      <c r="N31" s="76">
        <f t="shared" ref="N31:BI31" si="35">IF($F31=0,0, IF(AND(N$1&gt;=$G31,$G31&lt;&gt;0),0,IF(N$1&gt;=$F31,$E31/12,0)))</f>
        <v>0</v>
      </c>
      <c r="O31" s="76">
        <f t="shared" si="35"/>
        <v>0</v>
      </c>
      <c r="P31" s="76">
        <f t="shared" si="35"/>
        <v>0</v>
      </c>
      <c r="Q31" s="76">
        <f t="shared" si="35"/>
        <v>0</v>
      </c>
      <c r="R31" s="76">
        <f t="shared" si="35"/>
        <v>0</v>
      </c>
      <c r="S31" s="76">
        <f t="shared" si="35"/>
        <v>0</v>
      </c>
      <c r="T31" s="76">
        <f t="shared" si="35"/>
        <v>0</v>
      </c>
      <c r="U31" s="76">
        <f t="shared" si="35"/>
        <v>0</v>
      </c>
      <c r="V31" s="76">
        <f t="shared" si="35"/>
        <v>0</v>
      </c>
      <c r="W31" s="76">
        <f t="shared" si="35"/>
        <v>0</v>
      </c>
      <c r="X31" s="76">
        <f t="shared" si="35"/>
        <v>0</v>
      </c>
      <c r="Y31" s="76">
        <f t="shared" si="35"/>
        <v>0</v>
      </c>
      <c r="Z31" s="76">
        <f t="shared" si="35"/>
        <v>0</v>
      </c>
      <c r="AA31" s="76">
        <f t="shared" si="35"/>
        <v>0</v>
      </c>
      <c r="AB31" s="76">
        <f t="shared" si="35"/>
        <v>0</v>
      </c>
      <c r="AC31" s="76">
        <f t="shared" si="35"/>
        <v>0</v>
      </c>
      <c r="AD31" s="76">
        <f t="shared" si="35"/>
        <v>0</v>
      </c>
      <c r="AE31" s="76">
        <f t="shared" si="35"/>
        <v>0</v>
      </c>
      <c r="AF31" s="76">
        <f t="shared" si="35"/>
        <v>0</v>
      </c>
      <c r="AG31" s="76">
        <f t="shared" si="35"/>
        <v>0</v>
      </c>
      <c r="AH31" s="76">
        <f t="shared" si="35"/>
        <v>0</v>
      </c>
      <c r="AI31" s="76">
        <f t="shared" si="35"/>
        <v>0</v>
      </c>
      <c r="AJ31" s="76">
        <f t="shared" si="35"/>
        <v>0</v>
      </c>
      <c r="AK31" s="76">
        <f t="shared" si="35"/>
        <v>0</v>
      </c>
      <c r="AL31" s="76">
        <f t="shared" si="35"/>
        <v>0</v>
      </c>
      <c r="AM31" s="76">
        <f t="shared" si="35"/>
        <v>0</v>
      </c>
      <c r="AN31" s="76">
        <f t="shared" si="35"/>
        <v>0</v>
      </c>
      <c r="AO31" s="76">
        <f t="shared" si="35"/>
        <v>0</v>
      </c>
      <c r="AP31" s="76">
        <f t="shared" si="35"/>
        <v>0</v>
      </c>
      <c r="AQ31" s="76">
        <f t="shared" si="35"/>
        <v>0</v>
      </c>
      <c r="AR31" s="76">
        <f t="shared" si="35"/>
        <v>0</v>
      </c>
      <c r="AS31" s="76">
        <f t="shared" si="35"/>
        <v>0</v>
      </c>
      <c r="AT31" s="76">
        <f t="shared" si="35"/>
        <v>0</v>
      </c>
      <c r="AU31" s="76">
        <f t="shared" si="35"/>
        <v>0</v>
      </c>
      <c r="AV31" s="76">
        <f t="shared" si="35"/>
        <v>0</v>
      </c>
      <c r="AW31" s="76">
        <f t="shared" si="35"/>
        <v>0</v>
      </c>
      <c r="AX31" s="76">
        <f t="shared" si="35"/>
        <v>0</v>
      </c>
      <c r="AY31" s="76">
        <f t="shared" si="35"/>
        <v>0</v>
      </c>
      <c r="AZ31" s="76">
        <f t="shared" si="35"/>
        <v>13750</v>
      </c>
      <c r="BA31" s="76">
        <f t="shared" si="35"/>
        <v>13750</v>
      </c>
      <c r="BB31" s="76">
        <f t="shared" si="35"/>
        <v>13750</v>
      </c>
      <c r="BC31" s="76">
        <f t="shared" si="35"/>
        <v>13750</v>
      </c>
      <c r="BD31" s="76">
        <f t="shared" si="35"/>
        <v>13750</v>
      </c>
      <c r="BE31" s="76">
        <f t="shared" si="35"/>
        <v>13750</v>
      </c>
      <c r="BF31" s="76">
        <f t="shared" si="35"/>
        <v>13750</v>
      </c>
      <c r="BG31" s="76">
        <f t="shared" si="35"/>
        <v>13750</v>
      </c>
      <c r="BH31" s="76">
        <f t="shared" si="35"/>
        <v>13750</v>
      </c>
      <c r="BI31" s="76">
        <f t="shared" si="35"/>
        <v>13750</v>
      </c>
    </row>
    <row r="32" ht="15.75" customHeight="1">
      <c r="A32" s="7"/>
      <c r="B32" s="7" t="s">
        <v>184</v>
      </c>
      <c r="C32" s="1"/>
      <c r="D32" s="1"/>
      <c r="E32" s="96"/>
      <c r="F32" s="46"/>
      <c r="G32" s="46"/>
      <c r="H32" s="26"/>
      <c r="I32" s="96"/>
      <c r="J32" s="96"/>
      <c r="K32" s="76">
        <f t="shared" si="5"/>
        <v>0</v>
      </c>
      <c r="N32" s="76">
        <f t="shared" ref="N32:BI32" si="36">IF($F32=0,0, IF(AND(N$1&gt;=$G32,$G32&lt;&gt;0),0,IF(N$1&gt;=$F32,$E32/12,0)))</f>
        <v>0</v>
      </c>
      <c r="O32" s="76">
        <f t="shared" si="36"/>
        <v>0</v>
      </c>
      <c r="P32" s="76">
        <f t="shared" si="36"/>
        <v>0</v>
      </c>
      <c r="Q32" s="76">
        <f t="shared" si="36"/>
        <v>0</v>
      </c>
      <c r="R32" s="76">
        <f t="shared" si="36"/>
        <v>0</v>
      </c>
      <c r="S32" s="76">
        <f t="shared" si="36"/>
        <v>0</v>
      </c>
      <c r="T32" s="76">
        <f t="shared" si="36"/>
        <v>0</v>
      </c>
      <c r="U32" s="76">
        <f t="shared" si="36"/>
        <v>0</v>
      </c>
      <c r="V32" s="76">
        <f t="shared" si="36"/>
        <v>0</v>
      </c>
      <c r="W32" s="76">
        <f t="shared" si="36"/>
        <v>0</v>
      </c>
      <c r="X32" s="76">
        <f t="shared" si="36"/>
        <v>0</v>
      </c>
      <c r="Y32" s="76">
        <f t="shared" si="36"/>
        <v>0</v>
      </c>
      <c r="Z32" s="76">
        <f t="shared" si="36"/>
        <v>0</v>
      </c>
      <c r="AA32" s="76">
        <f t="shared" si="36"/>
        <v>0</v>
      </c>
      <c r="AB32" s="76">
        <f t="shared" si="36"/>
        <v>0</v>
      </c>
      <c r="AC32" s="76">
        <f t="shared" si="36"/>
        <v>0</v>
      </c>
      <c r="AD32" s="76">
        <f t="shared" si="36"/>
        <v>0</v>
      </c>
      <c r="AE32" s="76">
        <f t="shared" si="36"/>
        <v>0</v>
      </c>
      <c r="AF32" s="76">
        <f t="shared" si="36"/>
        <v>0</v>
      </c>
      <c r="AG32" s="76">
        <f t="shared" si="36"/>
        <v>0</v>
      </c>
      <c r="AH32" s="76">
        <f t="shared" si="36"/>
        <v>0</v>
      </c>
      <c r="AI32" s="76">
        <f t="shared" si="36"/>
        <v>0</v>
      </c>
      <c r="AJ32" s="76">
        <f t="shared" si="36"/>
        <v>0</v>
      </c>
      <c r="AK32" s="76">
        <f t="shared" si="36"/>
        <v>0</v>
      </c>
      <c r="AL32" s="76">
        <f t="shared" si="36"/>
        <v>0</v>
      </c>
      <c r="AM32" s="76">
        <f t="shared" si="36"/>
        <v>0</v>
      </c>
      <c r="AN32" s="76">
        <f t="shared" si="36"/>
        <v>0</v>
      </c>
      <c r="AO32" s="76">
        <f t="shared" si="36"/>
        <v>0</v>
      </c>
      <c r="AP32" s="76">
        <f t="shared" si="36"/>
        <v>0</v>
      </c>
      <c r="AQ32" s="76">
        <f t="shared" si="36"/>
        <v>0</v>
      </c>
      <c r="AR32" s="76">
        <f t="shared" si="36"/>
        <v>0</v>
      </c>
      <c r="AS32" s="76">
        <f t="shared" si="36"/>
        <v>0</v>
      </c>
      <c r="AT32" s="76">
        <f t="shared" si="36"/>
        <v>0</v>
      </c>
      <c r="AU32" s="76">
        <f t="shared" si="36"/>
        <v>0</v>
      </c>
      <c r="AV32" s="76">
        <f t="shared" si="36"/>
        <v>0</v>
      </c>
      <c r="AW32" s="76">
        <f t="shared" si="36"/>
        <v>0</v>
      </c>
      <c r="AX32" s="76">
        <f t="shared" si="36"/>
        <v>0</v>
      </c>
      <c r="AY32" s="76">
        <f t="shared" si="36"/>
        <v>0</v>
      </c>
      <c r="AZ32" s="76">
        <f t="shared" si="36"/>
        <v>0</v>
      </c>
      <c r="BA32" s="76">
        <f t="shared" si="36"/>
        <v>0</v>
      </c>
      <c r="BB32" s="76">
        <f t="shared" si="36"/>
        <v>0</v>
      </c>
      <c r="BC32" s="76">
        <f t="shared" si="36"/>
        <v>0</v>
      </c>
      <c r="BD32" s="76">
        <f t="shared" si="36"/>
        <v>0</v>
      </c>
      <c r="BE32" s="76">
        <f t="shared" si="36"/>
        <v>0</v>
      </c>
      <c r="BF32" s="76">
        <f t="shared" si="36"/>
        <v>0</v>
      </c>
      <c r="BG32" s="76">
        <f t="shared" si="36"/>
        <v>0</v>
      </c>
      <c r="BH32" s="76">
        <f t="shared" si="36"/>
        <v>0</v>
      </c>
      <c r="BI32" s="76">
        <f t="shared" si="36"/>
        <v>0</v>
      </c>
    </row>
    <row r="33" ht="15.75" customHeight="1">
      <c r="A33" s="1"/>
      <c r="B33" s="1" t="s">
        <v>185</v>
      </c>
      <c r="C33" s="1" t="s">
        <v>186</v>
      </c>
      <c r="D33" s="1" t="str">
        <f t="shared" ref="D33:D38" si="38">$B$32</f>
        <v>Marketing</v>
      </c>
      <c r="E33" s="143">
        <v>210000.0</v>
      </c>
      <c r="F33" s="141">
        <v>43678.0</v>
      </c>
      <c r="G33" s="141"/>
      <c r="H33" s="142">
        <v>0.09</v>
      </c>
      <c r="I33" s="143">
        <f t="shared" ref="I33:I38" si="39">0.04*E33/12</f>
        <v>700</v>
      </c>
      <c r="J33" s="143">
        <v>500.0</v>
      </c>
      <c r="K33" s="76">
        <f t="shared" si="5"/>
        <v>1200</v>
      </c>
      <c r="N33" s="76">
        <f t="shared" ref="N33:BI33" si="37">IF($F33=0,0, IF(AND(N$1&gt;=$G33,$G33&lt;&gt;0),0,IF(N$1&gt;=$F33,$E33/12,0)))</f>
        <v>17500</v>
      </c>
      <c r="O33" s="76">
        <f t="shared" si="37"/>
        <v>17500</v>
      </c>
      <c r="P33" s="76">
        <f t="shared" si="37"/>
        <v>17500</v>
      </c>
      <c r="Q33" s="76">
        <f t="shared" si="37"/>
        <v>17500</v>
      </c>
      <c r="R33" s="76">
        <f t="shared" si="37"/>
        <v>17500</v>
      </c>
      <c r="S33" s="76">
        <f t="shared" si="37"/>
        <v>17500</v>
      </c>
      <c r="T33" s="76">
        <f t="shared" si="37"/>
        <v>17500</v>
      </c>
      <c r="U33" s="76">
        <f t="shared" si="37"/>
        <v>17500</v>
      </c>
      <c r="V33" s="76">
        <f t="shared" si="37"/>
        <v>17500</v>
      </c>
      <c r="W33" s="76">
        <f t="shared" si="37"/>
        <v>17500</v>
      </c>
      <c r="X33" s="76">
        <f t="shared" si="37"/>
        <v>17500</v>
      </c>
      <c r="Y33" s="76">
        <f t="shared" si="37"/>
        <v>17500</v>
      </c>
      <c r="Z33" s="76">
        <f t="shared" si="37"/>
        <v>17500</v>
      </c>
      <c r="AA33" s="76">
        <f t="shared" si="37"/>
        <v>17500</v>
      </c>
      <c r="AB33" s="76">
        <f t="shared" si="37"/>
        <v>17500</v>
      </c>
      <c r="AC33" s="76">
        <f t="shared" si="37"/>
        <v>17500</v>
      </c>
      <c r="AD33" s="76">
        <f t="shared" si="37"/>
        <v>17500</v>
      </c>
      <c r="AE33" s="76">
        <f t="shared" si="37"/>
        <v>17500</v>
      </c>
      <c r="AF33" s="76">
        <f t="shared" si="37"/>
        <v>17500</v>
      </c>
      <c r="AG33" s="76">
        <f t="shared" si="37"/>
        <v>17500</v>
      </c>
      <c r="AH33" s="76">
        <f t="shared" si="37"/>
        <v>17500</v>
      </c>
      <c r="AI33" s="76">
        <f t="shared" si="37"/>
        <v>17500</v>
      </c>
      <c r="AJ33" s="76">
        <f t="shared" si="37"/>
        <v>17500</v>
      </c>
      <c r="AK33" s="76">
        <f t="shared" si="37"/>
        <v>17500</v>
      </c>
      <c r="AL33" s="76">
        <f t="shared" si="37"/>
        <v>17500</v>
      </c>
      <c r="AM33" s="76">
        <f t="shared" si="37"/>
        <v>17500</v>
      </c>
      <c r="AN33" s="76">
        <f t="shared" si="37"/>
        <v>17500</v>
      </c>
      <c r="AO33" s="76">
        <f t="shared" si="37"/>
        <v>17500</v>
      </c>
      <c r="AP33" s="76">
        <f t="shared" si="37"/>
        <v>17500</v>
      </c>
      <c r="AQ33" s="76">
        <f t="shared" si="37"/>
        <v>17500</v>
      </c>
      <c r="AR33" s="76">
        <f t="shared" si="37"/>
        <v>17500</v>
      </c>
      <c r="AS33" s="76">
        <f t="shared" si="37"/>
        <v>17500</v>
      </c>
      <c r="AT33" s="76">
        <f t="shared" si="37"/>
        <v>17500</v>
      </c>
      <c r="AU33" s="76">
        <f t="shared" si="37"/>
        <v>17500</v>
      </c>
      <c r="AV33" s="76">
        <f t="shared" si="37"/>
        <v>17500</v>
      </c>
      <c r="AW33" s="76">
        <f t="shared" si="37"/>
        <v>17500</v>
      </c>
      <c r="AX33" s="76">
        <f t="shared" si="37"/>
        <v>17500</v>
      </c>
      <c r="AY33" s="76">
        <f t="shared" si="37"/>
        <v>17500</v>
      </c>
      <c r="AZ33" s="76">
        <f t="shared" si="37"/>
        <v>17500</v>
      </c>
      <c r="BA33" s="76">
        <f t="shared" si="37"/>
        <v>17500</v>
      </c>
      <c r="BB33" s="76">
        <f t="shared" si="37"/>
        <v>17500</v>
      </c>
      <c r="BC33" s="76">
        <f t="shared" si="37"/>
        <v>17500</v>
      </c>
      <c r="BD33" s="76">
        <f t="shared" si="37"/>
        <v>17500</v>
      </c>
      <c r="BE33" s="76">
        <f t="shared" si="37"/>
        <v>17500</v>
      </c>
      <c r="BF33" s="76">
        <f t="shared" si="37"/>
        <v>17500</v>
      </c>
      <c r="BG33" s="76">
        <f t="shared" si="37"/>
        <v>17500</v>
      </c>
      <c r="BH33" s="76">
        <f t="shared" si="37"/>
        <v>17500</v>
      </c>
      <c r="BI33" s="76">
        <f t="shared" si="37"/>
        <v>17500</v>
      </c>
    </row>
    <row r="34" ht="15.75" customHeight="1">
      <c r="A34" s="1"/>
      <c r="B34" s="1" t="s">
        <v>187</v>
      </c>
      <c r="C34" s="1" t="s">
        <v>188</v>
      </c>
      <c r="D34" s="1" t="str">
        <f t="shared" si="38"/>
        <v>Marketing</v>
      </c>
      <c r="E34" s="145">
        <v>100000.0</v>
      </c>
      <c r="F34" s="141">
        <v>43466.0</v>
      </c>
      <c r="G34" s="141"/>
      <c r="H34" s="142">
        <v>0.09</v>
      </c>
      <c r="I34" s="143">
        <f t="shared" si="39"/>
        <v>333.3333333</v>
      </c>
      <c r="J34" s="145">
        <v>500.0</v>
      </c>
      <c r="K34" s="76">
        <f t="shared" si="5"/>
        <v>833.3333333</v>
      </c>
      <c r="N34" s="76">
        <f t="shared" ref="N34:BI34" si="40">IF($F34=0,0, IF(AND(N$1&gt;=$G34,$G34&lt;&gt;0),0,IF(N$1&gt;=$F34,$E34/12,0)))</f>
        <v>8333.333333</v>
      </c>
      <c r="O34" s="76">
        <f t="shared" si="40"/>
        <v>8333.333333</v>
      </c>
      <c r="P34" s="76">
        <f t="shared" si="40"/>
        <v>8333.333333</v>
      </c>
      <c r="Q34" s="76">
        <f t="shared" si="40"/>
        <v>8333.333333</v>
      </c>
      <c r="R34" s="76">
        <f t="shared" si="40"/>
        <v>8333.333333</v>
      </c>
      <c r="S34" s="76">
        <f t="shared" si="40"/>
        <v>8333.333333</v>
      </c>
      <c r="T34" s="76">
        <f t="shared" si="40"/>
        <v>8333.333333</v>
      </c>
      <c r="U34" s="76">
        <f t="shared" si="40"/>
        <v>8333.333333</v>
      </c>
      <c r="V34" s="76">
        <f t="shared" si="40"/>
        <v>8333.333333</v>
      </c>
      <c r="W34" s="76">
        <f t="shared" si="40"/>
        <v>8333.333333</v>
      </c>
      <c r="X34" s="76">
        <f t="shared" si="40"/>
        <v>8333.333333</v>
      </c>
      <c r="Y34" s="76">
        <f t="shared" si="40"/>
        <v>8333.333333</v>
      </c>
      <c r="Z34" s="76">
        <f t="shared" si="40"/>
        <v>8333.333333</v>
      </c>
      <c r="AA34" s="76">
        <f t="shared" si="40"/>
        <v>8333.333333</v>
      </c>
      <c r="AB34" s="76">
        <f t="shared" si="40"/>
        <v>8333.333333</v>
      </c>
      <c r="AC34" s="76">
        <f t="shared" si="40"/>
        <v>8333.333333</v>
      </c>
      <c r="AD34" s="76">
        <f t="shared" si="40"/>
        <v>8333.333333</v>
      </c>
      <c r="AE34" s="76">
        <f t="shared" si="40"/>
        <v>8333.333333</v>
      </c>
      <c r="AF34" s="76">
        <f t="shared" si="40"/>
        <v>8333.333333</v>
      </c>
      <c r="AG34" s="76">
        <f t="shared" si="40"/>
        <v>8333.333333</v>
      </c>
      <c r="AH34" s="76">
        <f t="shared" si="40"/>
        <v>8333.333333</v>
      </c>
      <c r="AI34" s="76">
        <f t="shared" si="40"/>
        <v>8333.333333</v>
      </c>
      <c r="AJ34" s="76">
        <f t="shared" si="40"/>
        <v>8333.333333</v>
      </c>
      <c r="AK34" s="76">
        <f t="shared" si="40"/>
        <v>8333.333333</v>
      </c>
      <c r="AL34" s="76">
        <f t="shared" si="40"/>
        <v>8333.333333</v>
      </c>
      <c r="AM34" s="76">
        <f t="shared" si="40"/>
        <v>8333.333333</v>
      </c>
      <c r="AN34" s="76">
        <f t="shared" si="40"/>
        <v>8333.333333</v>
      </c>
      <c r="AO34" s="76">
        <f t="shared" si="40"/>
        <v>8333.333333</v>
      </c>
      <c r="AP34" s="76">
        <f t="shared" si="40"/>
        <v>8333.333333</v>
      </c>
      <c r="AQ34" s="76">
        <f t="shared" si="40"/>
        <v>8333.333333</v>
      </c>
      <c r="AR34" s="76">
        <f t="shared" si="40"/>
        <v>8333.333333</v>
      </c>
      <c r="AS34" s="76">
        <f t="shared" si="40"/>
        <v>8333.333333</v>
      </c>
      <c r="AT34" s="76">
        <f t="shared" si="40"/>
        <v>8333.333333</v>
      </c>
      <c r="AU34" s="76">
        <f t="shared" si="40"/>
        <v>8333.333333</v>
      </c>
      <c r="AV34" s="76">
        <f t="shared" si="40"/>
        <v>8333.333333</v>
      </c>
      <c r="AW34" s="76">
        <f t="shared" si="40"/>
        <v>8333.333333</v>
      </c>
      <c r="AX34" s="76">
        <f t="shared" si="40"/>
        <v>8333.333333</v>
      </c>
      <c r="AY34" s="76">
        <f t="shared" si="40"/>
        <v>8333.333333</v>
      </c>
      <c r="AZ34" s="76">
        <f t="shared" si="40"/>
        <v>8333.333333</v>
      </c>
      <c r="BA34" s="76">
        <f t="shared" si="40"/>
        <v>8333.333333</v>
      </c>
      <c r="BB34" s="76">
        <f t="shared" si="40"/>
        <v>8333.333333</v>
      </c>
      <c r="BC34" s="76">
        <f t="shared" si="40"/>
        <v>8333.333333</v>
      </c>
      <c r="BD34" s="76">
        <f t="shared" si="40"/>
        <v>8333.333333</v>
      </c>
      <c r="BE34" s="76">
        <f t="shared" si="40"/>
        <v>8333.333333</v>
      </c>
      <c r="BF34" s="76">
        <f t="shared" si="40"/>
        <v>8333.333333</v>
      </c>
      <c r="BG34" s="76">
        <f t="shared" si="40"/>
        <v>8333.333333</v>
      </c>
      <c r="BH34" s="76">
        <f t="shared" si="40"/>
        <v>8333.333333</v>
      </c>
      <c r="BI34" s="76">
        <f t="shared" si="40"/>
        <v>8333.333333</v>
      </c>
    </row>
    <row r="35" ht="15.75" customHeight="1">
      <c r="A35" s="7"/>
      <c r="B35" s="7"/>
      <c r="C35" s="1" t="s">
        <v>189</v>
      </c>
      <c r="D35" s="1" t="str">
        <f t="shared" si="38"/>
        <v>Marketing</v>
      </c>
      <c r="E35" s="143">
        <v>100000.0</v>
      </c>
      <c r="F35" s="144">
        <v>44105.0</v>
      </c>
      <c r="G35" s="141"/>
      <c r="H35" s="142">
        <v>0.09</v>
      </c>
      <c r="I35" s="143">
        <f t="shared" si="39"/>
        <v>333.3333333</v>
      </c>
      <c r="J35" s="143">
        <v>500.0</v>
      </c>
      <c r="K35" s="76">
        <f t="shared" si="5"/>
        <v>833.3333333</v>
      </c>
      <c r="N35" s="76">
        <f t="shared" ref="N35:BI35" si="41">IF($F35=0,0, IF(AND(N$1&gt;=$G35,$G35&lt;&gt;0),0,IF(N$1&gt;=$F35,$E35/12,0)))</f>
        <v>0</v>
      </c>
      <c r="O35" s="76">
        <f t="shared" si="41"/>
        <v>0</v>
      </c>
      <c r="P35" s="76">
        <f t="shared" si="41"/>
        <v>0</v>
      </c>
      <c r="Q35" s="76">
        <f t="shared" si="41"/>
        <v>0</v>
      </c>
      <c r="R35" s="76">
        <f t="shared" si="41"/>
        <v>0</v>
      </c>
      <c r="S35" s="76">
        <f t="shared" si="41"/>
        <v>8333.333333</v>
      </c>
      <c r="T35" s="76">
        <f t="shared" si="41"/>
        <v>8333.333333</v>
      </c>
      <c r="U35" s="76">
        <f t="shared" si="41"/>
        <v>8333.333333</v>
      </c>
      <c r="V35" s="76">
        <f t="shared" si="41"/>
        <v>8333.333333</v>
      </c>
      <c r="W35" s="76">
        <f t="shared" si="41"/>
        <v>8333.333333</v>
      </c>
      <c r="X35" s="76">
        <f t="shared" si="41"/>
        <v>8333.333333</v>
      </c>
      <c r="Y35" s="76">
        <f t="shared" si="41"/>
        <v>8333.333333</v>
      </c>
      <c r="Z35" s="76">
        <f t="shared" si="41"/>
        <v>8333.333333</v>
      </c>
      <c r="AA35" s="76">
        <f t="shared" si="41"/>
        <v>8333.333333</v>
      </c>
      <c r="AB35" s="76">
        <f t="shared" si="41"/>
        <v>8333.333333</v>
      </c>
      <c r="AC35" s="76">
        <f t="shared" si="41"/>
        <v>8333.333333</v>
      </c>
      <c r="AD35" s="76">
        <f t="shared" si="41"/>
        <v>8333.333333</v>
      </c>
      <c r="AE35" s="76">
        <f t="shared" si="41"/>
        <v>8333.333333</v>
      </c>
      <c r="AF35" s="76">
        <f t="shared" si="41"/>
        <v>8333.333333</v>
      </c>
      <c r="AG35" s="76">
        <f t="shared" si="41"/>
        <v>8333.333333</v>
      </c>
      <c r="AH35" s="76">
        <f t="shared" si="41"/>
        <v>8333.333333</v>
      </c>
      <c r="AI35" s="76">
        <f t="shared" si="41"/>
        <v>8333.333333</v>
      </c>
      <c r="AJ35" s="76">
        <f t="shared" si="41"/>
        <v>8333.333333</v>
      </c>
      <c r="AK35" s="76">
        <f t="shared" si="41"/>
        <v>8333.333333</v>
      </c>
      <c r="AL35" s="76">
        <f t="shared" si="41"/>
        <v>8333.333333</v>
      </c>
      <c r="AM35" s="76">
        <f t="shared" si="41"/>
        <v>8333.333333</v>
      </c>
      <c r="AN35" s="76">
        <f t="shared" si="41"/>
        <v>8333.333333</v>
      </c>
      <c r="AO35" s="76">
        <f t="shared" si="41"/>
        <v>8333.333333</v>
      </c>
      <c r="AP35" s="76">
        <f t="shared" si="41"/>
        <v>8333.333333</v>
      </c>
      <c r="AQ35" s="76">
        <f t="shared" si="41"/>
        <v>8333.333333</v>
      </c>
      <c r="AR35" s="76">
        <f t="shared" si="41"/>
        <v>8333.333333</v>
      </c>
      <c r="AS35" s="76">
        <f t="shared" si="41"/>
        <v>8333.333333</v>
      </c>
      <c r="AT35" s="76">
        <f t="shared" si="41"/>
        <v>8333.333333</v>
      </c>
      <c r="AU35" s="76">
        <f t="shared" si="41"/>
        <v>8333.333333</v>
      </c>
      <c r="AV35" s="76">
        <f t="shared" si="41"/>
        <v>8333.333333</v>
      </c>
      <c r="AW35" s="76">
        <f t="shared" si="41"/>
        <v>8333.333333</v>
      </c>
      <c r="AX35" s="76">
        <f t="shared" si="41"/>
        <v>8333.333333</v>
      </c>
      <c r="AY35" s="76">
        <f t="shared" si="41"/>
        <v>8333.333333</v>
      </c>
      <c r="AZ35" s="76">
        <f t="shared" si="41"/>
        <v>8333.333333</v>
      </c>
      <c r="BA35" s="76">
        <f t="shared" si="41"/>
        <v>8333.333333</v>
      </c>
      <c r="BB35" s="76">
        <f t="shared" si="41"/>
        <v>8333.333333</v>
      </c>
      <c r="BC35" s="76">
        <f t="shared" si="41"/>
        <v>8333.333333</v>
      </c>
      <c r="BD35" s="76">
        <f t="shared" si="41"/>
        <v>8333.333333</v>
      </c>
      <c r="BE35" s="76">
        <f t="shared" si="41"/>
        <v>8333.333333</v>
      </c>
      <c r="BF35" s="76">
        <f t="shared" si="41"/>
        <v>8333.333333</v>
      </c>
      <c r="BG35" s="76">
        <f t="shared" si="41"/>
        <v>8333.333333</v>
      </c>
      <c r="BH35" s="76">
        <f t="shared" si="41"/>
        <v>8333.333333</v>
      </c>
      <c r="BI35" s="76">
        <f t="shared" si="41"/>
        <v>8333.333333</v>
      </c>
    </row>
    <row r="36" ht="15.75" customHeight="1">
      <c r="A36" s="7"/>
      <c r="B36" s="7"/>
      <c r="C36" s="1" t="s">
        <v>190</v>
      </c>
      <c r="D36" s="1" t="str">
        <f t="shared" si="38"/>
        <v>Marketing</v>
      </c>
      <c r="E36" s="143">
        <v>100000.0</v>
      </c>
      <c r="F36" s="144">
        <f t="shared" ref="F36:F38" si="43">EDATE(F35,2)</f>
        <v>44166</v>
      </c>
      <c r="G36" s="141"/>
      <c r="H36" s="142">
        <v>0.09</v>
      </c>
      <c r="I36" s="143">
        <f t="shared" si="39"/>
        <v>333.3333333</v>
      </c>
      <c r="J36" s="143">
        <v>500.0</v>
      </c>
      <c r="K36" s="76">
        <f t="shared" si="5"/>
        <v>833.3333333</v>
      </c>
      <c r="N36" s="76">
        <f t="shared" ref="N36:BI36" si="42">IF($F36=0,0, IF(AND(N$1&gt;=$G36,$G36&lt;&gt;0),0,IF(N$1&gt;=$F36,$E36/12,0)))</f>
        <v>0</v>
      </c>
      <c r="O36" s="76">
        <f t="shared" si="42"/>
        <v>0</v>
      </c>
      <c r="P36" s="76">
        <f t="shared" si="42"/>
        <v>0</v>
      </c>
      <c r="Q36" s="76">
        <f t="shared" si="42"/>
        <v>0</v>
      </c>
      <c r="R36" s="76">
        <f t="shared" si="42"/>
        <v>0</v>
      </c>
      <c r="S36" s="76">
        <f t="shared" si="42"/>
        <v>0</v>
      </c>
      <c r="T36" s="76">
        <f t="shared" si="42"/>
        <v>0</v>
      </c>
      <c r="U36" s="76">
        <f t="shared" si="42"/>
        <v>8333.333333</v>
      </c>
      <c r="V36" s="76">
        <f t="shared" si="42"/>
        <v>8333.333333</v>
      </c>
      <c r="W36" s="76">
        <f t="shared" si="42"/>
        <v>8333.333333</v>
      </c>
      <c r="X36" s="76">
        <f t="shared" si="42"/>
        <v>8333.333333</v>
      </c>
      <c r="Y36" s="76">
        <f t="shared" si="42"/>
        <v>8333.333333</v>
      </c>
      <c r="Z36" s="76">
        <f t="shared" si="42"/>
        <v>8333.333333</v>
      </c>
      <c r="AA36" s="76">
        <f t="shared" si="42"/>
        <v>8333.333333</v>
      </c>
      <c r="AB36" s="76">
        <f t="shared" si="42"/>
        <v>8333.333333</v>
      </c>
      <c r="AC36" s="76">
        <f t="shared" si="42"/>
        <v>8333.333333</v>
      </c>
      <c r="AD36" s="76">
        <f t="shared" si="42"/>
        <v>8333.333333</v>
      </c>
      <c r="AE36" s="76">
        <f t="shared" si="42"/>
        <v>8333.333333</v>
      </c>
      <c r="AF36" s="76">
        <f t="shared" si="42"/>
        <v>8333.333333</v>
      </c>
      <c r="AG36" s="76">
        <f t="shared" si="42"/>
        <v>8333.333333</v>
      </c>
      <c r="AH36" s="76">
        <f t="shared" si="42"/>
        <v>8333.333333</v>
      </c>
      <c r="AI36" s="76">
        <f t="shared" si="42"/>
        <v>8333.333333</v>
      </c>
      <c r="AJ36" s="76">
        <f t="shared" si="42"/>
        <v>8333.333333</v>
      </c>
      <c r="AK36" s="76">
        <f t="shared" si="42"/>
        <v>8333.333333</v>
      </c>
      <c r="AL36" s="76">
        <f t="shared" si="42"/>
        <v>8333.333333</v>
      </c>
      <c r="AM36" s="76">
        <f t="shared" si="42"/>
        <v>8333.333333</v>
      </c>
      <c r="AN36" s="76">
        <f t="shared" si="42"/>
        <v>8333.333333</v>
      </c>
      <c r="AO36" s="76">
        <f t="shared" si="42"/>
        <v>8333.333333</v>
      </c>
      <c r="AP36" s="76">
        <f t="shared" si="42"/>
        <v>8333.333333</v>
      </c>
      <c r="AQ36" s="76">
        <f t="shared" si="42"/>
        <v>8333.333333</v>
      </c>
      <c r="AR36" s="76">
        <f t="shared" si="42"/>
        <v>8333.333333</v>
      </c>
      <c r="AS36" s="76">
        <f t="shared" si="42"/>
        <v>8333.333333</v>
      </c>
      <c r="AT36" s="76">
        <f t="shared" si="42"/>
        <v>8333.333333</v>
      </c>
      <c r="AU36" s="76">
        <f t="shared" si="42"/>
        <v>8333.333333</v>
      </c>
      <c r="AV36" s="76">
        <f t="shared" si="42"/>
        <v>8333.333333</v>
      </c>
      <c r="AW36" s="76">
        <f t="shared" si="42"/>
        <v>8333.333333</v>
      </c>
      <c r="AX36" s="76">
        <f t="shared" si="42"/>
        <v>8333.333333</v>
      </c>
      <c r="AY36" s="76">
        <f t="shared" si="42"/>
        <v>8333.333333</v>
      </c>
      <c r="AZ36" s="76">
        <f t="shared" si="42"/>
        <v>8333.333333</v>
      </c>
      <c r="BA36" s="76">
        <f t="shared" si="42"/>
        <v>8333.333333</v>
      </c>
      <c r="BB36" s="76">
        <f t="shared" si="42"/>
        <v>8333.333333</v>
      </c>
      <c r="BC36" s="76">
        <f t="shared" si="42"/>
        <v>8333.333333</v>
      </c>
      <c r="BD36" s="76">
        <f t="shared" si="42"/>
        <v>8333.333333</v>
      </c>
      <c r="BE36" s="76">
        <f t="shared" si="42"/>
        <v>8333.333333</v>
      </c>
      <c r="BF36" s="76">
        <f t="shared" si="42"/>
        <v>8333.333333</v>
      </c>
      <c r="BG36" s="76">
        <f t="shared" si="42"/>
        <v>8333.333333</v>
      </c>
      <c r="BH36" s="76">
        <f t="shared" si="42"/>
        <v>8333.333333</v>
      </c>
      <c r="BI36" s="76">
        <f t="shared" si="42"/>
        <v>8333.333333</v>
      </c>
    </row>
    <row r="37" ht="15.75" customHeight="1">
      <c r="A37" s="7"/>
      <c r="B37" s="7"/>
      <c r="C37" s="1" t="s">
        <v>191</v>
      </c>
      <c r="D37" s="1" t="str">
        <f t="shared" si="38"/>
        <v>Marketing</v>
      </c>
      <c r="E37" s="143">
        <v>100000.0</v>
      </c>
      <c r="F37" s="144">
        <f t="shared" si="43"/>
        <v>44228</v>
      </c>
      <c r="G37" s="141"/>
      <c r="H37" s="142">
        <v>0.09</v>
      </c>
      <c r="I37" s="143">
        <f t="shared" si="39"/>
        <v>333.3333333</v>
      </c>
      <c r="J37" s="143">
        <v>500.0</v>
      </c>
      <c r="K37" s="76">
        <f t="shared" si="5"/>
        <v>833.3333333</v>
      </c>
      <c r="N37" s="76">
        <f t="shared" ref="N37:BI37" si="44">IF($F37=0,0, IF(AND(N$1&gt;=$G37,$G37&lt;&gt;0),0,IF(N$1&gt;=$F37,$E37/12,0)))</f>
        <v>0</v>
      </c>
      <c r="O37" s="76">
        <f t="shared" si="44"/>
        <v>0</v>
      </c>
      <c r="P37" s="76">
        <f t="shared" si="44"/>
        <v>0</v>
      </c>
      <c r="Q37" s="76">
        <f t="shared" si="44"/>
        <v>0</v>
      </c>
      <c r="R37" s="76">
        <f t="shared" si="44"/>
        <v>0</v>
      </c>
      <c r="S37" s="76">
        <f t="shared" si="44"/>
        <v>0</v>
      </c>
      <c r="T37" s="76">
        <f t="shared" si="44"/>
        <v>0</v>
      </c>
      <c r="U37" s="76">
        <f t="shared" si="44"/>
        <v>0</v>
      </c>
      <c r="V37" s="76">
        <f t="shared" si="44"/>
        <v>0</v>
      </c>
      <c r="W37" s="76">
        <f t="shared" si="44"/>
        <v>8333.333333</v>
      </c>
      <c r="X37" s="76">
        <f t="shared" si="44"/>
        <v>8333.333333</v>
      </c>
      <c r="Y37" s="76">
        <f t="shared" si="44"/>
        <v>8333.333333</v>
      </c>
      <c r="Z37" s="76">
        <f t="shared" si="44"/>
        <v>8333.333333</v>
      </c>
      <c r="AA37" s="76">
        <f t="shared" si="44"/>
        <v>8333.333333</v>
      </c>
      <c r="AB37" s="76">
        <f t="shared" si="44"/>
        <v>8333.333333</v>
      </c>
      <c r="AC37" s="76">
        <f t="shared" si="44"/>
        <v>8333.333333</v>
      </c>
      <c r="AD37" s="76">
        <f t="shared" si="44"/>
        <v>8333.333333</v>
      </c>
      <c r="AE37" s="76">
        <f t="shared" si="44"/>
        <v>8333.333333</v>
      </c>
      <c r="AF37" s="76">
        <f t="shared" si="44"/>
        <v>8333.333333</v>
      </c>
      <c r="AG37" s="76">
        <f t="shared" si="44"/>
        <v>8333.333333</v>
      </c>
      <c r="AH37" s="76">
        <f t="shared" si="44"/>
        <v>8333.333333</v>
      </c>
      <c r="AI37" s="76">
        <f t="shared" si="44"/>
        <v>8333.333333</v>
      </c>
      <c r="AJ37" s="76">
        <f t="shared" si="44"/>
        <v>8333.333333</v>
      </c>
      <c r="AK37" s="76">
        <f t="shared" si="44"/>
        <v>8333.333333</v>
      </c>
      <c r="AL37" s="76">
        <f t="shared" si="44"/>
        <v>8333.333333</v>
      </c>
      <c r="AM37" s="76">
        <f t="shared" si="44"/>
        <v>8333.333333</v>
      </c>
      <c r="AN37" s="76">
        <f t="shared" si="44"/>
        <v>8333.333333</v>
      </c>
      <c r="AO37" s="76">
        <f t="shared" si="44"/>
        <v>8333.333333</v>
      </c>
      <c r="AP37" s="76">
        <f t="shared" si="44"/>
        <v>8333.333333</v>
      </c>
      <c r="AQ37" s="76">
        <f t="shared" si="44"/>
        <v>8333.333333</v>
      </c>
      <c r="AR37" s="76">
        <f t="shared" si="44"/>
        <v>8333.333333</v>
      </c>
      <c r="AS37" s="76">
        <f t="shared" si="44"/>
        <v>8333.333333</v>
      </c>
      <c r="AT37" s="76">
        <f t="shared" si="44"/>
        <v>8333.333333</v>
      </c>
      <c r="AU37" s="76">
        <f t="shared" si="44"/>
        <v>8333.333333</v>
      </c>
      <c r="AV37" s="76">
        <f t="shared" si="44"/>
        <v>8333.333333</v>
      </c>
      <c r="AW37" s="76">
        <f t="shared" si="44"/>
        <v>8333.333333</v>
      </c>
      <c r="AX37" s="76">
        <f t="shared" si="44"/>
        <v>8333.333333</v>
      </c>
      <c r="AY37" s="76">
        <f t="shared" si="44"/>
        <v>8333.333333</v>
      </c>
      <c r="AZ37" s="76">
        <f t="shared" si="44"/>
        <v>8333.333333</v>
      </c>
      <c r="BA37" s="76">
        <f t="shared" si="44"/>
        <v>8333.333333</v>
      </c>
      <c r="BB37" s="76">
        <f t="shared" si="44"/>
        <v>8333.333333</v>
      </c>
      <c r="BC37" s="76">
        <f t="shared" si="44"/>
        <v>8333.333333</v>
      </c>
      <c r="BD37" s="76">
        <f t="shared" si="44"/>
        <v>8333.333333</v>
      </c>
      <c r="BE37" s="76">
        <f t="shared" si="44"/>
        <v>8333.333333</v>
      </c>
      <c r="BF37" s="76">
        <f t="shared" si="44"/>
        <v>8333.333333</v>
      </c>
      <c r="BG37" s="76">
        <f t="shared" si="44"/>
        <v>8333.333333</v>
      </c>
      <c r="BH37" s="76">
        <f t="shared" si="44"/>
        <v>8333.333333</v>
      </c>
      <c r="BI37" s="76">
        <f t="shared" si="44"/>
        <v>8333.333333</v>
      </c>
    </row>
    <row r="38" ht="15.75" customHeight="1">
      <c r="A38" s="7"/>
      <c r="B38" s="7"/>
      <c r="C38" s="1" t="s">
        <v>192</v>
      </c>
      <c r="D38" s="1" t="str">
        <f t="shared" si="38"/>
        <v>Marketing</v>
      </c>
      <c r="E38" s="143">
        <v>100000.0</v>
      </c>
      <c r="F38" s="144">
        <f t="shared" si="43"/>
        <v>44287</v>
      </c>
      <c r="G38" s="141"/>
      <c r="H38" s="142">
        <v>0.09</v>
      </c>
      <c r="I38" s="143">
        <f t="shared" si="39"/>
        <v>333.3333333</v>
      </c>
      <c r="J38" s="143">
        <v>500.0</v>
      </c>
      <c r="K38" s="76">
        <f t="shared" si="5"/>
        <v>833.3333333</v>
      </c>
      <c r="N38" s="76">
        <f t="shared" ref="N38:BI38" si="45">IF($F38=0,0, IF(AND(N$1&gt;=$G38,$G38&lt;&gt;0),0,IF(N$1&gt;=$F38,$E38/12,0)))</f>
        <v>0</v>
      </c>
      <c r="O38" s="76">
        <f t="shared" si="45"/>
        <v>0</v>
      </c>
      <c r="P38" s="76">
        <f t="shared" si="45"/>
        <v>0</v>
      </c>
      <c r="Q38" s="76">
        <f t="shared" si="45"/>
        <v>0</v>
      </c>
      <c r="R38" s="76">
        <f t="shared" si="45"/>
        <v>0</v>
      </c>
      <c r="S38" s="76">
        <f t="shared" si="45"/>
        <v>0</v>
      </c>
      <c r="T38" s="76">
        <f t="shared" si="45"/>
        <v>0</v>
      </c>
      <c r="U38" s="76">
        <f t="shared" si="45"/>
        <v>0</v>
      </c>
      <c r="V38" s="76">
        <f t="shared" si="45"/>
        <v>0</v>
      </c>
      <c r="W38" s="76">
        <f t="shared" si="45"/>
        <v>0</v>
      </c>
      <c r="X38" s="76">
        <f t="shared" si="45"/>
        <v>0</v>
      </c>
      <c r="Y38" s="76">
        <f t="shared" si="45"/>
        <v>8333.333333</v>
      </c>
      <c r="Z38" s="76">
        <f t="shared" si="45"/>
        <v>8333.333333</v>
      </c>
      <c r="AA38" s="76">
        <f t="shared" si="45"/>
        <v>8333.333333</v>
      </c>
      <c r="AB38" s="76">
        <f t="shared" si="45"/>
        <v>8333.333333</v>
      </c>
      <c r="AC38" s="76">
        <f t="shared" si="45"/>
        <v>8333.333333</v>
      </c>
      <c r="AD38" s="76">
        <f t="shared" si="45"/>
        <v>8333.333333</v>
      </c>
      <c r="AE38" s="76">
        <f t="shared" si="45"/>
        <v>8333.333333</v>
      </c>
      <c r="AF38" s="76">
        <f t="shared" si="45"/>
        <v>8333.333333</v>
      </c>
      <c r="AG38" s="76">
        <f t="shared" si="45"/>
        <v>8333.333333</v>
      </c>
      <c r="AH38" s="76">
        <f t="shared" si="45"/>
        <v>8333.333333</v>
      </c>
      <c r="AI38" s="76">
        <f t="shared" si="45"/>
        <v>8333.333333</v>
      </c>
      <c r="AJ38" s="76">
        <f t="shared" si="45"/>
        <v>8333.333333</v>
      </c>
      <c r="AK38" s="76">
        <f t="shared" si="45"/>
        <v>8333.333333</v>
      </c>
      <c r="AL38" s="76">
        <f t="shared" si="45"/>
        <v>8333.333333</v>
      </c>
      <c r="AM38" s="76">
        <f t="shared" si="45"/>
        <v>8333.333333</v>
      </c>
      <c r="AN38" s="76">
        <f t="shared" si="45"/>
        <v>8333.333333</v>
      </c>
      <c r="AO38" s="76">
        <f t="shared" si="45"/>
        <v>8333.333333</v>
      </c>
      <c r="AP38" s="76">
        <f t="shared" si="45"/>
        <v>8333.333333</v>
      </c>
      <c r="AQ38" s="76">
        <f t="shared" si="45"/>
        <v>8333.333333</v>
      </c>
      <c r="AR38" s="76">
        <f t="shared" si="45"/>
        <v>8333.333333</v>
      </c>
      <c r="AS38" s="76">
        <f t="shared" si="45"/>
        <v>8333.333333</v>
      </c>
      <c r="AT38" s="76">
        <f t="shared" si="45"/>
        <v>8333.333333</v>
      </c>
      <c r="AU38" s="76">
        <f t="shared" si="45"/>
        <v>8333.333333</v>
      </c>
      <c r="AV38" s="76">
        <f t="shared" si="45"/>
        <v>8333.333333</v>
      </c>
      <c r="AW38" s="76">
        <f t="shared" si="45"/>
        <v>8333.333333</v>
      </c>
      <c r="AX38" s="76">
        <f t="shared" si="45"/>
        <v>8333.333333</v>
      </c>
      <c r="AY38" s="76">
        <f t="shared" si="45"/>
        <v>8333.333333</v>
      </c>
      <c r="AZ38" s="76">
        <f t="shared" si="45"/>
        <v>8333.333333</v>
      </c>
      <c r="BA38" s="76">
        <f t="shared" si="45"/>
        <v>8333.333333</v>
      </c>
      <c r="BB38" s="76">
        <f t="shared" si="45"/>
        <v>8333.333333</v>
      </c>
      <c r="BC38" s="76">
        <f t="shared" si="45"/>
        <v>8333.333333</v>
      </c>
      <c r="BD38" s="76">
        <f t="shared" si="45"/>
        <v>8333.333333</v>
      </c>
      <c r="BE38" s="76">
        <f t="shared" si="45"/>
        <v>8333.333333</v>
      </c>
      <c r="BF38" s="76">
        <f t="shared" si="45"/>
        <v>8333.333333</v>
      </c>
      <c r="BG38" s="76">
        <f t="shared" si="45"/>
        <v>8333.333333</v>
      </c>
      <c r="BH38" s="76">
        <f t="shared" si="45"/>
        <v>8333.333333</v>
      </c>
      <c r="BI38" s="76">
        <f t="shared" si="45"/>
        <v>8333.333333</v>
      </c>
    </row>
    <row r="39" ht="15.75" customHeight="1">
      <c r="A39" s="7"/>
      <c r="B39" s="7" t="s">
        <v>193</v>
      </c>
      <c r="C39" s="1"/>
      <c r="D39" s="1"/>
      <c r="E39" s="96"/>
      <c r="F39" s="46"/>
      <c r="G39" s="46"/>
      <c r="H39" s="26"/>
      <c r="I39" s="96"/>
      <c r="J39" s="96"/>
      <c r="K39" s="76">
        <f t="shared" si="5"/>
        <v>0</v>
      </c>
      <c r="N39" s="76">
        <f t="shared" ref="N39:BI39" si="46">IF($F39=0,0, IF(AND(N$1&gt;=$G39,$G39&lt;&gt;0),0,IF(N$1&gt;=$F39,$E39/12,0)))</f>
        <v>0</v>
      </c>
      <c r="O39" s="76">
        <f t="shared" si="46"/>
        <v>0</v>
      </c>
      <c r="P39" s="76">
        <f t="shared" si="46"/>
        <v>0</v>
      </c>
      <c r="Q39" s="76">
        <f t="shared" si="46"/>
        <v>0</v>
      </c>
      <c r="R39" s="76">
        <f t="shared" si="46"/>
        <v>0</v>
      </c>
      <c r="S39" s="76">
        <f t="shared" si="46"/>
        <v>0</v>
      </c>
      <c r="T39" s="76">
        <f t="shared" si="46"/>
        <v>0</v>
      </c>
      <c r="U39" s="76">
        <f t="shared" si="46"/>
        <v>0</v>
      </c>
      <c r="V39" s="76">
        <f t="shared" si="46"/>
        <v>0</v>
      </c>
      <c r="W39" s="76">
        <f t="shared" si="46"/>
        <v>0</v>
      </c>
      <c r="X39" s="76">
        <f t="shared" si="46"/>
        <v>0</v>
      </c>
      <c r="Y39" s="76">
        <f t="shared" si="46"/>
        <v>0</v>
      </c>
      <c r="Z39" s="76">
        <f t="shared" si="46"/>
        <v>0</v>
      </c>
      <c r="AA39" s="76">
        <f t="shared" si="46"/>
        <v>0</v>
      </c>
      <c r="AB39" s="76">
        <f t="shared" si="46"/>
        <v>0</v>
      </c>
      <c r="AC39" s="76">
        <f t="shared" si="46"/>
        <v>0</v>
      </c>
      <c r="AD39" s="76">
        <f t="shared" si="46"/>
        <v>0</v>
      </c>
      <c r="AE39" s="76">
        <f t="shared" si="46"/>
        <v>0</v>
      </c>
      <c r="AF39" s="76">
        <f t="shared" si="46"/>
        <v>0</v>
      </c>
      <c r="AG39" s="76">
        <f t="shared" si="46"/>
        <v>0</v>
      </c>
      <c r="AH39" s="76">
        <f t="shared" si="46"/>
        <v>0</v>
      </c>
      <c r="AI39" s="76">
        <f t="shared" si="46"/>
        <v>0</v>
      </c>
      <c r="AJ39" s="76">
        <f t="shared" si="46"/>
        <v>0</v>
      </c>
      <c r="AK39" s="76">
        <f t="shared" si="46"/>
        <v>0</v>
      </c>
      <c r="AL39" s="76">
        <f t="shared" si="46"/>
        <v>0</v>
      </c>
      <c r="AM39" s="76">
        <f t="shared" si="46"/>
        <v>0</v>
      </c>
      <c r="AN39" s="76">
        <f t="shared" si="46"/>
        <v>0</v>
      </c>
      <c r="AO39" s="76">
        <f t="shared" si="46"/>
        <v>0</v>
      </c>
      <c r="AP39" s="76">
        <f t="shared" si="46"/>
        <v>0</v>
      </c>
      <c r="AQ39" s="76">
        <f t="shared" si="46"/>
        <v>0</v>
      </c>
      <c r="AR39" s="76">
        <f t="shared" si="46"/>
        <v>0</v>
      </c>
      <c r="AS39" s="76">
        <f t="shared" si="46"/>
        <v>0</v>
      </c>
      <c r="AT39" s="76">
        <f t="shared" si="46"/>
        <v>0</v>
      </c>
      <c r="AU39" s="76">
        <f t="shared" si="46"/>
        <v>0</v>
      </c>
      <c r="AV39" s="76">
        <f t="shared" si="46"/>
        <v>0</v>
      </c>
      <c r="AW39" s="76">
        <f t="shared" si="46"/>
        <v>0</v>
      </c>
      <c r="AX39" s="76">
        <f t="shared" si="46"/>
        <v>0</v>
      </c>
      <c r="AY39" s="76">
        <f t="shared" si="46"/>
        <v>0</v>
      </c>
      <c r="AZ39" s="76">
        <f t="shared" si="46"/>
        <v>0</v>
      </c>
      <c r="BA39" s="76">
        <f t="shared" si="46"/>
        <v>0</v>
      </c>
      <c r="BB39" s="76">
        <f t="shared" si="46"/>
        <v>0</v>
      </c>
      <c r="BC39" s="76">
        <f t="shared" si="46"/>
        <v>0</v>
      </c>
      <c r="BD39" s="76">
        <f t="shared" si="46"/>
        <v>0</v>
      </c>
      <c r="BE39" s="76">
        <f t="shared" si="46"/>
        <v>0</v>
      </c>
      <c r="BF39" s="76">
        <f t="shared" si="46"/>
        <v>0</v>
      </c>
      <c r="BG39" s="76">
        <f t="shared" si="46"/>
        <v>0</v>
      </c>
      <c r="BH39" s="76">
        <f t="shared" si="46"/>
        <v>0</v>
      </c>
      <c r="BI39" s="76">
        <f t="shared" si="46"/>
        <v>0</v>
      </c>
    </row>
    <row r="40" ht="15.75" customHeight="1">
      <c r="A40" s="1"/>
      <c r="B40" s="1" t="s">
        <v>194</v>
      </c>
      <c r="C40" s="1" t="s">
        <v>195</v>
      </c>
      <c r="D40" s="1" t="str">
        <f t="shared" ref="D40:D51" si="48">$B$39</f>
        <v>Sales</v>
      </c>
      <c r="E40" s="143">
        <v>250000.0</v>
      </c>
      <c r="F40" s="141">
        <v>43466.0</v>
      </c>
      <c r="G40" s="141"/>
      <c r="H40" s="142">
        <v>0.09</v>
      </c>
      <c r="I40" s="143">
        <f t="shared" ref="I40:I51" si="49">0.04*E40/12</f>
        <v>833.3333333</v>
      </c>
      <c r="J40" s="143">
        <v>500.0</v>
      </c>
      <c r="K40" s="76">
        <f t="shared" si="5"/>
        <v>1333.333333</v>
      </c>
      <c r="N40" s="76">
        <f t="shared" ref="N40:BI40" si="47">IF($F40=0,0, IF(AND(N$1&gt;=$G40,$G40&lt;&gt;0),0,IF(N$1&gt;=$F40,$E40/12,0)))</f>
        <v>20833.33333</v>
      </c>
      <c r="O40" s="76">
        <f t="shared" si="47"/>
        <v>20833.33333</v>
      </c>
      <c r="P40" s="76">
        <f t="shared" si="47"/>
        <v>20833.33333</v>
      </c>
      <c r="Q40" s="76">
        <f t="shared" si="47"/>
        <v>20833.33333</v>
      </c>
      <c r="R40" s="76">
        <f t="shared" si="47"/>
        <v>20833.33333</v>
      </c>
      <c r="S40" s="76">
        <f t="shared" si="47"/>
        <v>20833.33333</v>
      </c>
      <c r="T40" s="76">
        <f t="shared" si="47"/>
        <v>20833.33333</v>
      </c>
      <c r="U40" s="76">
        <f t="shared" si="47"/>
        <v>20833.33333</v>
      </c>
      <c r="V40" s="76">
        <f t="shared" si="47"/>
        <v>20833.33333</v>
      </c>
      <c r="W40" s="76">
        <f t="shared" si="47"/>
        <v>20833.33333</v>
      </c>
      <c r="X40" s="76">
        <f t="shared" si="47"/>
        <v>20833.33333</v>
      </c>
      <c r="Y40" s="76">
        <f t="shared" si="47"/>
        <v>20833.33333</v>
      </c>
      <c r="Z40" s="76">
        <f t="shared" si="47"/>
        <v>20833.33333</v>
      </c>
      <c r="AA40" s="76">
        <f t="shared" si="47"/>
        <v>20833.33333</v>
      </c>
      <c r="AB40" s="76">
        <f t="shared" si="47"/>
        <v>20833.33333</v>
      </c>
      <c r="AC40" s="76">
        <f t="shared" si="47"/>
        <v>20833.33333</v>
      </c>
      <c r="AD40" s="76">
        <f t="shared" si="47"/>
        <v>20833.33333</v>
      </c>
      <c r="AE40" s="76">
        <f t="shared" si="47"/>
        <v>20833.33333</v>
      </c>
      <c r="AF40" s="76">
        <f t="shared" si="47"/>
        <v>20833.33333</v>
      </c>
      <c r="AG40" s="76">
        <f t="shared" si="47"/>
        <v>20833.33333</v>
      </c>
      <c r="AH40" s="76">
        <f t="shared" si="47"/>
        <v>20833.33333</v>
      </c>
      <c r="AI40" s="76">
        <f t="shared" si="47"/>
        <v>20833.33333</v>
      </c>
      <c r="AJ40" s="76">
        <f t="shared" si="47"/>
        <v>20833.33333</v>
      </c>
      <c r="AK40" s="76">
        <f t="shared" si="47"/>
        <v>20833.33333</v>
      </c>
      <c r="AL40" s="76">
        <f t="shared" si="47"/>
        <v>20833.33333</v>
      </c>
      <c r="AM40" s="76">
        <f t="shared" si="47"/>
        <v>20833.33333</v>
      </c>
      <c r="AN40" s="76">
        <f t="shared" si="47"/>
        <v>20833.33333</v>
      </c>
      <c r="AO40" s="76">
        <f t="shared" si="47"/>
        <v>20833.33333</v>
      </c>
      <c r="AP40" s="76">
        <f t="shared" si="47"/>
        <v>20833.33333</v>
      </c>
      <c r="AQ40" s="76">
        <f t="shared" si="47"/>
        <v>20833.33333</v>
      </c>
      <c r="AR40" s="76">
        <f t="shared" si="47"/>
        <v>20833.33333</v>
      </c>
      <c r="AS40" s="76">
        <f t="shared" si="47"/>
        <v>20833.33333</v>
      </c>
      <c r="AT40" s="76">
        <f t="shared" si="47"/>
        <v>20833.33333</v>
      </c>
      <c r="AU40" s="76">
        <f t="shared" si="47"/>
        <v>20833.33333</v>
      </c>
      <c r="AV40" s="76">
        <f t="shared" si="47"/>
        <v>20833.33333</v>
      </c>
      <c r="AW40" s="76">
        <f t="shared" si="47"/>
        <v>20833.33333</v>
      </c>
      <c r="AX40" s="76">
        <f t="shared" si="47"/>
        <v>20833.33333</v>
      </c>
      <c r="AY40" s="76">
        <f t="shared" si="47"/>
        <v>20833.33333</v>
      </c>
      <c r="AZ40" s="76">
        <f t="shared" si="47"/>
        <v>20833.33333</v>
      </c>
      <c r="BA40" s="76">
        <f t="shared" si="47"/>
        <v>20833.33333</v>
      </c>
      <c r="BB40" s="76">
        <f t="shared" si="47"/>
        <v>20833.33333</v>
      </c>
      <c r="BC40" s="76">
        <f t="shared" si="47"/>
        <v>20833.33333</v>
      </c>
      <c r="BD40" s="76">
        <f t="shared" si="47"/>
        <v>20833.33333</v>
      </c>
      <c r="BE40" s="76">
        <f t="shared" si="47"/>
        <v>20833.33333</v>
      </c>
      <c r="BF40" s="76">
        <f t="shared" si="47"/>
        <v>20833.33333</v>
      </c>
      <c r="BG40" s="76">
        <f t="shared" si="47"/>
        <v>20833.33333</v>
      </c>
      <c r="BH40" s="76">
        <f t="shared" si="47"/>
        <v>20833.33333</v>
      </c>
      <c r="BI40" s="76">
        <f t="shared" si="47"/>
        <v>20833.33333</v>
      </c>
    </row>
    <row r="41" ht="15.75" customHeight="1">
      <c r="A41" s="1"/>
      <c r="B41" s="1" t="s">
        <v>171</v>
      </c>
      <c r="C41" s="1" t="s">
        <v>196</v>
      </c>
      <c r="D41" s="1" t="str">
        <f t="shared" si="48"/>
        <v>Sales</v>
      </c>
      <c r="E41" s="143">
        <v>80000.0</v>
      </c>
      <c r="F41" s="141">
        <v>43466.0</v>
      </c>
      <c r="G41" s="141"/>
      <c r="H41" s="142">
        <v>0.09</v>
      </c>
      <c r="I41" s="143">
        <f t="shared" si="49"/>
        <v>266.6666667</v>
      </c>
      <c r="J41" s="143">
        <v>500.0</v>
      </c>
      <c r="K41" s="76">
        <f t="shared" si="5"/>
        <v>766.6666667</v>
      </c>
      <c r="N41" s="76">
        <f t="shared" ref="N41:BI41" si="50">IF($F41=0,0, IF(AND(N$1&gt;=$G41,$G41&lt;&gt;0),0,IF(N$1&gt;=$F41,$E41/12,0)))</f>
        <v>6666.666667</v>
      </c>
      <c r="O41" s="76">
        <f t="shared" si="50"/>
        <v>6666.666667</v>
      </c>
      <c r="P41" s="76">
        <f t="shared" si="50"/>
        <v>6666.666667</v>
      </c>
      <c r="Q41" s="76">
        <f t="shared" si="50"/>
        <v>6666.666667</v>
      </c>
      <c r="R41" s="76">
        <f t="shared" si="50"/>
        <v>6666.666667</v>
      </c>
      <c r="S41" s="76">
        <f t="shared" si="50"/>
        <v>6666.666667</v>
      </c>
      <c r="T41" s="76">
        <f t="shared" si="50"/>
        <v>6666.666667</v>
      </c>
      <c r="U41" s="76">
        <f t="shared" si="50"/>
        <v>6666.666667</v>
      </c>
      <c r="V41" s="76">
        <f t="shared" si="50"/>
        <v>6666.666667</v>
      </c>
      <c r="W41" s="76">
        <f t="shared" si="50"/>
        <v>6666.666667</v>
      </c>
      <c r="X41" s="76">
        <f t="shared" si="50"/>
        <v>6666.666667</v>
      </c>
      <c r="Y41" s="76">
        <f t="shared" si="50"/>
        <v>6666.666667</v>
      </c>
      <c r="Z41" s="76">
        <f t="shared" si="50"/>
        <v>6666.666667</v>
      </c>
      <c r="AA41" s="76">
        <f t="shared" si="50"/>
        <v>6666.666667</v>
      </c>
      <c r="AB41" s="76">
        <f t="shared" si="50"/>
        <v>6666.666667</v>
      </c>
      <c r="AC41" s="76">
        <f t="shared" si="50"/>
        <v>6666.666667</v>
      </c>
      <c r="AD41" s="76">
        <f t="shared" si="50"/>
        <v>6666.666667</v>
      </c>
      <c r="AE41" s="76">
        <f t="shared" si="50"/>
        <v>6666.666667</v>
      </c>
      <c r="AF41" s="76">
        <f t="shared" si="50"/>
        <v>6666.666667</v>
      </c>
      <c r="AG41" s="76">
        <f t="shared" si="50"/>
        <v>6666.666667</v>
      </c>
      <c r="AH41" s="76">
        <f t="shared" si="50"/>
        <v>6666.666667</v>
      </c>
      <c r="AI41" s="76">
        <f t="shared" si="50"/>
        <v>6666.666667</v>
      </c>
      <c r="AJ41" s="76">
        <f t="shared" si="50"/>
        <v>6666.666667</v>
      </c>
      <c r="AK41" s="76">
        <f t="shared" si="50"/>
        <v>6666.666667</v>
      </c>
      <c r="AL41" s="76">
        <f t="shared" si="50"/>
        <v>6666.666667</v>
      </c>
      <c r="AM41" s="76">
        <f t="shared" si="50"/>
        <v>6666.666667</v>
      </c>
      <c r="AN41" s="76">
        <f t="shared" si="50"/>
        <v>6666.666667</v>
      </c>
      <c r="AO41" s="76">
        <f t="shared" si="50"/>
        <v>6666.666667</v>
      </c>
      <c r="AP41" s="76">
        <f t="shared" si="50"/>
        <v>6666.666667</v>
      </c>
      <c r="AQ41" s="76">
        <f t="shared" si="50"/>
        <v>6666.666667</v>
      </c>
      <c r="AR41" s="76">
        <f t="shared" si="50"/>
        <v>6666.666667</v>
      </c>
      <c r="AS41" s="76">
        <f t="shared" si="50"/>
        <v>6666.666667</v>
      </c>
      <c r="AT41" s="76">
        <f t="shared" si="50"/>
        <v>6666.666667</v>
      </c>
      <c r="AU41" s="76">
        <f t="shared" si="50"/>
        <v>6666.666667</v>
      </c>
      <c r="AV41" s="76">
        <f t="shared" si="50"/>
        <v>6666.666667</v>
      </c>
      <c r="AW41" s="76">
        <f t="shared" si="50"/>
        <v>6666.666667</v>
      </c>
      <c r="AX41" s="76">
        <f t="shared" si="50"/>
        <v>6666.666667</v>
      </c>
      <c r="AY41" s="76">
        <f t="shared" si="50"/>
        <v>6666.666667</v>
      </c>
      <c r="AZ41" s="76">
        <f t="shared" si="50"/>
        <v>6666.666667</v>
      </c>
      <c r="BA41" s="76">
        <f t="shared" si="50"/>
        <v>6666.666667</v>
      </c>
      <c r="BB41" s="76">
        <f t="shared" si="50"/>
        <v>6666.666667</v>
      </c>
      <c r="BC41" s="76">
        <f t="shared" si="50"/>
        <v>6666.666667</v>
      </c>
      <c r="BD41" s="76">
        <f t="shared" si="50"/>
        <v>6666.666667</v>
      </c>
      <c r="BE41" s="76">
        <f t="shared" si="50"/>
        <v>6666.666667</v>
      </c>
      <c r="BF41" s="76">
        <f t="shared" si="50"/>
        <v>6666.666667</v>
      </c>
      <c r="BG41" s="76">
        <f t="shared" si="50"/>
        <v>6666.666667</v>
      </c>
      <c r="BH41" s="76">
        <f t="shared" si="50"/>
        <v>6666.666667</v>
      </c>
      <c r="BI41" s="76">
        <f t="shared" si="50"/>
        <v>6666.666667</v>
      </c>
    </row>
    <row r="42" ht="15.75" customHeight="1">
      <c r="A42" s="7"/>
      <c r="B42" s="1" t="s">
        <v>197</v>
      </c>
      <c r="C42" s="1" t="s">
        <v>198</v>
      </c>
      <c r="D42" s="1" t="str">
        <f t="shared" si="48"/>
        <v>Sales</v>
      </c>
      <c r="E42" s="143">
        <v>60000.0</v>
      </c>
      <c r="F42" s="141">
        <v>43466.0</v>
      </c>
      <c r="G42" s="141"/>
      <c r="H42" s="142">
        <v>0.09</v>
      </c>
      <c r="I42" s="143">
        <f t="shared" si="49"/>
        <v>200</v>
      </c>
      <c r="J42" s="143">
        <v>500.0</v>
      </c>
      <c r="K42" s="76">
        <f t="shared" si="5"/>
        <v>700</v>
      </c>
      <c r="N42" s="76">
        <f t="shared" ref="N42:BI42" si="51">IF($F42=0,0, IF(AND(N$1&gt;=$G42,$G42&lt;&gt;0),0,IF(N$1&gt;=$F42,$E42/12,0)))</f>
        <v>5000</v>
      </c>
      <c r="O42" s="76">
        <f t="shared" si="51"/>
        <v>5000</v>
      </c>
      <c r="P42" s="76">
        <f t="shared" si="51"/>
        <v>5000</v>
      </c>
      <c r="Q42" s="76">
        <f t="shared" si="51"/>
        <v>5000</v>
      </c>
      <c r="R42" s="76">
        <f t="shared" si="51"/>
        <v>5000</v>
      </c>
      <c r="S42" s="76">
        <f t="shared" si="51"/>
        <v>5000</v>
      </c>
      <c r="T42" s="76">
        <f t="shared" si="51"/>
        <v>5000</v>
      </c>
      <c r="U42" s="76">
        <f t="shared" si="51"/>
        <v>5000</v>
      </c>
      <c r="V42" s="76">
        <f t="shared" si="51"/>
        <v>5000</v>
      </c>
      <c r="W42" s="76">
        <f t="shared" si="51"/>
        <v>5000</v>
      </c>
      <c r="X42" s="76">
        <f t="shared" si="51"/>
        <v>5000</v>
      </c>
      <c r="Y42" s="76">
        <f t="shared" si="51"/>
        <v>5000</v>
      </c>
      <c r="Z42" s="76">
        <f t="shared" si="51"/>
        <v>5000</v>
      </c>
      <c r="AA42" s="76">
        <f t="shared" si="51"/>
        <v>5000</v>
      </c>
      <c r="AB42" s="76">
        <f t="shared" si="51"/>
        <v>5000</v>
      </c>
      <c r="AC42" s="76">
        <f t="shared" si="51"/>
        <v>5000</v>
      </c>
      <c r="AD42" s="76">
        <f t="shared" si="51"/>
        <v>5000</v>
      </c>
      <c r="AE42" s="76">
        <f t="shared" si="51"/>
        <v>5000</v>
      </c>
      <c r="AF42" s="76">
        <f t="shared" si="51"/>
        <v>5000</v>
      </c>
      <c r="AG42" s="76">
        <f t="shared" si="51"/>
        <v>5000</v>
      </c>
      <c r="AH42" s="76">
        <f t="shared" si="51"/>
        <v>5000</v>
      </c>
      <c r="AI42" s="76">
        <f t="shared" si="51"/>
        <v>5000</v>
      </c>
      <c r="AJ42" s="76">
        <f t="shared" si="51"/>
        <v>5000</v>
      </c>
      <c r="AK42" s="76">
        <f t="shared" si="51"/>
        <v>5000</v>
      </c>
      <c r="AL42" s="76">
        <f t="shared" si="51"/>
        <v>5000</v>
      </c>
      <c r="AM42" s="76">
        <f t="shared" si="51"/>
        <v>5000</v>
      </c>
      <c r="AN42" s="76">
        <f t="shared" si="51"/>
        <v>5000</v>
      </c>
      <c r="AO42" s="76">
        <f t="shared" si="51"/>
        <v>5000</v>
      </c>
      <c r="AP42" s="76">
        <f t="shared" si="51"/>
        <v>5000</v>
      </c>
      <c r="AQ42" s="76">
        <f t="shared" si="51"/>
        <v>5000</v>
      </c>
      <c r="AR42" s="76">
        <f t="shared" si="51"/>
        <v>5000</v>
      </c>
      <c r="AS42" s="76">
        <f t="shared" si="51"/>
        <v>5000</v>
      </c>
      <c r="AT42" s="76">
        <f t="shared" si="51"/>
        <v>5000</v>
      </c>
      <c r="AU42" s="76">
        <f t="shared" si="51"/>
        <v>5000</v>
      </c>
      <c r="AV42" s="76">
        <f t="shared" si="51"/>
        <v>5000</v>
      </c>
      <c r="AW42" s="76">
        <f t="shared" si="51"/>
        <v>5000</v>
      </c>
      <c r="AX42" s="76">
        <f t="shared" si="51"/>
        <v>5000</v>
      </c>
      <c r="AY42" s="76">
        <f t="shared" si="51"/>
        <v>5000</v>
      </c>
      <c r="AZ42" s="76">
        <f t="shared" si="51"/>
        <v>5000</v>
      </c>
      <c r="BA42" s="76">
        <f t="shared" si="51"/>
        <v>5000</v>
      </c>
      <c r="BB42" s="76">
        <f t="shared" si="51"/>
        <v>5000</v>
      </c>
      <c r="BC42" s="76">
        <f t="shared" si="51"/>
        <v>5000</v>
      </c>
      <c r="BD42" s="76">
        <f t="shared" si="51"/>
        <v>5000</v>
      </c>
      <c r="BE42" s="76">
        <f t="shared" si="51"/>
        <v>5000</v>
      </c>
      <c r="BF42" s="76">
        <f t="shared" si="51"/>
        <v>5000</v>
      </c>
      <c r="BG42" s="76">
        <f t="shared" si="51"/>
        <v>5000</v>
      </c>
      <c r="BH42" s="76">
        <f t="shared" si="51"/>
        <v>5000</v>
      </c>
      <c r="BI42" s="76">
        <f t="shared" si="51"/>
        <v>5000</v>
      </c>
    </row>
    <row r="43" ht="15.75" customHeight="1">
      <c r="A43" s="7"/>
      <c r="B43" s="1" t="s">
        <v>199</v>
      </c>
      <c r="C43" s="1" t="s">
        <v>198</v>
      </c>
      <c r="D43" s="1" t="str">
        <f t="shared" si="48"/>
        <v>Sales</v>
      </c>
      <c r="E43" s="143">
        <v>60000.0</v>
      </c>
      <c r="F43" s="141">
        <v>43466.0</v>
      </c>
      <c r="G43" s="141"/>
      <c r="H43" s="142">
        <v>0.09</v>
      </c>
      <c r="I43" s="143">
        <f t="shared" si="49"/>
        <v>200</v>
      </c>
      <c r="J43" s="143">
        <v>500.0</v>
      </c>
      <c r="K43" s="76">
        <f t="shared" si="5"/>
        <v>700</v>
      </c>
      <c r="N43" s="76">
        <f t="shared" ref="N43:BI43" si="52">IF($F43=0,0, IF(AND(N$1&gt;=$G43,$G43&lt;&gt;0),0,IF(N$1&gt;=$F43,$E43/12,0)))</f>
        <v>5000</v>
      </c>
      <c r="O43" s="76">
        <f t="shared" si="52"/>
        <v>5000</v>
      </c>
      <c r="P43" s="76">
        <f t="shared" si="52"/>
        <v>5000</v>
      </c>
      <c r="Q43" s="76">
        <f t="shared" si="52"/>
        <v>5000</v>
      </c>
      <c r="R43" s="76">
        <f t="shared" si="52"/>
        <v>5000</v>
      </c>
      <c r="S43" s="76">
        <f t="shared" si="52"/>
        <v>5000</v>
      </c>
      <c r="T43" s="76">
        <f t="shared" si="52"/>
        <v>5000</v>
      </c>
      <c r="U43" s="76">
        <f t="shared" si="52"/>
        <v>5000</v>
      </c>
      <c r="V43" s="76">
        <f t="shared" si="52"/>
        <v>5000</v>
      </c>
      <c r="W43" s="76">
        <f t="shared" si="52"/>
        <v>5000</v>
      </c>
      <c r="X43" s="76">
        <f t="shared" si="52"/>
        <v>5000</v>
      </c>
      <c r="Y43" s="76">
        <f t="shared" si="52"/>
        <v>5000</v>
      </c>
      <c r="Z43" s="76">
        <f t="shared" si="52"/>
        <v>5000</v>
      </c>
      <c r="AA43" s="76">
        <f t="shared" si="52"/>
        <v>5000</v>
      </c>
      <c r="AB43" s="76">
        <f t="shared" si="52"/>
        <v>5000</v>
      </c>
      <c r="AC43" s="76">
        <f t="shared" si="52"/>
        <v>5000</v>
      </c>
      <c r="AD43" s="76">
        <f t="shared" si="52"/>
        <v>5000</v>
      </c>
      <c r="AE43" s="76">
        <f t="shared" si="52"/>
        <v>5000</v>
      </c>
      <c r="AF43" s="76">
        <f t="shared" si="52"/>
        <v>5000</v>
      </c>
      <c r="AG43" s="76">
        <f t="shared" si="52"/>
        <v>5000</v>
      </c>
      <c r="AH43" s="76">
        <f t="shared" si="52"/>
        <v>5000</v>
      </c>
      <c r="AI43" s="76">
        <f t="shared" si="52"/>
        <v>5000</v>
      </c>
      <c r="AJ43" s="76">
        <f t="shared" si="52"/>
        <v>5000</v>
      </c>
      <c r="AK43" s="76">
        <f t="shared" si="52"/>
        <v>5000</v>
      </c>
      <c r="AL43" s="76">
        <f t="shared" si="52"/>
        <v>5000</v>
      </c>
      <c r="AM43" s="76">
        <f t="shared" si="52"/>
        <v>5000</v>
      </c>
      <c r="AN43" s="76">
        <f t="shared" si="52"/>
        <v>5000</v>
      </c>
      <c r="AO43" s="76">
        <f t="shared" si="52"/>
        <v>5000</v>
      </c>
      <c r="AP43" s="76">
        <f t="shared" si="52"/>
        <v>5000</v>
      </c>
      <c r="AQ43" s="76">
        <f t="shared" si="52"/>
        <v>5000</v>
      </c>
      <c r="AR43" s="76">
        <f t="shared" si="52"/>
        <v>5000</v>
      </c>
      <c r="AS43" s="76">
        <f t="shared" si="52"/>
        <v>5000</v>
      </c>
      <c r="AT43" s="76">
        <f t="shared" si="52"/>
        <v>5000</v>
      </c>
      <c r="AU43" s="76">
        <f t="shared" si="52"/>
        <v>5000</v>
      </c>
      <c r="AV43" s="76">
        <f t="shared" si="52"/>
        <v>5000</v>
      </c>
      <c r="AW43" s="76">
        <f t="shared" si="52"/>
        <v>5000</v>
      </c>
      <c r="AX43" s="76">
        <f t="shared" si="52"/>
        <v>5000</v>
      </c>
      <c r="AY43" s="76">
        <f t="shared" si="52"/>
        <v>5000</v>
      </c>
      <c r="AZ43" s="76">
        <f t="shared" si="52"/>
        <v>5000</v>
      </c>
      <c r="BA43" s="76">
        <f t="shared" si="52"/>
        <v>5000</v>
      </c>
      <c r="BB43" s="76">
        <f t="shared" si="52"/>
        <v>5000</v>
      </c>
      <c r="BC43" s="76">
        <f t="shared" si="52"/>
        <v>5000</v>
      </c>
      <c r="BD43" s="76">
        <f t="shared" si="52"/>
        <v>5000</v>
      </c>
      <c r="BE43" s="76">
        <f t="shared" si="52"/>
        <v>5000</v>
      </c>
      <c r="BF43" s="76">
        <f t="shared" si="52"/>
        <v>5000</v>
      </c>
      <c r="BG43" s="76">
        <f t="shared" si="52"/>
        <v>5000</v>
      </c>
      <c r="BH43" s="76">
        <f t="shared" si="52"/>
        <v>5000</v>
      </c>
      <c r="BI43" s="76">
        <f t="shared" si="52"/>
        <v>5000</v>
      </c>
    </row>
    <row r="44" ht="15.75" customHeight="1">
      <c r="A44" s="7"/>
      <c r="B44" s="7"/>
      <c r="C44" s="1" t="s">
        <v>200</v>
      </c>
      <c r="D44" s="1" t="str">
        <f t="shared" si="48"/>
        <v>Sales</v>
      </c>
      <c r="E44" s="143">
        <v>60000.0</v>
      </c>
      <c r="F44" s="144">
        <v>44105.0</v>
      </c>
      <c r="G44" s="141"/>
      <c r="H44" s="142">
        <v>0.09</v>
      </c>
      <c r="I44" s="143">
        <f t="shared" si="49"/>
        <v>200</v>
      </c>
      <c r="J44" s="143">
        <v>500.0</v>
      </c>
      <c r="K44" s="76">
        <f t="shared" si="5"/>
        <v>700</v>
      </c>
      <c r="N44" s="76">
        <f t="shared" ref="N44:BI44" si="53">IF($F44=0,0, IF(AND(N$1&gt;=$G44,$G44&lt;&gt;0),0,IF(N$1&gt;=$F44,$E44/12,0)))</f>
        <v>0</v>
      </c>
      <c r="O44" s="76">
        <f t="shared" si="53"/>
        <v>0</v>
      </c>
      <c r="P44" s="76">
        <f t="shared" si="53"/>
        <v>0</v>
      </c>
      <c r="Q44" s="76">
        <f t="shared" si="53"/>
        <v>0</v>
      </c>
      <c r="R44" s="76">
        <f t="shared" si="53"/>
        <v>0</v>
      </c>
      <c r="S44" s="76">
        <f t="shared" si="53"/>
        <v>5000</v>
      </c>
      <c r="T44" s="76">
        <f t="shared" si="53"/>
        <v>5000</v>
      </c>
      <c r="U44" s="76">
        <f t="shared" si="53"/>
        <v>5000</v>
      </c>
      <c r="V44" s="76">
        <f t="shared" si="53"/>
        <v>5000</v>
      </c>
      <c r="W44" s="76">
        <f t="shared" si="53"/>
        <v>5000</v>
      </c>
      <c r="X44" s="76">
        <f t="shared" si="53"/>
        <v>5000</v>
      </c>
      <c r="Y44" s="76">
        <f t="shared" si="53"/>
        <v>5000</v>
      </c>
      <c r="Z44" s="76">
        <f t="shared" si="53"/>
        <v>5000</v>
      </c>
      <c r="AA44" s="76">
        <f t="shared" si="53"/>
        <v>5000</v>
      </c>
      <c r="AB44" s="76">
        <f t="shared" si="53"/>
        <v>5000</v>
      </c>
      <c r="AC44" s="76">
        <f t="shared" si="53"/>
        <v>5000</v>
      </c>
      <c r="AD44" s="76">
        <f t="shared" si="53"/>
        <v>5000</v>
      </c>
      <c r="AE44" s="76">
        <f t="shared" si="53"/>
        <v>5000</v>
      </c>
      <c r="AF44" s="76">
        <f t="shared" si="53"/>
        <v>5000</v>
      </c>
      <c r="AG44" s="76">
        <f t="shared" si="53"/>
        <v>5000</v>
      </c>
      <c r="AH44" s="76">
        <f t="shared" si="53"/>
        <v>5000</v>
      </c>
      <c r="AI44" s="76">
        <f t="shared" si="53"/>
        <v>5000</v>
      </c>
      <c r="AJ44" s="76">
        <f t="shared" si="53"/>
        <v>5000</v>
      </c>
      <c r="AK44" s="76">
        <f t="shared" si="53"/>
        <v>5000</v>
      </c>
      <c r="AL44" s="76">
        <f t="shared" si="53"/>
        <v>5000</v>
      </c>
      <c r="AM44" s="76">
        <f t="shared" si="53"/>
        <v>5000</v>
      </c>
      <c r="AN44" s="76">
        <f t="shared" si="53"/>
        <v>5000</v>
      </c>
      <c r="AO44" s="76">
        <f t="shared" si="53"/>
        <v>5000</v>
      </c>
      <c r="AP44" s="76">
        <f t="shared" si="53"/>
        <v>5000</v>
      </c>
      <c r="AQ44" s="76">
        <f t="shared" si="53"/>
        <v>5000</v>
      </c>
      <c r="AR44" s="76">
        <f t="shared" si="53"/>
        <v>5000</v>
      </c>
      <c r="AS44" s="76">
        <f t="shared" si="53"/>
        <v>5000</v>
      </c>
      <c r="AT44" s="76">
        <f t="shared" si="53"/>
        <v>5000</v>
      </c>
      <c r="AU44" s="76">
        <f t="shared" si="53"/>
        <v>5000</v>
      </c>
      <c r="AV44" s="76">
        <f t="shared" si="53"/>
        <v>5000</v>
      </c>
      <c r="AW44" s="76">
        <f t="shared" si="53"/>
        <v>5000</v>
      </c>
      <c r="AX44" s="76">
        <f t="shared" si="53"/>
        <v>5000</v>
      </c>
      <c r="AY44" s="76">
        <f t="shared" si="53"/>
        <v>5000</v>
      </c>
      <c r="AZ44" s="76">
        <f t="shared" si="53"/>
        <v>5000</v>
      </c>
      <c r="BA44" s="76">
        <f t="shared" si="53"/>
        <v>5000</v>
      </c>
      <c r="BB44" s="76">
        <f t="shared" si="53"/>
        <v>5000</v>
      </c>
      <c r="BC44" s="76">
        <f t="shared" si="53"/>
        <v>5000</v>
      </c>
      <c r="BD44" s="76">
        <f t="shared" si="53"/>
        <v>5000</v>
      </c>
      <c r="BE44" s="76">
        <f t="shared" si="53"/>
        <v>5000</v>
      </c>
      <c r="BF44" s="76">
        <f t="shared" si="53"/>
        <v>5000</v>
      </c>
      <c r="BG44" s="76">
        <f t="shared" si="53"/>
        <v>5000</v>
      </c>
      <c r="BH44" s="76">
        <f t="shared" si="53"/>
        <v>5000</v>
      </c>
      <c r="BI44" s="76">
        <f t="shared" si="53"/>
        <v>5000</v>
      </c>
    </row>
    <row r="45" ht="15.75" customHeight="1">
      <c r="A45" s="7"/>
      <c r="B45" s="7"/>
      <c r="C45" s="1" t="s">
        <v>201</v>
      </c>
      <c r="D45" s="1" t="str">
        <f t="shared" si="48"/>
        <v>Sales</v>
      </c>
      <c r="E45" s="143">
        <v>60000.0</v>
      </c>
      <c r="F45" s="144">
        <f t="shared" ref="F45:F47" si="55">EDATE(F44,2)</f>
        <v>44166</v>
      </c>
      <c r="G45" s="141"/>
      <c r="H45" s="142">
        <v>0.09</v>
      </c>
      <c r="I45" s="143">
        <f t="shared" si="49"/>
        <v>200</v>
      </c>
      <c r="J45" s="143">
        <v>500.0</v>
      </c>
      <c r="K45" s="76">
        <f t="shared" si="5"/>
        <v>700</v>
      </c>
      <c r="N45" s="76">
        <f t="shared" ref="N45:BI45" si="54">IF($F45=0,0, IF(AND(N$1&gt;=$G45,$G45&lt;&gt;0),0,IF(N$1&gt;=$F45,$E45/12,0)))</f>
        <v>0</v>
      </c>
      <c r="O45" s="76">
        <f t="shared" si="54"/>
        <v>0</v>
      </c>
      <c r="P45" s="76">
        <f t="shared" si="54"/>
        <v>0</v>
      </c>
      <c r="Q45" s="76">
        <f t="shared" si="54"/>
        <v>0</v>
      </c>
      <c r="R45" s="76">
        <f t="shared" si="54"/>
        <v>0</v>
      </c>
      <c r="S45" s="76">
        <f t="shared" si="54"/>
        <v>0</v>
      </c>
      <c r="T45" s="76">
        <f t="shared" si="54"/>
        <v>0</v>
      </c>
      <c r="U45" s="76">
        <f t="shared" si="54"/>
        <v>5000</v>
      </c>
      <c r="V45" s="76">
        <f t="shared" si="54"/>
        <v>5000</v>
      </c>
      <c r="W45" s="76">
        <f t="shared" si="54"/>
        <v>5000</v>
      </c>
      <c r="X45" s="76">
        <f t="shared" si="54"/>
        <v>5000</v>
      </c>
      <c r="Y45" s="76">
        <f t="shared" si="54"/>
        <v>5000</v>
      </c>
      <c r="Z45" s="76">
        <f t="shared" si="54"/>
        <v>5000</v>
      </c>
      <c r="AA45" s="76">
        <f t="shared" si="54"/>
        <v>5000</v>
      </c>
      <c r="AB45" s="76">
        <f t="shared" si="54"/>
        <v>5000</v>
      </c>
      <c r="AC45" s="76">
        <f t="shared" si="54"/>
        <v>5000</v>
      </c>
      <c r="AD45" s="76">
        <f t="shared" si="54"/>
        <v>5000</v>
      </c>
      <c r="AE45" s="76">
        <f t="shared" si="54"/>
        <v>5000</v>
      </c>
      <c r="AF45" s="76">
        <f t="shared" si="54"/>
        <v>5000</v>
      </c>
      <c r="AG45" s="76">
        <f t="shared" si="54"/>
        <v>5000</v>
      </c>
      <c r="AH45" s="76">
        <f t="shared" si="54"/>
        <v>5000</v>
      </c>
      <c r="AI45" s="76">
        <f t="shared" si="54"/>
        <v>5000</v>
      </c>
      <c r="AJ45" s="76">
        <f t="shared" si="54"/>
        <v>5000</v>
      </c>
      <c r="AK45" s="76">
        <f t="shared" si="54"/>
        <v>5000</v>
      </c>
      <c r="AL45" s="76">
        <f t="shared" si="54"/>
        <v>5000</v>
      </c>
      <c r="AM45" s="76">
        <f t="shared" si="54"/>
        <v>5000</v>
      </c>
      <c r="AN45" s="76">
        <f t="shared" si="54"/>
        <v>5000</v>
      </c>
      <c r="AO45" s="76">
        <f t="shared" si="54"/>
        <v>5000</v>
      </c>
      <c r="AP45" s="76">
        <f t="shared" si="54"/>
        <v>5000</v>
      </c>
      <c r="AQ45" s="76">
        <f t="shared" si="54"/>
        <v>5000</v>
      </c>
      <c r="AR45" s="76">
        <f t="shared" si="54"/>
        <v>5000</v>
      </c>
      <c r="AS45" s="76">
        <f t="shared" si="54"/>
        <v>5000</v>
      </c>
      <c r="AT45" s="76">
        <f t="shared" si="54"/>
        <v>5000</v>
      </c>
      <c r="AU45" s="76">
        <f t="shared" si="54"/>
        <v>5000</v>
      </c>
      <c r="AV45" s="76">
        <f t="shared" si="54"/>
        <v>5000</v>
      </c>
      <c r="AW45" s="76">
        <f t="shared" si="54"/>
        <v>5000</v>
      </c>
      <c r="AX45" s="76">
        <f t="shared" si="54"/>
        <v>5000</v>
      </c>
      <c r="AY45" s="76">
        <f t="shared" si="54"/>
        <v>5000</v>
      </c>
      <c r="AZ45" s="76">
        <f t="shared" si="54"/>
        <v>5000</v>
      </c>
      <c r="BA45" s="76">
        <f t="shared" si="54"/>
        <v>5000</v>
      </c>
      <c r="BB45" s="76">
        <f t="shared" si="54"/>
        <v>5000</v>
      </c>
      <c r="BC45" s="76">
        <f t="shared" si="54"/>
        <v>5000</v>
      </c>
      <c r="BD45" s="76">
        <f t="shared" si="54"/>
        <v>5000</v>
      </c>
      <c r="BE45" s="76">
        <f t="shared" si="54"/>
        <v>5000</v>
      </c>
      <c r="BF45" s="76">
        <f t="shared" si="54"/>
        <v>5000</v>
      </c>
      <c r="BG45" s="76">
        <f t="shared" si="54"/>
        <v>5000</v>
      </c>
      <c r="BH45" s="76">
        <f t="shared" si="54"/>
        <v>5000</v>
      </c>
      <c r="BI45" s="76">
        <f t="shared" si="54"/>
        <v>5000</v>
      </c>
    </row>
    <row r="46" ht="15.75" customHeight="1">
      <c r="A46" s="7"/>
      <c r="B46" s="7"/>
      <c r="C46" s="1" t="s">
        <v>202</v>
      </c>
      <c r="D46" s="1" t="str">
        <f t="shared" si="48"/>
        <v>Sales</v>
      </c>
      <c r="E46" s="143">
        <v>60000.0</v>
      </c>
      <c r="F46" s="144">
        <f t="shared" si="55"/>
        <v>44228</v>
      </c>
      <c r="G46" s="141"/>
      <c r="H46" s="142">
        <v>0.09</v>
      </c>
      <c r="I46" s="143">
        <f t="shared" si="49"/>
        <v>200</v>
      </c>
      <c r="J46" s="143">
        <v>500.0</v>
      </c>
      <c r="K46" s="76">
        <f t="shared" si="5"/>
        <v>700</v>
      </c>
      <c r="N46" s="76">
        <f t="shared" ref="N46:BI46" si="56">IF($F46=0,0, IF(AND(N$1&gt;=$G46,$G46&lt;&gt;0),0,IF(N$1&gt;=$F46,$E46/12,0)))</f>
        <v>0</v>
      </c>
      <c r="O46" s="76">
        <f t="shared" si="56"/>
        <v>0</v>
      </c>
      <c r="P46" s="76">
        <f t="shared" si="56"/>
        <v>0</v>
      </c>
      <c r="Q46" s="76">
        <f t="shared" si="56"/>
        <v>0</v>
      </c>
      <c r="R46" s="76">
        <f t="shared" si="56"/>
        <v>0</v>
      </c>
      <c r="S46" s="76">
        <f t="shared" si="56"/>
        <v>0</v>
      </c>
      <c r="T46" s="76">
        <f t="shared" si="56"/>
        <v>0</v>
      </c>
      <c r="U46" s="76">
        <f t="shared" si="56"/>
        <v>0</v>
      </c>
      <c r="V46" s="76">
        <f t="shared" si="56"/>
        <v>0</v>
      </c>
      <c r="W46" s="76">
        <f t="shared" si="56"/>
        <v>5000</v>
      </c>
      <c r="X46" s="76">
        <f t="shared" si="56"/>
        <v>5000</v>
      </c>
      <c r="Y46" s="76">
        <f t="shared" si="56"/>
        <v>5000</v>
      </c>
      <c r="Z46" s="76">
        <f t="shared" si="56"/>
        <v>5000</v>
      </c>
      <c r="AA46" s="76">
        <f t="shared" si="56"/>
        <v>5000</v>
      </c>
      <c r="AB46" s="76">
        <f t="shared" si="56"/>
        <v>5000</v>
      </c>
      <c r="AC46" s="76">
        <f t="shared" si="56"/>
        <v>5000</v>
      </c>
      <c r="AD46" s="76">
        <f t="shared" si="56"/>
        <v>5000</v>
      </c>
      <c r="AE46" s="76">
        <f t="shared" si="56"/>
        <v>5000</v>
      </c>
      <c r="AF46" s="76">
        <f t="shared" si="56"/>
        <v>5000</v>
      </c>
      <c r="AG46" s="76">
        <f t="shared" si="56"/>
        <v>5000</v>
      </c>
      <c r="AH46" s="76">
        <f t="shared" si="56"/>
        <v>5000</v>
      </c>
      <c r="AI46" s="76">
        <f t="shared" si="56"/>
        <v>5000</v>
      </c>
      <c r="AJ46" s="76">
        <f t="shared" si="56"/>
        <v>5000</v>
      </c>
      <c r="AK46" s="76">
        <f t="shared" si="56"/>
        <v>5000</v>
      </c>
      <c r="AL46" s="76">
        <f t="shared" si="56"/>
        <v>5000</v>
      </c>
      <c r="AM46" s="76">
        <f t="shared" si="56"/>
        <v>5000</v>
      </c>
      <c r="AN46" s="76">
        <f t="shared" si="56"/>
        <v>5000</v>
      </c>
      <c r="AO46" s="76">
        <f t="shared" si="56"/>
        <v>5000</v>
      </c>
      <c r="AP46" s="76">
        <f t="shared" si="56"/>
        <v>5000</v>
      </c>
      <c r="AQ46" s="76">
        <f t="shared" si="56"/>
        <v>5000</v>
      </c>
      <c r="AR46" s="76">
        <f t="shared" si="56"/>
        <v>5000</v>
      </c>
      <c r="AS46" s="76">
        <f t="shared" si="56"/>
        <v>5000</v>
      </c>
      <c r="AT46" s="76">
        <f t="shared" si="56"/>
        <v>5000</v>
      </c>
      <c r="AU46" s="76">
        <f t="shared" si="56"/>
        <v>5000</v>
      </c>
      <c r="AV46" s="76">
        <f t="shared" si="56"/>
        <v>5000</v>
      </c>
      <c r="AW46" s="76">
        <f t="shared" si="56"/>
        <v>5000</v>
      </c>
      <c r="AX46" s="76">
        <f t="shared" si="56"/>
        <v>5000</v>
      </c>
      <c r="AY46" s="76">
        <f t="shared" si="56"/>
        <v>5000</v>
      </c>
      <c r="AZ46" s="76">
        <f t="shared" si="56"/>
        <v>5000</v>
      </c>
      <c r="BA46" s="76">
        <f t="shared" si="56"/>
        <v>5000</v>
      </c>
      <c r="BB46" s="76">
        <f t="shared" si="56"/>
        <v>5000</v>
      </c>
      <c r="BC46" s="76">
        <f t="shared" si="56"/>
        <v>5000</v>
      </c>
      <c r="BD46" s="76">
        <f t="shared" si="56"/>
        <v>5000</v>
      </c>
      <c r="BE46" s="76">
        <f t="shared" si="56"/>
        <v>5000</v>
      </c>
      <c r="BF46" s="76">
        <f t="shared" si="56"/>
        <v>5000</v>
      </c>
      <c r="BG46" s="76">
        <f t="shared" si="56"/>
        <v>5000</v>
      </c>
      <c r="BH46" s="76">
        <f t="shared" si="56"/>
        <v>5000</v>
      </c>
      <c r="BI46" s="76">
        <f t="shared" si="56"/>
        <v>5000</v>
      </c>
    </row>
    <row r="47" ht="15.75" customHeight="1">
      <c r="A47" s="7"/>
      <c r="B47" s="7"/>
      <c r="C47" s="1" t="s">
        <v>203</v>
      </c>
      <c r="D47" s="1" t="str">
        <f t="shared" si="48"/>
        <v>Sales</v>
      </c>
      <c r="E47" s="145">
        <v>60000.0</v>
      </c>
      <c r="F47" s="144">
        <f t="shared" si="55"/>
        <v>44287</v>
      </c>
      <c r="G47" s="141"/>
      <c r="H47" s="142">
        <v>0.09</v>
      </c>
      <c r="I47" s="143">
        <f t="shared" si="49"/>
        <v>200</v>
      </c>
      <c r="J47" s="145">
        <v>500.0</v>
      </c>
      <c r="K47" s="76">
        <f t="shared" si="5"/>
        <v>700</v>
      </c>
      <c r="N47" s="76">
        <f t="shared" ref="N47:BI47" si="57">IF($F47=0,0, IF(AND(N$1&gt;=$G47,$G47&lt;&gt;0),0,IF(N$1&gt;=$F47,$E47/12,0)))</f>
        <v>0</v>
      </c>
      <c r="O47" s="76">
        <f t="shared" si="57"/>
        <v>0</v>
      </c>
      <c r="P47" s="76">
        <f t="shared" si="57"/>
        <v>0</v>
      </c>
      <c r="Q47" s="76">
        <f t="shared" si="57"/>
        <v>0</v>
      </c>
      <c r="R47" s="76">
        <f t="shared" si="57"/>
        <v>0</v>
      </c>
      <c r="S47" s="76">
        <f t="shared" si="57"/>
        <v>0</v>
      </c>
      <c r="T47" s="76">
        <f t="shared" si="57"/>
        <v>0</v>
      </c>
      <c r="U47" s="76">
        <f t="shared" si="57"/>
        <v>0</v>
      </c>
      <c r="V47" s="76">
        <f t="shared" si="57"/>
        <v>0</v>
      </c>
      <c r="W47" s="76">
        <f t="shared" si="57"/>
        <v>0</v>
      </c>
      <c r="X47" s="76">
        <f t="shared" si="57"/>
        <v>0</v>
      </c>
      <c r="Y47" s="76">
        <f t="shared" si="57"/>
        <v>5000</v>
      </c>
      <c r="Z47" s="76">
        <f t="shared" si="57"/>
        <v>5000</v>
      </c>
      <c r="AA47" s="76">
        <f t="shared" si="57"/>
        <v>5000</v>
      </c>
      <c r="AB47" s="76">
        <f t="shared" si="57"/>
        <v>5000</v>
      </c>
      <c r="AC47" s="76">
        <f t="shared" si="57"/>
        <v>5000</v>
      </c>
      <c r="AD47" s="76">
        <f t="shared" si="57"/>
        <v>5000</v>
      </c>
      <c r="AE47" s="76">
        <f t="shared" si="57"/>
        <v>5000</v>
      </c>
      <c r="AF47" s="76">
        <f t="shared" si="57"/>
        <v>5000</v>
      </c>
      <c r="AG47" s="76">
        <f t="shared" si="57"/>
        <v>5000</v>
      </c>
      <c r="AH47" s="76">
        <f t="shared" si="57"/>
        <v>5000</v>
      </c>
      <c r="AI47" s="76">
        <f t="shared" si="57"/>
        <v>5000</v>
      </c>
      <c r="AJ47" s="76">
        <f t="shared" si="57"/>
        <v>5000</v>
      </c>
      <c r="AK47" s="76">
        <f t="shared" si="57"/>
        <v>5000</v>
      </c>
      <c r="AL47" s="76">
        <f t="shared" si="57"/>
        <v>5000</v>
      </c>
      <c r="AM47" s="76">
        <f t="shared" si="57"/>
        <v>5000</v>
      </c>
      <c r="AN47" s="76">
        <f t="shared" si="57"/>
        <v>5000</v>
      </c>
      <c r="AO47" s="76">
        <f t="shared" si="57"/>
        <v>5000</v>
      </c>
      <c r="AP47" s="76">
        <f t="shared" si="57"/>
        <v>5000</v>
      </c>
      <c r="AQ47" s="76">
        <f t="shared" si="57"/>
        <v>5000</v>
      </c>
      <c r="AR47" s="76">
        <f t="shared" si="57"/>
        <v>5000</v>
      </c>
      <c r="AS47" s="76">
        <f t="shared" si="57"/>
        <v>5000</v>
      </c>
      <c r="AT47" s="76">
        <f t="shared" si="57"/>
        <v>5000</v>
      </c>
      <c r="AU47" s="76">
        <f t="shared" si="57"/>
        <v>5000</v>
      </c>
      <c r="AV47" s="76">
        <f t="shared" si="57"/>
        <v>5000</v>
      </c>
      <c r="AW47" s="76">
        <f t="shared" si="57"/>
        <v>5000</v>
      </c>
      <c r="AX47" s="76">
        <f t="shared" si="57"/>
        <v>5000</v>
      </c>
      <c r="AY47" s="76">
        <f t="shared" si="57"/>
        <v>5000</v>
      </c>
      <c r="AZ47" s="76">
        <f t="shared" si="57"/>
        <v>5000</v>
      </c>
      <c r="BA47" s="76">
        <f t="shared" si="57"/>
        <v>5000</v>
      </c>
      <c r="BB47" s="76">
        <f t="shared" si="57"/>
        <v>5000</v>
      </c>
      <c r="BC47" s="76">
        <f t="shared" si="57"/>
        <v>5000</v>
      </c>
      <c r="BD47" s="76">
        <f t="shared" si="57"/>
        <v>5000</v>
      </c>
      <c r="BE47" s="76">
        <f t="shared" si="57"/>
        <v>5000</v>
      </c>
      <c r="BF47" s="76">
        <f t="shared" si="57"/>
        <v>5000</v>
      </c>
      <c r="BG47" s="76">
        <f t="shared" si="57"/>
        <v>5000</v>
      </c>
      <c r="BH47" s="76">
        <f t="shared" si="57"/>
        <v>5000</v>
      </c>
      <c r="BI47" s="76">
        <f t="shared" si="57"/>
        <v>5000</v>
      </c>
    </row>
    <row r="48" ht="15.75" customHeight="1">
      <c r="A48" s="7"/>
      <c r="B48" s="7"/>
      <c r="C48" s="1" t="s">
        <v>204</v>
      </c>
      <c r="D48" s="1" t="str">
        <f t="shared" si="48"/>
        <v>Sales</v>
      </c>
      <c r="E48" s="143">
        <v>160000.0</v>
      </c>
      <c r="F48" s="144">
        <v>44105.0</v>
      </c>
      <c r="G48" s="141"/>
      <c r="H48" s="142">
        <v>0.09</v>
      </c>
      <c r="I48" s="143">
        <f t="shared" si="49"/>
        <v>533.3333333</v>
      </c>
      <c r="J48" s="143">
        <v>500.0</v>
      </c>
      <c r="K48" s="76">
        <f t="shared" si="5"/>
        <v>1033.333333</v>
      </c>
      <c r="N48" s="76">
        <f t="shared" ref="N48:BI48" si="58">IF($F48=0,0, IF(AND(N$1&gt;=$G48,$G48&lt;&gt;0),0,IF(N$1&gt;=$F48,$E48/12,0)))</f>
        <v>0</v>
      </c>
      <c r="O48" s="76">
        <f t="shared" si="58"/>
        <v>0</v>
      </c>
      <c r="P48" s="76">
        <f t="shared" si="58"/>
        <v>0</v>
      </c>
      <c r="Q48" s="76">
        <f t="shared" si="58"/>
        <v>0</v>
      </c>
      <c r="R48" s="76">
        <f t="shared" si="58"/>
        <v>0</v>
      </c>
      <c r="S48" s="76">
        <f t="shared" si="58"/>
        <v>13333.33333</v>
      </c>
      <c r="T48" s="76">
        <f t="shared" si="58"/>
        <v>13333.33333</v>
      </c>
      <c r="U48" s="76">
        <f t="shared" si="58"/>
        <v>13333.33333</v>
      </c>
      <c r="V48" s="76">
        <f t="shared" si="58"/>
        <v>13333.33333</v>
      </c>
      <c r="W48" s="76">
        <f t="shared" si="58"/>
        <v>13333.33333</v>
      </c>
      <c r="X48" s="76">
        <f t="shared" si="58"/>
        <v>13333.33333</v>
      </c>
      <c r="Y48" s="76">
        <f t="shared" si="58"/>
        <v>13333.33333</v>
      </c>
      <c r="Z48" s="76">
        <f t="shared" si="58"/>
        <v>13333.33333</v>
      </c>
      <c r="AA48" s="76">
        <f t="shared" si="58"/>
        <v>13333.33333</v>
      </c>
      <c r="AB48" s="76">
        <f t="shared" si="58"/>
        <v>13333.33333</v>
      </c>
      <c r="AC48" s="76">
        <f t="shared" si="58"/>
        <v>13333.33333</v>
      </c>
      <c r="AD48" s="76">
        <f t="shared" si="58"/>
        <v>13333.33333</v>
      </c>
      <c r="AE48" s="76">
        <f t="shared" si="58"/>
        <v>13333.33333</v>
      </c>
      <c r="AF48" s="76">
        <f t="shared" si="58"/>
        <v>13333.33333</v>
      </c>
      <c r="AG48" s="76">
        <f t="shared" si="58"/>
        <v>13333.33333</v>
      </c>
      <c r="AH48" s="76">
        <f t="shared" si="58"/>
        <v>13333.33333</v>
      </c>
      <c r="AI48" s="76">
        <f t="shared" si="58"/>
        <v>13333.33333</v>
      </c>
      <c r="AJ48" s="76">
        <f t="shared" si="58"/>
        <v>13333.33333</v>
      </c>
      <c r="AK48" s="76">
        <f t="shared" si="58"/>
        <v>13333.33333</v>
      </c>
      <c r="AL48" s="76">
        <f t="shared" si="58"/>
        <v>13333.33333</v>
      </c>
      <c r="AM48" s="76">
        <f t="shared" si="58"/>
        <v>13333.33333</v>
      </c>
      <c r="AN48" s="76">
        <f t="shared" si="58"/>
        <v>13333.33333</v>
      </c>
      <c r="AO48" s="76">
        <f t="shared" si="58"/>
        <v>13333.33333</v>
      </c>
      <c r="AP48" s="76">
        <f t="shared" si="58"/>
        <v>13333.33333</v>
      </c>
      <c r="AQ48" s="76">
        <f t="shared" si="58"/>
        <v>13333.33333</v>
      </c>
      <c r="AR48" s="76">
        <f t="shared" si="58"/>
        <v>13333.33333</v>
      </c>
      <c r="AS48" s="76">
        <f t="shared" si="58"/>
        <v>13333.33333</v>
      </c>
      <c r="AT48" s="76">
        <f t="shared" si="58"/>
        <v>13333.33333</v>
      </c>
      <c r="AU48" s="76">
        <f t="shared" si="58"/>
        <v>13333.33333</v>
      </c>
      <c r="AV48" s="76">
        <f t="shared" si="58"/>
        <v>13333.33333</v>
      </c>
      <c r="AW48" s="76">
        <f t="shared" si="58"/>
        <v>13333.33333</v>
      </c>
      <c r="AX48" s="76">
        <f t="shared" si="58"/>
        <v>13333.33333</v>
      </c>
      <c r="AY48" s="76">
        <f t="shared" si="58"/>
        <v>13333.33333</v>
      </c>
      <c r="AZ48" s="76">
        <f t="shared" si="58"/>
        <v>13333.33333</v>
      </c>
      <c r="BA48" s="76">
        <f t="shared" si="58"/>
        <v>13333.33333</v>
      </c>
      <c r="BB48" s="76">
        <f t="shared" si="58"/>
        <v>13333.33333</v>
      </c>
      <c r="BC48" s="76">
        <f t="shared" si="58"/>
        <v>13333.33333</v>
      </c>
      <c r="BD48" s="76">
        <f t="shared" si="58"/>
        <v>13333.33333</v>
      </c>
      <c r="BE48" s="76">
        <f t="shared" si="58"/>
        <v>13333.33333</v>
      </c>
      <c r="BF48" s="76">
        <f t="shared" si="58"/>
        <v>13333.33333</v>
      </c>
      <c r="BG48" s="76">
        <f t="shared" si="58"/>
        <v>13333.33333</v>
      </c>
      <c r="BH48" s="76">
        <f t="shared" si="58"/>
        <v>13333.33333</v>
      </c>
      <c r="BI48" s="76">
        <f t="shared" si="58"/>
        <v>13333.33333</v>
      </c>
    </row>
    <row r="49" ht="15.75" customHeight="1">
      <c r="A49" s="7"/>
      <c r="B49" s="7"/>
      <c r="C49" s="1" t="s">
        <v>205</v>
      </c>
      <c r="D49" s="1" t="str">
        <f t="shared" si="48"/>
        <v>Sales</v>
      </c>
      <c r="E49" s="143">
        <v>160000.0</v>
      </c>
      <c r="F49" s="144">
        <f t="shared" ref="F49:F51" si="60">EDATE(F48,2)</f>
        <v>44166</v>
      </c>
      <c r="G49" s="141"/>
      <c r="H49" s="142">
        <v>0.09</v>
      </c>
      <c r="I49" s="143">
        <f t="shared" si="49"/>
        <v>533.3333333</v>
      </c>
      <c r="J49" s="143">
        <v>500.0</v>
      </c>
      <c r="K49" s="76">
        <f t="shared" si="5"/>
        <v>1033.333333</v>
      </c>
      <c r="N49" s="76">
        <f t="shared" ref="N49:BI49" si="59">IF($F49=0,0, IF(AND(N$1&gt;=$G49,$G49&lt;&gt;0),0,IF(N$1&gt;=$F49,$E49/12,0)))</f>
        <v>0</v>
      </c>
      <c r="O49" s="76">
        <f t="shared" si="59"/>
        <v>0</v>
      </c>
      <c r="P49" s="76">
        <f t="shared" si="59"/>
        <v>0</v>
      </c>
      <c r="Q49" s="76">
        <f t="shared" si="59"/>
        <v>0</v>
      </c>
      <c r="R49" s="76">
        <f t="shared" si="59"/>
        <v>0</v>
      </c>
      <c r="S49" s="76">
        <f t="shared" si="59"/>
        <v>0</v>
      </c>
      <c r="T49" s="76">
        <f t="shared" si="59"/>
        <v>0</v>
      </c>
      <c r="U49" s="76">
        <f t="shared" si="59"/>
        <v>13333.33333</v>
      </c>
      <c r="V49" s="76">
        <f t="shared" si="59"/>
        <v>13333.33333</v>
      </c>
      <c r="W49" s="76">
        <f t="shared" si="59"/>
        <v>13333.33333</v>
      </c>
      <c r="X49" s="76">
        <f t="shared" si="59"/>
        <v>13333.33333</v>
      </c>
      <c r="Y49" s="76">
        <f t="shared" si="59"/>
        <v>13333.33333</v>
      </c>
      <c r="Z49" s="76">
        <f t="shared" si="59"/>
        <v>13333.33333</v>
      </c>
      <c r="AA49" s="76">
        <f t="shared" si="59"/>
        <v>13333.33333</v>
      </c>
      <c r="AB49" s="76">
        <f t="shared" si="59"/>
        <v>13333.33333</v>
      </c>
      <c r="AC49" s="76">
        <f t="shared" si="59"/>
        <v>13333.33333</v>
      </c>
      <c r="AD49" s="76">
        <f t="shared" si="59"/>
        <v>13333.33333</v>
      </c>
      <c r="AE49" s="76">
        <f t="shared" si="59"/>
        <v>13333.33333</v>
      </c>
      <c r="AF49" s="76">
        <f t="shared" si="59"/>
        <v>13333.33333</v>
      </c>
      <c r="AG49" s="76">
        <f t="shared" si="59"/>
        <v>13333.33333</v>
      </c>
      <c r="AH49" s="76">
        <f t="shared" si="59"/>
        <v>13333.33333</v>
      </c>
      <c r="AI49" s="76">
        <f t="shared" si="59"/>
        <v>13333.33333</v>
      </c>
      <c r="AJ49" s="76">
        <f t="shared" si="59"/>
        <v>13333.33333</v>
      </c>
      <c r="AK49" s="76">
        <f t="shared" si="59"/>
        <v>13333.33333</v>
      </c>
      <c r="AL49" s="76">
        <f t="shared" si="59"/>
        <v>13333.33333</v>
      </c>
      <c r="AM49" s="76">
        <f t="shared" si="59"/>
        <v>13333.33333</v>
      </c>
      <c r="AN49" s="76">
        <f t="shared" si="59"/>
        <v>13333.33333</v>
      </c>
      <c r="AO49" s="76">
        <f t="shared" si="59"/>
        <v>13333.33333</v>
      </c>
      <c r="AP49" s="76">
        <f t="shared" si="59"/>
        <v>13333.33333</v>
      </c>
      <c r="AQ49" s="76">
        <f t="shared" si="59"/>
        <v>13333.33333</v>
      </c>
      <c r="AR49" s="76">
        <f t="shared" si="59"/>
        <v>13333.33333</v>
      </c>
      <c r="AS49" s="76">
        <f t="shared" si="59"/>
        <v>13333.33333</v>
      </c>
      <c r="AT49" s="76">
        <f t="shared" si="59"/>
        <v>13333.33333</v>
      </c>
      <c r="AU49" s="76">
        <f t="shared" si="59"/>
        <v>13333.33333</v>
      </c>
      <c r="AV49" s="76">
        <f t="shared" si="59"/>
        <v>13333.33333</v>
      </c>
      <c r="AW49" s="76">
        <f t="shared" si="59"/>
        <v>13333.33333</v>
      </c>
      <c r="AX49" s="76">
        <f t="shared" si="59"/>
        <v>13333.33333</v>
      </c>
      <c r="AY49" s="76">
        <f t="shared" si="59"/>
        <v>13333.33333</v>
      </c>
      <c r="AZ49" s="76">
        <f t="shared" si="59"/>
        <v>13333.33333</v>
      </c>
      <c r="BA49" s="76">
        <f t="shared" si="59"/>
        <v>13333.33333</v>
      </c>
      <c r="BB49" s="76">
        <f t="shared" si="59"/>
        <v>13333.33333</v>
      </c>
      <c r="BC49" s="76">
        <f t="shared" si="59"/>
        <v>13333.33333</v>
      </c>
      <c r="BD49" s="76">
        <f t="shared" si="59"/>
        <v>13333.33333</v>
      </c>
      <c r="BE49" s="76">
        <f t="shared" si="59"/>
        <v>13333.33333</v>
      </c>
      <c r="BF49" s="76">
        <f t="shared" si="59"/>
        <v>13333.33333</v>
      </c>
      <c r="BG49" s="76">
        <f t="shared" si="59"/>
        <v>13333.33333</v>
      </c>
      <c r="BH49" s="76">
        <f t="shared" si="59"/>
        <v>13333.33333</v>
      </c>
      <c r="BI49" s="76">
        <f t="shared" si="59"/>
        <v>13333.33333</v>
      </c>
    </row>
    <row r="50" ht="15.75" customHeight="1">
      <c r="A50" s="7"/>
      <c r="B50" s="7"/>
      <c r="C50" s="1" t="s">
        <v>206</v>
      </c>
      <c r="D50" s="1" t="str">
        <f t="shared" si="48"/>
        <v>Sales</v>
      </c>
      <c r="E50" s="143">
        <v>160000.0</v>
      </c>
      <c r="F50" s="144">
        <f t="shared" si="60"/>
        <v>44228</v>
      </c>
      <c r="G50" s="141"/>
      <c r="H50" s="142">
        <v>0.09</v>
      </c>
      <c r="I50" s="143">
        <f t="shared" si="49"/>
        <v>533.3333333</v>
      </c>
      <c r="J50" s="143">
        <v>500.0</v>
      </c>
      <c r="K50" s="76">
        <f t="shared" si="5"/>
        <v>1033.333333</v>
      </c>
      <c r="N50" s="76">
        <f t="shared" ref="N50:BI50" si="61">IF($F50=0,0, IF(AND(N$1&gt;=$G50,$G50&lt;&gt;0),0,IF(N$1&gt;=$F50,$E50/12,0)))</f>
        <v>0</v>
      </c>
      <c r="O50" s="76">
        <f t="shared" si="61"/>
        <v>0</v>
      </c>
      <c r="P50" s="76">
        <f t="shared" si="61"/>
        <v>0</v>
      </c>
      <c r="Q50" s="76">
        <f t="shared" si="61"/>
        <v>0</v>
      </c>
      <c r="R50" s="76">
        <f t="shared" si="61"/>
        <v>0</v>
      </c>
      <c r="S50" s="76">
        <f t="shared" si="61"/>
        <v>0</v>
      </c>
      <c r="T50" s="76">
        <f t="shared" si="61"/>
        <v>0</v>
      </c>
      <c r="U50" s="76">
        <f t="shared" si="61"/>
        <v>0</v>
      </c>
      <c r="V50" s="76">
        <f t="shared" si="61"/>
        <v>0</v>
      </c>
      <c r="W50" s="76">
        <f t="shared" si="61"/>
        <v>13333.33333</v>
      </c>
      <c r="X50" s="76">
        <f t="shared" si="61"/>
        <v>13333.33333</v>
      </c>
      <c r="Y50" s="76">
        <f t="shared" si="61"/>
        <v>13333.33333</v>
      </c>
      <c r="Z50" s="76">
        <f t="shared" si="61"/>
        <v>13333.33333</v>
      </c>
      <c r="AA50" s="76">
        <f t="shared" si="61"/>
        <v>13333.33333</v>
      </c>
      <c r="AB50" s="76">
        <f t="shared" si="61"/>
        <v>13333.33333</v>
      </c>
      <c r="AC50" s="76">
        <f t="shared" si="61"/>
        <v>13333.33333</v>
      </c>
      <c r="AD50" s="76">
        <f t="shared" si="61"/>
        <v>13333.33333</v>
      </c>
      <c r="AE50" s="76">
        <f t="shared" si="61"/>
        <v>13333.33333</v>
      </c>
      <c r="AF50" s="76">
        <f t="shared" si="61"/>
        <v>13333.33333</v>
      </c>
      <c r="AG50" s="76">
        <f t="shared" si="61"/>
        <v>13333.33333</v>
      </c>
      <c r="AH50" s="76">
        <f t="shared" si="61"/>
        <v>13333.33333</v>
      </c>
      <c r="AI50" s="76">
        <f t="shared" si="61"/>
        <v>13333.33333</v>
      </c>
      <c r="AJ50" s="76">
        <f t="shared" si="61"/>
        <v>13333.33333</v>
      </c>
      <c r="AK50" s="76">
        <f t="shared" si="61"/>
        <v>13333.33333</v>
      </c>
      <c r="AL50" s="76">
        <f t="shared" si="61"/>
        <v>13333.33333</v>
      </c>
      <c r="AM50" s="76">
        <f t="shared" si="61"/>
        <v>13333.33333</v>
      </c>
      <c r="AN50" s="76">
        <f t="shared" si="61"/>
        <v>13333.33333</v>
      </c>
      <c r="AO50" s="76">
        <f t="shared" si="61"/>
        <v>13333.33333</v>
      </c>
      <c r="AP50" s="76">
        <f t="shared" si="61"/>
        <v>13333.33333</v>
      </c>
      <c r="AQ50" s="76">
        <f t="shared" si="61"/>
        <v>13333.33333</v>
      </c>
      <c r="AR50" s="76">
        <f t="shared" si="61"/>
        <v>13333.33333</v>
      </c>
      <c r="AS50" s="76">
        <f t="shared" si="61"/>
        <v>13333.33333</v>
      </c>
      <c r="AT50" s="76">
        <f t="shared" si="61"/>
        <v>13333.33333</v>
      </c>
      <c r="AU50" s="76">
        <f t="shared" si="61"/>
        <v>13333.33333</v>
      </c>
      <c r="AV50" s="76">
        <f t="shared" si="61"/>
        <v>13333.33333</v>
      </c>
      <c r="AW50" s="76">
        <f t="shared" si="61"/>
        <v>13333.33333</v>
      </c>
      <c r="AX50" s="76">
        <f t="shared" si="61"/>
        <v>13333.33333</v>
      </c>
      <c r="AY50" s="76">
        <f t="shared" si="61"/>
        <v>13333.33333</v>
      </c>
      <c r="AZ50" s="76">
        <f t="shared" si="61"/>
        <v>13333.33333</v>
      </c>
      <c r="BA50" s="76">
        <f t="shared" si="61"/>
        <v>13333.33333</v>
      </c>
      <c r="BB50" s="76">
        <f t="shared" si="61"/>
        <v>13333.33333</v>
      </c>
      <c r="BC50" s="76">
        <f t="shared" si="61"/>
        <v>13333.33333</v>
      </c>
      <c r="BD50" s="76">
        <f t="shared" si="61"/>
        <v>13333.33333</v>
      </c>
      <c r="BE50" s="76">
        <f t="shared" si="61"/>
        <v>13333.33333</v>
      </c>
      <c r="BF50" s="76">
        <f t="shared" si="61"/>
        <v>13333.33333</v>
      </c>
      <c r="BG50" s="76">
        <f t="shared" si="61"/>
        <v>13333.33333</v>
      </c>
      <c r="BH50" s="76">
        <f t="shared" si="61"/>
        <v>13333.33333</v>
      </c>
      <c r="BI50" s="76">
        <f t="shared" si="61"/>
        <v>13333.33333</v>
      </c>
    </row>
    <row r="51" ht="15.75" customHeight="1">
      <c r="A51" s="7"/>
      <c r="B51" s="7"/>
      <c r="C51" s="1" t="s">
        <v>207</v>
      </c>
      <c r="D51" s="1" t="str">
        <f t="shared" si="48"/>
        <v>Sales</v>
      </c>
      <c r="E51" s="143">
        <v>160000.0</v>
      </c>
      <c r="F51" s="144">
        <f t="shared" si="60"/>
        <v>44287</v>
      </c>
      <c r="G51" s="141"/>
      <c r="H51" s="142">
        <v>0.09</v>
      </c>
      <c r="I51" s="143">
        <f t="shared" si="49"/>
        <v>533.3333333</v>
      </c>
      <c r="J51" s="143">
        <v>500.0</v>
      </c>
      <c r="K51" s="76">
        <f t="shared" si="5"/>
        <v>1033.333333</v>
      </c>
      <c r="N51" s="76">
        <f t="shared" ref="N51:BI51" si="62">IF($F51=0,0, IF(AND(N$1&gt;=$G51,$G51&lt;&gt;0),0,IF(N$1&gt;=$F51,$E51/12,0)))</f>
        <v>0</v>
      </c>
      <c r="O51" s="76">
        <f t="shared" si="62"/>
        <v>0</v>
      </c>
      <c r="P51" s="76">
        <f t="shared" si="62"/>
        <v>0</v>
      </c>
      <c r="Q51" s="76">
        <f t="shared" si="62"/>
        <v>0</v>
      </c>
      <c r="R51" s="76">
        <f t="shared" si="62"/>
        <v>0</v>
      </c>
      <c r="S51" s="76">
        <f t="shared" si="62"/>
        <v>0</v>
      </c>
      <c r="T51" s="76">
        <f t="shared" si="62"/>
        <v>0</v>
      </c>
      <c r="U51" s="76">
        <f t="shared" si="62"/>
        <v>0</v>
      </c>
      <c r="V51" s="76">
        <f t="shared" si="62"/>
        <v>0</v>
      </c>
      <c r="W51" s="76">
        <f t="shared" si="62"/>
        <v>0</v>
      </c>
      <c r="X51" s="76">
        <f t="shared" si="62"/>
        <v>0</v>
      </c>
      <c r="Y51" s="76">
        <f t="shared" si="62"/>
        <v>13333.33333</v>
      </c>
      <c r="Z51" s="76">
        <f t="shared" si="62"/>
        <v>13333.33333</v>
      </c>
      <c r="AA51" s="76">
        <f t="shared" si="62"/>
        <v>13333.33333</v>
      </c>
      <c r="AB51" s="76">
        <f t="shared" si="62"/>
        <v>13333.33333</v>
      </c>
      <c r="AC51" s="76">
        <f t="shared" si="62"/>
        <v>13333.33333</v>
      </c>
      <c r="AD51" s="76">
        <f t="shared" si="62"/>
        <v>13333.33333</v>
      </c>
      <c r="AE51" s="76">
        <f t="shared" si="62"/>
        <v>13333.33333</v>
      </c>
      <c r="AF51" s="76">
        <f t="shared" si="62"/>
        <v>13333.33333</v>
      </c>
      <c r="AG51" s="76">
        <f t="shared" si="62"/>
        <v>13333.33333</v>
      </c>
      <c r="AH51" s="76">
        <f t="shared" si="62"/>
        <v>13333.33333</v>
      </c>
      <c r="AI51" s="76">
        <f t="shared" si="62"/>
        <v>13333.33333</v>
      </c>
      <c r="AJ51" s="76">
        <f t="shared" si="62"/>
        <v>13333.33333</v>
      </c>
      <c r="AK51" s="76">
        <f t="shared" si="62"/>
        <v>13333.33333</v>
      </c>
      <c r="AL51" s="76">
        <f t="shared" si="62"/>
        <v>13333.33333</v>
      </c>
      <c r="AM51" s="76">
        <f t="shared" si="62"/>
        <v>13333.33333</v>
      </c>
      <c r="AN51" s="76">
        <f t="shared" si="62"/>
        <v>13333.33333</v>
      </c>
      <c r="AO51" s="76">
        <f t="shared" si="62"/>
        <v>13333.33333</v>
      </c>
      <c r="AP51" s="76">
        <f t="shared" si="62"/>
        <v>13333.33333</v>
      </c>
      <c r="AQ51" s="76">
        <f t="shared" si="62"/>
        <v>13333.33333</v>
      </c>
      <c r="AR51" s="76">
        <f t="shared" si="62"/>
        <v>13333.33333</v>
      </c>
      <c r="AS51" s="76">
        <f t="shared" si="62"/>
        <v>13333.33333</v>
      </c>
      <c r="AT51" s="76">
        <f t="shared" si="62"/>
        <v>13333.33333</v>
      </c>
      <c r="AU51" s="76">
        <f t="shared" si="62"/>
        <v>13333.33333</v>
      </c>
      <c r="AV51" s="76">
        <f t="shared" si="62"/>
        <v>13333.33333</v>
      </c>
      <c r="AW51" s="76">
        <f t="shared" si="62"/>
        <v>13333.33333</v>
      </c>
      <c r="AX51" s="76">
        <f t="shared" si="62"/>
        <v>13333.33333</v>
      </c>
      <c r="AY51" s="76">
        <f t="shared" si="62"/>
        <v>13333.33333</v>
      </c>
      <c r="AZ51" s="76">
        <f t="shared" si="62"/>
        <v>13333.33333</v>
      </c>
      <c r="BA51" s="76">
        <f t="shared" si="62"/>
        <v>13333.33333</v>
      </c>
      <c r="BB51" s="76">
        <f t="shared" si="62"/>
        <v>13333.33333</v>
      </c>
      <c r="BC51" s="76">
        <f t="shared" si="62"/>
        <v>13333.33333</v>
      </c>
      <c r="BD51" s="76">
        <f t="shared" si="62"/>
        <v>13333.33333</v>
      </c>
      <c r="BE51" s="76">
        <f t="shared" si="62"/>
        <v>13333.33333</v>
      </c>
      <c r="BF51" s="76">
        <f t="shared" si="62"/>
        <v>13333.33333</v>
      </c>
      <c r="BG51" s="76">
        <f t="shared" si="62"/>
        <v>13333.33333</v>
      </c>
      <c r="BH51" s="76">
        <f t="shared" si="62"/>
        <v>13333.33333</v>
      </c>
      <c r="BI51" s="76">
        <f t="shared" si="62"/>
        <v>13333.33333</v>
      </c>
    </row>
    <row r="52" ht="15.75" customHeight="1">
      <c r="A52" s="7"/>
      <c r="B52" s="7" t="s">
        <v>208</v>
      </c>
      <c r="C52" s="1"/>
      <c r="D52" s="1"/>
      <c r="E52" s="96"/>
      <c r="F52" s="46"/>
      <c r="G52" s="46"/>
      <c r="H52" s="26"/>
      <c r="I52" s="96"/>
      <c r="J52" s="96"/>
      <c r="K52" s="76">
        <f t="shared" si="5"/>
        <v>0</v>
      </c>
      <c r="N52" s="76">
        <f t="shared" ref="N52:BI52" si="63">IF($F52=0,0, IF(AND(N$1&gt;=$G52,$G52&lt;&gt;0),0,IF(N$1&gt;=$F52,$E52/12,0)))</f>
        <v>0</v>
      </c>
      <c r="O52" s="76">
        <f t="shared" si="63"/>
        <v>0</v>
      </c>
      <c r="P52" s="76">
        <f t="shared" si="63"/>
        <v>0</v>
      </c>
      <c r="Q52" s="76">
        <f t="shared" si="63"/>
        <v>0</v>
      </c>
      <c r="R52" s="76">
        <f t="shared" si="63"/>
        <v>0</v>
      </c>
      <c r="S52" s="76">
        <f t="shared" si="63"/>
        <v>0</v>
      </c>
      <c r="T52" s="76">
        <f t="shared" si="63"/>
        <v>0</v>
      </c>
      <c r="U52" s="76">
        <f t="shared" si="63"/>
        <v>0</v>
      </c>
      <c r="V52" s="76">
        <f t="shared" si="63"/>
        <v>0</v>
      </c>
      <c r="W52" s="76">
        <f t="shared" si="63"/>
        <v>0</v>
      </c>
      <c r="X52" s="76">
        <f t="shared" si="63"/>
        <v>0</v>
      </c>
      <c r="Y52" s="76">
        <f t="shared" si="63"/>
        <v>0</v>
      </c>
      <c r="Z52" s="76">
        <f t="shared" si="63"/>
        <v>0</v>
      </c>
      <c r="AA52" s="76">
        <f t="shared" si="63"/>
        <v>0</v>
      </c>
      <c r="AB52" s="76">
        <f t="shared" si="63"/>
        <v>0</v>
      </c>
      <c r="AC52" s="76">
        <f t="shared" si="63"/>
        <v>0</v>
      </c>
      <c r="AD52" s="76">
        <f t="shared" si="63"/>
        <v>0</v>
      </c>
      <c r="AE52" s="76">
        <f t="shared" si="63"/>
        <v>0</v>
      </c>
      <c r="AF52" s="76">
        <f t="shared" si="63"/>
        <v>0</v>
      </c>
      <c r="AG52" s="76">
        <f t="shared" si="63"/>
        <v>0</v>
      </c>
      <c r="AH52" s="76">
        <f t="shared" si="63"/>
        <v>0</v>
      </c>
      <c r="AI52" s="76">
        <f t="shared" si="63"/>
        <v>0</v>
      </c>
      <c r="AJ52" s="76">
        <f t="shared" si="63"/>
        <v>0</v>
      </c>
      <c r="AK52" s="76">
        <f t="shared" si="63"/>
        <v>0</v>
      </c>
      <c r="AL52" s="76">
        <f t="shared" si="63"/>
        <v>0</v>
      </c>
      <c r="AM52" s="76">
        <f t="shared" si="63"/>
        <v>0</v>
      </c>
      <c r="AN52" s="76">
        <f t="shared" si="63"/>
        <v>0</v>
      </c>
      <c r="AO52" s="76">
        <f t="shared" si="63"/>
        <v>0</v>
      </c>
      <c r="AP52" s="76">
        <f t="shared" si="63"/>
        <v>0</v>
      </c>
      <c r="AQ52" s="76">
        <f t="shared" si="63"/>
        <v>0</v>
      </c>
      <c r="AR52" s="76">
        <f t="shared" si="63"/>
        <v>0</v>
      </c>
      <c r="AS52" s="76">
        <f t="shared" si="63"/>
        <v>0</v>
      </c>
      <c r="AT52" s="76">
        <f t="shared" si="63"/>
        <v>0</v>
      </c>
      <c r="AU52" s="76">
        <f t="shared" si="63"/>
        <v>0</v>
      </c>
      <c r="AV52" s="76">
        <f t="shared" si="63"/>
        <v>0</v>
      </c>
      <c r="AW52" s="76">
        <f t="shared" si="63"/>
        <v>0</v>
      </c>
      <c r="AX52" s="76">
        <f t="shared" si="63"/>
        <v>0</v>
      </c>
      <c r="AY52" s="76">
        <f t="shared" si="63"/>
        <v>0</v>
      </c>
      <c r="AZ52" s="76">
        <f t="shared" si="63"/>
        <v>0</v>
      </c>
      <c r="BA52" s="76">
        <f t="shared" si="63"/>
        <v>0</v>
      </c>
      <c r="BB52" s="76">
        <f t="shared" si="63"/>
        <v>0</v>
      </c>
      <c r="BC52" s="76">
        <f t="shared" si="63"/>
        <v>0</v>
      </c>
      <c r="BD52" s="76">
        <f t="shared" si="63"/>
        <v>0</v>
      </c>
      <c r="BE52" s="76">
        <f t="shared" si="63"/>
        <v>0</v>
      </c>
      <c r="BF52" s="76">
        <f t="shared" si="63"/>
        <v>0</v>
      </c>
      <c r="BG52" s="76">
        <f t="shared" si="63"/>
        <v>0</v>
      </c>
      <c r="BH52" s="76">
        <f t="shared" si="63"/>
        <v>0</v>
      </c>
      <c r="BI52" s="76">
        <f t="shared" si="63"/>
        <v>0</v>
      </c>
    </row>
    <row r="53" ht="15.75" customHeight="1">
      <c r="A53" s="1"/>
      <c r="B53" s="1" t="s">
        <v>209</v>
      </c>
      <c r="C53" s="1" t="s">
        <v>210</v>
      </c>
      <c r="D53" s="1" t="str">
        <f t="shared" ref="D53:D64" si="65">$B$52</f>
        <v>Support</v>
      </c>
      <c r="E53" s="143">
        <v>150000.0</v>
      </c>
      <c r="F53" s="141">
        <v>43497.0</v>
      </c>
      <c r="G53" s="141"/>
      <c r="H53" s="142">
        <v>0.09</v>
      </c>
      <c r="I53" s="143">
        <f t="shared" ref="I53:I64" si="66">0.04*E53/12</f>
        <v>500</v>
      </c>
      <c r="J53" s="143">
        <v>500.0</v>
      </c>
      <c r="K53" s="76">
        <f t="shared" si="5"/>
        <v>1000</v>
      </c>
      <c r="N53" s="76">
        <f t="shared" ref="N53:BI53" si="64">IF($F53=0,0, IF(AND(N$1&gt;=$G53,$G53&lt;&gt;0),0,IF(N$1&gt;=$F53,$E53/12,0)))</f>
        <v>12500</v>
      </c>
      <c r="O53" s="76">
        <f t="shared" si="64"/>
        <v>12500</v>
      </c>
      <c r="P53" s="76">
        <f t="shared" si="64"/>
        <v>12500</v>
      </c>
      <c r="Q53" s="76">
        <f t="shared" si="64"/>
        <v>12500</v>
      </c>
      <c r="R53" s="76">
        <f t="shared" si="64"/>
        <v>12500</v>
      </c>
      <c r="S53" s="76">
        <f t="shared" si="64"/>
        <v>12500</v>
      </c>
      <c r="T53" s="76">
        <f t="shared" si="64"/>
        <v>12500</v>
      </c>
      <c r="U53" s="76">
        <f t="shared" si="64"/>
        <v>12500</v>
      </c>
      <c r="V53" s="76">
        <f t="shared" si="64"/>
        <v>12500</v>
      </c>
      <c r="W53" s="76">
        <f t="shared" si="64"/>
        <v>12500</v>
      </c>
      <c r="X53" s="76">
        <f t="shared" si="64"/>
        <v>12500</v>
      </c>
      <c r="Y53" s="76">
        <f t="shared" si="64"/>
        <v>12500</v>
      </c>
      <c r="Z53" s="76">
        <f t="shared" si="64"/>
        <v>12500</v>
      </c>
      <c r="AA53" s="76">
        <f t="shared" si="64"/>
        <v>12500</v>
      </c>
      <c r="AB53" s="76">
        <f t="shared" si="64"/>
        <v>12500</v>
      </c>
      <c r="AC53" s="76">
        <f t="shared" si="64"/>
        <v>12500</v>
      </c>
      <c r="AD53" s="76">
        <f t="shared" si="64"/>
        <v>12500</v>
      </c>
      <c r="AE53" s="76">
        <f t="shared" si="64"/>
        <v>12500</v>
      </c>
      <c r="AF53" s="76">
        <f t="shared" si="64"/>
        <v>12500</v>
      </c>
      <c r="AG53" s="76">
        <f t="shared" si="64"/>
        <v>12500</v>
      </c>
      <c r="AH53" s="76">
        <f t="shared" si="64"/>
        <v>12500</v>
      </c>
      <c r="AI53" s="76">
        <f t="shared" si="64"/>
        <v>12500</v>
      </c>
      <c r="AJ53" s="76">
        <f t="shared" si="64"/>
        <v>12500</v>
      </c>
      <c r="AK53" s="76">
        <f t="shared" si="64"/>
        <v>12500</v>
      </c>
      <c r="AL53" s="76">
        <f t="shared" si="64"/>
        <v>12500</v>
      </c>
      <c r="AM53" s="76">
        <f t="shared" si="64"/>
        <v>12500</v>
      </c>
      <c r="AN53" s="76">
        <f t="shared" si="64"/>
        <v>12500</v>
      </c>
      <c r="AO53" s="76">
        <f t="shared" si="64"/>
        <v>12500</v>
      </c>
      <c r="AP53" s="76">
        <f t="shared" si="64"/>
        <v>12500</v>
      </c>
      <c r="AQ53" s="76">
        <f t="shared" si="64"/>
        <v>12500</v>
      </c>
      <c r="AR53" s="76">
        <f t="shared" si="64"/>
        <v>12500</v>
      </c>
      <c r="AS53" s="76">
        <f t="shared" si="64"/>
        <v>12500</v>
      </c>
      <c r="AT53" s="76">
        <f t="shared" si="64"/>
        <v>12500</v>
      </c>
      <c r="AU53" s="76">
        <f t="shared" si="64"/>
        <v>12500</v>
      </c>
      <c r="AV53" s="76">
        <f t="shared" si="64"/>
        <v>12500</v>
      </c>
      <c r="AW53" s="76">
        <f t="shared" si="64"/>
        <v>12500</v>
      </c>
      <c r="AX53" s="76">
        <f t="shared" si="64"/>
        <v>12500</v>
      </c>
      <c r="AY53" s="76">
        <f t="shared" si="64"/>
        <v>12500</v>
      </c>
      <c r="AZ53" s="76">
        <f t="shared" si="64"/>
        <v>12500</v>
      </c>
      <c r="BA53" s="76">
        <f t="shared" si="64"/>
        <v>12500</v>
      </c>
      <c r="BB53" s="76">
        <f t="shared" si="64"/>
        <v>12500</v>
      </c>
      <c r="BC53" s="76">
        <f t="shared" si="64"/>
        <v>12500</v>
      </c>
      <c r="BD53" s="76">
        <f t="shared" si="64"/>
        <v>12500</v>
      </c>
      <c r="BE53" s="76">
        <f t="shared" si="64"/>
        <v>12500</v>
      </c>
      <c r="BF53" s="76">
        <f t="shared" si="64"/>
        <v>12500</v>
      </c>
      <c r="BG53" s="76">
        <f t="shared" si="64"/>
        <v>12500</v>
      </c>
      <c r="BH53" s="76">
        <f t="shared" si="64"/>
        <v>12500</v>
      </c>
      <c r="BI53" s="76">
        <f t="shared" si="64"/>
        <v>12500</v>
      </c>
    </row>
    <row r="54" ht="15.75" customHeight="1">
      <c r="A54" s="1"/>
      <c r="B54" s="1" t="s">
        <v>211</v>
      </c>
      <c r="C54" s="1" t="s">
        <v>212</v>
      </c>
      <c r="D54" s="1" t="str">
        <f t="shared" si="65"/>
        <v>Support</v>
      </c>
      <c r="E54" s="143">
        <v>62400.0</v>
      </c>
      <c r="F54" s="141">
        <v>43101.0</v>
      </c>
      <c r="G54" s="141"/>
      <c r="H54" s="142">
        <v>0.09</v>
      </c>
      <c r="I54" s="143">
        <f t="shared" si="66"/>
        <v>208</v>
      </c>
      <c r="J54" s="143">
        <v>500.0</v>
      </c>
      <c r="K54" s="76">
        <f t="shared" si="5"/>
        <v>708</v>
      </c>
      <c r="N54" s="76">
        <f t="shared" ref="N54:BI54" si="67">IF($F54=0,0, IF(AND(N$1&gt;=$G54,$G54&lt;&gt;0),0,IF(N$1&gt;=$F54,$E54/12,0)))</f>
        <v>5200</v>
      </c>
      <c r="O54" s="76">
        <f t="shared" si="67"/>
        <v>5200</v>
      </c>
      <c r="P54" s="76">
        <f t="shared" si="67"/>
        <v>5200</v>
      </c>
      <c r="Q54" s="76">
        <f t="shared" si="67"/>
        <v>5200</v>
      </c>
      <c r="R54" s="76">
        <f t="shared" si="67"/>
        <v>5200</v>
      </c>
      <c r="S54" s="76">
        <f t="shared" si="67"/>
        <v>5200</v>
      </c>
      <c r="T54" s="76">
        <f t="shared" si="67"/>
        <v>5200</v>
      </c>
      <c r="U54" s="76">
        <f t="shared" si="67"/>
        <v>5200</v>
      </c>
      <c r="V54" s="76">
        <f t="shared" si="67"/>
        <v>5200</v>
      </c>
      <c r="W54" s="76">
        <f t="shared" si="67"/>
        <v>5200</v>
      </c>
      <c r="X54" s="76">
        <f t="shared" si="67"/>
        <v>5200</v>
      </c>
      <c r="Y54" s="76">
        <f t="shared" si="67"/>
        <v>5200</v>
      </c>
      <c r="Z54" s="76">
        <f t="shared" si="67"/>
        <v>5200</v>
      </c>
      <c r="AA54" s="76">
        <f t="shared" si="67"/>
        <v>5200</v>
      </c>
      <c r="AB54" s="76">
        <f t="shared" si="67"/>
        <v>5200</v>
      </c>
      <c r="AC54" s="76">
        <f t="shared" si="67"/>
        <v>5200</v>
      </c>
      <c r="AD54" s="76">
        <f t="shared" si="67"/>
        <v>5200</v>
      </c>
      <c r="AE54" s="76">
        <f t="shared" si="67"/>
        <v>5200</v>
      </c>
      <c r="AF54" s="76">
        <f t="shared" si="67"/>
        <v>5200</v>
      </c>
      <c r="AG54" s="76">
        <f t="shared" si="67"/>
        <v>5200</v>
      </c>
      <c r="AH54" s="76">
        <f t="shared" si="67"/>
        <v>5200</v>
      </c>
      <c r="AI54" s="76">
        <f t="shared" si="67"/>
        <v>5200</v>
      </c>
      <c r="AJ54" s="76">
        <f t="shared" si="67"/>
        <v>5200</v>
      </c>
      <c r="AK54" s="76">
        <f t="shared" si="67"/>
        <v>5200</v>
      </c>
      <c r="AL54" s="76">
        <f t="shared" si="67"/>
        <v>5200</v>
      </c>
      <c r="AM54" s="76">
        <f t="shared" si="67"/>
        <v>5200</v>
      </c>
      <c r="AN54" s="76">
        <f t="shared" si="67"/>
        <v>5200</v>
      </c>
      <c r="AO54" s="76">
        <f t="shared" si="67"/>
        <v>5200</v>
      </c>
      <c r="AP54" s="76">
        <f t="shared" si="67"/>
        <v>5200</v>
      </c>
      <c r="AQ54" s="76">
        <f t="shared" si="67"/>
        <v>5200</v>
      </c>
      <c r="AR54" s="76">
        <f t="shared" si="67"/>
        <v>5200</v>
      </c>
      <c r="AS54" s="76">
        <f t="shared" si="67"/>
        <v>5200</v>
      </c>
      <c r="AT54" s="76">
        <f t="shared" si="67"/>
        <v>5200</v>
      </c>
      <c r="AU54" s="76">
        <f t="shared" si="67"/>
        <v>5200</v>
      </c>
      <c r="AV54" s="76">
        <f t="shared" si="67"/>
        <v>5200</v>
      </c>
      <c r="AW54" s="76">
        <f t="shared" si="67"/>
        <v>5200</v>
      </c>
      <c r="AX54" s="76">
        <f t="shared" si="67"/>
        <v>5200</v>
      </c>
      <c r="AY54" s="76">
        <f t="shared" si="67"/>
        <v>5200</v>
      </c>
      <c r="AZ54" s="76">
        <f t="shared" si="67"/>
        <v>5200</v>
      </c>
      <c r="BA54" s="76">
        <f t="shared" si="67"/>
        <v>5200</v>
      </c>
      <c r="BB54" s="76">
        <f t="shared" si="67"/>
        <v>5200</v>
      </c>
      <c r="BC54" s="76">
        <f t="shared" si="67"/>
        <v>5200</v>
      </c>
      <c r="BD54" s="76">
        <f t="shared" si="67"/>
        <v>5200</v>
      </c>
      <c r="BE54" s="76">
        <f t="shared" si="67"/>
        <v>5200</v>
      </c>
      <c r="BF54" s="76">
        <f t="shared" si="67"/>
        <v>5200</v>
      </c>
      <c r="BG54" s="76">
        <f t="shared" si="67"/>
        <v>5200</v>
      </c>
      <c r="BH54" s="76">
        <f t="shared" si="67"/>
        <v>5200</v>
      </c>
      <c r="BI54" s="76">
        <f t="shared" si="67"/>
        <v>5200</v>
      </c>
    </row>
    <row r="55" ht="15.75" customHeight="1">
      <c r="A55" s="1"/>
      <c r="B55" s="1" t="s">
        <v>213</v>
      </c>
      <c r="C55" s="1" t="s">
        <v>212</v>
      </c>
      <c r="D55" s="1" t="str">
        <f t="shared" si="65"/>
        <v>Support</v>
      </c>
      <c r="E55" s="143">
        <v>62400.0</v>
      </c>
      <c r="F55" s="141">
        <v>43101.0</v>
      </c>
      <c r="G55" s="141"/>
      <c r="H55" s="142">
        <v>0.09</v>
      </c>
      <c r="I55" s="143">
        <f t="shared" si="66"/>
        <v>208</v>
      </c>
      <c r="J55" s="143">
        <v>500.0</v>
      </c>
      <c r="K55" s="76"/>
      <c r="N55" s="76">
        <f t="shared" ref="N55:BI55" si="68">IF($F55=0,0, IF(AND(N$1&gt;=$G55,$G55&lt;&gt;0),0,IF(N$1&gt;=$F55,$E55/12,0)))</f>
        <v>5200</v>
      </c>
      <c r="O55" s="76">
        <f t="shared" si="68"/>
        <v>5200</v>
      </c>
      <c r="P55" s="76">
        <f t="shared" si="68"/>
        <v>5200</v>
      </c>
      <c r="Q55" s="76">
        <f t="shared" si="68"/>
        <v>5200</v>
      </c>
      <c r="R55" s="76">
        <f t="shared" si="68"/>
        <v>5200</v>
      </c>
      <c r="S55" s="76">
        <f t="shared" si="68"/>
        <v>5200</v>
      </c>
      <c r="T55" s="76">
        <f t="shared" si="68"/>
        <v>5200</v>
      </c>
      <c r="U55" s="76">
        <f t="shared" si="68"/>
        <v>5200</v>
      </c>
      <c r="V55" s="76">
        <f t="shared" si="68"/>
        <v>5200</v>
      </c>
      <c r="W55" s="76">
        <f t="shared" si="68"/>
        <v>5200</v>
      </c>
      <c r="X55" s="76">
        <f t="shared" si="68"/>
        <v>5200</v>
      </c>
      <c r="Y55" s="76">
        <f t="shared" si="68"/>
        <v>5200</v>
      </c>
      <c r="Z55" s="76">
        <f t="shared" si="68"/>
        <v>5200</v>
      </c>
      <c r="AA55" s="76">
        <f t="shared" si="68"/>
        <v>5200</v>
      </c>
      <c r="AB55" s="76">
        <f t="shared" si="68"/>
        <v>5200</v>
      </c>
      <c r="AC55" s="76">
        <f t="shared" si="68"/>
        <v>5200</v>
      </c>
      <c r="AD55" s="76">
        <f t="shared" si="68"/>
        <v>5200</v>
      </c>
      <c r="AE55" s="76">
        <f t="shared" si="68"/>
        <v>5200</v>
      </c>
      <c r="AF55" s="76">
        <f t="shared" si="68"/>
        <v>5200</v>
      </c>
      <c r="AG55" s="76">
        <f t="shared" si="68"/>
        <v>5200</v>
      </c>
      <c r="AH55" s="76">
        <f t="shared" si="68"/>
        <v>5200</v>
      </c>
      <c r="AI55" s="76">
        <f t="shared" si="68"/>
        <v>5200</v>
      </c>
      <c r="AJ55" s="76">
        <f t="shared" si="68"/>
        <v>5200</v>
      </c>
      <c r="AK55" s="76">
        <f t="shared" si="68"/>
        <v>5200</v>
      </c>
      <c r="AL55" s="76">
        <f t="shared" si="68"/>
        <v>5200</v>
      </c>
      <c r="AM55" s="76">
        <f t="shared" si="68"/>
        <v>5200</v>
      </c>
      <c r="AN55" s="76">
        <f t="shared" si="68"/>
        <v>5200</v>
      </c>
      <c r="AO55" s="76">
        <f t="shared" si="68"/>
        <v>5200</v>
      </c>
      <c r="AP55" s="76">
        <f t="shared" si="68"/>
        <v>5200</v>
      </c>
      <c r="AQ55" s="76">
        <f t="shared" si="68"/>
        <v>5200</v>
      </c>
      <c r="AR55" s="76">
        <f t="shared" si="68"/>
        <v>5200</v>
      </c>
      <c r="AS55" s="76">
        <f t="shared" si="68"/>
        <v>5200</v>
      </c>
      <c r="AT55" s="76">
        <f t="shared" si="68"/>
        <v>5200</v>
      </c>
      <c r="AU55" s="76">
        <f t="shared" si="68"/>
        <v>5200</v>
      </c>
      <c r="AV55" s="76">
        <f t="shared" si="68"/>
        <v>5200</v>
      </c>
      <c r="AW55" s="76">
        <f t="shared" si="68"/>
        <v>5200</v>
      </c>
      <c r="AX55" s="76">
        <f t="shared" si="68"/>
        <v>5200</v>
      </c>
      <c r="AY55" s="76">
        <f t="shared" si="68"/>
        <v>5200</v>
      </c>
      <c r="AZ55" s="76">
        <f t="shared" si="68"/>
        <v>5200</v>
      </c>
      <c r="BA55" s="76">
        <f t="shared" si="68"/>
        <v>5200</v>
      </c>
      <c r="BB55" s="76">
        <f t="shared" si="68"/>
        <v>5200</v>
      </c>
      <c r="BC55" s="76">
        <f t="shared" si="68"/>
        <v>5200</v>
      </c>
      <c r="BD55" s="76">
        <f t="shared" si="68"/>
        <v>5200</v>
      </c>
      <c r="BE55" s="76">
        <f t="shared" si="68"/>
        <v>5200</v>
      </c>
      <c r="BF55" s="76">
        <f t="shared" si="68"/>
        <v>5200</v>
      </c>
      <c r="BG55" s="76">
        <f t="shared" si="68"/>
        <v>5200</v>
      </c>
      <c r="BH55" s="76">
        <f t="shared" si="68"/>
        <v>5200</v>
      </c>
      <c r="BI55" s="76">
        <f t="shared" si="68"/>
        <v>5200</v>
      </c>
    </row>
    <row r="56" ht="15.75" customHeight="1">
      <c r="A56" s="1"/>
      <c r="B56" s="1" t="s">
        <v>214</v>
      </c>
      <c r="C56" s="1" t="s">
        <v>212</v>
      </c>
      <c r="D56" s="1" t="str">
        <f t="shared" si="65"/>
        <v>Support</v>
      </c>
      <c r="E56" s="143">
        <v>62400.0</v>
      </c>
      <c r="F56" s="141">
        <v>43101.0</v>
      </c>
      <c r="G56" s="141"/>
      <c r="H56" s="142">
        <v>0.09</v>
      </c>
      <c r="I56" s="143">
        <f t="shared" si="66"/>
        <v>208</v>
      </c>
      <c r="J56" s="143">
        <v>500.0</v>
      </c>
      <c r="K56" s="76"/>
      <c r="N56" s="76">
        <f t="shared" ref="N56:BI56" si="69">IF($F56=0,0, IF(AND(N$1&gt;=$G56,$G56&lt;&gt;0),0,IF(N$1&gt;=$F56,$E56/12,0)))</f>
        <v>5200</v>
      </c>
      <c r="O56" s="76">
        <f t="shared" si="69"/>
        <v>5200</v>
      </c>
      <c r="P56" s="76">
        <f t="shared" si="69"/>
        <v>5200</v>
      </c>
      <c r="Q56" s="76">
        <f t="shared" si="69"/>
        <v>5200</v>
      </c>
      <c r="R56" s="76">
        <f t="shared" si="69"/>
        <v>5200</v>
      </c>
      <c r="S56" s="76">
        <f t="shared" si="69"/>
        <v>5200</v>
      </c>
      <c r="T56" s="76">
        <f t="shared" si="69"/>
        <v>5200</v>
      </c>
      <c r="U56" s="76">
        <f t="shared" si="69"/>
        <v>5200</v>
      </c>
      <c r="V56" s="76">
        <f t="shared" si="69"/>
        <v>5200</v>
      </c>
      <c r="W56" s="76">
        <f t="shared" si="69"/>
        <v>5200</v>
      </c>
      <c r="X56" s="76">
        <f t="shared" si="69"/>
        <v>5200</v>
      </c>
      <c r="Y56" s="76">
        <f t="shared" si="69"/>
        <v>5200</v>
      </c>
      <c r="Z56" s="76">
        <f t="shared" si="69"/>
        <v>5200</v>
      </c>
      <c r="AA56" s="76">
        <f t="shared" si="69"/>
        <v>5200</v>
      </c>
      <c r="AB56" s="76">
        <f t="shared" si="69"/>
        <v>5200</v>
      </c>
      <c r="AC56" s="76">
        <f t="shared" si="69"/>
        <v>5200</v>
      </c>
      <c r="AD56" s="76">
        <f t="shared" si="69"/>
        <v>5200</v>
      </c>
      <c r="AE56" s="76">
        <f t="shared" si="69"/>
        <v>5200</v>
      </c>
      <c r="AF56" s="76">
        <f t="shared" si="69"/>
        <v>5200</v>
      </c>
      <c r="AG56" s="76">
        <f t="shared" si="69"/>
        <v>5200</v>
      </c>
      <c r="AH56" s="76">
        <f t="shared" si="69"/>
        <v>5200</v>
      </c>
      <c r="AI56" s="76">
        <f t="shared" si="69"/>
        <v>5200</v>
      </c>
      <c r="AJ56" s="76">
        <f t="shared" si="69"/>
        <v>5200</v>
      </c>
      <c r="AK56" s="76">
        <f t="shared" si="69"/>
        <v>5200</v>
      </c>
      <c r="AL56" s="76">
        <f t="shared" si="69"/>
        <v>5200</v>
      </c>
      <c r="AM56" s="76">
        <f t="shared" si="69"/>
        <v>5200</v>
      </c>
      <c r="AN56" s="76">
        <f t="shared" si="69"/>
        <v>5200</v>
      </c>
      <c r="AO56" s="76">
        <f t="shared" si="69"/>
        <v>5200</v>
      </c>
      <c r="AP56" s="76">
        <f t="shared" si="69"/>
        <v>5200</v>
      </c>
      <c r="AQ56" s="76">
        <f t="shared" si="69"/>
        <v>5200</v>
      </c>
      <c r="AR56" s="76">
        <f t="shared" si="69"/>
        <v>5200</v>
      </c>
      <c r="AS56" s="76">
        <f t="shared" si="69"/>
        <v>5200</v>
      </c>
      <c r="AT56" s="76">
        <f t="shared" si="69"/>
        <v>5200</v>
      </c>
      <c r="AU56" s="76">
        <f t="shared" si="69"/>
        <v>5200</v>
      </c>
      <c r="AV56" s="76">
        <f t="shared" si="69"/>
        <v>5200</v>
      </c>
      <c r="AW56" s="76">
        <f t="shared" si="69"/>
        <v>5200</v>
      </c>
      <c r="AX56" s="76">
        <f t="shared" si="69"/>
        <v>5200</v>
      </c>
      <c r="AY56" s="76">
        <f t="shared" si="69"/>
        <v>5200</v>
      </c>
      <c r="AZ56" s="76">
        <f t="shared" si="69"/>
        <v>5200</v>
      </c>
      <c r="BA56" s="76">
        <f t="shared" si="69"/>
        <v>5200</v>
      </c>
      <c r="BB56" s="76">
        <f t="shared" si="69"/>
        <v>5200</v>
      </c>
      <c r="BC56" s="76">
        <f t="shared" si="69"/>
        <v>5200</v>
      </c>
      <c r="BD56" s="76">
        <f t="shared" si="69"/>
        <v>5200</v>
      </c>
      <c r="BE56" s="76">
        <f t="shared" si="69"/>
        <v>5200</v>
      </c>
      <c r="BF56" s="76">
        <f t="shared" si="69"/>
        <v>5200</v>
      </c>
      <c r="BG56" s="76">
        <f t="shared" si="69"/>
        <v>5200</v>
      </c>
      <c r="BH56" s="76">
        <f t="shared" si="69"/>
        <v>5200</v>
      </c>
      <c r="BI56" s="76">
        <f t="shared" si="69"/>
        <v>5200</v>
      </c>
    </row>
    <row r="57" ht="15.75" customHeight="1">
      <c r="A57" s="1"/>
      <c r="B57" s="1" t="s">
        <v>215</v>
      </c>
      <c r="C57" s="1" t="s">
        <v>212</v>
      </c>
      <c r="D57" s="1" t="str">
        <f t="shared" si="65"/>
        <v>Support</v>
      </c>
      <c r="E57" s="143">
        <v>62400.0</v>
      </c>
      <c r="F57" s="141">
        <v>43070.0</v>
      </c>
      <c r="G57" s="141"/>
      <c r="H57" s="142">
        <v>0.09</v>
      </c>
      <c r="I57" s="143">
        <f t="shared" si="66"/>
        <v>208</v>
      </c>
      <c r="J57" s="143">
        <v>500.0</v>
      </c>
      <c r="K57" s="76"/>
      <c r="N57" s="76">
        <f t="shared" ref="N57:BI57" si="70">IF($F57=0,0, IF(AND(N$1&gt;=$G57,$G57&lt;&gt;0),0,IF(N$1&gt;=$F57,$E57/12,0)))</f>
        <v>5200</v>
      </c>
      <c r="O57" s="76">
        <f t="shared" si="70"/>
        <v>5200</v>
      </c>
      <c r="P57" s="76">
        <f t="shared" si="70"/>
        <v>5200</v>
      </c>
      <c r="Q57" s="76">
        <f t="shared" si="70"/>
        <v>5200</v>
      </c>
      <c r="R57" s="76">
        <f t="shared" si="70"/>
        <v>5200</v>
      </c>
      <c r="S57" s="76">
        <f t="shared" si="70"/>
        <v>5200</v>
      </c>
      <c r="T57" s="76">
        <f t="shared" si="70"/>
        <v>5200</v>
      </c>
      <c r="U57" s="76">
        <f t="shared" si="70"/>
        <v>5200</v>
      </c>
      <c r="V57" s="76">
        <f t="shared" si="70"/>
        <v>5200</v>
      </c>
      <c r="W57" s="76">
        <f t="shared" si="70"/>
        <v>5200</v>
      </c>
      <c r="X57" s="76">
        <f t="shared" si="70"/>
        <v>5200</v>
      </c>
      <c r="Y57" s="76">
        <f t="shared" si="70"/>
        <v>5200</v>
      </c>
      <c r="Z57" s="76">
        <f t="shared" si="70"/>
        <v>5200</v>
      </c>
      <c r="AA57" s="76">
        <f t="shared" si="70"/>
        <v>5200</v>
      </c>
      <c r="AB57" s="76">
        <f t="shared" si="70"/>
        <v>5200</v>
      </c>
      <c r="AC57" s="76">
        <f t="shared" si="70"/>
        <v>5200</v>
      </c>
      <c r="AD57" s="76">
        <f t="shared" si="70"/>
        <v>5200</v>
      </c>
      <c r="AE57" s="76">
        <f t="shared" si="70"/>
        <v>5200</v>
      </c>
      <c r="AF57" s="76">
        <f t="shared" si="70"/>
        <v>5200</v>
      </c>
      <c r="AG57" s="76">
        <f t="shared" si="70"/>
        <v>5200</v>
      </c>
      <c r="AH57" s="76">
        <f t="shared" si="70"/>
        <v>5200</v>
      </c>
      <c r="AI57" s="76">
        <f t="shared" si="70"/>
        <v>5200</v>
      </c>
      <c r="AJ57" s="76">
        <f t="shared" si="70"/>
        <v>5200</v>
      </c>
      <c r="AK57" s="76">
        <f t="shared" si="70"/>
        <v>5200</v>
      </c>
      <c r="AL57" s="76">
        <f t="shared" si="70"/>
        <v>5200</v>
      </c>
      <c r="AM57" s="76">
        <f t="shared" si="70"/>
        <v>5200</v>
      </c>
      <c r="AN57" s="76">
        <f t="shared" si="70"/>
        <v>5200</v>
      </c>
      <c r="AO57" s="76">
        <f t="shared" si="70"/>
        <v>5200</v>
      </c>
      <c r="AP57" s="76">
        <f t="shared" si="70"/>
        <v>5200</v>
      </c>
      <c r="AQ57" s="76">
        <f t="shared" si="70"/>
        <v>5200</v>
      </c>
      <c r="AR57" s="76">
        <f t="shared" si="70"/>
        <v>5200</v>
      </c>
      <c r="AS57" s="76">
        <f t="shared" si="70"/>
        <v>5200</v>
      </c>
      <c r="AT57" s="76">
        <f t="shared" si="70"/>
        <v>5200</v>
      </c>
      <c r="AU57" s="76">
        <f t="shared" si="70"/>
        <v>5200</v>
      </c>
      <c r="AV57" s="76">
        <f t="shared" si="70"/>
        <v>5200</v>
      </c>
      <c r="AW57" s="76">
        <f t="shared" si="70"/>
        <v>5200</v>
      </c>
      <c r="AX57" s="76">
        <f t="shared" si="70"/>
        <v>5200</v>
      </c>
      <c r="AY57" s="76">
        <f t="shared" si="70"/>
        <v>5200</v>
      </c>
      <c r="AZ57" s="76">
        <f t="shared" si="70"/>
        <v>5200</v>
      </c>
      <c r="BA57" s="76">
        <f t="shared" si="70"/>
        <v>5200</v>
      </c>
      <c r="BB57" s="76">
        <f t="shared" si="70"/>
        <v>5200</v>
      </c>
      <c r="BC57" s="76">
        <f t="shared" si="70"/>
        <v>5200</v>
      </c>
      <c r="BD57" s="76">
        <f t="shared" si="70"/>
        <v>5200</v>
      </c>
      <c r="BE57" s="76">
        <f t="shared" si="70"/>
        <v>5200</v>
      </c>
      <c r="BF57" s="76">
        <f t="shared" si="70"/>
        <v>5200</v>
      </c>
      <c r="BG57" s="76">
        <f t="shared" si="70"/>
        <v>5200</v>
      </c>
      <c r="BH57" s="76">
        <f t="shared" si="70"/>
        <v>5200</v>
      </c>
      <c r="BI57" s="76">
        <f t="shared" si="70"/>
        <v>5200</v>
      </c>
    </row>
    <row r="58" ht="15.75" customHeight="1">
      <c r="A58" s="1"/>
      <c r="B58" s="1" t="s">
        <v>216</v>
      </c>
      <c r="C58" s="1" t="s">
        <v>212</v>
      </c>
      <c r="D58" s="1" t="str">
        <f t="shared" si="65"/>
        <v>Support</v>
      </c>
      <c r="E58" s="143">
        <v>62400.0</v>
      </c>
      <c r="F58" s="141">
        <v>43174.0</v>
      </c>
      <c r="G58" s="141"/>
      <c r="H58" s="142">
        <v>0.09</v>
      </c>
      <c r="I58" s="143">
        <f t="shared" si="66"/>
        <v>208</v>
      </c>
      <c r="J58" s="143">
        <v>500.0</v>
      </c>
      <c r="K58" s="76"/>
      <c r="N58" s="76">
        <f t="shared" ref="N58:BI58" si="71">IF($F58=0,0, IF(AND(N$1&gt;=$G58,$G58&lt;&gt;0),0,IF(N$1&gt;=$F58,$E58/12,0)))</f>
        <v>5200</v>
      </c>
      <c r="O58" s="76">
        <f t="shared" si="71"/>
        <v>5200</v>
      </c>
      <c r="P58" s="76">
        <f t="shared" si="71"/>
        <v>5200</v>
      </c>
      <c r="Q58" s="76">
        <f t="shared" si="71"/>
        <v>5200</v>
      </c>
      <c r="R58" s="76">
        <f t="shared" si="71"/>
        <v>5200</v>
      </c>
      <c r="S58" s="76">
        <f t="shared" si="71"/>
        <v>5200</v>
      </c>
      <c r="T58" s="76">
        <f t="shared" si="71"/>
        <v>5200</v>
      </c>
      <c r="U58" s="76">
        <f t="shared" si="71"/>
        <v>5200</v>
      </c>
      <c r="V58" s="76">
        <f t="shared" si="71"/>
        <v>5200</v>
      </c>
      <c r="W58" s="76">
        <f t="shared" si="71"/>
        <v>5200</v>
      </c>
      <c r="X58" s="76">
        <f t="shared" si="71"/>
        <v>5200</v>
      </c>
      <c r="Y58" s="76">
        <f t="shared" si="71"/>
        <v>5200</v>
      </c>
      <c r="Z58" s="76">
        <f t="shared" si="71"/>
        <v>5200</v>
      </c>
      <c r="AA58" s="76">
        <f t="shared" si="71"/>
        <v>5200</v>
      </c>
      <c r="AB58" s="76">
        <f t="shared" si="71"/>
        <v>5200</v>
      </c>
      <c r="AC58" s="76">
        <f t="shared" si="71"/>
        <v>5200</v>
      </c>
      <c r="AD58" s="76">
        <f t="shared" si="71"/>
        <v>5200</v>
      </c>
      <c r="AE58" s="76">
        <f t="shared" si="71"/>
        <v>5200</v>
      </c>
      <c r="AF58" s="76">
        <f t="shared" si="71"/>
        <v>5200</v>
      </c>
      <c r="AG58" s="76">
        <f t="shared" si="71"/>
        <v>5200</v>
      </c>
      <c r="AH58" s="76">
        <f t="shared" si="71"/>
        <v>5200</v>
      </c>
      <c r="AI58" s="76">
        <f t="shared" si="71"/>
        <v>5200</v>
      </c>
      <c r="AJ58" s="76">
        <f t="shared" si="71"/>
        <v>5200</v>
      </c>
      <c r="AK58" s="76">
        <f t="shared" si="71"/>
        <v>5200</v>
      </c>
      <c r="AL58" s="76">
        <f t="shared" si="71"/>
        <v>5200</v>
      </c>
      <c r="AM58" s="76">
        <f t="shared" si="71"/>
        <v>5200</v>
      </c>
      <c r="AN58" s="76">
        <f t="shared" si="71"/>
        <v>5200</v>
      </c>
      <c r="AO58" s="76">
        <f t="shared" si="71"/>
        <v>5200</v>
      </c>
      <c r="AP58" s="76">
        <f t="shared" si="71"/>
        <v>5200</v>
      </c>
      <c r="AQ58" s="76">
        <f t="shared" si="71"/>
        <v>5200</v>
      </c>
      <c r="AR58" s="76">
        <f t="shared" si="71"/>
        <v>5200</v>
      </c>
      <c r="AS58" s="76">
        <f t="shared" si="71"/>
        <v>5200</v>
      </c>
      <c r="AT58" s="76">
        <f t="shared" si="71"/>
        <v>5200</v>
      </c>
      <c r="AU58" s="76">
        <f t="shared" si="71"/>
        <v>5200</v>
      </c>
      <c r="AV58" s="76">
        <f t="shared" si="71"/>
        <v>5200</v>
      </c>
      <c r="AW58" s="76">
        <f t="shared" si="71"/>
        <v>5200</v>
      </c>
      <c r="AX58" s="76">
        <f t="shared" si="71"/>
        <v>5200</v>
      </c>
      <c r="AY58" s="76">
        <f t="shared" si="71"/>
        <v>5200</v>
      </c>
      <c r="AZ58" s="76">
        <f t="shared" si="71"/>
        <v>5200</v>
      </c>
      <c r="BA58" s="76">
        <f t="shared" si="71"/>
        <v>5200</v>
      </c>
      <c r="BB58" s="76">
        <f t="shared" si="71"/>
        <v>5200</v>
      </c>
      <c r="BC58" s="76">
        <f t="shared" si="71"/>
        <v>5200</v>
      </c>
      <c r="BD58" s="76">
        <f t="shared" si="71"/>
        <v>5200</v>
      </c>
      <c r="BE58" s="76">
        <f t="shared" si="71"/>
        <v>5200</v>
      </c>
      <c r="BF58" s="76">
        <f t="shared" si="71"/>
        <v>5200</v>
      </c>
      <c r="BG58" s="76">
        <f t="shared" si="71"/>
        <v>5200</v>
      </c>
      <c r="BH58" s="76">
        <f t="shared" si="71"/>
        <v>5200</v>
      </c>
      <c r="BI58" s="76">
        <f t="shared" si="71"/>
        <v>5200</v>
      </c>
    </row>
    <row r="59" ht="15.75" customHeight="1">
      <c r="A59" s="1"/>
      <c r="B59" s="1" t="s">
        <v>217</v>
      </c>
      <c r="C59" s="1" t="s">
        <v>212</v>
      </c>
      <c r="D59" s="1" t="str">
        <f t="shared" si="65"/>
        <v>Support</v>
      </c>
      <c r="E59" s="143">
        <v>120000.0</v>
      </c>
      <c r="F59" s="141">
        <v>43678.0</v>
      </c>
      <c r="G59" s="141"/>
      <c r="H59" s="142">
        <v>0.09</v>
      </c>
      <c r="I59" s="143">
        <f t="shared" si="66"/>
        <v>400</v>
      </c>
      <c r="J59" s="143">
        <v>500.0</v>
      </c>
      <c r="K59" s="76"/>
      <c r="N59" s="76">
        <f t="shared" ref="N59:BI59" si="72">IF($F59=0,0, IF(AND(N$1&gt;=$G59,$G59&lt;&gt;0),0,IF(N$1&gt;=$F59,$E59/12,0)))</f>
        <v>10000</v>
      </c>
      <c r="O59" s="76">
        <f t="shared" si="72"/>
        <v>10000</v>
      </c>
      <c r="P59" s="76">
        <f t="shared" si="72"/>
        <v>10000</v>
      </c>
      <c r="Q59" s="76">
        <f t="shared" si="72"/>
        <v>10000</v>
      </c>
      <c r="R59" s="76">
        <f t="shared" si="72"/>
        <v>10000</v>
      </c>
      <c r="S59" s="76">
        <f t="shared" si="72"/>
        <v>10000</v>
      </c>
      <c r="T59" s="76">
        <f t="shared" si="72"/>
        <v>10000</v>
      </c>
      <c r="U59" s="76">
        <f t="shared" si="72"/>
        <v>10000</v>
      </c>
      <c r="V59" s="76">
        <f t="shared" si="72"/>
        <v>10000</v>
      </c>
      <c r="W59" s="76">
        <f t="shared" si="72"/>
        <v>10000</v>
      </c>
      <c r="X59" s="76">
        <f t="shared" si="72"/>
        <v>10000</v>
      </c>
      <c r="Y59" s="76">
        <f t="shared" si="72"/>
        <v>10000</v>
      </c>
      <c r="Z59" s="76">
        <f t="shared" si="72"/>
        <v>10000</v>
      </c>
      <c r="AA59" s="76">
        <f t="shared" si="72"/>
        <v>10000</v>
      </c>
      <c r="AB59" s="76">
        <f t="shared" si="72"/>
        <v>10000</v>
      </c>
      <c r="AC59" s="76">
        <f t="shared" si="72"/>
        <v>10000</v>
      </c>
      <c r="AD59" s="76">
        <f t="shared" si="72"/>
        <v>10000</v>
      </c>
      <c r="AE59" s="76">
        <f t="shared" si="72"/>
        <v>10000</v>
      </c>
      <c r="AF59" s="76">
        <f t="shared" si="72"/>
        <v>10000</v>
      </c>
      <c r="AG59" s="76">
        <f t="shared" si="72"/>
        <v>10000</v>
      </c>
      <c r="AH59" s="76">
        <f t="shared" si="72"/>
        <v>10000</v>
      </c>
      <c r="AI59" s="76">
        <f t="shared" si="72"/>
        <v>10000</v>
      </c>
      <c r="AJ59" s="76">
        <f t="shared" si="72"/>
        <v>10000</v>
      </c>
      <c r="AK59" s="76">
        <f t="shared" si="72"/>
        <v>10000</v>
      </c>
      <c r="AL59" s="76">
        <f t="shared" si="72"/>
        <v>10000</v>
      </c>
      <c r="AM59" s="76">
        <f t="shared" si="72"/>
        <v>10000</v>
      </c>
      <c r="AN59" s="76">
        <f t="shared" si="72"/>
        <v>10000</v>
      </c>
      <c r="AO59" s="76">
        <f t="shared" si="72"/>
        <v>10000</v>
      </c>
      <c r="AP59" s="76">
        <f t="shared" si="72"/>
        <v>10000</v>
      </c>
      <c r="AQ59" s="76">
        <f t="shared" si="72"/>
        <v>10000</v>
      </c>
      <c r="AR59" s="76">
        <f t="shared" si="72"/>
        <v>10000</v>
      </c>
      <c r="AS59" s="76">
        <f t="shared" si="72"/>
        <v>10000</v>
      </c>
      <c r="AT59" s="76">
        <f t="shared" si="72"/>
        <v>10000</v>
      </c>
      <c r="AU59" s="76">
        <f t="shared" si="72"/>
        <v>10000</v>
      </c>
      <c r="AV59" s="76">
        <f t="shared" si="72"/>
        <v>10000</v>
      </c>
      <c r="AW59" s="76">
        <f t="shared" si="72"/>
        <v>10000</v>
      </c>
      <c r="AX59" s="76">
        <f t="shared" si="72"/>
        <v>10000</v>
      </c>
      <c r="AY59" s="76">
        <f t="shared" si="72"/>
        <v>10000</v>
      </c>
      <c r="AZ59" s="76">
        <f t="shared" si="72"/>
        <v>10000</v>
      </c>
      <c r="BA59" s="76">
        <f t="shared" si="72"/>
        <v>10000</v>
      </c>
      <c r="BB59" s="76">
        <f t="shared" si="72"/>
        <v>10000</v>
      </c>
      <c r="BC59" s="76">
        <f t="shared" si="72"/>
        <v>10000</v>
      </c>
      <c r="BD59" s="76">
        <f t="shared" si="72"/>
        <v>10000</v>
      </c>
      <c r="BE59" s="76">
        <f t="shared" si="72"/>
        <v>10000</v>
      </c>
      <c r="BF59" s="76">
        <f t="shared" si="72"/>
        <v>10000</v>
      </c>
      <c r="BG59" s="76">
        <f t="shared" si="72"/>
        <v>10000</v>
      </c>
      <c r="BH59" s="76">
        <f t="shared" si="72"/>
        <v>10000</v>
      </c>
      <c r="BI59" s="76">
        <f t="shared" si="72"/>
        <v>10000</v>
      </c>
    </row>
    <row r="60" ht="15.75" customHeight="1">
      <c r="A60" s="1"/>
      <c r="B60" s="1" t="s">
        <v>218</v>
      </c>
      <c r="C60" s="1" t="s">
        <v>212</v>
      </c>
      <c r="D60" s="1" t="str">
        <f t="shared" si="65"/>
        <v>Support</v>
      </c>
      <c r="E60" s="143">
        <v>62400.0</v>
      </c>
      <c r="F60" s="141">
        <v>42887.0</v>
      </c>
      <c r="G60" s="141"/>
      <c r="H60" s="142">
        <v>0.09</v>
      </c>
      <c r="I60" s="143">
        <f t="shared" si="66"/>
        <v>208</v>
      </c>
      <c r="J60" s="143">
        <v>500.0</v>
      </c>
      <c r="K60" s="76">
        <f t="shared" ref="K60:K64" si="74">SUM(I60:J60)</f>
        <v>708</v>
      </c>
      <c r="N60" s="76">
        <f t="shared" ref="N60:BI60" si="73">IF($F60=0,0, IF(AND(N$1&gt;=$G60,$G60&lt;&gt;0),0,IF(N$1&gt;=$F60,$E60/12,0)))</f>
        <v>5200</v>
      </c>
      <c r="O60" s="76">
        <f t="shared" si="73"/>
        <v>5200</v>
      </c>
      <c r="P60" s="76">
        <f t="shared" si="73"/>
        <v>5200</v>
      </c>
      <c r="Q60" s="76">
        <f t="shared" si="73"/>
        <v>5200</v>
      </c>
      <c r="R60" s="76">
        <f t="shared" si="73"/>
        <v>5200</v>
      </c>
      <c r="S60" s="76">
        <f t="shared" si="73"/>
        <v>5200</v>
      </c>
      <c r="T60" s="76">
        <f t="shared" si="73"/>
        <v>5200</v>
      </c>
      <c r="U60" s="76">
        <f t="shared" si="73"/>
        <v>5200</v>
      </c>
      <c r="V60" s="76">
        <f t="shared" si="73"/>
        <v>5200</v>
      </c>
      <c r="W60" s="76">
        <f t="shared" si="73"/>
        <v>5200</v>
      </c>
      <c r="X60" s="76">
        <f t="shared" si="73"/>
        <v>5200</v>
      </c>
      <c r="Y60" s="76">
        <f t="shared" si="73"/>
        <v>5200</v>
      </c>
      <c r="Z60" s="76">
        <f t="shared" si="73"/>
        <v>5200</v>
      </c>
      <c r="AA60" s="76">
        <f t="shared" si="73"/>
        <v>5200</v>
      </c>
      <c r="AB60" s="76">
        <f t="shared" si="73"/>
        <v>5200</v>
      </c>
      <c r="AC60" s="76">
        <f t="shared" si="73"/>
        <v>5200</v>
      </c>
      <c r="AD60" s="76">
        <f t="shared" si="73"/>
        <v>5200</v>
      </c>
      <c r="AE60" s="76">
        <f t="shared" si="73"/>
        <v>5200</v>
      </c>
      <c r="AF60" s="76">
        <f t="shared" si="73"/>
        <v>5200</v>
      </c>
      <c r="AG60" s="76">
        <f t="shared" si="73"/>
        <v>5200</v>
      </c>
      <c r="AH60" s="76">
        <f t="shared" si="73"/>
        <v>5200</v>
      </c>
      <c r="AI60" s="76">
        <f t="shared" si="73"/>
        <v>5200</v>
      </c>
      <c r="AJ60" s="76">
        <f t="shared" si="73"/>
        <v>5200</v>
      </c>
      <c r="AK60" s="76">
        <f t="shared" si="73"/>
        <v>5200</v>
      </c>
      <c r="AL60" s="76">
        <f t="shared" si="73"/>
        <v>5200</v>
      </c>
      <c r="AM60" s="76">
        <f t="shared" si="73"/>
        <v>5200</v>
      </c>
      <c r="AN60" s="76">
        <f t="shared" si="73"/>
        <v>5200</v>
      </c>
      <c r="AO60" s="76">
        <f t="shared" si="73"/>
        <v>5200</v>
      </c>
      <c r="AP60" s="76">
        <f t="shared" si="73"/>
        <v>5200</v>
      </c>
      <c r="AQ60" s="76">
        <f t="shared" si="73"/>
        <v>5200</v>
      </c>
      <c r="AR60" s="76">
        <f t="shared" si="73"/>
        <v>5200</v>
      </c>
      <c r="AS60" s="76">
        <f t="shared" si="73"/>
        <v>5200</v>
      </c>
      <c r="AT60" s="76">
        <f t="shared" si="73"/>
        <v>5200</v>
      </c>
      <c r="AU60" s="76">
        <f t="shared" si="73"/>
        <v>5200</v>
      </c>
      <c r="AV60" s="76">
        <f t="shared" si="73"/>
        <v>5200</v>
      </c>
      <c r="AW60" s="76">
        <f t="shared" si="73"/>
        <v>5200</v>
      </c>
      <c r="AX60" s="76">
        <f t="shared" si="73"/>
        <v>5200</v>
      </c>
      <c r="AY60" s="76">
        <f t="shared" si="73"/>
        <v>5200</v>
      </c>
      <c r="AZ60" s="76">
        <f t="shared" si="73"/>
        <v>5200</v>
      </c>
      <c r="BA60" s="76">
        <f t="shared" si="73"/>
        <v>5200</v>
      </c>
      <c r="BB60" s="76">
        <f t="shared" si="73"/>
        <v>5200</v>
      </c>
      <c r="BC60" s="76">
        <f t="shared" si="73"/>
        <v>5200</v>
      </c>
      <c r="BD60" s="76">
        <f t="shared" si="73"/>
        <v>5200</v>
      </c>
      <c r="BE60" s="76">
        <f t="shared" si="73"/>
        <v>5200</v>
      </c>
      <c r="BF60" s="76">
        <f t="shared" si="73"/>
        <v>5200</v>
      </c>
      <c r="BG60" s="76">
        <f t="shared" si="73"/>
        <v>5200</v>
      </c>
      <c r="BH60" s="76">
        <f t="shared" si="73"/>
        <v>5200</v>
      </c>
      <c r="BI60" s="76">
        <f t="shared" si="73"/>
        <v>5200</v>
      </c>
    </row>
    <row r="61" ht="15.75" customHeight="1">
      <c r="A61" s="1"/>
      <c r="B61" s="1" t="s">
        <v>219</v>
      </c>
      <c r="C61" s="1" t="s">
        <v>212</v>
      </c>
      <c r="D61" s="1" t="str">
        <f t="shared" si="65"/>
        <v>Support</v>
      </c>
      <c r="E61" s="143">
        <v>80000.0</v>
      </c>
      <c r="F61" s="141">
        <v>43800.0</v>
      </c>
      <c r="G61" s="141"/>
      <c r="H61" s="142">
        <v>0.09</v>
      </c>
      <c r="I61" s="143">
        <f t="shared" si="66"/>
        <v>266.6666667</v>
      </c>
      <c r="J61" s="143">
        <v>500.0</v>
      </c>
      <c r="K61" s="76">
        <f t="shared" si="74"/>
        <v>766.6666667</v>
      </c>
      <c r="N61" s="76">
        <f t="shared" ref="N61:BI61" si="75">IF($F61=0,0, IF(AND(N$1&gt;=$G61,$G61&lt;&gt;0),0,IF(N$1&gt;=$F61,$E61/12,0)))</f>
        <v>6666.666667</v>
      </c>
      <c r="O61" s="76">
        <f t="shared" si="75"/>
        <v>6666.666667</v>
      </c>
      <c r="P61" s="76">
        <f t="shared" si="75"/>
        <v>6666.666667</v>
      </c>
      <c r="Q61" s="76">
        <f t="shared" si="75"/>
        <v>6666.666667</v>
      </c>
      <c r="R61" s="76">
        <f t="shared" si="75"/>
        <v>6666.666667</v>
      </c>
      <c r="S61" s="76">
        <f t="shared" si="75"/>
        <v>6666.666667</v>
      </c>
      <c r="T61" s="76">
        <f t="shared" si="75"/>
        <v>6666.666667</v>
      </c>
      <c r="U61" s="76">
        <f t="shared" si="75"/>
        <v>6666.666667</v>
      </c>
      <c r="V61" s="76">
        <f t="shared" si="75"/>
        <v>6666.666667</v>
      </c>
      <c r="W61" s="76">
        <f t="shared" si="75"/>
        <v>6666.666667</v>
      </c>
      <c r="X61" s="76">
        <f t="shared" si="75"/>
        <v>6666.666667</v>
      </c>
      <c r="Y61" s="76">
        <f t="shared" si="75"/>
        <v>6666.666667</v>
      </c>
      <c r="Z61" s="76">
        <f t="shared" si="75"/>
        <v>6666.666667</v>
      </c>
      <c r="AA61" s="76">
        <f t="shared" si="75"/>
        <v>6666.666667</v>
      </c>
      <c r="AB61" s="76">
        <f t="shared" si="75"/>
        <v>6666.666667</v>
      </c>
      <c r="AC61" s="76">
        <f t="shared" si="75"/>
        <v>6666.666667</v>
      </c>
      <c r="AD61" s="76">
        <f t="shared" si="75"/>
        <v>6666.666667</v>
      </c>
      <c r="AE61" s="76">
        <f t="shared" si="75"/>
        <v>6666.666667</v>
      </c>
      <c r="AF61" s="76">
        <f t="shared" si="75"/>
        <v>6666.666667</v>
      </c>
      <c r="AG61" s="76">
        <f t="shared" si="75"/>
        <v>6666.666667</v>
      </c>
      <c r="AH61" s="76">
        <f t="shared" si="75"/>
        <v>6666.666667</v>
      </c>
      <c r="AI61" s="76">
        <f t="shared" si="75"/>
        <v>6666.666667</v>
      </c>
      <c r="AJ61" s="76">
        <f t="shared" si="75"/>
        <v>6666.666667</v>
      </c>
      <c r="AK61" s="76">
        <f t="shared" si="75"/>
        <v>6666.666667</v>
      </c>
      <c r="AL61" s="76">
        <f t="shared" si="75"/>
        <v>6666.666667</v>
      </c>
      <c r="AM61" s="76">
        <f t="shared" si="75"/>
        <v>6666.666667</v>
      </c>
      <c r="AN61" s="76">
        <f t="shared" si="75"/>
        <v>6666.666667</v>
      </c>
      <c r="AO61" s="76">
        <f t="shared" si="75"/>
        <v>6666.666667</v>
      </c>
      <c r="AP61" s="76">
        <f t="shared" si="75"/>
        <v>6666.666667</v>
      </c>
      <c r="AQ61" s="76">
        <f t="shared" si="75"/>
        <v>6666.666667</v>
      </c>
      <c r="AR61" s="76">
        <f t="shared" si="75"/>
        <v>6666.666667</v>
      </c>
      <c r="AS61" s="76">
        <f t="shared" si="75"/>
        <v>6666.666667</v>
      </c>
      <c r="AT61" s="76">
        <f t="shared" si="75"/>
        <v>6666.666667</v>
      </c>
      <c r="AU61" s="76">
        <f t="shared" si="75"/>
        <v>6666.666667</v>
      </c>
      <c r="AV61" s="76">
        <f t="shared" si="75"/>
        <v>6666.666667</v>
      </c>
      <c r="AW61" s="76">
        <f t="shared" si="75"/>
        <v>6666.666667</v>
      </c>
      <c r="AX61" s="76">
        <f t="shared" si="75"/>
        <v>6666.666667</v>
      </c>
      <c r="AY61" s="76">
        <f t="shared" si="75"/>
        <v>6666.666667</v>
      </c>
      <c r="AZ61" s="76">
        <f t="shared" si="75"/>
        <v>6666.666667</v>
      </c>
      <c r="BA61" s="76">
        <f t="shared" si="75"/>
        <v>6666.666667</v>
      </c>
      <c r="BB61" s="76">
        <f t="shared" si="75"/>
        <v>6666.666667</v>
      </c>
      <c r="BC61" s="76">
        <f t="shared" si="75"/>
        <v>6666.666667</v>
      </c>
      <c r="BD61" s="76">
        <f t="shared" si="75"/>
        <v>6666.666667</v>
      </c>
      <c r="BE61" s="76">
        <f t="shared" si="75"/>
        <v>6666.666667</v>
      </c>
      <c r="BF61" s="76">
        <f t="shared" si="75"/>
        <v>6666.666667</v>
      </c>
      <c r="BG61" s="76">
        <f t="shared" si="75"/>
        <v>6666.666667</v>
      </c>
      <c r="BH61" s="76">
        <f t="shared" si="75"/>
        <v>6666.666667</v>
      </c>
      <c r="BI61" s="76">
        <f t="shared" si="75"/>
        <v>6666.666667</v>
      </c>
    </row>
    <row r="62" ht="15.75" customHeight="1">
      <c r="A62" s="1"/>
      <c r="B62" s="1" t="s">
        <v>220</v>
      </c>
      <c r="C62" s="1" t="s">
        <v>212</v>
      </c>
      <c r="D62" s="1" t="str">
        <f t="shared" si="65"/>
        <v>Support</v>
      </c>
      <c r="E62" s="143">
        <v>80000.0</v>
      </c>
      <c r="F62" s="144">
        <v>44105.0</v>
      </c>
      <c r="G62" s="141"/>
      <c r="H62" s="142">
        <v>0.09</v>
      </c>
      <c r="I62" s="143">
        <f t="shared" si="66"/>
        <v>266.6666667</v>
      </c>
      <c r="J62" s="143">
        <v>500.0</v>
      </c>
      <c r="K62" s="76">
        <f t="shared" si="74"/>
        <v>766.6666667</v>
      </c>
      <c r="N62" s="76">
        <f t="shared" ref="N62:BI62" si="76">IF($F62=0,0, IF(AND(N$1&gt;=$G62,$G62&lt;&gt;0),0,IF(N$1&gt;=$F62,$E62/12,0)))</f>
        <v>0</v>
      </c>
      <c r="O62" s="76">
        <f t="shared" si="76"/>
        <v>0</v>
      </c>
      <c r="P62" s="76">
        <f t="shared" si="76"/>
        <v>0</v>
      </c>
      <c r="Q62" s="76">
        <f t="shared" si="76"/>
        <v>0</v>
      </c>
      <c r="R62" s="76">
        <f t="shared" si="76"/>
        <v>0</v>
      </c>
      <c r="S62" s="76">
        <f t="shared" si="76"/>
        <v>6666.666667</v>
      </c>
      <c r="T62" s="76">
        <f t="shared" si="76"/>
        <v>6666.666667</v>
      </c>
      <c r="U62" s="76">
        <f t="shared" si="76"/>
        <v>6666.666667</v>
      </c>
      <c r="V62" s="76">
        <f t="shared" si="76"/>
        <v>6666.666667</v>
      </c>
      <c r="W62" s="76">
        <f t="shared" si="76"/>
        <v>6666.666667</v>
      </c>
      <c r="X62" s="76">
        <f t="shared" si="76"/>
        <v>6666.666667</v>
      </c>
      <c r="Y62" s="76">
        <f t="shared" si="76"/>
        <v>6666.666667</v>
      </c>
      <c r="Z62" s="76">
        <f t="shared" si="76"/>
        <v>6666.666667</v>
      </c>
      <c r="AA62" s="76">
        <f t="shared" si="76"/>
        <v>6666.666667</v>
      </c>
      <c r="AB62" s="76">
        <f t="shared" si="76"/>
        <v>6666.666667</v>
      </c>
      <c r="AC62" s="76">
        <f t="shared" si="76"/>
        <v>6666.666667</v>
      </c>
      <c r="AD62" s="76">
        <f t="shared" si="76"/>
        <v>6666.666667</v>
      </c>
      <c r="AE62" s="76">
        <f t="shared" si="76"/>
        <v>6666.666667</v>
      </c>
      <c r="AF62" s="76">
        <f t="shared" si="76"/>
        <v>6666.666667</v>
      </c>
      <c r="AG62" s="76">
        <f t="shared" si="76"/>
        <v>6666.666667</v>
      </c>
      <c r="AH62" s="76">
        <f t="shared" si="76"/>
        <v>6666.666667</v>
      </c>
      <c r="AI62" s="76">
        <f t="shared" si="76"/>
        <v>6666.666667</v>
      </c>
      <c r="AJ62" s="76">
        <f t="shared" si="76"/>
        <v>6666.666667</v>
      </c>
      <c r="AK62" s="76">
        <f t="shared" si="76"/>
        <v>6666.666667</v>
      </c>
      <c r="AL62" s="76">
        <f t="shared" si="76"/>
        <v>6666.666667</v>
      </c>
      <c r="AM62" s="76">
        <f t="shared" si="76"/>
        <v>6666.666667</v>
      </c>
      <c r="AN62" s="76">
        <f t="shared" si="76"/>
        <v>6666.666667</v>
      </c>
      <c r="AO62" s="76">
        <f t="shared" si="76"/>
        <v>6666.666667</v>
      </c>
      <c r="AP62" s="76">
        <f t="shared" si="76"/>
        <v>6666.666667</v>
      </c>
      <c r="AQ62" s="76">
        <f t="shared" si="76"/>
        <v>6666.666667</v>
      </c>
      <c r="AR62" s="76">
        <f t="shared" si="76"/>
        <v>6666.666667</v>
      </c>
      <c r="AS62" s="76">
        <f t="shared" si="76"/>
        <v>6666.666667</v>
      </c>
      <c r="AT62" s="76">
        <f t="shared" si="76"/>
        <v>6666.666667</v>
      </c>
      <c r="AU62" s="76">
        <f t="shared" si="76"/>
        <v>6666.666667</v>
      </c>
      <c r="AV62" s="76">
        <f t="shared" si="76"/>
        <v>6666.666667</v>
      </c>
      <c r="AW62" s="76">
        <f t="shared" si="76"/>
        <v>6666.666667</v>
      </c>
      <c r="AX62" s="76">
        <f t="shared" si="76"/>
        <v>6666.666667</v>
      </c>
      <c r="AY62" s="76">
        <f t="shared" si="76"/>
        <v>6666.666667</v>
      </c>
      <c r="AZ62" s="76">
        <f t="shared" si="76"/>
        <v>6666.666667</v>
      </c>
      <c r="BA62" s="76">
        <f t="shared" si="76"/>
        <v>6666.666667</v>
      </c>
      <c r="BB62" s="76">
        <f t="shared" si="76"/>
        <v>6666.666667</v>
      </c>
      <c r="BC62" s="76">
        <f t="shared" si="76"/>
        <v>6666.666667</v>
      </c>
      <c r="BD62" s="76">
        <f t="shared" si="76"/>
        <v>6666.666667</v>
      </c>
      <c r="BE62" s="76">
        <f t="shared" si="76"/>
        <v>6666.666667</v>
      </c>
      <c r="BF62" s="76">
        <f t="shared" si="76"/>
        <v>6666.666667</v>
      </c>
      <c r="BG62" s="76">
        <f t="shared" si="76"/>
        <v>6666.666667</v>
      </c>
      <c r="BH62" s="76">
        <f t="shared" si="76"/>
        <v>6666.666667</v>
      </c>
      <c r="BI62" s="76">
        <f t="shared" si="76"/>
        <v>6666.666667</v>
      </c>
    </row>
    <row r="63" ht="15.75" customHeight="1">
      <c r="A63" s="1"/>
      <c r="B63" s="1" t="s">
        <v>221</v>
      </c>
      <c r="C63" s="1" t="s">
        <v>212</v>
      </c>
      <c r="D63" s="1" t="str">
        <f t="shared" si="65"/>
        <v>Support</v>
      </c>
      <c r="E63" s="143">
        <v>85000.0</v>
      </c>
      <c r="F63" s="144">
        <f t="shared" ref="F63:F64" si="78">EDATE(F62,2)</f>
        <v>44166</v>
      </c>
      <c r="G63" s="141"/>
      <c r="H63" s="142">
        <v>0.09</v>
      </c>
      <c r="I63" s="143">
        <f t="shared" si="66"/>
        <v>283.3333333</v>
      </c>
      <c r="J63" s="143">
        <v>500.0</v>
      </c>
      <c r="K63" s="76">
        <f t="shared" si="74"/>
        <v>783.3333333</v>
      </c>
      <c r="N63" s="76">
        <f t="shared" ref="N63:BI63" si="77">IF($F63=0,0, IF(AND(N$1&gt;=$G63,$G63&lt;&gt;0),0,IF(N$1&gt;=$F63,$E63/12,0)))</f>
        <v>0</v>
      </c>
      <c r="O63" s="76">
        <f t="shared" si="77"/>
        <v>0</v>
      </c>
      <c r="P63" s="76">
        <f t="shared" si="77"/>
        <v>0</v>
      </c>
      <c r="Q63" s="76">
        <f t="shared" si="77"/>
        <v>0</v>
      </c>
      <c r="R63" s="76">
        <f t="shared" si="77"/>
        <v>0</v>
      </c>
      <c r="S63" s="76">
        <f t="shared" si="77"/>
        <v>0</v>
      </c>
      <c r="T63" s="76">
        <f t="shared" si="77"/>
        <v>0</v>
      </c>
      <c r="U63" s="76">
        <f t="shared" si="77"/>
        <v>7083.333333</v>
      </c>
      <c r="V63" s="76">
        <f t="shared" si="77"/>
        <v>7083.333333</v>
      </c>
      <c r="W63" s="76">
        <f t="shared" si="77"/>
        <v>7083.333333</v>
      </c>
      <c r="X63" s="76">
        <f t="shared" si="77"/>
        <v>7083.333333</v>
      </c>
      <c r="Y63" s="76">
        <f t="shared" si="77"/>
        <v>7083.333333</v>
      </c>
      <c r="Z63" s="76">
        <f t="shared" si="77"/>
        <v>7083.333333</v>
      </c>
      <c r="AA63" s="76">
        <f t="shared" si="77"/>
        <v>7083.333333</v>
      </c>
      <c r="AB63" s="76">
        <f t="shared" si="77"/>
        <v>7083.333333</v>
      </c>
      <c r="AC63" s="76">
        <f t="shared" si="77"/>
        <v>7083.333333</v>
      </c>
      <c r="AD63" s="76">
        <f t="shared" si="77"/>
        <v>7083.333333</v>
      </c>
      <c r="AE63" s="76">
        <f t="shared" si="77"/>
        <v>7083.333333</v>
      </c>
      <c r="AF63" s="76">
        <f t="shared" si="77"/>
        <v>7083.333333</v>
      </c>
      <c r="AG63" s="76">
        <f t="shared" si="77"/>
        <v>7083.333333</v>
      </c>
      <c r="AH63" s="76">
        <f t="shared" si="77"/>
        <v>7083.333333</v>
      </c>
      <c r="AI63" s="76">
        <f t="shared" si="77"/>
        <v>7083.333333</v>
      </c>
      <c r="AJ63" s="76">
        <f t="shared" si="77"/>
        <v>7083.333333</v>
      </c>
      <c r="AK63" s="76">
        <f t="shared" si="77"/>
        <v>7083.333333</v>
      </c>
      <c r="AL63" s="76">
        <f t="shared" si="77"/>
        <v>7083.333333</v>
      </c>
      <c r="AM63" s="76">
        <f t="shared" si="77"/>
        <v>7083.333333</v>
      </c>
      <c r="AN63" s="76">
        <f t="shared" si="77"/>
        <v>7083.333333</v>
      </c>
      <c r="AO63" s="76">
        <f t="shared" si="77"/>
        <v>7083.333333</v>
      </c>
      <c r="AP63" s="76">
        <f t="shared" si="77"/>
        <v>7083.333333</v>
      </c>
      <c r="AQ63" s="76">
        <f t="shared" si="77"/>
        <v>7083.333333</v>
      </c>
      <c r="AR63" s="76">
        <f t="shared" si="77"/>
        <v>7083.333333</v>
      </c>
      <c r="AS63" s="76">
        <f t="shared" si="77"/>
        <v>7083.333333</v>
      </c>
      <c r="AT63" s="76">
        <f t="shared" si="77"/>
        <v>7083.333333</v>
      </c>
      <c r="AU63" s="76">
        <f t="shared" si="77"/>
        <v>7083.333333</v>
      </c>
      <c r="AV63" s="76">
        <f t="shared" si="77"/>
        <v>7083.333333</v>
      </c>
      <c r="AW63" s="76">
        <f t="shared" si="77"/>
        <v>7083.333333</v>
      </c>
      <c r="AX63" s="76">
        <f t="shared" si="77"/>
        <v>7083.333333</v>
      </c>
      <c r="AY63" s="76">
        <f t="shared" si="77"/>
        <v>7083.333333</v>
      </c>
      <c r="AZ63" s="76">
        <f t="shared" si="77"/>
        <v>7083.333333</v>
      </c>
      <c r="BA63" s="76">
        <f t="shared" si="77"/>
        <v>7083.333333</v>
      </c>
      <c r="BB63" s="76">
        <f t="shared" si="77"/>
        <v>7083.333333</v>
      </c>
      <c r="BC63" s="76">
        <f t="shared" si="77"/>
        <v>7083.333333</v>
      </c>
      <c r="BD63" s="76">
        <f t="shared" si="77"/>
        <v>7083.333333</v>
      </c>
      <c r="BE63" s="76">
        <f t="shared" si="77"/>
        <v>7083.333333</v>
      </c>
      <c r="BF63" s="76">
        <f t="shared" si="77"/>
        <v>7083.333333</v>
      </c>
      <c r="BG63" s="76">
        <f t="shared" si="77"/>
        <v>7083.333333</v>
      </c>
      <c r="BH63" s="76">
        <f t="shared" si="77"/>
        <v>7083.333333</v>
      </c>
      <c r="BI63" s="76">
        <f t="shared" si="77"/>
        <v>7083.333333</v>
      </c>
    </row>
    <row r="64" ht="15.75" customHeight="1">
      <c r="A64" s="1"/>
      <c r="B64" s="1" t="s">
        <v>222</v>
      </c>
      <c r="C64" s="1" t="s">
        <v>212</v>
      </c>
      <c r="D64" s="1" t="str">
        <f t="shared" si="65"/>
        <v>Support</v>
      </c>
      <c r="E64" s="143">
        <v>80000.0</v>
      </c>
      <c r="F64" s="144">
        <f t="shared" si="78"/>
        <v>44228</v>
      </c>
      <c r="G64" s="141"/>
      <c r="H64" s="142">
        <v>0.09</v>
      </c>
      <c r="I64" s="143">
        <f t="shared" si="66"/>
        <v>266.6666667</v>
      </c>
      <c r="J64" s="143">
        <v>500.0</v>
      </c>
      <c r="K64" s="76">
        <f t="shared" si="74"/>
        <v>766.6666667</v>
      </c>
      <c r="N64" s="76">
        <f t="shared" ref="N64:BI64" si="79">IF($F64=0,0, IF(AND(N$1&gt;=$G64,$G64&lt;&gt;0),0,IF(N$1&gt;=$F64,$E64/12,0)))</f>
        <v>0</v>
      </c>
      <c r="O64" s="76">
        <f t="shared" si="79"/>
        <v>0</v>
      </c>
      <c r="P64" s="76">
        <f t="shared" si="79"/>
        <v>0</v>
      </c>
      <c r="Q64" s="76">
        <f t="shared" si="79"/>
        <v>0</v>
      </c>
      <c r="R64" s="76">
        <f t="shared" si="79"/>
        <v>0</v>
      </c>
      <c r="S64" s="76">
        <f t="shared" si="79"/>
        <v>0</v>
      </c>
      <c r="T64" s="76">
        <f t="shared" si="79"/>
        <v>0</v>
      </c>
      <c r="U64" s="76">
        <f t="shared" si="79"/>
        <v>0</v>
      </c>
      <c r="V64" s="76">
        <f t="shared" si="79"/>
        <v>0</v>
      </c>
      <c r="W64" s="76">
        <f t="shared" si="79"/>
        <v>6666.666667</v>
      </c>
      <c r="X64" s="76">
        <f t="shared" si="79"/>
        <v>6666.666667</v>
      </c>
      <c r="Y64" s="76">
        <f t="shared" si="79"/>
        <v>6666.666667</v>
      </c>
      <c r="Z64" s="76">
        <f t="shared" si="79"/>
        <v>6666.666667</v>
      </c>
      <c r="AA64" s="76">
        <f t="shared" si="79"/>
        <v>6666.666667</v>
      </c>
      <c r="AB64" s="76">
        <f t="shared" si="79"/>
        <v>6666.666667</v>
      </c>
      <c r="AC64" s="76">
        <f t="shared" si="79"/>
        <v>6666.666667</v>
      </c>
      <c r="AD64" s="76">
        <f t="shared" si="79"/>
        <v>6666.666667</v>
      </c>
      <c r="AE64" s="76">
        <f t="shared" si="79"/>
        <v>6666.666667</v>
      </c>
      <c r="AF64" s="76">
        <f t="shared" si="79"/>
        <v>6666.666667</v>
      </c>
      <c r="AG64" s="76">
        <f t="shared" si="79"/>
        <v>6666.666667</v>
      </c>
      <c r="AH64" s="76">
        <f t="shared" si="79"/>
        <v>6666.666667</v>
      </c>
      <c r="AI64" s="76">
        <f t="shared" si="79"/>
        <v>6666.666667</v>
      </c>
      <c r="AJ64" s="76">
        <f t="shared" si="79"/>
        <v>6666.666667</v>
      </c>
      <c r="AK64" s="76">
        <f t="shared" si="79"/>
        <v>6666.666667</v>
      </c>
      <c r="AL64" s="76">
        <f t="shared" si="79"/>
        <v>6666.666667</v>
      </c>
      <c r="AM64" s="76">
        <f t="shared" si="79"/>
        <v>6666.666667</v>
      </c>
      <c r="AN64" s="76">
        <f t="shared" si="79"/>
        <v>6666.666667</v>
      </c>
      <c r="AO64" s="76">
        <f t="shared" si="79"/>
        <v>6666.666667</v>
      </c>
      <c r="AP64" s="76">
        <f t="shared" si="79"/>
        <v>6666.666667</v>
      </c>
      <c r="AQ64" s="76">
        <f t="shared" si="79"/>
        <v>6666.666667</v>
      </c>
      <c r="AR64" s="76">
        <f t="shared" si="79"/>
        <v>6666.666667</v>
      </c>
      <c r="AS64" s="76">
        <f t="shared" si="79"/>
        <v>6666.666667</v>
      </c>
      <c r="AT64" s="76">
        <f t="shared" si="79"/>
        <v>6666.666667</v>
      </c>
      <c r="AU64" s="76">
        <f t="shared" si="79"/>
        <v>6666.666667</v>
      </c>
      <c r="AV64" s="76">
        <f t="shared" si="79"/>
        <v>6666.666667</v>
      </c>
      <c r="AW64" s="76">
        <f t="shared" si="79"/>
        <v>6666.666667</v>
      </c>
      <c r="AX64" s="76">
        <f t="shared" si="79"/>
        <v>6666.666667</v>
      </c>
      <c r="AY64" s="76">
        <f t="shared" si="79"/>
        <v>6666.666667</v>
      </c>
      <c r="AZ64" s="76">
        <f t="shared" si="79"/>
        <v>6666.666667</v>
      </c>
      <c r="BA64" s="76">
        <f t="shared" si="79"/>
        <v>6666.666667</v>
      </c>
      <c r="BB64" s="76">
        <f t="shared" si="79"/>
        <v>6666.666667</v>
      </c>
      <c r="BC64" s="76">
        <f t="shared" si="79"/>
        <v>6666.666667</v>
      </c>
      <c r="BD64" s="76">
        <f t="shared" si="79"/>
        <v>6666.666667</v>
      </c>
      <c r="BE64" s="76">
        <f t="shared" si="79"/>
        <v>6666.666667</v>
      </c>
      <c r="BF64" s="76">
        <f t="shared" si="79"/>
        <v>6666.666667</v>
      </c>
      <c r="BG64" s="76">
        <f t="shared" si="79"/>
        <v>6666.666667</v>
      </c>
      <c r="BH64" s="76">
        <f t="shared" si="79"/>
        <v>6666.666667</v>
      </c>
      <c r="BI64" s="76">
        <f t="shared" si="79"/>
        <v>6666.666667</v>
      </c>
    </row>
    <row r="65" ht="15.75" customHeight="1">
      <c r="A65" s="21" t="s">
        <v>223</v>
      </c>
      <c r="B65" s="22"/>
      <c r="C65" s="22"/>
      <c r="D65" s="22"/>
      <c r="E65" s="22"/>
      <c r="F65" s="22"/>
      <c r="G65" s="22"/>
      <c r="H65" s="22"/>
      <c r="I65" s="22"/>
      <c r="J65" s="22"/>
      <c r="K65" s="146"/>
      <c r="L65" s="21"/>
      <c r="M65" s="21"/>
      <c r="N65" s="147">
        <f t="shared" ref="N65:BI65" si="80">SUM(N4:N64)</f>
        <v>343450</v>
      </c>
      <c r="O65" s="147">
        <f t="shared" si="80"/>
        <v>343450</v>
      </c>
      <c r="P65" s="147">
        <f t="shared" si="80"/>
        <v>343450</v>
      </c>
      <c r="Q65" s="147">
        <f t="shared" si="80"/>
        <v>343450</v>
      </c>
      <c r="R65" s="147">
        <f t="shared" si="80"/>
        <v>343450</v>
      </c>
      <c r="S65" s="147">
        <f t="shared" si="80"/>
        <v>392200</v>
      </c>
      <c r="T65" s="147">
        <f t="shared" si="80"/>
        <v>392200</v>
      </c>
      <c r="U65" s="147">
        <f t="shared" si="80"/>
        <v>425950</v>
      </c>
      <c r="V65" s="147">
        <f t="shared" si="80"/>
        <v>440533.3333</v>
      </c>
      <c r="W65" s="147">
        <f t="shared" si="80"/>
        <v>473866.6667</v>
      </c>
      <c r="X65" s="147">
        <f t="shared" si="80"/>
        <v>473866.6667</v>
      </c>
      <c r="Y65" s="147">
        <f t="shared" si="80"/>
        <v>515116.6667</v>
      </c>
      <c r="Z65" s="147">
        <f t="shared" si="80"/>
        <v>515116.6667</v>
      </c>
      <c r="AA65" s="147">
        <f t="shared" si="80"/>
        <v>515116.6667</v>
      </c>
      <c r="AB65" s="147">
        <f t="shared" si="80"/>
        <v>530283.3333</v>
      </c>
      <c r="AC65" s="147">
        <f t="shared" si="80"/>
        <v>530283.3333</v>
      </c>
      <c r="AD65" s="147">
        <f t="shared" si="80"/>
        <v>530283.3333</v>
      </c>
      <c r="AE65" s="147">
        <f t="shared" si="80"/>
        <v>544033.3333</v>
      </c>
      <c r="AF65" s="147">
        <f t="shared" si="80"/>
        <v>544033.3333</v>
      </c>
      <c r="AG65" s="147">
        <f t="shared" si="80"/>
        <v>544033.3333</v>
      </c>
      <c r="AH65" s="147">
        <f t="shared" si="80"/>
        <v>557783.3333</v>
      </c>
      <c r="AI65" s="147">
        <f t="shared" si="80"/>
        <v>557783.3333</v>
      </c>
      <c r="AJ65" s="147">
        <f t="shared" si="80"/>
        <v>557783.3333</v>
      </c>
      <c r="AK65" s="147">
        <f t="shared" si="80"/>
        <v>571533.3333</v>
      </c>
      <c r="AL65" s="147">
        <f t="shared" si="80"/>
        <v>571533.3333</v>
      </c>
      <c r="AM65" s="147">
        <f t="shared" si="80"/>
        <v>571533.3333</v>
      </c>
      <c r="AN65" s="147">
        <f t="shared" si="80"/>
        <v>585283.3333</v>
      </c>
      <c r="AO65" s="147">
        <f t="shared" si="80"/>
        <v>585283.3333</v>
      </c>
      <c r="AP65" s="147">
        <f t="shared" si="80"/>
        <v>585283.3333</v>
      </c>
      <c r="AQ65" s="147">
        <f t="shared" si="80"/>
        <v>599033.3333</v>
      </c>
      <c r="AR65" s="147">
        <f t="shared" si="80"/>
        <v>599033.3333</v>
      </c>
      <c r="AS65" s="147">
        <f t="shared" si="80"/>
        <v>599033.3333</v>
      </c>
      <c r="AT65" s="147">
        <f t="shared" si="80"/>
        <v>612783.3333</v>
      </c>
      <c r="AU65" s="147">
        <f t="shared" si="80"/>
        <v>612783.3333</v>
      </c>
      <c r="AV65" s="147">
        <f t="shared" si="80"/>
        <v>612783.3333</v>
      </c>
      <c r="AW65" s="147">
        <f t="shared" si="80"/>
        <v>626533.3333</v>
      </c>
      <c r="AX65" s="147">
        <f t="shared" si="80"/>
        <v>626533.3333</v>
      </c>
      <c r="AY65" s="147">
        <f t="shared" si="80"/>
        <v>626533.3333</v>
      </c>
      <c r="AZ65" s="147">
        <f t="shared" si="80"/>
        <v>640283.3333</v>
      </c>
      <c r="BA65" s="147">
        <f t="shared" si="80"/>
        <v>640283.3333</v>
      </c>
      <c r="BB65" s="147">
        <f t="shared" si="80"/>
        <v>640283.3333</v>
      </c>
      <c r="BC65" s="147">
        <f t="shared" si="80"/>
        <v>640283.3333</v>
      </c>
      <c r="BD65" s="147">
        <f t="shared" si="80"/>
        <v>640283.3333</v>
      </c>
      <c r="BE65" s="147">
        <f t="shared" si="80"/>
        <v>640283.3333</v>
      </c>
      <c r="BF65" s="147">
        <f t="shared" si="80"/>
        <v>640283.3333</v>
      </c>
      <c r="BG65" s="147">
        <f t="shared" si="80"/>
        <v>640283.3333</v>
      </c>
      <c r="BH65" s="147">
        <f t="shared" si="80"/>
        <v>640283.3333</v>
      </c>
      <c r="BI65" s="147">
        <f t="shared" si="80"/>
        <v>640283.3333</v>
      </c>
    </row>
    <row r="66" ht="15.75" customHeight="1">
      <c r="D66" s="30"/>
      <c r="E66" s="30"/>
      <c r="F66" s="30"/>
      <c r="G66" s="30"/>
      <c r="H66" s="30"/>
      <c r="I66" s="30"/>
      <c r="J66" s="30"/>
      <c r="K66" s="30"/>
    </row>
    <row r="67" ht="15.75" customHeight="1">
      <c r="A67" s="7" t="s">
        <v>224</v>
      </c>
      <c r="D67" s="30"/>
      <c r="E67" s="30"/>
      <c r="F67" s="30"/>
      <c r="G67" s="30"/>
      <c r="H67" s="30"/>
      <c r="I67" s="30"/>
      <c r="J67" s="30"/>
      <c r="K67" s="30"/>
    </row>
    <row r="68" ht="15.75" customHeight="1">
      <c r="B68" s="1" t="s">
        <v>77</v>
      </c>
      <c r="D68" s="30"/>
      <c r="E68" s="30"/>
      <c r="F68" s="30"/>
      <c r="G68" s="30"/>
      <c r="H68" s="30"/>
      <c r="I68" s="30"/>
      <c r="J68" s="30"/>
      <c r="K68" s="30"/>
      <c r="N68" s="76">
        <f t="shared" ref="N68:BI68" si="81">SUMIFS(N$4:N$64,$D$4:$D$64,$B68,$H$4:$H$64,"&gt;"&amp;0)</f>
        <v>22500</v>
      </c>
      <c r="O68" s="76">
        <f t="shared" si="81"/>
        <v>22500</v>
      </c>
      <c r="P68" s="76">
        <f t="shared" si="81"/>
        <v>22500</v>
      </c>
      <c r="Q68" s="76">
        <f t="shared" si="81"/>
        <v>22500</v>
      </c>
      <c r="R68" s="76">
        <f t="shared" si="81"/>
        <v>22500</v>
      </c>
      <c r="S68" s="76">
        <f t="shared" si="81"/>
        <v>22500</v>
      </c>
      <c r="T68" s="76">
        <f t="shared" si="81"/>
        <v>22500</v>
      </c>
      <c r="U68" s="76">
        <f t="shared" si="81"/>
        <v>22500</v>
      </c>
      <c r="V68" s="76">
        <f t="shared" si="81"/>
        <v>22500</v>
      </c>
      <c r="W68" s="76">
        <f t="shared" si="81"/>
        <v>22500</v>
      </c>
      <c r="X68" s="76">
        <f t="shared" si="81"/>
        <v>22500</v>
      </c>
      <c r="Y68" s="76">
        <f t="shared" si="81"/>
        <v>22500</v>
      </c>
      <c r="Z68" s="76">
        <f t="shared" si="81"/>
        <v>22500</v>
      </c>
      <c r="AA68" s="76">
        <f t="shared" si="81"/>
        <v>22500</v>
      </c>
      <c r="AB68" s="76">
        <f t="shared" si="81"/>
        <v>22500</v>
      </c>
      <c r="AC68" s="76">
        <f t="shared" si="81"/>
        <v>22500</v>
      </c>
      <c r="AD68" s="76">
        <f t="shared" si="81"/>
        <v>22500</v>
      </c>
      <c r="AE68" s="76">
        <f t="shared" si="81"/>
        <v>22500</v>
      </c>
      <c r="AF68" s="76">
        <f t="shared" si="81"/>
        <v>22500</v>
      </c>
      <c r="AG68" s="76">
        <f t="shared" si="81"/>
        <v>22500</v>
      </c>
      <c r="AH68" s="76">
        <f t="shared" si="81"/>
        <v>22500</v>
      </c>
      <c r="AI68" s="76">
        <f t="shared" si="81"/>
        <v>22500</v>
      </c>
      <c r="AJ68" s="76">
        <f t="shared" si="81"/>
        <v>22500</v>
      </c>
      <c r="AK68" s="76">
        <f t="shared" si="81"/>
        <v>22500</v>
      </c>
      <c r="AL68" s="76">
        <f t="shared" si="81"/>
        <v>22500</v>
      </c>
      <c r="AM68" s="76">
        <f t="shared" si="81"/>
        <v>22500</v>
      </c>
      <c r="AN68" s="76">
        <f t="shared" si="81"/>
        <v>22500</v>
      </c>
      <c r="AO68" s="76">
        <f t="shared" si="81"/>
        <v>22500</v>
      </c>
      <c r="AP68" s="76">
        <f t="shared" si="81"/>
        <v>22500</v>
      </c>
      <c r="AQ68" s="76">
        <f t="shared" si="81"/>
        <v>22500</v>
      </c>
      <c r="AR68" s="76">
        <f t="shared" si="81"/>
        <v>22500</v>
      </c>
      <c r="AS68" s="76">
        <f t="shared" si="81"/>
        <v>22500</v>
      </c>
      <c r="AT68" s="76">
        <f t="shared" si="81"/>
        <v>22500</v>
      </c>
      <c r="AU68" s="76">
        <f t="shared" si="81"/>
        <v>22500</v>
      </c>
      <c r="AV68" s="76">
        <f t="shared" si="81"/>
        <v>22500</v>
      </c>
      <c r="AW68" s="76">
        <f t="shared" si="81"/>
        <v>22500</v>
      </c>
      <c r="AX68" s="76">
        <f t="shared" si="81"/>
        <v>22500</v>
      </c>
      <c r="AY68" s="76">
        <f t="shared" si="81"/>
        <v>22500</v>
      </c>
      <c r="AZ68" s="76">
        <f t="shared" si="81"/>
        <v>22500</v>
      </c>
      <c r="BA68" s="76">
        <f t="shared" si="81"/>
        <v>22500</v>
      </c>
      <c r="BB68" s="76">
        <f t="shared" si="81"/>
        <v>22500</v>
      </c>
      <c r="BC68" s="76">
        <f t="shared" si="81"/>
        <v>22500</v>
      </c>
      <c r="BD68" s="76">
        <f t="shared" si="81"/>
        <v>22500</v>
      </c>
      <c r="BE68" s="76">
        <f t="shared" si="81"/>
        <v>22500</v>
      </c>
      <c r="BF68" s="76">
        <f t="shared" si="81"/>
        <v>22500</v>
      </c>
      <c r="BG68" s="76">
        <f t="shared" si="81"/>
        <v>22500</v>
      </c>
      <c r="BH68" s="76">
        <f t="shared" si="81"/>
        <v>22500</v>
      </c>
      <c r="BI68" s="76">
        <f t="shared" si="81"/>
        <v>22500</v>
      </c>
    </row>
    <row r="69" ht="15.75" customHeight="1">
      <c r="B69" s="1" t="s">
        <v>78</v>
      </c>
      <c r="D69" s="30"/>
      <c r="E69" s="30"/>
      <c r="F69" s="30"/>
      <c r="G69" s="30"/>
      <c r="H69" s="30"/>
      <c r="I69" s="30"/>
      <c r="J69" s="30"/>
      <c r="K69" s="30"/>
      <c r="N69" s="76">
        <f t="shared" ref="N69:BI69" si="82">SUMIFS(N$4:N$64,$D$4:$D$64,$B69,$H$4:$H$64,"&gt;"&amp;0)</f>
        <v>197250</v>
      </c>
      <c r="O69" s="76">
        <f t="shared" si="82"/>
        <v>197250</v>
      </c>
      <c r="P69" s="76">
        <f t="shared" si="82"/>
        <v>197250</v>
      </c>
      <c r="Q69" s="76">
        <f t="shared" si="82"/>
        <v>197250</v>
      </c>
      <c r="R69" s="76">
        <f t="shared" si="82"/>
        <v>197250</v>
      </c>
      <c r="S69" s="76">
        <f t="shared" si="82"/>
        <v>212666.6667</v>
      </c>
      <c r="T69" s="76">
        <f t="shared" si="82"/>
        <v>212666.6667</v>
      </c>
      <c r="U69" s="76">
        <f t="shared" si="82"/>
        <v>212666.6667</v>
      </c>
      <c r="V69" s="76">
        <f t="shared" si="82"/>
        <v>227250</v>
      </c>
      <c r="W69" s="76">
        <f t="shared" si="82"/>
        <v>227250</v>
      </c>
      <c r="X69" s="76">
        <f t="shared" si="82"/>
        <v>227250</v>
      </c>
      <c r="Y69" s="76">
        <f t="shared" si="82"/>
        <v>241833.3333</v>
      </c>
      <c r="Z69" s="76">
        <f t="shared" si="82"/>
        <v>241833.3333</v>
      </c>
      <c r="AA69" s="76">
        <f t="shared" si="82"/>
        <v>241833.3333</v>
      </c>
      <c r="AB69" s="76">
        <f t="shared" si="82"/>
        <v>257000</v>
      </c>
      <c r="AC69" s="76">
        <f t="shared" si="82"/>
        <v>257000</v>
      </c>
      <c r="AD69" s="76">
        <f t="shared" si="82"/>
        <v>257000</v>
      </c>
      <c r="AE69" s="76">
        <f t="shared" si="82"/>
        <v>270750</v>
      </c>
      <c r="AF69" s="76">
        <f t="shared" si="82"/>
        <v>270750</v>
      </c>
      <c r="AG69" s="76">
        <f t="shared" si="82"/>
        <v>270750</v>
      </c>
      <c r="AH69" s="76">
        <f t="shared" si="82"/>
        <v>284500</v>
      </c>
      <c r="AI69" s="76">
        <f t="shared" si="82"/>
        <v>284500</v>
      </c>
      <c r="AJ69" s="76">
        <f t="shared" si="82"/>
        <v>284500</v>
      </c>
      <c r="AK69" s="76">
        <f t="shared" si="82"/>
        <v>298250</v>
      </c>
      <c r="AL69" s="76">
        <f t="shared" si="82"/>
        <v>298250</v>
      </c>
      <c r="AM69" s="76">
        <f t="shared" si="82"/>
        <v>298250</v>
      </c>
      <c r="AN69" s="76">
        <f t="shared" si="82"/>
        <v>312000</v>
      </c>
      <c r="AO69" s="76">
        <f t="shared" si="82"/>
        <v>312000</v>
      </c>
      <c r="AP69" s="76">
        <f t="shared" si="82"/>
        <v>312000</v>
      </c>
      <c r="AQ69" s="76">
        <f t="shared" si="82"/>
        <v>325750</v>
      </c>
      <c r="AR69" s="76">
        <f t="shared" si="82"/>
        <v>325750</v>
      </c>
      <c r="AS69" s="76">
        <f t="shared" si="82"/>
        <v>325750</v>
      </c>
      <c r="AT69" s="76">
        <f t="shared" si="82"/>
        <v>339500</v>
      </c>
      <c r="AU69" s="76">
        <f t="shared" si="82"/>
        <v>339500</v>
      </c>
      <c r="AV69" s="76">
        <f t="shared" si="82"/>
        <v>339500</v>
      </c>
      <c r="AW69" s="76">
        <f t="shared" si="82"/>
        <v>353250</v>
      </c>
      <c r="AX69" s="76">
        <f t="shared" si="82"/>
        <v>353250</v>
      </c>
      <c r="AY69" s="76">
        <f t="shared" si="82"/>
        <v>353250</v>
      </c>
      <c r="AZ69" s="76">
        <f t="shared" si="82"/>
        <v>367000</v>
      </c>
      <c r="BA69" s="76">
        <f t="shared" si="82"/>
        <v>367000</v>
      </c>
      <c r="BB69" s="76">
        <f t="shared" si="82"/>
        <v>367000</v>
      </c>
      <c r="BC69" s="76">
        <f t="shared" si="82"/>
        <v>367000</v>
      </c>
      <c r="BD69" s="76">
        <f t="shared" si="82"/>
        <v>367000</v>
      </c>
      <c r="BE69" s="76">
        <f t="shared" si="82"/>
        <v>367000</v>
      </c>
      <c r="BF69" s="76">
        <f t="shared" si="82"/>
        <v>367000</v>
      </c>
      <c r="BG69" s="76">
        <f t="shared" si="82"/>
        <v>367000</v>
      </c>
      <c r="BH69" s="76">
        <f t="shared" si="82"/>
        <v>367000</v>
      </c>
      <c r="BI69" s="76">
        <f t="shared" si="82"/>
        <v>367000</v>
      </c>
    </row>
    <row r="70" ht="15.75" customHeight="1">
      <c r="B70" s="1" t="s">
        <v>184</v>
      </c>
      <c r="D70" s="30"/>
      <c r="E70" s="30"/>
      <c r="F70" s="30"/>
      <c r="G70" s="30"/>
      <c r="H70" s="30"/>
      <c r="I70" s="30"/>
      <c r="J70" s="30"/>
      <c r="K70" s="30"/>
      <c r="N70" s="76">
        <f t="shared" ref="N70:BI70" si="83">SUMIFS(N$4:N$64,$D$4:$D$64,$B70,$H$4:$H$64,"&gt;"&amp;0)</f>
        <v>25833.33333</v>
      </c>
      <c r="O70" s="76">
        <f t="shared" si="83"/>
        <v>25833.33333</v>
      </c>
      <c r="P70" s="76">
        <f t="shared" si="83"/>
        <v>25833.33333</v>
      </c>
      <c r="Q70" s="76">
        <f t="shared" si="83"/>
        <v>25833.33333</v>
      </c>
      <c r="R70" s="76">
        <f t="shared" si="83"/>
        <v>25833.33333</v>
      </c>
      <c r="S70" s="76">
        <f t="shared" si="83"/>
        <v>34166.66667</v>
      </c>
      <c r="T70" s="76">
        <f t="shared" si="83"/>
        <v>34166.66667</v>
      </c>
      <c r="U70" s="76">
        <f t="shared" si="83"/>
        <v>42500</v>
      </c>
      <c r="V70" s="76">
        <f t="shared" si="83"/>
        <v>42500</v>
      </c>
      <c r="W70" s="76">
        <f t="shared" si="83"/>
        <v>50833.33333</v>
      </c>
      <c r="X70" s="76">
        <f t="shared" si="83"/>
        <v>50833.33333</v>
      </c>
      <c r="Y70" s="76">
        <f t="shared" si="83"/>
        <v>59166.66667</v>
      </c>
      <c r="Z70" s="76">
        <f t="shared" si="83"/>
        <v>59166.66667</v>
      </c>
      <c r="AA70" s="76">
        <f t="shared" si="83"/>
        <v>59166.66667</v>
      </c>
      <c r="AB70" s="76">
        <f t="shared" si="83"/>
        <v>59166.66667</v>
      </c>
      <c r="AC70" s="76">
        <f t="shared" si="83"/>
        <v>59166.66667</v>
      </c>
      <c r="AD70" s="76">
        <f t="shared" si="83"/>
        <v>59166.66667</v>
      </c>
      <c r="AE70" s="76">
        <f t="shared" si="83"/>
        <v>59166.66667</v>
      </c>
      <c r="AF70" s="76">
        <f t="shared" si="83"/>
        <v>59166.66667</v>
      </c>
      <c r="AG70" s="76">
        <f t="shared" si="83"/>
        <v>59166.66667</v>
      </c>
      <c r="AH70" s="76">
        <f t="shared" si="83"/>
        <v>59166.66667</v>
      </c>
      <c r="AI70" s="76">
        <f t="shared" si="83"/>
        <v>59166.66667</v>
      </c>
      <c r="AJ70" s="76">
        <f t="shared" si="83"/>
        <v>59166.66667</v>
      </c>
      <c r="AK70" s="76">
        <f t="shared" si="83"/>
        <v>59166.66667</v>
      </c>
      <c r="AL70" s="76">
        <f t="shared" si="83"/>
        <v>59166.66667</v>
      </c>
      <c r="AM70" s="76">
        <f t="shared" si="83"/>
        <v>59166.66667</v>
      </c>
      <c r="AN70" s="76">
        <f t="shared" si="83"/>
        <v>59166.66667</v>
      </c>
      <c r="AO70" s="76">
        <f t="shared" si="83"/>
        <v>59166.66667</v>
      </c>
      <c r="AP70" s="76">
        <f t="shared" si="83"/>
        <v>59166.66667</v>
      </c>
      <c r="AQ70" s="76">
        <f t="shared" si="83"/>
        <v>59166.66667</v>
      </c>
      <c r="AR70" s="76">
        <f t="shared" si="83"/>
        <v>59166.66667</v>
      </c>
      <c r="AS70" s="76">
        <f t="shared" si="83"/>
        <v>59166.66667</v>
      </c>
      <c r="AT70" s="76">
        <f t="shared" si="83"/>
        <v>59166.66667</v>
      </c>
      <c r="AU70" s="76">
        <f t="shared" si="83"/>
        <v>59166.66667</v>
      </c>
      <c r="AV70" s="76">
        <f t="shared" si="83"/>
        <v>59166.66667</v>
      </c>
      <c r="AW70" s="76">
        <f t="shared" si="83"/>
        <v>59166.66667</v>
      </c>
      <c r="AX70" s="76">
        <f t="shared" si="83"/>
        <v>59166.66667</v>
      </c>
      <c r="AY70" s="76">
        <f t="shared" si="83"/>
        <v>59166.66667</v>
      </c>
      <c r="AZ70" s="76">
        <f t="shared" si="83"/>
        <v>59166.66667</v>
      </c>
      <c r="BA70" s="76">
        <f t="shared" si="83"/>
        <v>59166.66667</v>
      </c>
      <c r="BB70" s="76">
        <f t="shared" si="83"/>
        <v>59166.66667</v>
      </c>
      <c r="BC70" s="76">
        <f t="shared" si="83"/>
        <v>59166.66667</v>
      </c>
      <c r="BD70" s="76">
        <f t="shared" si="83"/>
        <v>59166.66667</v>
      </c>
      <c r="BE70" s="76">
        <f t="shared" si="83"/>
        <v>59166.66667</v>
      </c>
      <c r="BF70" s="76">
        <f t="shared" si="83"/>
        <v>59166.66667</v>
      </c>
      <c r="BG70" s="76">
        <f t="shared" si="83"/>
        <v>59166.66667</v>
      </c>
      <c r="BH70" s="76">
        <f t="shared" si="83"/>
        <v>59166.66667</v>
      </c>
      <c r="BI70" s="76">
        <f t="shared" si="83"/>
        <v>59166.66667</v>
      </c>
    </row>
    <row r="71" ht="15.75" customHeight="1">
      <c r="B71" s="1" t="s">
        <v>193</v>
      </c>
      <c r="D71" s="30"/>
      <c r="E71" s="30"/>
      <c r="F71" s="30"/>
      <c r="G71" s="30"/>
      <c r="H71" s="30"/>
      <c r="I71" s="30"/>
      <c r="J71" s="30"/>
      <c r="K71" s="30"/>
      <c r="N71" s="76">
        <f t="shared" ref="N71:BI71" si="84">SUMIFS(N$4:N$64,$D$4:$D$64,$B71,$H$4:$H$64,"&gt;"&amp;0)</f>
        <v>37500</v>
      </c>
      <c r="O71" s="76">
        <f t="shared" si="84"/>
        <v>37500</v>
      </c>
      <c r="P71" s="76">
        <f t="shared" si="84"/>
        <v>37500</v>
      </c>
      <c r="Q71" s="76">
        <f t="shared" si="84"/>
        <v>37500</v>
      </c>
      <c r="R71" s="76">
        <f t="shared" si="84"/>
        <v>37500</v>
      </c>
      <c r="S71" s="76">
        <f t="shared" si="84"/>
        <v>55833.33333</v>
      </c>
      <c r="T71" s="76">
        <f t="shared" si="84"/>
        <v>55833.33333</v>
      </c>
      <c r="U71" s="76">
        <f t="shared" si="84"/>
        <v>74166.66667</v>
      </c>
      <c r="V71" s="76">
        <f t="shared" si="84"/>
        <v>74166.66667</v>
      </c>
      <c r="W71" s="76">
        <f t="shared" si="84"/>
        <v>92500</v>
      </c>
      <c r="X71" s="76">
        <f t="shared" si="84"/>
        <v>92500</v>
      </c>
      <c r="Y71" s="76">
        <f t="shared" si="84"/>
        <v>110833.3333</v>
      </c>
      <c r="Z71" s="76">
        <f t="shared" si="84"/>
        <v>110833.3333</v>
      </c>
      <c r="AA71" s="76">
        <f t="shared" si="84"/>
        <v>110833.3333</v>
      </c>
      <c r="AB71" s="76">
        <f t="shared" si="84"/>
        <v>110833.3333</v>
      </c>
      <c r="AC71" s="76">
        <f t="shared" si="84"/>
        <v>110833.3333</v>
      </c>
      <c r="AD71" s="76">
        <f t="shared" si="84"/>
        <v>110833.3333</v>
      </c>
      <c r="AE71" s="76">
        <f t="shared" si="84"/>
        <v>110833.3333</v>
      </c>
      <c r="AF71" s="76">
        <f t="shared" si="84"/>
        <v>110833.3333</v>
      </c>
      <c r="AG71" s="76">
        <f t="shared" si="84"/>
        <v>110833.3333</v>
      </c>
      <c r="AH71" s="76">
        <f t="shared" si="84"/>
        <v>110833.3333</v>
      </c>
      <c r="AI71" s="76">
        <f t="shared" si="84"/>
        <v>110833.3333</v>
      </c>
      <c r="AJ71" s="76">
        <f t="shared" si="84"/>
        <v>110833.3333</v>
      </c>
      <c r="AK71" s="76">
        <f t="shared" si="84"/>
        <v>110833.3333</v>
      </c>
      <c r="AL71" s="76">
        <f t="shared" si="84"/>
        <v>110833.3333</v>
      </c>
      <c r="AM71" s="76">
        <f t="shared" si="84"/>
        <v>110833.3333</v>
      </c>
      <c r="AN71" s="76">
        <f t="shared" si="84"/>
        <v>110833.3333</v>
      </c>
      <c r="AO71" s="76">
        <f t="shared" si="84"/>
        <v>110833.3333</v>
      </c>
      <c r="AP71" s="76">
        <f t="shared" si="84"/>
        <v>110833.3333</v>
      </c>
      <c r="AQ71" s="76">
        <f t="shared" si="84"/>
        <v>110833.3333</v>
      </c>
      <c r="AR71" s="76">
        <f t="shared" si="84"/>
        <v>110833.3333</v>
      </c>
      <c r="AS71" s="76">
        <f t="shared" si="84"/>
        <v>110833.3333</v>
      </c>
      <c r="AT71" s="76">
        <f t="shared" si="84"/>
        <v>110833.3333</v>
      </c>
      <c r="AU71" s="76">
        <f t="shared" si="84"/>
        <v>110833.3333</v>
      </c>
      <c r="AV71" s="76">
        <f t="shared" si="84"/>
        <v>110833.3333</v>
      </c>
      <c r="AW71" s="76">
        <f t="shared" si="84"/>
        <v>110833.3333</v>
      </c>
      <c r="AX71" s="76">
        <f t="shared" si="84"/>
        <v>110833.3333</v>
      </c>
      <c r="AY71" s="76">
        <f t="shared" si="84"/>
        <v>110833.3333</v>
      </c>
      <c r="AZ71" s="76">
        <f t="shared" si="84"/>
        <v>110833.3333</v>
      </c>
      <c r="BA71" s="76">
        <f t="shared" si="84"/>
        <v>110833.3333</v>
      </c>
      <c r="BB71" s="76">
        <f t="shared" si="84"/>
        <v>110833.3333</v>
      </c>
      <c r="BC71" s="76">
        <f t="shared" si="84"/>
        <v>110833.3333</v>
      </c>
      <c r="BD71" s="76">
        <f t="shared" si="84"/>
        <v>110833.3333</v>
      </c>
      <c r="BE71" s="76">
        <f t="shared" si="84"/>
        <v>110833.3333</v>
      </c>
      <c r="BF71" s="76">
        <f t="shared" si="84"/>
        <v>110833.3333</v>
      </c>
      <c r="BG71" s="76">
        <f t="shared" si="84"/>
        <v>110833.3333</v>
      </c>
      <c r="BH71" s="76">
        <f t="shared" si="84"/>
        <v>110833.3333</v>
      </c>
      <c r="BI71" s="76">
        <f t="shared" si="84"/>
        <v>110833.3333</v>
      </c>
    </row>
    <row r="72" ht="15.75" customHeight="1">
      <c r="B72" s="1" t="s">
        <v>208</v>
      </c>
      <c r="D72" s="30"/>
      <c r="E72" s="30"/>
      <c r="F72" s="30"/>
      <c r="G72" s="30"/>
      <c r="H72" s="30"/>
      <c r="I72" s="30"/>
      <c r="J72" s="30"/>
      <c r="K72" s="30"/>
      <c r="N72" s="76">
        <f t="shared" ref="N72:BI72" si="85">SUMIFS(N$4:N$64,$D$4:$D$64,$B72,$H$4:$H$64,"&gt;"&amp;0)</f>
        <v>60366.66667</v>
      </c>
      <c r="O72" s="76">
        <f t="shared" si="85"/>
        <v>60366.66667</v>
      </c>
      <c r="P72" s="76">
        <f t="shared" si="85"/>
        <v>60366.66667</v>
      </c>
      <c r="Q72" s="76">
        <f t="shared" si="85"/>
        <v>60366.66667</v>
      </c>
      <c r="R72" s="76">
        <f t="shared" si="85"/>
        <v>60366.66667</v>
      </c>
      <c r="S72" s="76">
        <f t="shared" si="85"/>
        <v>67033.33333</v>
      </c>
      <c r="T72" s="76">
        <f t="shared" si="85"/>
        <v>67033.33333</v>
      </c>
      <c r="U72" s="76">
        <f t="shared" si="85"/>
        <v>74116.66667</v>
      </c>
      <c r="V72" s="76">
        <f t="shared" si="85"/>
        <v>74116.66667</v>
      </c>
      <c r="W72" s="76">
        <f t="shared" si="85"/>
        <v>80783.33333</v>
      </c>
      <c r="X72" s="76">
        <f t="shared" si="85"/>
        <v>80783.33333</v>
      </c>
      <c r="Y72" s="76">
        <f t="shared" si="85"/>
        <v>80783.33333</v>
      </c>
      <c r="Z72" s="76">
        <f t="shared" si="85"/>
        <v>80783.33333</v>
      </c>
      <c r="AA72" s="76">
        <f t="shared" si="85"/>
        <v>80783.33333</v>
      </c>
      <c r="AB72" s="76">
        <f t="shared" si="85"/>
        <v>80783.33333</v>
      </c>
      <c r="AC72" s="76">
        <f t="shared" si="85"/>
        <v>80783.33333</v>
      </c>
      <c r="AD72" s="76">
        <f t="shared" si="85"/>
        <v>80783.33333</v>
      </c>
      <c r="AE72" s="76">
        <f t="shared" si="85"/>
        <v>80783.33333</v>
      </c>
      <c r="AF72" s="76">
        <f t="shared" si="85"/>
        <v>80783.33333</v>
      </c>
      <c r="AG72" s="76">
        <f t="shared" si="85"/>
        <v>80783.33333</v>
      </c>
      <c r="AH72" s="76">
        <f t="shared" si="85"/>
        <v>80783.33333</v>
      </c>
      <c r="AI72" s="76">
        <f t="shared" si="85"/>
        <v>80783.33333</v>
      </c>
      <c r="AJ72" s="76">
        <f t="shared" si="85"/>
        <v>80783.33333</v>
      </c>
      <c r="AK72" s="76">
        <f t="shared" si="85"/>
        <v>80783.33333</v>
      </c>
      <c r="AL72" s="76">
        <f t="shared" si="85"/>
        <v>80783.33333</v>
      </c>
      <c r="AM72" s="76">
        <f t="shared" si="85"/>
        <v>80783.33333</v>
      </c>
      <c r="AN72" s="76">
        <f t="shared" si="85"/>
        <v>80783.33333</v>
      </c>
      <c r="AO72" s="76">
        <f t="shared" si="85"/>
        <v>80783.33333</v>
      </c>
      <c r="AP72" s="76">
        <f t="shared" si="85"/>
        <v>80783.33333</v>
      </c>
      <c r="AQ72" s="76">
        <f t="shared" si="85"/>
        <v>80783.33333</v>
      </c>
      <c r="AR72" s="76">
        <f t="shared" si="85"/>
        <v>80783.33333</v>
      </c>
      <c r="AS72" s="76">
        <f t="shared" si="85"/>
        <v>80783.33333</v>
      </c>
      <c r="AT72" s="76">
        <f t="shared" si="85"/>
        <v>80783.33333</v>
      </c>
      <c r="AU72" s="76">
        <f t="shared" si="85"/>
        <v>80783.33333</v>
      </c>
      <c r="AV72" s="76">
        <f t="shared" si="85"/>
        <v>80783.33333</v>
      </c>
      <c r="AW72" s="76">
        <f t="shared" si="85"/>
        <v>80783.33333</v>
      </c>
      <c r="AX72" s="76">
        <f t="shared" si="85"/>
        <v>80783.33333</v>
      </c>
      <c r="AY72" s="76">
        <f t="shared" si="85"/>
        <v>80783.33333</v>
      </c>
      <c r="AZ72" s="76">
        <f t="shared" si="85"/>
        <v>80783.33333</v>
      </c>
      <c r="BA72" s="76">
        <f t="shared" si="85"/>
        <v>80783.33333</v>
      </c>
      <c r="BB72" s="76">
        <f t="shared" si="85"/>
        <v>80783.33333</v>
      </c>
      <c r="BC72" s="76">
        <f t="shared" si="85"/>
        <v>80783.33333</v>
      </c>
      <c r="BD72" s="76">
        <f t="shared" si="85"/>
        <v>80783.33333</v>
      </c>
      <c r="BE72" s="76">
        <f t="shared" si="85"/>
        <v>80783.33333</v>
      </c>
      <c r="BF72" s="76">
        <f t="shared" si="85"/>
        <v>80783.33333</v>
      </c>
      <c r="BG72" s="76">
        <f t="shared" si="85"/>
        <v>80783.33333</v>
      </c>
      <c r="BH72" s="76">
        <f t="shared" si="85"/>
        <v>80783.33333</v>
      </c>
      <c r="BI72" s="76">
        <f t="shared" si="85"/>
        <v>80783.33333</v>
      </c>
    </row>
    <row r="73" ht="15.75" customHeight="1">
      <c r="A73" s="21" t="s">
        <v>225</v>
      </c>
      <c r="B73" s="22"/>
      <c r="C73" s="22"/>
      <c r="D73" s="148"/>
      <c r="E73" s="148"/>
      <c r="F73" s="148"/>
      <c r="G73" s="148"/>
      <c r="H73" s="148"/>
      <c r="I73" s="148"/>
      <c r="J73" s="148"/>
      <c r="K73" s="148"/>
      <c r="L73" s="22"/>
      <c r="M73" s="22"/>
      <c r="N73" s="147">
        <f t="shared" ref="N73:BI73" si="86">SUM(N68:N72)</f>
        <v>343450</v>
      </c>
      <c r="O73" s="147">
        <f t="shared" si="86"/>
        <v>343450</v>
      </c>
      <c r="P73" s="147">
        <f t="shared" si="86"/>
        <v>343450</v>
      </c>
      <c r="Q73" s="147">
        <f t="shared" si="86"/>
        <v>343450</v>
      </c>
      <c r="R73" s="147">
        <f t="shared" si="86"/>
        <v>343450</v>
      </c>
      <c r="S73" s="147">
        <f t="shared" si="86"/>
        <v>392200</v>
      </c>
      <c r="T73" s="147">
        <f t="shared" si="86"/>
        <v>392200</v>
      </c>
      <c r="U73" s="147">
        <f t="shared" si="86"/>
        <v>425950</v>
      </c>
      <c r="V73" s="147">
        <f t="shared" si="86"/>
        <v>440533.3333</v>
      </c>
      <c r="W73" s="147">
        <f t="shared" si="86"/>
        <v>473866.6667</v>
      </c>
      <c r="X73" s="147">
        <f t="shared" si="86"/>
        <v>473866.6667</v>
      </c>
      <c r="Y73" s="147">
        <f t="shared" si="86"/>
        <v>515116.6667</v>
      </c>
      <c r="Z73" s="147">
        <f t="shared" si="86"/>
        <v>515116.6667</v>
      </c>
      <c r="AA73" s="147">
        <f t="shared" si="86"/>
        <v>515116.6667</v>
      </c>
      <c r="AB73" s="147">
        <f t="shared" si="86"/>
        <v>530283.3333</v>
      </c>
      <c r="AC73" s="147">
        <f t="shared" si="86"/>
        <v>530283.3333</v>
      </c>
      <c r="AD73" s="147">
        <f t="shared" si="86"/>
        <v>530283.3333</v>
      </c>
      <c r="AE73" s="147">
        <f t="shared" si="86"/>
        <v>544033.3333</v>
      </c>
      <c r="AF73" s="147">
        <f t="shared" si="86"/>
        <v>544033.3333</v>
      </c>
      <c r="AG73" s="147">
        <f t="shared" si="86"/>
        <v>544033.3333</v>
      </c>
      <c r="AH73" s="147">
        <f t="shared" si="86"/>
        <v>557783.3333</v>
      </c>
      <c r="AI73" s="147">
        <f t="shared" si="86"/>
        <v>557783.3333</v>
      </c>
      <c r="AJ73" s="147">
        <f t="shared" si="86"/>
        <v>557783.3333</v>
      </c>
      <c r="AK73" s="147">
        <f t="shared" si="86"/>
        <v>571533.3333</v>
      </c>
      <c r="AL73" s="147">
        <f t="shared" si="86"/>
        <v>571533.3333</v>
      </c>
      <c r="AM73" s="147">
        <f t="shared" si="86"/>
        <v>571533.3333</v>
      </c>
      <c r="AN73" s="147">
        <f t="shared" si="86"/>
        <v>585283.3333</v>
      </c>
      <c r="AO73" s="147">
        <f t="shared" si="86"/>
        <v>585283.3333</v>
      </c>
      <c r="AP73" s="147">
        <f t="shared" si="86"/>
        <v>585283.3333</v>
      </c>
      <c r="AQ73" s="147">
        <f t="shared" si="86"/>
        <v>599033.3333</v>
      </c>
      <c r="AR73" s="147">
        <f t="shared" si="86"/>
        <v>599033.3333</v>
      </c>
      <c r="AS73" s="147">
        <f t="shared" si="86"/>
        <v>599033.3333</v>
      </c>
      <c r="AT73" s="147">
        <f t="shared" si="86"/>
        <v>612783.3333</v>
      </c>
      <c r="AU73" s="147">
        <f t="shared" si="86"/>
        <v>612783.3333</v>
      </c>
      <c r="AV73" s="147">
        <f t="shared" si="86"/>
        <v>612783.3333</v>
      </c>
      <c r="AW73" s="147">
        <f t="shared" si="86"/>
        <v>626533.3333</v>
      </c>
      <c r="AX73" s="147">
        <f t="shared" si="86"/>
        <v>626533.3333</v>
      </c>
      <c r="AY73" s="147">
        <f t="shared" si="86"/>
        <v>626533.3333</v>
      </c>
      <c r="AZ73" s="147">
        <f t="shared" si="86"/>
        <v>640283.3333</v>
      </c>
      <c r="BA73" s="147">
        <f t="shared" si="86"/>
        <v>640283.3333</v>
      </c>
      <c r="BB73" s="147">
        <f t="shared" si="86"/>
        <v>640283.3333</v>
      </c>
      <c r="BC73" s="147">
        <f t="shared" si="86"/>
        <v>640283.3333</v>
      </c>
      <c r="BD73" s="147">
        <f t="shared" si="86"/>
        <v>640283.3333</v>
      </c>
      <c r="BE73" s="147">
        <f t="shared" si="86"/>
        <v>640283.3333</v>
      </c>
      <c r="BF73" s="147">
        <f t="shared" si="86"/>
        <v>640283.3333</v>
      </c>
      <c r="BG73" s="147">
        <f t="shared" si="86"/>
        <v>640283.3333</v>
      </c>
      <c r="BH73" s="147">
        <f t="shared" si="86"/>
        <v>640283.3333</v>
      </c>
      <c r="BI73" s="147">
        <f t="shared" si="86"/>
        <v>640283.3333</v>
      </c>
    </row>
    <row r="74" ht="15.75" customHeight="1">
      <c r="A74" s="31" t="s">
        <v>226</v>
      </c>
      <c r="B74" s="31"/>
      <c r="C74" s="31"/>
      <c r="D74" s="149"/>
      <c r="E74" s="149"/>
      <c r="F74" s="149"/>
      <c r="G74" s="149"/>
      <c r="H74" s="149"/>
      <c r="I74" s="149"/>
      <c r="J74" s="149"/>
      <c r="K74" s="149"/>
      <c r="L74" s="31"/>
      <c r="M74" s="31"/>
      <c r="N74" s="150">
        <f t="shared" ref="N74:BI74" si="87">ROUND(N73-N65+N97,2)</f>
        <v>0</v>
      </c>
      <c r="O74" s="150">
        <f t="shared" si="87"/>
        <v>0</v>
      </c>
      <c r="P74" s="150">
        <f t="shared" si="87"/>
        <v>0</v>
      </c>
      <c r="Q74" s="150">
        <f t="shared" si="87"/>
        <v>0</v>
      </c>
      <c r="R74" s="150">
        <f t="shared" si="87"/>
        <v>0</v>
      </c>
      <c r="S74" s="150">
        <f t="shared" si="87"/>
        <v>0</v>
      </c>
      <c r="T74" s="150">
        <f t="shared" si="87"/>
        <v>0</v>
      </c>
      <c r="U74" s="150">
        <f t="shared" si="87"/>
        <v>0</v>
      </c>
      <c r="V74" s="150">
        <f t="shared" si="87"/>
        <v>0</v>
      </c>
      <c r="W74" s="150">
        <f t="shared" si="87"/>
        <v>0</v>
      </c>
      <c r="X74" s="150">
        <f t="shared" si="87"/>
        <v>0</v>
      </c>
      <c r="Y74" s="150">
        <f t="shared" si="87"/>
        <v>0</v>
      </c>
      <c r="Z74" s="150">
        <f t="shared" si="87"/>
        <v>0</v>
      </c>
      <c r="AA74" s="150">
        <f t="shared" si="87"/>
        <v>0</v>
      </c>
      <c r="AB74" s="150">
        <f t="shared" si="87"/>
        <v>0</v>
      </c>
      <c r="AC74" s="150">
        <f t="shared" si="87"/>
        <v>0</v>
      </c>
      <c r="AD74" s="150">
        <f t="shared" si="87"/>
        <v>0</v>
      </c>
      <c r="AE74" s="150">
        <f t="shared" si="87"/>
        <v>0</v>
      </c>
      <c r="AF74" s="150">
        <f t="shared" si="87"/>
        <v>0</v>
      </c>
      <c r="AG74" s="150">
        <f t="shared" si="87"/>
        <v>0</v>
      </c>
      <c r="AH74" s="150">
        <f t="shared" si="87"/>
        <v>0</v>
      </c>
      <c r="AI74" s="150">
        <f t="shared" si="87"/>
        <v>0</v>
      </c>
      <c r="AJ74" s="150">
        <f t="shared" si="87"/>
        <v>0</v>
      </c>
      <c r="AK74" s="150">
        <f t="shared" si="87"/>
        <v>0</v>
      </c>
      <c r="AL74" s="150">
        <f t="shared" si="87"/>
        <v>0</v>
      </c>
      <c r="AM74" s="150">
        <f t="shared" si="87"/>
        <v>0</v>
      </c>
      <c r="AN74" s="150">
        <f t="shared" si="87"/>
        <v>0</v>
      </c>
      <c r="AO74" s="150">
        <f t="shared" si="87"/>
        <v>0</v>
      </c>
      <c r="AP74" s="150">
        <f t="shared" si="87"/>
        <v>0</v>
      </c>
      <c r="AQ74" s="150">
        <f t="shared" si="87"/>
        <v>0</v>
      </c>
      <c r="AR74" s="150">
        <f t="shared" si="87"/>
        <v>0</v>
      </c>
      <c r="AS74" s="150">
        <f t="shared" si="87"/>
        <v>0</v>
      </c>
      <c r="AT74" s="150">
        <f t="shared" si="87"/>
        <v>0</v>
      </c>
      <c r="AU74" s="150">
        <f t="shared" si="87"/>
        <v>0</v>
      </c>
      <c r="AV74" s="150">
        <f t="shared" si="87"/>
        <v>0</v>
      </c>
      <c r="AW74" s="150">
        <f t="shared" si="87"/>
        <v>0</v>
      </c>
      <c r="AX74" s="150">
        <f t="shared" si="87"/>
        <v>0</v>
      </c>
      <c r="AY74" s="150">
        <f t="shared" si="87"/>
        <v>0</v>
      </c>
      <c r="AZ74" s="150">
        <f t="shared" si="87"/>
        <v>0</v>
      </c>
      <c r="BA74" s="150">
        <f t="shared" si="87"/>
        <v>0</v>
      </c>
      <c r="BB74" s="150">
        <f t="shared" si="87"/>
        <v>0</v>
      </c>
      <c r="BC74" s="150">
        <f t="shared" si="87"/>
        <v>0</v>
      </c>
      <c r="BD74" s="150">
        <f t="shared" si="87"/>
        <v>0</v>
      </c>
      <c r="BE74" s="150">
        <f t="shared" si="87"/>
        <v>0</v>
      </c>
      <c r="BF74" s="150">
        <f t="shared" si="87"/>
        <v>0</v>
      </c>
      <c r="BG74" s="150">
        <f t="shared" si="87"/>
        <v>0</v>
      </c>
      <c r="BH74" s="150">
        <f t="shared" si="87"/>
        <v>0</v>
      </c>
      <c r="BI74" s="150">
        <f t="shared" si="87"/>
        <v>0</v>
      </c>
    </row>
    <row r="75" ht="15.75" customHeight="1">
      <c r="A75" s="7" t="s">
        <v>227</v>
      </c>
      <c r="D75" s="30"/>
      <c r="E75" s="30"/>
      <c r="F75" s="30"/>
      <c r="G75" s="30"/>
      <c r="H75" s="30"/>
      <c r="I75" s="30"/>
      <c r="J75" s="30"/>
      <c r="K75" s="30"/>
    </row>
    <row r="76" ht="15.75" customHeight="1">
      <c r="B76" s="1" t="str">
        <f t="shared" ref="B76:B80" si="88">B68</f>
        <v>General &amp; Admin</v>
      </c>
      <c r="D76" s="30"/>
      <c r="E76" s="30"/>
      <c r="F76" s="30"/>
      <c r="G76" s="30"/>
      <c r="H76" s="30"/>
      <c r="I76" s="30"/>
      <c r="J76" s="30"/>
      <c r="K76" s="30"/>
      <c r="N76" s="76">
        <f t="array" ref="N76">SUMPRODUCT((N$4:N$64*($D$4:$D$64=$B76)),$H$4:$H$64)</f>
        <v>2025</v>
      </c>
      <c r="O76" s="76">
        <f t="array" ref="O76">SUMPRODUCT((O$4:O$64*($D$4:$D$64=$B76)),$H$4:$H$64)</f>
        <v>2025</v>
      </c>
      <c r="P76" s="76">
        <f t="array" ref="P76">SUMPRODUCT((P$4:P$64*($D$4:$D$64=$B76)),$H$4:$H$64)</f>
        <v>2025</v>
      </c>
      <c r="Q76" s="76">
        <f t="array" ref="Q76">SUMPRODUCT((Q$4:Q$64*($D$4:$D$64=$B76)),$H$4:$H$64)</f>
        <v>2025</v>
      </c>
      <c r="R76" s="76">
        <f t="array" ref="R76">SUMPRODUCT((R$4:R$64*($D$4:$D$64=$B76)),$H$4:$H$64)</f>
        <v>2025</v>
      </c>
      <c r="S76" s="76">
        <f t="array" ref="S76">SUMPRODUCT((S$4:S$64*($D$4:$D$64=$B76)),$H$4:$H$64)</f>
        <v>2025</v>
      </c>
      <c r="T76" s="76">
        <f t="array" ref="T76">SUMPRODUCT((T$4:T$64*($D$4:$D$64=$B76)),$H$4:$H$64)</f>
        <v>2025</v>
      </c>
      <c r="U76" s="76">
        <f t="array" ref="U76">SUMPRODUCT((U$4:U$64*($D$4:$D$64=$B76)),$H$4:$H$64)</f>
        <v>2025</v>
      </c>
      <c r="V76" s="76">
        <f t="array" ref="V76">SUMPRODUCT((V$4:V$64*($D$4:$D$64=$B76)),$H$4:$H$64)</f>
        <v>2025</v>
      </c>
      <c r="W76" s="76">
        <f t="array" ref="W76">SUMPRODUCT((W$4:W$64*($D$4:$D$64=$B76)),$H$4:$H$64)</f>
        <v>2025</v>
      </c>
      <c r="X76" s="76">
        <f t="array" ref="X76">SUMPRODUCT((X$4:X$64*($D$4:$D$64=$B76)),$H$4:$H$64)</f>
        <v>2025</v>
      </c>
      <c r="Y76" s="76">
        <f t="array" ref="Y76">SUMPRODUCT((Y$4:Y$64*($D$4:$D$64=$B76)),$H$4:$H$64)</f>
        <v>2025</v>
      </c>
      <c r="Z76" s="76">
        <f t="array" ref="Z76">SUMPRODUCT((Z$4:Z$64*($D$4:$D$64=$B76)),$H$4:$H$64)</f>
        <v>2025</v>
      </c>
      <c r="AA76" s="76">
        <f t="array" ref="AA76">SUMPRODUCT((AA$4:AA$64*($D$4:$D$64=$B76)),$H$4:$H$64)</f>
        <v>2025</v>
      </c>
      <c r="AB76" s="76">
        <f t="array" ref="AB76">SUMPRODUCT((AB$4:AB$64*($D$4:$D$64=$B76)),$H$4:$H$64)</f>
        <v>2025</v>
      </c>
      <c r="AC76" s="76">
        <f t="array" ref="AC76">SUMPRODUCT((AC$4:AC$64*($D$4:$D$64=$B76)),$H$4:$H$64)</f>
        <v>2025</v>
      </c>
      <c r="AD76" s="76">
        <f t="array" ref="AD76">SUMPRODUCT((AD$4:AD$64*($D$4:$D$64=$B76)),$H$4:$H$64)</f>
        <v>2025</v>
      </c>
      <c r="AE76" s="76">
        <f t="array" ref="AE76">SUMPRODUCT((AE$4:AE$64*($D$4:$D$64=$B76)),$H$4:$H$64)</f>
        <v>2025</v>
      </c>
      <c r="AF76" s="76">
        <f t="array" ref="AF76">SUMPRODUCT((AF$4:AF$64*($D$4:$D$64=$B76)),$H$4:$H$64)</f>
        <v>2025</v>
      </c>
      <c r="AG76" s="76">
        <f t="array" ref="AG76">SUMPRODUCT((AG$4:AG$64*($D$4:$D$64=$B76)),$H$4:$H$64)</f>
        <v>2025</v>
      </c>
      <c r="AH76" s="76">
        <f t="array" ref="AH76">SUMPRODUCT((AH$4:AH$64*($D$4:$D$64=$B76)),$H$4:$H$64)</f>
        <v>2025</v>
      </c>
      <c r="AI76" s="76">
        <f t="array" ref="AI76">SUMPRODUCT((AI$4:AI$64*($D$4:$D$64=$B76)),$H$4:$H$64)</f>
        <v>2025</v>
      </c>
      <c r="AJ76" s="76">
        <f t="array" ref="AJ76">SUMPRODUCT((AJ$4:AJ$64*($D$4:$D$64=$B76)),$H$4:$H$64)</f>
        <v>2025</v>
      </c>
      <c r="AK76" s="76">
        <f t="array" ref="AK76">SUMPRODUCT((AK$4:AK$64*($D$4:$D$64=$B76)),$H$4:$H$64)</f>
        <v>2025</v>
      </c>
      <c r="AL76" s="76">
        <f t="array" ref="AL76">SUMPRODUCT((AL$4:AL$64*($D$4:$D$64=$B76)),$H$4:$H$64)</f>
        <v>2025</v>
      </c>
      <c r="AM76" s="76">
        <f t="array" ref="AM76">SUMPRODUCT((AM$4:AM$64*($D$4:$D$64=$B76)),$H$4:$H$64)</f>
        <v>2025</v>
      </c>
      <c r="AN76" s="76">
        <f t="array" ref="AN76">SUMPRODUCT((AN$4:AN$64*($D$4:$D$64=$B76)),$H$4:$H$64)</f>
        <v>2025</v>
      </c>
      <c r="AO76" s="76">
        <f t="array" ref="AO76">SUMPRODUCT((AO$4:AO$64*($D$4:$D$64=$B76)),$H$4:$H$64)</f>
        <v>2025</v>
      </c>
      <c r="AP76" s="76">
        <f t="array" ref="AP76">SUMPRODUCT((AP$4:AP$64*($D$4:$D$64=$B76)),$H$4:$H$64)</f>
        <v>2025</v>
      </c>
      <c r="AQ76" s="76">
        <f t="array" ref="AQ76">SUMPRODUCT((AQ$4:AQ$64*($D$4:$D$64=$B76)),$H$4:$H$64)</f>
        <v>2025</v>
      </c>
      <c r="AR76" s="76">
        <f t="array" ref="AR76">SUMPRODUCT((AR$4:AR$64*($D$4:$D$64=$B76)),$H$4:$H$64)</f>
        <v>2025</v>
      </c>
      <c r="AS76" s="76">
        <f t="array" ref="AS76">SUMPRODUCT((AS$4:AS$64*($D$4:$D$64=$B76)),$H$4:$H$64)</f>
        <v>2025</v>
      </c>
      <c r="AT76" s="76">
        <f t="array" ref="AT76">SUMPRODUCT((AT$4:AT$64*($D$4:$D$64=$B76)),$H$4:$H$64)</f>
        <v>2025</v>
      </c>
      <c r="AU76" s="76">
        <f t="array" ref="AU76">SUMPRODUCT((AU$4:AU$64*($D$4:$D$64=$B76)),$H$4:$H$64)</f>
        <v>2025</v>
      </c>
      <c r="AV76" s="76">
        <f t="array" ref="AV76">SUMPRODUCT((AV$4:AV$64*($D$4:$D$64=$B76)),$H$4:$H$64)</f>
        <v>2025</v>
      </c>
      <c r="AW76" s="76">
        <f t="array" ref="AW76">SUMPRODUCT((AW$4:AW$64*($D$4:$D$64=$B76)),$H$4:$H$64)</f>
        <v>2025</v>
      </c>
      <c r="AX76" s="76">
        <f t="array" ref="AX76">SUMPRODUCT((AX$4:AX$64*($D$4:$D$64=$B76)),$H$4:$H$64)</f>
        <v>2025</v>
      </c>
      <c r="AY76" s="76">
        <f t="array" ref="AY76">SUMPRODUCT((AY$4:AY$64*($D$4:$D$64=$B76)),$H$4:$H$64)</f>
        <v>2025</v>
      </c>
      <c r="AZ76" s="76">
        <f t="array" ref="AZ76">SUMPRODUCT((AZ$4:AZ$64*($D$4:$D$64=$B76)),$H$4:$H$64)</f>
        <v>2025</v>
      </c>
      <c r="BA76" s="76">
        <f t="array" ref="BA76">SUMPRODUCT((BA$4:BA$64*($D$4:$D$64=$B76)),$H$4:$H$64)</f>
        <v>2025</v>
      </c>
      <c r="BB76" s="76">
        <f t="array" ref="BB76">SUMPRODUCT((BB$4:BB$64*($D$4:$D$64=$B76)),$H$4:$H$64)</f>
        <v>2025</v>
      </c>
      <c r="BC76" s="76">
        <f t="array" ref="BC76">SUMPRODUCT((BC$4:BC$64*($D$4:$D$64=$B76)),$H$4:$H$64)</f>
        <v>2025</v>
      </c>
      <c r="BD76" s="76">
        <f t="array" ref="BD76">SUMPRODUCT((BD$4:BD$64*($D$4:$D$64=$B76)),$H$4:$H$64)</f>
        <v>2025</v>
      </c>
      <c r="BE76" s="76">
        <f t="array" ref="BE76">SUMPRODUCT((BE$4:BE$64*($D$4:$D$64=$B76)),$H$4:$H$64)</f>
        <v>2025</v>
      </c>
      <c r="BF76" s="76">
        <f t="array" ref="BF76">SUMPRODUCT((BF$4:BF$64*($D$4:$D$64=$B76)),$H$4:$H$64)</f>
        <v>2025</v>
      </c>
      <c r="BG76" s="76">
        <f t="array" ref="BG76">SUMPRODUCT((BG$4:BG$64*($D$4:$D$64=$B76)),$H$4:$H$64)</f>
        <v>2025</v>
      </c>
      <c r="BH76" s="76">
        <f t="array" ref="BH76">SUMPRODUCT((BH$4:BH$64*($D$4:$D$64=$B76)),$H$4:$H$64)</f>
        <v>2025</v>
      </c>
      <c r="BI76" s="76">
        <f t="array" ref="BI76">SUMPRODUCT((BI$4:BI$64*($D$4:$D$64=$B76)),$H$4:$H$64)</f>
        <v>2025</v>
      </c>
    </row>
    <row r="77" ht="15.75" customHeight="1">
      <c r="B77" s="1" t="str">
        <f t="shared" si="88"/>
        <v>Engineering</v>
      </c>
      <c r="D77" s="30"/>
      <c r="E77" s="30"/>
      <c r="F77" s="30"/>
      <c r="G77" s="30"/>
      <c r="H77" s="30"/>
      <c r="I77" s="30"/>
      <c r="J77" s="30"/>
      <c r="K77" s="30"/>
      <c r="N77" s="76">
        <f t="array" ref="N77">SUMPRODUCT((N$4:N$64*($D$4:$D$64=$B77)),$H$4:$H$64)</f>
        <v>17752.5</v>
      </c>
      <c r="O77" s="76">
        <f t="array" ref="O77">SUMPRODUCT((O$4:O$64*($D$4:$D$64=$B77)),$H$4:$H$64)</f>
        <v>17752.5</v>
      </c>
      <c r="P77" s="76">
        <f t="array" ref="P77">SUMPRODUCT((P$4:P$64*($D$4:$D$64=$B77)),$H$4:$H$64)</f>
        <v>17752.5</v>
      </c>
      <c r="Q77" s="76">
        <f t="array" ref="Q77">SUMPRODUCT((Q$4:Q$64*($D$4:$D$64=$B77)),$H$4:$H$64)</f>
        <v>17752.5</v>
      </c>
      <c r="R77" s="76">
        <f t="array" ref="R77">SUMPRODUCT((R$4:R$64*($D$4:$D$64=$B77)),$H$4:$H$64)</f>
        <v>17752.5</v>
      </c>
      <c r="S77" s="76">
        <f t="array" ref="S77">SUMPRODUCT((S$4:S$64*($D$4:$D$64=$B77)),$H$4:$H$64)</f>
        <v>19140</v>
      </c>
      <c r="T77" s="76">
        <f t="array" ref="T77">SUMPRODUCT((T$4:T$64*($D$4:$D$64=$B77)),$H$4:$H$64)</f>
        <v>19140</v>
      </c>
      <c r="U77" s="76">
        <f t="array" ref="U77">SUMPRODUCT((U$4:U$64*($D$4:$D$64=$B77)),$H$4:$H$64)</f>
        <v>19140</v>
      </c>
      <c r="V77" s="76">
        <f t="array" ref="V77">SUMPRODUCT((V$4:V$64*($D$4:$D$64=$B77)),$H$4:$H$64)</f>
        <v>20452.5</v>
      </c>
      <c r="W77" s="76">
        <f t="array" ref="W77">SUMPRODUCT((W$4:W$64*($D$4:$D$64=$B77)),$H$4:$H$64)</f>
        <v>20452.5</v>
      </c>
      <c r="X77" s="76">
        <f t="array" ref="X77">SUMPRODUCT((X$4:X$64*($D$4:$D$64=$B77)),$H$4:$H$64)</f>
        <v>20452.5</v>
      </c>
      <c r="Y77" s="76">
        <f t="array" ref="Y77">SUMPRODUCT((Y$4:Y$64*($D$4:$D$64=$B77)),$H$4:$H$64)</f>
        <v>21765</v>
      </c>
      <c r="Z77" s="76">
        <f t="array" ref="Z77">SUMPRODUCT((Z$4:Z$64*($D$4:$D$64=$B77)),$H$4:$H$64)</f>
        <v>21765</v>
      </c>
      <c r="AA77" s="76">
        <f t="array" ref="AA77">SUMPRODUCT((AA$4:AA$64*($D$4:$D$64=$B77)),$H$4:$H$64)</f>
        <v>21765</v>
      </c>
      <c r="AB77" s="76">
        <f t="array" ref="AB77">SUMPRODUCT((AB$4:AB$64*($D$4:$D$64=$B77)),$H$4:$H$64)</f>
        <v>23130</v>
      </c>
      <c r="AC77" s="76">
        <f t="array" ref="AC77">SUMPRODUCT((AC$4:AC$64*($D$4:$D$64=$B77)),$H$4:$H$64)</f>
        <v>23130</v>
      </c>
      <c r="AD77" s="76">
        <f t="array" ref="AD77">SUMPRODUCT((AD$4:AD$64*($D$4:$D$64=$B77)),$H$4:$H$64)</f>
        <v>23130</v>
      </c>
      <c r="AE77" s="76">
        <f t="array" ref="AE77">SUMPRODUCT((AE$4:AE$64*($D$4:$D$64=$B77)),$H$4:$H$64)</f>
        <v>24367.5</v>
      </c>
      <c r="AF77" s="76">
        <f t="array" ref="AF77">SUMPRODUCT((AF$4:AF$64*($D$4:$D$64=$B77)),$H$4:$H$64)</f>
        <v>24367.5</v>
      </c>
      <c r="AG77" s="76">
        <f t="array" ref="AG77">SUMPRODUCT((AG$4:AG$64*($D$4:$D$64=$B77)),$H$4:$H$64)</f>
        <v>24367.5</v>
      </c>
      <c r="AH77" s="76">
        <f t="array" ref="AH77">SUMPRODUCT((AH$4:AH$64*($D$4:$D$64=$B77)),$H$4:$H$64)</f>
        <v>25605</v>
      </c>
      <c r="AI77" s="76">
        <f t="array" ref="AI77">SUMPRODUCT((AI$4:AI$64*($D$4:$D$64=$B77)),$H$4:$H$64)</f>
        <v>25605</v>
      </c>
      <c r="AJ77" s="76">
        <f t="array" ref="AJ77">SUMPRODUCT((AJ$4:AJ$64*($D$4:$D$64=$B77)),$H$4:$H$64)</f>
        <v>25605</v>
      </c>
      <c r="AK77" s="76">
        <f t="array" ref="AK77">SUMPRODUCT((AK$4:AK$64*($D$4:$D$64=$B77)),$H$4:$H$64)</f>
        <v>26842.5</v>
      </c>
      <c r="AL77" s="76">
        <f t="array" ref="AL77">SUMPRODUCT((AL$4:AL$64*($D$4:$D$64=$B77)),$H$4:$H$64)</f>
        <v>26842.5</v>
      </c>
      <c r="AM77" s="76">
        <f t="array" ref="AM77">SUMPRODUCT((AM$4:AM$64*($D$4:$D$64=$B77)),$H$4:$H$64)</f>
        <v>26842.5</v>
      </c>
      <c r="AN77" s="76">
        <f t="array" ref="AN77">SUMPRODUCT((AN$4:AN$64*($D$4:$D$64=$B77)),$H$4:$H$64)</f>
        <v>28080</v>
      </c>
      <c r="AO77" s="76">
        <f t="array" ref="AO77">SUMPRODUCT((AO$4:AO$64*($D$4:$D$64=$B77)),$H$4:$H$64)</f>
        <v>28080</v>
      </c>
      <c r="AP77" s="76">
        <f t="array" ref="AP77">SUMPRODUCT((AP$4:AP$64*($D$4:$D$64=$B77)),$H$4:$H$64)</f>
        <v>28080</v>
      </c>
      <c r="AQ77" s="76">
        <f t="array" ref="AQ77">SUMPRODUCT((AQ$4:AQ$64*($D$4:$D$64=$B77)),$H$4:$H$64)</f>
        <v>29317.5</v>
      </c>
      <c r="AR77" s="76">
        <f t="array" ref="AR77">SUMPRODUCT((AR$4:AR$64*($D$4:$D$64=$B77)),$H$4:$H$64)</f>
        <v>29317.5</v>
      </c>
      <c r="AS77" s="76">
        <f t="array" ref="AS77">SUMPRODUCT((AS$4:AS$64*($D$4:$D$64=$B77)),$H$4:$H$64)</f>
        <v>29317.5</v>
      </c>
      <c r="AT77" s="76">
        <f t="array" ref="AT77">SUMPRODUCT((AT$4:AT$64*($D$4:$D$64=$B77)),$H$4:$H$64)</f>
        <v>30555</v>
      </c>
      <c r="AU77" s="76">
        <f t="array" ref="AU77">SUMPRODUCT((AU$4:AU$64*($D$4:$D$64=$B77)),$H$4:$H$64)</f>
        <v>30555</v>
      </c>
      <c r="AV77" s="76">
        <f t="array" ref="AV77">SUMPRODUCT((AV$4:AV$64*($D$4:$D$64=$B77)),$H$4:$H$64)</f>
        <v>30555</v>
      </c>
      <c r="AW77" s="76">
        <f t="array" ref="AW77">SUMPRODUCT((AW$4:AW$64*($D$4:$D$64=$B77)),$H$4:$H$64)</f>
        <v>31792.5</v>
      </c>
      <c r="AX77" s="76">
        <f t="array" ref="AX77">SUMPRODUCT((AX$4:AX$64*($D$4:$D$64=$B77)),$H$4:$H$64)</f>
        <v>31792.5</v>
      </c>
      <c r="AY77" s="76">
        <f t="array" ref="AY77">SUMPRODUCT((AY$4:AY$64*($D$4:$D$64=$B77)),$H$4:$H$64)</f>
        <v>31792.5</v>
      </c>
      <c r="AZ77" s="76">
        <f t="array" ref="AZ77">SUMPRODUCT((AZ$4:AZ$64*($D$4:$D$64=$B77)),$H$4:$H$64)</f>
        <v>33030</v>
      </c>
      <c r="BA77" s="76">
        <f t="array" ref="BA77">SUMPRODUCT((BA$4:BA$64*($D$4:$D$64=$B77)),$H$4:$H$64)</f>
        <v>33030</v>
      </c>
      <c r="BB77" s="76">
        <f t="array" ref="BB77">SUMPRODUCT((BB$4:BB$64*($D$4:$D$64=$B77)),$H$4:$H$64)</f>
        <v>33030</v>
      </c>
      <c r="BC77" s="76">
        <f t="array" ref="BC77">SUMPRODUCT((BC$4:BC$64*($D$4:$D$64=$B77)),$H$4:$H$64)</f>
        <v>33030</v>
      </c>
      <c r="BD77" s="76">
        <f t="array" ref="BD77">SUMPRODUCT((BD$4:BD$64*($D$4:$D$64=$B77)),$H$4:$H$64)</f>
        <v>33030</v>
      </c>
      <c r="BE77" s="76">
        <f t="array" ref="BE77">SUMPRODUCT((BE$4:BE$64*($D$4:$D$64=$B77)),$H$4:$H$64)</f>
        <v>33030</v>
      </c>
      <c r="BF77" s="76">
        <f t="array" ref="BF77">SUMPRODUCT((BF$4:BF$64*($D$4:$D$64=$B77)),$H$4:$H$64)</f>
        <v>33030</v>
      </c>
      <c r="BG77" s="76">
        <f t="array" ref="BG77">SUMPRODUCT((BG$4:BG$64*($D$4:$D$64=$B77)),$H$4:$H$64)</f>
        <v>33030</v>
      </c>
      <c r="BH77" s="76">
        <f t="array" ref="BH77">SUMPRODUCT((BH$4:BH$64*($D$4:$D$64=$B77)),$H$4:$H$64)</f>
        <v>33030</v>
      </c>
      <c r="BI77" s="76">
        <f t="array" ref="BI77">SUMPRODUCT((BI$4:BI$64*($D$4:$D$64=$B77)),$H$4:$H$64)</f>
        <v>33030</v>
      </c>
    </row>
    <row r="78" ht="15.75" customHeight="1">
      <c r="B78" s="1" t="str">
        <f t="shared" si="88"/>
        <v>Marketing</v>
      </c>
      <c r="D78" s="30"/>
      <c r="E78" s="30"/>
      <c r="F78" s="30"/>
      <c r="G78" s="30"/>
      <c r="H78" s="30"/>
      <c r="I78" s="30"/>
      <c r="J78" s="30"/>
      <c r="K78" s="30"/>
      <c r="N78" s="76">
        <f t="array" ref="N78">SUMPRODUCT((N$4:N$64*($D$4:$D$64=$B78)),$H$4:$H$64)</f>
        <v>2325</v>
      </c>
      <c r="O78" s="76">
        <f t="array" ref="O78">SUMPRODUCT((O$4:O$64*($D$4:$D$64=$B78)),$H$4:$H$64)</f>
        <v>2325</v>
      </c>
      <c r="P78" s="76">
        <f t="array" ref="P78">SUMPRODUCT((P$4:P$64*($D$4:$D$64=$B78)),$H$4:$H$64)</f>
        <v>2325</v>
      </c>
      <c r="Q78" s="76">
        <f t="array" ref="Q78">SUMPRODUCT((Q$4:Q$64*($D$4:$D$64=$B78)),$H$4:$H$64)</f>
        <v>2325</v>
      </c>
      <c r="R78" s="76">
        <f t="array" ref="R78">SUMPRODUCT((R$4:R$64*($D$4:$D$64=$B78)),$H$4:$H$64)</f>
        <v>2325</v>
      </c>
      <c r="S78" s="76">
        <f t="array" ref="S78">SUMPRODUCT((S$4:S$64*($D$4:$D$64=$B78)),$H$4:$H$64)</f>
        <v>3075</v>
      </c>
      <c r="T78" s="76">
        <f t="array" ref="T78">SUMPRODUCT((T$4:T$64*($D$4:$D$64=$B78)),$H$4:$H$64)</f>
        <v>3075</v>
      </c>
      <c r="U78" s="76">
        <f t="array" ref="U78">SUMPRODUCT((U$4:U$64*($D$4:$D$64=$B78)),$H$4:$H$64)</f>
        <v>3825</v>
      </c>
      <c r="V78" s="76">
        <f t="array" ref="V78">SUMPRODUCT((V$4:V$64*($D$4:$D$64=$B78)),$H$4:$H$64)</f>
        <v>3825</v>
      </c>
      <c r="W78" s="76">
        <f t="array" ref="W78">SUMPRODUCT((W$4:W$64*($D$4:$D$64=$B78)),$H$4:$H$64)</f>
        <v>4575</v>
      </c>
      <c r="X78" s="76">
        <f t="array" ref="X78">SUMPRODUCT((X$4:X$64*($D$4:$D$64=$B78)),$H$4:$H$64)</f>
        <v>4575</v>
      </c>
      <c r="Y78" s="76">
        <f t="array" ref="Y78">SUMPRODUCT((Y$4:Y$64*($D$4:$D$64=$B78)),$H$4:$H$64)</f>
        <v>5325</v>
      </c>
      <c r="Z78" s="76">
        <f t="array" ref="Z78">SUMPRODUCT((Z$4:Z$64*($D$4:$D$64=$B78)),$H$4:$H$64)</f>
        <v>5325</v>
      </c>
      <c r="AA78" s="76">
        <f t="array" ref="AA78">SUMPRODUCT((AA$4:AA$64*($D$4:$D$64=$B78)),$H$4:$H$64)</f>
        <v>5325</v>
      </c>
      <c r="AB78" s="76">
        <f t="array" ref="AB78">SUMPRODUCT((AB$4:AB$64*($D$4:$D$64=$B78)),$H$4:$H$64)</f>
        <v>5325</v>
      </c>
      <c r="AC78" s="76">
        <f t="array" ref="AC78">SUMPRODUCT((AC$4:AC$64*($D$4:$D$64=$B78)),$H$4:$H$64)</f>
        <v>5325</v>
      </c>
      <c r="AD78" s="76">
        <f t="array" ref="AD78">SUMPRODUCT((AD$4:AD$64*($D$4:$D$64=$B78)),$H$4:$H$64)</f>
        <v>5325</v>
      </c>
      <c r="AE78" s="76">
        <f t="array" ref="AE78">SUMPRODUCT((AE$4:AE$64*($D$4:$D$64=$B78)),$H$4:$H$64)</f>
        <v>5325</v>
      </c>
      <c r="AF78" s="76">
        <f t="array" ref="AF78">SUMPRODUCT((AF$4:AF$64*($D$4:$D$64=$B78)),$H$4:$H$64)</f>
        <v>5325</v>
      </c>
      <c r="AG78" s="76">
        <f t="array" ref="AG78">SUMPRODUCT((AG$4:AG$64*($D$4:$D$64=$B78)),$H$4:$H$64)</f>
        <v>5325</v>
      </c>
      <c r="AH78" s="76">
        <f t="array" ref="AH78">SUMPRODUCT((AH$4:AH$64*($D$4:$D$64=$B78)),$H$4:$H$64)</f>
        <v>5325</v>
      </c>
      <c r="AI78" s="76">
        <f t="array" ref="AI78">SUMPRODUCT((AI$4:AI$64*($D$4:$D$64=$B78)),$H$4:$H$64)</f>
        <v>5325</v>
      </c>
      <c r="AJ78" s="76">
        <f t="array" ref="AJ78">SUMPRODUCT((AJ$4:AJ$64*($D$4:$D$64=$B78)),$H$4:$H$64)</f>
        <v>5325</v>
      </c>
      <c r="AK78" s="76">
        <f t="array" ref="AK78">SUMPRODUCT((AK$4:AK$64*($D$4:$D$64=$B78)),$H$4:$H$64)</f>
        <v>5325</v>
      </c>
      <c r="AL78" s="76">
        <f t="array" ref="AL78">SUMPRODUCT((AL$4:AL$64*($D$4:$D$64=$B78)),$H$4:$H$64)</f>
        <v>5325</v>
      </c>
      <c r="AM78" s="76">
        <f t="array" ref="AM78">SUMPRODUCT((AM$4:AM$64*($D$4:$D$64=$B78)),$H$4:$H$64)</f>
        <v>5325</v>
      </c>
      <c r="AN78" s="76">
        <f t="array" ref="AN78">SUMPRODUCT((AN$4:AN$64*($D$4:$D$64=$B78)),$H$4:$H$64)</f>
        <v>5325</v>
      </c>
      <c r="AO78" s="76">
        <f t="array" ref="AO78">SUMPRODUCT((AO$4:AO$64*($D$4:$D$64=$B78)),$H$4:$H$64)</f>
        <v>5325</v>
      </c>
      <c r="AP78" s="76">
        <f t="array" ref="AP78">SUMPRODUCT((AP$4:AP$64*($D$4:$D$64=$B78)),$H$4:$H$64)</f>
        <v>5325</v>
      </c>
      <c r="AQ78" s="76">
        <f t="array" ref="AQ78">SUMPRODUCT((AQ$4:AQ$64*($D$4:$D$64=$B78)),$H$4:$H$64)</f>
        <v>5325</v>
      </c>
      <c r="AR78" s="76">
        <f t="array" ref="AR78">SUMPRODUCT((AR$4:AR$64*($D$4:$D$64=$B78)),$H$4:$H$64)</f>
        <v>5325</v>
      </c>
      <c r="AS78" s="76">
        <f t="array" ref="AS78">SUMPRODUCT((AS$4:AS$64*($D$4:$D$64=$B78)),$H$4:$H$64)</f>
        <v>5325</v>
      </c>
      <c r="AT78" s="76">
        <f t="array" ref="AT78">SUMPRODUCT((AT$4:AT$64*($D$4:$D$64=$B78)),$H$4:$H$64)</f>
        <v>5325</v>
      </c>
      <c r="AU78" s="76">
        <f t="array" ref="AU78">SUMPRODUCT((AU$4:AU$64*($D$4:$D$64=$B78)),$H$4:$H$64)</f>
        <v>5325</v>
      </c>
      <c r="AV78" s="76">
        <f t="array" ref="AV78">SUMPRODUCT((AV$4:AV$64*($D$4:$D$64=$B78)),$H$4:$H$64)</f>
        <v>5325</v>
      </c>
      <c r="AW78" s="76">
        <f t="array" ref="AW78">SUMPRODUCT((AW$4:AW$64*($D$4:$D$64=$B78)),$H$4:$H$64)</f>
        <v>5325</v>
      </c>
      <c r="AX78" s="76">
        <f t="array" ref="AX78">SUMPRODUCT((AX$4:AX$64*($D$4:$D$64=$B78)),$H$4:$H$64)</f>
        <v>5325</v>
      </c>
      <c r="AY78" s="76">
        <f t="array" ref="AY78">SUMPRODUCT((AY$4:AY$64*($D$4:$D$64=$B78)),$H$4:$H$64)</f>
        <v>5325</v>
      </c>
      <c r="AZ78" s="76">
        <f t="array" ref="AZ78">SUMPRODUCT((AZ$4:AZ$64*($D$4:$D$64=$B78)),$H$4:$H$64)</f>
        <v>5325</v>
      </c>
      <c r="BA78" s="76">
        <f t="array" ref="BA78">SUMPRODUCT((BA$4:BA$64*($D$4:$D$64=$B78)),$H$4:$H$64)</f>
        <v>5325</v>
      </c>
      <c r="BB78" s="76">
        <f t="array" ref="BB78">SUMPRODUCT((BB$4:BB$64*($D$4:$D$64=$B78)),$H$4:$H$64)</f>
        <v>5325</v>
      </c>
      <c r="BC78" s="76">
        <f t="array" ref="BC78">SUMPRODUCT((BC$4:BC$64*($D$4:$D$64=$B78)),$H$4:$H$64)</f>
        <v>5325</v>
      </c>
      <c r="BD78" s="76">
        <f t="array" ref="BD78">SUMPRODUCT((BD$4:BD$64*($D$4:$D$64=$B78)),$H$4:$H$64)</f>
        <v>5325</v>
      </c>
      <c r="BE78" s="76">
        <f t="array" ref="BE78">SUMPRODUCT((BE$4:BE$64*($D$4:$D$64=$B78)),$H$4:$H$64)</f>
        <v>5325</v>
      </c>
      <c r="BF78" s="76">
        <f t="array" ref="BF78">SUMPRODUCT((BF$4:BF$64*($D$4:$D$64=$B78)),$H$4:$H$64)</f>
        <v>5325</v>
      </c>
      <c r="BG78" s="76">
        <f t="array" ref="BG78">SUMPRODUCT((BG$4:BG$64*($D$4:$D$64=$B78)),$H$4:$H$64)</f>
        <v>5325</v>
      </c>
      <c r="BH78" s="76">
        <f t="array" ref="BH78">SUMPRODUCT((BH$4:BH$64*($D$4:$D$64=$B78)),$H$4:$H$64)</f>
        <v>5325</v>
      </c>
      <c r="BI78" s="76">
        <f t="array" ref="BI78">SUMPRODUCT((BI$4:BI$64*($D$4:$D$64=$B78)),$H$4:$H$64)</f>
        <v>5325</v>
      </c>
    </row>
    <row r="79" ht="15.75" customHeight="1">
      <c r="B79" s="1" t="str">
        <f t="shared" si="88"/>
        <v>Sales</v>
      </c>
      <c r="D79" s="30"/>
      <c r="E79" s="30"/>
      <c r="F79" s="30"/>
      <c r="G79" s="30"/>
      <c r="H79" s="30"/>
      <c r="I79" s="30"/>
      <c r="J79" s="30"/>
      <c r="K79" s="30"/>
      <c r="N79" s="76">
        <f t="array" ref="N79">SUMPRODUCT((N$4:N$64*($D$4:$D$64=$B79)),$H$4:$H$64)</f>
        <v>3375</v>
      </c>
      <c r="O79" s="76">
        <f t="array" ref="O79">SUMPRODUCT((O$4:O$64*($D$4:$D$64=$B79)),$H$4:$H$64)</f>
        <v>3375</v>
      </c>
      <c r="P79" s="76">
        <f t="array" ref="P79">SUMPRODUCT((P$4:P$64*($D$4:$D$64=$B79)),$H$4:$H$64)</f>
        <v>3375</v>
      </c>
      <c r="Q79" s="76">
        <f t="array" ref="Q79">SUMPRODUCT((Q$4:Q$64*($D$4:$D$64=$B79)),$H$4:$H$64)</f>
        <v>3375</v>
      </c>
      <c r="R79" s="76">
        <f t="array" ref="R79">SUMPRODUCT((R$4:R$64*($D$4:$D$64=$B79)),$H$4:$H$64)</f>
        <v>3375</v>
      </c>
      <c r="S79" s="76">
        <f t="array" ref="S79">SUMPRODUCT((S$4:S$64*($D$4:$D$64=$B79)),$H$4:$H$64)</f>
        <v>5025</v>
      </c>
      <c r="T79" s="76">
        <f t="array" ref="T79">SUMPRODUCT((T$4:T$64*($D$4:$D$64=$B79)),$H$4:$H$64)</f>
        <v>5025</v>
      </c>
      <c r="U79" s="76">
        <f t="array" ref="U79">SUMPRODUCT((U$4:U$64*($D$4:$D$64=$B79)),$H$4:$H$64)</f>
        <v>6675</v>
      </c>
      <c r="V79" s="76">
        <f t="array" ref="V79">SUMPRODUCT((V$4:V$64*($D$4:$D$64=$B79)),$H$4:$H$64)</f>
        <v>6675</v>
      </c>
      <c r="W79" s="76">
        <f t="array" ref="W79">SUMPRODUCT((W$4:W$64*($D$4:$D$64=$B79)),$H$4:$H$64)</f>
        <v>8325</v>
      </c>
      <c r="X79" s="76">
        <f t="array" ref="X79">SUMPRODUCT((X$4:X$64*($D$4:$D$64=$B79)),$H$4:$H$64)</f>
        <v>8325</v>
      </c>
      <c r="Y79" s="76">
        <f t="array" ref="Y79">SUMPRODUCT((Y$4:Y$64*($D$4:$D$64=$B79)),$H$4:$H$64)</f>
        <v>9975</v>
      </c>
      <c r="Z79" s="76">
        <f t="array" ref="Z79">SUMPRODUCT((Z$4:Z$64*($D$4:$D$64=$B79)),$H$4:$H$64)</f>
        <v>9975</v>
      </c>
      <c r="AA79" s="76">
        <f t="array" ref="AA79">SUMPRODUCT((AA$4:AA$64*($D$4:$D$64=$B79)),$H$4:$H$64)</f>
        <v>9975</v>
      </c>
      <c r="AB79" s="76">
        <f t="array" ref="AB79">SUMPRODUCT((AB$4:AB$64*($D$4:$D$64=$B79)),$H$4:$H$64)</f>
        <v>9975</v>
      </c>
      <c r="AC79" s="76">
        <f t="array" ref="AC79">SUMPRODUCT((AC$4:AC$64*($D$4:$D$64=$B79)),$H$4:$H$64)</f>
        <v>9975</v>
      </c>
      <c r="AD79" s="76">
        <f t="array" ref="AD79">SUMPRODUCT((AD$4:AD$64*($D$4:$D$64=$B79)),$H$4:$H$64)</f>
        <v>9975</v>
      </c>
      <c r="AE79" s="76">
        <f t="array" ref="AE79">SUMPRODUCT((AE$4:AE$64*($D$4:$D$64=$B79)),$H$4:$H$64)</f>
        <v>9975</v>
      </c>
      <c r="AF79" s="76">
        <f t="array" ref="AF79">SUMPRODUCT((AF$4:AF$64*($D$4:$D$64=$B79)),$H$4:$H$64)</f>
        <v>9975</v>
      </c>
      <c r="AG79" s="76">
        <f t="array" ref="AG79">SUMPRODUCT((AG$4:AG$64*($D$4:$D$64=$B79)),$H$4:$H$64)</f>
        <v>9975</v>
      </c>
      <c r="AH79" s="76">
        <f t="array" ref="AH79">SUMPRODUCT((AH$4:AH$64*($D$4:$D$64=$B79)),$H$4:$H$64)</f>
        <v>9975</v>
      </c>
      <c r="AI79" s="76">
        <f t="array" ref="AI79">SUMPRODUCT((AI$4:AI$64*($D$4:$D$64=$B79)),$H$4:$H$64)</f>
        <v>9975</v>
      </c>
      <c r="AJ79" s="76">
        <f t="array" ref="AJ79">SUMPRODUCT((AJ$4:AJ$64*($D$4:$D$64=$B79)),$H$4:$H$64)</f>
        <v>9975</v>
      </c>
      <c r="AK79" s="76">
        <f t="array" ref="AK79">SUMPRODUCT((AK$4:AK$64*($D$4:$D$64=$B79)),$H$4:$H$64)</f>
        <v>9975</v>
      </c>
      <c r="AL79" s="76">
        <f t="array" ref="AL79">SUMPRODUCT((AL$4:AL$64*($D$4:$D$64=$B79)),$H$4:$H$64)</f>
        <v>9975</v>
      </c>
      <c r="AM79" s="76">
        <f t="array" ref="AM79">SUMPRODUCT((AM$4:AM$64*($D$4:$D$64=$B79)),$H$4:$H$64)</f>
        <v>9975</v>
      </c>
      <c r="AN79" s="76">
        <f t="array" ref="AN79">SUMPRODUCT((AN$4:AN$64*($D$4:$D$64=$B79)),$H$4:$H$64)</f>
        <v>9975</v>
      </c>
      <c r="AO79" s="76">
        <f t="array" ref="AO79">SUMPRODUCT((AO$4:AO$64*($D$4:$D$64=$B79)),$H$4:$H$64)</f>
        <v>9975</v>
      </c>
      <c r="AP79" s="76">
        <f t="array" ref="AP79">SUMPRODUCT((AP$4:AP$64*($D$4:$D$64=$B79)),$H$4:$H$64)</f>
        <v>9975</v>
      </c>
      <c r="AQ79" s="76">
        <f t="array" ref="AQ79">SUMPRODUCT((AQ$4:AQ$64*($D$4:$D$64=$B79)),$H$4:$H$64)</f>
        <v>9975</v>
      </c>
      <c r="AR79" s="76">
        <f t="array" ref="AR79">SUMPRODUCT((AR$4:AR$64*($D$4:$D$64=$B79)),$H$4:$H$64)</f>
        <v>9975</v>
      </c>
      <c r="AS79" s="76">
        <f t="array" ref="AS79">SUMPRODUCT((AS$4:AS$64*($D$4:$D$64=$B79)),$H$4:$H$64)</f>
        <v>9975</v>
      </c>
      <c r="AT79" s="76">
        <f t="array" ref="AT79">SUMPRODUCT((AT$4:AT$64*($D$4:$D$64=$B79)),$H$4:$H$64)</f>
        <v>9975</v>
      </c>
      <c r="AU79" s="76">
        <f t="array" ref="AU79">SUMPRODUCT((AU$4:AU$64*($D$4:$D$64=$B79)),$H$4:$H$64)</f>
        <v>9975</v>
      </c>
      <c r="AV79" s="76">
        <f t="array" ref="AV79">SUMPRODUCT((AV$4:AV$64*($D$4:$D$64=$B79)),$H$4:$H$64)</f>
        <v>9975</v>
      </c>
      <c r="AW79" s="76">
        <f t="array" ref="AW79">SUMPRODUCT((AW$4:AW$64*($D$4:$D$64=$B79)),$H$4:$H$64)</f>
        <v>9975</v>
      </c>
      <c r="AX79" s="76">
        <f t="array" ref="AX79">SUMPRODUCT((AX$4:AX$64*($D$4:$D$64=$B79)),$H$4:$H$64)</f>
        <v>9975</v>
      </c>
      <c r="AY79" s="76">
        <f t="array" ref="AY79">SUMPRODUCT((AY$4:AY$64*($D$4:$D$64=$B79)),$H$4:$H$64)</f>
        <v>9975</v>
      </c>
      <c r="AZ79" s="76">
        <f t="array" ref="AZ79">SUMPRODUCT((AZ$4:AZ$64*($D$4:$D$64=$B79)),$H$4:$H$64)</f>
        <v>9975</v>
      </c>
      <c r="BA79" s="76">
        <f t="array" ref="BA79">SUMPRODUCT((BA$4:BA$64*($D$4:$D$64=$B79)),$H$4:$H$64)</f>
        <v>9975</v>
      </c>
      <c r="BB79" s="76">
        <f t="array" ref="BB79">SUMPRODUCT((BB$4:BB$64*($D$4:$D$64=$B79)),$H$4:$H$64)</f>
        <v>9975</v>
      </c>
      <c r="BC79" s="76">
        <f t="array" ref="BC79">SUMPRODUCT((BC$4:BC$64*($D$4:$D$64=$B79)),$H$4:$H$64)</f>
        <v>9975</v>
      </c>
      <c r="BD79" s="76">
        <f t="array" ref="BD79">SUMPRODUCT((BD$4:BD$64*($D$4:$D$64=$B79)),$H$4:$H$64)</f>
        <v>9975</v>
      </c>
      <c r="BE79" s="76">
        <f t="array" ref="BE79">SUMPRODUCT((BE$4:BE$64*($D$4:$D$64=$B79)),$H$4:$H$64)</f>
        <v>9975</v>
      </c>
      <c r="BF79" s="76">
        <f t="array" ref="BF79">SUMPRODUCT((BF$4:BF$64*($D$4:$D$64=$B79)),$H$4:$H$64)</f>
        <v>9975</v>
      </c>
      <c r="BG79" s="76">
        <f t="array" ref="BG79">SUMPRODUCT((BG$4:BG$64*($D$4:$D$64=$B79)),$H$4:$H$64)</f>
        <v>9975</v>
      </c>
      <c r="BH79" s="76">
        <f t="array" ref="BH79">SUMPRODUCT((BH$4:BH$64*($D$4:$D$64=$B79)),$H$4:$H$64)</f>
        <v>9975</v>
      </c>
      <c r="BI79" s="76">
        <f t="array" ref="BI79">SUMPRODUCT((BI$4:BI$64*($D$4:$D$64=$B79)),$H$4:$H$64)</f>
        <v>9975</v>
      </c>
    </row>
    <row r="80" ht="15.75" customHeight="1">
      <c r="B80" s="1" t="str">
        <f t="shared" si="88"/>
        <v>Support</v>
      </c>
      <c r="D80" s="30"/>
      <c r="E80" s="30"/>
      <c r="F80" s="30"/>
      <c r="G80" s="30"/>
      <c r="H80" s="30"/>
      <c r="I80" s="30"/>
      <c r="J80" s="30"/>
      <c r="K80" s="30"/>
      <c r="N80" s="76">
        <f t="array" ref="N80">SUMPRODUCT((N$4:N$64*($D$4:$D$64=$B80)),$H$4:$H$64)</f>
        <v>5433</v>
      </c>
      <c r="O80" s="76">
        <f t="array" ref="O80">SUMPRODUCT((O$4:O$64*($D$4:$D$64=$B80)),$H$4:$H$64)</f>
        <v>5433</v>
      </c>
      <c r="P80" s="76">
        <f t="array" ref="P80">SUMPRODUCT((P$4:P$64*($D$4:$D$64=$B80)),$H$4:$H$64)</f>
        <v>5433</v>
      </c>
      <c r="Q80" s="76">
        <f t="array" ref="Q80">SUMPRODUCT((Q$4:Q$64*($D$4:$D$64=$B80)),$H$4:$H$64)</f>
        <v>5433</v>
      </c>
      <c r="R80" s="76">
        <f t="array" ref="R80">SUMPRODUCT((R$4:R$64*($D$4:$D$64=$B80)),$H$4:$H$64)</f>
        <v>5433</v>
      </c>
      <c r="S80" s="76">
        <f t="array" ref="S80">SUMPRODUCT((S$4:S$64*($D$4:$D$64=$B80)),$H$4:$H$64)</f>
        <v>6033</v>
      </c>
      <c r="T80" s="76">
        <f t="array" ref="T80">SUMPRODUCT((T$4:T$64*($D$4:$D$64=$B80)),$H$4:$H$64)</f>
        <v>6033</v>
      </c>
      <c r="U80" s="76">
        <f t="array" ref="U80">SUMPRODUCT((U$4:U$64*($D$4:$D$64=$B80)),$H$4:$H$64)</f>
        <v>6670.5</v>
      </c>
      <c r="V80" s="76">
        <f t="array" ref="V80">SUMPRODUCT((V$4:V$64*($D$4:$D$64=$B80)),$H$4:$H$64)</f>
        <v>6670.5</v>
      </c>
      <c r="W80" s="76">
        <f t="array" ref="W80">SUMPRODUCT((W$4:W$64*($D$4:$D$64=$B80)),$H$4:$H$64)</f>
        <v>7270.5</v>
      </c>
      <c r="X80" s="76">
        <f t="array" ref="X80">SUMPRODUCT((X$4:X$64*($D$4:$D$64=$B80)),$H$4:$H$64)</f>
        <v>7270.5</v>
      </c>
      <c r="Y80" s="76">
        <f t="array" ref="Y80">SUMPRODUCT((Y$4:Y$64*($D$4:$D$64=$B80)),$H$4:$H$64)</f>
        <v>7270.5</v>
      </c>
      <c r="Z80" s="76">
        <f t="array" ref="Z80">SUMPRODUCT((Z$4:Z$64*($D$4:$D$64=$B80)),$H$4:$H$64)</f>
        <v>7270.5</v>
      </c>
      <c r="AA80" s="76">
        <f t="array" ref="AA80">SUMPRODUCT((AA$4:AA$64*($D$4:$D$64=$B80)),$H$4:$H$64)</f>
        <v>7270.5</v>
      </c>
      <c r="AB80" s="76">
        <f t="array" ref="AB80">SUMPRODUCT((AB$4:AB$64*($D$4:$D$64=$B80)),$H$4:$H$64)</f>
        <v>7270.5</v>
      </c>
      <c r="AC80" s="76">
        <f t="array" ref="AC80">SUMPRODUCT((AC$4:AC$64*($D$4:$D$64=$B80)),$H$4:$H$64)</f>
        <v>7270.5</v>
      </c>
      <c r="AD80" s="76">
        <f t="array" ref="AD80">SUMPRODUCT((AD$4:AD$64*($D$4:$D$64=$B80)),$H$4:$H$64)</f>
        <v>7270.5</v>
      </c>
      <c r="AE80" s="76">
        <f t="array" ref="AE80">SUMPRODUCT((AE$4:AE$64*($D$4:$D$64=$B80)),$H$4:$H$64)</f>
        <v>7270.5</v>
      </c>
      <c r="AF80" s="76">
        <f t="array" ref="AF80">SUMPRODUCT((AF$4:AF$64*($D$4:$D$64=$B80)),$H$4:$H$64)</f>
        <v>7270.5</v>
      </c>
      <c r="AG80" s="76">
        <f t="array" ref="AG80">SUMPRODUCT((AG$4:AG$64*($D$4:$D$64=$B80)),$H$4:$H$64)</f>
        <v>7270.5</v>
      </c>
      <c r="AH80" s="76">
        <f t="array" ref="AH80">SUMPRODUCT((AH$4:AH$64*($D$4:$D$64=$B80)),$H$4:$H$64)</f>
        <v>7270.5</v>
      </c>
      <c r="AI80" s="76">
        <f t="array" ref="AI80">SUMPRODUCT((AI$4:AI$64*($D$4:$D$64=$B80)),$H$4:$H$64)</f>
        <v>7270.5</v>
      </c>
      <c r="AJ80" s="76">
        <f t="array" ref="AJ80">SUMPRODUCT((AJ$4:AJ$64*($D$4:$D$64=$B80)),$H$4:$H$64)</f>
        <v>7270.5</v>
      </c>
      <c r="AK80" s="76">
        <f t="array" ref="AK80">SUMPRODUCT((AK$4:AK$64*($D$4:$D$64=$B80)),$H$4:$H$64)</f>
        <v>7270.5</v>
      </c>
      <c r="AL80" s="76">
        <f t="array" ref="AL80">SUMPRODUCT((AL$4:AL$64*($D$4:$D$64=$B80)),$H$4:$H$64)</f>
        <v>7270.5</v>
      </c>
      <c r="AM80" s="76">
        <f t="array" ref="AM80">SUMPRODUCT((AM$4:AM$64*($D$4:$D$64=$B80)),$H$4:$H$64)</f>
        <v>7270.5</v>
      </c>
      <c r="AN80" s="76">
        <f t="array" ref="AN80">SUMPRODUCT((AN$4:AN$64*($D$4:$D$64=$B80)),$H$4:$H$64)</f>
        <v>7270.5</v>
      </c>
      <c r="AO80" s="76">
        <f t="array" ref="AO80">SUMPRODUCT((AO$4:AO$64*($D$4:$D$64=$B80)),$H$4:$H$64)</f>
        <v>7270.5</v>
      </c>
      <c r="AP80" s="76">
        <f t="array" ref="AP80">SUMPRODUCT((AP$4:AP$64*($D$4:$D$64=$B80)),$H$4:$H$64)</f>
        <v>7270.5</v>
      </c>
      <c r="AQ80" s="76">
        <f t="array" ref="AQ80">SUMPRODUCT((AQ$4:AQ$64*($D$4:$D$64=$B80)),$H$4:$H$64)</f>
        <v>7270.5</v>
      </c>
      <c r="AR80" s="76">
        <f t="array" ref="AR80">SUMPRODUCT((AR$4:AR$64*($D$4:$D$64=$B80)),$H$4:$H$64)</f>
        <v>7270.5</v>
      </c>
      <c r="AS80" s="76">
        <f t="array" ref="AS80">SUMPRODUCT((AS$4:AS$64*($D$4:$D$64=$B80)),$H$4:$H$64)</f>
        <v>7270.5</v>
      </c>
      <c r="AT80" s="76">
        <f t="array" ref="AT80">SUMPRODUCT((AT$4:AT$64*($D$4:$D$64=$B80)),$H$4:$H$64)</f>
        <v>7270.5</v>
      </c>
      <c r="AU80" s="76">
        <f t="array" ref="AU80">SUMPRODUCT((AU$4:AU$64*($D$4:$D$64=$B80)),$H$4:$H$64)</f>
        <v>7270.5</v>
      </c>
      <c r="AV80" s="76">
        <f t="array" ref="AV80">SUMPRODUCT((AV$4:AV$64*($D$4:$D$64=$B80)),$H$4:$H$64)</f>
        <v>7270.5</v>
      </c>
      <c r="AW80" s="76">
        <f t="array" ref="AW80">SUMPRODUCT((AW$4:AW$64*($D$4:$D$64=$B80)),$H$4:$H$64)</f>
        <v>7270.5</v>
      </c>
      <c r="AX80" s="76">
        <f t="array" ref="AX80">SUMPRODUCT((AX$4:AX$64*($D$4:$D$64=$B80)),$H$4:$H$64)</f>
        <v>7270.5</v>
      </c>
      <c r="AY80" s="76">
        <f t="array" ref="AY80">SUMPRODUCT((AY$4:AY$64*($D$4:$D$64=$B80)),$H$4:$H$64)</f>
        <v>7270.5</v>
      </c>
      <c r="AZ80" s="76">
        <f t="array" ref="AZ80">SUMPRODUCT((AZ$4:AZ$64*($D$4:$D$64=$B80)),$H$4:$H$64)</f>
        <v>7270.5</v>
      </c>
      <c r="BA80" s="76">
        <f t="array" ref="BA80">SUMPRODUCT((BA$4:BA$64*($D$4:$D$64=$B80)),$H$4:$H$64)</f>
        <v>7270.5</v>
      </c>
      <c r="BB80" s="76">
        <f t="array" ref="BB80">SUMPRODUCT((BB$4:BB$64*($D$4:$D$64=$B80)),$H$4:$H$64)</f>
        <v>7270.5</v>
      </c>
      <c r="BC80" s="76">
        <f t="array" ref="BC80">SUMPRODUCT((BC$4:BC$64*($D$4:$D$64=$B80)),$H$4:$H$64)</f>
        <v>7270.5</v>
      </c>
      <c r="BD80" s="76">
        <f t="array" ref="BD80">SUMPRODUCT((BD$4:BD$64*($D$4:$D$64=$B80)),$H$4:$H$64)</f>
        <v>7270.5</v>
      </c>
      <c r="BE80" s="76">
        <f t="array" ref="BE80">SUMPRODUCT((BE$4:BE$64*($D$4:$D$64=$B80)),$H$4:$H$64)</f>
        <v>7270.5</v>
      </c>
      <c r="BF80" s="76">
        <f t="array" ref="BF80">SUMPRODUCT((BF$4:BF$64*($D$4:$D$64=$B80)),$H$4:$H$64)</f>
        <v>7270.5</v>
      </c>
      <c r="BG80" s="76">
        <f t="array" ref="BG80">SUMPRODUCT((BG$4:BG$64*($D$4:$D$64=$B80)),$H$4:$H$64)</f>
        <v>7270.5</v>
      </c>
      <c r="BH80" s="76">
        <f t="array" ref="BH80">SUMPRODUCT((BH$4:BH$64*($D$4:$D$64=$B80)),$H$4:$H$64)</f>
        <v>7270.5</v>
      </c>
      <c r="BI80" s="76">
        <f t="array" ref="BI80">SUMPRODUCT((BI$4:BI$64*($D$4:$D$64=$B80)),$H$4:$H$64)</f>
        <v>7270.5</v>
      </c>
    </row>
    <row r="81" ht="15.75" customHeight="1">
      <c r="A81" s="7" t="s">
        <v>228</v>
      </c>
      <c r="B81" s="22"/>
      <c r="C81" s="22"/>
      <c r="D81" s="148"/>
      <c r="E81" s="148"/>
      <c r="F81" s="148"/>
      <c r="G81" s="148"/>
      <c r="H81" s="148"/>
      <c r="I81" s="148"/>
      <c r="J81" s="148"/>
      <c r="K81" s="148"/>
      <c r="L81" s="22"/>
      <c r="M81" s="22"/>
      <c r="N81" s="147">
        <f t="shared" ref="N81:BI81" si="89">SUM(N76:N80)</f>
        <v>30910.5</v>
      </c>
      <c r="O81" s="147">
        <f t="shared" si="89"/>
        <v>30910.5</v>
      </c>
      <c r="P81" s="147">
        <f t="shared" si="89"/>
        <v>30910.5</v>
      </c>
      <c r="Q81" s="147">
        <f t="shared" si="89"/>
        <v>30910.5</v>
      </c>
      <c r="R81" s="147">
        <f t="shared" si="89"/>
        <v>30910.5</v>
      </c>
      <c r="S81" s="147">
        <f t="shared" si="89"/>
        <v>35298</v>
      </c>
      <c r="T81" s="147">
        <f t="shared" si="89"/>
        <v>35298</v>
      </c>
      <c r="U81" s="147">
        <f t="shared" si="89"/>
        <v>38335.5</v>
      </c>
      <c r="V81" s="147">
        <f t="shared" si="89"/>
        <v>39648</v>
      </c>
      <c r="W81" s="147">
        <f t="shared" si="89"/>
        <v>42648</v>
      </c>
      <c r="X81" s="147">
        <f t="shared" si="89"/>
        <v>42648</v>
      </c>
      <c r="Y81" s="147">
        <f t="shared" si="89"/>
        <v>46360.5</v>
      </c>
      <c r="Z81" s="147">
        <f t="shared" si="89"/>
        <v>46360.5</v>
      </c>
      <c r="AA81" s="147">
        <f t="shared" si="89"/>
        <v>46360.5</v>
      </c>
      <c r="AB81" s="147">
        <f t="shared" si="89"/>
        <v>47725.5</v>
      </c>
      <c r="AC81" s="147">
        <f t="shared" si="89"/>
        <v>47725.5</v>
      </c>
      <c r="AD81" s="147">
        <f t="shared" si="89"/>
        <v>47725.5</v>
      </c>
      <c r="AE81" s="147">
        <f t="shared" si="89"/>
        <v>48963</v>
      </c>
      <c r="AF81" s="147">
        <f t="shared" si="89"/>
        <v>48963</v>
      </c>
      <c r="AG81" s="147">
        <f t="shared" si="89"/>
        <v>48963</v>
      </c>
      <c r="AH81" s="147">
        <f t="shared" si="89"/>
        <v>50200.5</v>
      </c>
      <c r="AI81" s="147">
        <f t="shared" si="89"/>
        <v>50200.5</v>
      </c>
      <c r="AJ81" s="147">
        <f t="shared" si="89"/>
        <v>50200.5</v>
      </c>
      <c r="AK81" s="147">
        <f t="shared" si="89"/>
        <v>51438</v>
      </c>
      <c r="AL81" s="147">
        <f t="shared" si="89"/>
        <v>51438</v>
      </c>
      <c r="AM81" s="147">
        <f t="shared" si="89"/>
        <v>51438</v>
      </c>
      <c r="AN81" s="147">
        <f t="shared" si="89"/>
        <v>52675.5</v>
      </c>
      <c r="AO81" s="147">
        <f t="shared" si="89"/>
        <v>52675.5</v>
      </c>
      <c r="AP81" s="147">
        <f t="shared" si="89"/>
        <v>52675.5</v>
      </c>
      <c r="AQ81" s="147">
        <f t="shared" si="89"/>
        <v>53913</v>
      </c>
      <c r="AR81" s="147">
        <f t="shared" si="89"/>
        <v>53913</v>
      </c>
      <c r="AS81" s="147">
        <f t="shared" si="89"/>
        <v>53913</v>
      </c>
      <c r="AT81" s="147">
        <f t="shared" si="89"/>
        <v>55150.5</v>
      </c>
      <c r="AU81" s="147">
        <f t="shared" si="89"/>
        <v>55150.5</v>
      </c>
      <c r="AV81" s="147">
        <f t="shared" si="89"/>
        <v>55150.5</v>
      </c>
      <c r="AW81" s="147">
        <f t="shared" si="89"/>
        <v>56388</v>
      </c>
      <c r="AX81" s="147">
        <f t="shared" si="89"/>
        <v>56388</v>
      </c>
      <c r="AY81" s="147">
        <f t="shared" si="89"/>
        <v>56388</v>
      </c>
      <c r="AZ81" s="147">
        <f t="shared" si="89"/>
        <v>57625.5</v>
      </c>
      <c r="BA81" s="147">
        <f t="shared" si="89"/>
        <v>57625.5</v>
      </c>
      <c r="BB81" s="147">
        <f t="shared" si="89"/>
        <v>57625.5</v>
      </c>
      <c r="BC81" s="147">
        <f t="shared" si="89"/>
        <v>57625.5</v>
      </c>
      <c r="BD81" s="147">
        <f t="shared" si="89"/>
        <v>57625.5</v>
      </c>
      <c r="BE81" s="147">
        <f t="shared" si="89"/>
        <v>57625.5</v>
      </c>
      <c r="BF81" s="147">
        <f t="shared" si="89"/>
        <v>57625.5</v>
      </c>
      <c r="BG81" s="147">
        <f t="shared" si="89"/>
        <v>57625.5</v>
      </c>
      <c r="BH81" s="147">
        <f t="shared" si="89"/>
        <v>57625.5</v>
      </c>
      <c r="BI81" s="147">
        <f t="shared" si="89"/>
        <v>57625.5</v>
      </c>
    </row>
    <row r="82" ht="15.75" customHeight="1">
      <c r="A82" s="31" t="s">
        <v>226</v>
      </c>
      <c r="B82" s="31"/>
      <c r="C82" s="31"/>
      <c r="D82" s="149"/>
      <c r="E82" s="149"/>
      <c r="F82" s="149"/>
      <c r="G82" s="149"/>
      <c r="H82" s="149"/>
      <c r="I82" s="149"/>
      <c r="J82" s="149"/>
      <c r="K82" s="149"/>
      <c r="L82" s="31"/>
      <c r="M82" s="31"/>
      <c r="N82" s="150">
        <f t="shared" ref="N82:BI82" si="90">SUMPRODUCT(N$4:N$64,$H$4:$H$64)-N81</f>
        <v>0</v>
      </c>
      <c r="O82" s="150">
        <f t="shared" si="90"/>
        <v>0</v>
      </c>
      <c r="P82" s="150">
        <f t="shared" si="90"/>
        <v>0</v>
      </c>
      <c r="Q82" s="150">
        <f t="shared" si="90"/>
        <v>0</v>
      </c>
      <c r="R82" s="150">
        <f t="shared" si="90"/>
        <v>0</v>
      </c>
      <c r="S82" s="150">
        <f t="shared" si="90"/>
        <v>0</v>
      </c>
      <c r="T82" s="150">
        <f t="shared" si="90"/>
        <v>0</v>
      </c>
      <c r="U82" s="150">
        <f t="shared" si="90"/>
        <v>0</v>
      </c>
      <c r="V82" s="150">
        <f t="shared" si="90"/>
        <v>0</v>
      </c>
      <c r="W82" s="150">
        <f t="shared" si="90"/>
        <v>0</v>
      </c>
      <c r="X82" s="150">
        <f t="shared" si="90"/>
        <v>0</v>
      </c>
      <c r="Y82" s="150">
        <f t="shared" si="90"/>
        <v>0</v>
      </c>
      <c r="Z82" s="150">
        <f t="shared" si="90"/>
        <v>0</v>
      </c>
      <c r="AA82" s="150">
        <f t="shared" si="90"/>
        <v>0</v>
      </c>
      <c r="AB82" s="150">
        <f t="shared" si="90"/>
        <v>0</v>
      </c>
      <c r="AC82" s="150">
        <f t="shared" si="90"/>
        <v>0</v>
      </c>
      <c r="AD82" s="150">
        <f t="shared" si="90"/>
        <v>0</v>
      </c>
      <c r="AE82" s="150">
        <f t="shared" si="90"/>
        <v>0</v>
      </c>
      <c r="AF82" s="150">
        <f t="shared" si="90"/>
        <v>0</v>
      </c>
      <c r="AG82" s="150">
        <f t="shared" si="90"/>
        <v>0</v>
      </c>
      <c r="AH82" s="150">
        <f t="shared" si="90"/>
        <v>0</v>
      </c>
      <c r="AI82" s="150">
        <f t="shared" si="90"/>
        <v>0</v>
      </c>
      <c r="AJ82" s="150">
        <f t="shared" si="90"/>
        <v>0</v>
      </c>
      <c r="AK82" s="150">
        <f t="shared" si="90"/>
        <v>0</v>
      </c>
      <c r="AL82" s="150">
        <f t="shared" si="90"/>
        <v>0</v>
      </c>
      <c r="AM82" s="150">
        <f t="shared" si="90"/>
        <v>0</v>
      </c>
      <c r="AN82" s="150">
        <f t="shared" si="90"/>
        <v>0</v>
      </c>
      <c r="AO82" s="150">
        <f t="shared" si="90"/>
        <v>0</v>
      </c>
      <c r="AP82" s="150">
        <f t="shared" si="90"/>
        <v>0</v>
      </c>
      <c r="AQ82" s="150">
        <f t="shared" si="90"/>
        <v>0</v>
      </c>
      <c r="AR82" s="150">
        <f t="shared" si="90"/>
        <v>0</v>
      </c>
      <c r="AS82" s="150">
        <f t="shared" si="90"/>
        <v>0</v>
      </c>
      <c r="AT82" s="150">
        <f t="shared" si="90"/>
        <v>0</v>
      </c>
      <c r="AU82" s="150">
        <f t="shared" si="90"/>
        <v>0</v>
      </c>
      <c r="AV82" s="150">
        <f t="shared" si="90"/>
        <v>0</v>
      </c>
      <c r="AW82" s="150">
        <f t="shared" si="90"/>
        <v>0</v>
      </c>
      <c r="AX82" s="150">
        <f t="shared" si="90"/>
        <v>0</v>
      </c>
      <c r="AY82" s="150">
        <f t="shared" si="90"/>
        <v>0</v>
      </c>
      <c r="AZ82" s="150">
        <f t="shared" si="90"/>
        <v>0</v>
      </c>
      <c r="BA82" s="150">
        <f t="shared" si="90"/>
        <v>0</v>
      </c>
      <c r="BB82" s="150">
        <f t="shared" si="90"/>
        <v>0</v>
      </c>
      <c r="BC82" s="150">
        <f t="shared" si="90"/>
        <v>0</v>
      </c>
      <c r="BD82" s="150">
        <f t="shared" si="90"/>
        <v>0</v>
      </c>
      <c r="BE82" s="150">
        <f t="shared" si="90"/>
        <v>0</v>
      </c>
      <c r="BF82" s="150">
        <f t="shared" si="90"/>
        <v>0</v>
      </c>
      <c r="BG82" s="150">
        <f t="shared" si="90"/>
        <v>0</v>
      </c>
      <c r="BH82" s="150">
        <f t="shared" si="90"/>
        <v>0</v>
      </c>
      <c r="BI82" s="150">
        <f t="shared" si="90"/>
        <v>0</v>
      </c>
    </row>
    <row r="83" ht="15.75" customHeight="1">
      <c r="A83" s="7" t="s">
        <v>229</v>
      </c>
      <c r="D83" s="30"/>
      <c r="E83" s="30"/>
      <c r="F83" s="30"/>
      <c r="G83" s="30"/>
      <c r="H83" s="30"/>
      <c r="I83" s="30"/>
      <c r="J83" s="30"/>
      <c r="K83" s="30"/>
    </row>
    <row r="84" ht="15.75" customHeight="1">
      <c r="B84" s="1" t="str">
        <f t="shared" ref="B84:B88" si="92">B76</f>
        <v>General &amp; Admin</v>
      </c>
      <c r="D84" s="30"/>
      <c r="E84" s="30"/>
      <c r="F84" s="30"/>
      <c r="G84" s="30"/>
      <c r="H84" s="30"/>
      <c r="I84" s="30"/>
      <c r="J84" s="30"/>
      <c r="K84" s="30"/>
      <c r="N84" s="76">
        <f t="shared" ref="N84:BI84" si="91">SUMIFS($K$4:$K$64,N$4:N$64,"&gt;"&amp;0,$D$4:$D$64,$B84)</f>
        <v>1900</v>
      </c>
      <c r="O84" s="76">
        <f t="shared" si="91"/>
        <v>1900</v>
      </c>
      <c r="P84" s="76">
        <f t="shared" si="91"/>
        <v>1900</v>
      </c>
      <c r="Q84" s="76">
        <f t="shared" si="91"/>
        <v>1900</v>
      </c>
      <c r="R84" s="76">
        <f t="shared" si="91"/>
        <v>1900</v>
      </c>
      <c r="S84" s="76">
        <f t="shared" si="91"/>
        <v>1900</v>
      </c>
      <c r="T84" s="76">
        <f t="shared" si="91"/>
        <v>1900</v>
      </c>
      <c r="U84" s="76">
        <f t="shared" si="91"/>
        <v>1900</v>
      </c>
      <c r="V84" s="76">
        <f t="shared" si="91"/>
        <v>1900</v>
      </c>
      <c r="W84" s="76">
        <f t="shared" si="91"/>
        <v>1900</v>
      </c>
      <c r="X84" s="76">
        <f t="shared" si="91"/>
        <v>1900</v>
      </c>
      <c r="Y84" s="76">
        <f t="shared" si="91"/>
        <v>1900</v>
      </c>
      <c r="Z84" s="76">
        <f t="shared" si="91"/>
        <v>1900</v>
      </c>
      <c r="AA84" s="76">
        <f t="shared" si="91"/>
        <v>1900</v>
      </c>
      <c r="AB84" s="76">
        <f t="shared" si="91"/>
        <v>1900</v>
      </c>
      <c r="AC84" s="76">
        <f t="shared" si="91"/>
        <v>1900</v>
      </c>
      <c r="AD84" s="76">
        <f t="shared" si="91"/>
        <v>1900</v>
      </c>
      <c r="AE84" s="76">
        <f t="shared" si="91"/>
        <v>1900</v>
      </c>
      <c r="AF84" s="76">
        <f t="shared" si="91"/>
        <v>1900</v>
      </c>
      <c r="AG84" s="76">
        <f t="shared" si="91"/>
        <v>1900</v>
      </c>
      <c r="AH84" s="76">
        <f t="shared" si="91"/>
        <v>1900</v>
      </c>
      <c r="AI84" s="76">
        <f t="shared" si="91"/>
        <v>1900</v>
      </c>
      <c r="AJ84" s="76">
        <f t="shared" si="91"/>
        <v>1900</v>
      </c>
      <c r="AK84" s="76">
        <f t="shared" si="91"/>
        <v>1900</v>
      </c>
      <c r="AL84" s="76">
        <f t="shared" si="91"/>
        <v>1900</v>
      </c>
      <c r="AM84" s="76">
        <f t="shared" si="91"/>
        <v>1900</v>
      </c>
      <c r="AN84" s="76">
        <f t="shared" si="91"/>
        <v>1900</v>
      </c>
      <c r="AO84" s="76">
        <f t="shared" si="91"/>
        <v>1900</v>
      </c>
      <c r="AP84" s="76">
        <f t="shared" si="91"/>
        <v>1900</v>
      </c>
      <c r="AQ84" s="76">
        <f t="shared" si="91"/>
        <v>1900</v>
      </c>
      <c r="AR84" s="76">
        <f t="shared" si="91"/>
        <v>1900</v>
      </c>
      <c r="AS84" s="76">
        <f t="shared" si="91"/>
        <v>1900</v>
      </c>
      <c r="AT84" s="76">
        <f t="shared" si="91"/>
        <v>1900</v>
      </c>
      <c r="AU84" s="76">
        <f t="shared" si="91"/>
        <v>1900</v>
      </c>
      <c r="AV84" s="76">
        <f t="shared" si="91"/>
        <v>1900</v>
      </c>
      <c r="AW84" s="76">
        <f t="shared" si="91"/>
        <v>1900</v>
      </c>
      <c r="AX84" s="76">
        <f t="shared" si="91"/>
        <v>1900</v>
      </c>
      <c r="AY84" s="76">
        <f t="shared" si="91"/>
        <v>1900</v>
      </c>
      <c r="AZ84" s="76">
        <f t="shared" si="91"/>
        <v>1900</v>
      </c>
      <c r="BA84" s="76">
        <f t="shared" si="91"/>
        <v>1900</v>
      </c>
      <c r="BB84" s="76">
        <f t="shared" si="91"/>
        <v>1900</v>
      </c>
      <c r="BC84" s="76">
        <f t="shared" si="91"/>
        <v>1900</v>
      </c>
      <c r="BD84" s="76">
        <f t="shared" si="91"/>
        <v>1900</v>
      </c>
      <c r="BE84" s="76">
        <f t="shared" si="91"/>
        <v>1900</v>
      </c>
      <c r="BF84" s="76">
        <f t="shared" si="91"/>
        <v>1900</v>
      </c>
      <c r="BG84" s="76">
        <f t="shared" si="91"/>
        <v>1900</v>
      </c>
      <c r="BH84" s="76">
        <f t="shared" si="91"/>
        <v>1900</v>
      </c>
      <c r="BI84" s="76">
        <f t="shared" si="91"/>
        <v>1900</v>
      </c>
    </row>
    <row r="85" ht="15.75" customHeight="1">
      <c r="B85" s="1" t="str">
        <f t="shared" si="92"/>
        <v>Engineering</v>
      </c>
      <c r="D85" s="30"/>
      <c r="E85" s="30"/>
      <c r="F85" s="30"/>
      <c r="G85" s="30"/>
      <c r="H85" s="30"/>
      <c r="I85" s="30"/>
      <c r="J85" s="30"/>
      <c r="K85" s="30"/>
      <c r="N85" s="76">
        <f t="shared" ref="N85:BI85" si="93">SUMIFS($K$4:$K$64,N$4:N$64,"&gt;"&amp;0,$D$4:$D$64,$B85)</f>
        <v>14390</v>
      </c>
      <c r="O85" s="76">
        <f t="shared" si="93"/>
        <v>14390</v>
      </c>
      <c r="P85" s="76">
        <f t="shared" si="93"/>
        <v>14390</v>
      </c>
      <c r="Q85" s="76">
        <f t="shared" si="93"/>
        <v>14390</v>
      </c>
      <c r="R85" s="76">
        <f t="shared" si="93"/>
        <v>14390</v>
      </c>
      <c r="S85" s="76">
        <f t="shared" si="93"/>
        <v>15506.66667</v>
      </c>
      <c r="T85" s="76">
        <f t="shared" si="93"/>
        <v>15506.66667</v>
      </c>
      <c r="U85" s="76">
        <f t="shared" si="93"/>
        <v>15506.66667</v>
      </c>
      <c r="V85" s="76">
        <f t="shared" si="93"/>
        <v>16590</v>
      </c>
      <c r="W85" s="76">
        <f t="shared" si="93"/>
        <v>16590</v>
      </c>
      <c r="X85" s="76">
        <f t="shared" si="93"/>
        <v>16590</v>
      </c>
      <c r="Y85" s="76">
        <f t="shared" si="93"/>
        <v>17673.33333</v>
      </c>
      <c r="Z85" s="76">
        <f t="shared" si="93"/>
        <v>17673.33333</v>
      </c>
      <c r="AA85" s="76">
        <f t="shared" si="93"/>
        <v>17673.33333</v>
      </c>
      <c r="AB85" s="76">
        <f t="shared" si="93"/>
        <v>18780</v>
      </c>
      <c r="AC85" s="76">
        <f t="shared" si="93"/>
        <v>18780</v>
      </c>
      <c r="AD85" s="76">
        <f t="shared" si="93"/>
        <v>18780</v>
      </c>
      <c r="AE85" s="76">
        <f t="shared" si="93"/>
        <v>19830</v>
      </c>
      <c r="AF85" s="76">
        <f t="shared" si="93"/>
        <v>19830</v>
      </c>
      <c r="AG85" s="76">
        <f t="shared" si="93"/>
        <v>19830</v>
      </c>
      <c r="AH85" s="76">
        <f t="shared" si="93"/>
        <v>20880</v>
      </c>
      <c r="AI85" s="76">
        <f t="shared" si="93"/>
        <v>20880</v>
      </c>
      <c r="AJ85" s="76">
        <f t="shared" si="93"/>
        <v>20880</v>
      </c>
      <c r="AK85" s="76">
        <f t="shared" si="93"/>
        <v>21930</v>
      </c>
      <c r="AL85" s="76">
        <f t="shared" si="93"/>
        <v>21930</v>
      </c>
      <c r="AM85" s="76">
        <f t="shared" si="93"/>
        <v>21930</v>
      </c>
      <c r="AN85" s="76">
        <f t="shared" si="93"/>
        <v>22980</v>
      </c>
      <c r="AO85" s="76">
        <f t="shared" si="93"/>
        <v>22980</v>
      </c>
      <c r="AP85" s="76">
        <f t="shared" si="93"/>
        <v>22980</v>
      </c>
      <c r="AQ85" s="76">
        <f t="shared" si="93"/>
        <v>24030</v>
      </c>
      <c r="AR85" s="76">
        <f t="shared" si="93"/>
        <v>24030</v>
      </c>
      <c r="AS85" s="76">
        <f t="shared" si="93"/>
        <v>24030</v>
      </c>
      <c r="AT85" s="76">
        <f t="shared" si="93"/>
        <v>25080</v>
      </c>
      <c r="AU85" s="76">
        <f t="shared" si="93"/>
        <v>25080</v>
      </c>
      <c r="AV85" s="76">
        <f t="shared" si="93"/>
        <v>25080</v>
      </c>
      <c r="AW85" s="76">
        <f t="shared" si="93"/>
        <v>26130</v>
      </c>
      <c r="AX85" s="76">
        <f t="shared" si="93"/>
        <v>26130</v>
      </c>
      <c r="AY85" s="76">
        <f t="shared" si="93"/>
        <v>26130</v>
      </c>
      <c r="AZ85" s="76">
        <f t="shared" si="93"/>
        <v>27180</v>
      </c>
      <c r="BA85" s="76">
        <f t="shared" si="93"/>
        <v>27180</v>
      </c>
      <c r="BB85" s="76">
        <f t="shared" si="93"/>
        <v>27180</v>
      </c>
      <c r="BC85" s="76">
        <f t="shared" si="93"/>
        <v>27180</v>
      </c>
      <c r="BD85" s="76">
        <f t="shared" si="93"/>
        <v>27180</v>
      </c>
      <c r="BE85" s="76">
        <f t="shared" si="93"/>
        <v>27180</v>
      </c>
      <c r="BF85" s="76">
        <f t="shared" si="93"/>
        <v>27180</v>
      </c>
      <c r="BG85" s="76">
        <f t="shared" si="93"/>
        <v>27180</v>
      </c>
      <c r="BH85" s="76">
        <f t="shared" si="93"/>
        <v>27180</v>
      </c>
      <c r="BI85" s="76">
        <f t="shared" si="93"/>
        <v>27180</v>
      </c>
    </row>
    <row r="86" ht="15.75" customHeight="1">
      <c r="B86" s="1" t="str">
        <f t="shared" si="92"/>
        <v>Marketing</v>
      </c>
      <c r="D86" s="30"/>
      <c r="E86" s="30"/>
      <c r="F86" s="30"/>
      <c r="G86" s="30"/>
      <c r="H86" s="30"/>
      <c r="I86" s="30"/>
      <c r="J86" s="30"/>
      <c r="K86" s="30"/>
      <c r="N86" s="76">
        <f t="shared" ref="N86:BI86" si="94">SUMIFS($K$4:$K$64,N$4:N$64,"&gt;"&amp;0,$D$4:$D$64,$B86)</f>
        <v>2033.333333</v>
      </c>
      <c r="O86" s="76">
        <f t="shared" si="94"/>
        <v>2033.333333</v>
      </c>
      <c r="P86" s="76">
        <f t="shared" si="94"/>
        <v>2033.333333</v>
      </c>
      <c r="Q86" s="76">
        <f t="shared" si="94"/>
        <v>2033.333333</v>
      </c>
      <c r="R86" s="76">
        <f t="shared" si="94"/>
        <v>2033.333333</v>
      </c>
      <c r="S86" s="76">
        <f t="shared" si="94"/>
        <v>2866.666667</v>
      </c>
      <c r="T86" s="76">
        <f t="shared" si="94"/>
        <v>2866.666667</v>
      </c>
      <c r="U86" s="76">
        <f t="shared" si="94"/>
        <v>3700</v>
      </c>
      <c r="V86" s="76">
        <f t="shared" si="94"/>
        <v>3700</v>
      </c>
      <c r="W86" s="76">
        <f t="shared" si="94"/>
        <v>4533.333333</v>
      </c>
      <c r="X86" s="76">
        <f t="shared" si="94"/>
        <v>4533.333333</v>
      </c>
      <c r="Y86" s="76">
        <f t="shared" si="94"/>
        <v>5366.666667</v>
      </c>
      <c r="Z86" s="76">
        <f t="shared" si="94"/>
        <v>5366.666667</v>
      </c>
      <c r="AA86" s="76">
        <f t="shared" si="94"/>
        <v>5366.666667</v>
      </c>
      <c r="AB86" s="76">
        <f t="shared" si="94"/>
        <v>5366.666667</v>
      </c>
      <c r="AC86" s="76">
        <f t="shared" si="94"/>
        <v>5366.666667</v>
      </c>
      <c r="AD86" s="76">
        <f t="shared" si="94"/>
        <v>5366.666667</v>
      </c>
      <c r="AE86" s="76">
        <f t="shared" si="94"/>
        <v>5366.666667</v>
      </c>
      <c r="AF86" s="76">
        <f t="shared" si="94"/>
        <v>5366.666667</v>
      </c>
      <c r="AG86" s="76">
        <f t="shared" si="94"/>
        <v>5366.666667</v>
      </c>
      <c r="AH86" s="76">
        <f t="shared" si="94"/>
        <v>5366.666667</v>
      </c>
      <c r="AI86" s="76">
        <f t="shared" si="94"/>
        <v>5366.666667</v>
      </c>
      <c r="AJ86" s="76">
        <f t="shared" si="94"/>
        <v>5366.666667</v>
      </c>
      <c r="AK86" s="76">
        <f t="shared" si="94"/>
        <v>5366.666667</v>
      </c>
      <c r="AL86" s="76">
        <f t="shared" si="94"/>
        <v>5366.666667</v>
      </c>
      <c r="AM86" s="76">
        <f t="shared" si="94"/>
        <v>5366.666667</v>
      </c>
      <c r="AN86" s="76">
        <f t="shared" si="94"/>
        <v>5366.666667</v>
      </c>
      <c r="AO86" s="76">
        <f t="shared" si="94"/>
        <v>5366.666667</v>
      </c>
      <c r="AP86" s="76">
        <f t="shared" si="94"/>
        <v>5366.666667</v>
      </c>
      <c r="AQ86" s="76">
        <f t="shared" si="94"/>
        <v>5366.666667</v>
      </c>
      <c r="AR86" s="76">
        <f t="shared" si="94"/>
        <v>5366.666667</v>
      </c>
      <c r="AS86" s="76">
        <f t="shared" si="94"/>
        <v>5366.666667</v>
      </c>
      <c r="AT86" s="76">
        <f t="shared" si="94"/>
        <v>5366.666667</v>
      </c>
      <c r="AU86" s="76">
        <f t="shared" si="94"/>
        <v>5366.666667</v>
      </c>
      <c r="AV86" s="76">
        <f t="shared" si="94"/>
        <v>5366.666667</v>
      </c>
      <c r="AW86" s="76">
        <f t="shared" si="94"/>
        <v>5366.666667</v>
      </c>
      <c r="AX86" s="76">
        <f t="shared" si="94"/>
        <v>5366.666667</v>
      </c>
      <c r="AY86" s="76">
        <f t="shared" si="94"/>
        <v>5366.666667</v>
      </c>
      <c r="AZ86" s="76">
        <f t="shared" si="94"/>
        <v>5366.666667</v>
      </c>
      <c r="BA86" s="76">
        <f t="shared" si="94"/>
        <v>5366.666667</v>
      </c>
      <c r="BB86" s="76">
        <f t="shared" si="94"/>
        <v>5366.666667</v>
      </c>
      <c r="BC86" s="76">
        <f t="shared" si="94"/>
        <v>5366.666667</v>
      </c>
      <c r="BD86" s="76">
        <f t="shared" si="94"/>
        <v>5366.666667</v>
      </c>
      <c r="BE86" s="76">
        <f t="shared" si="94"/>
        <v>5366.666667</v>
      </c>
      <c r="BF86" s="76">
        <f t="shared" si="94"/>
        <v>5366.666667</v>
      </c>
      <c r="BG86" s="76">
        <f t="shared" si="94"/>
        <v>5366.666667</v>
      </c>
      <c r="BH86" s="76">
        <f t="shared" si="94"/>
        <v>5366.666667</v>
      </c>
      <c r="BI86" s="76">
        <f t="shared" si="94"/>
        <v>5366.666667</v>
      </c>
    </row>
    <row r="87" ht="15.75" customHeight="1">
      <c r="B87" s="1" t="str">
        <f t="shared" si="92"/>
        <v>Sales</v>
      </c>
      <c r="D87" s="30"/>
      <c r="E87" s="30"/>
      <c r="F87" s="30"/>
      <c r="G87" s="30"/>
      <c r="H87" s="30"/>
      <c r="I87" s="30"/>
      <c r="J87" s="30"/>
      <c r="K87" s="30"/>
      <c r="N87" s="76">
        <f t="shared" ref="N87:BI87" si="95">SUMIFS($K$4:$K$64,N$4:N$64,"&gt;"&amp;0,$D$4:$D$64,$B87)</f>
        <v>3500</v>
      </c>
      <c r="O87" s="76">
        <f t="shared" si="95"/>
        <v>3500</v>
      </c>
      <c r="P87" s="76">
        <f t="shared" si="95"/>
        <v>3500</v>
      </c>
      <c r="Q87" s="76">
        <f t="shared" si="95"/>
        <v>3500</v>
      </c>
      <c r="R87" s="76">
        <f t="shared" si="95"/>
        <v>3500</v>
      </c>
      <c r="S87" s="76">
        <f t="shared" si="95"/>
        <v>5233.333333</v>
      </c>
      <c r="T87" s="76">
        <f t="shared" si="95"/>
        <v>5233.333333</v>
      </c>
      <c r="U87" s="76">
        <f t="shared" si="95"/>
        <v>6966.666667</v>
      </c>
      <c r="V87" s="76">
        <f t="shared" si="95"/>
        <v>6966.666667</v>
      </c>
      <c r="W87" s="76">
        <f t="shared" si="95"/>
        <v>8700</v>
      </c>
      <c r="X87" s="76">
        <f t="shared" si="95"/>
        <v>8700</v>
      </c>
      <c r="Y87" s="76">
        <f t="shared" si="95"/>
        <v>10433.33333</v>
      </c>
      <c r="Z87" s="76">
        <f t="shared" si="95"/>
        <v>10433.33333</v>
      </c>
      <c r="AA87" s="76">
        <f t="shared" si="95"/>
        <v>10433.33333</v>
      </c>
      <c r="AB87" s="76">
        <f t="shared" si="95"/>
        <v>10433.33333</v>
      </c>
      <c r="AC87" s="76">
        <f t="shared" si="95"/>
        <v>10433.33333</v>
      </c>
      <c r="AD87" s="76">
        <f t="shared" si="95"/>
        <v>10433.33333</v>
      </c>
      <c r="AE87" s="76">
        <f t="shared" si="95"/>
        <v>10433.33333</v>
      </c>
      <c r="AF87" s="76">
        <f t="shared" si="95"/>
        <v>10433.33333</v>
      </c>
      <c r="AG87" s="76">
        <f t="shared" si="95"/>
        <v>10433.33333</v>
      </c>
      <c r="AH87" s="76">
        <f t="shared" si="95"/>
        <v>10433.33333</v>
      </c>
      <c r="AI87" s="76">
        <f t="shared" si="95"/>
        <v>10433.33333</v>
      </c>
      <c r="AJ87" s="76">
        <f t="shared" si="95"/>
        <v>10433.33333</v>
      </c>
      <c r="AK87" s="76">
        <f t="shared" si="95"/>
        <v>10433.33333</v>
      </c>
      <c r="AL87" s="76">
        <f t="shared" si="95"/>
        <v>10433.33333</v>
      </c>
      <c r="AM87" s="76">
        <f t="shared" si="95"/>
        <v>10433.33333</v>
      </c>
      <c r="AN87" s="76">
        <f t="shared" si="95"/>
        <v>10433.33333</v>
      </c>
      <c r="AO87" s="76">
        <f t="shared" si="95"/>
        <v>10433.33333</v>
      </c>
      <c r="AP87" s="76">
        <f t="shared" si="95"/>
        <v>10433.33333</v>
      </c>
      <c r="AQ87" s="76">
        <f t="shared" si="95"/>
        <v>10433.33333</v>
      </c>
      <c r="AR87" s="76">
        <f t="shared" si="95"/>
        <v>10433.33333</v>
      </c>
      <c r="AS87" s="76">
        <f t="shared" si="95"/>
        <v>10433.33333</v>
      </c>
      <c r="AT87" s="76">
        <f t="shared" si="95"/>
        <v>10433.33333</v>
      </c>
      <c r="AU87" s="76">
        <f t="shared" si="95"/>
        <v>10433.33333</v>
      </c>
      <c r="AV87" s="76">
        <f t="shared" si="95"/>
        <v>10433.33333</v>
      </c>
      <c r="AW87" s="76">
        <f t="shared" si="95"/>
        <v>10433.33333</v>
      </c>
      <c r="AX87" s="76">
        <f t="shared" si="95"/>
        <v>10433.33333</v>
      </c>
      <c r="AY87" s="76">
        <f t="shared" si="95"/>
        <v>10433.33333</v>
      </c>
      <c r="AZ87" s="76">
        <f t="shared" si="95"/>
        <v>10433.33333</v>
      </c>
      <c r="BA87" s="76">
        <f t="shared" si="95"/>
        <v>10433.33333</v>
      </c>
      <c r="BB87" s="76">
        <f t="shared" si="95"/>
        <v>10433.33333</v>
      </c>
      <c r="BC87" s="76">
        <f t="shared" si="95"/>
        <v>10433.33333</v>
      </c>
      <c r="BD87" s="76">
        <f t="shared" si="95"/>
        <v>10433.33333</v>
      </c>
      <c r="BE87" s="76">
        <f t="shared" si="95"/>
        <v>10433.33333</v>
      </c>
      <c r="BF87" s="76">
        <f t="shared" si="95"/>
        <v>10433.33333</v>
      </c>
      <c r="BG87" s="76">
        <f t="shared" si="95"/>
        <v>10433.33333</v>
      </c>
      <c r="BH87" s="76">
        <f t="shared" si="95"/>
        <v>10433.33333</v>
      </c>
      <c r="BI87" s="76">
        <f t="shared" si="95"/>
        <v>10433.33333</v>
      </c>
    </row>
    <row r="88" ht="15.75" customHeight="1">
      <c r="B88" s="1" t="str">
        <f t="shared" si="92"/>
        <v>Support</v>
      </c>
      <c r="D88" s="30"/>
      <c r="E88" s="30"/>
      <c r="F88" s="30"/>
      <c r="G88" s="30"/>
      <c r="H88" s="30"/>
      <c r="I88" s="30"/>
      <c r="J88" s="30"/>
      <c r="K88" s="30"/>
      <c r="N88" s="76">
        <f t="shared" ref="N88:BI88" si="96">SUMIFS($K$4:$K$64,N$4:N$64,"&gt;"&amp;0,$D$4:$D$64,$B88)</f>
        <v>3182.666667</v>
      </c>
      <c r="O88" s="76">
        <f t="shared" si="96"/>
        <v>3182.666667</v>
      </c>
      <c r="P88" s="76">
        <f t="shared" si="96"/>
        <v>3182.666667</v>
      </c>
      <c r="Q88" s="76">
        <f t="shared" si="96"/>
        <v>3182.666667</v>
      </c>
      <c r="R88" s="76">
        <f t="shared" si="96"/>
        <v>3182.666667</v>
      </c>
      <c r="S88" s="76">
        <f t="shared" si="96"/>
        <v>3949.333333</v>
      </c>
      <c r="T88" s="76">
        <f t="shared" si="96"/>
        <v>3949.333333</v>
      </c>
      <c r="U88" s="76">
        <f t="shared" si="96"/>
        <v>4732.666667</v>
      </c>
      <c r="V88" s="76">
        <f t="shared" si="96"/>
        <v>4732.666667</v>
      </c>
      <c r="W88" s="76">
        <f t="shared" si="96"/>
        <v>5499.333333</v>
      </c>
      <c r="X88" s="76">
        <f t="shared" si="96"/>
        <v>5499.333333</v>
      </c>
      <c r="Y88" s="76">
        <f t="shared" si="96"/>
        <v>5499.333333</v>
      </c>
      <c r="Z88" s="76">
        <f t="shared" si="96"/>
        <v>5499.333333</v>
      </c>
      <c r="AA88" s="76">
        <f t="shared" si="96"/>
        <v>5499.333333</v>
      </c>
      <c r="AB88" s="76">
        <f t="shared" si="96"/>
        <v>5499.333333</v>
      </c>
      <c r="AC88" s="76">
        <f t="shared" si="96"/>
        <v>5499.333333</v>
      </c>
      <c r="AD88" s="76">
        <f t="shared" si="96"/>
        <v>5499.333333</v>
      </c>
      <c r="AE88" s="76">
        <f t="shared" si="96"/>
        <v>5499.333333</v>
      </c>
      <c r="AF88" s="76">
        <f t="shared" si="96"/>
        <v>5499.333333</v>
      </c>
      <c r="AG88" s="76">
        <f t="shared" si="96"/>
        <v>5499.333333</v>
      </c>
      <c r="AH88" s="76">
        <f t="shared" si="96"/>
        <v>5499.333333</v>
      </c>
      <c r="AI88" s="76">
        <f t="shared" si="96"/>
        <v>5499.333333</v>
      </c>
      <c r="AJ88" s="76">
        <f t="shared" si="96"/>
        <v>5499.333333</v>
      </c>
      <c r="AK88" s="76">
        <f t="shared" si="96"/>
        <v>5499.333333</v>
      </c>
      <c r="AL88" s="76">
        <f t="shared" si="96"/>
        <v>5499.333333</v>
      </c>
      <c r="AM88" s="76">
        <f t="shared" si="96"/>
        <v>5499.333333</v>
      </c>
      <c r="AN88" s="76">
        <f t="shared" si="96"/>
        <v>5499.333333</v>
      </c>
      <c r="AO88" s="76">
        <f t="shared" si="96"/>
        <v>5499.333333</v>
      </c>
      <c r="AP88" s="76">
        <f t="shared" si="96"/>
        <v>5499.333333</v>
      </c>
      <c r="AQ88" s="76">
        <f t="shared" si="96"/>
        <v>5499.333333</v>
      </c>
      <c r="AR88" s="76">
        <f t="shared" si="96"/>
        <v>5499.333333</v>
      </c>
      <c r="AS88" s="76">
        <f t="shared" si="96"/>
        <v>5499.333333</v>
      </c>
      <c r="AT88" s="76">
        <f t="shared" si="96"/>
        <v>5499.333333</v>
      </c>
      <c r="AU88" s="76">
        <f t="shared" si="96"/>
        <v>5499.333333</v>
      </c>
      <c r="AV88" s="76">
        <f t="shared" si="96"/>
        <v>5499.333333</v>
      </c>
      <c r="AW88" s="76">
        <f t="shared" si="96"/>
        <v>5499.333333</v>
      </c>
      <c r="AX88" s="76">
        <f t="shared" si="96"/>
        <v>5499.333333</v>
      </c>
      <c r="AY88" s="76">
        <f t="shared" si="96"/>
        <v>5499.333333</v>
      </c>
      <c r="AZ88" s="76">
        <f t="shared" si="96"/>
        <v>5499.333333</v>
      </c>
      <c r="BA88" s="76">
        <f t="shared" si="96"/>
        <v>5499.333333</v>
      </c>
      <c r="BB88" s="76">
        <f t="shared" si="96"/>
        <v>5499.333333</v>
      </c>
      <c r="BC88" s="76">
        <f t="shared" si="96"/>
        <v>5499.333333</v>
      </c>
      <c r="BD88" s="76">
        <f t="shared" si="96"/>
        <v>5499.333333</v>
      </c>
      <c r="BE88" s="76">
        <f t="shared" si="96"/>
        <v>5499.333333</v>
      </c>
      <c r="BF88" s="76">
        <f t="shared" si="96"/>
        <v>5499.333333</v>
      </c>
      <c r="BG88" s="76">
        <f t="shared" si="96"/>
        <v>5499.333333</v>
      </c>
      <c r="BH88" s="76">
        <f t="shared" si="96"/>
        <v>5499.333333</v>
      </c>
      <c r="BI88" s="76">
        <f t="shared" si="96"/>
        <v>5499.333333</v>
      </c>
    </row>
    <row r="89" ht="15.75" customHeight="1">
      <c r="A89" s="7" t="s">
        <v>230</v>
      </c>
      <c r="B89" s="22"/>
      <c r="C89" s="22"/>
      <c r="D89" s="148"/>
      <c r="E89" s="148"/>
      <c r="F89" s="148"/>
      <c r="G89" s="148"/>
      <c r="H89" s="148"/>
      <c r="I89" s="148"/>
      <c r="J89" s="148"/>
      <c r="K89" s="148"/>
      <c r="L89" s="22"/>
      <c r="M89" s="22"/>
      <c r="N89" s="147">
        <f t="shared" ref="N89:BI89" si="97">SUM(N84:N88)</f>
        <v>25006</v>
      </c>
      <c r="O89" s="147">
        <f t="shared" si="97"/>
        <v>25006</v>
      </c>
      <c r="P89" s="147">
        <f t="shared" si="97"/>
        <v>25006</v>
      </c>
      <c r="Q89" s="147">
        <f t="shared" si="97"/>
        <v>25006</v>
      </c>
      <c r="R89" s="147">
        <f t="shared" si="97"/>
        <v>25006</v>
      </c>
      <c r="S89" s="147">
        <f t="shared" si="97"/>
        <v>29456</v>
      </c>
      <c r="T89" s="147">
        <f t="shared" si="97"/>
        <v>29456</v>
      </c>
      <c r="U89" s="147">
        <f t="shared" si="97"/>
        <v>32806</v>
      </c>
      <c r="V89" s="147">
        <f t="shared" si="97"/>
        <v>33889.33333</v>
      </c>
      <c r="W89" s="147">
        <f t="shared" si="97"/>
        <v>37222.66667</v>
      </c>
      <c r="X89" s="147">
        <f t="shared" si="97"/>
        <v>37222.66667</v>
      </c>
      <c r="Y89" s="147">
        <f t="shared" si="97"/>
        <v>40872.66667</v>
      </c>
      <c r="Z89" s="147">
        <f t="shared" si="97"/>
        <v>40872.66667</v>
      </c>
      <c r="AA89" s="147">
        <f t="shared" si="97"/>
        <v>40872.66667</v>
      </c>
      <c r="AB89" s="147">
        <f t="shared" si="97"/>
        <v>41979.33333</v>
      </c>
      <c r="AC89" s="147">
        <f t="shared" si="97"/>
        <v>41979.33333</v>
      </c>
      <c r="AD89" s="147">
        <f t="shared" si="97"/>
        <v>41979.33333</v>
      </c>
      <c r="AE89" s="147">
        <f t="shared" si="97"/>
        <v>43029.33333</v>
      </c>
      <c r="AF89" s="147">
        <f t="shared" si="97"/>
        <v>43029.33333</v>
      </c>
      <c r="AG89" s="147">
        <f t="shared" si="97"/>
        <v>43029.33333</v>
      </c>
      <c r="AH89" s="147">
        <f t="shared" si="97"/>
        <v>44079.33333</v>
      </c>
      <c r="AI89" s="147">
        <f t="shared" si="97"/>
        <v>44079.33333</v>
      </c>
      <c r="AJ89" s="147">
        <f t="shared" si="97"/>
        <v>44079.33333</v>
      </c>
      <c r="AK89" s="147">
        <f t="shared" si="97"/>
        <v>45129.33333</v>
      </c>
      <c r="AL89" s="147">
        <f t="shared" si="97"/>
        <v>45129.33333</v>
      </c>
      <c r="AM89" s="147">
        <f t="shared" si="97"/>
        <v>45129.33333</v>
      </c>
      <c r="AN89" s="147">
        <f t="shared" si="97"/>
        <v>46179.33333</v>
      </c>
      <c r="AO89" s="147">
        <f t="shared" si="97"/>
        <v>46179.33333</v>
      </c>
      <c r="AP89" s="147">
        <f t="shared" si="97"/>
        <v>46179.33333</v>
      </c>
      <c r="AQ89" s="147">
        <f t="shared" si="97"/>
        <v>47229.33333</v>
      </c>
      <c r="AR89" s="147">
        <f t="shared" si="97"/>
        <v>47229.33333</v>
      </c>
      <c r="AS89" s="147">
        <f t="shared" si="97"/>
        <v>47229.33333</v>
      </c>
      <c r="AT89" s="147">
        <f t="shared" si="97"/>
        <v>48279.33333</v>
      </c>
      <c r="AU89" s="147">
        <f t="shared" si="97"/>
        <v>48279.33333</v>
      </c>
      <c r="AV89" s="147">
        <f t="shared" si="97"/>
        <v>48279.33333</v>
      </c>
      <c r="AW89" s="147">
        <f t="shared" si="97"/>
        <v>49329.33333</v>
      </c>
      <c r="AX89" s="147">
        <f t="shared" si="97"/>
        <v>49329.33333</v>
      </c>
      <c r="AY89" s="147">
        <f t="shared" si="97"/>
        <v>49329.33333</v>
      </c>
      <c r="AZ89" s="147">
        <f t="shared" si="97"/>
        <v>50379.33333</v>
      </c>
      <c r="BA89" s="147">
        <f t="shared" si="97"/>
        <v>50379.33333</v>
      </c>
      <c r="BB89" s="147">
        <f t="shared" si="97"/>
        <v>50379.33333</v>
      </c>
      <c r="BC89" s="147">
        <f t="shared" si="97"/>
        <v>50379.33333</v>
      </c>
      <c r="BD89" s="147">
        <f t="shared" si="97"/>
        <v>50379.33333</v>
      </c>
      <c r="BE89" s="147">
        <f t="shared" si="97"/>
        <v>50379.33333</v>
      </c>
      <c r="BF89" s="147">
        <f t="shared" si="97"/>
        <v>50379.33333</v>
      </c>
      <c r="BG89" s="147">
        <f t="shared" si="97"/>
        <v>50379.33333</v>
      </c>
      <c r="BH89" s="147">
        <f t="shared" si="97"/>
        <v>50379.33333</v>
      </c>
      <c r="BI89" s="147">
        <f t="shared" si="97"/>
        <v>50379.33333</v>
      </c>
    </row>
    <row r="90" ht="15.75" customHeight="1">
      <c r="A90" s="31" t="s">
        <v>226</v>
      </c>
      <c r="B90" s="31"/>
      <c r="C90" s="31"/>
      <c r="D90" s="149"/>
      <c r="E90" s="149"/>
      <c r="F90" s="149"/>
      <c r="G90" s="149"/>
      <c r="H90" s="149"/>
      <c r="I90" s="149"/>
      <c r="J90" s="149"/>
      <c r="K90" s="149"/>
      <c r="L90" s="31"/>
      <c r="M90" s="31"/>
      <c r="N90" s="150">
        <f t="shared" ref="N90:BI90" si="98">ROUND(SUMIFS($K$4:$K$64,N$4:N$64,"&gt;"&amp;0)-N89,2)</f>
        <v>0</v>
      </c>
      <c r="O90" s="150">
        <f t="shared" si="98"/>
        <v>0</v>
      </c>
      <c r="P90" s="150">
        <f t="shared" si="98"/>
        <v>0</v>
      </c>
      <c r="Q90" s="150">
        <f t="shared" si="98"/>
        <v>0</v>
      </c>
      <c r="R90" s="150">
        <f t="shared" si="98"/>
        <v>0</v>
      </c>
      <c r="S90" s="150">
        <f t="shared" si="98"/>
        <v>0</v>
      </c>
      <c r="T90" s="150">
        <f t="shared" si="98"/>
        <v>0</v>
      </c>
      <c r="U90" s="150">
        <f t="shared" si="98"/>
        <v>0</v>
      </c>
      <c r="V90" s="150">
        <f t="shared" si="98"/>
        <v>0</v>
      </c>
      <c r="W90" s="150">
        <f t="shared" si="98"/>
        <v>0</v>
      </c>
      <c r="X90" s="150">
        <f t="shared" si="98"/>
        <v>0</v>
      </c>
      <c r="Y90" s="150">
        <f t="shared" si="98"/>
        <v>0</v>
      </c>
      <c r="Z90" s="150">
        <f t="shared" si="98"/>
        <v>0</v>
      </c>
      <c r="AA90" s="150">
        <f t="shared" si="98"/>
        <v>0</v>
      </c>
      <c r="AB90" s="150">
        <f t="shared" si="98"/>
        <v>0</v>
      </c>
      <c r="AC90" s="150">
        <f t="shared" si="98"/>
        <v>0</v>
      </c>
      <c r="AD90" s="150">
        <f t="shared" si="98"/>
        <v>0</v>
      </c>
      <c r="AE90" s="150">
        <f t="shared" si="98"/>
        <v>0</v>
      </c>
      <c r="AF90" s="150">
        <f t="shared" si="98"/>
        <v>0</v>
      </c>
      <c r="AG90" s="150">
        <f t="shared" si="98"/>
        <v>0</v>
      </c>
      <c r="AH90" s="150">
        <f t="shared" si="98"/>
        <v>0</v>
      </c>
      <c r="AI90" s="150">
        <f t="shared" si="98"/>
        <v>0</v>
      </c>
      <c r="AJ90" s="150">
        <f t="shared" si="98"/>
        <v>0</v>
      </c>
      <c r="AK90" s="150">
        <f t="shared" si="98"/>
        <v>0</v>
      </c>
      <c r="AL90" s="150">
        <f t="shared" si="98"/>
        <v>0</v>
      </c>
      <c r="AM90" s="150">
        <f t="shared" si="98"/>
        <v>0</v>
      </c>
      <c r="AN90" s="150">
        <f t="shared" si="98"/>
        <v>0</v>
      </c>
      <c r="AO90" s="150">
        <f t="shared" si="98"/>
        <v>0</v>
      </c>
      <c r="AP90" s="150">
        <f t="shared" si="98"/>
        <v>0</v>
      </c>
      <c r="AQ90" s="150">
        <f t="shared" si="98"/>
        <v>0</v>
      </c>
      <c r="AR90" s="150">
        <f t="shared" si="98"/>
        <v>0</v>
      </c>
      <c r="AS90" s="150">
        <f t="shared" si="98"/>
        <v>0</v>
      </c>
      <c r="AT90" s="150">
        <f t="shared" si="98"/>
        <v>0</v>
      </c>
      <c r="AU90" s="150">
        <f t="shared" si="98"/>
        <v>0</v>
      </c>
      <c r="AV90" s="150">
        <f t="shared" si="98"/>
        <v>0</v>
      </c>
      <c r="AW90" s="150">
        <f t="shared" si="98"/>
        <v>0</v>
      </c>
      <c r="AX90" s="150">
        <f t="shared" si="98"/>
        <v>0</v>
      </c>
      <c r="AY90" s="150">
        <f t="shared" si="98"/>
        <v>0</v>
      </c>
      <c r="AZ90" s="150">
        <f t="shared" si="98"/>
        <v>0</v>
      </c>
      <c r="BA90" s="150">
        <f t="shared" si="98"/>
        <v>0</v>
      </c>
      <c r="BB90" s="150">
        <f t="shared" si="98"/>
        <v>0</v>
      </c>
      <c r="BC90" s="150">
        <f t="shared" si="98"/>
        <v>0</v>
      </c>
      <c r="BD90" s="150">
        <f t="shared" si="98"/>
        <v>0</v>
      </c>
      <c r="BE90" s="150">
        <f t="shared" si="98"/>
        <v>0</v>
      </c>
      <c r="BF90" s="150">
        <f t="shared" si="98"/>
        <v>0</v>
      </c>
      <c r="BG90" s="150">
        <f t="shared" si="98"/>
        <v>0</v>
      </c>
      <c r="BH90" s="150">
        <f t="shared" si="98"/>
        <v>0</v>
      </c>
      <c r="BI90" s="150">
        <f t="shared" si="98"/>
        <v>0</v>
      </c>
    </row>
    <row r="91" ht="15.75" customHeight="1">
      <c r="A91" s="7" t="s">
        <v>231</v>
      </c>
      <c r="D91" s="30"/>
      <c r="E91" s="30"/>
      <c r="F91" s="30"/>
      <c r="G91" s="30"/>
      <c r="H91" s="30"/>
      <c r="I91" s="30"/>
      <c r="J91" s="30"/>
      <c r="K91" s="30"/>
    </row>
    <row r="92" ht="15.75" customHeight="1">
      <c r="B92" s="1" t="str">
        <f t="shared" ref="B92:B96" si="100">B76</f>
        <v>General &amp; Admin</v>
      </c>
      <c r="D92" s="30"/>
      <c r="E92" s="30"/>
      <c r="F92" s="30"/>
      <c r="G92" s="30"/>
      <c r="H92" s="30"/>
      <c r="I92" s="30"/>
      <c r="J92" s="30"/>
      <c r="K92" s="30"/>
      <c r="N92" s="76">
        <f t="shared" ref="N92:BI92" si="99">SUMIFS(N$4:N$64,$D$4:$D$64,$B92,$H$4:$H$64,"")</f>
        <v>0</v>
      </c>
      <c r="O92" s="76">
        <f t="shared" si="99"/>
        <v>0</v>
      </c>
      <c r="P92" s="76">
        <f t="shared" si="99"/>
        <v>0</v>
      </c>
      <c r="Q92" s="76">
        <f t="shared" si="99"/>
        <v>0</v>
      </c>
      <c r="R92" s="76">
        <f t="shared" si="99"/>
        <v>0</v>
      </c>
      <c r="S92" s="76">
        <f t="shared" si="99"/>
        <v>0</v>
      </c>
      <c r="T92" s="76">
        <f t="shared" si="99"/>
        <v>0</v>
      </c>
      <c r="U92" s="76">
        <f t="shared" si="99"/>
        <v>0</v>
      </c>
      <c r="V92" s="76">
        <f t="shared" si="99"/>
        <v>0</v>
      </c>
      <c r="W92" s="76">
        <f t="shared" si="99"/>
        <v>0</v>
      </c>
      <c r="X92" s="76">
        <f t="shared" si="99"/>
        <v>0</v>
      </c>
      <c r="Y92" s="76">
        <f t="shared" si="99"/>
        <v>0</v>
      </c>
      <c r="Z92" s="76">
        <f t="shared" si="99"/>
        <v>0</v>
      </c>
      <c r="AA92" s="76">
        <f t="shared" si="99"/>
        <v>0</v>
      </c>
      <c r="AB92" s="76">
        <f t="shared" si="99"/>
        <v>0</v>
      </c>
      <c r="AC92" s="76">
        <f t="shared" si="99"/>
        <v>0</v>
      </c>
      <c r="AD92" s="76">
        <f t="shared" si="99"/>
        <v>0</v>
      </c>
      <c r="AE92" s="76">
        <f t="shared" si="99"/>
        <v>0</v>
      </c>
      <c r="AF92" s="76">
        <f t="shared" si="99"/>
        <v>0</v>
      </c>
      <c r="AG92" s="76">
        <f t="shared" si="99"/>
        <v>0</v>
      </c>
      <c r="AH92" s="76">
        <f t="shared" si="99"/>
        <v>0</v>
      </c>
      <c r="AI92" s="76">
        <f t="shared" si="99"/>
        <v>0</v>
      </c>
      <c r="AJ92" s="76">
        <f t="shared" si="99"/>
        <v>0</v>
      </c>
      <c r="AK92" s="76">
        <f t="shared" si="99"/>
        <v>0</v>
      </c>
      <c r="AL92" s="76">
        <f t="shared" si="99"/>
        <v>0</v>
      </c>
      <c r="AM92" s="76">
        <f t="shared" si="99"/>
        <v>0</v>
      </c>
      <c r="AN92" s="76">
        <f t="shared" si="99"/>
        <v>0</v>
      </c>
      <c r="AO92" s="76">
        <f t="shared" si="99"/>
        <v>0</v>
      </c>
      <c r="AP92" s="76">
        <f t="shared" si="99"/>
        <v>0</v>
      </c>
      <c r="AQ92" s="76">
        <f t="shared" si="99"/>
        <v>0</v>
      </c>
      <c r="AR92" s="76">
        <f t="shared" si="99"/>
        <v>0</v>
      </c>
      <c r="AS92" s="76">
        <f t="shared" si="99"/>
        <v>0</v>
      </c>
      <c r="AT92" s="76">
        <f t="shared" si="99"/>
        <v>0</v>
      </c>
      <c r="AU92" s="76">
        <f t="shared" si="99"/>
        <v>0</v>
      </c>
      <c r="AV92" s="76">
        <f t="shared" si="99"/>
        <v>0</v>
      </c>
      <c r="AW92" s="76">
        <f t="shared" si="99"/>
        <v>0</v>
      </c>
      <c r="AX92" s="76">
        <f t="shared" si="99"/>
        <v>0</v>
      </c>
      <c r="AY92" s="76">
        <f t="shared" si="99"/>
        <v>0</v>
      </c>
      <c r="AZ92" s="76">
        <f t="shared" si="99"/>
        <v>0</v>
      </c>
      <c r="BA92" s="76">
        <f t="shared" si="99"/>
        <v>0</v>
      </c>
      <c r="BB92" s="76">
        <f t="shared" si="99"/>
        <v>0</v>
      </c>
      <c r="BC92" s="76">
        <f t="shared" si="99"/>
        <v>0</v>
      </c>
      <c r="BD92" s="76">
        <f t="shared" si="99"/>
        <v>0</v>
      </c>
      <c r="BE92" s="76">
        <f t="shared" si="99"/>
        <v>0</v>
      </c>
      <c r="BF92" s="76">
        <f t="shared" si="99"/>
        <v>0</v>
      </c>
      <c r="BG92" s="76">
        <f t="shared" si="99"/>
        <v>0</v>
      </c>
      <c r="BH92" s="76">
        <f t="shared" si="99"/>
        <v>0</v>
      </c>
      <c r="BI92" s="76">
        <f t="shared" si="99"/>
        <v>0</v>
      </c>
    </row>
    <row r="93" ht="15.75" customHeight="1">
      <c r="B93" s="1" t="str">
        <f t="shared" si="100"/>
        <v>Engineering</v>
      </c>
      <c r="D93" s="30"/>
      <c r="E93" s="30"/>
      <c r="F93" s="30"/>
      <c r="G93" s="30"/>
      <c r="H93" s="30"/>
      <c r="I93" s="30"/>
      <c r="J93" s="30"/>
      <c r="K93" s="30"/>
      <c r="N93" s="76">
        <f t="shared" ref="N93:BI93" si="101">SUMIFS(N$4:N$64,$D$4:$D$64,$B93,$H$4:$H$64,"")</f>
        <v>0</v>
      </c>
      <c r="O93" s="76">
        <f t="shared" si="101"/>
        <v>0</v>
      </c>
      <c r="P93" s="76">
        <f t="shared" si="101"/>
        <v>0</v>
      </c>
      <c r="Q93" s="76">
        <f t="shared" si="101"/>
        <v>0</v>
      </c>
      <c r="R93" s="76">
        <f t="shared" si="101"/>
        <v>0</v>
      </c>
      <c r="S93" s="76">
        <f t="shared" si="101"/>
        <v>0</v>
      </c>
      <c r="T93" s="76">
        <f t="shared" si="101"/>
        <v>0</v>
      </c>
      <c r="U93" s="76">
        <f t="shared" si="101"/>
        <v>0</v>
      </c>
      <c r="V93" s="76">
        <f t="shared" si="101"/>
        <v>0</v>
      </c>
      <c r="W93" s="76">
        <f t="shared" si="101"/>
        <v>0</v>
      </c>
      <c r="X93" s="76">
        <f t="shared" si="101"/>
        <v>0</v>
      </c>
      <c r="Y93" s="76">
        <f t="shared" si="101"/>
        <v>0</v>
      </c>
      <c r="Z93" s="76">
        <f t="shared" si="101"/>
        <v>0</v>
      </c>
      <c r="AA93" s="76">
        <f t="shared" si="101"/>
        <v>0</v>
      </c>
      <c r="AB93" s="76">
        <f t="shared" si="101"/>
        <v>0</v>
      </c>
      <c r="AC93" s="76">
        <f t="shared" si="101"/>
        <v>0</v>
      </c>
      <c r="AD93" s="76">
        <f t="shared" si="101"/>
        <v>0</v>
      </c>
      <c r="AE93" s="76">
        <f t="shared" si="101"/>
        <v>0</v>
      </c>
      <c r="AF93" s="76">
        <f t="shared" si="101"/>
        <v>0</v>
      </c>
      <c r="AG93" s="76">
        <f t="shared" si="101"/>
        <v>0</v>
      </c>
      <c r="AH93" s="76">
        <f t="shared" si="101"/>
        <v>0</v>
      </c>
      <c r="AI93" s="76">
        <f t="shared" si="101"/>
        <v>0</v>
      </c>
      <c r="AJ93" s="76">
        <f t="shared" si="101"/>
        <v>0</v>
      </c>
      <c r="AK93" s="76">
        <f t="shared" si="101"/>
        <v>0</v>
      </c>
      <c r="AL93" s="76">
        <f t="shared" si="101"/>
        <v>0</v>
      </c>
      <c r="AM93" s="76">
        <f t="shared" si="101"/>
        <v>0</v>
      </c>
      <c r="AN93" s="76">
        <f t="shared" si="101"/>
        <v>0</v>
      </c>
      <c r="AO93" s="76">
        <f t="shared" si="101"/>
        <v>0</v>
      </c>
      <c r="AP93" s="76">
        <f t="shared" si="101"/>
        <v>0</v>
      </c>
      <c r="AQ93" s="76">
        <f t="shared" si="101"/>
        <v>0</v>
      </c>
      <c r="AR93" s="76">
        <f t="shared" si="101"/>
        <v>0</v>
      </c>
      <c r="AS93" s="76">
        <f t="shared" si="101"/>
        <v>0</v>
      </c>
      <c r="AT93" s="76">
        <f t="shared" si="101"/>
        <v>0</v>
      </c>
      <c r="AU93" s="76">
        <f t="shared" si="101"/>
        <v>0</v>
      </c>
      <c r="AV93" s="76">
        <f t="shared" si="101"/>
        <v>0</v>
      </c>
      <c r="AW93" s="76">
        <f t="shared" si="101"/>
        <v>0</v>
      </c>
      <c r="AX93" s="76">
        <f t="shared" si="101"/>
        <v>0</v>
      </c>
      <c r="AY93" s="76">
        <f t="shared" si="101"/>
        <v>0</v>
      </c>
      <c r="AZ93" s="76">
        <f t="shared" si="101"/>
        <v>0</v>
      </c>
      <c r="BA93" s="76">
        <f t="shared" si="101"/>
        <v>0</v>
      </c>
      <c r="BB93" s="76">
        <f t="shared" si="101"/>
        <v>0</v>
      </c>
      <c r="BC93" s="76">
        <f t="shared" si="101"/>
        <v>0</v>
      </c>
      <c r="BD93" s="76">
        <f t="shared" si="101"/>
        <v>0</v>
      </c>
      <c r="BE93" s="76">
        <f t="shared" si="101"/>
        <v>0</v>
      </c>
      <c r="BF93" s="76">
        <f t="shared" si="101"/>
        <v>0</v>
      </c>
      <c r="BG93" s="76">
        <f t="shared" si="101"/>
        <v>0</v>
      </c>
      <c r="BH93" s="76">
        <f t="shared" si="101"/>
        <v>0</v>
      </c>
      <c r="BI93" s="76">
        <f t="shared" si="101"/>
        <v>0</v>
      </c>
    </row>
    <row r="94" ht="15.75" customHeight="1">
      <c r="B94" s="1" t="str">
        <f t="shared" si="100"/>
        <v>Marketing</v>
      </c>
      <c r="D94" s="30"/>
      <c r="E94" s="30"/>
      <c r="F94" s="30"/>
      <c r="G94" s="30"/>
      <c r="H94" s="30"/>
      <c r="I94" s="30"/>
      <c r="J94" s="30"/>
      <c r="K94" s="30"/>
      <c r="N94" s="76">
        <f t="shared" ref="N94:BI94" si="102">SUMIFS(N$4:N$64,$D$4:$D$64,$B94,$H$4:$H$64,"")</f>
        <v>0</v>
      </c>
      <c r="O94" s="76">
        <f t="shared" si="102"/>
        <v>0</v>
      </c>
      <c r="P94" s="76">
        <f t="shared" si="102"/>
        <v>0</v>
      </c>
      <c r="Q94" s="76">
        <f t="shared" si="102"/>
        <v>0</v>
      </c>
      <c r="R94" s="76">
        <f t="shared" si="102"/>
        <v>0</v>
      </c>
      <c r="S94" s="76">
        <f t="shared" si="102"/>
        <v>0</v>
      </c>
      <c r="T94" s="76">
        <f t="shared" si="102"/>
        <v>0</v>
      </c>
      <c r="U94" s="76">
        <f t="shared" si="102"/>
        <v>0</v>
      </c>
      <c r="V94" s="76">
        <f t="shared" si="102"/>
        <v>0</v>
      </c>
      <c r="W94" s="76">
        <f t="shared" si="102"/>
        <v>0</v>
      </c>
      <c r="X94" s="76">
        <f t="shared" si="102"/>
        <v>0</v>
      </c>
      <c r="Y94" s="76">
        <f t="shared" si="102"/>
        <v>0</v>
      </c>
      <c r="Z94" s="76">
        <f t="shared" si="102"/>
        <v>0</v>
      </c>
      <c r="AA94" s="76">
        <f t="shared" si="102"/>
        <v>0</v>
      </c>
      <c r="AB94" s="76">
        <f t="shared" si="102"/>
        <v>0</v>
      </c>
      <c r="AC94" s="76">
        <f t="shared" si="102"/>
        <v>0</v>
      </c>
      <c r="AD94" s="76">
        <f t="shared" si="102"/>
        <v>0</v>
      </c>
      <c r="AE94" s="76">
        <f t="shared" si="102"/>
        <v>0</v>
      </c>
      <c r="AF94" s="76">
        <f t="shared" si="102"/>
        <v>0</v>
      </c>
      <c r="AG94" s="76">
        <f t="shared" si="102"/>
        <v>0</v>
      </c>
      <c r="AH94" s="76">
        <f t="shared" si="102"/>
        <v>0</v>
      </c>
      <c r="AI94" s="76">
        <f t="shared" si="102"/>
        <v>0</v>
      </c>
      <c r="AJ94" s="76">
        <f t="shared" si="102"/>
        <v>0</v>
      </c>
      <c r="AK94" s="76">
        <f t="shared" si="102"/>
        <v>0</v>
      </c>
      <c r="AL94" s="76">
        <f t="shared" si="102"/>
        <v>0</v>
      </c>
      <c r="AM94" s="76">
        <f t="shared" si="102"/>
        <v>0</v>
      </c>
      <c r="AN94" s="76">
        <f t="shared" si="102"/>
        <v>0</v>
      </c>
      <c r="AO94" s="76">
        <f t="shared" si="102"/>
        <v>0</v>
      </c>
      <c r="AP94" s="76">
        <f t="shared" si="102"/>
        <v>0</v>
      </c>
      <c r="AQ94" s="76">
        <f t="shared" si="102"/>
        <v>0</v>
      </c>
      <c r="AR94" s="76">
        <f t="shared" si="102"/>
        <v>0</v>
      </c>
      <c r="AS94" s="76">
        <f t="shared" si="102"/>
        <v>0</v>
      </c>
      <c r="AT94" s="76">
        <f t="shared" si="102"/>
        <v>0</v>
      </c>
      <c r="AU94" s="76">
        <f t="shared" si="102"/>
        <v>0</v>
      </c>
      <c r="AV94" s="76">
        <f t="shared" si="102"/>
        <v>0</v>
      </c>
      <c r="AW94" s="76">
        <f t="shared" si="102"/>
        <v>0</v>
      </c>
      <c r="AX94" s="76">
        <f t="shared" si="102"/>
        <v>0</v>
      </c>
      <c r="AY94" s="76">
        <f t="shared" si="102"/>
        <v>0</v>
      </c>
      <c r="AZ94" s="76">
        <f t="shared" si="102"/>
        <v>0</v>
      </c>
      <c r="BA94" s="76">
        <f t="shared" si="102"/>
        <v>0</v>
      </c>
      <c r="BB94" s="76">
        <f t="shared" si="102"/>
        <v>0</v>
      </c>
      <c r="BC94" s="76">
        <f t="shared" si="102"/>
        <v>0</v>
      </c>
      <c r="BD94" s="76">
        <f t="shared" si="102"/>
        <v>0</v>
      </c>
      <c r="BE94" s="76">
        <f t="shared" si="102"/>
        <v>0</v>
      </c>
      <c r="BF94" s="76">
        <f t="shared" si="102"/>
        <v>0</v>
      </c>
      <c r="BG94" s="76">
        <f t="shared" si="102"/>
        <v>0</v>
      </c>
      <c r="BH94" s="76">
        <f t="shared" si="102"/>
        <v>0</v>
      </c>
      <c r="BI94" s="76">
        <f t="shared" si="102"/>
        <v>0</v>
      </c>
    </row>
    <row r="95" ht="15.75" customHeight="1">
      <c r="B95" s="1" t="str">
        <f t="shared" si="100"/>
        <v>Sales</v>
      </c>
      <c r="D95" s="30"/>
      <c r="E95" s="30"/>
      <c r="F95" s="30"/>
      <c r="G95" s="30"/>
      <c r="H95" s="30"/>
      <c r="I95" s="30"/>
      <c r="J95" s="30"/>
      <c r="K95" s="30"/>
      <c r="N95" s="76">
        <f t="shared" ref="N95:BI95" si="103">SUMIFS(N$4:N$64,$D$4:$D$64,$B95,$H$4:$H$64,"")</f>
        <v>0</v>
      </c>
      <c r="O95" s="76">
        <f t="shared" si="103"/>
        <v>0</v>
      </c>
      <c r="P95" s="76">
        <f t="shared" si="103"/>
        <v>0</v>
      </c>
      <c r="Q95" s="76">
        <f t="shared" si="103"/>
        <v>0</v>
      </c>
      <c r="R95" s="76">
        <f t="shared" si="103"/>
        <v>0</v>
      </c>
      <c r="S95" s="76">
        <f t="shared" si="103"/>
        <v>0</v>
      </c>
      <c r="T95" s="76">
        <f t="shared" si="103"/>
        <v>0</v>
      </c>
      <c r="U95" s="76">
        <f t="shared" si="103"/>
        <v>0</v>
      </c>
      <c r="V95" s="76">
        <f t="shared" si="103"/>
        <v>0</v>
      </c>
      <c r="W95" s="76">
        <f t="shared" si="103"/>
        <v>0</v>
      </c>
      <c r="X95" s="76">
        <f t="shared" si="103"/>
        <v>0</v>
      </c>
      <c r="Y95" s="76">
        <f t="shared" si="103"/>
        <v>0</v>
      </c>
      <c r="Z95" s="76">
        <f t="shared" si="103"/>
        <v>0</v>
      </c>
      <c r="AA95" s="76">
        <f t="shared" si="103"/>
        <v>0</v>
      </c>
      <c r="AB95" s="76">
        <f t="shared" si="103"/>
        <v>0</v>
      </c>
      <c r="AC95" s="76">
        <f t="shared" si="103"/>
        <v>0</v>
      </c>
      <c r="AD95" s="76">
        <f t="shared" si="103"/>
        <v>0</v>
      </c>
      <c r="AE95" s="76">
        <f t="shared" si="103"/>
        <v>0</v>
      </c>
      <c r="AF95" s="76">
        <f t="shared" si="103"/>
        <v>0</v>
      </c>
      <c r="AG95" s="76">
        <f t="shared" si="103"/>
        <v>0</v>
      </c>
      <c r="AH95" s="76">
        <f t="shared" si="103"/>
        <v>0</v>
      </c>
      <c r="AI95" s="76">
        <f t="shared" si="103"/>
        <v>0</v>
      </c>
      <c r="AJ95" s="76">
        <f t="shared" si="103"/>
        <v>0</v>
      </c>
      <c r="AK95" s="76">
        <f t="shared" si="103"/>
        <v>0</v>
      </c>
      <c r="AL95" s="76">
        <f t="shared" si="103"/>
        <v>0</v>
      </c>
      <c r="AM95" s="76">
        <f t="shared" si="103"/>
        <v>0</v>
      </c>
      <c r="AN95" s="76">
        <f t="shared" si="103"/>
        <v>0</v>
      </c>
      <c r="AO95" s="76">
        <f t="shared" si="103"/>
        <v>0</v>
      </c>
      <c r="AP95" s="76">
        <f t="shared" si="103"/>
        <v>0</v>
      </c>
      <c r="AQ95" s="76">
        <f t="shared" si="103"/>
        <v>0</v>
      </c>
      <c r="AR95" s="76">
        <f t="shared" si="103"/>
        <v>0</v>
      </c>
      <c r="AS95" s="76">
        <f t="shared" si="103"/>
        <v>0</v>
      </c>
      <c r="AT95" s="76">
        <f t="shared" si="103"/>
        <v>0</v>
      </c>
      <c r="AU95" s="76">
        <f t="shared" si="103"/>
        <v>0</v>
      </c>
      <c r="AV95" s="76">
        <f t="shared" si="103"/>
        <v>0</v>
      </c>
      <c r="AW95" s="76">
        <f t="shared" si="103"/>
        <v>0</v>
      </c>
      <c r="AX95" s="76">
        <f t="shared" si="103"/>
        <v>0</v>
      </c>
      <c r="AY95" s="76">
        <f t="shared" si="103"/>
        <v>0</v>
      </c>
      <c r="AZ95" s="76">
        <f t="shared" si="103"/>
        <v>0</v>
      </c>
      <c r="BA95" s="76">
        <f t="shared" si="103"/>
        <v>0</v>
      </c>
      <c r="BB95" s="76">
        <f t="shared" si="103"/>
        <v>0</v>
      </c>
      <c r="BC95" s="76">
        <f t="shared" si="103"/>
        <v>0</v>
      </c>
      <c r="BD95" s="76">
        <f t="shared" si="103"/>
        <v>0</v>
      </c>
      <c r="BE95" s="76">
        <f t="shared" si="103"/>
        <v>0</v>
      </c>
      <c r="BF95" s="76">
        <f t="shared" si="103"/>
        <v>0</v>
      </c>
      <c r="BG95" s="76">
        <f t="shared" si="103"/>
        <v>0</v>
      </c>
      <c r="BH95" s="76">
        <f t="shared" si="103"/>
        <v>0</v>
      </c>
      <c r="BI95" s="76">
        <f t="shared" si="103"/>
        <v>0</v>
      </c>
    </row>
    <row r="96" ht="15.75" customHeight="1">
      <c r="B96" s="1" t="str">
        <f t="shared" si="100"/>
        <v>Support</v>
      </c>
      <c r="D96" s="30"/>
      <c r="E96" s="30"/>
      <c r="F96" s="30"/>
      <c r="G96" s="30"/>
      <c r="H96" s="30"/>
      <c r="I96" s="30"/>
      <c r="J96" s="30"/>
      <c r="K96" s="30"/>
      <c r="N96" s="76">
        <f t="shared" ref="N96:BI96" si="104">SUMIFS(N$4:N$64,$D$4:$D$64,$B96,$H$4:$H$64,"")</f>
        <v>0</v>
      </c>
      <c r="O96" s="76">
        <f t="shared" si="104"/>
        <v>0</v>
      </c>
      <c r="P96" s="76">
        <f t="shared" si="104"/>
        <v>0</v>
      </c>
      <c r="Q96" s="76">
        <f t="shared" si="104"/>
        <v>0</v>
      </c>
      <c r="R96" s="76">
        <f t="shared" si="104"/>
        <v>0</v>
      </c>
      <c r="S96" s="76">
        <f t="shared" si="104"/>
        <v>0</v>
      </c>
      <c r="T96" s="76">
        <f t="shared" si="104"/>
        <v>0</v>
      </c>
      <c r="U96" s="76">
        <f t="shared" si="104"/>
        <v>0</v>
      </c>
      <c r="V96" s="76">
        <f t="shared" si="104"/>
        <v>0</v>
      </c>
      <c r="W96" s="76">
        <f t="shared" si="104"/>
        <v>0</v>
      </c>
      <c r="X96" s="76">
        <f t="shared" si="104"/>
        <v>0</v>
      </c>
      <c r="Y96" s="76">
        <f t="shared" si="104"/>
        <v>0</v>
      </c>
      <c r="Z96" s="76">
        <f t="shared" si="104"/>
        <v>0</v>
      </c>
      <c r="AA96" s="76">
        <f t="shared" si="104"/>
        <v>0</v>
      </c>
      <c r="AB96" s="76">
        <f t="shared" si="104"/>
        <v>0</v>
      </c>
      <c r="AC96" s="76">
        <f t="shared" si="104"/>
        <v>0</v>
      </c>
      <c r="AD96" s="76">
        <f t="shared" si="104"/>
        <v>0</v>
      </c>
      <c r="AE96" s="76">
        <f t="shared" si="104"/>
        <v>0</v>
      </c>
      <c r="AF96" s="76">
        <f t="shared" si="104"/>
        <v>0</v>
      </c>
      <c r="AG96" s="76">
        <f t="shared" si="104"/>
        <v>0</v>
      </c>
      <c r="AH96" s="76">
        <f t="shared" si="104"/>
        <v>0</v>
      </c>
      <c r="AI96" s="76">
        <f t="shared" si="104"/>
        <v>0</v>
      </c>
      <c r="AJ96" s="76">
        <f t="shared" si="104"/>
        <v>0</v>
      </c>
      <c r="AK96" s="76">
        <f t="shared" si="104"/>
        <v>0</v>
      </c>
      <c r="AL96" s="76">
        <f t="shared" si="104"/>
        <v>0</v>
      </c>
      <c r="AM96" s="76">
        <f t="shared" si="104"/>
        <v>0</v>
      </c>
      <c r="AN96" s="76">
        <f t="shared" si="104"/>
        <v>0</v>
      </c>
      <c r="AO96" s="76">
        <f t="shared" si="104"/>
        <v>0</v>
      </c>
      <c r="AP96" s="76">
        <f t="shared" si="104"/>
        <v>0</v>
      </c>
      <c r="AQ96" s="76">
        <f t="shared" si="104"/>
        <v>0</v>
      </c>
      <c r="AR96" s="76">
        <f t="shared" si="104"/>
        <v>0</v>
      </c>
      <c r="AS96" s="76">
        <f t="shared" si="104"/>
        <v>0</v>
      </c>
      <c r="AT96" s="76">
        <f t="shared" si="104"/>
        <v>0</v>
      </c>
      <c r="AU96" s="76">
        <f t="shared" si="104"/>
        <v>0</v>
      </c>
      <c r="AV96" s="76">
        <f t="shared" si="104"/>
        <v>0</v>
      </c>
      <c r="AW96" s="76">
        <f t="shared" si="104"/>
        <v>0</v>
      </c>
      <c r="AX96" s="76">
        <f t="shared" si="104"/>
        <v>0</v>
      </c>
      <c r="AY96" s="76">
        <f t="shared" si="104"/>
        <v>0</v>
      </c>
      <c r="AZ96" s="76">
        <f t="shared" si="104"/>
        <v>0</v>
      </c>
      <c r="BA96" s="76">
        <f t="shared" si="104"/>
        <v>0</v>
      </c>
      <c r="BB96" s="76">
        <f t="shared" si="104"/>
        <v>0</v>
      </c>
      <c r="BC96" s="76">
        <f t="shared" si="104"/>
        <v>0</v>
      </c>
      <c r="BD96" s="76">
        <f t="shared" si="104"/>
        <v>0</v>
      </c>
      <c r="BE96" s="76">
        <f t="shared" si="104"/>
        <v>0</v>
      </c>
      <c r="BF96" s="76">
        <f t="shared" si="104"/>
        <v>0</v>
      </c>
      <c r="BG96" s="76">
        <f t="shared" si="104"/>
        <v>0</v>
      </c>
      <c r="BH96" s="76">
        <f t="shared" si="104"/>
        <v>0</v>
      </c>
      <c r="BI96" s="76">
        <f t="shared" si="104"/>
        <v>0</v>
      </c>
    </row>
    <row r="97" ht="15.75" customHeight="1">
      <c r="A97" s="7" t="s">
        <v>232</v>
      </c>
      <c r="B97" s="22"/>
      <c r="C97" s="22"/>
      <c r="D97" s="148"/>
      <c r="E97" s="148"/>
      <c r="F97" s="148"/>
      <c r="G97" s="148"/>
      <c r="H97" s="148"/>
      <c r="I97" s="148"/>
      <c r="J97" s="148"/>
      <c r="K97" s="148"/>
      <c r="L97" s="22"/>
      <c r="M97" s="22"/>
      <c r="N97" s="147">
        <f t="shared" ref="N97:BI97" si="105">SUM(N92:N96)</f>
        <v>0</v>
      </c>
      <c r="O97" s="147">
        <f t="shared" si="105"/>
        <v>0</v>
      </c>
      <c r="P97" s="147">
        <f t="shared" si="105"/>
        <v>0</v>
      </c>
      <c r="Q97" s="147">
        <f t="shared" si="105"/>
        <v>0</v>
      </c>
      <c r="R97" s="147">
        <f t="shared" si="105"/>
        <v>0</v>
      </c>
      <c r="S97" s="147">
        <f t="shared" si="105"/>
        <v>0</v>
      </c>
      <c r="T97" s="147">
        <f t="shared" si="105"/>
        <v>0</v>
      </c>
      <c r="U97" s="147">
        <f t="shared" si="105"/>
        <v>0</v>
      </c>
      <c r="V97" s="147">
        <f t="shared" si="105"/>
        <v>0</v>
      </c>
      <c r="W97" s="147">
        <f t="shared" si="105"/>
        <v>0</v>
      </c>
      <c r="X97" s="147">
        <f t="shared" si="105"/>
        <v>0</v>
      </c>
      <c r="Y97" s="147">
        <f t="shared" si="105"/>
        <v>0</v>
      </c>
      <c r="Z97" s="147">
        <f t="shared" si="105"/>
        <v>0</v>
      </c>
      <c r="AA97" s="147">
        <f t="shared" si="105"/>
        <v>0</v>
      </c>
      <c r="AB97" s="147">
        <f t="shared" si="105"/>
        <v>0</v>
      </c>
      <c r="AC97" s="147">
        <f t="shared" si="105"/>
        <v>0</v>
      </c>
      <c r="AD97" s="147">
        <f t="shared" si="105"/>
        <v>0</v>
      </c>
      <c r="AE97" s="147">
        <f t="shared" si="105"/>
        <v>0</v>
      </c>
      <c r="AF97" s="147">
        <f t="shared" si="105"/>
        <v>0</v>
      </c>
      <c r="AG97" s="147">
        <f t="shared" si="105"/>
        <v>0</v>
      </c>
      <c r="AH97" s="147">
        <f t="shared" si="105"/>
        <v>0</v>
      </c>
      <c r="AI97" s="147">
        <f t="shared" si="105"/>
        <v>0</v>
      </c>
      <c r="AJ97" s="147">
        <f t="shared" si="105"/>
        <v>0</v>
      </c>
      <c r="AK97" s="147">
        <f t="shared" si="105"/>
        <v>0</v>
      </c>
      <c r="AL97" s="147">
        <f t="shared" si="105"/>
        <v>0</v>
      </c>
      <c r="AM97" s="147">
        <f t="shared" si="105"/>
        <v>0</v>
      </c>
      <c r="AN97" s="147">
        <f t="shared" si="105"/>
        <v>0</v>
      </c>
      <c r="AO97" s="147">
        <f t="shared" si="105"/>
        <v>0</v>
      </c>
      <c r="AP97" s="147">
        <f t="shared" si="105"/>
        <v>0</v>
      </c>
      <c r="AQ97" s="147">
        <f t="shared" si="105"/>
        <v>0</v>
      </c>
      <c r="AR97" s="147">
        <f t="shared" si="105"/>
        <v>0</v>
      </c>
      <c r="AS97" s="147">
        <f t="shared" si="105"/>
        <v>0</v>
      </c>
      <c r="AT97" s="147">
        <f t="shared" si="105"/>
        <v>0</v>
      </c>
      <c r="AU97" s="147">
        <f t="shared" si="105"/>
        <v>0</v>
      </c>
      <c r="AV97" s="147">
        <f t="shared" si="105"/>
        <v>0</v>
      </c>
      <c r="AW97" s="147">
        <f t="shared" si="105"/>
        <v>0</v>
      </c>
      <c r="AX97" s="147">
        <f t="shared" si="105"/>
        <v>0</v>
      </c>
      <c r="AY97" s="147">
        <f t="shared" si="105"/>
        <v>0</v>
      </c>
      <c r="AZ97" s="147">
        <f t="shared" si="105"/>
        <v>0</v>
      </c>
      <c r="BA97" s="147">
        <f t="shared" si="105"/>
        <v>0</v>
      </c>
      <c r="BB97" s="147">
        <f t="shared" si="105"/>
        <v>0</v>
      </c>
      <c r="BC97" s="147">
        <f t="shared" si="105"/>
        <v>0</v>
      </c>
      <c r="BD97" s="147">
        <f t="shared" si="105"/>
        <v>0</v>
      </c>
      <c r="BE97" s="147">
        <f t="shared" si="105"/>
        <v>0</v>
      </c>
      <c r="BF97" s="147">
        <f t="shared" si="105"/>
        <v>0</v>
      </c>
      <c r="BG97" s="147">
        <f t="shared" si="105"/>
        <v>0</v>
      </c>
      <c r="BH97" s="147">
        <f t="shared" si="105"/>
        <v>0</v>
      </c>
      <c r="BI97" s="147">
        <f t="shared" si="105"/>
        <v>0</v>
      </c>
    </row>
    <row r="98" ht="15.75" customHeight="1">
      <c r="A98" s="31" t="s">
        <v>226</v>
      </c>
      <c r="B98" s="31"/>
      <c r="C98" s="31"/>
      <c r="D98" s="149"/>
      <c r="E98" s="149"/>
      <c r="F98" s="149"/>
      <c r="G98" s="149"/>
      <c r="H98" s="149"/>
      <c r="I98" s="149"/>
      <c r="J98" s="149"/>
      <c r="K98" s="149"/>
      <c r="L98" s="31"/>
      <c r="M98" s="31"/>
      <c r="N98" s="151">
        <f t="shared" ref="N98:BI98" si="106">SUMIFS(N$4:N$64,$H$4:$H$64,"")-N97</f>
        <v>0</v>
      </c>
      <c r="O98" s="151">
        <f t="shared" si="106"/>
        <v>0</v>
      </c>
      <c r="P98" s="151">
        <f t="shared" si="106"/>
        <v>0</v>
      </c>
      <c r="Q98" s="151">
        <f t="shared" si="106"/>
        <v>0</v>
      </c>
      <c r="R98" s="151">
        <f t="shared" si="106"/>
        <v>0</v>
      </c>
      <c r="S98" s="151">
        <f t="shared" si="106"/>
        <v>0</v>
      </c>
      <c r="T98" s="151">
        <f t="shared" si="106"/>
        <v>0</v>
      </c>
      <c r="U98" s="151">
        <f t="shared" si="106"/>
        <v>0</v>
      </c>
      <c r="V98" s="151">
        <f t="shared" si="106"/>
        <v>0</v>
      </c>
      <c r="W98" s="151">
        <f t="shared" si="106"/>
        <v>0</v>
      </c>
      <c r="X98" s="151">
        <f t="shared" si="106"/>
        <v>0</v>
      </c>
      <c r="Y98" s="151">
        <f t="shared" si="106"/>
        <v>0</v>
      </c>
      <c r="Z98" s="151">
        <f t="shared" si="106"/>
        <v>0</v>
      </c>
      <c r="AA98" s="151">
        <f t="shared" si="106"/>
        <v>0</v>
      </c>
      <c r="AB98" s="151">
        <f t="shared" si="106"/>
        <v>0</v>
      </c>
      <c r="AC98" s="151">
        <f t="shared" si="106"/>
        <v>0</v>
      </c>
      <c r="AD98" s="151">
        <f t="shared" si="106"/>
        <v>0</v>
      </c>
      <c r="AE98" s="151">
        <f t="shared" si="106"/>
        <v>0</v>
      </c>
      <c r="AF98" s="151">
        <f t="shared" si="106"/>
        <v>0</v>
      </c>
      <c r="AG98" s="151">
        <f t="shared" si="106"/>
        <v>0</v>
      </c>
      <c r="AH98" s="151">
        <f t="shared" si="106"/>
        <v>0</v>
      </c>
      <c r="AI98" s="151">
        <f t="shared" si="106"/>
        <v>0</v>
      </c>
      <c r="AJ98" s="151">
        <f t="shared" si="106"/>
        <v>0</v>
      </c>
      <c r="AK98" s="151">
        <f t="shared" si="106"/>
        <v>0</v>
      </c>
      <c r="AL98" s="151">
        <f t="shared" si="106"/>
        <v>0</v>
      </c>
      <c r="AM98" s="151">
        <f t="shared" si="106"/>
        <v>0</v>
      </c>
      <c r="AN98" s="151">
        <f t="shared" si="106"/>
        <v>0</v>
      </c>
      <c r="AO98" s="151">
        <f t="shared" si="106"/>
        <v>0</v>
      </c>
      <c r="AP98" s="151">
        <f t="shared" si="106"/>
        <v>0</v>
      </c>
      <c r="AQ98" s="151">
        <f t="shared" si="106"/>
        <v>0</v>
      </c>
      <c r="AR98" s="151">
        <f t="shared" si="106"/>
        <v>0</v>
      </c>
      <c r="AS98" s="151">
        <f t="shared" si="106"/>
        <v>0</v>
      </c>
      <c r="AT98" s="151">
        <f t="shared" si="106"/>
        <v>0</v>
      </c>
      <c r="AU98" s="151">
        <f t="shared" si="106"/>
        <v>0</v>
      </c>
      <c r="AV98" s="151">
        <f t="shared" si="106"/>
        <v>0</v>
      </c>
      <c r="AW98" s="151">
        <f t="shared" si="106"/>
        <v>0</v>
      </c>
      <c r="AX98" s="151">
        <f t="shared" si="106"/>
        <v>0</v>
      </c>
      <c r="AY98" s="151">
        <f t="shared" si="106"/>
        <v>0</v>
      </c>
      <c r="AZ98" s="151">
        <f t="shared" si="106"/>
        <v>0</v>
      </c>
      <c r="BA98" s="151">
        <f t="shared" si="106"/>
        <v>0</v>
      </c>
      <c r="BB98" s="151">
        <f t="shared" si="106"/>
        <v>0</v>
      </c>
      <c r="BC98" s="151">
        <f t="shared" si="106"/>
        <v>0</v>
      </c>
      <c r="BD98" s="151">
        <f t="shared" si="106"/>
        <v>0</v>
      </c>
      <c r="BE98" s="151">
        <f t="shared" si="106"/>
        <v>0</v>
      </c>
      <c r="BF98" s="151">
        <f t="shared" si="106"/>
        <v>0</v>
      </c>
      <c r="BG98" s="151">
        <f t="shared" si="106"/>
        <v>0</v>
      </c>
      <c r="BH98" s="151">
        <f t="shared" si="106"/>
        <v>0</v>
      </c>
      <c r="BI98" s="151">
        <f t="shared" si="106"/>
        <v>0</v>
      </c>
    </row>
    <row r="99" ht="15.75" customHeight="1">
      <c r="D99" s="30"/>
      <c r="E99" s="30"/>
      <c r="F99" s="30"/>
      <c r="G99" s="30"/>
      <c r="H99" s="30"/>
      <c r="I99" s="30"/>
      <c r="J99" s="30"/>
      <c r="K99" s="30"/>
    </row>
    <row r="100" ht="15.75" customHeight="1">
      <c r="D100" s="30"/>
      <c r="E100" s="30"/>
      <c r="F100" s="30"/>
      <c r="G100" s="30"/>
      <c r="H100" s="30"/>
      <c r="I100" s="30"/>
      <c r="J100" s="30"/>
      <c r="K100" s="30"/>
    </row>
    <row r="101" ht="15.75" customHeight="1">
      <c r="D101" s="30"/>
      <c r="E101" s="30"/>
      <c r="F101" s="30"/>
      <c r="G101" s="30"/>
      <c r="H101" s="30"/>
      <c r="I101" s="30"/>
      <c r="J101" s="30"/>
      <c r="K101" s="30"/>
    </row>
    <row r="102" ht="15.75" customHeight="1">
      <c r="D102" s="30"/>
      <c r="E102" s="30"/>
      <c r="F102" s="30"/>
      <c r="G102" s="30"/>
      <c r="H102" s="30"/>
      <c r="I102" s="30"/>
      <c r="J102" s="30"/>
      <c r="K102" s="30"/>
    </row>
    <row r="103" ht="15.75" customHeight="1">
      <c r="D103" s="30"/>
      <c r="E103" s="30"/>
      <c r="F103" s="30"/>
      <c r="G103" s="30"/>
      <c r="H103" s="30"/>
      <c r="I103" s="30"/>
      <c r="J103" s="30"/>
      <c r="K103" s="30"/>
    </row>
    <row r="104" ht="15.75" customHeight="1">
      <c r="D104" s="30"/>
      <c r="E104" s="30"/>
      <c r="F104" s="30"/>
      <c r="G104" s="30"/>
      <c r="H104" s="30"/>
      <c r="I104" s="30"/>
      <c r="J104" s="30"/>
      <c r="K104" s="30"/>
    </row>
    <row r="105" ht="15.75" customHeight="1">
      <c r="D105" s="30"/>
      <c r="E105" s="30"/>
      <c r="F105" s="30"/>
      <c r="G105" s="30"/>
      <c r="H105" s="30"/>
      <c r="I105" s="30"/>
      <c r="J105" s="30"/>
      <c r="K105" s="30"/>
    </row>
    <row r="106" ht="15.75" customHeight="1">
      <c r="D106" s="30"/>
      <c r="E106" s="30"/>
      <c r="F106" s="30"/>
      <c r="G106" s="30"/>
      <c r="H106" s="30"/>
      <c r="I106" s="30"/>
      <c r="J106" s="30"/>
      <c r="K106" s="30"/>
    </row>
    <row r="107" ht="15.75" customHeight="1">
      <c r="D107" s="30"/>
      <c r="E107" s="30"/>
      <c r="F107" s="30"/>
      <c r="G107" s="30"/>
      <c r="H107" s="30"/>
      <c r="I107" s="30"/>
      <c r="J107" s="30"/>
      <c r="K107" s="30"/>
    </row>
    <row r="108" ht="15.75" customHeight="1">
      <c r="D108" s="30"/>
      <c r="E108" s="30"/>
      <c r="F108" s="30"/>
      <c r="G108" s="30"/>
      <c r="H108" s="30"/>
      <c r="I108" s="30"/>
      <c r="J108" s="30"/>
      <c r="K108" s="30"/>
    </row>
    <row r="109" ht="15.75" customHeight="1">
      <c r="D109" s="30"/>
      <c r="E109" s="30"/>
      <c r="F109" s="30"/>
      <c r="G109" s="30"/>
      <c r="H109" s="30"/>
      <c r="I109" s="30"/>
      <c r="J109" s="30"/>
      <c r="K109" s="30"/>
    </row>
    <row r="110" ht="15.75" customHeight="1">
      <c r="D110" s="30"/>
      <c r="E110" s="30"/>
      <c r="F110" s="30"/>
      <c r="G110" s="30"/>
      <c r="H110" s="30"/>
      <c r="I110" s="30"/>
      <c r="J110" s="30"/>
      <c r="K110" s="30"/>
    </row>
    <row r="111" ht="15.75" customHeight="1">
      <c r="D111" s="30"/>
      <c r="E111" s="30"/>
      <c r="F111" s="30"/>
      <c r="G111" s="30"/>
      <c r="H111" s="30"/>
      <c r="I111" s="30"/>
      <c r="J111" s="30"/>
      <c r="K111" s="30"/>
    </row>
    <row r="112" ht="15.75" customHeight="1">
      <c r="D112" s="30"/>
      <c r="E112" s="30"/>
      <c r="F112" s="30"/>
      <c r="G112" s="30"/>
      <c r="H112" s="30"/>
      <c r="I112" s="30"/>
      <c r="J112" s="30"/>
      <c r="K112" s="30"/>
    </row>
    <row r="113" ht="15.75" customHeight="1">
      <c r="D113" s="30"/>
      <c r="E113" s="30"/>
      <c r="F113" s="30"/>
      <c r="G113" s="30"/>
      <c r="H113" s="30"/>
      <c r="I113" s="30"/>
      <c r="J113" s="30"/>
      <c r="K113" s="30"/>
    </row>
    <row r="114" ht="15.75" customHeight="1">
      <c r="D114" s="30"/>
      <c r="E114" s="30"/>
      <c r="F114" s="30"/>
      <c r="G114" s="30"/>
      <c r="H114" s="30"/>
      <c r="I114" s="30"/>
      <c r="J114" s="30"/>
      <c r="K114" s="30"/>
    </row>
    <row r="115" ht="15.75" customHeight="1">
      <c r="D115" s="30"/>
      <c r="E115" s="30"/>
      <c r="F115" s="30"/>
      <c r="G115" s="30"/>
      <c r="H115" s="30"/>
      <c r="I115" s="30"/>
      <c r="J115" s="30"/>
      <c r="K115" s="30"/>
    </row>
    <row r="116" ht="15.75" customHeight="1">
      <c r="D116" s="30"/>
      <c r="E116" s="30"/>
      <c r="F116" s="30"/>
      <c r="G116" s="30"/>
      <c r="H116" s="30"/>
      <c r="I116" s="30"/>
      <c r="J116" s="30"/>
      <c r="K116" s="30"/>
    </row>
    <row r="117" ht="15.75" customHeight="1">
      <c r="D117" s="30"/>
      <c r="E117" s="30"/>
      <c r="F117" s="30"/>
      <c r="G117" s="30"/>
      <c r="H117" s="30"/>
      <c r="I117" s="30"/>
      <c r="J117" s="30"/>
      <c r="K117" s="30"/>
    </row>
    <row r="118" ht="15.75" customHeight="1">
      <c r="D118" s="30"/>
      <c r="E118" s="30"/>
      <c r="F118" s="30"/>
      <c r="G118" s="30"/>
      <c r="H118" s="30"/>
      <c r="I118" s="30"/>
      <c r="J118" s="30"/>
      <c r="K118" s="30"/>
    </row>
    <row r="119" ht="15.75" customHeight="1">
      <c r="D119" s="30"/>
      <c r="E119" s="30"/>
      <c r="F119" s="30"/>
      <c r="G119" s="30"/>
      <c r="H119" s="30"/>
      <c r="I119" s="30"/>
      <c r="J119" s="30"/>
      <c r="K119" s="30"/>
    </row>
    <row r="120" ht="15.75" customHeight="1">
      <c r="D120" s="30"/>
      <c r="E120" s="30"/>
      <c r="F120" s="30"/>
      <c r="G120" s="30"/>
      <c r="H120" s="30"/>
      <c r="I120" s="30"/>
      <c r="J120" s="30"/>
      <c r="K120" s="30"/>
    </row>
    <row r="121" ht="15.75" customHeight="1">
      <c r="D121" s="30"/>
      <c r="E121" s="30"/>
      <c r="F121" s="30"/>
      <c r="G121" s="30"/>
      <c r="H121" s="30"/>
      <c r="I121" s="30"/>
      <c r="J121" s="30"/>
      <c r="K121" s="30"/>
    </row>
    <row r="122" ht="15.75" customHeight="1">
      <c r="D122" s="30"/>
      <c r="E122" s="30"/>
      <c r="F122" s="30"/>
      <c r="G122" s="30"/>
      <c r="H122" s="30"/>
      <c r="I122" s="30"/>
      <c r="J122" s="30"/>
      <c r="K122" s="30"/>
    </row>
    <row r="123" ht="15.75" customHeight="1">
      <c r="D123" s="30"/>
      <c r="E123" s="30"/>
      <c r="F123" s="30"/>
      <c r="G123" s="30"/>
      <c r="H123" s="30"/>
      <c r="I123" s="30"/>
      <c r="J123" s="30"/>
      <c r="K123" s="30"/>
    </row>
    <row r="124" ht="15.75" customHeight="1">
      <c r="D124" s="30"/>
      <c r="E124" s="30"/>
      <c r="F124" s="30"/>
      <c r="G124" s="30"/>
      <c r="H124" s="30"/>
      <c r="I124" s="30"/>
      <c r="J124" s="30"/>
      <c r="K124" s="30"/>
    </row>
    <row r="125" ht="15.75" customHeight="1">
      <c r="D125" s="30"/>
      <c r="E125" s="30"/>
      <c r="F125" s="30"/>
      <c r="G125" s="30"/>
      <c r="H125" s="30"/>
      <c r="I125" s="30"/>
      <c r="J125" s="30"/>
      <c r="K125" s="30"/>
    </row>
    <row r="126" ht="15.75" customHeight="1">
      <c r="D126" s="30"/>
      <c r="E126" s="30"/>
      <c r="F126" s="30"/>
      <c r="G126" s="30"/>
      <c r="H126" s="30"/>
      <c r="I126" s="30"/>
      <c r="J126" s="30"/>
      <c r="K126" s="30"/>
    </row>
    <row r="127" ht="15.75" customHeight="1">
      <c r="D127" s="30"/>
      <c r="E127" s="30"/>
      <c r="F127" s="30"/>
      <c r="G127" s="30"/>
      <c r="H127" s="30"/>
      <c r="I127" s="30"/>
      <c r="J127" s="30"/>
      <c r="K127" s="30"/>
    </row>
    <row r="128" ht="15.75" customHeight="1">
      <c r="D128" s="30"/>
      <c r="E128" s="30"/>
      <c r="F128" s="30"/>
      <c r="G128" s="30"/>
      <c r="H128" s="30"/>
      <c r="I128" s="30"/>
      <c r="J128" s="30"/>
      <c r="K128" s="30"/>
    </row>
    <row r="129" ht="15.75" customHeight="1">
      <c r="D129" s="30"/>
      <c r="E129" s="30"/>
      <c r="F129" s="30"/>
      <c r="G129" s="30"/>
      <c r="H129" s="30"/>
      <c r="I129" s="30"/>
      <c r="J129" s="30"/>
      <c r="K129" s="30"/>
    </row>
    <row r="130" ht="15.75" customHeight="1">
      <c r="D130" s="30"/>
      <c r="E130" s="30"/>
      <c r="F130" s="30"/>
      <c r="G130" s="30"/>
      <c r="H130" s="30"/>
      <c r="I130" s="30"/>
      <c r="J130" s="30"/>
      <c r="K130" s="30"/>
    </row>
    <row r="131" ht="15.75" customHeight="1">
      <c r="D131" s="30"/>
      <c r="E131" s="30"/>
      <c r="F131" s="30"/>
      <c r="G131" s="30"/>
      <c r="H131" s="30"/>
      <c r="I131" s="30"/>
      <c r="J131" s="30"/>
      <c r="K131" s="30"/>
    </row>
    <row r="132" ht="15.75" customHeight="1">
      <c r="D132" s="30"/>
      <c r="E132" s="30"/>
      <c r="F132" s="30"/>
      <c r="G132" s="30"/>
      <c r="H132" s="30"/>
      <c r="I132" s="30"/>
      <c r="J132" s="30"/>
      <c r="K132" s="30"/>
    </row>
    <row r="133" ht="15.75" customHeight="1">
      <c r="D133" s="30"/>
      <c r="E133" s="30"/>
      <c r="F133" s="30"/>
      <c r="G133" s="30"/>
      <c r="H133" s="30"/>
      <c r="I133" s="30"/>
      <c r="J133" s="30"/>
      <c r="K133" s="30"/>
    </row>
    <row r="134" ht="15.75" customHeight="1">
      <c r="D134" s="30"/>
      <c r="E134" s="30"/>
      <c r="F134" s="30"/>
      <c r="G134" s="30"/>
      <c r="H134" s="30"/>
      <c r="I134" s="30"/>
      <c r="J134" s="30"/>
      <c r="K134" s="30"/>
    </row>
    <row r="135" ht="15.75" customHeight="1">
      <c r="D135" s="30"/>
      <c r="E135" s="30"/>
      <c r="F135" s="30"/>
      <c r="G135" s="30"/>
      <c r="H135" s="30"/>
      <c r="I135" s="30"/>
      <c r="J135" s="30"/>
      <c r="K135" s="30"/>
    </row>
    <row r="136" ht="15.75" customHeight="1">
      <c r="D136" s="30"/>
      <c r="E136" s="30"/>
      <c r="F136" s="30"/>
      <c r="G136" s="30"/>
      <c r="H136" s="30"/>
      <c r="I136" s="30"/>
      <c r="J136" s="30"/>
      <c r="K136" s="30"/>
    </row>
    <row r="137" ht="15.75" customHeight="1">
      <c r="D137" s="30"/>
      <c r="E137" s="30"/>
      <c r="F137" s="30"/>
      <c r="G137" s="30"/>
      <c r="H137" s="30"/>
      <c r="I137" s="30"/>
      <c r="J137" s="30"/>
      <c r="K137" s="30"/>
    </row>
    <row r="138" ht="15.75" customHeight="1">
      <c r="D138" s="30"/>
      <c r="E138" s="30"/>
      <c r="F138" s="30"/>
      <c r="G138" s="30"/>
      <c r="H138" s="30"/>
      <c r="I138" s="30"/>
      <c r="J138" s="30"/>
      <c r="K138" s="30"/>
    </row>
    <row r="139" ht="15.75" customHeight="1">
      <c r="D139" s="30"/>
      <c r="E139" s="30"/>
      <c r="F139" s="30"/>
      <c r="G139" s="30"/>
      <c r="H139" s="30"/>
      <c r="I139" s="30"/>
      <c r="J139" s="30"/>
      <c r="K139" s="30"/>
    </row>
    <row r="140" ht="15.75" customHeight="1">
      <c r="D140" s="30"/>
      <c r="E140" s="30"/>
      <c r="F140" s="30"/>
      <c r="G140" s="30"/>
      <c r="H140" s="30"/>
      <c r="I140" s="30"/>
      <c r="J140" s="30"/>
      <c r="K140" s="30"/>
    </row>
    <row r="141" ht="15.75" customHeight="1">
      <c r="D141" s="30"/>
      <c r="E141" s="30"/>
      <c r="F141" s="30"/>
      <c r="G141" s="30"/>
      <c r="H141" s="30"/>
      <c r="I141" s="30"/>
      <c r="J141" s="30"/>
      <c r="K141" s="30"/>
    </row>
    <row r="142" ht="15.75" customHeight="1">
      <c r="D142" s="30"/>
      <c r="E142" s="30"/>
      <c r="F142" s="30"/>
      <c r="G142" s="30"/>
      <c r="H142" s="30"/>
      <c r="I142" s="30"/>
      <c r="J142" s="30"/>
      <c r="K142" s="30"/>
    </row>
    <row r="143" ht="15.75" customHeight="1">
      <c r="D143" s="30"/>
      <c r="E143" s="30"/>
      <c r="F143" s="30"/>
      <c r="G143" s="30"/>
      <c r="H143" s="30"/>
      <c r="I143" s="30"/>
      <c r="J143" s="30"/>
      <c r="K143" s="30"/>
    </row>
    <row r="144" ht="15.75" customHeight="1">
      <c r="D144" s="30"/>
      <c r="E144" s="30"/>
      <c r="F144" s="30"/>
      <c r="G144" s="30"/>
      <c r="H144" s="30"/>
      <c r="I144" s="30"/>
      <c r="J144" s="30"/>
      <c r="K144" s="30"/>
    </row>
    <row r="145" ht="15.75" customHeight="1">
      <c r="D145" s="30"/>
      <c r="E145" s="30"/>
      <c r="F145" s="30"/>
      <c r="G145" s="30"/>
      <c r="H145" s="30"/>
      <c r="I145" s="30"/>
      <c r="J145" s="30"/>
      <c r="K145" s="30"/>
    </row>
    <row r="146" ht="15.75" customHeight="1">
      <c r="D146" s="30"/>
      <c r="E146" s="30"/>
      <c r="F146" s="30"/>
      <c r="G146" s="30"/>
      <c r="H146" s="30"/>
      <c r="I146" s="30"/>
      <c r="J146" s="30"/>
      <c r="K146" s="30"/>
    </row>
    <row r="147" ht="15.75" customHeight="1">
      <c r="D147" s="30"/>
      <c r="E147" s="30"/>
      <c r="F147" s="30"/>
      <c r="G147" s="30"/>
      <c r="H147" s="30"/>
      <c r="I147" s="30"/>
      <c r="J147" s="30"/>
      <c r="K147" s="30"/>
    </row>
    <row r="148" ht="15.75" customHeight="1">
      <c r="D148" s="30"/>
      <c r="E148" s="30"/>
      <c r="F148" s="30"/>
      <c r="G148" s="30"/>
      <c r="H148" s="30"/>
      <c r="I148" s="30"/>
      <c r="J148" s="30"/>
      <c r="K148" s="30"/>
    </row>
    <row r="149" ht="15.75" customHeight="1">
      <c r="D149" s="30"/>
      <c r="E149" s="30"/>
      <c r="F149" s="30"/>
      <c r="G149" s="30"/>
      <c r="H149" s="30"/>
      <c r="I149" s="30"/>
      <c r="J149" s="30"/>
      <c r="K149" s="30"/>
    </row>
    <row r="150" ht="15.75" customHeight="1">
      <c r="D150" s="30"/>
      <c r="E150" s="30"/>
      <c r="F150" s="30"/>
      <c r="G150" s="30"/>
      <c r="H150" s="30"/>
      <c r="I150" s="30"/>
      <c r="J150" s="30"/>
      <c r="K150" s="30"/>
    </row>
    <row r="151" ht="15.75" customHeight="1">
      <c r="D151" s="30"/>
      <c r="E151" s="30"/>
      <c r="F151" s="30"/>
      <c r="G151" s="30"/>
      <c r="H151" s="30"/>
      <c r="I151" s="30"/>
      <c r="J151" s="30"/>
      <c r="K151" s="30"/>
    </row>
    <row r="152" ht="15.75" customHeight="1">
      <c r="D152" s="30"/>
      <c r="E152" s="30"/>
      <c r="F152" s="30"/>
      <c r="G152" s="30"/>
      <c r="H152" s="30"/>
      <c r="I152" s="30"/>
      <c r="J152" s="30"/>
      <c r="K152" s="30"/>
    </row>
    <row r="153" ht="15.75" customHeight="1">
      <c r="D153" s="30"/>
      <c r="E153" s="30"/>
      <c r="F153" s="30"/>
      <c r="G153" s="30"/>
      <c r="H153" s="30"/>
      <c r="I153" s="30"/>
      <c r="J153" s="30"/>
      <c r="K153" s="30"/>
    </row>
    <row r="154" ht="15.75" customHeight="1">
      <c r="D154" s="30"/>
      <c r="E154" s="30"/>
      <c r="F154" s="30"/>
      <c r="G154" s="30"/>
      <c r="H154" s="30"/>
      <c r="I154" s="30"/>
      <c r="J154" s="30"/>
      <c r="K154" s="30"/>
    </row>
    <row r="155" ht="15.75" customHeight="1">
      <c r="D155" s="30"/>
      <c r="E155" s="30"/>
      <c r="F155" s="30"/>
      <c r="G155" s="30"/>
      <c r="H155" s="30"/>
      <c r="I155" s="30"/>
      <c r="J155" s="30"/>
      <c r="K155" s="30"/>
    </row>
    <row r="156" ht="15.75" customHeight="1">
      <c r="D156" s="30"/>
      <c r="E156" s="30"/>
      <c r="F156" s="30"/>
      <c r="G156" s="30"/>
      <c r="H156" s="30"/>
      <c r="I156" s="30"/>
      <c r="J156" s="30"/>
      <c r="K156" s="30"/>
    </row>
    <row r="157" ht="15.75" customHeight="1">
      <c r="D157" s="30"/>
      <c r="E157" s="30"/>
      <c r="F157" s="30"/>
      <c r="G157" s="30"/>
      <c r="H157" s="30"/>
      <c r="I157" s="30"/>
      <c r="J157" s="30"/>
      <c r="K157" s="30"/>
    </row>
    <row r="158" ht="15.75" customHeight="1">
      <c r="D158" s="30"/>
      <c r="E158" s="30"/>
      <c r="F158" s="30"/>
      <c r="G158" s="30"/>
      <c r="H158" s="30"/>
      <c r="I158" s="30"/>
      <c r="J158" s="30"/>
      <c r="K158" s="30"/>
    </row>
    <row r="159" ht="15.75" customHeight="1">
      <c r="D159" s="30"/>
      <c r="E159" s="30"/>
      <c r="F159" s="30"/>
      <c r="G159" s="30"/>
      <c r="H159" s="30"/>
      <c r="I159" s="30"/>
      <c r="J159" s="30"/>
      <c r="K159" s="30"/>
    </row>
    <row r="160" ht="15.75" customHeight="1">
      <c r="D160" s="30"/>
      <c r="E160" s="30"/>
      <c r="F160" s="30"/>
      <c r="G160" s="30"/>
      <c r="H160" s="30"/>
      <c r="I160" s="30"/>
      <c r="J160" s="30"/>
      <c r="K160" s="30"/>
    </row>
    <row r="161" ht="15.75" customHeight="1">
      <c r="D161" s="30"/>
      <c r="E161" s="30"/>
      <c r="F161" s="30"/>
      <c r="G161" s="30"/>
      <c r="H161" s="30"/>
      <c r="I161" s="30"/>
      <c r="J161" s="30"/>
      <c r="K161" s="30"/>
    </row>
    <row r="162" ht="15.75" customHeight="1">
      <c r="D162" s="30"/>
      <c r="E162" s="30"/>
      <c r="F162" s="30"/>
      <c r="G162" s="30"/>
      <c r="H162" s="30"/>
      <c r="I162" s="30"/>
      <c r="J162" s="30"/>
      <c r="K162" s="30"/>
    </row>
    <row r="163" ht="15.75" customHeight="1">
      <c r="D163" s="30"/>
      <c r="E163" s="30"/>
      <c r="F163" s="30"/>
      <c r="G163" s="30"/>
      <c r="H163" s="30"/>
      <c r="I163" s="30"/>
      <c r="J163" s="30"/>
      <c r="K163" s="30"/>
    </row>
    <row r="164" ht="15.75" customHeight="1">
      <c r="D164" s="30"/>
      <c r="E164" s="30"/>
      <c r="F164" s="30"/>
      <c r="G164" s="30"/>
      <c r="H164" s="30"/>
      <c r="I164" s="30"/>
      <c r="J164" s="30"/>
      <c r="K164" s="30"/>
    </row>
    <row r="165" ht="15.75" customHeight="1">
      <c r="D165" s="30"/>
      <c r="E165" s="30"/>
      <c r="F165" s="30"/>
      <c r="G165" s="30"/>
      <c r="H165" s="30"/>
      <c r="I165" s="30"/>
      <c r="J165" s="30"/>
      <c r="K165" s="30"/>
    </row>
    <row r="166" ht="15.75" customHeight="1">
      <c r="D166" s="30"/>
      <c r="E166" s="30"/>
      <c r="F166" s="30"/>
      <c r="G166" s="30"/>
      <c r="H166" s="30"/>
      <c r="I166" s="30"/>
      <c r="J166" s="30"/>
      <c r="K166" s="30"/>
    </row>
    <row r="167" ht="15.75" customHeight="1">
      <c r="D167" s="30"/>
      <c r="E167" s="30"/>
      <c r="F167" s="30"/>
      <c r="G167" s="30"/>
      <c r="H167" s="30"/>
      <c r="I167" s="30"/>
      <c r="J167" s="30"/>
      <c r="K167" s="30"/>
    </row>
    <row r="168" ht="15.75" customHeight="1">
      <c r="D168" s="30"/>
      <c r="E168" s="30"/>
      <c r="F168" s="30"/>
      <c r="G168" s="30"/>
      <c r="H168" s="30"/>
      <c r="I168" s="30"/>
      <c r="J168" s="30"/>
      <c r="K168" s="30"/>
    </row>
    <row r="169" ht="15.75" customHeight="1">
      <c r="D169" s="30"/>
      <c r="E169" s="30"/>
      <c r="F169" s="30"/>
      <c r="G169" s="30"/>
      <c r="H169" s="30"/>
      <c r="I169" s="30"/>
      <c r="J169" s="30"/>
      <c r="K169" s="30"/>
    </row>
    <row r="170" ht="15.75" customHeight="1">
      <c r="D170" s="30"/>
      <c r="E170" s="30"/>
      <c r="F170" s="30"/>
      <c r="G170" s="30"/>
      <c r="H170" s="30"/>
      <c r="I170" s="30"/>
      <c r="J170" s="30"/>
      <c r="K170" s="30"/>
    </row>
    <row r="171" ht="15.75" customHeight="1">
      <c r="D171" s="30"/>
      <c r="E171" s="30"/>
      <c r="F171" s="30"/>
      <c r="G171" s="30"/>
      <c r="H171" s="30"/>
      <c r="I171" s="30"/>
      <c r="J171" s="30"/>
      <c r="K171" s="30"/>
    </row>
    <row r="172" ht="15.75" customHeight="1">
      <c r="D172" s="30"/>
      <c r="E172" s="30"/>
      <c r="F172" s="30"/>
      <c r="G172" s="30"/>
      <c r="H172" s="30"/>
      <c r="I172" s="30"/>
      <c r="J172" s="30"/>
      <c r="K172" s="30"/>
    </row>
    <row r="173" ht="15.75" customHeight="1">
      <c r="D173" s="30"/>
      <c r="E173" s="30"/>
      <c r="F173" s="30"/>
      <c r="G173" s="30"/>
      <c r="H173" s="30"/>
      <c r="I173" s="30"/>
      <c r="J173" s="30"/>
      <c r="K173" s="30"/>
    </row>
    <row r="174" ht="15.75" customHeight="1">
      <c r="D174" s="30"/>
      <c r="E174" s="30"/>
      <c r="F174" s="30"/>
      <c r="G174" s="30"/>
      <c r="H174" s="30"/>
      <c r="I174" s="30"/>
      <c r="J174" s="30"/>
      <c r="K174" s="30"/>
    </row>
    <row r="175" ht="15.75" customHeight="1">
      <c r="D175" s="30"/>
      <c r="E175" s="30"/>
      <c r="F175" s="30"/>
      <c r="G175" s="30"/>
      <c r="H175" s="30"/>
      <c r="I175" s="30"/>
      <c r="J175" s="30"/>
      <c r="K175" s="30"/>
    </row>
    <row r="176" ht="15.75" customHeight="1">
      <c r="D176" s="30"/>
      <c r="E176" s="30"/>
      <c r="F176" s="30"/>
      <c r="G176" s="30"/>
      <c r="H176" s="30"/>
      <c r="I176" s="30"/>
      <c r="J176" s="30"/>
      <c r="K176" s="30"/>
    </row>
    <row r="177" ht="15.75" customHeight="1">
      <c r="D177" s="30"/>
      <c r="E177" s="30"/>
      <c r="F177" s="30"/>
      <c r="G177" s="30"/>
      <c r="H177" s="30"/>
      <c r="I177" s="30"/>
      <c r="J177" s="30"/>
      <c r="K177" s="30"/>
    </row>
    <row r="178" ht="15.75" customHeight="1">
      <c r="D178" s="30"/>
      <c r="E178" s="30"/>
      <c r="F178" s="30"/>
      <c r="G178" s="30"/>
      <c r="H178" s="30"/>
      <c r="I178" s="30"/>
      <c r="J178" s="30"/>
      <c r="K178" s="30"/>
    </row>
    <row r="179" ht="15.75" customHeight="1">
      <c r="D179" s="30"/>
      <c r="E179" s="30"/>
      <c r="F179" s="30"/>
      <c r="G179" s="30"/>
      <c r="H179" s="30"/>
      <c r="I179" s="30"/>
      <c r="J179" s="30"/>
      <c r="K179" s="30"/>
    </row>
    <row r="180" ht="15.75" customHeight="1">
      <c r="D180" s="30"/>
      <c r="E180" s="30"/>
      <c r="F180" s="30"/>
      <c r="G180" s="30"/>
      <c r="H180" s="30"/>
      <c r="I180" s="30"/>
      <c r="J180" s="30"/>
      <c r="K180" s="30"/>
    </row>
    <row r="181" ht="15.75" customHeight="1">
      <c r="D181" s="30"/>
      <c r="E181" s="30"/>
      <c r="F181" s="30"/>
      <c r="G181" s="30"/>
      <c r="H181" s="30"/>
      <c r="I181" s="30"/>
      <c r="J181" s="30"/>
      <c r="K181" s="30"/>
    </row>
    <row r="182" ht="15.75" customHeight="1">
      <c r="D182" s="30"/>
      <c r="E182" s="30"/>
      <c r="F182" s="30"/>
      <c r="G182" s="30"/>
      <c r="H182" s="30"/>
      <c r="I182" s="30"/>
      <c r="J182" s="30"/>
      <c r="K182" s="30"/>
    </row>
    <row r="183" ht="15.75" customHeight="1">
      <c r="D183" s="30"/>
      <c r="E183" s="30"/>
      <c r="F183" s="30"/>
      <c r="G183" s="30"/>
      <c r="H183" s="30"/>
      <c r="I183" s="30"/>
      <c r="J183" s="30"/>
      <c r="K183" s="30"/>
    </row>
    <row r="184" ht="15.75" customHeight="1">
      <c r="D184" s="30"/>
      <c r="E184" s="30"/>
      <c r="F184" s="30"/>
      <c r="G184" s="30"/>
      <c r="H184" s="30"/>
      <c r="I184" s="30"/>
      <c r="J184" s="30"/>
      <c r="K184" s="30"/>
    </row>
    <row r="185" ht="15.75" customHeight="1">
      <c r="D185" s="30"/>
      <c r="E185" s="30"/>
      <c r="F185" s="30"/>
      <c r="G185" s="30"/>
      <c r="H185" s="30"/>
      <c r="I185" s="30"/>
      <c r="J185" s="30"/>
      <c r="K185" s="30"/>
    </row>
    <row r="186" ht="15.75" customHeight="1">
      <c r="D186" s="30"/>
      <c r="E186" s="30"/>
      <c r="F186" s="30"/>
      <c r="G186" s="30"/>
      <c r="H186" s="30"/>
      <c r="I186" s="30"/>
      <c r="J186" s="30"/>
      <c r="K186" s="30"/>
    </row>
    <row r="187" ht="15.75" customHeight="1">
      <c r="D187" s="30"/>
      <c r="E187" s="30"/>
      <c r="F187" s="30"/>
      <c r="G187" s="30"/>
      <c r="H187" s="30"/>
      <c r="I187" s="30"/>
      <c r="J187" s="30"/>
      <c r="K187" s="30"/>
    </row>
    <row r="188" ht="15.75" customHeight="1">
      <c r="D188" s="30"/>
      <c r="E188" s="30"/>
      <c r="F188" s="30"/>
      <c r="G188" s="30"/>
      <c r="H188" s="30"/>
      <c r="I188" s="30"/>
      <c r="J188" s="30"/>
      <c r="K188" s="30"/>
    </row>
    <row r="189" ht="15.75" customHeight="1">
      <c r="D189" s="30"/>
      <c r="E189" s="30"/>
      <c r="F189" s="30"/>
      <c r="G189" s="30"/>
      <c r="H189" s="30"/>
      <c r="I189" s="30"/>
      <c r="J189" s="30"/>
      <c r="K189" s="30"/>
    </row>
    <row r="190" ht="15.75" customHeight="1">
      <c r="D190" s="30"/>
      <c r="E190" s="30"/>
      <c r="F190" s="30"/>
      <c r="G190" s="30"/>
      <c r="H190" s="30"/>
      <c r="I190" s="30"/>
      <c r="J190" s="30"/>
      <c r="K190" s="30"/>
    </row>
    <row r="191" ht="15.75" customHeight="1">
      <c r="D191" s="30"/>
      <c r="E191" s="30"/>
      <c r="F191" s="30"/>
      <c r="G191" s="30"/>
      <c r="H191" s="30"/>
      <c r="I191" s="30"/>
      <c r="J191" s="30"/>
      <c r="K191" s="30"/>
    </row>
    <row r="192" ht="15.75" customHeight="1">
      <c r="D192" s="30"/>
      <c r="E192" s="30"/>
      <c r="F192" s="30"/>
      <c r="G192" s="30"/>
      <c r="H192" s="30"/>
      <c r="I192" s="30"/>
      <c r="J192" s="30"/>
      <c r="K192" s="30"/>
    </row>
    <row r="193" ht="15.75" customHeight="1">
      <c r="D193" s="30"/>
      <c r="E193" s="30"/>
      <c r="F193" s="30"/>
      <c r="G193" s="30"/>
      <c r="H193" s="30"/>
      <c r="I193" s="30"/>
      <c r="J193" s="30"/>
      <c r="K193" s="30"/>
    </row>
    <row r="194" ht="15.75" customHeight="1">
      <c r="D194" s="30"/>
      <c r="E194" s="30"/>
      <c r="F194" s="30"/>
      <c r="G194" s="30"/>
      <c r="H194" s="30"/>
      <c r="I194" s="30"/>
      <c r="J194" s="30"/>
      <c r="K194" s="30"/>
    </row>
    <row r="195" ht="15.75" customHeight="1">
      <c r="D195" s="30"/>
      <c r="E195" s="30"/>
      <c r="F195" s="30"/>
      <c r="G195" s="30"/>
      <c r="H195" s="30"/>
      <c r="I195" s="30"/>
      <c r="J195" s="30"/>
      <c r="K195" s="30"/>
    </row>
    <row r="196" ht="15.75" customHeight="1">
      <c r="D196" s="30"/>
      <c r="E196" s="30"/>
      <c r="F196" s="30"/>
      <c r="G196" s="30"/>
      <c r="H196" s="30"/>
      <c r="I196" s="30"/>
      <c r="J196" s="30"/>
      <c r="K196" s="30"/>
    </row>
    <row r="197" ht="15.75" customHeight="1">
      <c r="D197" s="30"/>
      <c r="E197" s="30"/>
      <c r="F197" s="30"/>
      <c r="G197" s="30"/>
      <c r="H197" s="30"/>
      <c r="I197" s="30"/>
      <c r="J197" s="30"/>
      <c r="K197" s="30"/>
    </row>
    <row r="198" ht="15.75" customHeight="1">
      <c r="D198" s="30"/>
      <c r="E198" s="30"/>
      <c r="F198" s="30"/>
      <c r="G198" s="30"/>
      <c r="H198" s="30"/>
      <c r="I198" s="30"/>
      <c r="J198" s="30"/>
      <c r="K198" s="30"/>
    </row>
    <row r="199" ht="15.75" customHeight="1">
      <c r="D199" s="30"/>
      <c r="E199" s="30"/>
      <c r="F199" s="30"/>
      <c r="G199" s="30"/>
      <c r="H199" s="30"/>
      <c r="I199" s="30"/>
      <c r="J199" s="30"/>
      <c r="K199" s="30"/>
    </row>
    <row r="200" ht="15.75" customHeight="1">
      <c r="D200" s="30"/>
      <c r="E200" s="30"/>
      <c r="F200" s="30"/>
      <c r="G200" s="30"/>
      <c r="H200" s="30"/>
      <c r="I200" s="30"/>
      <c r="J200" s="30"/>
      <c r="K200" s="30"/>
    </row>
    <row r="201" ht="15.75" customHeight="1">
      <c r="D201" s="30"/>
      <c r="E201" s="30"/>
      <c r="F201" s="30"/>
      <c r="G201" s="30"/>
      <c r="H201" s="30"/>
      <c r="I201" s="30"/>
      <c r="J201" s="30"/>
      <c r="K201" s="30"/>
    </row>
    <row r="202" ht="15.75" customHeight="1">
      <c r="D202" s="30"/>
      <c r="E202" s="30"/>
      <c r="F202" s="30"/>
      <c r="G202" s="30"/>
      <c r="H202" s="30"/>
      <c r="I202" s="30"/>
      <c r="J202" s="30"/>
      <c r="K202" s="30"/>
    </row>
    <row r="203" ht="15.75" customHeight="1">
      <c r="D203" s="30"/>
      <c r="E203" s="30"/>
      <c r="F203" s="30"/>
      <c r="G203" s="30"/>
      <c r="H203" s="30"/>
      <c r="I203" s="30"/>
      <c r="J203" s="30"/>
      <c r="K203" s="30"/>
    </row>
    <row r="204" ht="15.75" customHeight="1">
      <c r="D204" s="30"/>
      <c r="E204" s="30"/>
      <c r="F204" s="30"/>
      <c r="G204" s="30"/>
      <c r="H204" s="30"/>
      <c r="I204" s="30"/>
      <c r="J204" s="30"/>
      <c r="K204" s="30"/>
    </row>
    <row r="205" ht="15.75" customHeight="1">
      <c r="D205" s="30"/>
      <c r="E205" s="30"/>
      <c r="F205" s="30"/>
      <c r="G205" s="30"/>
      <c r="H205" s="30"/>
      <c r="I205" s="30"/>
      <c r="J205" s="30"/>
      <c r="K205" s="30"/>
    </row>
    <row r="206" ht="15.75" customHeight="1">
      <c r="D206" s="30"/>
      <c r="E206" s="30"/>
      <c r="F206" s="30"/>
      <c r="G206" s="30"/>
      <c r="H206" s="30"/>
      <c r="I206" s="30"/>
      <c r="J206" s="30"/>
      <c r="K206" s="30"/>
    </row>
    <row r="207" ht="15.75" customHeight="1">
      <c r="D207" s="30"/>
      <c r="E207" s="30"/>
      <c r="F207" s="30"/>
      <c r="G207" s="30"/>
      <c r="H207" s="30"/>
      <c r="I207" s="30"/>
      <c r="J207" s="30"/>
      <c r="K207" s="30"/>
    </row>
    <row r="208" ht="15.75" customHeight="1">
      <c r="D208" s="30"/>
      <c r="E208" s="30"/>
      <c r="F208" s="30"/>
      <c r="G208" s="30"/>
      <c r="H208" s="30"/>
      <c r="I208" s="30"/>
      <c r="J208" s="30"/>
      <c r="K208" s="30"/>
    </row>
    <row r="209" ht="15.75" customHeight="1">
      <c r="D209" s="30"/>
      <c r="E209" s="30"/>
      <c r="F209" s="30"/>
      <c r="G209" s="30"/>
      <c r="H209" s="30"/>
      <c r="I209" s="30"/>
      <c r="J209" s="30"/>
      <c r="K209" s="30"/>
    </row>
    <row r="210" ht="15.75" customHeight="1">
      <c r="D210" s="30"/>
      <c r="E210" s="30"/>
      <c r="F210" s="30"/>
      <c r="G210" s="30"/>
      <c r="H210" s="30"/>
      <c r="I210" s="30"/>
      <c r="J210" s="30"/>
      <c r="K210" s="30"/>
    </row>
    <row r="211" ht="15.75" customHeight="1">
      <c r="D211" s="30"/>
      <c r="E211" s="30"/>
      <c r="F211" s="30"/>
      <c r="G211" s="30"/>
      <c r="H211" s="30"/>
      <c r="I211" s="30"/>
      <c r="J211" s="30"/>
      <c r="K211" s="30"/>
    </row>
    <row r="212" ht="15.75" customHeight="1">
      <c r="D212" s="30"/>
      <c r="E212" s="30"/>
      <c r="F212" s="30"/>
      <c r="G212" s="30"/>
      <c r="H212" s="30"/>
      <c r="I212" s="30"/>
      <c r="J212" s="30"/>
      <c r="K212" s="30"/>
    </row>
    <row r="213" ht="15.75" customHeight="1">
      <c r="D213" s="30"/>
      <c r="E213" s="30"/>
      <c r="F213" s="30"/>
      <c r="G213" s="30"/>
      <c r="H213" s="30"/>
      <c r="I213" s="30"/>
      <c r="J213" s="30"/>
      <c r="K213" s="30"/>
    </row>
    <row r="214" ht="15.75" customHeight="1">
      <c r="D214" s="30"/>
      <c r="E214" s="30"/>
      <c r="F214" s="30"/>
      <c r="G214" s="30"/>
      <c r="H214" s="30"/>
      <c r="I214" s="30"/>
      <c r="J214" s="30"/>
      <c r="K214" s="30"/>
    </row>
    <row r="215" ht="15.75" customHeight="1">
      <c r="D215" s="30"/>
      <c r="E215" s="30"/>
      <c r="F215" s="30"/>
      <c r="G215" s="30"/>
      <c r="H215" s="30"/>
      <c r="I215" s="30"/>
      <c r="J215" s="30"/>
      <c r="K215" s="30"/>
    </row>
    <row r="216" ht="15.75" customHeight="1">
      <c r="D216" s="30"/>
      <c r="E216" s="30"/>
      <c r="F216" s="30"/>
      <c r="G216" s="30"/>
      <c r="H216" s="30"/>
      <c r="I216" s="30"/>
      <c r="J216" s="30"/>
      <c r="K216" s="30"/>
    </row>
    <row r="217" ht="15.75" customHeight="1">
      <c r="D217" s="30"/>
      <c r="E217" s="30"/>
      <c r="F217" s="30"/>
      <c r="G217" s="30"/>
      <c r="H217" s="30"/>
      <c r="I217" s="30"/>
      <c r="J217" s="30"/>
      <c r="K217" s="30"/>
    </row>
    <row r="218" ht="15.75" customHeight="1">
      <c r="D218" s="30"/>
      <c r="E218" s="30"/>
      <c r="F218" s="30"/>
      <c r="G218" s="30"/>
      <c r="H218" s="30"/>
      <c r="I218" s="30"/>
      <c r="J218" s="30"/>
      <c r="K218" s="30"/>
    </row>
    <row r="219" ht="15.75" customHeight="1">
      <c r="D219" s="30"/>
      <c r="E219" s="30"/>
      <c r="F219" s="30"/>
      <c r="G219" s="30"/>
      <c r="H219" s="30"/>
      <c r="I219" s="30"/>
      <c r="J219" s="30"/>
      <c r="K219" s="30"/>
    </row>
    <row r="220" ht="15.75" customHeight="1">
      <c r="D220" s="30"/>
      <c r="E220" s="30"/>
      <c r="F220" s="30"/>
      <c r="G220" s="30"/>
      <c r="H220" s="30"/>
      <c r="I220" s="30"/>
      <c r="J220" s="30"/>
      <c r="K220" s="30"/>
    </row>
    <row r="221" ht="15.75" customHeight="1">
      <c r="D221" s="30"/>
      <c r="E221" s="30"/>
      <c r="F221" s="30"/>
      <c r="G221" s="30"/>
      <c r="H221" s="30"/>
      <c r="I221" s="30"/>
      <c r="J221" s="30"/>
      <c r="K221" s="30"/>
    </row>
    <row r="222" ht="15.75" customHeight="1">
      <c r="D222" s="30"/>
      <c r="E222" s="30"/>
      <c r="F222" s="30"/>
      <c r="G222" s="30"/>
      <c r="H222" s="30"/>
      <c r="I222" s="30"/>
      <c r="J222" s="30"/>
      <c r="K222" s="30"/>
    </row>
    <row r="223" ht="15.75" customHeight="1">
      <c r="D223" s="30"/>
      <c r="E223" s="30"/>
      <c r="F223" s="30"/>
      <c r="G223" s="30"/>
      <c r="H223" s="30"/>
      <c r="I223" s="30"/>
      <c r="J223" s="30"/>
      <c r="K223" s="30"/>
    </row>
    <row r="224" ht="15.75" customHeight="1">
      <c r="D224" s="30"/>
      <c r="E224" s="30"/>
      <c r="F224" s="30"/>
      <c r="G224" s="30"/>
      <c r="H224" s="30"/>
      <c r="I224" s="30"/>
      <c r="J224" s="30"/>
      <c r="K224" s="30"/>
    </row>
    <row r="225" ht="15.75" customHeight="1">
      <c r="D225" s="30"/>
      <c r="E225" s="30"/>
      <c r="F225" s="30"/>
      <c r="G225" s="30"/>
      <c r="H225" s="30"/>
      <c r="I225" s="30"/>
      <c r="J225" s="30"/>
      <c r="K225" s="30"/>
    </row>
    <row r="226" ht="15.75" customHeight="1">
      <c r="D226" s="30"/>
      <c r="E226" s="30"/>
      <c r="F226" s="30"/>
      <c r="G226" s="30"/>
      <c r="H226" s="30"/>
      <c r="I226" s="30"/>
      <c r="J226" s="30"/>
      <c r="K226" s="30"/>
    </row>
    <row r="227" ht="15.75" customHeight="1">
      <c r="D227" s="30"/>
      <c r="E227" s="30"/>
      <c r="F227" s="30"/>
      <c r="G227" s="30"/>
      <c r="H227" s="30"/>
      <c r="I227" s="30"/>
      <c r="J227" s="30"/>
      <c r="K227" s="30"/>
    </row>
    <row r="228" ht="15.75" customHeight="1">
      <c r="D228" s="30"/>
      <c r="E228" s="30"/>
      <c r="F228" s="30"/>
      <c r="G228" s="30"/>
      <c r="H228" s="30"/>
      <c r="I228" s="30"/>
      <c r="J228" s="30"/>
      <c r="K228" s="30"/>
    </row>
    <row r="229" ht="15.75" customHeight="1">
      <c r="D229" s="30"/>
      <c r="E229" s="30"/>
      <c r="F229" s="30"/>
      <c r="G229" s="30"/>
      <c r="H229" s="30"/>
      <c r="I229" s="30"/>
      <c r="J229" s="30"/>
      <c r="K229" s="30"/>
    </row>
    <row r="230" ht="15.75" customHeight="1">
      <c r="D230" s="30"/>
      <c r="E230" s="30"/>
      <c r="F230" s="30"/>
      <c r="G230" s="30"/>
      <c r="H230" s="30"/>
      <c r="I230" s="30"/>
      <c r="J230" s="30"/>
      <c r="K230" s="30"/>
    </row>
    <row r="231" ht="15.75" customHeight="1">
      <c r="D231" s="30"/>
      <c r="E231" s="30"/>
      <c r="F231" s="30"/>
      <c r="G231" s="30"/>
      <c r="H231" s="30"/>
      <c r="I231" s="30"/>
      <c r="J231" s="30"/>
      <c r="K231" s="30"/>
    </row>
    <row r="232" ht="15.75" customHeight="1">
      <c r="D232" s="30"/>
      <c r="E232" s="30"/>
      <c r="F232" s="30"/>
      <c r="G232" s="30"/>
      <c r="H232" s="30"/>
      <c r="I232" s="30"/>
      <c r="J232" s="30"/>
      <c r="K232" s="30"/>
    </row>
    <row r="233" ht="15.75" customHeight="1">
      <c r="D233" s="30"/>
      <c r="E233" s="30"/>
      <c r="F233" s="30"/>
      <c r="G233" s="30"/>
      <c r="H233" s="30"/>
      <c r="I233" s="30"/>
      <c r="J233" s="30"/>
      <c r="K233" s="30"/>
    </row>
    <row r="234" ht="15.75" customHeight="1">
      <c r="D234" s="30"/>
      <c r="E234" s="30"/>
      <c r="F234" s="30"/>
      <c r="G234" s="30"/>
      <c r="H234" s="30"/>
      <c r="I234" s="30"/>
      <c r="J234" s="30"/>
      <c r="K234" s="30"/>
    </row>
    <row r="235" ht="15.75" customHeight="1">
      <c r="D235" s="30"/>
      <c r="E235" s="30"/>
      <c r="F235" s="30"/>
      <c r="G235" s="30"/>
      <c r="H235" s="30"/>
      <c r="I235" s="30"/>
      <c r="J235" s="30"/>
      <c r="K235" s="30"/>
    </row>
    <row r="236" ht="15.75" customHeight="1">
      <c r="D236" s="30"/>
      <c r="E236" s="30"/>
      <c r="F236" s="30"/>
      <c r="G236" s="30"/>
      <c r="H236" s="30"/>
      <c r="I236" s="30"/>
      <c r="J236" s="30"/>
      <c r="K236" s="30"/>
    </row>
    <row r="237" ht="15.75" customHeight="1">
      <c r="D237" s="30"/>
      <c r="E237" s="30"/>
      <c r="F237" s="30"/>
      <c r="G237" s="30"/>
      <c r="H237" s="30"/>
      <c r="I237" s="30"/>
      <c r="J237" s="30"/>
      <c r="K237" s="30"/>
    </row>
    <row r="238" ht="15.75" customHeight="1">
      <c r="D238" s="30"/>
      <c r="E238" s="30"/>
      <c r="F238" s="30"/>
      <c r="G238" s="30"/>
      <c r="H238" s="30"/>
      <c r="I238" s="30"/>
      <c r="J238" s="30"/>
      <c r="K238" s="30"/>
    </row>
    <row r="239" ht="15.75" customHeight="1">
      <c r="D239" s="30"/>
      <c r="E239" s="30"/>
      <c r="F239" s="30"/>
      <c r="G239" s="30"/>
      <c r="H239" s="30"/>
      <c r="I239" s="30"/>
      <c r="J239" s="30"/>
      <c r="K239" s="30"/>
    </row>
    <row r="240" ht="15.75" customHeight="1">
      <c r="D240" s="30"/>
      <c r="E240" s="30"/>
      <c r="F240" s="30"/>
      <c r="G240" s="30"/>
      <c r="H240" s="30"/>
      <c r="I240" s="30"/>
      <c r="J240" s="30"/>
      <c r="K240" s="30"/>
    </row>
    <row r="241" ht="15.75" customHeight="1">
      <c r="D241" s="30"/>
      <c r="E241" s="30"/>
      <c r="F241" s="30"/>
      <c r="G241" s="30"/>
      <c r="H241" s="30"/>
      <c r="I241" s="30"/>
      <c r="J241" s="30"/>
      <c r="K241" s="30"/>
    </row>
    <row r="242" ht="15.75" customHeight="1">
      <c r="D242" s="30"/>
      <c r="E242" s="30"/>
      <c r="F242" s="30"/>
      <c r="G242" s="30"/>
      <c r="H242" s="30"/>
      <c r="I242" s="30"/>
      <c r="J242" s="30"/>
      <c r="K242" s="30"/>
    </row>
    <row r="243" ht="15.75" customHeight="1">
      <c r="D243" s="30"/>
      <c r="E243" s="30"/>
      <c r="F243" s="30"/>
      <c r="G243" s="30"/>
      <c r="H243" s="30"/>
      <c r="I243" s="30"/>
      <c r="J243" s="30"/>
      <c r="K243" s="30"/>
    </row>
    <row r="244" ht="15.75" customHeight="1">
      <c r="D244" s="30"/>
      <c r="E244" s="30"/>
      <c r="F244" s="30"/>
      <c r="G244" s="30"/>
      <c r="H244" s="30"/>
      <c r="I244" s="30"/>
      <c r="J244" s="30"/>
      <c r="K244" s="30"/>
    </row>
    <row r="245" ht="15.75" customHeight="1">
      <c r="D245" s="30"/>
      <c r="E245" s="30"/>
      <c r="F245" s="30"/>
      <c r="G245" s="30"/>
      <c r="H245" s="30"/>
      <c r="I245" s="30"/>
      <c r="J245" s="30"/>
      <c r="K245" s="30"/>
    </row>
    <row r="246" ht="15.75" customHeight="1">
      <c r="D246" s="30"/>
      <c r="E246" s="30"/>
      <c r="F246" s="30"/>
      <c r="G246" s="30"/>
      <c r="H246" s="30"/>
      <c r="I246" s="30"/>
      <c r="J246" s="30"/>
      <c r="K246" s="30"/>
    </row>
    <row r="247" ht="15.75" customHeight="1">
      <c r="D247" s="30"/>
      <c r="E247" s="30"/>
      <c r="F247" s="30"/>
      <c r="G247" s="30"/>
      <c r="H247" s="30"/>
      <c r="I247" s="30"/>
      <c r="J247" s="30"/>
      <c r="K247" s="30"/>
    </row>
    <row r="248" ht="15.75" customHeight="1">
      <c r="D248" s="30"/>
      <c r="E248" s="30"/>
      <c r="F248" s="30"/>
      <c r="G248" s="30"/>
      <c r="H248" s="30"/>
      <c r="I248" s="30"/>
      <c r="J248" s="30"/>
      <c r="K248" s="30"/>
    </row>
    <row r="249" ht="15.75" customHeight="1">
      <c r="D249" s="30"/>
      <c r="E249" s="30"/>
      <c r="F249" s="30"/>
      <c r="G249" s="30"/>
      <c r="H249" s="30"/>
      <c r="I249" s="30"/>
      <c r="J249" s="30"/>
      <c r="K249" s="30"/>
    </row>
    <row r="250" ht="15.75" customHeight="1">
      <c r="D250" s="30"/>
      <c r="E250" s="30"/>
      <c r="F250" s="30"/>
      <c r="G250" s="30"/>
      <c r="H250" s="30"/>
      <c r="I250" s="30"/>
      <c r="J250" s="30"/>
      <c r="K250" s="30"/>
    </row>
    <row r="251" ht="15.75" customHeight="1">
      <c r="D251" s="30"/>
      <c r="E251" s="30"/>
      <c r="F251" s="30"/>
      <c r="G251" s="30"/>
      <c r="H251" s="30"/>
      <c r="I251" s="30"/>
      <c r="J251" s="30"/>
      <c r="K251" s="30"/>
    </row>
    <row r="252" ht="15.75" customHeight="1">
      <c r="D252" s="30"/>
      <c r="E252" s="30"/>
      <c r="F252" s="30"/>
      <c r="G252" s="30"/>
      <c r="H252" s="30"/>
      <c r="I252" s="30"/>
      <c r="J252" s="30"/>
      <c r="K252" s="30"/>
    </row>
    <row r="253" ht="15.75" customHeight="1">
      <c r="D253" s="30"/>
      <c r="E253" s="30"/>
      <c r="F253" s="30"/>
      <c r="G253" s="30"/>
      <c r="H253" s="30"/>
      <c r="I253" s="30"/>
      <c r="J253" s="30"/>
      <c r="K253" s="30"/>
    </row>
    <row r="254" ht="15.75" customHeight="1">
      <c r="D254" s="30"/>
      <c r="E254" s="30"/>
      <c r="F254" s="30"/>
      <c r="G254" s="30"/>
      <c r="H254" s="30"/>
      <c r="I254" s="30"/>
      <c r="J254" s="30"/>
      <c r="K254" s="30"/>
    </row>
    <row r="255" ht="15.75" customHeight="1">
      <c r="D255" s="30"/>
      <c r="E255" s="30"/>
      <c r="F255" s="30"/>
      <c r="G255" s="30"/>
      <c r="H255" s="30"/>
      <c r="I255" s="30"/>
      <c r="J255" s="30"/>
      <c r="K255" s="30"/>
    </row>
    <row r="256" ht="15.75" customHeight="1">
      <c r="D256" s="30"/>
      <c r="E256" s="30"/>
      <c r="F256" s="30"/>
      <c r="G256" s="30"/>
      <c r="H256" s="30"/>
      <c r="I256" s="30"/>
      <c r="J256" s="30"/>
      <c r="K256" s="30"/>
    </row>
    <row r="257" ht="15.75" customHeight="1">
      <c r="D257" s="30"/>
      <c r="E257" s="30"/>
      <c r="F257" s="30"/>
      <c r="G257" s="30"/>
      <c r="H257" s="30"/>
      <c r="I257" s="30"/>
      <c r="J257" s="30"/>
      <c r="K257" s="30"/>
    </row>
    <row r="258" ht="15.75" customHeight="1">
      <c r="D258" s="30"/>
      <c r="E258" s="30"/>
      <c r="F258" s="30"/>
      <c r="G258" s="30"/>
      <c r="H258" s="30"/>
      <c r="I258" s="30"/>
      <c r="J258" s="30"/>
      <c r="K258" s="30"/>
    </row>
    <row r="259" ht="15.75" customHeight="1">
      <c r="D259" s="30"/>
      <c r="E259" s="30"/>
      <c r="F259" s="30"/>
      <c r="G259" s="30"/>
      <c r="H259" s="30"/>
      <c r="I259" s="30"/>
      <c r="J259" s="30"/>
      <c r="K259" s="30"/>
    </row>
    <row r="260" ht="15.75" customHeight="1">
      <c r="D260" s="30"/>
      <c r="E260" s="30"/>
      <c r="F260" s="30"/>
      <c r="G260" s="30"/>
      <c r="H260" s="30"/>
      <c r="I260" s="30"/>
      <c r="J260" s="30"/>
      <c r="K260" s="30"/>
    </row>
    <row r="261" ht="15.75" customHeight="1">
      <c r="D261" s="30"/>
      <c r="E261" s="30"/>
      <c r="F261" s="30"/>
      <c r="G261" s="30"/>
      <c r="H261" s="30"/>
      <c r="I261" s="30"/>
      <c r="J261" s="30"/>
      <c r="K261" s="30"/>
    </row>
    <row r="262" ht="15.75" customHeight="1">
      <c r="D262" s="30"/>
      <c r="E262" s="30"/>
      <c r="F262" s="30"/>
      <c r="G262" s="30"/>
      <c r="H262" s="30"/>
      <c r="I262" s="30"/>
      <c r="J262" s="30"/>
      <c r="K262" s="30"/>
    </row>
    <row r="263" ht="15.75" customHeight="1">
      <c r="D263" s="30"/>
      <c r="E263" s="30"/>
      <c r="F263" s="30"/>
      <c r="G263" s="30"/>
      <c r="H263" s="30"/>
      <c r="I263" s="30"/>
      <c r="J263" s="30"/>
      <c r="K263" s="30"/>
    </row>
    <row r="264" ht="15.75" customHeight="1">
      <c r="D264" s="30"/>
      <c r="E264" s="30"/>
      <c r="F264" s="30"/>
      <c r="G264" s="30"/>
      <c r="H264" s="30"/>
      <c r="I264" s="30"/>
      <c r="J264" s="30"/>
      <c r="K264" s="30"/>
    </row>
    <row r="265" ht="15.75" customHeight="1">
      <c r="D265" s="30"/>
      <c r="E265" s="30"/>
      <c r="F265" s="30"/>
      <c r="G265" s="30"/>
      <c r="H265" s="30"/>
      <c r="I265" s="30"/>
      <c r="J265" s="30"/>
      <c r="K265" s="30"/>
    </row>
    <row r="266" ht="15.75" customHeight="1">
      <c r="D266" s="30"/>
      <c r="E266" s="30"/>
      <c r="F266" s="30"/>
      <c r="G266" s="30"/>
      <c r="H266" s="30"/>
      <c r="I266" s="30"/>
      <c r="J266" s="30"/>
      <c r="K266" s="30"/>
    </row>
    <row r="267" ht="15.75" customHeight="1">
      <c r="D267" s="30"/>
      <c r="E267" s="30"/>
      <c r="F267" s="30"/>
      <c r="G267" s="30"/>
      <c r="H267" s="30"/>
      <c r="I267" s="30"/>
      <c r="J267" s="30"/>
      <c r="K267" s="30"/>
    </row>
    <row r="268" ht="15.75" customHeight="1">
      <c r="D268" s="30"/>
      <c r="E268" s="30"/>
      <c r="F268" s="30"/>
      <c r="G268" s="30"/>
      <c r="H268" s="30"/>
      <c r="I268" s="30"/>
      <c r="J268" s="30"/>
      <c r="K268" s="30"/>
    </row>
    <row r="269" ht="15.75" customHeight="1">
      <c r="D269" s="30"/>
      <c r="E269" s="30"/>
      <c r="F269" s="30"/>
      <c r="G269" s="30"/>
      <c r="H269" s="30"/>
      <c r="I269" s="30"/>
      <c r="J269" s="30"/>
      <c r="K269" s="30"/>
    </row>
    <row r="270" ht="15.75" customHeight="1">
      <c r="D270" s="30"/>
      <c r="E270" s="30"/>
      <c r="F270" s="30"/>
      <c r="G270" s="30"/>
      <c r="H270" s="30"/>
      <c r="I270" s="30"/>
      <c r="J270" s="30"/>
      <c r="K270" s="30"/>
    </row>
    <row r="271" ht="15.75" customHeight="1">
      <c r="D271" s="30"/>
      <c r="E271" s="30"/>
      <c r="F271" s="30"/>
      <c r="G271" s="30"/>
      <c r="H271" s="30"/>
      <c r="I271" s="30"/>
      <c r="J271" s="30"/>
      <c r="K271" s="30"/>
    </row>
    <row r="272" ht="15.75" customHeight="1">
      <c r="D272" s="30"/>
      <c r="E272" s="30"/>
      <c r="F272" s="30"/>
      <c r="G272" s="30"/>
      <c r="H272" s="30"/>
      <c r="I272" s="30"/>
      <c r="J272" s="30"/>
      <c r="K272" s="30"/>
    </row>
    <row r="273" ht="15.75" customHeight="1">
      <c r="D273" s="30"/>
      <c r="E273" s="30"/>
      <c r="F273" s="30"/>
      <c r="G273" s="30"/>
      <c r="H273" s="30"/>
      <c r="I273" s="30"/>
      <c r="J273" s="30"/>
      <c r="K273" s="30"/>
    </row>
    <row r="274" ht="15.75" customHeight="1">
      <c r="D274" s="30"/>
      <c r="E274" s="30"/>
      <c r="F274" s="30"/>
      <c r="G274" s="30"/>
      <c r="H274" s="30"/>
      <c r="I274" s="30"/>
      <c r="J274" s="30"/>
      <c r="K274" s="30"/>
    </row>
    <row r="275" ht="15.75" customHeight="1">
      <c r="D275" s="30"/>
      <c r="E275" s="30"/>
      <c r="F275" s="30"/>
      <c r="G275" s="30"/>
      <c r="H275" s="30"/>
      <c r="I275" s="30"/>
      <c r="J275" s="30"/>
      <c r="K275" s="30"/>
    </row>
    <row r="276" ht="15.75" customHeight="1">
      <c r="D276" s="30"/>
      <c r="E276" s="30"/>
      <c r="F276" s="30"/>
      <c r="G276" s="30"/>
      <c r="H276" s="30"/>
      <c r="I276" s="30"/>
      <c r="J276" s="30"/>
      <c r="K276" s="30"/>
    </row>
    <row r="277" ht="15.75" customHeight="1">
      <c r="D277" s="30"/>
      <c r="E277" s="30"/>
      <c r="F277" s="30"/>
      <c r="G277" s="30"/>
      <c r="H277" s="30"/>
      <c r="I277" s="30"/>
      <c r="J277" s="30"/>
      <c r="K277" s="30"/>
    </row>
    <row r="278" ht="15.75" customHeight="1">
      <c r="D278" s="30"/>
      <c r="E278" s="30"/>
      <c r="F278" s="30"/>
      <c r="G278" s="30"/>
      <c r="H278" s="30"/>
      <c r="I278" s="30"/>
      <c r="J278" s="30"/>
      <c r="K278" s="30"/>
    </row>
    <row r="279" ht="15.75" customHeight="1">
      <c r="D279" s="30"/>
      <c r="E279" s="30"/>
      <c r="F279" s="30"/>
      <c r="G279" s="30"/>
      <c r="H279" s="30"/>
      <c r="I279" s="30"/>
      <c r="J279" s="30"/>
      <c r="K279" s="30"/>
    </row>
    <row r="280" ht="15.75" customHeight="1">
      <c r="D280" s="30"/>
      <c r="E280" s="30"/>
      <c r="F280" s="30"/>
      <c r="G280" s="30"/>
      <c r="H280" s="30"/>
      <c r="I280" s="30"/>
      <c r="J280" s="30"/>
      <c r="K280" s="30"/>
    </row>
    <row r="281" ht="15.75" customHeight="1">
      <c r="D281" s="30"/>
      <c r="E281" s="30"/>
      <c r="F281" s="30"/>
      <c r="G281" s="30"/>
      <c r="H281" s="30"/>
      <c r="I281" s="30"/>
      <c r="J281" s="30"/>
      <c r="K281" s="30"/>
    </row>
    <row r="282" ht="15.75" customHeight="1">
      <c r="D282" s="30"/>
      <c r="E282" s="30"/>
      <c r="F282" s="30"/>
      <c r="G282" s="30"/>
      <c r="H282" s="30"/>
      <c r="I282" s="30"/>
      <c r="J282" s="30"/>
      <c r="K282" s="30"/>
    </row>
    <row r="283" ht="15.75" customHeight="1">
      <c r="D283" s="30"/>
      <c r="E283" s="30"/>
      <c r="F283" s="30"/>
      <c r="G283" s="30"/>
      <c r="H283" s="30"/>
      <c r="I283" s="30"/>
      <c r="J283" s="30"/>
      <c r="K283" s="30"/>
    </row>
    <row r="284" ht="15.75" customHeight="1">
      <c r="D284" s="30"/>
      <c r="E284" s="30"/>
      <c r="F284" s="30"/>
      <c r="G284" s="30"/>
      <c r="H284" s="30"/>
      <c r="I284" s="30"/>
      <c r="J284" s="30"/>
      <c r="K284" s="30"/>
    </row>
    <row r="285" ht="15.75" customHeight="1">
      <c r="D285" s="30"/>
      <c r="E285" s="30"/>
      <c r="F285" s="30"/>
      <c r="G285" s="30"/>
      <c r="H285" s="30"/>
      <c r="I285" s="30"/>
      <c r="J285" s="30"/>
      <c r="K285" s="30"/>
    </row>
    <row r="286" ht="15.75" customHeight="1">
      <c r="D286" s="30"/>
      <c r="E286" s="30"/>
      <c r="F286" s="30"/>
      <c r="G286" s="30"/>
      <c r="H286" s="30"/>
      <c r="I286" s="30"/>
      <c r="J286" s="30"/>
      <c r="K286" s="30"/>
    </row>
    <row r="287" ht="15.75" customHeight="1">
      <c r="D287" s="30"/>
      <c r="E287" s="30"/>
      <c r="F287" s="30"/>
      <c r="G287" s="30"/>
      <c r="H287" s="30"/>
      <c r="I287" s="30"/>
      <c r="J287" s="30"/>
      <c r="K287" s="30"/>
    </row>
    <row r="288" ht="15.75" customHeight="1">
      <c r="D288" s="30"/>
      <c r="E288" s="30"/>
      <c r="F288" s="30"/>
      <c r="G288" s="30"/>
      <c r="H288" s="30"/>
      <c r="I288" s="30"/>
      <c r="J288" s="30"/>
      <c r="K288" s="30"/>
    </row>
    <row r="289" ht="15.75" customHeight="1">
      <c r="D289" s="30"/>
      <c r="E289" s="30"/>
      <c r="F289" s="30"/>
      <c r="G289" s="30"/>
      <c r="H289" s="30"/>
      <c r="I289" s="30"/>
      <c r="J289" s="30"/>
      <c r="K289" s="30"/>
    </row>
    <row r="290" ht="15.75" customHeight="1">
      <c r="D290" s="30"/>
      <c r="E290" s="30"/>
      <c r="F290" s="30"/>
      <c r="G290" s="30"/>
      <c r="H290" s="30"/>
      <c r="I290" s="30"/>
      <c r="J290" s="30"/>
      <c r="K290" s="30"/>
    </row>
    <row r="291" ht="15.75" customHeight="1">
      <c r="D291" s="30"/>
      <c r="E291" s="30"/>
      <c r="F291" s="30"/>
      <c r="G291" s="30"/>
      <c r="H291" s="30"/>
      <c r="I291" s="30"/>
      <c r="J291" s="30"/>
      <c r="K291" s="30"/>
    </row>
    <row r="292" ht="15.75" customHeight="1">
      <c r="D292" s="30"/>
      <c r="E292" s="30"/>
      <c r="F292" s="30"/>
      <c r="G292" s="30"/>
      <c r="H292" s="30"/>
      <c r="I292" s="30"/>
      <c r="J292" s="30"/>
      <c r="K292" s="30"/>
    </row>
    <row r="293" ht="15.75" customHeight="1">
      <c r="D293" s="30"/>
      <c r="E293" s="30"/>
      <c r="F293" s="30"/>
      <c r="G293" s="30"/>
      <c r="H293" s="30"/>
      <c r="I293" s="30"/>
      <c r="J293" s="30"/>
      <c r="K293" s="30"/>
    </row>
    <row r="294" ht="15.75" customHeight="1">
      <c r="D294" s="30"/>
      <c r="E294" s="30"/>
      <c r="F294" s="30"/>
      <c r="G294" s="30"/>
      <c r="H294" s="30"/>
      <c r="I294" s="30"/>
      <c r="J294" s="30"/>
      <c r="K294" s="30"/>
    </row>
    <row r="295" ht="15.75" customHeight="1">
      <c r="D295" s="30"/>
      <c r="E295" s="30"/>
      <c r="F295" s="30"/>
      <c r="G295" s="30"/>
      <c r="H295" s="30"/>
      <c r="I295" s="30"/>
      <c r="J295" s="30"/>
      <c r="K295" s="30"/>
    </row>
    <row r="296" ht="15.75" customHeight="1">
      <c r="D296" s="30"/>
      <c r="E296" s="30"/>
      <c r="F296" s="30"/>
      <c r="G296" s="30"/>
      <c r="H296" s="30"/>
      <c r="I296" s="30"/>
      <c r="J296" s="30"/>
      <c r="K296" s="30"/>
    </row>
    <row r="297" ht="15.75" customHeight="1">
      <c r="D297" s="30"/>
      <c r="E297" s="30"/>
      <c r="F297" s="30"/>
      <c r="G297" s="30"/>
      <c r="H297" s="30"/>
      <c r="I297" s="30"/>
      <c r="J297" s="30"/>
      <c r="K297" s="30"/>
    </row>
    <row r="298" ht="15.75" customHeight="1">
      <c r="D298" s="30"/>
      <c r="E298" s="30"/>
      <c r="F298" s="30"/>
      <c r="G298" s="30"/>
      <c r="H298" s="30"/>
      <c r="I298" s="30"/>
      <c r="J298" s="30"/>
      <c r="K298" s="30"/>
    </row>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N74:BI74 N82:BI82 N90:BI90 N98:BI98">
    <cfRule type="cellIs" dxfId="2" priority="1" operator="equal">
      <formula>0</formula>
    </cfRule>
  </conditionalFormatting>
  <conditionalFormatting sqref="N74:BI74 N82:BI82 N90:BI90 N98:BI98">
    <cfRule type="cellIs" dxfId="3" priority="2" operator="notEqual">
      <formula>0</formula>
    </cfRule>
  </conditionalFormatting>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38"/>
    <col customWidth="1" min="2" max="2" width="30.63"/>
    <col customWidth="1" min="3" max="4" width="19.0"/>
    <col customWidth="1" min="5" max="6" width="12.75"/>
    <col customWidth="1" min="7" max="7" width="17.13"/>
    <col customWidth="1" min="8" max="11" width="14.38"/>
    <col customWidth="1" min="12" max="13" width="2.88"/>
    <col customWidth="1" min="14" max="61" width="14.38"/>
  </cols>
  <sheetData>
    <row r="1" ht="22.5" customHeight="1">
      <c r="A1" s="152" t="s">
        <v>233</v>
      </c>
      <c r="B1" s="153"/>
      <c r="C1" s="153" t="s">
        <v>134</v>
      </c>
      <c r="D1" s="154" t="s">
        <v>135</v>
      </c>
      <c r="E1" s="155" t="s">
        <v>234</v>
      </c>
      <c r="F1" s="156" t="s">
        <v>235</v>
      </c>
      <c r="G1" s="156" t="s">
        <v>138</v>
      </c>
      <c r="H1" s="156" t="s">
        <v>139</v>
      </c>
      <c r="I1" s="155" t="s">
        <v>140</v>
      </c>
      <c r="J1" s="155" t="s">
        <v>141</v>
      </c>
      <c r="K1" s="155" t="s">
        <v>142</v>
      </c>
      <c r="L1" s="153"/>
      <c r="M1" s="153"/>
      <c r="N1" s="139">
        <v>43952.0</v>
      </c>
      <c r="O1" s="139">
        <f t="shared" ref="O1:BI1" si="1">EDATE(N1,1)</f>
        <v>43983</v>
      </c>
      <c r="P1" s="139">
        <f t="shared" si="1"/>
        <v>44013</v>
      </c>
      <c r="Q1" s="139">
        <f t="shared" si="1"/>
        <v>44044</v>
      </c>
      <c r="R1" s="139">
        <f t="shared" si="1"/>
        <v>44075</v>
      </c>
      <c r="S1" s="139">
        <f t="shared" si="1"/>
        <v>44105</v>
      </c>
      <c r="T1" s="139">
        <f t="shared" si="1"/>
        <v>44136</v>
      </c>
      <c r="U1" s="139">
        <f t="shared" si="1"/>
        <v>44166</v>
      </c>
      <c r="V1" s="139">
        <f t="shared" si="1"/>
        <v>44197</v>
      </c>
      <c r="W1" s="139">
        <f t="shared" si="1"/>
        <v>44228</v>
      </c>
      <c r="X1" s="139">
        <f t="shared" si="1"/>
        <v>44256</v>
      </c>
      <c r="Y1" s="139">
        <f t="shared" si="1"/>
        <v>44287</v>
      </c>
      <c r="Z1" s="139">
        <f t="shared" si="1"/>
        <v>44317</v>
      </c>
      <c r="AA1" s="139">
        <f t="shared" si="1"/>
        <v>44348</v>
      </c>
      <c r="AB1" s="139">
        <f t="shared" si="1"/>
        <v>44378</v>
      </c>
      <c r="AC1" s="139">
        <f t="shared" si="1"/>
        <v>44409</v>
      </c>
      <c r="AD1" s="139">
        <f t="shared" si="1"/>
        <v>44440</v>
      </c>
      <c r="AE1" s="139">
        <f t="shared" si="1"/>
        <v>44470</v>
      </c>
      <c r="AF1" s="139">
        <f t="shared" si="1"/>
        <v>44501</v>
      </c>
      <c r="AG1" s="139">
        <f t="shared" si="1"/>
        <v>44531</v>
      </c>
      <c r="AH1" s="139">
        <f t="shared" si="1"/>
        <v>44562</v>
      </c>
      <c r="AI1" s="139">
        <f t="shared" si="1"/>
        <v>44593</v>
      </c>
      <c r="AJ1" s="139">
        <f t="shared" si="1"/>
        <v>44621</v>
      </c>
      <c r="AK1" s="139">
        <f t="shared" si="1"/>
        <v>44652</v>
      </c>
      <c r="AL1" s="139">
        <f t="shared" si="1"/>
        <v>44682</v>
      </c>
      <c r="AM1" s="139">
        <f t="shared" si="1"/>
        <v>44713</v>
      </c>
      <c r="AN1" s="139">
        <f t="shared" si="1"/>
        <v>44743</v>
      </c>
      <c r="AO1" s="139">
        <f t="shared" si="1"/>
        <v>44774</v>
      </c>
      <c r="AP1" s="139">
        <f t="shared" si="1"/>
        <v>44805</v>
      </c>
      <c r="AQ1" s="139">
        <f t="shared" si="1"/>
        <v>44835</v>
      </c>
      <c r="AR1" s="139">
        <f t="shared" si="1"/>
        <v>44866</v>
      </c>
      <c r="AS1" s="139">
        <f t="shared" si="1"/>
        <v>44896</v>
      </c>
      <c r="AT1" s="139">
        <f t="shared" si="1"/>
        <v>44927</v>
      </c>
      <c r="AU1" s="139">
        <f t="shared" si="1"/>
        <v>44958</v>
      </c>
      <c r="AV1" s="139">
        <f t="shared" si="1"/>
        <v>44986</v>
      </c>
      <c r="AW1" s="139">
        <f t="shared" si="1"/>
        <v>45017</v>
      </c>
      <c r="AX1" s="139">
        <f t="shared" si="1"/>
        <v>45047</v>
      </c>
      <c r="AY1" s="139">
        <f t="shared" si="1"/>
        <v>45078</v>
      </c>
      <c r="AZ1" s="139">
        <f t="shared" si="1"/>
        <v>45108</v>
      </c>
      <c r="BA1" s="139">
        <f t="shared" si="1"/>
        <v>45139</v>
      </c>
      <c r="BB1" s="139">
        <f t="shared" si="1"/>
        <v>45170</v>
      </c>
      <c r="BC1" s="139">
        <f t="shared" si="1"/>
        <v>45200</v>
      </c>
      <c r="BD1" s="139">
        <f t="shared" si="1"/>
        <v>45231</v>
      </c>
      <c r="BE1" s="139">
        <f t="shared" si="1"/>
        <v>45261</v>
      </c>
      <c r="BF1" s="139">
        <f t="shared" si="1"/>
        <v>45292</v>
      </c>
      <c r="BG1" s="139">
        <f t="shared" si="1"/>
        <v>45323</v>
      </c>
      <c r="BH1" s="139">
        <f t="shared" si="1"/>
        <v>45352</v>
      </c>
      <c r="BI1" s="139">
        <f t="shared" si="1"/>
        <v>45383</v>
      </c>
    </row>
    <row r="2" ht="15.75" customHeight="1">
      <c r="A2" s="7" t="s">
        <v>143</v>
      </c>
      <c r="B2" s="1"/>
      <c r="C2" s="1"/>
      <c r="D2" s="1"/>
      <c r="E2" s="1"/>
      <c r="F2" s="1"/>
      <c r="G2" s="1"/>
      <c r="H2" s="1"/>
      <c r="I2" s="1"/>
      <c r="J2" s="1"/>
      <c r="K2" s="96"/>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row>
    <row r="3" ht="15.75" customHeight="1">
      <c r="A3" s="7"/>
      <c r="B3" s="7" t="s">
        <v>77</v>
      </c>
      <c r="C3" s="1"/>
      <c r="D3" s="1"/>
      <c r="E3" s="1"/>
      <c r="F3" s="1"/>
      <c r="G3" s="1"/>
      <c r="H3" s="1"/>
      <c r="I3" s="1"/>
      <c r="J3" s="1"/>
      <c r="K3" s="96"/>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row>
    <row r="4" ht="15.75" customHeight="1">
      <c r="A4" s="1"/>
      <c r="B4" s="1" t="s">
        <v>144</v>
      </c>
      <c r="C4" s="1" t="s">
        <v>145</v>
      </c>
      <c r="D4" s="1" t="str">
        <f t="shared" ref="D4:D5" si="3">$B$3</f>
        <v>General &amp; Admin</v>
      </c>
      <c r="E4" s="140">
        <f>120000*0.75</f>
        <v>90000</v>
      </c>
      <c r="F4" s="141">
        <v>43466.0</v>
      </c>
      <c r="G4" s="141"/>
      <c r="H4" s="142">
        <v>0.09</v>
      </c>
      <c r="I4" s="143">
        <f t="shared" ref="I4:I5" si="4">0.04*E4/12</f>
        <v>300</v>
      </c>
      <c r="J4" s="143">
        <v>500.0</v>
      </c>
      <c r="K4" s="96">
        <f t="shared" ref="K4:K64" si="5">SUM(I4:J4)</f>
        <v>800</v>
      </c>
      <c r="L4" s="1"/>
      <c r="M4" s="1"/>
      <c r="N4" s="96">
        <f t="shared" ref="N4:BI4" si="2">IF($F4=0,0, IF(AND(N$1&gt;=$G4,$G4&lt;&gt;0),0,IF(N$1&gt;=$F4,$E4/12,0)))</f>
        <v>7500</v>
      </c>
      <c r="O4" s="96">
        <f t="shared" si="2"/>
        <v>7500</v>
      </c>
      <c r="P4" s="96">
        <f t="shared" si="2"/>
        <v>7500</v>
      </c>
      <c r="Q4" s="96">
        <f t="shared" si="2"/>
        <v>7500</v>
      </c>
      <c r="R4" s="96">
        <f t="shared" si="2"/>
        <v>7500</v>
      </c>
      <c r="S4" s="96">
        <f t="shared" si="2"/>
        <v>7500</v>
      </c>
      <c r="T4" s="96">
        <f t="shared" si="2"/>
        <v>7500</v>
      </c>
      <c r="U4" s="96">
        <f t="shared" si="2"/>
        <v>7500</v>
      </c>
      <c r="V4" s="96">
        <f t="shared" si="2"/>
        <v>7500</v>
      </c>
      <c r="W4" s="96">
        <f t="shared" si="2"/>
        <v>7500</v>
      </c>
      <c r="X4" s="96">
        <f t="shared" si="2"/>
        <v>7500</v>
      </c>
      <c r="Y4" s="96">
        <f t="shared" si="2"/>
        <v>7500</v>
      </c>
      <c r="Z4" s="96">
        <f t="shared" si="2"/>
        <v>7500</v>
      </c>
      <c r="AA4" s="96">
        <f t="shared" si="2"/>
        <v>7500</v>
      </c>
      <c r="AB4" s="96">
        <f t="shared" si="2"/>
        <v>7500</v>
      </c>
      <c r="AC4" s="96">
        <f t="shared" si="2"/>
        <v>7500</v>
      </c>
      <c r="AD4" s="96">
        <f t="shared" si="2"/>
        <v>7500</v>
      </c>
      <c r="AE4" s="96">
        <f t="shared" si="2"/>
        <v>7500</v>
      </c>
      <c r="AF4" s="96">
        <f t="shared" si="2"/>
        <v>7500</v>
      </c>
      <c r="AG4" s="96">
        <f t="shared" si="2"/>
        <v>7500</v>
      </c>
      <c r="AH4" s="96">
        <f t="shared" si="2"/>
        <v>7500</v>
      </c>
      <c r="AI4" s="96">
        <f t="shared" si="2"/>
        <v>7500</v>
      </c>
      <c r="AJ4" s="96">
        <f t="shared" si="2"/>
        <v>7500</v>
      </c>
      <c r="AK4" s="96">
        <f t="shared" si="2"/>
        <v>7500</v>
      </c>
      <c r="AL4" s="96">
        <f t="shared" si="2"/>
        <v>7500</v>
      </c>
      <c r="AM4" s="96">
        <f t="shared" si="2"/>
        <v>7500</v>
      </c>
      <c r="AN4" s="96">
        <f t="shared" si="2"/>
        <v>7500</v>
      </c>
      <c r="AO4" s="96">
        <f t="shared" si="2"/>
        <v>7500</v>
      </c>
      <c r="AP4" s="96">
        <f t="shared" si="2"/>
        <v>7500</v>
      </c>
      <c r="AQ4" s="96">
        <f t="shared" si="2"/>
        <v>7500</v>
      </c>
      <c r="AR4" s="96">
        <f t="shared" si="2"/>
        <v>7500</v>
      </c>
      <c r="AS4" s="96">
        <f t="shared" si="2"/>
        <v>7500</v>
      </c>
      <c r="AT4" s="96">
        <f t="shared" si="2"/>
        <v>7500</v>
      </c>
      <c r="AU4" s="96">
        <f t="shared" si="2"/>
        <v>7500</v>
      </c>
      <c r="AV4" s="96">
        <f t="shared" si="2"/>
        <v>7500</v>
      </c>
      <c r="AW4" s="96">
        <f t="shared" si="2"/>
        <v>7500</v>
      </c>
      <c r="AX4" s="96">
        <f t="shared" si="2"/>
        <v>7500</v>
      </c>
      <c r="AY4" s="96">
        <f t="shared" si="2"/>
        <v>7500</v>
      </c>
      <c r="AZ4" s="96">
        <f t="shared" si="2"/>
        <v>7500</v>
      </c>
      <c r="BA4" s="96">
        <f t="shared" si="2"/>
        <v>7500</v>
      </c>
      <c r="BB4" s="96">
        <f t="shared" si="2"/>
        <v>7500</v>
      </c>
      <c r="BC4" s="96">
        <f t="shared" si="2"/>
        <v>7500</v>
      </c>
      <c r="BD4" s="96">
        <f t="shared" si="2"/>
        <v>7500</v>
      </c>
      <c r="BE4" s="96">
        <f t="shared" si="2"/>
        <v>7500</v>
      </c>
      <c r="BF4" s="96">
        <f t="shared" si="2"/>
        <v>7500</v>
      </c>
      <c r="BG4" s="96">
        <f t="shared" si="2"/>
        <v>7500</v>
      </c>
      <c r="BH4" s="96">
        <f t="shared" si="2"/>
        <v>7500</v>
      </c>
      <c r="BI4" s="96">
        <f t="shared" si="2"/>
        <v>7500</v>
      </c>
    </row>
    <row r="5" ht="15.75" customHeight="1">
      <c r="A5" s="1"/>
      <c r="B5" s="1" t="s">
        <v>146</v>
      </c>
      <c r="C5" s="1" t="s">
        <v>147</v>
      </c>
      <c r="D5" s="1" t="str">
        <f t="shared" si="3"/>
        <v>General &amp; Admin</v>
      </c>
      <c r="E5" s="140">
        <f>150000*0.75</f>
        <v>112500</v>
      </c>
      <c r="F5" s="141">
        <v>43466.0</v>
      </c>
      <c r="G5" s="141"/>
      <c r="H5" s="142">
        <v>0.09</v>
      </c>
      <c r="I5" s="143">
        <f t="shared" si="4"/>
        <v>375</v>
      </c>
      <c r="J5" s="143">
        <v>500.0</v>
      </c>
      <c r="K5" s="96">
        <f t="shared" si="5"/>
        <v>875</v>
      </c>
      <c r="L5" s="1"/>
      <c r="M5" s="1"/>
      <c r="N5" s="96">
        <f t="shared" ref="N5:BI5" si="6">IF($F5=0,0, IF(AND(N$1&gt;=$G5,$G5&lt;&gt;0),0,IF(N$1&gt;=$F5,$E5/12,0)))</f>
        <v>9375</v>
      </c>
      <c r="O5" s="96">
        <f t="shared" si="6"/>
        <v>9375</v>
      </c>
      <c r="P5" s="96">
        <f t="shared" si="6"/>
        <v>9375</v>
      </c>
      <c r="Q5" s="96">
        <f t="shared" si="6"/>
        <v>9375</v>
      </c>
      <c r="R5" s="96">
        <f t="shared" si="6"/>
        <v>9375</v>
      </c>
      <c r="S5" s="96">
        <f t="shared" si="6"/>
        <v>9375</v>
      </c>
      <c r="T5" s="96">
        <f t="shared" si="6"/>
        <v>9375</v>
      </c>
      <c r="U5" s="96">
        <f t="shared" si="6"/>
        <v>9375</v>
      </c>
      <c r="V5" s="96">
        <f t="shared" si="6"/>
        <v>9375</v>
      </c>
      <c r="W5" s="96">
        <f t="shared" si="6"/>
        <v>9375</v>
      </c>
      <c r="X5" s="96">
        <f t="shared" si="6"/>
        <v>9375</v>
      </c>
      <c r="Y5" s="96">
        <f t="shared" si="6"/>
        <v>9375</v>
      </c>
      <c r="Z5" s="96">
        <f t="shared" si="6"/>
        <v>9375</v>
      </c>
      <c r="AA5" s="96">
        <f t="shared" si="6"/>
        <v>9375</v>
      </c>
      <c r="AB5" s="96">
        <f t="shared" si="6"/>
        <v>9375</v>
      </c>
      <c r="AC5" s="96">
        <f t="shared" si="6"/>
        <v>9375</v>
      </c>
      <c r="AD5" s="96">
        <f t="shared" si="6"/>
        <v>9375</v>
      </c>
      <c r="AE5" s="96">
        <f t="shared" si="6"/>
        <v>9375</v>
      </c>
      <c r="AF5" s="96">
        <f t="shared" si="6"/>
        <v>9375</v>
      </c>
      <c r="AG5" s="96">
        <f t="shared" si="6"/>
        <v>9375</v>
      </c>
      <c r="AH5" s="96">
        <f t="shared" si="6"/>
        <v>9375</v>
      </c>
      <c r="AI5" s="96">
        <f t="shared" si="6"/>
        <v>9375</v>
      </c>
      <c r="AJ5" s="96">
        <f t="shared" si="6"/>
        <v>9375</v>
      </c>
      <c r="AK5" s="96">
        <f t="shared" si="6"/>
        <v>9375</v>
      </c>
      <c r="AL5" s="96">
        <f t="shared" si="6"/>
        <v>9375</v>
      </c>
      <c r="AM5" s="96">
        <f t="shared" si="6"/>
        <v>9375</v>
      </c>
      <c r="AN5" s="96">
        <f t="shared" si="6"/>
        <v>9375</v>
      </c>
      <c r="AO5" s="96">
        <f t="shared" si="6"/>
        <v>9375</v>
      </c>
      <c r="AP5" s="96">
        <f t="shared" si="6"/>
        <v>9375</v>
      </c>
      <c r="AQ5" s="96">
        <f t="shared" si="6"/>
        <v>9375</v>
      </c>
      <c r="AR5" s="96">
        <f t="shared" si="6"/>
        <v>9375</v>
      </c>
      <c r="AS5" s="96">
        <f t="shared" si="6"/>
        <v>9375</v>
      </c>
      <c r="AT5" s="96">
        <f t="shared" si="6"/>
        <v>9375</v>
      </c>
      <c r="AU5" s="96">
        <f t="shared" si="6"/>
        <v>9375</v>
      </c>
      <c r="AV5" s="96">
        <f t="shared" si="6"/>
        <v>9375</v>
      </c>
      <c r="AW5" s="96">
        <f t="shared" si="6"/>
        <v>9375</v>
      </c>
      <c r="AX5" s="96">
        <f t="shared" si="6"/>
        <v>9375</v>
      </c>
      <c r="AY5" s="96">
        <f t="shared" si="6"/>
        <v>9375</v>
      </c>
      <c r="AZ5" s="96">
        <f t="shared" si="6"/>
        <v>9375</v>
      </c>
      <c r="BA5" s="96">
        <f t="shared" si="6"/>
        <v>9375</v>
      </c>
      <c r="BB5" s="96">
        <f t="shared" si="6"/>
        <v>9375</v>
      </c>
      <c r="BC5" s="96">
        <f t="shared" si="6"/>
        <v>9375</v>
      </c>
      <c r="BD5" s="96">
        <f t="shared" si="6"/>
        <v>9375</v>
      </c>
      <c r="BE5" s="96">
        <f t="shared" si="6"/>
        <v>9375</v>
      </c>
      <c r="BF5" s="96">
        <f t="shared" si="6"/>
        <v>9375</v>
      </c>
      <c r="BG5" s="96">
        <f t="shared" si="6"/>
        <v>9375</v>
      </c>
      <c r="BH5" s="96">
        <f t="shared" si="6"/>
        <v>9375</v>
      </c>
      <c r="BI5" s="96">
        <f t="shared" si="6"/>
        <v>9375</v>
      </c>
    </row>
    <row r="6" ht="15.75" customHeight="1">
      <c r="A6" s="7"/>
      <c r="B6" s="7" t="s">
        <v>78</v>
      </c>
      <c r="C6" s="1"/>
      <c r="D6" s="1"/>
      <c r="E6" s="1"/>
      <c r="F6" s="46"/>
      <c r="G6" s="46"/>
      <c r="H6" s="1"/>
      <c r="I6" s="1"/>
      <c r="J6" s="1"/>
      <c r="K6" s="96">
        <f t="shared" si="5"/>
        <v>0</v>
      </c>
      <c r="L6" s="1"/>
      <c r="M6" s="1"/>
      <c r="N6" s="96">
        <f t="shared" ref="N6:BI6" si="7">IF($F6=0,0, IF(AND(N$1&gt;=$G6,$G6&lt;&gt;0),0,IF(N$1&gt;=$F6,$E6/12,0)))</f>
        <v>0</v>
      </c>
      <c r="O6" s="96">
        <f t="shared" si="7"/>
        <v>0</v>
      </c>
      <c r="P6" s="96">
        <f t="shared" si="7"/>
        <v>0</v>
      </c>
      <c r="Q6" s="96">
        <f t="shared" si="7"/>
        <v>0</v>
      </c>
      <c r="R6" s="96">
        <f t="shared" si="7"/>
        <v>0</v>
      </c>
      <c r="S6" s="96">
        <f t="shared" si="7"/>
        <v>0</v>
      </c>
      <c r="T6" s="96">
        <f t="shared" si="7"/>
        <v>0</v>
      </c>
      <c r="U6" s="96">
        <f t="shared" si="7"/>
        <v>0</v>
      </c>
      <c r="V6" s="96">
        <f t="shared" si="7"/>
        <v>0</v>
      </c>
      <c r="W6" s="96">
        <f t="shared" si="7"/>
        <v>0</v>
      </c>
      <c r="X6" s="96">
        <f t="shared" si="7"/>
        <v>0</v>
      </c>
      <c r="Y6" s="96">
        <f t="shared" si="7"/>
        <v>0</v>
      </c>
      <c r="Z6" s="96">
        <f t="shared" si="7"/>
        <v>0</v>
      </c>
      <c r="AA6" s="96">
        <f t="shared" si="7"/>
        <v>0</v>
      </c>
      <c r="AB6" s="96">
        <f t="shared" si="7"/>
        <v>0</v>
      </c>
      <c r="AC6" s="96">
        <f t="shared" si="7"/>
        <v>0</v>
      </c>
      <c r="AD6" s="96">
        <f t="shared" si="7"/>
        <v>0</v>
      </c>
      <c r="AE6" s="96">
        <f t="shared" si="7"/>
        <v>0</v>
      </c>
      <c r="AF6" s="96">
        <f t="shared" si="7"/>
        <v>0</v>
      </c>
      <c r="AG6" s="96">
        <f t="shared" si="7"/>
        <v>0</v>
      </c>
      <c r="AH6" s="96">
        <f t="shared" si="7"/>
        <v>0</v>
      </c>
      <c r="AI6" s="96">
        <f t="shared" si="7"/>
        <v>0</v>
      </c>
      <c r="AJ6" s="96">
        <f t="shared" si="7"/>
        <v>0</v>
      </c>
      <c r="AK6" s="96">
        <f t="shared" si="7"/>
        <v>0</v>
      </c>
      <c r="AL6" s="96">
        <f t="shared" si="7"/>
        <v>0</v>
      </c>
      <c r="AM6" s="96">
        <f t="shared" si="7"/>
        <v>0</v>
      </c>
      <c r="AN6" s="96">
        <f t="shared" si="7"/>
        <v>0</v>
      </c>
      <c r="AO6" s="96">
        <f t="shared" si="7"/>
        <v>0</v>
      </c>
      <c r="AP6" s="96">
        <f t="shared" si="7"/>
        <v>0</v>
      </c>
      <c r="AQ6" s="96">
        <f t="shared" si="7"/>
        <v>0</v>
      </c>
      <c r="AR6" s="96">
        <f t="shared" si="7"/>
        <v>0</v>
      </c>
      <c r="AS6" s="96">
        <f t="shared" si="7"/>
        <v>0</v>
      </c>
      <c r="AT6" s="96">
        <f t="shared" si="7"/>
        <v>0</v>
      </c>
      <c r="AU6" s="96">
        <f t="shared" si="7"/>
        <v>0</v>
      </c>
      <c r="AV6" s="96">
        <f t="shared" si="7"/>
        <v>0</v>
      </c>
      <c r="AW6" s="96">
        <f t="shared" si="7"/>
        <v>0</v>
      </c>
      <c r="AX6" s="96">
        <f t="shared" si="7"/>
        <v>0</v>
      </c>
      <c r="AY6" s="96">
        <f t="shared" si="7"/>
        <v>0</v>
      </c>
      <c r="AZ6" s="96">
        <f t="shared" si="7"/>
        <v>0</v>
      </c>
      <c r="BA6" s="96">
        <f t="shared" si="7"/>
        <v>0</v>
      </c>
      <c r="BB6" s="96">
        <f t="shared" si="7"/>
        <v>0</v>
      </c>
      <c r="BC6" s="96">
        <f t="shared" si="7"/>
        <v>0</v>
      </c>
      <c r="BD6" s="96">
        <f t="shared" si="7"/>
        <v>0</v>
      </c>
      <c r="BE6" s="96">
        <f t="shared" si="7"/>
        <v>0</v>
      </c>
      <c r="BF6" s="96">
        <f t="shared" si="7"/>
        <v>0</v>
      </c>
      <c r="BG6" s="96">
        <f t="shared" si="7"/>
        <v>0</v>
      </c>
      <c r="BH6" s="96">
        <f t="shared" si="7"/>
        <v>0</v>
      </c>
      <c r="BI6" s="96">
        <f t="shared" si="7"/>
        <v>0</v>
      </c>
    </row>
    <row r="7" ht="15.75" customHeight="1">
      <c r="A7" s="1"/>
      <c r="B7" s="1" t="s">
        <v>148</v>
      </c>
      <c r="C7" s="1" t="s">
        <v>149</v>
      </c>
      <c r="D7" s="1" t="str">
        <f t="shared" ref="D7:D31" si="9">$B$6</f>
        <v>Engineering</v>
      </c>
      <c r="E7" s="140">
        <f>280000*0.75</f>
        <v>210000</v>
      </c>
      <c r="F7" s="141">
        <v>43586.0</v>
      </c>
      <c r="G7" s="141"/>
      <c r="H7" s="142">
        <v>0.09</v>
      </c>
      <c r="I7" s="143">
        <f t="shared" ref="I7:I31" si="10">0.04*E7/12</f>
        <v>700</v>
      </c>
      <c r="J7" s="143">
        <v>500.0</v>
      </c>
      <c r="K7" s="96">
        <f t="shared" si="5"/>
        <v>1200</v>
      </c>
      <c r="L7" s="1"/>
      <c r="M7" s="1"/>
      <c r="N7" s="96">
        <f t="shared" ref="N7:BI7" si="8">IF($F7=0,0, IF(AND(N$1&gt;=$G7,$G7&lt;&gt;0),0,IF(N$1&gt;=$F7,$E7/12,0)))</f>
        <v>17500</v>
      </c>
      <c r="O7" s="96">
        <f t="shared" si="8"/>
        <v>17500</v>
      </c>
      <c r="P7" s="96">
        <f t="shared" si="8"/>
        <v>17500</v>
      </c>
      <c r="Q7" s="96">
        <f t="shared" si="8"/>
        <v>17500</v>
      </c>
      <c r="R7" s="96">
        <f t="shared" si="8"/>
        <v>17500</v>
      </c>
      <c r="S7" s="96">
        <f t="shared" si="8"/>
        <v>17500</v>
      </c>
      <c r="T7" s="96">
        <f t="shared" si="8"/>
        <v>17500</v>
      </c>
      <c r="U7" s="96">
        <f t="shared" si="8"/>
        <v>17500</v>
      </c>
      <c r="V7" s="96">
        <f t="shared" si="8"/>
        <v>17500</v>
      </c>
      <c r="W7" s="96">
        <f t="shared" si="8"/>
        <v>17500</v>
      </c>
      <c r="X7" s="96">
        <f t="shared" si="8"/>
        <v>17500</v>
      </c>
      <c r="Y7" s="96">
        <f t="shared" si="8"/>
        <v>17500</v>
      </c>
      <c r="Z7" s="96">
        <f t="shared" si="8"/>
        <v>17500</v>
      </c>
      <c r="AA7" s="96">
        <f t="shared" si="8"/>
        <v>17500</v>
      </c>
      <c r="AB7" s="96">
        <f t="shared" si="8"/>
        <v>17500</v>
      </c>
      <c r="AC7" s="96">
        <f t="shared" si="8"/>
        <v>17500</v>
      </c>
      <c r="AD7" s="96">
        <f t="shared" si="8"/>
        <v>17500</v>
      </c>
      <c r="AE7" s="96">
        <f t="shared" si="8"/>
        <v>17500</v>
      </c>
      <c r="AF7" s="96">
        <f t="shared" si="8"/>
        <v>17500</v>
      </c>
      <c r="AG7" s="96">
        <f t="shared" si="8"/>
        <v>17500</v>
      </c>
      <c r="AH7" s="96">
        <f t="shared" si="8"/>
        <v>17500</v>
      </c>
      <c r="AI7" s="96">
        <f t="shared" si="8"/>
        <v>17500</v>
      </c>
      <c r="AJ7" s="96">
        <f t="shared" si="8"/>
        <v>17500</v>
      </c>
      <c r="AK7" s="96">
        <f t="shared" si="8"/>
        <v>17500</v>
      </c>
      <c r="AL7" s="96">
        <f t="shared" si="8"/>
        <v>17500</v>
      </c>
      <c r="AM7" s="96">
        <f t="shared" si="8"/>
        <v>17500</v>
      </c>
      <c r="AN7" s="96">
        <f t="shared" si="8"/>
        <v>17500</v>
      </c>
      <c r="AO7" s="96">
        <f t="shared" si="8"/>
        <v>17500</v>
      </c>
      <c r="AP7" s="96">
        <f t="shared" si="8"/>
        <v>17500</v>
      </c>
      <c r="AQ7" s="96">
        <f t="shared" si="8"/>
        <v>17500</v>
      </c>
      <c r="AR7" s="96">
        <f t="shared" si="8"/>
        <v>17500</v>
      </c>
      <c r="AS7" s="96">
        <f t="shared" si="8"/>
        <v>17500</v>
      </c>
      <c r="AT7" s="96">
        <f t="shared" si="8"/>
        <v>17500</v>
      </c>
      <c r="AU7" s="96">
        <f t="shared" si="8"/>
        <v>17500</v>
      </c>
      <c r="AV7" s="96">
        <f t="shared" si="8"/>
        <v>17500</v>
      </c>
      <c r="AW7" s="96">
        <f t="shared" si="8"/>
        <v>17500</v>
      </c>
      <c r="AX7" s="96">
        <f t="shared" si="8"/>
        <v>17500</v>
      </c>
      <c r="AY7" s="96">
        <f t="shared" si="8"/>
        <v>17500</v>
      </c>
      <c r="AZ7" s="96">
        <f t="shared" si="8"/>
        <v>17500</v>
      </c>
      <c r="BA7" s="96">
        <f t="shared" si="8"/>
        <v>17500</v>
      </c>
      <c r="BB7" s="96">
        <f t="shared" si="8"/>
        <v>17500</v>
      </c>
      <c r="BC7" s="96">
        <f t="shared" si="8"/>
        <v>17500</v>
      </c>
      <c r="BD7" s="96">
        <f t="shared" si="8"/>
        <v>17500</v>
      </c>
      <c r="BE7" s="96">
        <f t="shared" si="8"/>
        <v>17500</v>
      </c>
      <c r="BF7" s="96">
        <f t="shared" si="8"/>
        <v>17500</v>
      </c>
      <c r="BG7" s="96">
        <f t="shared" si="8"/>
        <v>17500</v>
      </c>
      <c r="BH7" s="96">
        <f t="shared" si="8"/>
        <v>17500</v>
      </c>
      <c r="BI7" s="96">
        <f t="shared" si="8"/>
        <v>17500</v>
      </c>
    </row>
    <row r="8" ht="15.75" customHeight="1">
      <c r="A8" s="7"/>
      <c r="B8" s="1" t="s">
        <v>236</v>
      </c>
      <c r="C8" s="1" t="s">
        <v>151</v>
      </c>
      <c r="D8" s="1" t="str">
        <f t="shared" si="9"/>
        <v>Engineering</v>
      </c>
      <c r="E8" s="140">
        <f>250000*0.75</f>
        <v>187500</v>
      </c>
      <c r="F8" s="141">
        <v>43556.0</v>
      </c>
      <c r="G8" s="141"/>
      <c r="H8" s="142">
        <v>0.09</v>
      </c>
      <c r="I8" s="143">
        <f t="shared" si="10"/>
        <v>625</v>
      </c>
      <c r="J8" s="143">
        <v>500.0</v>
      </c>
      <c r="K8" s="96">
        <f t="shared" si="5"/>
        <v>1125</v>
      </c>
      <c r="L8" s="1"/>
      <c r="M8" s="1"/>
      <c r="N8" s="96">
        <f t="shared" ref="N8:BI8" si="11">IF($F8=0,0, IF(AND(N$1&gt;=$G8,$G8&lt;&gt;0),0,IF(N$1&gt;=$F8,$E8/12,0)))</f>
        <v>15625</v>
      </c>
      <c r="O8" s="96">
        <f t="shared" si="11"/>
        <v>15625</v>
      </c>
      <c r="P8" s="96">
        <f t="shared" si="11"/>
        <v>15625</v>
      </c>
      <c r="Q8" s="96">
        <f t="shared" si="11"/>
        <v>15625</v>
      </c>
      <c r="R8" s="96">
        <f t="shared" si="11"/>
        <v>15625</v>
      </c>
      <c r="S8" s="96">
        <f t="shared" si="11"/>
        <v>15625</v>
      </c>
      <c r="T8" s="96">
        <f t="shared" si="11"/>
        <v>15625</v>
      </c>
      <c r="U8" s="96">
        <f t="shared" si="11"/>
        <v>15625</v>
      </c>
      <c r="V8" s="96">
        <f t="shared" si="11"/>
        <v>15625</v>
      </c>
      <c r="W8" s="96">
        <f t="shared" si="11"/>
        <v>15625</v>
      </c>
      <c r="X8" s="96">
        <f t="shared" si="11"/>
        <v>15625</v>
      </c>
      <c r="Y8" s="96">
        <f t="shared" si="11"/>
        <v>15625</v>
      </c>
      <c r="Z8" s="96">
        <f t="shared" si="11"/>
        <v>15625</v>
      </c>
      <c r="AA8" s="96">
        <f t="shared" si="11"/>
        <v>15625</v>
      </c>
      <c r="AB8" s="96">
        <f t="shared" si="11"/>
        <v>15625</v>
      </c>
      <c r="AC8" s="96">
        <f t="shared" si="11"/>
        <v>15625</v>
      </c>
      <c r="AD8" s="96">
        <f t="shared" si="11"/>
        <v>15625</v>
      </c>
      <c r="AE8" s="96">
        <f t="shared" si="11"/>
        <v>15625</v>
      </c>
      <c r="AF8" s="96">
        <f t="shared" si="11"/>
        <v>15625</v>
      </c>
      <c r="AG8" s="96">
        <f t="shared" si="11"/>
        <v>15625</v>
      </c>
      <c r="AH8" s="96">
        <f t="shared" si="11"/>
        <v>15625</v>
      </c>
      <c r="AI8" s="96">
        <f t="shared" si="11"/>
        <v>15625</v>
      </c>
      <c r="AJ8" s="96">
        <f t="shared" si="11"/>
        <v>15625</v>
      </c>
      <c r="AK8" s="96">
        <f t="shared" si="11"/>
        <v>15625</v>
      </c>
      <c r="AL8" s="96">
        <f t="shared" si="11"/>
        <v>15625</v>
      </c>
      <c r="AM8" s="96">
        <f t="shared" si="11"/>
        <v>15625</v>
      </c>
      <c r="AN8" s="96">
        <f t="shared" si="11"/>
        <v>15625</v>
      </c>
      <c r="AO8" s="96">
        <f t="shared" si="11"/>
        <v>15625</v>
      </c>
      <c r="AP8" s="96">
        <f t="shared" si="11"/>
        <v>15625</v>
      </c>
      <c r="AQ8" s="96">
        <f t="shared" si="11"/>
        <v>15625</v>
      </c>
      <c r="AR8" s="96">
        <f t="shared" si="11"/>
        <v>15625</v>
      </c>
      <c r="AS8" s="96">
        <f t="shared" si="11"/>
        <v>15625</v>
      </c>
      <c r="AT8" s="96">
        <f t="shared" si="11"/>
        <v>15625</v>
      </c>
      <c r="AU8" s="96">
        <f t="shared" si="11"/>
        <v>15625</v>
      </c>
      <c r="AV8" s="96">
        <f t="shared" si="11"/>
        <v>15625</v>
      </c>
      <c r="AW8" s="96">
        <f t="shared" si="11"/>
        <v>15625</v>
      </c>
      <c r="AX8" s="96">
        <f t="shared" si="11"/>
        <v>15625</v>
      </c>
      <c r="AY8" s="96">
        <f t="shared" si="11"/>
        <v>15625</v>
      </c>
      <c r="AZ8" s="96">
        <f t="shared" si="11"/>
        <v>15625</v>
      </c>
      <c r="BA8" s="96">
        <f t="shared" si="11"/>
        <v>15625</v>
      </c>
      <c r="BB8" s="96">
        <f t="shared" si="11"/>
        <v>15625</v>
      </c>
      <c r="BC8" s="96">
        <f t="shared" si="11"/>
        <v>15625</v>
      </c>
      <c r="BD8" s="96">
        <f t="shared" si="11"/>
        <v>15625</v>
      </c>
      <c r="BE8" s="96">
        <f t="shared" si="11"/>
        <v>15625</v>
      </c>
      <c r="BF8" s="96">
        <f t="shared" si="11"/>
        <v>15625</v>
      </c>
      <c r="BG8" s="96">
        <f t="shared" si="11"/>
        <v>15625</v>
      </c>
      <c r="BH8" s="96">
        <f t="shared" si="11"/>
        <v>15625</v>
      </c>
      <c r="BI8" s="96">
        <f t="shared" si="11"/>
        <v>15625</v>
      </c>
    </row>
    <row r="9" ht="15.75" customHeight="1">
      <c r="A9" s="1"/>
      <c r="B9" s="1" t="s">
        <v>152</v>
      </c>
      <c r="C9" s="1" t="s">
        <v>153</v>
      </c>
      <c r="D9" s="1" t="str">
        <f t="shared" si="9"/>
        <v>Engineering</v>
      </c>
      <c r="E9" s="143">
        <v>175000.0</v>
      </c>
      <c r="F9" s="141">
        <v>43221.0</v>
      </c>
      <c r="G9" s="141"/>
      <c r="H9" s="142">
        <v>0.09</v>
      </c>
      <c r="I9" s="143">
        <f t="shared" si="10"/>
        <v>583.3333333</v>
      </c>
      <c r="J9" s="143">
        <v>500.0</v>
      </c>
      <c r="K9" s="96">
        <f t="shared" si="5"/>
        <v>1083.333333</v>
      </c>
      <c r="L9" s="1"/>
      <c r="M9" s="1"/>
      <c r="N9" s="96">
        <f t="shared" ref="N9:BI9" si="12">IF($F9=0,0, IF(AND(N$1&gt;=$G9,$G9&lt;&gt;0),0,IF(N$1&gt;=$F9,$E9/12,0)))</f>
        <v>14583.33333</v>
      </c>
      <c r="O9" s="96">
        <f t="shared" si="12"/>
        <v>14583.33333</v>
      </c>
      <c r="P9" s="96">
        <f t="shared" si="12"/>
        <v>14583.33333</v>
      </c>
      <c r="Q9" s="96">
        <f t="shared" si="12"/>
        <v>14583.33333</v>
      </c>
      <c r="R9" s="96">
        <f t="shared" si="12"/>
        <v>14583.33333</v>
      </c>
      <c r="S9" s="96">
        <f t="shared" si="12"/>
        <v>14583.33333</v>
      </c>
      <c r="T9" s="96">
        <f t="shared" si="12"/>
        <v>14583.33333</v>
      </c>
      <c r="U9" s="96">
        <f t="shared" si="12"/>
        <v>14583.33333</v>
      </c>
      <c r="V9" s="96">
        <f t="shared" si="12"/>
        <v>14583.33333</v>
      </c>
      <c r="W9" s="96">
        <f t="shared" si="12"/>
        <v>14583.33333</v>
      </c>
      <c r="X9" s="96">
        <f t="shared" si="12"/>
        <v>14583.33333</v>
      </c>
      <c r="Y9" s="96">
        <f t="shared" si="12"/>
        <v>14583.33333</v>
      </c>
      <c r="Z9" s="96">
        <f t="shared" si="12"/>
        <v>14583.33333</v>
      </c>
      <c r="AA9" s="96">
        <f t="shared" si="12"/>
        <v>14583.33333</v>
      </c>
      <c r="AB9" s="96">
        <f t="shared" si="12"/>
        <v>14583.33333</v>
      </c>
      <c r="AC9" s="96">
        <f t="shared" si="12"/>
        <v>14583.33333</v>
      </c>
      <c r="AD9" s="96">
        <f t="shared" si="12"/>
        <v>14583.33333</v>
      </c>
      <c r="AE9" s="96">
        <f t="shared" si="12"/>
        <v>14583.33333</v>
      </c>
      <c r="AF9" s="96">
        <f t="shared" si="12"/>
        <v>14583.33333</v>
      </c>
      <c r="AG9" s="96">
        <f t="shared" si="12"/>
        <v>14583.33333</v>
      </c>
      <c r="AH9" s="96">
        <f t="shared" si="12"/>
        <v>14583.33333</v>
      </c>
      <c r="AI9" s="96">
        <f t="shared" si="12"/>
        <v>14583.33333</v>
      </c>
      <c r="AJ9" s="96">
        <f t="shared" si="12"/>
        <v>14583.33333</v>
      </c>
      <c r="AK9" s="96">
        <f t="shared" si="12"/>
        <v>14583.33333</v>
      </c>
      <c r="AL9" s="96">
        <f t="shared" si="12"/>
        <v>14583.33333</v>
      </c>
      <c r="AM9" s="96">
        <f t="shared" si="12"/>
        <v>14583.33333</v>
      </c>
      <c r="AN9" s="96">
        <f t="shared" si="12"/>
        <v>14583.33333</v>
      </c>
      <c r="AO9" s="96">
        <f t="shared" si="12"/>
        <v>14583.33333</v>
      </c>
      <c r="AP9" s="96">
        <f t="shared" si="12"/>
        <v>14583.33333</v>
      </c>
      <c r="AQ9" s="96">
        <f t="shared" si="12"/>
        <v>14583.33333</v>
      </c>
      <c r="AR9" s="96">
        <f t="shared" si="12"/>
        <v>14583.33333</v>
      </c>
      <c r="AS9" s="96">
        <f t="shared" si="12"/>
        <v>14583.33333</v>
      </c>
      <c r="AT9" s="96">
        <f t="shared" si="12"/>
        <v>14583.33333</v>
      </c>
      <c r="AU9" s="96">
        <f t="shared" si="12"/>
        <v>14583.33333</v>
      </c>
      <c r="AV9" s="96">
        <f t="shared" si="12"/>
        <v>14583.33333</v>
      </c>
      <c r="AW9" s="96">
        <f t="shared" si="12"/>
        <v>14583.33333</v>
      </c>
      <c r="AX9" s="96">
        <f t="shared" si="12"/>
        <v>14583.33333</v>
      </c>
      <c r="AY9" s="96">
        <f t="shared" si="12"/>
        <v>14583.33333</v>
      </c>
      <c r="AZ9" s="96">
        <f t="shared" si="12"/>
        <v>14583.33333</v>
      </c>
      <c r="BA9" s="96">
        <f t="shared" si="12"/>
        <v>14583.33333</v>
      </c>
      <c r="BB9" s="96">
        <f t="shared" si="12"/>
        <v>14583.33333</v>
      </c>
      <c r="BC9" s="96">
        <f t="shared" si="12"/>
        <v>14583.33333</v>
      </c>
      <c r="BD9" s="96">
        <f t="shared" si="12"/>
        <v>14583.33333</v>
      </c>
      <c r="BE9" s="96">
        <f t="shared" si="12"/>
        <v>14583.33333</v>
      </c>
      <c r="BF9" s="96">
        <f t="shared" si="12"/>
        <v>14583.33333</v>
      </c>
      <c r="BG9" s="96">
        <f t="shared" si="12"/>
        <v>14583.33333</v>
      </c>
      <c r="BH9" s="96">
        <f t="shared" si="12"/>
        <v>14583.33333</v>
      </c>
      <c r="BI9" s="96">
        <f t="shared" si="12"/>
        <v>14583.33333</v>
      </c>
    </row>
    <row r="10" ht="15.75" customHeight="1">
      <c r="A10" s="7"/>
      <c r="B10" s="1" t="s">
        <v>154</v>
      </c>
      <c r="C10" s="1" t="s">
        <v>155</v>
      </c>
      <c r="D10" s="1" t="str">
        <f t="shared" si="9"/>
        <v>Engineering</v>
      </c>
      <c r="E10" s="143">
        <v>160000.0</v>
      </c>
      <c r="F10" s="141">
        <v>42798.0</v>
      </c>
      <c r="G10" s="141"/>
      <c r="H10" s="142">
        <v>0.09</v>
      </c>
      <c r="I10" s="143">
        <f t="shared" si="10"/>
        <v>533.3333333</v>
      </c>
      <c r="J10" s="143">
        <v>500.0</v>
      </c>
      <c r="K10" s="96">
        <f t="shared" si="5"/>
        <v>1033.333333</v>
      </c>
      <c r="L10" s="1"/>
      <c r="M10" s="1"/>
      <c r="N10" s="96">
        <f t="shared" ref="N10:BI10" si="13">IF($F10=0,0, IF(AND(N$1&gt;=$G10,$G10&lt;&gt;0),0,IF(N$1&gt;=$F10,$E10/12,0)))</f>
        <v>13333.33333</v>
      </c>
      <c r="O10" s="96">
        <f t="shared" si="13"/>
        <v>13333.33333</v>
      </c>
      <c r="P10" s="96">
        <f t="shared" si="13"/>
        <v>13333.33333</v>
      </c>
      <c r="Q10" s="96">
        <f t="shared" si="13"/>
        <v>13333.33333</v>
      </c>
      <c r="R10" s="96">
        <f t="shared" si="13"/>
        <v>13333.33333</v>
      </c>
      <c r="S10" s="96">
        <f t="shared" si="13"/>
        <v>13333.33333</v>
      </c>
      <c r="T10" s="96">
        <f t="shared" si="13"/>
        <v>13333.33333</v>
      </c>
      <c r="U10" s="96">
        <f t="shared" si="13"/>
        <v>13333.33333</v>
      </c>
      <c r="V10" s="96">
        <f t="shared" si="13"/>
        <v>13333.33333</v>
      </c>
      <c r="W10" s="96">
        <f t="shared" si="13"/>
        <v>13333.33333</v>
      </c>
      <c r="X10" s="96">
        <f t="shared" si="13"/>
        <v>13333.33333</v>
      </c>
      <c r="Y10" s="96">
        <f t="shared" si="13"/>
        <v>13333.33333</v>
      </c>
      <c r="Z10" s="96">
        <f t="shared" si="13"/>
        <v>13333.33333</v>
      </c>
      <c r="AA10" s="96">
        <f t="shared" si="13"/>
        <v>13333.33333</v>
      </c>
      <c r="AB10" s="96">
        <f t="shared" si="13"/>
        <v>13333.33333</v>
      </c>
      <c r="AC10" s="96">
        <f t="shared" si="13"/>
        <v>13333.33333</v>
      </c>
      <c r="AD10" s="96">
        <f t="shared" si="13"/>
        <v>13333.33333</v>
      </c>
      <c r="AE10" s="96">
        <f t="shared" si="13"/>
        <v>13333.33333</v>
      </c>
      <c r="AF10" s="96">
        <f t="shared" si="13"/>
        <v>13333.33333</v>
      </c>
      <c r="AG10" s="96">
        <f t="shared" si="13"/>
        <v>13333.33333</v>
      </c>
      <c r="AH10" s="96">
        <f t="shared" si="13"/>
        <v>13333.33333</v>
      </c>
      <c r="AI10" s="96">
        <f t="shared" si="13"/>
        <v>13333.33333</v>
      </c>
      <c r="AJ10" s="96">
        <f t="shared" si="13"/>
        <v>13333.33333</v>
      </c>
      <c r="AK10" s="96">
        <f t="shared" si="13"/>
        <v>13333.33333</v>
      </c>
      <c r="AL10" s="96">
        <f t="shared" si="13"/>
        <v>13333.33333</v>
      </c>
      <c r="AM10" s="96">
        <f t="shared" si="13"/>
        <v>13333.33333</v>
      </c>
      <c r="AN10" s="96">
        <f t="shared" si="13"/>
        <v>13333.33333</v>
      </c>
      <c r="AO10" s="96">
        <f t="shared" si="13"/>
        <v>13333.33333</v>
      </c>
      <c r="AP10" s="96">
        <f t="shared" si="13"/>
        <v>13333.33333</v>
      </c>
      <c r="AQ10" s="96">
        <f t="shared" si="13"/>
        <v>13333.33333</v>
      </c>
      <c r="AR10" s="96">
        <f t="shared" si="13"/>
        <v>13333.33333</v>
      </c>
      <c r="AS10" s="96">
        <f t="shared" si="13"/>
        <v>13333.33333</v>
      </c>
      <c r="AT10" s="96">
        <f t="shared" si="13"/>
        <v>13333.33333</v>
      </c>
      <c r="AU10" s="96">
        <f t="shared" si="13"/>
        <v>13333.33333</v>
      </c>
      <c r="AV10" s="96">
        <f t="shared" si="13"/>
        <v>13333.33333</v>
      </c>
      <c r="AW10" s="96">
        <f t="shared" si="13"/>
        <v>13333.33333</v>
      </c>
      <c r="AX10" s="96">
        <f t="shared" si="13"/>
        <v>13333.33333</v>
      </c>
      <c r="AY10" s="96">
        <f t="shared" si="13"/>
        <v>13333.33333</v>
      </c>
      <c r="AZ10" s="96">
        <f t="shared" si="13"/>
        <v>13333.33333</v>
      </c>
      <c r="BA10" s="96">
        <f t="shared" si="13"/>
        <v>13333.33333</v>
      </c>
      <c r="BB10" s="96">
        <f t="shared" si="13"/>
        <v>13333.33333</v>
      </c>
      <c r="BC10" s="96">
        <f t="shared" si="13"/>
        <v>13333.33333</v>
      </c>
      <c r="BD10" s="96">
        <f t="shared" si="13"/>
        <v>13333.33333</v>
      </c>
      <c r="BE10" s="96">
        <f t="shared" si="13"/>
        <v>13333.33333</v>
      </c>
      <c r="BF10" s="96">
        <f t="shared" si="13"/>
        <v>13333.33333</v>
      </c>
      <c r="BG10" s="96">
        <f t="shared" si="13"/>
        <v>13333.33333</v>
      </c>
      <c r="BH10" s="96">
        <f t="shared" si="13"/>
        <v>13333.33333</v>
      </c>
      <c r="BI10" s="96">
        <f t="shared" si="13"/>
        <v>13333.33333</v>
      </c>
    </row>
    <row r="11" ht="15.75" customHeight="1">
      <c r="A11" s="7"/>
      <c r="B11" s="1" t="s">
        <v>156</v>
      </c>
      <c r="C11" s="1" t="s">
        <v>157</v>
      </c>
      <c r="D11" s="1" t="str">
        <f t="shared" si="9"/>
        <v>Engineering</v>
      </c>
      <c r="E11" s="143">
        <v>175000.0</v>
      </c>
      <c r="F11" s="141">
        <v>43101.0</v>
      </c>
      <c r="G11" s="141"/>
      <c r="H11" s="142">
        <v>0.09</v>
      </c>
      <c r="I11" s="143">
        <f t="shared" si="10"/>
        <v>583.3333333</v>
      </c>
      <c r="J11" s="143">
        <v>500.0</v>
      </c>
      <c r="K11" s="96">
        <f t="shared" si="5"/>
        <v>1083.333333</v>
      </c>
      <c r="L11" s="1"/>
      <c r="M11" s="1"/>
      <c r="N11" s="96">
        <f t="shared" ref="N11:BI11" si="14">IF($F11=0,0, IF(AND(N$1&gt;=$G11,$G11&lt;&gt;0),0,IF(N$1&gt;=$F11,$E11/12,0)))</f>
        <v>14583.33333</v>
      </c>
      <c r="O11" s="96">
        <f t="shared" si="14"/>
        <v>14583.33333</v>
      </c>
      <c r="P11" s="96">
        <f t="shared" si="14"/>
        <v>14583.33333</v>
      </c>
      <c r="Q11" s="96">
        <f t="shared" si="14"/>
        <v>14583.33333</v>
      </c>
      <c r="R11" s="96">
        <f t="shared" si="14"/>
        <v>14583.33333</v>
      </c>
      <c r="S11" s="96">
        <f t="shared" si="14"/>
        <v>14583.33333</v>
      </c>
      <c r="T11" s="96">
        <f t="shared" si="14"/>
        <v>14583.33333</v>
      </c>
      <c r="U11" s="96">
        <f t="shared" si="14"/>
        <v>14583.33333</v>
      </c>
      <c r="V11" s="96">
        <f t="shared" si="14"/>
        <v>14583.33333</v>
      </c>
      <c r="W11" s="96">
        <f t="shared" si="14"/>
        <v>14583.33333</v>
      </c>
      <c r="X11" s="96">
        <f t="shared" si="14"/>
        <v>14583.33333</v>
      </c>
      <c r="Y11" s="96">
        <f t="shared" si="14"/>
        <v>14583.33333</v>
      </c>
      <c r="Z11" s="96">
        <f t="shared" si="14"/>
        <v>14583.33333</v>
      </c>
      <c r="AA11" s="96">
        <f t="shared" si="14"/>
        <v>14583.33333</v>
      </c>
      <c r="AB11" s="96">
        <f t="shared" si="14"/>
        <v>14583.33333</v>
      </c>
      <c r="AC11" s="96">
        <f t="shared" si="14"/>
        <v>14583.33333</v>
      </c>
      <c r="AD11" s="96">
        <f t="shared" si="14"/>
        <v>14583.33333</v>
      </c>
      <c r="AE11" s="96">
        <f t="shared" si="14"/>
        <v>14583.33333</v>
      </c>
      <c r="AF11" s="96">
        <f t="shared" si="14"/>
        <v>14583.33333</v>
      </c>
      <c r="AG11" s="96">
        <f t="shared" si="14"/>
        <v>14583.33333</v>
      </c>
      <c r="AH11" s="96">
        <f t="shared" si="14"/>
        <v>14583.33333</v>
      </c>
      <c r="AI11" s="96">
        <f t="shared" si="14"/>
        <v>14583.33333</v>
      </c>
      <c r="AJ11" s="96">
        <f t="shared" si="14"/>
        <v>14583.33333</v>
      </c>
      <c r="AK11" s="96">
        <f t="shared" si="14"/>
        <v>14583.33333</v>
      </c>
      <c r="AL11" s="96">
        <f t="shared" si="14"/>
        <v>14583.33333</v>
      </c>
      <c r="AM11" s="96">
        <f t="shared" si="14"/>
        <v>14583.33333</v>
      </c>
      <c r="AN11" s="96">
        <f t="shared" si="14"/>
        <v>14583.33333</v>
      </c>
      <c r="AO11" s="96">
        <f t="shared" si="14"/>
        <v>14583.33333</v>
      </c>
      <c r="AP11" s="96">
        <f t="shared" si="14"/>
        <v>14583.33333</v>
      </c>
      <c r="AQ11" s="96">
        <f t="shared" si="14"/>
        <v>14583.33333</v>
      </c>
      <c r="AR11" s="96">
        <f t="shared" si="14"/>
        <v>14583.33333</v>
      </c>
      <c r="AS11" s="96">
        <f t="shared" si="14"/>
        <v>14583.33333</v>
      </c>
      <c r="AT11" s="96">
        <f t="shared" si="14"/>
        <v>14583.33333</v>
      </c>
      <c r="AU11" s="96">
        <f t="shared" si="14"/>
        <v>14583.33333</v>
      </c>
      <c r="AV11" s="96">
        <f t="shared" si="14"/>
        <v>14583.33333</v>
      </c>
      <c r="AW11" s="96">
        <f t="shared" si="14"/>
        <v>14583.33333</v>
      </c>
      <c r="AX11" s="96">
        <f t="shared" si="14"/>
        <v>14583.33333</v>
      </c>
      <c r="AY11" s="96">
        <f t="shared" si="14"/>
        <v>14583.33333</v>
      </c>
      <c r="AZ11" s="96">
        <f t="shared" si="14"/>
        <v>14583.33333</v>
      </c>
      <c r="BA11" s="96">
        <f t="shared" si="14"/>
        <v>14583.33333</v>
      </c>
      <c r="BB11" s="96">
        <f t="shared" si="14"/>
        <v>14583.33333</v>
      </c>
      <c r="BC11" s="96">
        <f t="shared" si="14"/>
        <v>14583.33333</v>
      </c>
      <c r="BD11" s="96">
        <f t="shared" si="14"/>
        <v>14583.33333</v>
      </c>
      <c r="BE11" s="96">
        <f t="shared" si="14"/>
        <v>14583.33333</v>
      </c>
      <c r="BF11" s="96">
        <f t="shared" si="14"/>
        <v>14583.33333</v>
      </c>
      <c r="BG11" s="96">
        <f t="shared" si="14"/>
        <v>14583.33333</v>
      </c>
      <c r="BH11" s="96">
        <f t="shared" si="14"/>
        <v>14583.33333</v>
      </c>
      <c r="BI11" s="96">
        <f t="shared" si="14"/>
        <v>14583.33333</v>
      </c>
    </row>
    <row r="12" ht="15.75" customHeight="1">
      <c r="A12" s="7"/>
      <c r="B12" s="1" t="s">
        <v>158</v>
      </c>
      <c r="C12" s="1" t="s">
        <v>159</v>
      </c>
      <c r="D12" s="1" t="str">
        <f t="shared" si="9"/>
        <v>Engineering</v>
      </c>
      <c r="E12" s="143">
        <v>210000.0</v>
      </c>
      <c r="F12" s="141">
        <v>43497.0</v>
      </c>
      <c r="G12" s="141"/>
      <c r="H12" s="142">
        <v>0.09</v>
      </c>
      <c r="I12" s="143">
        <f t="shared" si="10"/>
        <v>700</v>
      </c>
      <c r="J12" s="143">
        <v>500.0</v>
      </c>
      <c r="K12" s="96">
        <f t="shared" si="5"/>
        <v>1200</v>
      </c>
      <c r="L12" s="1"/>
      <c r="M12" s="1"/>
      <c r="N12" s="96">
        <f t="shared" ref="N12:BI12" si="15">IF($F12=0,0, IF(AND(N$1&gt;=$G12,$G12&lt;&gt;0),0,IF(N$1&gt;=$F12,$E12/12,0)))</f>
        <v>17500</v>
      </c>
      <c r="O12" s="96">
        <f t="shared" si="15"/>
        <v>17500</v>
      </c>
      <c r="P12" s="96">
        <f t="shared" si="15"/>
        <v>17500</v>
      </c>
      <c r="Q12" s="96">
        <f t="shared" si="15"/>
        <v>17500</v>
      </c>
      <c r="R12" s="96">
        <f t="shared" si="15"/>
        <v>17500</v>
      </c>
      <c r="S12" s="96">
        <f t="shared" si="15"/>
        <v>17500</v>
      </c>
      <c r="T12" s="96">
        <f t="shared" si="15"/>
        <v>17500</v>
      </c>
      <c r="U12" s="96">
        <f t="shared" si="15"/>
        <v>17500</v>
      </c>
      <c r="V12" s="96">
        <f t="shared" si="15"/>
        <v>17500</v>
      </c>
      <c r="W12" s="96">
        <f t="shared" si="15"/>
        <v>17500</v>
      </c>
      <c r="X12" s="96">
        <f t="shared" si="15"/>
        <v>17500</v>
      </c>
      <c r="Y12" s="96">
        <f t="shared" si="15"/>
        <v>17500</v>
      </c>
      <c r="Z12" s="96">
        <f t="shared" si="15"/>
        <v>17500</v>
      </c>
      <c r="AA12" s="96">
        <f t="shared" si="15"/>
        <v>17500</v>
      </c>
      <c r="AB12" s="96">
        <f t="shared" si="15"/>
        <v>17500</v>
      </c>
      <c r="AC12" s="96">
        <f t="shared" si="15"/>
        <v>17500</v>
      </c>
      <c r="AD12" s="96">
        <f t="shared" si="15"/>
        <v>17500</v>
      </c>
      <c r="AE12" s="96">
        <f t="shared" si="15"/>
        <v>17500</v>
      </c>
      <c r="AF12" s="96">
        <f t="shared" si="15"/>
        <v>17500</v>
      </c>
      <c r="AG12" s="96">
        <f t="shared" si="15"/>
        <v>17500</v>
      </c>
      <c r="AH12" s="96">
        <f t="shared" si="15"/>
        <v>17500</v>
      </c>
      <c r="AI12" s="96">
        <f t="shared" si="15"/>
        <v>17500</v>
      </c>
      <c r="AJ12" s="96">
        <f t="shared" si="15"/>
        <v>17500</v>
      </c>
      <c r="AK12" s="96">
        <f t="shared" si="15"/>
        <v>17500</v>
      </c>
      <c r="AL12" s="96">
        <f t="shared" si="15"/>
        <v>17500</v>
      </c>
      <c r="AM12" s="96">
        <f t="shared" si="15"/>
        <v>17500</v>
      </c>
      <c r="AN12" s="96">
        <f t="shared" si="15"/>
        <v>17500</v>
      </c>
      <c r="AO12" s="96">
        <f t="shared" si="15"/>
        <v>17500</v>
      </c>
      <c r="AP12" s="96">
        <f t="shared" si="15"/>
        <v>17500</v>
      </c>
      <c r="AQ12" s="96">
        <f t="shared" si="15"/>
        <v>17500</v>
      </c>
      <c r="AR12" s="96">
        <f t="shared" si="15"/>
        <v>17500</v>
      </c>
      <c r="AS12" s="96">
        <f t="shared" si="15"/>
        <v>17500</v>
      </c>
      <c r="AT12" s="96">
        <f t="shared" si="15"/>
        <v>17500</v>
      </c>
      <c r="AU12" s="96">
        <f t="shared" si="15"/>
        <v>17500</v>
      </c>
      <c r="AV12" s="96">
        <f t="shared" si="15"/>
        <v>17500</v>
      </c>
      <c r="AW12" s="96">
        <f t="shared" si="15"/>
        <v>17500</v>
      </c>
      <c r="AX12" s="96">
        <f t="shared" si="15"/>
        <v>17500</v>
      </c>
      <c r="AY12" s="96">
        <f t="shared" si="15"/>
        <v>17500</v>
      </c>
      <c r="AZ12" s="96">
        <f t="shared" si="15"/>
        <v>17500</v>
      </c>
      <c r="BA12" s="96">
        <f t="shared" si="15"/>
        <v>17500</v>
      </c>
      <c r="BB12" s="96">
        <f t="shared" si="15"/>
        <v>17500</v>
      </c>
      <c r="BC12" s="96">
        <f t="shared" si="15"/>
        <v>17500</v>
      </c>
      <c r="BD12" s="96">
        <f t="shared" si="15"/>
        <v>17500</v>
      </c>
      <c r="BE12" s="96">
        <f t="shared" si="15"/>
        <v>17500</v>
      </c>
      <c r="BF12" s="96">
        <f t="shared" si="15"/>
        <v>17500</v>
      </c>
      <c r="BG12" s="96">
        <f t="shared" si="15"/>
        <v>17500</v>
      </c>
      <c r="BH12" s="96">
        <f t="shared" si="15"/>
        <v>17500</v>
      </c>
      <c r="BI12" s="96">
        <f t="shared" si="15"/>
        <v>17500</v>
      </c>
    </row>
    <row r="13" ht="15.75" customHeight="1">
      <c r="A13" s="7"/>
      <c r="B13" s="1" t="s">
        <v>160</v>
      </c>
      <c r="C13" s="1" t="s">
        <v>161</v>
      </c>
      <c r="D13" s="1" t="str">
        <f t="shared" si="9"/>
        <v>Engineering</v>
      </c>
      <c r="E13" s="143">
        <v>185000.0</v>
      </c>
      <c r="F13" s="141">
        <v>43678.0</v>
      </c>
      <c r="G13" s="141"/>
      <c r="H13" s="142">
        <v>0.09</v>
      </c>
      <c r="I13" s="143">
        <f t="shared" si="10"/>
        <v>616.6666667</v>
      </c>
      <c r="J13" s="143">
        <v>500.0</v>
      </c>
      <c r="K13" s="96">
        <f t="shared" si="5"/>
        <v>1116.666667</v>
      </c>
      <c r="L13" s="1"/>
      <c r="M13" s="1"/>
      <c r="N13" s="96">
        <f t="shared" ref="N13:BI13" si="16">IF($F13=0,0, IF(AND(N$1&gt;=$G13,$G13&lt;&gt;0),0,IF(N$1&gt;=$F13,$E13/12,0)))</f>
        <v>15416.66667</v>
      </c>
      <c r="O13" s="96">
        <f t="shared" si="16"/>
        <v>15416.66667</v>
      </c>
      <c r="P13" s="96">
        <f t="shared" si="16"/>
        <v>15416.66667</v>
      </c>
      <c r="Q13" s="96">
        <f t="shared" si="16"/>
        <v>15416.66667</v>
      </c>
      <c r="R13" s="96">
        <f t="shared" si="16"/>
        <v>15416.66667</v>
      </c>
      <c r="S13" s="96">
        <f t="shared" si="16"/>
        <v>15416.66667</v>
      </c>
      <c r="T13" s="96">
        <f t="shared" si="16"/>
        <v>15416.66667</v>
      </c>
      <c r="U13" s="96">
        <f t="shared" si="16"/>
        <v>15416.66667</v>
      </c>
      <c r="V13" s="96">
        <f t="shared" si="16"/>
        <v>15416.66667</v>
      </c>
      <c r="W13" s="96">
        <f t="shared" si="16"/>
        <v>15416.66667</v>
      </c>
      <c r="X13" s="96">
        <f t="shared" si="16"/>
        <v>15416.66667</v>
      </c>
      <c r="Y13" s="96">
        <f t="shared" si="16"/>
        <v>15416.66667</v>
      </c>
      <c r="Z13" s="96">
        <f t="shared" si="16"/>
        <v>15416.66667</v>
      </c>
      <c r="AA13" s="96">
        <f t="shared" si="16"/>
        <v>15416.66667</v>
      </c>
      <c r="AB13" s="96">
        <f t="shared" si="16"/>
        <v>15416.66667</v>
      </c>
      <c r="AC13" s="96">
        <f t="shared" si="16"/>
        <v>15416.66667</v>
      </c>
      <c r="AD13" s="96">
        <f t="shared" si="16"/>
        <v>15416.66667</v>
      </c>
      <c r="AE13" s="96">
        <f t="shared" si="16"/>
        <v>15416.66667</v>
      </c>
      <c r="AF13" s="96">
        <f t="shared" si="16"/>
        <v>15416.66667</v>
      </c>
      <c r="AG13" s="96">
        <f t="shared" si="16"/>
        <v>15416.66667</v>
      </c>
      <c r="AH13" s="96">
        <f t="shared" si="16"/>
        <v>15416.66667</v>
      </c>
      <c r="AI13" s="96">
        <f t="shared" si="16"/>
        <v>15416.66667</v>
      </c>
      <c r="AJ13" s="96">
        <f t="shared" si="16"/>
        <v>15416.66667</v>
      </c>
      <c r="AK13" s="96">
        <f t="shared" si="16"/>
        <v>15416.66667</v>
      </c>
      <c r="AL13" s="96">
        <f t="shared" si="16"/>
        <v>15416.66667</v>
      </c>
      <c r="AM13" s="96">
        <f t="shared" si="16"/>
        <v>15416.66667</v>
      </c>
      <c r="AN13" s="96">
        <f t="shared" si="16"/>
        <v>15416.66667</v>
      </c>
      <c r="AO13" s="96">
        <f t="shared" si="16"/>
        <v>15416.66667</v>
      </c>
      <c r="AP13" s="96">
        <f t="shared" si="16"/>
        <v>15416.66667</v>
      </c>
      <c r="AQ13" s="96">
        <f t="shared" si="16"/>
        <v>15416.66667</v>
      </c>
      <c r="AR13" s="96">
        <f t="shared" si="16"/>
        <v>15416.66667</v>
      </c>
      <c r="AS13" s="96">
        <f t="shared" si="16"/>
        <v>15416.66667</v>
      </c>
      <c r="AT13" s="96">
        <f t="shared" si="16"/>
        <v>15416.66667</v>
      </c>
      <c r="AU13" s="96">
        <f t="shared" si="16"/>
        <v>15416.66667</v>
      </c>
      <c r="AV13" s="96">
        <f t="shared" si="16"/>
        <v>15416.66667</v>
      </c>
      <c r="AW13" s="96">
        <f t="shared" si="16"/>
        <v>15416.66667</v>
      </c>
      <c r="AX13" s="96">
        <f t="shared" si="16"/>
        <v>15416.66667</v>
      </c>
      <c r="AY13" s="96">
        <f t="shared" si="16"/>
        <v>15416.66667</v>
      </c>
      <c r="AZ13" s="96">
        <f t="shared" si="16"/>
        <v>15416.66667</v>
      </c>
      <c r="BA13" s="96">
        <f t="shared" si="16"/>
        <v>15416.66667</v>
      </c>
      <c r="BB13" s="96">
        <f t="shared" si="16"/>
        <v>15416.66667</v>
      </c>
      <c r="BC13" s="96">
        <f t="shared" si="16"/>
        <v>15416.66667</v>
      </c>
      <c r="BD13" s="96">
        <f t="shared" si="16"/>
        <v>15416.66667</v>
      </c>
      <c r="BE13" s="96">
        <f t="shared" si="16"/>
        <v>15416.66667</v>
      </c>
      <c r="BF13" s="96">
        <f t="shared" si="16"/>
        <v>15416.66667</v>
      </c>
      <c r="BG13" s="96">
        <f t="shared" si="16"/>
        <v>15416.66667</v>
      </c>
      <c r="BH13" s="96">
        <f t="shared" si="16"/>
        <v>15416.66667</v>
      </c>
      <c r="BI13" s="96">
        <f t="shared" si="16"/>
        <v>15416.66667</v>
      </c>
    </row>
    <row r="14" ht="15.75" customHeight="1">
      <c r="A14" s="7"/>
      <c r="B14" s="1" t="s">
        <v>162</v>
      </c>
      <c r="C14" s="1" t="s">
        <v>155</v>
      </c>
      <c r="D14" s="1" t="str">
        <f t="shared" si="9"/>
        <v>Engineering</v>
      </c>
      <c r="E14" s="143">
        <v>160000.0</v>
      </c>
      <c r="F14" s="141">
        <v>43770.0</v>
      </c>
      <c r="G14" s="141"/>
      <c r="H14" s="142">
        <v>0.09</v>
      </c>
      <c r="I14" s="143">
        <f t="shared" si="10"/>
        <v>533.3333333</v>
      </c>
      <c r="J14" s="143">
        <v>500.0</v>
      </c>
      <c r="K14" s="96">
        <f t="shared" si="5"/>
        <v>1033.333333</v>
      </c>
      <c r="L14" s="1"/>
      <c r="M14" s="1"/>
      <c r="N14" s="96">
        <f t="shared" ref="N14:BI14" si="17">IF($F14=0,0, IF(AND(N$1&gt;=$G14,$G14&lt;&gt;0),0,IF(N$1&gt;=$F14,$E14/12,0)))</f>
        <v>13333.33333</v>
      </c>
      <c r="O14" s="96">
        <f t="shared" si="17"/>
        <v>13333.33333</v>
      </c>
      <c r="P14" s="96">
        <f t="shared" si="17"/>
        <v>13333.33333</v>
      </c>
      <c r="Q14" s="96">
        <f t="shared" si="17"/>
        <v>13333.33333</v>
      </c>
      <c r="R14" s="96">
        <f t="shared" si="17"/>
        <v>13333.33333</v>
      </c>
      <c r="S14" s="96">
        <f t="shared" si="17"/>
        <v>13333.33333</v>
      </c>
      <c r="T14" s="96">
        <f t="shared" si="17"/>
        <v>13333.33333</v>
      </c>
      <c r="U14" s="96">
        <f t="shared" si="17"/>
        <v>13333.33333</v>
      </c>
      <c r="V14" s="96">
        <f t="shared" si="17"/>
        <v>13333.33333</v>
      </c>
      <c r="W14" s="96">
        <f t="shared" si="17"/>
        <v>13333.33333</v>
      </c>
      <c r="X14" s="96">
        <f t="shared" si="17"/>
        <v>13333.33333</v>
      </c>
      <c r="Y14" s="96">
        <f t="shared" si="17"/>
        <v>13333.33333</v>
      </c>
      <c r="Z14" s="96">
        <f t="shared" si="17"/>
        <v>13333.33333</v>
      </c>
      <c r="AA14" s="96">
        <f t="shared" si="17"/>
        <v>13333.33333</v>
      </c>
      <c r="AB14" s="96">
        <f t="shared" si="17"/>
        <v>13333.33333</v>
      </c>
      <c r="AC14" s="96">
        <f t="shared" si="17"/>
        <v>13333.33333</v>
      </c>
      <c r="AD14" s="96">
        <f t="shared" si="17"/>
        <v>13333.33333</v>
      </c>
      <c r="AE14" s="96">
        <f t="shared" si="17"/>
        <v>13333.33333</v>
      </c>
      <c r="AF14" s="96">
        <f t="shared" si="17"/>
        <v>13333.33333</v>
      </c>
      <c r="AG14" s="96">
        <f t="shared" si="17"/>
        <v>13333.33333</v>
      </c>
      <c r="AH14" s="96">
        <f t="shared" si="17"/>
        <v>13333.33333</v>
      </c>
      <c r="AI14" s="96">
        <f t="shared" si="17"/>
        <v>13333.33333</v>
      </c>
      <c r="AJ14" s="96">
        <f t="shared" si="17"/>
        <v>13333.33333</v>
      </c>
      <c r="AK14" s="96">
        <f t="shared" si="17"/>
        <v>13333.33333</v>
      </c>
      <c r="AL14" s="96">
        <f t="shared" si="17"/>
        <v>13333.33333</v>
      </c>
      <c r="AM14" s="96">
        <f t="shared" si="17"/>
        <v>13333.33333</v>
      </c>
      <c r="AN14" s="96">
        <f t="shared" si="17"/>
        <v>13333.33333</v>
      </c>
      <c r="AO14" s="96">
        <f t="shared" si="17"/>
        <v>13333.33333</v>
      </c>
      <c r="AP14" s="96">
        <f t="shared" si="17"/>
        <v>13333.33333</v>
      </c>
      <c r="AQ14" s="96">
        <f t="shared" si="17"/>
        <v>13333.33333</v>
      </c>
      <c r="AR14" s="96">
        <f t="shared" si="17"/>
        <v>13333.33333</v>
      </c>
      <c r="AS14" s="96">
        <f t="shared" si="17"/>
        <v>13333.33333</v>
      </c>
      <c r="AT14" s="96">
        <f t="shared" si="17"/>
        <v>13333.33333</v>
      </c>
      <c r="AU14" s="96">
        <f t="shared" si="17"/>
        <v>13333.33333</v>
      </c>
      <c r="AV14" s="96">
        <f t="shared" si="17"/>
        <v>13333.33333</v>
      </c>
      <c r="AW14" s="96">
        <f t="shared" si="17"/>
        <v>13333.33333</v>
      </c>
      <c r="AX14" s="96">
        <f t="shared" si="17"/>
        <v>13333.33333</v>
      </c>
      <c r="AY14" s="96">
        <f t="shared" si="17"/>
        <v>13333.33333</v>
      </c>
      <c r="AZ14" s="96">
        <f t="shared" si="17"/>
        <v>13333.33333</v>
      </c>
      <c r="BA14" s="96">
        <f t="shared" si="17"/>
        <v>13333.33333</v>
      </c>
      <c r="BB14" s="96">
        <f t="shared" si="17"/>
        <v>13333.33333</v>
      </c>
      <c r="BC14" s="96">
        <f t="shared" si="17"/>
        <v>13333.33333</v>
      </c>
      <c r="BD14" s="96">
        <f t="shared" si="17"/>
        <v>13333.33333</v>
      </c>
      <c r="BE14" s="96">
        <f t="shared" si="17"/>
        <v>13333.33333</v>
      </c>
      <c r="BF14" s="96">
        <f t="shared" si="17"/>
        <v>13333.33333</v>
      </c>
      <c r="BG14" s="96">
        <f t="shared" si="17"/>
        <v>13333.33333</v>
      </c>
      <c r="BH14" s="96">
        <f t="shared" si="17"/>
        <v>13333.33333</v>
      </c>
      <c r="BI14" s="96">
        <f t="shared" si="17"/>
        <v>13333.33333</v>
      </c>
    </row>
    <row r="15" ht="15.75" customHeight="1">
      <c r="A15" s="7"/>
      <c r="B15" s="1" t="s">
        <v>163</v>
      </c>
      <c r="C15" s="1" t="s">
        <v>164</v>
      </c>
      <c r="D15" s="1" t="str">
        <f t="shared" si="9"/>
        <v>Engineering</v>
      </c>
      <c r="E15" s="143">
        <v>185000.0</v>
      </c>
      <c r="F15" s="141">
        <v>43647.0</v>
      </c>
      <c r="G15" s="141"/>
      <c r="H15" s="142">
        <v>0.09</v>
      </c>
      <c r="I15" s="143">
        <f t="shared" si="10"/>
        <v>616.6666667</v>
      </c>
      <c r="J15" s="143">
        <v>500.0</v>
      </c>
      <c r="K15" s="76">
        <f t="shared" si="5"/>
        <v>1116.666667</v>
      </c>
      <c r="L15" s="1"/>
      <c r="M15" s="1"/>
      <c r="N15" s="76">
        <f t="shared" ref="N15:BI15" si="18">IF($F15=0,0, IF(AND(N$1&gt;=$G15,$G15&lt;&gt;0),0,IF(N$1&gt;=$F15,$E15/12,0)))</f>
        <v>15416.66667</v>
      </c>
      <c r="O15" s="76">
        <f t="shared" si="18"/>
        <v>15416.66667</v>
      </c>
      <c r="P15" s="76">
        <f t="shared" si="18"/>
        <v>15416.66667</v>
      </c>
      <c r="Q15" s="76">
        <f t="shared" si="18"/>
        <v>15416.66667</v>
      </c>
      <c r="R15" s="76">
        <f t="shared" si="18"/>
        <v>15416.66667</v>
      </c>
      <c r="S15" s="76">
        <f t="shared" si="18"/>
        <v>15416.66667</v>
      </c>
      <c r="T15" s="76">
        <f t="shared" si="18"/>
        <v>15416.66667</v>
      </c>
      <c r="U15" s="76">
        <f t="shared" si="18"/>
        <v>15416.66667</v>
      </c>
      <c r="V15" s="76">
        <f t="shared" si="18"/>
        <v>15416.66667</v>
      </c>
      <c r="W15" s="76">
        <f t="shared" si="18"/>
        <v>15416.66667</v>
      </c>
      <c r="X15" s="76">
        <f t="shared" si="18"/>
        <v>15416.66667</v>
      </c>
      <c r="Y15" s="76">
        <f t="shared" si="18"/>
        <v>15416.66667</v>
      </c>
      <c r="Z15" s="76">
        <f t="shared" si="18"/>
        <v>15416.66667</v>
      </c>
      <c r="AA15" s="76">
        <f t="shared" si="18"/>
        <v>15416.66667</v>
      </c>
      <c r="AB15" s="76">
        <f t="shared" si="18"/>
        <v>15416.66667</v>
      </c>
      <c r="AC15" s="76">
        <f t="shared" si="18"/>
        <v>15416.66667</v>
      </c>
      <c r="AD15" s="76">
        <f t="shared" si="18"/>
        <v>15416.66667</v>
      </c>
      <c r="AE15" s="76">
        <f t="shared" si="18"/>
        <v>15416.66667</v>
      </c>
      <c r="AF15" s="76">
        <f t="shared" si="18"/>
        <v>15416.66667</v>
      </c>
      <c r="AG15" s="76">
        <f t="shared" si="18"/>
        <v>15416.66667</v>
      </c>
      <c r="AH15" s="76">
        <f t="shared" si="18"/>
        <v>15416.66667</v>
      </c>
      <c r="AI15" s="76">
        <f t="shared" si="18"/>
        <v>15416.66667</v>
      </c>
      <c r="AJ15" s="76">
        <f t="shared" si="18"/>
        <v>15416.66667</v>
      </c>
      <c r="AK15" s="76">
        <f t="shared" si="18"/>
        <v>15416.66667</v>
      </c>
      <c r="AL15" s="76">
        <f t="shared" si="18"/>
        <v>15416.66667</v>
      </c>
      <c r="AM15" s="76">
        <f t="shared" si="18"/>
        <v>15416.66667</v>
      </c>
      <c r="AN15" s="76">
        <f t="shared" si="18"/>
        <v>15416.66667</v>
      </c>
      <c r="AO15" s="76">
        <f t="shared" si="18"/>
        <v>15416.66667</v>
      </c>
      <c r="AP15" s="76">
        <f t="shared" si="18"/>
        <v>15416.66667</v>
      </c>
      <c r="AQ15" s="76">
        <f t="shared" si="18"/>
        <v>15416.66667</v>
      </c>
      <c r="AR15" s="76">
        <f t="shared" si="18"/>
        <v>15416.66667</v>
      </c>
      <c r="AS15" s="76">
        <f t="shared" si="18"/>
        <v>15416.66667</v>
      </c>
      <c r="AT15" s="76">
        <f t="shared" si="18"/>
        <v>15416.66667</v>
      </c>
      <c r="AU15" s="76">
        <f t="shared" si="18"/>
        <v>15416.66667</v>
      </c>
      <c r="AV15" s="76">
        <f t="shared" si="18"/>
        <v>15416.66667</v>
      </c>
      <c r="AW15" s="76">
        <f t="shared" si="18"/>
        <v>15416.66667</v>
      </c>
      <c r="AX15" s="76">
        <f t="shared" si="18"/>
        <v>15416.66667</v>
      </c>
      <c r="AY15" s="76">
        <f t="shared" si="18"/>
        <v>15416.66667</v>
      </c>
      <c r="AZ15" s="76">
        <f t="shared" si="18"/>
        <v>15416.66667</v>
      </c>
      <c r="BA15" s="76">
        <f t="shared" si="18"/>
        <v>15416.66667</v>
      </c>
      <c r="BB15" s="76">
        <f t="shared" si="18"/>
        <v>15416.66667</v>
      </c>
      <c r="BC15" s="76">
        <f t="shared" si="18"/>
        <v>15416.66667</v>
      </c>
      <c r="BD15" s="76">
        <f t="shared" si="18"/>
        <v>15416.66667</v>
      </c>
      <c r="BE15" s="76">
        <f t="shared" si="18"/>
        <v>15416.66667</v>
      </c>
      <c r="BF15" s="76">
        <f t="shared" si="18"/>
        <v>15416.66667</v>
      </c>
      <c r="BG15" s="76">
        <f t="shared" si="18"/>
        <v>15416.66667</v>
      </c>
      <c r="BH15" s="76">
        <f t="shared" si="18"/>
        <v>15416.66667</v>
      </c>
      <c r="BI15" s="76">
        <f t="shared" si="18"/>
        <v>15416.66667</v>
      </c>
    </row>
    <row r="16" ht="15.75" customHeight="1">
      <c r="A16" s="7"/>
      <c r="B16" s="1" t="s">
        <v>165</v>
      </c>
      <c r="C16" s="1" t="s">
        <v>166</v>
      </c>
      <c r="D16" s="1" t="str">
        <f t="shared" si="9"/>
        <v>Engineering</v>
      </c>
      <c r="E16" s="143">
        <v>175000.0</v>
      </c>
      <c r="F16" s="141">
        <v>43009.0</v>
      </c>
      <c r="G16" s="141"/>
      <c r="H16" s="142">
        <v>0.09</v>
      </c>
      <c r="I16" s="143">
        <f t="shared" si="10"/>
        <v>583.3333333</v>
      </c>
      <c r="J16" s="143">
        <v>500.0</v>
      </c>
      <c r="K16" s="76">
        <f t="shared" si="5"/>
        <v>1083.333333</v>
      </c>
      <c r="L16" s="1"/>
      <c r="M16" s="1"/>
      <c r="N16" s="76">
        <f t="shared" ref="N16:BI16" si="19">IF($F16=0,0, IF(AND(N$1&gt;=$G16,$G16&lt;&gt;0),0,IF(N$1&gt;=$F16,$E16/12,0)))</f>
        <v>14583.33333</v>
      </c>
      <c r="O16" s="76">
        <f t="shared" si="19"/>
        <v>14583.33333</v>
      </c>
      <c r="P16" s="76">
        <f t="shared" si="19"/>
        <v>14583.33333</v>
      </c>
      <c r="Q16" s="76">
        <f t="shared" si="19"/>
        <v>14583.33333</v>
      </c>
      <c r="R16" s="76">
        <f t="shared" si="19"/>
        <v>14583.33333</v>
      </c>
      <c r="S16" s="76">
        <f t="shared" si="19"/>
        <v>14583.33333</v>
      </c>
      <c r="T16" s="76">
        <f t="shared" si="19"/>
        <v>14583.33333</v>
      </c>
      <c r="U16" s="76">
        <f t="shared" si="19"/>
        <v>14583.33333</v>
      </c>
      <c r="V16" s="76">
        <f t="shared" si="19"/>
        <v>14583.33333</v>
      </c>
      <c r="W16" s="76">
        <f t="shared" si="19"/>
        <v>14583.33333</v>
      </c>
      <c r="X16" s="76">
        <f t="shared" si="19"/>
        <v>14583.33333</v>
      </c>
      <c r="Y16" s="76">
        <f t="shared" si="19"/>
        <v>14583.33333</v>
      </c>
      <c r="Z16" s="76">
        <f t="shared" si="19"/>
        <v>14583.33333</v>
      </c>
      <c r="AA16" s="76">
        <f t="shared" si="19"/>
        <v>14583.33333</v>
      </c>
      <c r="AB16" s="76">
        <f t="shared" si="19"/>
        <v>14583.33333</v>
      </c>
      <c r="AC16" s="76">
        <f t="shared" si="19"/>
        <v>14583.33333</v>
      </c>
      <c r="AD16" s="76">
        <f t="shared" si="19"/>
        <v>14583.33333</v>
      </c>
      <c r="AE16" s="76">
        <f t="shared" si="19"/>
        <v>14583.33333</v>
      </c>
      <c r="AF16" s="76">
        <f t="shared" si="19"/>
        <v>14583.33333</v>
      </c>
      <c r="AG16" s="76">
        <f t="shared" si="19"/>
        <v>14583.33333</v>
      </c>
      <c r="AH16" s="76">
        <f t="shared" si="19"/>
        <v>14583.33333</v>
      </c>
      <c r="AI16" s="76">
        <f t="shared" si="19"/>
        <v>14583.33333</v>
      </c>
      <c r="AJ16" s="76">
        <f t="shared" si="19"/>
        <v>14583.33333</v>
      </c>
      <c r="AK16" s="76">
        <f t="shared" si="19"/>
        <v>14583.33333</v>
      </c>
      <c r="AL16" s="76">
        <f t="shared" si="19"/>
        <v>14583.33333</v>
      </c>
      <c r="AM16" s="76">
        <f t="shared" si="19"/>
        <v>14583.33333</v>
      </c>
      <c r="AN16" s="76">
        <f t="shared" si="19"/>
        <v>14583.33333</v>
      </c>
      <c r="AO16" s="76">
        <f t="shared" si="19"/>
        <v>14583.33333</v>
      </c>
      <c r="AP16" s="76">
        <f t="shared" si="19"/>
        <v>14583.33333</v>
      </c>
      <c r="AQ16" s="76">
        <f t="shared" si="19"/>
        <v>14583.33333</v>
      </c>
      <c r="AR16" s="76">
        <f t="shared" si="19"/>
        <v>14583.33333</v>
      </c>
      <c r="AS16" s="76">
        <f t="shared" si="19"/>
        <v>14583.33333</v>
      </c>
      <c r="AT16" s="76">
        <f t="shared" si="19"/>
        <v>14583.33333</v>
      </c>
      <c r="AU16" s="76">
        <f t="shared" si="19"/>
        <v>14583.33333</v>
      </c>
      <c r="AV16" s="76">
        <f t="shared" si="19"/>
        <v>14583.33333</v>
      </c>
      <c r="AW16" s="76">
        <f t="shared" si="19"/>
        <v>14583.33333</v>
      </c>
      <c r="AX16" s="76">
        <f t="shared" si="19"/>
        <v>14583.33333</v>
      </c>
      <c r="AY16" s="76">
        <f t="shared" si="19"/>
        <v>14583.33333</v>
      </c>
      <c r="AZ16" s="76">
        <f t="shared" si="19"/>
        <v>14583.33333</v>
      </c>
      <c r="BA16" s="76">
        <f t="shared" si="19"/>
        <v>14583.33333</v>
      </c>
      <c r="BB16" s="76">
        <f t="shared" si="19"/>
        <v>14583.33333</v>
      </c>
      <c r="BC16" s="76">
        <f t="shared" si="19"/>
        <v>14583.33333</v>
      </c>
      <c r="BD16" s="76">
        <f t="shared" si="19"/>
        <v>14583.33333</v>
      </c>
      <c r="BE16" s="76">
        <f t="shared" si="19"/>
        <v>14583.33333</v>
      </c>
      <c r="BF16" s="76">
        <f t="shared" si="19"/>
        <v>14583.33333</v>
      </c>
      <c r="BG16" s="76">
        <f t="shared" si="19"/>
        <v>14583.33333</v>
      </c>
      <c r="BH16" s="76">
        <f t="shared" si="19"/>
        <v>14583.33333</v>
      </c>
      <c r="BI16" s="76">
        <f t="shared" si="19"/>
        <v>14583.33333</v>
      </c>
    </row>
    <row r="17" ht="15.75" customHeight="1">
      <c r="A17" s="7"/>
      <c r="B17" s="1" t="s">
        <v>167</v>
      </c>
      <c r="C17" s="1" t="s">
        <v>166</v>
      </c>
      <c r="D17" s="1" t="str">
        <f t="shared" si="9"/>
        <v>Engineering</v>
      </c>
      <c r="E17" s="143">
        <v>175000.0</v>
      </c>
      <c r="F17" s="141">
        <v>43160.0</v>
      </c>
      <c r="G17" s="141"/>
      <c r="H17" s="142">
        <v>0.09</v>
      </c>
      <c r="I17" s="143">
        <f t="shared" si="10"/>
        <v>583.3333333</v>
      </c>
      <c r="J17" s="143">
        <v>500.0</v>
      </c>
      <c r="K17" s="76">
        <f t="shared" si="5"/>
        <v>1083.333333</v>
      </c>
      <c r="L17" s="1"/>
      <c r="M17" s="1"/>
      <c r="N17" s="76">
        <f t="shared" ref="N17:BI17" si="20">IF($F17=0,0, IF(AND(N$1&gt;=$G17,$G17&lt;&gt;0),0,IF(N$1&gt;=$F17,$E17/12,0)))</f>
        <v>14583.33333</v>
      </c>
      <c r="O17" s="76">
        <f t="shared" si="20"/>
        <v>14583.33333</v>
      </c>
      <c r="P17" s="76">
        <f t="shared" si="20"/>
        <v>14583.33333</v>
      </c>
      <c r="Q17" s="76">
        <f t="shared" si="20"/>
        <v>14583.33333</v>
      </c>
      <c r="R17" s="76">
        <f t="shared" si="20"/>
        <v>14583.33333</v>
      </c>
      <c r="S17" s="76">
        <f t="shared" si="20"/>
        <v>14583.33333</v>
      </c>
      <c r="T17" s="76">
        <f t="shared" si="20"/>
        <v>14583.33333</v>
      </c>
      <c r="U17" s="76">
        <f t="shared" si="20"/>
        <v>14583.33333</v>
      </c>
      <c r="V17" s="76">
        <f t="shared" si="20"/>
        <v>14583.33333</v>
      </c>
      <c r="W17" s="76">
        <f t="shared" si="20"/>
        <v>14583.33333</v>
      </c>
      <c r="X17" s="76">
        <f t="shared" si="20"/>
        <v>14583.33333</v>
      </c>
      <c r="Y17" s="76">
        <f t="shared" si="20"/>
        <v>14583.33333</v>
      </c>
      <c r="Z17" s="76">
        <f t="shared" si="20"/>
        <v>14583.33333</v>
      </c>
      <c r="AA17" s="76">
        <f t="shared" si="20"/>
        <v>14583.33333</v>
      </c>
      <c r="AB17" s="76">
        <f t="shared" si="20"/>
        <v>14583.33333</v>
      </c>
      <c r="AC17" s="76">
        <f t="shared" si="20"/>
        <v>14583.33333</v>
      </c>
      <c r="AD17" s="76">
        <f t="shared" si="20"/>
        <v>14583.33333</v>
      </c>
      <c r="AE17" s="76">
        <f t="shared" si="20"/>
        <v>14583.33333</v>
      </c>
      <c r="AF17" s="76">
        <f t="shared" si="20"/>
        <v>14583.33333</v>
      </c>
      <c r="AG17" s="76">
        <f t="shared" si="20"/>
        <v>14583.33333</v>
      </c>
      <c r="AH17" s="76">
        <f t="shared" si="20"/>
        <v>14583.33333</v>
      </c>
      <c r="AI17" s="76">
        <f t="shared" si="20"/>
        <v>14583.33333</v>
      </c>
      <c r="AJ17" s="76">
        <f t="shared" si="20"/>
        <v>14583.33333</v>
      </c>
      <c r="AK17" s="76">
        <f t="shared" si="20"/>
        <v>14583.33333</v>
      </c>
      <c r="AL17" s="76">
        <f t="shared" si="20"/>
        <v>14583.33333</v>
      </c>
      <c r="AM17" s="76">
        <f t="shared" si="20"/>
        <v>14583.33333</v>
      </c>
      <c r="AN17" s="76">
        <f t="shared" si="20"/>
        <v>14583.33333</v>
      </c>
      <c r="AO17" s="76">
        <f t="shared" si="20"/>
        <v>14583.33333</v>
      </c>
      <c r="AP17" s="76">
        <f t="shared" si="20"/>
        <v>14583.33333</v>
      </c>
      <c r="AQ17" s="76">
        <f t="shared" si="20"/>
        <v>14583.33333</v>
      </c>
      <c r="AR17" s="76">
        <f t="shared" si="20"/>
        <v>14583.33333</v>
      </c>
      <c r="AS17" s="76">
        <f t="shared" si="20"/>
        <v>14583.33333</v>
      </c>
      <c r="AT17" s="76">
        <f t="shared" si="20"/>
        <v>14583.33333</v>
      </c>
      <c r="AU17" s="76">
        <f t="shared" si="20"/>
        <v>14583.33333</v>
      </c>
      <c r="AV17" s="76">
        <f t="shared" si="20"/>
        <v>14583.33333</v>
      </c>
      <c r="AW17" s="76">
        <f t="shared" si="20"/>
        <v>14583.33333</v>
      </c>
      <c r="AX17" s="76">
        <f t="shared" si="20"/>
        <v>14583.33333</v>
      </c>
      <c r="AY17" s="76">
        <f t="shared" si="20"/>
        <v>14583.33333</v>
      </c>
      <c r="AZ17" s="76">
        <f t="shared" si="20"/>
        <v>14583.33333</v>
      </c>
      <c r="BA17" s="76">
        <f t="shared" si="20"/>
        <v>14583.33333</v>
      </c>
      <c r="BB17" s="76">
        <f t="shared" si="20"/>
        <v>14583.33333</v>
      </c>
      <c r="BC17" s="76">
        <f t="shared" si="20"/>
        <v>14583.33333</v>
      </c>
      <c r="BD17" s="76">
        <f t="shared" si="20"/>
        <v>14583.33333</v>
      </c>
      <c r="BE17" s="76">
        <f t="shared" si="20"/>
        <v>14583.33333</v>
      </c>
      <c r="BF17" s="76">
        <f t="shared" si="20"/>
        <v>14583.33333</v>
      </c>
      <c r="BG17" s="76">
        <f t="shared" si="20"/>
        <v>14583.33333</v>
      </c>
      <c r="BH17" s="76">
        <f t="shared" si="20"/>
        <v>14583.33333</v>
      </c>
      <c r="BI17" s="76">
        <f t="shared" si="20"/>
        <v>14583.33333</v>
      </c>
    </row>
    <row r="18" ht="15.75" customHeight="1">
      <c r="A18" s="7"/>
      <c r="B18" s="1" t="s">
        <v>168</v>
      </c>
      <c r="C18" s="1" t="s">
        <v>169</v>
      </c>
      <c r="D18" s="1" t="str">
        <f t="shared" si="9"/>
        <v>Engineering</v>
      </c>
      <c r="E18" s="143">
        <v>182000.0</v>
      </c>
      <c r="F18" s="141">
        <v>43101.0</v>
      </c>
      <c r="G18" s="141"/>
      <c r="H18" s="142">
        <v>0.09</v>
      </c>
      <c r="I18" s="143">
        <f t="shared" si="10"/>
        <v>606.6666667</v>
      </c>
      <c r="J18" s="143">
        <v>500.0</v>
      </c>
      <c r="K18" s="76">
        <f t="shared" si="5"/>
        <v>1106.666667</v>
      </c>
      <c r="L18" s="1"/>
      <c r="M18" s="1"/>
      <c r="N18" s="76">
        <f t="shared" ref="N18:BI18" si="21">IF($F18=0,0, IF(AND(N$1&gt;=$G18,$G18&lt;&gt;0),0,IF(N$1&gt;=$F18,$E18/12,0)))</f>
        <v>15166.66667</v>
      </c>
      <c r="O18" s="76">
        <f t="shared" si="21"/>
        <v>15166.66667</v>
      </c>
      <c r="P18" s="76">
        <f t="shared" si="21"/>
        <v>15166.66667</v>
      </c>
      <c r="Q18" s="76">
        <f t="shared" si="21"/>
        <v>15166.66667</v>
      </c>
      <c r="R18" s="76">
        <f t="shared" si="21"/>
        <v>15166.66667</v>
      </c>
      <c r="S18" s="76">
        <f t="shared" si="21"/>
        <v>15166.66667</v>
      </c>
      <c r="T18" s="76">
        <f t="shared" si="21"/>
        <v>15166.66667</v>
      </c>
      <c r="U18" s="76">
        <f t="shared" si="21"/>
        <v>15166.66667</v>
      </c>
      <c r="V18" s="76">
        <f t="shared" si="21"/>
        <v>15166.66667</v>
      </c>
      <c r="W18" s="76">
        <f t="shared" si="21"/>
        <v>15166.66667</v>
      </c>
      <c r="X18" s="76">
        <f t="shared" si="21"/>
        <v>15166.66667</v>
      </c>
      <c r="Y18" s="76">
        <f t="shared" si="21"/>
        <v>15166.66667</v>
      </c>
      <c r="Z18" s="76">
        <f t="shared" si="21"/>
        <v>15166.66667</v>
      </c>
      <c r="AA18" s="76">
        <f t="shared" si="21"/>
        <v>15166.66667</v>
      </c>
      <c r="AB18" s="76">
        <f t="shared" si="21"/>
        <v>15166.66667</v>
      </c>
      <c r="AC18" s="76">
        <f t="shared" si="21"/>
        <v>15166.66667</v>
      </c>
      <c r="AD18" s="76">
        <f t="shared" si="21"/>
        <v>15166.66667</v>
      </c>
      <c r="AE18" s="76">
        <f t="shared" si="21"/>
        <v>15166.66667</v>
      </c>
      <c r="AF18" s="76">
        <f t="shared" si="21"/>
        <v>15166.66667</v>
      </c>
      <c r="AG18" s="76">
        <f t="shared" si="21"/>
        <v>15166.66667</v>
      </c>
      <c r="AH18" s="76">
        <f t="shared" si="21"/>
        <v>15166.66667</v>
      </c>
      <c r="AI18" s="76">
        <f t="shared" si="21"/>
        <v>15166.66667</v>
      </c>
      <c r="AJ18" s="76">
        <f t="shared" si="21"/>
        <v>15166.66667</v>
      </c>
      <c r="AK18" s="76">
        <f t="shared" si="21"/>
        <v>15166.66667</v>
      </c>
      <c r="AL18" s="76">
        <f t="shared" si="21"/>
        <v>15166.66667</v>
      </c>
      <c r="AM18" s="76">
        <f t="shared" si="21"/>
        <v>15166.66667</v>
      </c>
      <c r="AN18" s="76">
        <f t="shared" si="21"/>
        <v>15166.66667</v>
      </c>
      <c r="AO18" s="76">
        <f t="shared" si="21"/>
        <v>15166.66667</v>
      </c>
      <c r="AP18" s="76">
        <f t="shared" si="21"/>
        <v>15166.66667</v>
      </c>
      <c r="AQ18" s="76">
        <f t="shared" si="21"/>
        <v>15166.66667</v>
      </c>
      <c r="AR18" s="76">
        <f t="shared" si="21"/>
        <v>15166.66667</v>
      </c>
      <c r="AS18" s="76">
        <f t="shared" si="21"/>
        <v>15166.66667</v>
      </c>
      <c r="AT18" s="76">
        <f t="shared" si="21"/>
        <v>15166.66667</v>
      </c>
      <c r="AU18" s="76">
        <f t="shared" si="21"/>
        <v>15166.66667</v>
      </c>
      <c r="AV18" s="76">
        <f t="shared" si="21"/>
        <v>15166.66667</v>
      </c>
      <c r="AW18" s="76">
        <f t="shared" si="21"/>
        <v>15166.66667</v>
      </c>
      <c r="AX18" s="76">
        <f t="shared" si="21"/>
        <v>15166.66667</v>
      </c>
      <c r="AY18" s="76">
        <f t="shared" si="21"/>
        <v>15166.66667</v>
      </c>
      <c r="AZ18" s="76">
        <f t="shared" si="21"/>
        <v>15166.66667</v>
      </c>
      <c r="BA18" s="76">
        <f t="shared" si="21"/>
        <v>15166.66667</v>
      </c>
      <c r="BB18" s="76">
        <f t="shared" si="21"/>
        <v>15166.66667</v>
      </c>
      <c r="BC18" s="76">
        <f t="shared" si="21"/>
        <v>15166.66667</v>
      </c>
      <c r="BD18" s="76">
        <f t="shared" si="21"/>
        <v>15166.66667</v>
      </c>
      <c r="BE18" s="76">
        <f t="shared" si="21"/>
        <v>15166.66667</v>
      </c>
      <c r="BF18" s="76">
        <f t="shared" si="21"/>
        <v>15166.66667</v>
      </c>
      <c r="BG18" s="76">
        <f t="shared" si="21"/>
        <v>15166.66667</v>
      </c>
      <c r="BH18" s="76">
        <f t="shared" si="21"/>
        <v>15166.66667</v>
      </c>
      <c r="BI18" s="76">
        <f t="shared" si="21"/>
        <v>15166.66667</v>
      </c>
    </row>
    <row r="19" ht="15.75" customHeight="1">
      <c r="A19" s="7"/>
      <c r="B19" s="1" t="s">
        <v>170</v>
      </c>
      <c r="C19" s="1" t="s">
        <v>169</v>
      </c>
      <c r="D19" s="1" t="str">
        <f t="shared" si="9"/>
        <v>Engineering</v>
      </c>
      <c r="E19" s="143">
        <v>175000.0</v>
      </c>
      <c r="F19" s="141">
        <v>43770.0</v>
      </c>
      <c r="G19" s="144">
        <v>43951.0</v>
      </c>
      <c r="H19" s="142">
        <v>0.09</v>
      </c>
      <c r="I19" s="143">
        <f t="shared" si="10"/>
        <v>583.3333333</v>
      </c>
      <c r="J19" s="143">
        <v>500.0</v>
      </c>
      <c r="K19" s="96">
        <f t="shared" si="5"/>
        <v>1083.333333</v>
      </c>
      <c r="L19" s="1"/>
      <c r="M19" s="1"/>
      <c r="N19" s="96">
        <f t="shared" ref="N19:BI19" si="22">IF($F19=0,0, IF(AND(N$1&gt;=$G19,$G19&lt;&gt;0),0,IF(N$1&gt;=$F19,$E19/12,0)))</f>
        <v>0</v>
      </c>
      <c r="O19" s="96">
        <f t="shared" si="22"/>
        <v>0</v>
      </c>
      <c r="P19" s="96">
        <f t="shared" si="22"/>
        <v>0</v>
      </c>
      <c r="Q19" s="96">
        <f t="shared" si="22"/>
        <v>0</v>
      </c>
      <c r="R19" s="96">
        <f t="shared" si="22"/>
        <v>0</v>
      </c>
      <c r="S19" s="96">
        <f t="shared" si="22"/>
        <v>0</v>
      </c>
      <c r="T19" s="96">
        <f t="shared" si="22"/>
        <v>0</v>
      </c>
      <c r="U19" s="96">
        <f t="shared" si="22"/>
        <v>0</v>
      </c>
      <c r="V19" s="96">
        <f t="shared" si="22"/>
        <v>0</v>
      </c>
      <c r="W19" s="96">
        <f t="shared" si="22"/>
        <v>0</v>
      </c>
      <c r="X19" s="96">
        <f t="shared" si="22"/>
        <v>0</v>
      </c>
      <c r="Y19" s="96">
        <f t="shared" si="22"/>
        <v>0</v>
      </c>
      <c r="Z19" s="96">
        <f t="shared" si="22"/>
        <v>0</v>
      </c>
      <c r="AA19" s="96">
        <f t="shared" si="22"/>
        <v>0</v>
      </c>
      <c r="AB19" s="96">
        <f t="shared" si="22"/>
        <v>0</v>
      </c>
      <c r="AC19" s="96">
        <f t="shared" si="22"/>
        <v>0</v>
      </c>
      <c r="AD19" s="96">
        <f t="shared" si="22"/>
        <v>0</v>
      </c>
      <c r="AE19" s="96">
        <f t="shared" si="22"/>
        <v>0</v>
      </c>
      <c r="AF19" s="96">
        <f t="shared" si="22"/>
        <v>0</v>
      </c>
      <c r="AG19" s="96">
        <f t="shared" si="22"/>
        <v>0</v>
      </c>
      <c r="AH19" s="96">
        <f t="shared" si="22"/>
        <v>0</v>
      </c>
      <c r="AI19" s="96">
        <f t="shared" si="22"/>
        <v>0</v>
      </c>
      <c r="AJ19" s="96">
        <f t="shared" si="22"/>
        <v>0</v>
      </c>
      <c r="AK19" s="96">
        <f t="shared" si="22"/>
        <v>0</v>
      </c>
      <c r="AL19" s="96">
        <f t="shared" si="22"/>
        <v>0</v>
      </c>
      <c r="AM19" s="96">
        <f t="shared" si="22"/>
        <v>0</v>
      </c>
      <c r="AN19" s="96">
        <f t="shared" si="22"/>
        <v>0</v>
      </c>
      <c r="AO19" s="96">
        <f t="shared" si="22"/>
        <v>0</v>
      </c>
      <c r="AP19" s="96">
        <f t="shared" si="22"/>
        <v>0</v>
      </c>
      <c r="AQ19" s="96">
        <f t="shared" si="22"/>
        <v>0</v>
      </c>
      <c r="AR19" s="96">
        <f t="shared" si="22"/>
        <v>0</v>
      </c>
      <c r="AS19" s="96">
        <f t="shared" si="22"/>
        <v>0</v>
      </c>
      <c r="AT19" s="96">
        <f t="shared" si="22"/>
        <v>0</v>
      </c>
      <c r="AU19" s="96">
        <f t="shared" si="22"/>
        <v>0</v>
      </c>
      <c r="AV19" s="96">
        <f t="shared" si="22"/>
        <v>0</v>
      </c>
      <c r="AW19" s="96">
        <f t="shared" si="22"/>
        <v>0</v>
      </c>
      <c r="AX19" s="96">
        <f t="shared" si="22"/>
        <v>0</v>
      </c>
      <c r="AY19" s="96">
        <f t="shared" si="22"/>
        <v>0</v>
      </c>
      <c r="AZ19" s="96">
        <f t="shared" si="22"/>
        <v>0</v>
      </c>
      <c r="BA19" s="96">
        <f t="shared" si="22"/>
        <v>0</v>
      </c>
      <c r="BB19" s="96">
        <f t="shared" si="22"/>
        <v>0</v>
      </c>
      <c r="BC19" s="96">
        <f t="shared" si="22"/>
        <v>0</v>
      </c>
      <c r="BD19" s="96">
        <f t="shared" si="22"/>
        <v>0</v>
      </c>
      <c r="BE19" s="96">
        <f t="shared" si="22"/>
        <v>0</v>
      </c>
      <c r="BF19" s="96">
        <f t="shared" si="22"/>
        <v>0</v>
      </c>
      <c r="BG19" s="96">
        <f t="shared" si="22"/>
        <v>0</v>
      </c>
      <c r="BH19" s="96">
        <f t="shared" si="22"/>
        <v>0</v>
      </c>
      <c r="BI19" s="96">
        <f t="shared" si="22"/>
        <v>0</v>
      </c>
    </row>
    <row r="20" ht="15.75" customHeight="1">
      <c r="A20" s="7"/>
      <c r="B20" s="1" t="s">
        <v>171</v>
      </c>
      <c r="C20" s="1" t="s">
        <v>169</v>
      </c>
      <c r="D20" s="1" t="str">
        <f t="shared" si="9"/>
        <v>Engineering</v>
      </c>
      <c r="E20" s="143">
        <v>185000.0</v>
      </c>
      <c r="F20" s="141">
        <v>43647.0</v>
      </c>
      <c r="G20" s="144">
        <v>43951.0</v>
      </c>
      <c r="H20" s="142">
        <v>0.09</v>
      </c>
      <c r="I20" s="143">
        <f t="shared" si="10"/>
        <v>616.6666667</v>
      </c>
      <c r="J20" s="143">
        <v>500.0</v>
      </c>
      <c r="K20" s="96">
        <f t="shared" si="5"/>
        <v>1116.666667</v>
      </c>
      <c r="L20" s="1"/>
      <c r="M20" s="1"/>
      <c r="N20" s="96">
        <f t="shared" ref="N20:BI20" si="23">IF($F20=0,0, IF(AND(N$1&gt;=$G20,$G20&lt;&gt;0),0,IF(N$1&gt;=$F20,$E20/12,0)))</f>
        <v>0</v>
      </c>
      <c r="O20" s="96">
        <f t="shared" si="23"/>
        <v>0</v>
      </c>
      <c r="P20" s="96">
        <f t="shared" si="23"/>
        <v>0</v>
      </c>
      <c r="Q20" s="96">
        <f t="shared" si="23"/>
        <v>0</v>
      </c>
      <c r="R20" s="96">
        <f t="shared" si="23"/>
        <v>0</v>
      </c>
      <c r="S20" s="96">
        <f t="shared" si="23"/>
        <v>0</v>
      </c>
      <c r="T20" s="96">
        <f t="shared" si="23"/>
        <v>0</v>
      </c>
      <c r="U20" s="96">
        <f t="shared" si="23"/>
        <v>0</v>
      </c>
      <c r="V20" s="96">
        <f t="shared" si="23"/>
        <v>0</v>
      </c>
      <c r="W20" s="96">
        <f t="shared" si="23"/>
        <v>0</v>
      </c>
      <c r="X20" s="96">
        <f t="shared" si="23"/>
        <v>0</v>
      </c>
      <c r="Y20" s="96">
        <f t="shared" si="23"/>
        <v>0</v>
      </c>
      <c r="Z20" s="96">
        <f t="shared" si="23"/>
        <v>0</v>
      </c>
      <c r="AA20" s="96">
        <f t="shared" si="23"/>
        <v>0</v>
      </c>
      <c r="AB20" s="96">
        <f t="shared" si="23"/>
        <v>0</v>
      </c>
      <c r="AC20" s="96">
        <f t="shared" si="23"/>
        <v>0</v>
      </c>
      <c r="AD20" s="96">
        <f t="shared" si="23"/>
        <v>0</v>
      </c>
      <c r="AE20" s="96">
        <f t="shared" si="23"/>
        <v>0</v>
      </c>
      <c r="AF20" s="96">
        <f t="shared" si="23"/>
        <v>0</v>
      </c>
      <c r="AG20" s="96">
        <f t="shared" si="23"/>
        <v>0</v>
      </c>
      <c r="AH20" s="96">
        <f t="shared" si="23"/>
        <v>0</v>
      </c>
      <c r="AI20" s="96">
        <f t="shared" si="23"/>
        <v>0</v>
      </c>
      <c r="AJ20" s="96">
        <f t="shared" si="23"/>
        <v>0</v>
      </c>
      <c r="AK20" s="96">
        <f t="shared" si="23"/>
        <v>0</v>
      </c>
      <c r="AL20" s="96">
        <f t="shared" si="23"/>
        <v>0</v>
      </c>
      <c r="AM20" s="96">
        <f t="shared" si="23"/>
        <v>0</v>
      </c>
      <c r="AN20" s="96">
        <f t="shared" si="23"/>
        <v>0</v>
      </c>
      <c r="AO20" s="96">
        <f t="shared" si="23"/>
        <v>0</v>
      </c>
      <c r="AP20" s="96">
        <f t="shared" si="23"/>
        <v>0</v>
      </c>
      <c r="AQ20" s="96">
        <f t="shared" si="23"/>
        <v>0</v>
      </c>
      <c r="AR20" s="96">
        <f t="shared" si="23"/>
        <v>0</v>
      </c>
      <c r="AS20" s="96">
        <f t="shared" si="23"/>
        <v>0</v>
      </c>
      <c r="AT20" s="96">
        <f t="shared" si="23"/>
        <v>0</v>
      </c>
      <c r="AU20" s="96">
        <f t="shared" si="23"/>
        <v>0</v>
      </c>
      <c r="AV20" s="96">
        <f t="shared" si="23"/>
        <v>0</v>
      </c>
      <c r="AW20" s="96">
        <f t="shared" si="23"/>
        <v>0</v>
      </c>
      <c r="AX20" s="96">
        <f t="shared" si="23"/>
        <v>0</v>
      </c>
      <c r="AY20" s="96">
        <f t="shared" si="23"/>
        <v>0</v>
      </c>
      <c r="AZ20" s="96">
        <f t="shared" si="23"/>
        <v>0</v>
      </c>
      <c r="BA20" s="96">
        <f t="shared" si="23"/>
        <v>0</v>
      </c>
      <c r="BB20" s="96">
        <f t="shared" si="23"/>
        <v>0</v>
      </c>
      <c r="BC20" s="96">
        <f t="shared" si="23"/>
        <v>0</v>
      </c>
      <c r="BD20" s="96">
        <f t="shared" si="23"/>
        <v>0</v>
      </c>
      <c r="BE20" s="96">
        <f t="shared" si="23"/>
        <v>0</v>
      </c>
      <c r="BF20" s="96">
        <f t="shared" si="23"/>
        <v>0</v>
      </c>
      <c r="BG20" s="96">
        <f t="shared" si="23"/>
        <v>0</v>
      </c>
      <c r="BH20" s="96">
        <f t="shared" si="23"/>
        <v>0</v>
      </c>
      <c r="BI20" s="96">
        <f t="shared" si="23"/>
        <v>0</v>
      </c>
    </row>
    <row r="21" ht="15.75" customHeight="1">
      <c r="A21" s="7"/>
      <c r="B21" s="1" t="s">
        <v>172</v>
      </c>
      <c r="C21" s="1" t="s">
        <v>169</v>
      </c>
      <c r="D21" s="1" t="str">
        <f t="shared" si="9"/>
        <v>Engineering</v>
      </c>
      <c r="E21" s="143">
        <v>175000.0</v>
      </c>
      <c r="F21" s="141">
        <v>43739.0</v>
      </c>
      <c r="G21" s="144">
        <v>43951.0</v>
      </c>
      <c r="H21" s="142">
        <v>0.09</v>
      </c>
      <c r="I21" s="143">
        <f t="shared" si="10"/>
        <v>583.3333333</v>
      </c>
      <c r="J21" s="143">
        <v>500.0</v>
      </c>
      <c r="K21" s="96">
        <f t="shared" si="5"/>
        <v>1083.333333</v>
      </c>
      <c r="L21" s="1"/>
      <c r="M21" s="1"/>
      <c r="N21" s="96">
        <f t="shared" ref="N21:BI21" si="24">IF($F21=0,0, IF(AND(N$1&gt;=$G21,$G21&lt;&gt;0),0,IF(N$1&gt;=$F21,$E21/12,0)))</f>
        <v>0</v>
      </c>
      <c r="O21" s="96">
        <f t="shared" si="24"/>
        <v>0</v>
      </c>
      <c r="P21" s="96">
        <f t="shared" si="24"/>
        <v>0</v>
      </c>
      <c r="Q21" s="96">
        <f t="shared" si="24"/>
        <v>0</v>
      </c>
      <c r="R21" s="96">
        <f t="shared" si="24"/>
        <v>0</v>
      </c>
      <c r="S21" s="96">
        <f t="shared" si="24"/>
        <v>0</v>
      </c>
      <c r="T21" s="96">
        <f t="shared" si="24"/>
        <v>0</v>
      </c>
      <c r="U21" s="96">
        <f t="shared" si="24"/>
        <v>0</v>
      </c>
      <c r="V21" s="96">
        <f t="shared" si="24"/>
        <v>0</v>
      </c>
      <c r="W21" s="96">
        <f t="shared" si="24"/>
        <v>0</v>
      </c>
      <c r="X21" s="96">
        <f t="shared" si="24"/>
        <v>0</v>
      </c>
      <c r="Y21" s="96">
        <f t="shared" si="24"/>
        <v>0</v>
      </c>
      <c r="Z21" s="96">
        <f t="shared" si="24"/>
        <v>0</v>
      </c>
      <c r="AA21" s="96">
        <f t="shared" si="24"/>
        <v>0</v>
      </c>
      <c r="AB21" s="96">
        <f t="shared" si="24"/>
        <v>0</v>
      </c>
      <c r="AC21" s="96">
        <f t="shared" si="24"/>
        <v>0</v>
      </c>
      <c r="AD21" s="96">
        <f t="shared" si="24"/>
        <v>0</v>
      </c>
      <c r="AE21" s="96">
        <f t="shared" si="24"/>
        <v>0</v>
      </c>
      <c r="AF21" s="96">
        <f t="shared" si="24"/>
        <v>0</v>
      </c>
      <c r="AG21" s="96">
        <f t="shared" si="24"/>
        <v>0</v>
      </c>
      <c r="AH21" s="96">
        <f t="shared" si="24"/>
        <v>0</v>
      </c>
      <c r="AI21" s="96">
        <f t="shared" si="24"/>
        <v>0</v>
      </c>
      <c r="AJ21" s="96">
        <f t="shared" si="24"/>
        <v>0</v>
      </c>
      <c r="AK21" s="96">
        <f t="shared" si="24"/>
        <v>0</v>
      </c>
      <c r="AL21" s="96">
        <f t="shared" si="24"/>
        <v>0</v>
      </c>
      <c r="AM21" s="96">
        <f t="shared" si="24"/>
        <v>0</v>
      </c>
      <c r="AN21" s="96">
        <f t="shared" si="24"/>
        <v>0</v>
      </c>
      <c r="AO21" s="96">
        <f t="shared" si="24"/>
        <v>0</v>
      </c>
      <c r="AP21" s="96">
        <f t="shared" si="24"/>
        <v>0</v>
      </c>
      <c r="AQ21" s="96">
        <f t="shared" si="24"/>
        <v>0</v>
      </c>
      <c r="AR21" s="96">
        <f t="shared" si="24"/>
        <v>0</v>
      </c>
      <c r="AS21" s="96">
        <f t="shared" si="24"/>
        <v>0</v>
      </c>
      <c r="AT21" s="96">
        <f t="shared" si="24"/>
        <v>0</v>
      </c>
      <c r="AU21" s="96">
        <f t="shared" si="24"/>
        <v>0</v>
      </c>
      <c r="AV21" s="96">
        <f t="shared" si="24"/>
        <v>0</v>
      </c>
      <c r="AW21" s="96">
        <f t="shared" si="24"/>
        <v>0</v>
      </c>
      <c r="AX21" s="96">
        <f t="shared" si="24"/>
        <v>0</v>
      </c>
      <c r="AY21" s="96">
        <f t="shared" si="24"/>
        <v>0</v>
      </c>
      <c r="AZ21" s="96">
        <f t="shared" si="24"/>
        <v>0</v>
      </c>
      <c r="BA21" s="96">
        <f t="shared" si="24"/>
        <v>0</v>
      </c>
      <c r="BB21" s="96">
        <f t="shared" si="24"/>
        <v>0</v>
      </c>
      <c r="BC21" s="96">
        <f t="shared" si="24"/>
        <v>0</v>
      </c>
      <c r="BD21" s="96">
        <f t="shared" si="24"/>
        <v>0</v>
      </c>
      <c r="BE21" s="96">
        <f t="shared" si="24"/>
        <v>0</v>
      </c>
      <c r="BF21" s="96">
        <f t="shared" si="24"/>
        <v>0</v>
      </c>
      <c r="BG21" s="96">
        <f t="shared" si="24"/>
        <v>0</v>
      </c>
      <c r="BH21" s="96">
        <f t="shared" si="24"/>
        <v>0</v>
      </c>
      <c r="BI21" s="96">
        <f t="shared" si="24"/>
        <v>0</v>
      </c>
    </row>
    <row r="22" ht="15.75" customHeight="1">
      <c r="A22" s="7"/>
      <c r="B22" s="1" t="s">
        <v>173</v>
      </c>
      <c r="C22" s="1" t="s">
        <v>169</v>
      </c>
      <c r="D22" s="1" t="str">
        <f t="shared" si="9"/>
        <v>Engineering</v>
      </c>
      <c r="E22" s="143">
        <v>175000.0</v>
      </c>
      <c r="F22" s="141">
        <v>43831.0</v>
      </c>
      <c r="G22" s="144">
        <v>43951.0</v>
      </c>
      <c r="H22" s="142">
        <v>0.09</v>
      </c>
      <c r="I22" s="143">
        <f t="shared" si="10"/>
        <v>583.3333333</v>
      </c>
      <c r="J22" s="143">
        <v>500.0</v>
      </c>
      <c r="K22" s="96">
        <f t="shared" si="5"/>
        <v>1083.333333</v>
      </c>
      <c r="L22" s="1"/>
      <c r="M22" s="1"/>
      <c r="N22" s="96">
        <f t="shared" ref="N22:BI22" si="25">IF($F22=0,0, IF(AND(N$1&gt;=$G22,$G22&lt;&gt;0),0,IF(N$1&gt;=$F22,$E22/12,0)))</f>
        <v>0</v>
      </c>
      <c r="O22" s="96">
        <f t="shared" si="25"/>
        <v>0</v>
      </c>
      <c r="P22" s="96">
        <f t="shared" si="25"/>
        <v>0</v>
      </c>
      <c r="Q22" s="96">
        <f t="shared" si="25"/>
        <v>0</v>
      </c>
      <c r="R22" s="96">
        <f t="shared" si="25"/>
        <v>0</v>
      </c>
      <c r="S22" s="96">
        <f t="shared" si="25"/>
        <v>0</v>
      </c>
      <c r="T22" s="96">
        <f t="shared" si="25"/>
        <v>0</v>
      </c>
      <c r="U22" s="96">
        <f t="shared" si="25"/>
        <v>0</v>
      </c>
      <c r="V22" s="96">
        <f t="shared" si="25"/>
        <v>0</v>
      </c>
      <c r="W22" s="96">
        <f t="shared" si="25"/>
        <v>0</v>
      </c>
      <c r="X22" s="96">
        <f t="shared" si="25"/>
        <v>0</v>
      </c>
      <c r="Y22" s="96">
        <f t="shared" si="25"/>
        <v>0</v>
      </c>
      <c r="Z22" s="96">
        <f t="shared" si="25"/>
        <v>0</v>
      </c>
      <c r="AA22" s="96">
        <f t="shared" si="25"/>
        <v>0</v>
      </c>
      <c r="AB22" s="96">
        <f t="shared" si="25"/>
        <v>0</v>
      </c>
      <c r="AC22" s="96">
        <f t="shared" si="25"/>
        <v>0</v>
      </c>
      <c r="AD22" s="96">
        <f t="shared" si="25"/>
        <v>0</v>
      </c>
      <c r="AE22" s="96">
        <f t="shared" si="25"/>
        <v>0</v>
      </c>
      <c r="AF22" s="96">
        <f t="shared" si="25"/>
        <v>0</v>
      </c>
      <c r="AG22" s="96">
        <f t="shared" si="25"/>
        <v>0</v>
      </c>
      <c r="AH22" s="96">
        <f t="shared" si="25"/>
        <v>0</v>
      </c>
      <c r="AI22" s="96">
        <f t="shared" si="25"/>
        <v>0</v>
      </c>
      <c r="AJ22" s="96">
        <f t="shared" si="25"/>
        <v>0</v>
      </c>
      <c r="AK22" s="96">
        <f t="shared" si="25"/>
        <v>0</v>
      </c>
      <c r="AL22" s="96">
        <f t="shared" si="25"/>
        <v>0</v>
      </c>
      <c r="AM22" s="96">
        <f t="shared" si="25"/>
        <v>0</v>
      </c>
      <c r="AN22" s="96">
        <f t="shared" si="25"/>
        <v>0</v>
      </c>
      <c r="AO22" s="96">
        <f t="shared" si="25"/>
        <v>0</v>
      </c>
      <c r="AP22" s="96">
        <f t="shared" si="25"/>
        <v>0</v>
      </c>
      <c r="AQ22" s="96">
        <f t="shared" si="25"/>
        <v>0</v>
      </c>
      <c r="AR22" s="96">
        <f t="shared" si="25"/>
        <v>0</v>
      </c>
      <c r="AS22" s="96">
        <f t="shared" si="25"/>
        <v>0</v>
      </c>
      <c r="AT22" s="96">
        <f t="shared" si="25"/>
        <v>0</v>
      </c>
      <c r="AU22" s="96">
        <f t="shared" si="25"/>
        <v>0</v>
      </c>
      <c r="AV22" s="96">
        <f t="shared" si="25"/>
        <v>0</v>
      </c>
      <c r="AW22" s="96">
        <f t="shared" si="25"/>
        <v>0</v>
      </c>
      <c r="AX22" s="96">
        <f t="shared" si="25"/>
        <v>0</v>
      </c>
      <c r="AY22" s="96">
        <f t="shared" si="25"/>
        <v>0</v>
      </c>
      <c r="AZ22" s="96">
        <f t="shared" si="25"/>
        <v>0</v>
      </c>
      <c r="BA22" s="96">
        <f t="shared" si="25"/>
        <v>0</v>
      </c>
      <c r="BB22" s="96">
        <f t="shared" si="25"/>
        <v>0</v>
      </c>
      <c r="BC22" s="96">
        <f t="shared" si="25"/>
        <v>0</v>
      </c>
      <c r="BD22" s="96">
        <f t="shared" si="25"/>
        <v>0</v>
      </c>
      <c r="BE22" s="96">
        <f t="shared" si="25"/>
        <v>0</v>
      </c>
      <c r="BF22" s="96">
        <f t="shared" si="25"/>
        <v>0</v>
      </c>
      <c r="BG22" s="96">
        <f t="shared" si="25"/>
        <v>0</v>
      </c>
      <c r="BH22" s="96">
        <f t="shared" si="25"/>
        <v>0</v>
      </c>
      <c r="BI22" s="96">
        <f t="shared" si="25"/>
        <v>0</v>
      </c>
    </row>
    <row r="23" ht="15.75" customHeight="1">
      <c r="A23" s="7"/>
      <c r="B23" s="1" t="s">
        <v>174</v>
      </c>
      <c r="C23" s="1" t="s">
        <v>169</v>
      </c>
      <c r="D23" s="1" t="str">
        <f t="shared" si="9"/>
        <v>Engineering</v>
      </c>
      <c r="E23" s="143">
        <v>182000.0</v>
      </c>
      <c r="F23" s="141">
        <v>43891.0</v>
      </c>
      <c r="G23" s="144">
        <v>43951.0</v>
      </c>
      <c r="H23" s="142">
        <v>0.09</v>
      </c>
      <c r="I23" s="143">
        <f t="shared" si="10"/>
        <v>606.6666667</v>
      </c>
      <c r="J23" s="143">
        <v>500.0</v>
      </c>
      <c r="K23" s="96">
        <f t="shared" si="5"/>
        <v>1106.666667</v>
      </c>
      <c r="L23" s="1"/>
      <c r="M23" s="1"/>
      <c r="N23" s="96">
        <f t="shared" ref="N23:BI23" si="26">IF($F23=0,0, IF(AND(N$1&gt;=$G23,$G23&lt;&gt;0),0,IF(N$1&gt;=$F23,$E23/12,0)))</f>
        <v>0</v>
      </c>
      <c r="O23" s="96">
        <f t="shared" si="26"/>
        <v>0</v>
      </c>
      <c r="P23" s="96">
        <f t="shared" si="26"/>
        <v>0</v>
      </c>
      <c r="Q23" s="96">
        <f t="shared" si="26"/>
        <v>0</v>
      </c>
      <c r="R23" s="96">
        <f t="shared" si="26"/>
        <v>0</v>
      </c>
      <c r="S23" s="96">
        <f t="shared" si="26"/>
        <v>0</v>
      </c>
      <c r="T23" s="96">
        <f t="shared" si="26"/>
        <v>0</v>
      </c>
      <c r="U23" s="96">
        <f t="shared" si="26"/>
        <v>0</v>
      </c>
      <c r="V23" s="96">
        <f t="shared" si="26"/>
        <v>0</v>
      </c>
      <c r="W23" s="96">
        <f t="shared" si="26"/>
        <v>0</v>
      </c>
      <c r="X23" s="96">
        <f t="shared" si="26"/>
        <v>0</v>
      </c>
      <c r="Y23" s="96">
        <f t="shared" si="26"/>
        <v>0</v>
      </c>
      <c r="Z23" s="96">
        <f t="shared" si="26"/>
        <v>0</v>
      </c>
      <c r="AA23" s="96">
        <f t="shared" si="26"/>
        <v>0</v>
      </c>
      <c r="AB23" s="96">
        <f t="shared" si="26"/>
        <v>0</v>
      </c>
      <c r="AC23" s="96">
        <f t="shared" si="26"/>
        <v>0</v>
      </c>
      <c r="AD23" s="96">
        <f t="shared" si="26"/>
        <v>0</v>
      </c>
      <c r="AE23" s="96">
        <f t="shared" si="26"/>
        <v>0</v>
      </c>
      <c r="AF23" s="96">
        <f t="shared" si="26"/>
        <v>0</v>
      </c>
      <c r="AG23" s="96">
        <f t="shared" si="26"/>
        <v>0</v>
      </c>
      <c r="AH23" s="96">
        <f t="shared" si="26"/>
        <v>0</v>
      </c>
      <c r="AI23" s="96">
        <f t="shared" si="26"/>
        <v>0</v>
      </c>
      <c r="AJ23" s="96">
        <f t="shared" si="26"/>
        <v>0</v>
      </c>
      <c r="AK23" s="96">
        <f t="shared" si="26"/>
        <v>0</v>
      </c>
      <c r="AL23" s="96">
        <f t="shared" si="26"/>
        <v>0</v>
      </c>
      <c r="AM23" s="96">
        <f t="shared" si="26"/>
        <v>0</v>
      </c>
      <c r="AN23" s="96">
        <f t="shared" si="26"/>
        <v>0</v>
      </c>
      <c r="AO23" s="96">
        <f t="shared" si="26"/>
        <v>0</v>
      </c>
      <c r="AP23" s="96">
        <f t="shared" si="26"/>
        <v>0</v>
      </c>
      <c r="AQ23" s="96">
        <f t="shared" si="26"/>
        <v>0</v>
      </c>
      <c r="AR23" s="96">
        <f t="shared" si="26"/>
        <v>0</v>
      </c>
      <c r="AS23" s="96">
        <f t="shared" si="26"/>
        <v>0</v>
      </c>
      <c r="AT23" s="96">
        <f t="shared" si="26"/>
        <v>0</v>
      </c>
      <c r="AU23" s="96">
        <f t="shared" si="26"/>
        <v>0</v>
      </c>
      <c r="AV23" s="96">
        <f t="shared" si="26"/>
        <v>0</v>
      </c>
      <c r="AW23" s="96">
        <f t="shared" si="26"/>
        <v>0</v>
      </c>
      <c r="AX23" s="96">
        <f t="shared" si="26"/>
        <v>0</v>
      </c>
      <c r="AY23" s="96">
        <f t="shared" si="26"/>
        <v>0</v>
      </c>
      <c r="AZ23" s="96">
        <f t="shared" si="26"/>
        <v>0</v>
      </c>
      <c r="BA23" s="96">
        <f t="shared" si="26"/>
        <v>0</v>
      </c>
      <c r="BB23" s="96">
        <f t="shared" si="26"/>
        <v>0</v>
      </c>
      <c r="BC23" s="96">
        <f t="shared" si="26"/>
        <v>0</v>
      </c>
      <c r="BD23" s="96">
        <f t="shared" si="26"/>
        <v>0</v>
      </c>
      <c r="BE23" s="96">
        <f t="shared" si="26"/>
        <v>0</v>
      </c>
      <c r="BF23" s="96">
        <f t="shared" si="26"/>
        <v>0</v>
      </c>
      <c r="BG23" s="96">
        <f t="shared" si="26"/>
        <v>0</v>
      </c>
      <c r="BH23" s="96">
        <f t="shared" si="26"/>
        <v>0</v>
      </c>
      <c r="BI23" s="96">
        <f t="shared" si="26"/>
        <v>0</v>
      </c>
    </row>
    <row r="24" ht="15.75" customHeight="1">
      <c r="A24" s="7"/>
      <c r="B24" s="1" t="s">
        <v>175</v>
      </c>
      <c r="C24" s="1" t="s">
        <v>169</v>
      </c>
      <c r="D24" s="1" t="str">
        <f t="shared" si="9"/>
        <v>Engineering</v>
      </c>
      <c r="E24" s="143">
        <v>165000.0</v>
      </c>
      <c r="F24" s="144"/>
      <c r="G24" s="141"/>
      <c r="H24" s="142">
        <v>0.09</v>
      </c>
      <c r="I24" s="143">
        <f t="shared" si="10"/>
        <v>550</v>
      </c>
      <c r="J24" s="143">
        <v>500.0</v>
      </c>
      <c r="K24" s="96">
        <f t="shared" si="5"/>
        <v>1050</v>
      </c>
      <c r="L24" s="1"/>
      <c r="M24" s="1"/>
      <c r="N24" s="96">
        <f t="shared" ref="N24:BI24" si="27">IF($F24=0,0, IF(AND(N$1&gt;=$G24,$G24&lt;&gt;0),0,IF(N$1&gt;=$F24,$E24/12,0)))</f>
        <v>0</v>
      </c>
      <c r="O24" s="96">
        <f t="shared" si="27"/>
        <v>0</v>
      </c>
      <c r="P24" s="96">
        <f t="shared" si="27"/>
        <v>0</v>
      </c>
      <c r="Q24" s="96">
        <f t="shared" si="27"/>
        <v>0</v>
      </c>
      <c r="R24" s="96">
        <f t="shared" si="27"/>
        <v>0</v>
      </c>
      <c r="S24" s="96">
        <f t="shared" si="27"/>
        <v>0</v>
      </c>
      <c r="T24" s="96">
        <f t="shared" si="27"/>
        <v>0</v>
      </c>
      <c r="U24" s="96">
        <f t="shared" si="27"/>
        <v>0</v>
      </c>
      <c r="V24" s="96">
        <f t="shared" si="27"/>
        <v>0</v>
      </c>
      <c r="W24" s="96">
        <f t="shared" si="27"/>
        <v>0</v>
      </c>
      <c r="X24" s="96">
        <f t="shared" si="27"/>
        <v>0</v>
      </c>
      <c r="Y24" s="96">
        <f t="shared" si="27"/>
        <v>0</v>
      </c>
      <c r="Z24" s="96">
        <f t="shared" si="27"/>
        <v>0</v>
      </c>
      <c r="AA24" s="96">
        <f t="shared" si="27"/>
        <v>0</v>
      </c>
      <c r="AB24" s="96">
        <f t="shared" si="27"/>
        <v>0</v>
      </c>
      <c r="AC24" s="96">
        <f t="shared" si="27"/>
        <v>0</v>
      </c>
      <c r="AD24" s="96">
        <f t="shared" si="27"/>
        <v>0</v>
      </c>
      <c r="AE24" s="96">
        <f t="shared" si="27"/>
        <v>0</v>
      </c>
      <c r="AF24" s="96">
        <f t="shared" si="27"/>
        <v>0</v>
      </c>
      <c r="AG24" s="96">
        <f t="shared" si="27"/>
        <v>0</v>
      </c>
      <c r="AH24" s="96">
        <f t="shared" si="27"/>
        <v>0</v>
      </c>
      <c r="AI24" s="96">
        <f t="shared" si="27"/>
        <v>0</v>
      </c>
      <c r="AJ24" s="96">
        <f t="shared" si="27"/>
        <v>0</v>
      </c>
      <c r="AK24" s="96">
        <f t="shared" si="27"/>
        <v>0</v>
      </c>
      <c r="AL24" s="96">
        <f t="shared" si="27"/>
        <v>0</v>
      </c>
      <c r="AM24" s="96">
        <f t="shared" si="27"/>
        <v>0</v>
      </c>
      <c r="AN24" s="96">
        <f t="shared" si="27"/>
        <v>0</v>
      </c>
      <c r="AO24" s="96">
        <f t="shared" si="27"/>
        <v>0</v>
      </c>
      <c r="AP24" s="96">
        <f t="shared" si="27"/>
        <v>0</v>
      </c>
      <c r="AQ24" s="96">
        <f t="shared" si="27"/>
        <v>0</v>
      </c>
      <c r="AR24" s="96">
        <f t="shared" si="27"/>
        <v>0</v>
      </c>
      <c r="AS24" s="96">
        <f t="shared" si="27"/>
        <v>0</v>
      </c>
      <c r="AT24" s="96">
        <f t="shared" si="27"/>
        <v>0</v>
      </c>
      <c r="AU24" s="96">
        <f t="shared" si="27"/>
        <v>0</v>
      </c>
      <c r="AV24" s="96">
        <f t="shared" si="27"/>
        <v>0</v>
      </c>
      <c r="AW24" s="96">
        <f t="shared" si="27"/>
        <v>0</v>
      </c>
      <c r="AX24" s="96">
        <f t="shared" si="27"/>
        <v>0</v>
      </c>
      <c r="AY24" s="96">
        <f t="shared" si="27"/>
        <v>0</v>
      </c>
      <c r="AZ24" s="96">
        <f t="shared" si="27"/>
        <v>0</v>
      </c>
      <c r="BA24" s="96">
        <f t="shared" si="27"/>
        <v>0</v>
      </c>
      <c r="BB24" s="96">
        <f t="shared" si="27"/>
        <v>0</v>
      </c>
      <c r="BC24" s="96">
        <f t="shared" si="27"/>
        <v>0</v>
      </c>
      <c r="BD24" s="96">
        <f t="shared" si="27"/>
        <v>0</v>
      </c>
      <c r="BE24" s="96">
        <f t="shared" si="27"/>
        <v>0</v>
      </c>
      <c r="BF24" s="96">
        <f t="shared" si="27"/>
        <v>0</v>
      </c>
      <c r="BG24" s="96">
        <f t="shared" si="27"/>
        <v>0</v>
      </c>
      <c r="BH24" s="96">
        <f t="shared" si="27"/>
        <v>0</v>
      </c>
      <c r="BI24" s="96">
        <f t="shared" si="27"/>
        <v>0</v>
      </c>
    </row>
    <row r="25" ht="15.75" customHeight="1">
      <c r="A25" s="7"/>
      <c r="B25" s="1" t="s">
        <v>176</v>
      </c>
      <c r="C25" s="1" t="s">
        <v>155</v>
      </c>
      <c r="D25" s="1" t="str">
        <f t="shared" si="9"/>
        <v>Engineering</v>
      </c>
      <c r="E25" s="143">
        <v>165000.0</v>
      </c>
      <c r="F25" s="144"/>
      <c r="G25" s="141"/>
      <c r="H25" s="142">
        <v>0.09</v>
      </c>
      <c r="I25" s="143">
        <f t="shared" si="10"/>
        <v>550</v>
      </c>
      <c r="J25" s="143">
        <v>500.0</v>
      </c>
      <c r="K25" s="96">
        <f t="shared" si="5"/>
        <v>1050</v>
      </c>
      <c r="L25" s="1"/>
      <c r="M25" s="1"/>
      <c r="N25" s="96">
        <f t="shared" ref="N25:BI25" si="28">IF($F25=0,0, IF(AND(N$1&gt;=$G25,$G25&lt;&gt;0),0,IF(N$1&gt;=$F25,$E25/12,0)))</f>
        <v>0</v>
      </c>
      <c r="O25" s="96">
        <f t="shared" si="28"/>
        <v>0</v>
      </c>
      <c r="P25" s="96">
        <f t="shared" si="28"/>
        <v>0</v>
      </c>
      <c r="Q25" s="96">
        <f t="shared" si="28"/>
        <v>0</v>
      </c>
      <c r="R25" s="96">
        <f t="shared" si="28"/>
        <v>0</v>
      </c>
      <c r="S25" s="96">
        <f t="shared" si="28"/>
        <v>0</v>
      </c>
      <c r="T25" s="96">
        <f t="shared" si="28"/>
        <v>0</v>
      </c>
      <c r="U25" s="96">
        <f t="shared" si="28"/>
        <v>0</v>
      </c>
      <c r="V25" s="96">
        <f t="shared" si="28"/>
        <v>0</v>
      </c>
      <c r="W25" s="96">
        <f t="shared" si="28"/>
        <v>0</v>
      </c>
      <c r="X25" s="96">
        <f t="shared" si="28"/>
        <v>0</v>
      </c>
      <c r="Y25" s="96">
        <f t="shared" si="28"/>
        <v>0</v>
      </c>
      <c r="Z25" s="96">
        <f t="shared" si="28"/>
        <v>0</v>
      </c>
      <c r="AA25" s="96">
        <f t="shared" si="28"/>
        <v>0</v>
      </c>
      <c r="AB25" s="96">
        <f t="shared" si="28"/>
        <v>0</v>
      </c>
      <c r="AC25" s="96">
        <f t="shared" si="28"/>
        <v>0</v>
      </c>
      <c r="AD25" s="96">
        <f t="shared" si="28"/>
        <v>0</v>
      </c>
      <c r="AE25" s="96">
        <f t="shared" si="28"/>
        <v>0</v>
      </c>
      <c r="AF25" s="96">
        <f t="shared" si="28"/>
        <v>0</v>
      </c>
      <c r="AG25" s="96">
        <f t="shared" si="28"/>
        <v>0</v>
      </c>
      <c r="AH25" s="96">
        <f t="shared" si="28"/>
        <v>0</v>
      </c>
      <c r="AI25" s="96">
        <f t="shared" si="28"/>
        <v>0</v>
      </c>
      <c r="AJ25" s="96">
        <f t="shared" si="28"/>
        <v>0</v>
      </c>
      <c r="AK25" s="96">
        <f t="shared" si="28"/>
        <v>0</v>
      </c>
      <c r="AL25" s="96">
        <f t="shared" si="28"/>
        <v>0</v>
      </c>
      <c r="AM25" s="96">
        <f t="shared" si="28"/>
        <v>0</v>
      </c>
      <c r="AN25" s="96">
        <f t="shared" si="28"/>
        <v>0</v>
      </c>
      <c r="AO25" s="96">
        <f t="shared" si="28"/>
        <v>0</v>
      </c>
      <c r="AP25" s="96">
        <f t="shared" si="28"/>
        <v>0</v>
      </c>
      <c r="AQ25" s="96">
        <f t="shared" si="28"/>
        <v>0</v>
      </c>
      <c r="AR25" s="96">
        <f t="shared" si="28"/>
        <v>0</v>
      </c>
      <c r="AS25" s="96">
        <f t="shared" si="28"/>
        <v>0</v>
      </c>
      <c r="AT25" s="96">
        <f t="shared" si="28"/>
        <v>0</v>
      </c>
      <c r="AU25" s="96">
        <f t="shared" si="28"/>
        <v>0</v>
      </c>
      <c r="AV25" s="96">
        <f t="shared" si="28"/>
        <v>0</v>
      </c>
      <c r="AW25" s="96">
        <f t="shared" si="28"/>
        <v>0</v>
      </c>
      <c r="AX25" s="96">
        <f t="shared" si="28"/>
        <v>0</v>
      </c>
      <c r="AY25" s="96">
        <f t="shared" si="28"/>
        <v>0</v>
      </c>
      <c r="AZ25" s="96">
        <f t="shared" si="28"/>
        <v>0</v>
      </c>
      <c r="BA25" s="96">
        <f t="shared" si="28"/>
        <v>0</v>
      </c>
      <c r="BB25" s="96">
        <f t="shared" si="28"/>
        <v>0</v>
      </c>
      <c r="BC25" s="96">
        <f t="shared" si="28"/>
        <v>0</v>
      </c>
      <c r="BD25" s="96">
        <f t="shared" si="28"/>
        <v>0</v>
      </c>
      <c r="BE25" s="96">
        <f t="shared" si="28"/>
        <v>0</v>
      </c>
      <c r="BF25" s="96">
        <f t="shared" si="28"/>
        <v>0</v>
      </c>
      <c r="BG25" s="96">
        <f t="shared" si="28"/>
        <v>0</v>
      </c>
      <c r="BH25" s="96">
        <f t="shared" si="28"/>
        <v>0</v>
      </c>
      <c r="BI25" s="96">
        <f t="shared" si="28"/>
        <v>0</v>
      </c>
    </row>
    <row r="26" ht="15.75" customHeight="1">
      <c r="A26" s="7"/>
      <c r="B26" s="1" t="s">
        <v>177</v>
      </c>
      <c r="C26" s="1" t="s">
        <v>169</v>
      </c>
      <c r="D26" s="1" t="str">
        <f t="shared" si="9"/>
        <v>Engineering</v>
      </c>
      <c r="E26" s="143">
        <v>165000.0</v>
      </c>
      <c r="F26" s="144"/>
      <c r="G26" s="141"/>
      <c r="H26" s="142">
        <v>0.09</v>
      </c>
      <c r="I26" s="143">
        <f t="shared" si="10"/>
        <v>550</v>
      </c>
      <c r="J26" s="143">
        <v>500.0</v>
      </c>
      <c r="K26" s="96">
        <f t="shared" si="5"/>
        <v>1050</v>
      </c>
      <c r="L26" s="1"/>
      <c r="M26" s="1"/>
      <c r="N26" s="96">
        <f t="shared" ref="N26:BI26" si="29">IF($F26=0,0, IF(AND(N$1&gt;=$G26,$G26&lt;&gt;0),0,IF(N$1&gt;=$F26,$E26/12,0)))</f>
        <v>0</v>
      </c>
      <c r="O26" s="96">
        <f t="shared" si="29"/>
        <v>0</v>
      </c>
      <c r="P26" s="96">
        <f t="shared" si="29"/>
        <v>0</v>
      </c>
      <c r="Q26" s="96">
        <f t="shared" si="29"/>
        <v>0</v>
      </c>
      <c r="R26" s="96">
        <f t="shared" si="29"/>
        <v>0</v>
      </c>
      <c r="S26" s="96">
        <f t="shared" si="29"/>
        <v>0</v>
      </c>
      <c r="T26" s="96">
        <f t="shared" si="29"/>
        <v>0</v>
      </c>
      <c r="U26" s="96">
        <f t="shared" si="29"/>
        <v>0</v>
      </c>
      <c r="V26" s="96">
        <f t="shared" si="29"/>
        <v>0</v>
      </c>
      <c r="W26" s="96">
        <f t="shared" si="29"/>
        <v>0</v>
      </c>
      <c r="X26" s="96">
        <f t="shared" si="29"/>
        <v>0</v>
      </c>
      <c r="Y26" s="96">
        <f t="shared" si="29"/>
        <v>0</v>
      </c>
      <c r="Z26" s="96">
        <f t="shared" si="29"/>
        <v>0</v>
      </c>
      <c r="AA26" s="96">
        <f t="shared" si="29"/>
        <v>0</v>
      </c>
      <c r="AB26" s="96">
        <f t="shared" si="29"/>
        <v>0</v>
      </c>
      <c r="AC26" s="96">
        <f t="shared" si="29"/>
        <v>0</v>
      </c>
      <c r="AD26" s="96">
        <f t="shared" si="29"/>
        <v>0</v>
      </c>
      <c r="AE26" s="96">
        <f t="shared" si="29"/>
        <v>0</v>
      </c>
      <c r="AF26" s="96">
        <f t="shared" si="29"/>
        <v>0</v>
      </c>
      <c r="AG26" s="96">
        <f t="shared" si="29"/>
        <v>0</v>
      </c>
      <c r="AH26" s="96">
        <f t="shared" si="29"/>
        <v>0</v>
      </c>
      <c r="AI26" s="96">
        <f t="shared" si="29"/>
        <v>0</v>
      </c>
      <c r="AJ26" s="96">
        <f t="shared" si="29"/>
        <v>0</v>
      </c>
      <c r="AK26" s="96">
        <f t="shared" si="29"/>
        <v>0</v>
      </c>
      <c r="AL26" s="96">
        <f t="shared" si="29"/>
        <v>0</v>
      </c>
      <c r="AM26" s="96">
        <f t="shared" si="29"/>
        <v>0</v>
      </c>
      <c r="AN26" s="96">
        <f t="shared" si="29"/>
        <v>0</v>
      </c>
      <c r="AO26" s="96">
        <f t="shared" si="29"/>
        <v>0</v>
      </c>
      <c r="AP26" s="96">
        <f t="shared" si="29"/>
        <v>0</v>
      </c>
      <c r="AQ26" s="96">
        <f t="shared" si="29"/>
        <v>0</v>
      </c>
      <c r="AR26" s="96">
        <f t="shared" si="29"/>
        <v>0</v>
      </c>
      <c r="AS26" s="96">
        <f t="shared" si="29"/>
        <v>0</v>
      </c>
      <c r="AT26" s="96">
        <f t="shared" si="29"/>
        <v>0</v>
      </c>
      <c r="AU26" s="96">
        <f t="shared" si="29"/>
        <v>0</v>
      </c>
      <c r="AV26" s="96">
        <f t="shared" si="29"/>
        <v>0</v>
      </c>
      <c r="AW26" s="96">
        <f t="shared" si="29"/>
        <v>0</v>
      </c>
      <c r="AX26" s="96">
        <f t="shared" si="29"/>
        <v>0</v>
      </c>
      <c r="AY26" s="96">
        <f t="shared" si="29"/>
        <v>0</v>
      </c>
      <c r="AZ26" s="96">
        <f t="shared" si="29"/>
        <v>0</v>
      </c>
      <c r="BA26" s="96">
        <f t="shared" si="29"/>
        <v>0</v>
      </c>
      <c r="BB26" s="96">
        <f t="shared" si="29"/>
        <v>0</v>
      </c>
      <c r="BC26" s="96">
        <f t="shared" si="29"/>
        <v>0</v>
      </c>
      <c r="BD26" s="96">
        <f t="shared" si="29"/>
        <v>0</v>
      </c>
      <c r="BE26" s="96">
        <f t="shared" si="29"/>
        <v>0</v>
      </c>
      <c r="BF26" s="96">
        <f t="shared" si="29"/>
        <v>0</v>
      </c>
      <c r="BG26" s="96">
        <f t="shared" si="29"/>
        <v>0</v>
      </c>
      <c r="BH26" s="96">
        <f t="shared" si="29"/>
        <v>0</v>
      </c>
      <c r="BI26" s="96">
        <f t="shared" si="29"/>
        <v>0</v>
      </c>
    </row>
    <row r="27" ht="15.75" customHeight="1">
      <c r="A27" s="7"/>
      <c r="B27" s="1" t="s">
        <v>178</v>
      </c>
      <c r="C27" s="1" t="s">
        <v>179</v>
      </c>
      <c r="D27" s="1" t="str">
        <f t="shared" si="9"/>
        <v>Engineering</v>
      </c>
      <c r="E27" s="145">
        <v>165000.0</v>
      </c>
      <c r="F27" s="144"/>
      <c r="G27" s="141"/>
      <c r="H27" s="145">
        <v>0.09</v>
      </c>
      <c r="I27" s="145">
        <f t="shared" si="10"/>
        <v>550</v>
      </c>
      <c r="J27" s="145">
        <v>500.0</v>
      </c>
      <c r="K27" s="96">
        <f t="shared" si="5"/>
        <v>1050</v>
      </c>
      <c r="L27" s="1"/>
      <c r="M27" s="1"/>
      <c r="N27" s="96">
        <f t="shared" ref="N27:BI27" si="30">IF($F27=0,0, IF(AND(N$1&gt;=$G27,$G27&lt;&gt;0),0,IF(N$1&gt;=$F27,$E27/12,0)))</f>
        <v>0</v>
      </c>
      <c r="O27" s="96">
        <f t="shared" si="30"/>
        <v>0</v>
      </c>
      <c r="P27" s="96">
        <f t="shared" si="30"/>
        <v>0</v>
      </c>
      <c r="Q27" s="96">
        <f t="shared" si="30"/>
        <v>0</v>
      </c>
      <c r="R27" s="96">
        <f t="shared" si="30"/>
        <v>0</v>
      </c>
      <c r="S27" s="96">
        <f t="shared" si="30"/>
        <v>0</v>
      </c>
      <c r="T27" s="96">
        <f t="shared" si="30"/>
        <v>0</v>
      </c>
      <c r="U27" s="96">
        <f t="shared" si="30"/>
        <v>0</v>
      </c>
      <c r="V27" s="96">
        <f t="shared" si="30"/>
        <v>0</v>
      </c>
      <c r="W27" s="96">
        <f t="shared" si="30"/>
        <v>0</v>
      </c>
      <c r="X27" s="96">
        <f t="shared" si="30"/>
        <v>0</v>
      </c>
      <c r="Y27" s="96">
        <f t="shared" si="30"/>
        <v>0</v>
      </c>
      <c r="Z27" s="96">
        <f t="shared" si="30"/>
        <v>0</v>
      </c>
      <c r="AA27" s="96">
        <f t="shared" si="30"/>
        <v>0</v>
      </c>
      <c r="AB27" s="96">
        <f t="shared" si="30"/>
        <v>0</v>
      </c>
      <c r="AC27" s="96">
        <f t="shared" si="30"/>
        <v>0</v>
      </c>
      <c r="AD27" s="96">
        <f t="shared" si="30"/>
        <v>0</v>
      </c>
      <c r="AE27" s="96">
        <f t="shared" si="30"/>
        <v>0</v>
      </c>
      <c r="AF27" s="96">
        <f t="shared" si="30"/>
        <v>0</v>
      </c>
      <c r="AG27" s="96">
        <f t="shared" si="30"/>
        <v>0</v>
      </c>
      <c r="AH27" s="96">
        <f t="shared" si="30"/>
        <v>0</v>
      </c>
      <c r="AI27" s="96">
        <f t="shared" si="30"/>
        <v>0</v>
      </c>
      <c r="AJ27" s="96">
        <f t="shared" si="30"/>
        <v>0</v>
      </c>
      <c r="AK27" s="96">
        <f t="shared" si="30"/>
        <v>0</v>
      </c>
      <c r="AL27" s="96">
        <f t="shared" si="30"/>
        <v>0</v>
      </c>
      <c r="AM27" s="96">
        <f t="shared" si="30"/>
        <v>0</v>
      </c>
      <c r="AN27" s="96">
        <f t="shared" si="30"/>
        <v>0</v>
      </c>
      <c r="AO27" s="96">
        <f t="shared" si="30"/>
        <v>0</v>
      </c>
      <c r="AP27" s="96">
        <f t="shared" si="30"/>
        <v>0</v>
      </c>
      <c r="AQ27" s="96">
        <f t="shared" si="30"/>
        <v>0</v>
      </c>
      <c r="AR27" s="96">
        <f t="shared" si="30"/>
        <v>0</v>
      </c>
      <c r="AS27" s="96">
        <f t="shared" si="30"/>
        <v>0</v>
      </c>
      <c r="AT27" s="96">
        <f t="shared" si="30"/>
        <v>0</v>
      </c>
      <c r="AU27" s="96">
        <f t="shared" si="30"/>
        <v>0</v>
      </c>
      <c r="AV27" s="96">
        <f t="shared" si="30"/>
        <v>0</v>
      </c>
      <c r="AW27" s="96">
        <f t="shared" si="30"/>
        <v>0</v>
      </c>
      <c r="AX27" s="96">
        <f t="shared" si="30"/>
        <v>0</v>
      </c>
      <c r="AY27" s="96">
        <f t="shared" si="30"/>
        <v>0</v>
      </c>
      <c r="AZ27" s="96">
        <f t="shared" si="30"/>
        <v>0</v>
      </c>
      <c r="BA27" s="96">
        <f t="shared" si="30"/>
        <v>0</v>
      </c>
      <c r="BB27" s="96">
        <f t="shared" si="30"/>
        <v>0</v>
      </c>
      <c r="BC27" s="96">
        <f t="shared" si="30"/>
        <v>0</v>
      </c>
      <c r="BD27" s="96">
        <f t="shared" si="30"/>
        <v>0</v>
      </c>
      <c r="BE27" s="96">
        <f t="shared" si="30"/>
        <v>0</v>
      </c>
      <c r="BF27" s="96">
        <f t="shared" si="30"/>
        <v>0</v>
      </c>
      <c r="BG27" s="96">
        <f t="shared" si="30"/>
        <v>0</v>
      </c>
      <c r="BH27" s="96">
        <f t="shared" si="30"/>
        <v>0</v>
      </c>
      <c r="BI27" s="96">
        <f t="shared" si="30"/>
        <v>0</v>
      </c>
    </row>
    <row r="28" ht="15.75" customHeight="1">
      <c r="A28" s="7"/>
      <c r="B28" s="1" t="s">
        <v>180</v>
      </c>
      <c r="C28" s="1" t="s">
        <v>169</v>
      </c>
      <c r="D28" s="1" t="str">
        <f t="shared" si="9"/>
        <v>Engineering</v>
      </c>
      <c r="E28" s="143">
        <v>165000.0</v>
      </c>
      <c r="F28" s="144"/>
      <c r="G28" s="141"/>
      <c r="H28" s="142">
        <v>0.09</v>
      </c>
      <c r="I28" s="143">
        <f t="shared" si="10"/>
        <v>550</v>
      </c>
      <c r="J28" s="143">
        <v>500.0</v>
      </c>
      <c r="K28" s="96">
        <f t="shared" si="5"/>
        <v>1050</v>
      </c>
      <c r="L28" s="1"/>
      <c r="M28" s="1"/>
      <c r="N28" s="96">
        <f t="shared" ref="N28:BI28" si="31">IF($F28=0,0, IF(AND(N$1&gt;=$G28,$G28&lt;&gt;0),0,IF(N$1&gt;=$F28,$E28/12,0)))</f>
        <v>0</v>
      </c>
      <c r="O28" s="96">
        <f t="shared" si="31"/>
        <v>0</v>
      </c>
      <c r="P28" s="96">
        <f t="shared" si="31"/>
        <v>0</v>
      </c>
      <c r="Q28" s="96">
        <f t="shared" si="31"/>
        <v>0</v>
      </c>
      <c r="R28" s="96">
        <f t="shared" si="31"/>
        <v>0</v>
      </c>
      <c r="S28" s="96">
        <f t="shared" si="31"/>
        <v>0</v>
      </c>
      <c r="T28" s="96">
        <f t="shared" si="31"/>
        <v>0</v>
      </c>
      <c r="U28" s="96">
        <f t="shared" si="31"/>
        <v>0</v>
      </c>
      <c r="V28" s="96">
        <f t="shared" si="31"/>
        <v>0</v>
      </c>
      <c r="W28" s="96">
        <f t="shared" si="31"/>
        <v>0</v>
      </c>
      <c r="X28" s="96">
        <f t="shared" si="31"/>
        <v>0</v>
      </c>
      <c r="Y28" s="96">
        <f t="shared" si="31"/>
        <v>0</v>
      </c>
      <c r="Z28" s="96">
        <f t="shared" si="31"/>
        <v>0</v>
      </c>
      <c r="AA28" s="96">
        <f t="shared" si="31"/>
        <v>0</v>
      </c>
      <c r="AB28" s="96">
        <f t="shared" si="31"/>
        <v>0</v>
      </c>
      <c r="AC28" s="96">
        <f t="shared" si="31"/>
        <v>0</v>
      </c>
      <c r="AD28" s="96">
        <f t="shared" si="31"/>
        <v>0</v>
      </c>
      <c r="AE28" s="96">
        <f t="shared" si="31"/>
        <v>0</v>
      </c>
      <c r="AF28" s="96">
        <f t="shared" si="31"/>
        <v>0</v>
      </c>
      <c r="AG28" s="96">
        <f t="shared" si="31"/>
        <v>0</v>
      </c>
      <c r="AH28" s="96">
        <f t="shared" si="31"/>
        <v>0</v>
      </c>
      <c r="AI28" s="96">
        <f t="shared" si="31"/>
        <v>0</v>
      </c>
      <c r="AJ28" s="96">
        <f t="shared" si="31"/>
        <v>0</v>
      </c>
      <c r="AK28" s="96">
        <f t="shared" si="31"/>
        <v>0</v>
      </c>
      <c r="AL28" s="96">
        <f t="shared" si="31"/>
        <v>0</v>
      </c>
      <c r="AM28" s="96">
        <f t="shared" si="31"/>
        <v>0</v>
      </c>
      <c r="AN28" s="96">
        <f t="shared" si="31"/>
        <v>0</v>
      </c>
      <c r="AO28" s="96">
        <f t="shared" si="31"/>
        <v>0</v>
      </c>
      <c r="AP28" s="96">
        <f t="shared" si="31"/>
        <v>0</v>
      </c>
      <c r="AQ28" s="96">
        <f t="shared" si="31"/>
        <v>0</v>
      </c>
      <c r="AR28" s="96">
        <f t="shared" si="31"/>
        <v>0</v>
      </c>
      <c r="AS28" s="96">
        <f t="shared" si="31"/>
        <v>0</v>
      </c>
      <c r="AT28" s="96">
        <f t="shared" si="31"/>
        <v>0</v>
      </c>
      <c r="AU28" s="96">
        <f t="shared" si="31"/>
        <v>0</v>
      </c>
      <c r="AV28" s="96">
        <f t="shared" si="31"/>
        <v>0</v>
      </c>
      <c r="AW28" s="96">
        <f t="shared" si="31"/>
        <v>0</v>
      </c>
      <c r="AX28" s="96">
        <f t="shared" si="31"/>
        <v>0</v>
      </c>
      <c r="AY28" s="96">
        <f t="shared" si="31"/>
        <v>0</v>
      </c>
      <c r="AZ28" s="96">
        <f t="shared" si="31"/>
        <v>0</v>
      </c>
      <c r="BA28" s="96">
        <f t="shared" si="31"/>
        <v>0</v>
      </c>
      <c r="BB28" s="96">
        <f t="shared" si="31"/>
        <v>0</v>
      </c>
      <c r="BC28" s="96">
        <f t="shared" si="31"/>
        <v>0</v>
      </c>
      <c r="BD28" s="96">
        <f t="shared" si="31"/>
        <v>0</v>
      </c>
      <c r="BE28" s="96">
        <f t="shared" si="31"/>
        <v>0</v>
      </c>
      <c r="BF28" s="96">
        <f t="shared" si="31"/>
        <v>0</v>
      </c>
      <c r="BG28" s="96">
        <f t="shared" si="31"/>
        <v>0</v>
      </c>
      <c r="BH28" s="96">
        <f t="shared" si="31"/>
        <v>0</v>
      </c>
      <c r="BI28" s="96">
        <f t="shared" si="31"/>
        <v>0</v>
      </c>
    </row>
    <row r="29" ht="15.75" customHeight="1">
      <c r="A29" s="7"/>
      <c r="B29" s="1" t="s">
        <v>181</v>
      </c>
      <c r="C29" s="1" t="s">
        <v>169</v>
      </c>
      <c r="D29" s="1" t="str">
        <f t="shared" si="9"/>
        <v>Engineering</v>
      </c>
      <c r="E29" s="143">
        <v>165000.0</v>
      </c>
      <c r="F29" s="144"/>
      <c r="G29" s="141"/>
      <c r="H29" s="142">
        <v>0.09</v>
      </c>
      <c r="I29" s="143">
        <f t="shared" si="10"/>
        <v>550</v>
      </c>
      <c r="J29" s="143">
        <v>500.0</v>
      </c>
      <c r="K29" s="96">
        <f t="shared" si="5"/>
        <v>1050</v>
      </c>
      <c r="L29" s="1"/>
      <c r="M29" s="1"/>
      <c r="N29" s="96">
        <f t="shared" ref="N29:BI29" si="32">IF($F29=0,0, IF(AND(N$1&gt;=$G29,$G29&lt;&gt;0),0,IF(N$1&gt;=$F29,$E29/12,0)))</f>
        <v>0</v>
      </c>
      <c r="O29" s="96">
        <f t="shared" si="32"/>
        <v>0</v>
      </c>
      <c r="P29" s="96">
        <f t="shared" si="32"/>
        <v>0</v>
      </c>
      <c r="Q29" s="96">
        <f t="shared" si="32"/>
        <v>0</v>
      </c>
      <c r="R29" s="96">
        <f t="shared" si="32"/>
        <v>0</v>
      </c>
      <c r="S29" s="96">
        <f t="shared" si="32"/>
        <v>0</v>
      </c>
      <c r="T29" s="96">
        <f t="shared" si="32"/>
        <v>0</v>
      </c>
      <c r="U29" s="96">
        <f t="shared" si="32"/>
        <v>0</v>
      </c>
      <c r="V29" s="96">
        <f t="shared" si="32"/>
        <v>0</v>
      </c>
      <c r="W29" s="96">
        <f t="shared" si="32"/>
        <v>0</v>
      </c>
      <c r="X29" s="96">
        <f t="shared" si="32"/>
        <v>0</v>
      </c>
      <c r="Y29" s="96">
        <f t="shared" si="32"/>
        <v>0</v>
      </c>
      <c r="Z29" s="96">
        <f t="shared" si="32"/>
        <v>0</v>
      </c>
      <c r="AA29" s="96">
        <f t="shared" si="32"/>
        <v>0</v>
      </c>
      <c r="AB29" s="96">
        <f t="shared" si="32"/>
        <v>0</v>
      </c>
      <c r="AC29" s="96">
        <f t="shared" si="32"/>
        <v>0</v>
      </c>
      <c r="AD29" s="96">
        <f t="shared" si="32"/>
        <v>0</v>
      </c>
      <c r="AE29" s="96">
        <f t="shared" si="32"/>
        <v>0</v>
      </c>
      <c r="AF29" s="96">
        <f t="shared" si="32"/>
        <v>0</v>
      </c>
      <c r="AG29" s="96">
        <f t="shared" si="32"/>
        <v>0</v>
      </c>
      <c r="AH29" s="96">
        <f t="shared" si="32"/>
        <v>0</v>
      </c>
      <c r="AI29" s="96">
        <f t="shared" si="32"/>
        <v>0</v>
      </c>
      <c r="AJ29" s="96">
        <f t="shared" si="32"/>
        <v>0</v>
      </c>
      <c r="AK29" s="96">
        <f t="shared" si="32"/>
        <v>0</v>
      </c>
      <c r="AL29" s="96">
        <f t="shared" si="32"/>
        <v>0</v>
      </c>
      <c r="AM29" s="96">
        <f t="shared" si="32"/>
        <v>0</v>
      </c>
      <c r="AN29" s="96">
        <f t="shared" si="32"/>
        <v>0</v>
      </c>
      <c r="AO29" s="96">
        <f t="shared" si="32"/>
        <v>0</v>
      </c>
      <c r="AP29" s="96">
        <f t="shared" si="32"/>
        <v>0</v>
      </c>
      <c r="AQ29" s="96">
        <f t="shared" si="32"/>
        <v>0</v>
      </c>
      <c r="AR29" s="96">
        <f t="shared" si="32"/>
        <v>0</v>
      </c>
      <c r="AS29" s="96">
        <f t="shared" si="32"/>
        <v>0</v>
      </c>
      <c r="AT29" s="96">
        <f t="shared" si="32"/>
        <v>0</v>
      </c>
      <c r="AU29" s="96">
        <f t="shared" si="32"/>
        <v>0</v>
      </c>
      <c r="AV29" s="96">
        <f t="shared" si="32"/>
        <v>0</v>
      </c>
      <c r="AW29" s="96">
        <f t="shared" si="32"/>
        <v>0</v>
      </c>
      <c r="AX29" s="96">
        <f t="shared" si="32"/>
        <v>0</v>
      </c>
      <c r="AY29" s="96">
        <f t="shared" si="32"/>
        <v>0</v>
      </c>
      <c r="AZ29" s="96">
        <f t="shared" si="32"/>
        <v>0</v>
      </c>
      <c r="BA29" s="96">
        <f t="shared" si="32"/>
        <v>0</v>
      </c>
      <c r="BB29" s="96">
        <f t="shared" si="32"/>
        <v>0</v>
      </c>
      <c r="BC29" s="96">
        <f t="shared" si="32"/>
        <v>0</v>
      </c>
      <c r="BD29" s="96">
        <f t="shared" si="32"/>
        <v>0</v>
      </c>
      <c r="BE29" s="96">
        <f t="shared" si="32"/>
        <v>0</v>
      </c>
      <c r="BF29" s="96">
        <f t="shared" si="32"/>
        <v>0</v>
      </c>
      <c r="BG29" s="96">
        <f t="shared" si="32"/>
        <v>0</v>
      </c>
      <c r="BH29" s="96">
        <f t="shared" si="32"/>
        <v>0</v>
      </c>
      <c r="BI29" s="96">
        <f t="shared" si="32"/>
        <v>0</v>
      </c>
    </row>
    <row r="30" ht="15.75" customHeight="1">
      <c r="A30" s="7"/>
      <c r="B30" s="1" t="s">
        <v>182</v>
      </c>
      <c r="C30" s="1" t="s">
        <v>169</v>
      </c>
      <c r="D30" s="1" t="str">
        <f t="shared" si="9"/>
        <v>Engineering</v>
      </c>
      <c r="E30" s="143">
        <v>165000.0</v>
      </c>
      <c r="F30" s="144"/>
      <c r="G30" s="141"/>
      <c r="H30" s="142">
        <v>0.09</v>
      </c>
      <c r="I30" s="143">
        <f t="shared" si="10"/>
        <v>550</v>
      </c>
      <c r="J30" s="143">
        <v>500.0</v>
      </c>
      <c r="K30" s="96">
        <f t="shared" si="5"/>
        <v>1050</v>
      </c>
      <c r="L30" s="1"/>
      <c r="M30" s="1"/>
      <c r="N30" s="96">
        <f t="shared" ref="N30:BI30" si="33">IF($F30=0,0, IF(AND(N$1&gt;=$G30,$G30&lt;&gt;0),0,IF(N$1&gt;=$F30,$E30/12,0)))</f>
        <v>0</v>
      </c>
      <c r="O30" s="96">
        <f t="shared" si="33"/>
        <v>0</v>
      </c>
      <c r="P30" s="96">
        <f t="shared" si="33"/>
        <v>0</v>
      </c>
      <c r="Q30" s="96">
        <f t="shared" si="33"/>
        <v>0</v>
      </c>
      <c r="R30" s="96">
        <f t="shared" si="33"/>
        <v>0</v>
      </c>
      <c r="S30" s="96">
        <f t="shared" si="33"/>
        <v>0</v>
      </c>
      <c r="T30" s="96">
        <f t="shared" si="33"/>
        <v>0</v>
      </c>
      <c r="U30" s="96">
        <f t="shared" si="33"/>
        <v>0</v>
      </c>
      <c r="V30" s="96">
        <f t="shared" si="33"/>
        <v>0</v>
      </c>
      <c r="W30" s="96">
        <f t="shared" si="33"/>
        <v>0</v>
      </c>
      <c r="X30" s="96">
        <f t="shared" si="33"/>
        <v>0</v>
      </c>
      <c r="Y30" s="96">
        <f t="shared" si="33"/>
        <v>0</v>
      </c>
      <c r="Z30" s="96">
        <f t="shared" si="33"/>
        <v>0</v>
      </c>
      <c r="AA30" s="96">
        <f t="shared" si="33"/>
        <v>0</v>
      </c>
      <c r="AB30" s="96">
        <f t="shared" si="33"/>
        <v>0</v>
      </c>
      <c r="AC30" s="96">
        <f t="shared" si="33"/>
        <v>0</v>
      </c>
      <c r="AD30" s="96">
        <f t="shared" si="33"/>
        <v>0</v>
      </c>
      <c r="AE30" s="96">
        <f t="shared" si="33"/>
        <v>0</v>
      </c>
      <c r="AF30" s="96">
        <f t="shared" si="33"/>
        <v>0</v>
      </c>
      <c r="AG30" s="96">
        <f t="shared" si="33"/>
        <v>0</v>
      </c>
      <c r="AH30" s="96">
        <f t="shared" si="33"/>
        <v>0</v>
      </c>
      <c r="AI30" s="96">
        <f t="shared" si="33"/>
        <v>0</v>
      </c>
      <c r="AJ30" s="96">
        <f t="shared" si="33"/>
        <v>0</v>
      </c>
      <c r="AK30" s="96">
        <f t="shared" si="33"/>
        <v>0</v>
      </c>
      <c r="AL30" s="96">
        <f t="shared" si="33"/>
        <v>0</v>
      </c>
      <c r="AM30" s="96">
        <f t="shared" si="33"/>
        <v>0</v>
      </c>
      <c r="AN30" s="96">
        <f t="shared" si="33"/>
        <v>0</v>
      </c>
      <c r="AO30" s="96">
        <f t="shared" si="33"/>
        <v>0</v>
      </c>
      <c r="AP30" s="96">
        <f t="shared" si="33"/>
        <v>0</v>
      </c>
      <c r="AQ30" s="96">
        <f t="shared" si="33"/>
        <v>0</v>
      </c>
      <c r="AR30" s="96">
        <f t="shared" si="33"/>
        <v>0</v>
      </c>
      <c r="AS30" s="96">
        <f t="shared" si="33"/>
        <v>0</v>
      </c>
      <c r="AT30" s="96">
        <f t="shared" si="33"/>
        <v>0</v>
      </c>
      <c r="AU30" s="96">
        <f t="shared" si="33"/>
        <v>0</v>
      </c>
      <c r="AV30" s="96">
        <f t="shared" si="33"/>
        <v>0</v>
      </c>
      <c r="AW30" s="96">
        <f t="shared" si="33"/>
        <v>0</v>
      </c>
      <c r="AX30" s="96">
        <f t="shared" si="33"/>
        <v>0</v>
      </c>
      <c r="AY30" s="96">
        <f t="shared" si="33"/>
        <v>0</v>
      </c>
      <c r="AZ30" s="96">
        <f t="shared" si="33"/>
        <v>0</v>
      </c>
      <c r="BA30" s="96">
        <f t="shared" si="33"/>
        <v>0</v>
      </c>
      <c r="BB30" s="96">
        <f t="shared" si="33"/>
        <v>0</v>
      </c>
      <c r="BC30" s="96">
        <f t="shared" si="33"/>
        <v>0</v>
      </c>
      <c r="BD30" s="96">
        <f t="shared" si="33"/>
        <v>0</v>
      </c>
      <c r="BE30" s="96">
        <f t="shared" si="33"/>
        <v>0</v>
      </c>
      <c r="BF30" s="96">
        <f t="shared" si="33"/>
        <v>0</v>
      </c>
      <c r="BG30" s="96">
        <f t="shared" si="33"/>
        <v>0</v>
      </c>
      <c r="BH30" s="96">
        <f t="shared" si="33"/>
        <v>0</v>
      </c>
      <c r="BI30" s="96">
        <f t="shared" si="33"/>
        <v>0</v>
      </c>
    </row>
    <row r="31" ht="15.75" customHeight="1">
      <c r="A31" s="7"/>
      <c r="B31" s="1" t="s">
        <v>183</v>
      </c>
      <c r="C31" s="1" t="s">
        <v>166</v>
      </c>
      <c r="D31" s="1" t="str">
        <f t="shared" si="9"/>
        <v>Engineering</v>
      </c>
      <c r="E31" s="143">
        <v>165000.0</v>
      </c>
      <c r="F31" s="144"/>
      <c r="G31" s="141"/>
      <c r="H31" s="142">
        <v>0.09</v>
      </c>
      <c r="I31" s="143">
        <f t="shared" si="10"/>
        <v>550</v>
      </c>
      <c r="J31" s="143">
        <v>500.0</v>
      </c>
      <c r="K31" s="96">
        <f t="shared" si="5"/>
        <v>1050</v>
      </c>
      <c r="L31" s="1"/>
      <c r="M31" s="1"/>
      <c r="N31" s="96">
        <f t="shared" ref="N31:BI31" si="34">IF($F31=0,0, IF(AND(N$1&gt;=$G31,$G31&lt;&gt;0),0,IF(N$1&gt;=$F31,$E31/12,0)))</f>
        <v>0</v>
      </c>
      <c r="O31" s="96">
        <f t="shared" si="34"/>
        <v>0</v>
      </c>
      <c r="P31" s="96">
        <f t="shared" si="34"/>
        <v>0</v>
      </c>
      <c r="Q31" s="96">
        <f t="shared" si="34"/>
        <v>0</v>
      </c>
      <c r="R31" s="96">
        <f t="shared" si="34"/>
        <v>0</v>
      </c>
      <c r="S31" s="96">
        <f t="shared" si="34"/>
        <v>0</v>
      </c>
      <c r="T31" s="96">
        <f t="shared" si="34"/>
        <v>0</v>
      </c>
      <c r="U31" s="96">
        <f t="shared" si="34"/>
        <v>0</v>
      </c>
      <c r="V31" s="96">
        <f t="shared" si="34"/>
        <v>0</v>
      </c>
      <c r="W31" s="96">
        <f t="shared" si="34"/>
        <v>0</v>
      </c>
      <c r="X31" s="96">
        <f t="shared" si="34"/>
        <v>0</v>
      </c>
      <c r="Y31" s="96">
        <f t="shared" si="34"/>
        <v>0</v>
      </c>
      <c r="Z31" s="96">
        <f t="shared" si="34"/>
        <v>0</v>
      </c>
      <c r="AA31" s="96">
        <f t="shared" si="34"/>
        <v>0</v>
      </c>
      <c r="AB31" s="96">
        <f t="shared" si="34"/>
        <v>0</v>
      </c>
      <c r="AC31" s="96">
        <f t="shared" si="34"/>
        <v>0</v>
      </c>
      <c r="AD31" s="96">
        <f t="shared" si="34"/>
        <v>0</v>
      </c>
      <c r="AE31" s="96">
        <f t="shared" si="34"/>
        <v>0</v>
      </c>
      <c r="AF31" s="96">
        <f t="shared" si="34"/>
        <v>0</v>
      </c>
      <c r="AG31" s="96">
        <f t="shared" si="34"/>
        <v>0</v>
      </c>
      <c r="AH31" s="96">
        <f t="shared" si="34"/>
        <v>0</v>
      </c>
      <c r="AI31" s="96">
        <f t="shared" si="34"/>
        <v>0</v>
      </c>
      <c r="AJ31" s="96">
        <f t="shared" si="34"/>
        <v>0</v>
      </c>
      <c r="AK31" s="96">
        <f t="shared" si="34"/>
        <v>0</v>
      </c>
      <c r="AL31" s="96">
        <f t="shared" si="34"/>
        <v>0</v>
      </c>
      <c r="AM31" s="96">
        <f t="shared" si="34"/>
        <v>0</v>
      </c>
      <c r="AN31" s="96">
        <f t="shared" si="34"/>
        <v>0</v>
      </c>
      <c r="AO31" s="96">
        <f t="shared" si="34"/>
        <v>0</v>
      </c>
      <c r="AP31" s="96">
        <f t="shared" si="34"/>
        <v>0</v>
      </c>
      <c r="AQ31" s="96">
        <f t="shared" si="34"/>
        <v>0</v>
      </c>
      <c r="AR31" s="96">
        <f t="shared" si="34"/>
        <v>0</v>
      </c>
      <c r="AS31" s="96">
        <f t="shared" si="34"/>
        <v>0</v>
      </c>
      <c r="AT31" s="96">
        <f t="shared" si="34"/>
        <v>0</v>
      </c>
      <c r="AU31" s="96">
        <f t="shared" si="34"/>
        <v>0</v>
      </c>
      <c r="AV31" s="96">
        <f t="shared" si="34"/>
        <v>0</v>
      </c>
      <c r="AW31" s="96">
        <f t="shared" si="34"/>
        <v>0</v>
      </c>
      <c r="AX31" s="96">
        <f t="shared" si="34"/>
        <v>0</v>
      </c>
      <c r="AY31" s="96">
        <f t="shared" si="34"/>
        <v>0</v>
      </c>
      <c r="AZ31" s="96">
        <f t="shared" si="34"/>
        <v>0</v>
      </c>
      <c r="BA31" s="96">
        <f t="shared" si="34"/>
        <v>0</v>
      </c>
      <c r="BB31" s="96">
        <f t="shared" si="34"/>
        <v>0</v>
      </c>
      <c r="BC31" s="96">
        <f t="shared" si="34"/>
        <v>0</v>
      </c>
      <c r="BD31" s="96">
        <f t="shared" si="34"/>
        <v>0</v>
      </c>
      <c r="BE31" s="96">
        <f t="shared" si="34"/>
        <v>0</v>
      </c>
      <c r="BF31" s="96">
        <f t="shared" si="34"/>
        <v>0</v>
      </c>
      <c r="BG31" s="96">
        <f t="shared" si="34"/>
        <v>0</v>
      </c>
      <c r="BH31" s="96">
        <f t="shared" si="34"/>
        <v>0</v>
      </c>
      <c r="BI31" s="96">
        <f t="shared" si="34"/>
        <v>0</v>
      </c>
    </row>
    <row r="32" ht="15.75" customHeight="1">
      <c r="A32" s="7"/>
      <c r="B32" s="7" t="s">
        <v>184</v>
      </c>
      <c r="C32" s="1"/>
      <c r="D32" s="1"/>
      <c r="E32" s="96"/>
      <c r="F32" s="46"/>
      <c r="G32" s="46"/>
      <c r="H32" s="26"/>
      <c r="I32" s="96"/>
      <c r="J32" s="96"/>
      <c r="K32" s="96">
        <f t="shared" si="5"/>
        <v>0</v>
      </c>
      <c r="L32" s="1"/>
      <c r="M32" s="1"/>
      <c r="N32" s="96">
        <f t="shared" ref="N32:BI32" si="35">IF($F32=0,0, IF(AND(N$1&gt;=$G32,$G32&lt;&gt;0),0,IF(N$1&gt;=$F32,$E32/12,0)))</f>
        <v>0</v>
      </c>
      <c r="O32" s="96">
        <f t="shared" si="35"/>
        <v>0</v>
      </c>
      <c r="P32" s="96">
        <f t="shared" si="35"/>
        <v>0</v>
      </c>
      <c r="Q32" s="96">
        <f t="shared" si="35"/>
        <v>0</v>
      </c>
      <c r="R32" s="96">
        <f t="shared" si="35"/>
        <v>0</v>
      </c>
      <c r="S32" s="96">
        <f t="shared" si="35"/>
        <v>0</v>
      </c>
      <c r="T32" s="96">
        <f t="shared" si="35"/>
        <v>0</v>
      </c>
      <c r="U32" s="96">
        <f t="shared" si="35"/>
        <v>0</v>
      </c>
      <c r="V32" s="96">
        <f t="shared" si="35"/>
        <v>0</v>
      </c>
      <c r="W32" s="96">
        <f t="shared" si="35"/>
        <v>0</v>
      </c>
      <c r="X32" s="96">
        <f t="shared" si="35"/>
        <v>0</v>
      </c>
      <c r="Y32" s="96">
        <f t="shared" si="35"/>
        <v>0</v>
      </c>
      <c r="Z32" s="96">
        <f t="shared" si="35"/>
        <v>0</v>
      </c>
      <c r="AA32" s="96">
        <f t="shared" si="35"/>
        <v>0</v>
      </c>
      <c r="AB32" s="96">
        <f t="shared" si="35"/>
        <v>0</v>
      </c>
      <c r="AC32" s="96">
        <f t="shared" si="35"/>
        <v>0</v>
      </c>
      <c r="AD32" s="96">
        <f t="shared" si="35"/>
        <v>0</v>
      </c>
      <c r="AE32" s="96">
        <f t="shared" si="35"/>
        <v>0</v>
      </c>
      <c r="AF32" s="96">
        <f t="shared" si="35"/>
        <v>0</v>
      </c>
      <c r="AG32" s="96">
        <f t="shared" si="35"/>
        <v>0</v>
      </c>
      <c r="AH32" s="96">
        <f t="shared" si="35"/>
        <v>0</v>
      </c>
      <c r="AI32" s="96">
        <f t="shared" si="35"/>
        <v>0</v>
      </c>
      <c r="AJ32" s="96">
        <f t="shared" si="35"/>
        <v>0</v>
      </c>
      <c r="AK32" s="96">
        <f t="shared" si="35"/>
        <v>0</v>
      </c>
      <c r="AL32" s="96">
        <f t="shared" si="35"/>
        <v>0</v>
      </c>
      <c r="AM32" s="96">
        <f t="shared" si="35"/>
        <v>0</v>
      </c>
      <c r="AN32" s="96">
        <f t="shared" si="35"/>
        <v>0</v>
      </c>
      <c r="AO32" s="96">
        <f t="shared" si="35"/>
        <v>0</v>
      </c>
      <c r="AP32" s="96">
        <f t="shared" si="35"/>
        <v>0</v>
      </c>
      <c r="AQ32" s="96">
        <f t="shared" si="35"/>
        <v>0</v>
      </c>
      <c r="AR32" s="96">
        <f t="shared" si="35"/>
        <v>0</v>
      </c>
      <c r="AS32" s="96">
        <f t="shared" si="35"/>
        <v>0</v>
      </c>
      <c r="AT32" s="96">
        <f t="shared" si="35"/>
        <v>0</v>
      </c>
      <c r="AU32" s="96">
        <f t="shared" si="35"/>
        <v>0</v>
      </c>
      <c r="AV32" s="96">
        <f t="shared" si="35"/>
        <v>0</v>
      </c>
      <c r="AW32" s="96">
        <f t="shared" si="35"/>
        <v>0</v>
      </c>
      <c r="AX32" s="96">
        <f t="shared" si="35"/>
        <v>0</v>
      </c>
      <c r="AY32" s="96">
        <f t="shared" si="35"/>
        <v>0</v>
      </c>
      <c r="AZ32" s="96">
        <f t="shared" si="35"/>
        <v>0</v>
      </c>
      <c r="BA32" s="96">
        <f t="shared" si="35"/>
        <v>0</v>
      </c>
      <c r="BB32" s="96">
        <f t="shared" si="35"/>
        <v>0</v>
      </c>
      <c r="BC32" s="96">
        <f t="shared" si="35"/>
        <v>0</v>
      </c>
      <c r="BD32" s="96">
        <f t="shared" si="35"/>
        <v>0</v>
      </c>
      <c r="BE32" s="96">
        <f t="shared" si="35"/>
        <v>0</v>
      </c>
      <c r="BF32" s="96">
        <f t="shared" si="35"/>
        <v>0</v>
      </c>
      <c r="BG32" s="96">
        <f t="shared" si="35"/>
        <v>0</v>
      </c>
      <c r="BH32" s="96">
        <f t="shared" si="35"/>
        <v>0</v>
      </c>
      <c r="BI32" s="96">
        <f t="shared" si="35"/>
        <v>0</v>
      </c>
    </row>
    <row r="33" ht="15.75" customHeight="1">
      <c r="A33" s="1"/>
      <c r="B33" s="1" t="s">
        <v>185</v>
      </c>
      <c r="C33" s="1" t="s">
        <v>186</v>
      </c>
      <c r="D33" s="1" t="str">
        <f t="shared" ref="D33:D38" si="37">$B$32</f>
        <v>Marketing</v>
      </c>
      <c r="E33" s="140">
        <v>210000.0</v>
      </c>
      <c r="F33" s="141">
        <v>43678.0</v>
      </c>
      <c r="G33" s="141"/>
      <c r="H33" s="142">
        <v>0.09</v>
      </c>
      <c r="I33" s="143">
        <f t="shared" ref="I33:I38" si="38">0.04*E33/12</f>
        <v>700</v>
      </c>
      <c r="J33" s="143">
        <v>500.0</v>
      </c>
      <c r="K33" s="96">
        <f t="shared" si="5"/>
        <v>1200</v>
      </c>
      <c r="L33" s="1"/>
      <c r="M33" s="1"/>
      <c r="N33" s="96">
        <f t="shared" ref="N33:BI33" si="36">IF($F33=0,0, IF(AND(N$1&gt;=$G33,$G33&lt;&gt;0),0,IF(N$1&gt;=$F33,$E33/12,0)))</f>
        <v>17500</v>
      </c>
      <c r="O33" s="96">
        <f t="shared" si="36"/>
        <v>17500</v>
      </c>
      <c r="P33" s="96">
        <f t="shared" si="36"/>
        <v>17500</v>
      </c>
      <c r="Q33" s="96">
        <f t="shared" si="36"/>
        <v>17500</v>
      </c>
      <c r="R33" s="96">
        <f t="shared" si="36"/>
        <v>17500</v>
      </c>
      <c r="S33" s="96">
        <f t="shared" si="36"/>
        <v>17500</v>
      </c>
      <c r="T33" s="96">
        <f t="shared" si="36"/>
        <v>17500</v>
      </c>
      <c r="U33" s="96">
        <f t="shared" si="36"/>
        <v>17500</v>
      </c>
      <c r="V33" s="96">
        <f t="shared" si="36"/>
        <v>17500</v>
      </c>
      <c r="W33" s="96">
        <f t="shared" si="36"/>
        <v>17500</v>
      </c>
      <c r="X33" s="96">
        <f t="shared" si="36"/>
        <v>17500</v>
      </c>
      <c r="Y33" s="96">
        <f t="shared" si="36"/>
        <v>17500</v>
      </c>
      <c r="Z33" s="96">
        <f t="shared" si="36"/>
        <v>17500</v>
      </c>
      <c r="AA33" s="96">
        <f t="shared" si="36"/>
        <v>17500</v>
      </c>
      <c r="AB33" s="96">
        <f t="shared" si="36"/>
        <v>17500</v>
      </c>
      <c r="AC33" s="96">
        <f t="shared" si="36"/>
        <v>17500</v>
      </c>
      <c r="AD33" s="96">
        <f t="shared" si="36"/>
        <v>17500</v>
      </c>
      <c r="AE33" s="96">
        <f t="shared" si="36"/>
        <v>17500</v>
      </c>
      <c r="AF33" s="96">
        <f t="shared" si="36"/>
        <v>17500</v>
      </c>
      <c r="AG33" s="96">
        <f t="shared" si="36"/>
        <v>17500</v>
      </c>
      <c r="AH33" s="96">
        <f t="shared" si="36"/>
        <v>17500</v>
      </c>
      <c r="AI33" s="96">
        <f t="shared" si="36"/>
        <v>17500</v>
      </c>
      <c r="AJ33" s="96">
        <f t="shared" si="36"/>
        <v>17500</v>
      </c>
      <c r="AK33" s="96">
        <f t="shared" si="36"/>
        <v>17500</v>
      </c>
      <c r="AL33" s="96">
        <f t="shared" si="36"/>
        <v>17500</v>
      </c>
      <c r="AM33" s="96">
        <f t="shared" si="36"/>
        <v>17500</v>
      </c>
      <c r="AN33" s="96">
        <f t="shared" si="36"/>
        <v>17500</v>
      </c>
      <c r="AO33" s="96">
        <f t="shared" si="36"/>
        <v>17500</v>
      </c>
      <c r="AP33" s="96">
        <f t="shared" si="36"/>
        <v>17500</v>
      </c>
      <c r="AQ33" s="96">
        <f t="shared" si="36"/>
        <v>17500</v>
      </c>
      <c r="AR33" s="96">
        <f t="shared" si="36"/>
        <v>17500</v>
      </c>
      <c r="AS33" s="96">
        <f t="shared" si="36"/>
        <v>17500</v>
      </c>
      <c r="AT33" s="96">
        <f t="shared" si="36"/>
        <v>17500</v>
      </c>
      <c r="AU33" s="96">
        <f t="shared" si="36"/>
        <v>17500</v>
      </c>
      <c r="AV33" s="96">
        <f t="shared" si="36"/>
        <v>17500</v>
      </c>
      <c r="AW33" s="96">
        <f t="shared" si="36"/>
        <v>17500</v>
      </c>
      <c r="AX33" s="96">
        <f t="shared" si="36"/>
        <v>17500</v>
      </c>
      <c r="AY33" s="96">
        <f t="shared" si="36"/>
        <v>17500</v>
      </c>
      <c r="AZ33" s="96">
        <f t="shared" si="36"/>
        <v>17500</v>
      </c>
      <c r="BA33" s="96">
        <f t="shared" si="36"/>
        <v>17500</v>
      </c>
      <c r="BB33" s="96">
        <f t="shared" si="36"/>
        <v>17500</v>
      </c>
      <c r="BC33" s="96">
        <f t="shared" si="36"/>
        <v>17500</v>
      </c>
      <c r="BD33" s="96">
        <f t="shared" si="36"/>
        <v>17500</v>
      </c>
      <c r="BE33" s="96">
        <f t="shared" si="36"/>
        <v>17500</v>
      </c>
      <c r="BF33" s="96">
        <f t="shared" si="36"/>
        <v>17500</v>
      </c>
      <c r="BG33" s="96">
        <f t="shared" si="36"/>
        <v>17500</v>
      </c>
      <c r="BH33" s="96">
        <f t="shared" si="36"/>
        <v>17500</v>
      </c>
      <c r="BI33" s="96">
        <f t="shared" si="36"/>
        <v>17500</v>
      </c>
    </row>
    <row r="34" ht="15.75" customHeight="1">
      <c r="A34" s="1"/>
      <c r="B34" s="1" t="s">
        <v>187</v>
      </c>
      <c r="C34" s="1" t="s">
        <v>188</v>
      </c>
      <c r="D34" s="1" t="str">
        <f t="shared" si="37"/>
        <v>Marketing</v>
      </c>
      <c r="E34" s="145">
        <v>100000.0</v>
      </c>
      <c r="F34" s="141">
        <v>43466.0</v>
      </c>
      <c r="G34" s="141"/>
      <c r="H34" s="142">
        <v>0.09</v>
      </c>
      <c r="I34" s="143">
        <f t="shared" si="38"/>
        <v>333.3333333</v>
      </c>
      <c r="J34" s="145">
        <v>500.0</v>
      </c>
      <c r="K34" s="96">
        <f t="shared" si="5"/>
        <v>833.3333333</v>
      </c>
      <c r="L34" s="1"/>
      <c r="M34" s="1"/>
      <c r="N34" s="96">
        <f t="shared" ref="N34:BI34" si="39">IF($F34=0,0, IF(AND(N$1&gt;=$G34,$G34&lt;&gt;0),0,IF(N$1&gt;=$F34,$E34/12,0)))</f>
        <v>8333.333333</v>
      </c>
      <c r="O34" s="96">
        <f t="shared" si="39"/>
        <v>8333.333333</v>
      </c>
      <c r="P34" s="96">
        <f t="shared" si="39"/>
        <v>8333.333333</v>
      </c>
      <c r="Q34" s="96">
        <f t="shared" si="39"/>
        <v>8333.333333</v>
      </c>
      <c r="R34" s="96">
        <f t="shared" si="39"/>
        <v>8333.333333</v>
      </c>
      <c r="S34" s="96">
        <f t="shared" si="39"/>
        <v>8333.333333</v>
      </c>
      <c r="T34" s="96">
        <f t="shared" si="39"/>
        <v>8333.333333</v>
      </c>
      <c r="U34" s="96">
        <f t="shared" si="39"/>
        <v>8333.333333</v>
      </c>
      <c r="V34" s="96">
        <f t="shared" si="39"/>
        <v>8333.333333</v>
      </c>
      <c r="W34" s="96">
        <f t="shared" si="39"/>
        <v>8333.333333</v>
      </c>
      <c r="X34" s="96">
        <f t="shared" si="39"/>
        <v>8333.333333</v>
      </c>
      <c r="Y34" s="96">
        <f t="shared" si="39"/>
        <v>8333.333333</v>
      </c>
      <c r="Z34" s="96">
        <f t="shared" si="39"/>
        <v>8333.333333</v>
      </c>
      <c r="AA34" s="96">
        <f t="shared" si="39"/>
        <v>8333.333333</v>
      </c>
      <c r="AB34" s="96">
        <f t="shared" si="39"/>
        <v>8333.333333</v>
      </c>
      <c r="AC34" s="96">
        <f t="shared" si="39"/>
        <v>8333.333333</v>
      </c>
      <c r="AD34" s="96">
        <f t="shared" si="39"/>
        <v>8333.333333</v>
      </c>
      <c r="AE34" s="96">
        <f t="shared" si="39"/>
        <v>8333.333333</v>
      </c>
      <c r="AF34" s="96">
        <f t="shared" si="39"/>
        <v>8333.333333</v>
      </c>
      <c r="AG34" s="96">
        <f t="shared" si="39"/>
        <v>8333.333333</v>
      </c>
      <c r="AH34" s="96">
        <f t="shared" si="39"/>
        <v>8333.333333</v>
      </c>
      <c r="AI34" s="96">
        <f t="shared" si="39"/>
        <v>8333.333333</v>
      </c>
      <c r="AJ34" s="96">
        <f t="shared" si="39"/>
        <v>8333.333333</v>
      </c>
      <c r="AK34" s="96">
        <f t="shared" si="39"/>
        <v>8333.333333</v>
      </c>
      <c r="AL34" s="96">
        <f t="shared" si="39"/>
        <v>8333.333333</v>
      </c>
      <c r="AM34" s="96">
        <f t="shared" si="39"/>
        <v>8333.333333</v>
      </c>
      <c r="AN34" s="96">
        <f t="shared" si="39"/>
        <v>8333.333333</v>
      </c>
      <c r="AO34" s="96">
        <f t="shared" si="39"/>
        <v>8333.333333</v>
      </c>
      <c r="AP34" s="96">
        <f t="shared" si="39"/>
        <v>8333.333333</v>
      </c>
      <c r="AQ34" s="96">
        <f t="shared" si="39"/>
        <v>8333.333333</v>
      </c>
      <c r="AR34" s="96">
        <f t="shared" si="39"/>
        <v>8333.333333</v>
      </c>
      <c r="AS34" s="96">
        <f t="shared" si="39"/>
        <v>8333.333333</v>
      </c>
      <c r="AT34" s="96">
        <f t="shared" si="39"/>
        <v>8333.333333</v>
      </c>
      <c r="AU34" s="96">
        <f t="shared" si="39"/>
        <v>8333.333333</v>
      </c>
      <c r="AV34" s="96">
        <f t="shared" si="39"/>
        <v>8333.333333</v>
      </c>
      <c r="AW34" s="96">
        <f t="shared" si="39"/>
        <v>8333.333333</v>
      </c>
      <c r="AX34" s="96">
        <f t="shared" si="39"/>
        <v>8333.333333</v>
      </c>
      <c r="AY34" s="96">
        <f t="shared" si="39"/>
        <v>8333.333333</v>
      </c>
      <c r="AZ34" s="96">
        <f t="shared" si="39"/>
        <v>8333.333333</v>
      </c>
      <c r="BA34" s="96">
        <f t="shared" si="39"/>
        <v>8333.333333</v>
      </c>
      <c r="BB34" s="96">
        <f t="shared" si="39"/>
        <v>8333.333333</v>
      </c>
      <c r="BC34" s="96">
        <f t="shared" si="39"/>
        <v>8333.333333</v>
      </c>
      <c r="BD34" s="96">
        <f t="shared" si="39"/>
        <v>8333.333333</v>
      </c>
      <c r="BE34" s="96">
        <f t="shared" si="39"/>
        <v>8333.333333</v>
      </c>
      <c r="BF34" s="96">
        <f t="shared" si="39"/>
        <v>8333.333333</v>
      </c>
      <c r="BG34" s="96">
        <f t="shared" si="39"/>
        <v>8333.333333</v>
      </c>
      <c r="BH34" s="96">
        <f t="shared" si="39"/>
        <v>8333.333333</v>
      </c>
      <c r="BI34" s="96">
        <f t="shared" si="39"/>
        <v>8333.333333</v>
      </c>
    </row>
    <row r="35" ht="15.75" customHeight="1">
      <c r="A35" s="7"/>
      <c r="B35" s="1" t="s">
        <v>175</v>
      </c>
      <c r="C35" s="1" t="s">
        <v>189</v>
      </c>
      <c r="D35" s="1" t="str">
        <f t="shared" si="37"/>
        <v>Marketing</v>
      </c>
      <c r="E35" s="143">
        <v>100000.0</v>
      </c>
      <c r="F35" s="144"/>
      <c r="G35" s="141"/>
      <c r="H35" s="142">
        <v>0.09</v>
      </c>
      <c r="I35" s="143">
        <f t="shared" si="38"/>
        <v>333.3333333</v>
      </c>
      <c r="J35" s="143">
        <v>500.0</v>
      </c>
      <c r="K35" s="96">
        <f t="shared" si="5"/>
        <v>833.3333333</v>
      </c>
      <c r="L35" s="1"/>
      <c r="M35" s="1"/>
      <c r="N35" s="96">
        <f t="shared" ref="N35:BI35" si="40">IF($F35=0,0, IF(AND(N$1&gt;=$G35,$G35&lt;&gt;0),0,IF(N$1&gt;=$F35,$E35/12,0)))</f>
        <v>0</v>
      </c>
      <c r="O35" s="96">
        <f t="shared" si="40"/>
        <v>0</v>
      </c>
      <c r="P35" s="96">
        <f t="shared" si="40"/>
        <v>0</v>
      </c>
      <c r="Q35" s="96">
        <f t="shared" si="40"/>
        <v>0</v>
      </c>
      <c r="R35" s="96">
        <f t="shared" si="40"/>
        <v>0</v>
      </c>
      <c r="S35" s="96">
        <f t="shared" si="40"/>
        <v>0</v>
      </c>
      <c r="T35" s="96">
        <f t="shared" si="40"/>
        <v>0</v>
      </c>
      <c r="U35" s="96">
        <f t="shared" si="40"/>
        <v>0</v>
      </c>
      <c r="V35" s="96">
        <f t="shared" si="40"/>
        <v>0</v>
      </c>
      <c r="W35" s="96">
        <f t="shared" si="40"/>
        <v>0</v>
      </c>
      <c r="X35" s="96">
        <f t="shared" si="40"/>
        <v>0</v>
      </c>
      <c r="Y35" s="96">
        <f t="shared" si="40"/>
        <v>0</v>
      </c>
      <c r="Z35" s="96">
        <f t="shared" si="40"/>
        <v>0</v>
      </c>
      <c r="AA35" s="96">
        <f t="shared" si="40"/>
        <v>0</v>
      </c>
      <c r="AB35" s="96">
        <f t="shared" si="40"/>
        <v>0</v>
      </c>
      <c r="AC35" s="96">
        <f t="shared" si="40"/>
        <v>0</v>
      </c>
      <c r="AD35" s="96">
        <f t="shared" si="40"/>
        <v>0</v>
      </c>
      <c r="AE35" s="96">
        <f t="shared" si="40"/>
        <v>0</v>
      </c>
      <c r="AF35" s="96">
        <f t="shared" si="40"/>
        <v>0</v>
      </c>
      <c r="AG35" s="96">
        <f t="shared" si="40"/>
        <v>0</v>
      </c>
      <c r="AH35" s="96">
        <f t="shared" si="40"/>
        <v>0</v>
      </c>
      <c r="AI35" s="96">
        <f t="shared" si="40"/>
        <v>0</v>
      </c>
      <c r="AJ35" s="96">
        <f t="shared" si="40"/>
        <v>0</v>
      </c>
      <c r="AK35" s="96">
        <f t="shared" si="40"/>
        <v>0</v>
      </c>
      <c r="AL35" s="96">
        <f t="shared" si="40"/>
        <v>0</v>
      </c>
      <c r="AM35" s="96">
        <f t="shared" si="40"/>
        <v>0</v>
      </c>
      <c r="AN35" s="96">
        <f t="shared" si="40"/>
        <v>0</v>
      </c>
      <c r="AO35" s="96">
        <f t="shared" si="40"/>
        <v>0</v>
      </c>
      <c r="AP35" s="96">
        <f t="shared" si="40"/>
        <v>0</v>
      </c>
      <c r="AQ35" s="96">
        <f t="shared" si="40"/>
        <v>0</v>
      </c>
      <c r="AR35" s="96">
        <f t="shared" si="40"/>
        <v>0</v>
      </c>
      <c r="AS35" s="96">
        <f t="shared" si="40"/>
        <v>0</v>
      </c>
      <c r="AT35" s="96">
        <f t="shared" si="40"/>
        <v>0</v>
      </c>
      <c r="AU35" s="96">
        <f t="shared" si="40"/>
        <v>0</v>
      </c>
      <c r="AV35" s="96">
        <f t="shared" si="40"/>
        <v>0</v>
      </c>
      <c r="AW35" s="96">
        <f t="shared" si="40"/>
        <v>0</v>
      </c>
      <c r="AX35" s="96">
        <f t="shared" si="40"/>
        <v>0</v>
      </c>
      <c r="AY35" s="96">
        <f t="shared" si="40"/>
        <v>0</v>
      </c>
      <c r="AZ35" s="96">
        <f t="shared" si="40"/>
        <v>0</v>
      </c>
      <c r="BA35" s="96">
        <f t="shared" si="40"/>
        <v>0</v>
      </c>
      <c r="BB35" s="96">
        <f t="shared" si="40"/>
        <v>0</v>
      </c>
      <c r="BC35" s="96">
        <f t="shared" si="40"/>
        <v>0</v>
      </c>
      <c r="BD35" s="96">
        <f t="shared" si="40"/>
        <v>0</v>
      </c>
      <c r="BE35" s="96">
        <f t="shared" si="40"/>
        <v>0</v>
      </c>
      <c r="BF35" s="96">
        <f t="shared" si="40"/>
        <v>0</v>
      </c>
      <c r="BG35" s="96">
        <f t="shared" si="40"/>
        <v>0</v>
      </c>
      <c r="BH35" s="96">
        <f t="shared" si="40"/>
        <v>0</v>
      </c>
      <c r="BI35" s="96">
        <f t="shared" si="40"/>
        <v>0</v>
      </c>
    </row>
    <row r="36" ht="15.75" customHeight="1">
      <c r="A36" s="7"/>
      <c r="B36" s="1" t="s">
        <v>176</v>
      </c>
      <c r="C36" s="1" t="s">
        <v>190</v>
      </c>
      <c r="D36" s="1" t="str">
        <f t="shared" si="37"/>
        <v>Marketing</v>
      </c>
      <c r="E36" s="143">
        <v>100000.0</v>
      </c>
      <c r="F36" s="144"/>
      <c r="G36" s="141"/>
      <c r="H36" s="142">
        <v>0.09</v>
      </c>
      <c r="I36" s="143">
        <f t="shared" si="38"/>
        <v>333.3333333</v>
      </c>
      <c r="J36" s="143">
        <v>500.0</v>
      </c>
      <c r="K36" s="96">
        <f t="shared" si="5"/>
        <v>833.3333333</v>
      </c>
      <c r="L36" s="1"/>
      <c r="M36" s="1"/>
      <c r="N36" s="96">
        <f t="shared" ref="N36:BI36" si="41">IF($F36=0,0, IF(AND(N$1&gt;=$G36,$G36&lt;&gt;0),0,IF(N$1&gt;=$F36,$E36/12,0)))</f>
        <v>0</v>
      </c>
      <c r="O36" s="96">
        <f t="shared" si="41"/>
        <v>0</v>
      </c>
      <c r="P36" s="96">
        <f t="shared" si="41"/>
        <v>0</v>
      </c>
      <c r="Q36" s="96">
        <f t="shared" si="41"/>
        <v>0</v>
      </c>
      <c r="R36" s="96">
        <f t="shared" si="41"/>
        <v>0</v>
      </c>
      <c r="S36" s="96">
        <f t="shared" si="41"/>
        <v>0</v>
      </c>
      <c r="T36" s="96">
        <f t="shared" si="41"/>
        <v>0</v>
      </c>
      <c r="U36" s="96">
        <f t="shared" si="41"/>
        <v>0</v>
      </c>
      <c r="V36" s="96">
        <f t="shared" si="41"/>
        <v>0</v>
      </c>
      <c r="W36" s="96">
        <f t="shared" si="41"/>
        <v>0</v>
      </c>
      <c r="X36" s="96">
        <f t="shared" si="41"/>
        <v>0</v>
      </c>
      <c r="Y36" s="96">
        <f t="shared" si="41"/>
        <v>0</v>
      </c>
      <c r="Z36" s="96">
        <f t="shared" si="41"/>
        <v>0</v>
      </c>
      <c r="AA36" s="96">
        <f t="shared" si="41"/>
        <v>0</v>
      </c>
      <c r="AB36" s="96">
        <f t="shared" si="41"/>
        <v>0</v>
      </c>
      <c r="AC36" s="96">
        <f t="shared" si="41"/>
        <v>0</v>
      </c>
      <c r="AD36" s="96">
        <f t="shared" si="41"/>
        <v>0</v>
      </c>
      <c r="AE36" s="96">
        <f t="shared" si="41"/>
        <v>0</v>
      </c>
      <c r="AF36" s="96">
        <f t="shared" si="41"/>
        <v>0</v>
      </c>
      <c r="AG36" s="96">
        <f t="shared" si="41"/>
        <v>0</v>
      </c>
      <c r="AH36" s="96">
        <f t="shared" si="41"/>
        <v>0</v>
      </c>
      <c r="AI36" s="96">
        <f t="shared" si="41"/>
        <v>0</v>
      </c>
      <c r="AJ36" s="96">
        <f t="shared" si="41"/>
        <v>0</v>
      </c>
      <c r="AK36" s="96">
        <f t="shared" si="41"/>
        <v>0</v>
      </c>
      <c r="AL36" s="96">
        <f t="shared" si="41"/>
        <v>0</v>
      </c>
      <c r="AM36" s="96">
        <f t="shared" si="41"/>
        <v>0</v>
      </c>
      <c r="AN36" s="96">
        <f t="shared" si="41"/>
        <v>0</v>
      </c>
      <c r="AO36" s="96">
        <f t="shared" si="41"/>
        <v>0</v>
      </c>
      <c r="AP36" s="96">
        <f t="shared" si="41"/>
        <v>0</v>
      </c>
      <c r="AQ36" s="96">
        <f t="shared" si="41"/>
        <v>0</v>
      </c>
      <c r="AR36" s="96">
        <f t="shared" si="41"/>
        <v>0</v>
      </c>
      <c r="AS36" s="96">
        <f t="shared" si="41"/>
        <v>0</v>
      </c>
      <c r="AT36" s="96">
        <f t="shared" si="41"/>
        <v>0</v>
      </c>
      <c r="AU36" s="96">
        <f t="shared" si="41"/>
        <v>0</v>
      </c>
      <c r="AV36" s="96">
        <f t="shared" si="41"/>
        <v>0</v>
      </c>
      <c r="AW36" s="96">
        <f t="shared" si="41"/>
        <v>0</v>
      </c>
      <c r="AX36" s="96">
        <f t="shared" si="41"/>
        <v>0</v>
      </c>
      <c r="AY36" s="96">
        <f t="shared" si="41"/>
        <v>0</v>
      </c>
      <c r="AZ36" s="96">
        <f t="shared" si="41"/>
        <v>0</v>
      </c>
      <c r="BA36" s="96">
        <f t="shared" si="41"/>
        <v>0</v>
      </c>
      <c r="BB36" s="96">
        <f t="shared" si="41"/>
        <v>0</v>
      </c>
      <c r="BC36" s="96">
        <f t="shared" si="41"/>
        <v>0</v>
      </c>
      <c r="BD36" s="96">
        <f t="shared" si="41"/>
        <v>0</v>
      </c>
      <c r="BE36" s="96">
        <f t="shared" si="41"/>
        <v>0</v>
      </c>
      <c r="BF36" s="96">
        <f t="shared" si="41"/>
        <v>0</v>
      </c>
      <c r="BG36" s="96">
        <f t="shared" si="41"/>
        <v>0</v>
      </c>
      <c r="BH36" s="96">
        <f t="shared" si="41"/>
        <v>0</v>
      </c>
      <c r="BI36" s="96">
        <f t="shared" si="41"/>
        <v>0</v>
      </c>
    </row>
    <row r="37" ht="15.75" customHeight="1">
      <c r="A37" s="7"/>
      <c r="B37" s="1" t="s">
        <v>177</v>
      </c>
      <c r="C37" s="1" t="s">
        <v>191</v>
      </c>
      <c r="D37" s="1" t="str">
        <f t="shared" si="37"/>
        <v>Marketing</v>
      </c>
      <c r="E37" s="143">
        <v>100000.0</v>
      </c>
      <c r="F37" s="144"/>
      <c r="G37" s="141"/>
      <c r="H37" s="142">
        <v>0.09</v>
      </c>
      <c r="I37" s="143">
        <f t="shared" si="38"/>
        <v>333.3333333</v>
      </c>
      <c r="J37" s="143">
        <v>500.0</v>
      </c>
      <c r="K37" s="96">
        <f t="shared" si="5"/>
        <v>833.3333333</v>
      </c>
      <c r="L37" s="1"/>
      <c r="M37" s="1"/>
      <c r="N37" s="96">
        <f t="shared" ref="N37:BI37" si="42">IF($F37=0,0, IF(AND(N$1&gt;=$G37,$G37&lt;&gt;0),0,IF(N$1&gt;=$F37,$E37/12,0)))</f>
        <v>0</v>
      </c>
      <c r="O37" s="96">
        <f t="shared" si="42"/>
        <v>0</v>
      </c>
      <c r="P37" s="96">
        <f t="shared" si="42"/>
        <v>0</v>
      </c>
      <c r="Q37" s="96">
        <f t="shared" si="42"/>
        <v>0</v>
      </c>
      <c r="R37" s="96">
        <f t="shared" si="42"/>
        <v>0</v>
      </c>
      <c r="S37" s="96">
        <f t="shared" si="42"/>
        <v>0</v>
      </c>
      <c r="T37" s="96">
        <f t="shared" si="42"/>
        <v>0</v>
      </c>
      <c r="U37" s="96">
        <f t="shared" si="42"/>
        <v>0</v>
      </c>
      <c r="V37" s="96">
        <f t="shared" si="42"/>
        <v>0</v>
      </c>
      <c r="W37" s="96">
        <f t="shared" si="42"/>
        <v>0</v>
      </c>
      <c r="X37" s="96">
        <f t="shared" si="42"/>
        <v>0</v>
      </c>
      <c r="Y37" s="96">
        <f t="shared" si="42"/>
        <v>0</v>
      </c>
      <c r="Z37" s="96">
        <f t="shared" si="42"/>
        <v>0</v>
      </c>
      <c r="AA37" s="96">
        <f t="shared" si="42"/>
        <v>0</v>
      </c>
      <c r="AB37" s="96">
        <f t="shared" si="42"/>
        <v>0</v>
      </c>
      <c r="AC37" s="96">
        <f t="shared" si="42"/>
        <v>0</v>
      </c>
      <c r="AD37" s="96">
        <f t="shared" si="42"/>
        <v>0</v>
      </c>
      <c r="AE37" s="96">
        <f t="shared" si="42"/>
        <v>0</v>
      </c>
      <c r="AF37" s="96">
        <f t="shared" si="42"/>
        <v>0</v>
      </c>
      <c r="AG37" s="96">
        <f t="shared" si="42"/>
        <v>0</v>
      </c>
      <c r="AH37" s="96">
        <f t="shared" si="42"/>
        <v>0</v>
      </c>
      <c r="AI37" s="96">
        <f t="shared" si="42"/>
        <v>0</v>
      </c>
      <c r="AJ37" s="96">
        <f t="shared" si="42"/>
        <v>0</v>
      </c>
      <c r="AK37" s="96">
        <f t="shared" si="42"/>
        <v>0</v>
      </c>
      <c r="AL37" s="96">
        <f t="shared" si="42"/>
        <v>0</v>
      </c>
      <c r="AM37" s="96">
        <f t="shared" si="42"/>
        <v>0</v>
      </c>
      <c r="AN37" s="96">
        <f t="shared" si="42"/>
        <v>0</v>
      </c>
      <c r="AO37" s="96">
        <f t="shared" si="42"/>
        <v>0</v>
      </c>
      <c r="AP37" s="96">
        <f t="shared" si="42"/>
        <v>0</v>
      </c>
      <c r="AQ37" s="96">
        <f t="shared" si="42"/>
        <v>0</v>
      </c>
      <c r="AR37" s="96">
        <f t="shared" si="42"/>
        <v>0</v>
      </c>
      <c r="AS37" s="96">
        <f t="shared" si="42"/>
        <v>0</v>
      </c>
      <c r="AT37" s="96">
        <f t="shared" si="42"/>
        <v>0</v>
      </c>
      <c r="AU37" s="96">
        <f t="shared" si="42"/>
        <v>0</v>
      </c>
      <c r="AV37" s="96">
        <f t="shared" si="42"/>
        <v>0</v>
      </c>
      <c r="AW37" s="96">
        <f t="shared" si="42"/>
        <v>0</v>
      </c>
      <c r="AX37" s="96">
        <f t="shared" si="42"/>
        <v>0</v>
      </c>
      <c r="AY37" s="96">
        <f t="shared" si="42"/>
        <v>0</v>
      </c>
      <c r="AZ37" s="96">
        <f t="shared" si="42"/>
        <v>0</v>
      </c>
      <c r="BA37" s="96">
        <f t="shared" si="42"/>
        <v>0</v>
      </c>
      <c r="BB37" s="96">
        <f t="shared" si="42"/>
        <v>0</v>
      </c>
      <c r="BC37" s="96">
        <f t="shared" si="42"/>
        <v>0</v>
      </c>
      <c r="BD37" s="96">
        <f t="shared" si="42"/>
        <v>0</v>
      </c>
      <c r="BE37" s="96">
        <f t="shared" si="42"/>
        <v>0</v>
      </c>
      <c r="BF37" s="96">
        <f t="shared" si="42"/>
        <v>0</v>
      </c>
      <c r="BG37" s="96">
        <f t="shared" si="42"/>
        <v>0</v>
      </c>
      <c r="BH37" s="96">
        <f t="shared" si="42"/>
        <v>0</v>
      </c>
      <c r="BI37" s="96">
        <f t="shared" si="42"/>
        <v>0</v>
      </c>
    </row>
    <row r="38" ht="15.75" customHeight="1">
      <c r="A38" s="7"/>
      <c r="B38" s="1" t="s">
        <v>178</v>
      </c>
      <c r="C38" s="1" t="s">
        <v>192</v>
      </c>
      <c r="D38" s="1" t="str">
        <f t="shared" si="37"/>
        <v>Marketing</v>
      </c>
      <c r="E38" s="143">
        <v>100000.0</v>
      </c>
      <c r="F38" s="144"/>
      <c r="G38" s="141"/>
      <c r="H38" s="142">
        <v>0.09</v>
      </c>
      <c r="I38" s="143">
        <f t="shared" si="38"/>
        <v>333.3333333</v>
      </c>
      <c r="J38" s="143">
        <v>500.0</v>
      </c>
      <c r="K38" s="96">
        <f t="shared" si="5"/>
        <v>833.3333333</v>
      </c>
      <c r="L38" s="1"/>
      <c r="M38" s="1"/>
      <c r="N38" s="96">
        <f t="shared" ref="N38:BI38" si="43">IF($F38=0,0, IF(AND(N$1&gt;=$G38,$G38&lt;&gt;0),0,IF(N$1&gt;=$F38,$E38/12,0)))</f>
        <v>0</v>
      </c>
      <c r="O38" s="96">
        <f t="shared" si="43"/>
        <v>0</v>
      </c>
      <c r="P38" s="96">
        <f t="shared" si="43"/>
        <v>0</v>
      </c>
      <c r="Q38" s="96">
        <f t="shared" si="43"/>
        <v>0</v>
      </c>
      <c r="R38" s="96">
        <f t="shared" si="43"/>
        <v>0</v>
      </c>
      <c r="S38" s="96">
        <f t="shared" si="43"/>
        <v>0</v>
      </c>
      <c r="T38" s="96">
        <f t="shared" si="43"/>
        <v>0</v>
      </c>
      <c r="U38" s="96">
        <f t="shared" si="43"/>
        <v>0</v>
      </c>
      <c r="V38" s="96">
        <f t="shared" si="43"/>
        <v>0</v>
      </c>
      <c r="W38" s="96">
        <f t="shared" si="43"/>
        <v>0</v>
      </c>
      <c r="X38" s="96">
        <f t="shared" si="43"/>
        <v>0</v>
      </c>
      <c r="Y38" s="96">
        <f t="shared" si="43"/>
        <v>0</v>
      </c>
      <c r="Z38" s="96">
        <f t="shared" si="43"/>
        <v>0</v>
      </c>
      <c r="AA38" s="96">
        <f t="shared" si="43"/>
        <v>0</v>
      </c>
      <c r="AB38" s="96">
        <f t="shared" si="43"/>
        <v>0</v>
      </c>
      <c r="AC38" s="96">
        <f t="shared" si="43"/>
        <v>0</v>
      </c>
      <c r="AD38" s="96">
        <f t="shared" si="43"/>
        <v>0</v>
      </c>
      <c r="AE38" s="96">
        <f t="shared" si="43"/>
        <v>0</v>
      </c>
      <c r="AF38" s="96">
        <f t="shared" si="43"/>
        <v>0</v>
      </c>
      <c r="AG38" s="96">
        <f t="shared" si="43"/>
        <v>0</v>
      </c>
      <c r="AH38" s="96">
        <f t="shared" si="43"/>
        <v>0</v>
      </c>
      <c r="AI38" s="96">
        <f t="shared" si="43"/>
        <v>0</v>
      </c>
      <c r="AJ38" s="96">
        <f t="shared" si="43"/>
        <v>0</v>
      </c>
      <c r="AK38" s="96">
        <f t="shared" si="43"/>
        <v>0</v>
      </c>
      <c r="AL38" s="96">
        <f t="shared" si="43"/>
        <v>0</v>
      </c>
      <c r="AM38" s="96">
        <f t="shared" si="43"/>
        <v>0</v>
      </c>
      <c r="AN38" s="96">
        <f t="shared" si="43"/>
        <v>0</v>
      </c>
      <c r="AO38" s="96">
        <f t="shared" si="43"/>
        <v>0</v>
      </c>
      <c r="AP38" s="96">
        <f t="shared" si="43"/>
        <v>0</v>
      </c>
      <c r="AQ38" s="96">
        <f t="shared" si="43"/>
        <v>0</v>
      </c>
      <c r="AR38" s="96">
        <f t="shared" si="43"/>
        <v>0</v>
      </c>
      <c r="AS38" s="96">
        <f t="shared" si="43"/>
        <v>0</v>
      </c>
      <c r="AT38" s="96">
        <f t="shared" si="43"/>
        <v>0</v>
      </c>
      <c r="AU38" s="96">
        <f t="shared" si="43"/>
        <v>0</v>
      </c>
      <c r="AV38" s="96">
        <f t="shared" si="43"/>
        <v>0</v>
      </c>
      <c r="AW38" s="96">
        <f t="shared" si="43"/>
        <v>0</v>
      </c>
      <c r="AX38" s="96">
        <f t="shared" si="43"/>
        <v>0</v>
      </c>
      <c r="AY38" s="96">
        <f t="shared" si="43"/>
        <v>0</v>
      </c>
      <c r="AZ38" s="96">
        <f t="shared" si="43"/>
        <v>0</v>
      </c>
      <c r="BA38" s="96">
        <f t="shared" si="43"/>
        <v>0</v>
      </c>
      <c r="BB38" s="96">
        <f t="shared" si="43"/>
        <v>0</v>
      </c>
      <c r="BC38" s="96">
        <f t="shared" si="43"/>
        <v>0</v>
      </c>
      <c r="BD38" s="96">
        <f t="shared" si="43"/>
        <v>0</v>
      </c>
      <c r="BE38" s="96">
        <f t="shared" si="43"/>
        <v>0</v>
      </c>
      <c r="BF38" s="96">
        <f t="shared" si="43"/>
        <v>0</v>
      </c>
      <c r="BG38" s="96">
        <f t="shared" si="43"/>
        <v>0</v>
      </c>
      <c r="BH38" s="96">
        <f t="shared" si="43"/>
        <v>0</v>
      </c>
      <c r="BI38" s="96">
        <f t="shared" si="43"/>
        <v>0</v>
      </c>
    </row>
    <row r="39" ht="15.75" customHeight="1">
      <c r="A39" s="7"/>
      <c r="B39" s="7" t="s">
        <v>193</v>
      </c>
      <c r="C39" s="1"/>
      <c r="D39" s="1"/>
      <c r="E39" s="96"/>
      <c r="F39" s="46"/>
      <c r="G39" s="46"/>
      <c r="H39" s="26"/>
      <c r="I39" s="96"/>
      <c r="J39" s="96"/>
      <c r="K39" s="96">
        <f t="shared" si="5"/>
        <v>0</v>
      </c>
      <c r="L39" s="1"/>
      <c r="M39" s="1"/>
      <c r="N39" s="96">
        <f t="shared" ref="N39:BI39" si="44">IF($F39=0,0, IF(AND(N$1&gt;=$G39,$G39&lt;&gt;0),0,IF(N$1&gt;=$F39,$E39/12,0)))</f>
        <v>0</v>
      </c>
      <c r="O39" s="96">
        <f t="shared" si="44"/>
        <v>0</v>
      </c>
      <c r="P39" s="96">
        <f t="shared" si="44"/>
        <v>0</v>
      </c>
      <c r="Q39" s="96">
        <f t="shared" si="44"/>
        <v>0</v>
      </c>
      <c r="R39" s="96">
        <f t="shared" si="44"/>
        <v>0</v>
      </c>
      <c r="S39" s="96">
        <f t="shared" si="44"/>
        <v>0</v>
      </c>
      <c r="T39" s="96">
        <f t="shared" si="44"/>
        <v>0</v>
      </c>
      <c r="U39" s="96">
        <f t="shared" si="44"/>
        <v>0</v>
      </c>
      <c r="V39" s="96">
        <f t="shared" si="44"/>
        <v>0</v>
      </c>
      <c r="W39" s="96">
        <f t="shared" si="44"/>
        <v>0</v>
      </c>
      <c r="X39" s="96">
        <f t="shared" si="44"/>
        <v>0</v>
      </c>
      <c r="Y39" s="96">
        <f t="shared" si="44"/>
        <v>0</v>
      </c>
      <c r="Z39" s="96">
        <f t="shared" si="44"/>
        <v>0</v>
      </c>
      <c r="AA39" s="96">
        <f t="shared" si="44"/>
        <v>0</v>
      </c>
      <c r="AB39" s="96">
        <f t="shared" si="44"/>
        <v>0</v>
      </c>
      <c r="AC39" s="96">
        <f t="shared" si="44"/>
        <v>0</v>
      </c>
      <c r="AD39" s="96">
        <f t="shared" si="44"/>
        <v>0</v>
      </c>
      <c r="AE39" s="96">
        <f t="shared" si="44"/>
        <v>0</v>
      </c>
      <c r="AF39" s="96">
        <f t="shared" si="44"/>
        <v>0</v>
      </c>
      <c r="AG39" s="96">
        <f t="shared" si="44"/>
        <v>0</v>
      </c>
      <c r="AH39" s="96">
        <f t="shared" si="44"/>
        <v>0</v>
      </c>
      <c r="AI39" s="96">
        <f t="shared" si="44"/>
        <v>0</v>
      </c>
      <c r="AJ39" s="96">
        <f t="shared" si="44"/>
        <v>0</v>
      </c>
      <c r="AK39" s="96">
        <f t="shared" si="44"/>
        <v>0</v>
      </c>
      <c r="AL39" s="96">
        <f t="shared" si="44"/>
        <v>0</v>
      </c>
      <c r="AM39" s="96">
        <f t="shared" si="44"/>
        <v>0</v>
      </c>
      <c r="AN39" s="96">
        <f t="shared" si="44"/>
        <v>0</v>
      </c>
      <c r="AO39" s="96">
        <f t="shared" si="44"/>
        <v>0</v>
      </c>
      <c r="AP39" s="96">
        <f t="shared" si="44"/>
        <v>0</v>
      </c>
      <c r="AQ39" s="96">
        <f t="shared" si="44"/>
        <v>0</v>
      </c>
      <c r="AR39" s="96">
        <f t="shared" si="44"/>
        <v>0</v>
      </c>
      <c r="AS39" s="96">
        <f t="shared" si="44"/>
        <v>0</v>
      </c>
      <c r="AT39" s="96">
        <f t="shared" si="44"/>
        <v>0</v>
      </c>
      <c r="AU39" s="96">
        <f t="shared" si="44"/>
        <v>0</v>
      </c>
      <c r="AV39" s="96">
        <f t="shared" si="44"/>
        <v>0</v>
      </c>
      <c r="AW39" s="96">
        <f t="shared" si="44"/>
        <v>0</v>
      </c>
      <c r="AX39" s="96">
        <f t="shared" si="44"/>
        <v>0</v>
      </c>
      <c r="AY39" s="96">
        <f t="shared" si="44"/>
        <v>0</v>
      </c>
      <c r="AZ39" s="96">
        <f t="shared" si="44"/>
        <v>0</v>
      </c>
      <c r="BA39" s="96">
        <f t="shared" si="44"/>
        <v>0</v>
      </c>
      <c r="BB39" s="96">
        <f t="shared" si="44"/>
        <v>0</v>
      </c>
      <c r="BC39" s="96">
        <f t="shared" si="44"/>
        <v>0</v>
      </c>
      <c r="BD39" s="96">
        <f t="shared" si="44"/>
        <v>0</v>
      </c>
      <c r="BE39" s="96">
        <f t="shared" si="44"/>
        <v>0</v>
      </c>
      <c r="BF39" s="96">
        <f t="shared" si="44"/>
        <v>0</v>
      </c>
      <c r="BG39" s="96">
        <f t="shared" si="44"/>
        <v>0</v>
      </c>
      <c r="BH39" s="96">
        <f t="shared" si="44"/>
        <v>0</v>
      </c>
      <c r="BI39" s="96">
        <f t="shared" si="44"/>
        <v>0</v>
      </c>
    </row>
    <row r="40" ht="15.75" customHeight="1">
      <c r="A40" s="1"/>
      <c r="B40" s="1" t="s">
        <v>194</v>
      </c>
      <c r="C40" s="1" t="s">
        <v>195</v>
      </c>
      <c r="D40" s="1" t="str">
        <f t="shared" ref="D40:D51" si="46">$B$39</f>
        <v>Sales</v>
      </c>
      <c r="E40" s="140">
        <f>250000*0.75</f>
        <v>187500</v>
      </c>
      <c r="F40" s="141">
        <v>43466.0</v>
      </c>
      <c r="G40" s="141"/>
      <c r="H40" s="142">
        <v>0.09</v>
      </c>
      <c r="I40" s="143">
        <f t="shared" ref="I40:I51" si="47">0.04*E40/12</f>
        <v>625</v>
      </c>
      <c r="J40" s="143">
        <v>500.0</v>
      </c>
      <c r="K40" s="96">
        <f t="shared" si="5"/>
        <v>1125</v>
      </c>
      <c r="L40" s="1"/>
      <c r="M40" s="1"/>
      <c r="N40" s="96">
        <f t="shared" ref="N40:BI40" si="45">IF($F40=0,0, IF(AND(N$1&gt;=$G40,$G40&lt;&gt;0),0,IF(N$1&gt;=$F40,$E40/12,0)))</f>
        <v>15625</v>
      </c>
      <c r="O40" s="96">
        <f t="shared" si="45"/>
        <v>15625</v>
      </c>
      <c r="P40" s="96">
        <f t="shared" si="45"/>
        <v>15625</v>
      </c>
      <c r="Q40" s="96">
        <f t="shared" si="45"/>
        <v>15625</v>
      </c>
      <c r="R40" s="96">
        <f t="shared" si="45"/>
        <v>15625</v>
      </c>
      <c r="S40" s="96">
        <f t="shared" si="45"/>
        <v>15625</v>
      </c>
      <c r="T40" s="96">
        <f t="shared" si="45"/>
        <v>15625</v>
      </c>
      <c r="U40" s="96">
        <f t="shared" si="45"/>
        <v>15625</v>
      </c>
      <c r="V40" s="96">
        <f t="shared" si="45"/>
        <v>15625</v>
      </c>
      <c r="W40" s="96">
        <f t="shared" si="45"/>
        <v>15625</v>
      </c>
      <c r="X40" s="96">
        <f t="shared" si="45"/>
        <v>15625</v>
      </c>
      <c r="Y40" s="96">
        <f t="shared" si="45"/>
        <v>15625</v>
      </c>
      <c r="Z40" s="96">
        <f t="shared" si="45"/>
        <v>15625</v>
      </c>
      <c r="AA40" s="96">
        <f t="shared" si="45"/>
        <v>15625</v>
      </c>
      <c r="AB40" s="96">
        <f t="shared" si="45"/>
        <v>15625</v>
      </c>
      <c r="AC40" s="96">
        <f t="shared" si="45"/>
        <v>15625</v>
      </c>
      <c r="AD40" s="96">
        <f t="shared" si="45"/>
        <v>15625</v>
      </c>
      <c r="AE40" s="96">
        <f t="shared" si="45"/>
        <v>15625</v>
      </c>
      <c r="AF40" s="96">
        <f t="shared" si="45"/>
        <v>15625</v>
      </c>
      <c r="AG40" s="96">
        <f t="shared" si="45"/>
        <v>15625</v>
      </c>
      <c r="AH40" s="96">
        <f t="shared" si="45"/>
        <v>15625</v>
      </c>
      <c r="AI40" s="96">
        <f t="shared" si="45"/>
        <v>15625</v>
      </c>
      <c r="AJ40" s="96">
        <f t="shared" si="45"/>
        <v>15625</v>
      </c>
      <c r="AK40" s="96">
        <f t="shared" si="45"/>
        <v>15625</v>
      </c>
      <c r="AL40" s="96">
        <f t="shared" si="45"/>
        <v>15625</v>
      </c>
      <c r="AM40" s="96">
        <f t="shared" si="45"/>
        <v>15625</v>
      </c>
      <c r="AN40" s="96">
        <f t="shared" si="45"/>
        <v>15625</v>
      </c>
      <c r="AO40" s="96">
        <f t="shared" si="45"/>
        <v>15625</v>
      </c>
      <c r="AP40" s="96">
        <f t="shared" si="45"/>
        <v>15625</v>
      </c>
      <c r="AQ40" s="96">
        <f t="shared" si="45"/>
        <v>15625</v>
      </c>
      <c r="AR40" s="96">
        <f t="shared" si="45"/>
        <v>15625</v>
      </c>
      <c r="AS40" s="96">
        <f t="shared" si="45"/>
        <v>15625</v>
      </c>
      <c r="AT40" s="96">
        <f t="shared" si="45"/>
        <v>15625</v>
      </c>
      <c r="AU40" s="96">
        <f t="shared" si="45"/>
        <v>15625</v>
      </c>
      <c r="AV40" s="96">
        <f t="shared" si="45"/>
        <v>15625</v>
      </c>
      <c r="AW40" s="96">
        <f t="shared" si="45"/>
        <v>15625</v>
      </c>
      <c r="AX40" s="96">
        <f t="shared" si="45"/>
        <v>15625</v>
      </c>
      <c r="AY40" s="96">
        <f t="shared" si="45"/>
        <v>15625</v>
      </c>
      <c r="AZ40" s="96">
        <f t="shared" si="45"/>
        <v>15625</v>
      </c>
      <c r="BA40" s="96">
        <f t="shared" si="45"/>
        <v>15625</v>
      </c>
      <c r="BB40" s="96">
        <f t="shared" si="45"/>
        <v>15625</v>
      </c>
      <c r="BC40" s="96">
        <f t="shared" si="45"/>
        <v>15625</v>
      </c>
      <c r="BD40" s="96">
        <f t="shared" si="45"/>
        <v>15625</v>
      </c>
      <c r="BE40" s="96">
        <f t="shared" si="45"/>
        <v>15625</v>
      </c>
      <c r="BF40" s="96">
        <f t="shared" si="45"/>
        <v>15625</v>
      </c>
      <c r="BG40" s="96">
        <f t="shared" si="45"/>
        <v>15625</v>
      </c>
      <c r="BH40" s="96">
        <f t="shared" si="45"/>
        <v>15625</v>
      </c>
      <c r="BI40" s="96">
        <f t="shared" si="45"/>
        <v>15625</v>
      </c>
    </row>
    <row r="41" ht="15.75" customHeight="1">
      <c r="A41" s="1"/>
      <c r="B41" s="1" t="s">
        <v>171</v>
      </c>
      <c r="C41" s="1" t="s">
        <v>196</v>
      </c>
      <c r="D41" s="1" t="str">
        <f t="shared" si="46"/>
        <v>Sales</v>
      </c>
      <c r="E41" s="143">
        <v>80000.0</v>
      </c>
      <c r="F41" s="141">
        <v>43466.0</v>
      </c>
      <c r="G41" s="141"/>
      <c r="H41" s="142">
        <v>0.09</v>
      </c>
      <c r="I41" s="143">
        <f t="shared" si="47"/>
        <v>266.6666667</v>
      </c>
      <c r="J41" s="143">
        <v>500.0</v>
      </c>
      <c r="K41" s="96">
        <f t="shared" si="5"/>
        <v>766.6666667</v>
      </c>
      <c r="L41" s="1"/>
      <c r="M41" s="1"/>
      <c r="N41" s="96">
        <f t="shared" ref="N41:BI41" si="48">IF($F41=0,0, IF(AND(N$1&gt;=$G41,$G41&lt;&gt;0),0,IF(N$1&gt;=$F41,$E41/12,0)))</f>
        <v>6666.666667</v>
      </c>
      <c r="O41" s="96">
        <f t="shared" si="48"/>
        <v>6666.666667</v>
      </c>
      <c r="P41" s="96">
        <f t="shared" si="48"/>
        <v>6666.666667</v>
      </c>
      <c r="Q41" s="96">
        <f t="shared" si="48"/>
        <v>6666.666667</v>
      </c>
      <c r="R41" s="96">
        <f t="shared" si="48"/>
        <v>6666.666667</v>
      </c>
      <c r="S41" s="96">
        <f t="shared" si="48"/>
        <v>6666.666667</v>
      </c>
      <c r="T41" s="96">
        <f t="shared" si="48"/>
        <v>6666.666667</v>
      </c>
      <c r="U41" s="96">
        <f t="shared" si="48"/>
        <v>6666.666667</v>
      </c>
      <c r="V41" s="96">
        <f t="shared" si="48"/>
        <v>6666.666667</v>
      </c>
      <c r="W41" s="96">
        <f t="shared" si="48"/>
        <v>6666.666667</v>
      </c>
      <c r="X41" s="96">
        <f t="shared" si="48"/>
        <v>6666.666667</v>
      </c>
      <c r="Y41" s="96">
        <f t="shared" si="48"/>
        <v>6666.666667</v>
      </c>
      <c r="Z41" s="96">
        <f t="shared" si="48"/>
        <v>6666.666667</v>
      </c>
      <c r="AA41" s="96">
        <f t="shared" si="48"/>
        <v>6666.666667</v>
      </c>
      <c r="AB41" s="96">
        <f t="shared" si="48"/>
        <v>6666.666667</v>
      </c>
      <c r="AC41" s="96">
        <f t="shared" si="48"/>
        <v>6666.666667</v>
      </c>
      <c r="AD41" s="96">
        <f t="shared" si="48"/>
        <v>6666.666667</v>
      </c>
      <c r="AE41" s="96">
        <f t="shared" si="48"/>
        <v>6666.666667</v>
      </c>
      <c r="AF41" s="96">
        <f t="shared" si="48"/>
        <v>6666.666667</v>
      </c>
      <c r="AG41" s="96">
        <f t="shared" si="48"/>
        <v>6666.666667</v>
      </c>
      <c r="AH41" s="96">
        <f t="shared" si="48"/>
        <v>6666.666667</v>
      </c>
      <c r="AI41" s="96">
        <f t="shared" si="48"/>
        <v>6666.666667</v>
      </c>
      <c r="AJ41" s="96">
        <f t="shared" si="48"/>
        <v>6666.666667</v>
      </c>
      <c r="AK41" s="96">
        <f t="shared" si="48"/>
        <v>6666.666667</v>
      </c>
      <c r="AL41" s="96">
        <f t="shared" si="48"/>
        <v>6666.666667</v>
      </c>
      <c r="AM41" s="96">
        <f t="shared" si="48"/>
        <v>6666.666667</v>
      </c>
      <c r="AN41" s="96">
        <f t="shared" si="48"/>
        <v>6666.666667</v>
      </c>
      <c r="AO41" s="96">
        <f t="shared" si="48"/>
        <v>6666.666667</v>
      </c>
      <c r="AP41" s="96">
        <f t="shared" si="48"/>
        <v>6666.666667</v>
      </c>
      <c r="AQ41" s="96">
        <f t="shared" si="48"/>
        <v>6666.666667</v>
      </c>
      <c r="AR41" s="96">
        <f t="shared" si="48"/>
        <v>6666.666667</v>
      </c>
      <c r="AS41" s="96">
        <f t="shared" si="48"/>
        <v>6666.666667</v>
      </c>
      <c r="AT41" s="96">
        <f t="shared" si="48"/>
        <v>6666.666667</v>
      </c>
      <c r="AU41" s="96">
        <f t="shared" si="48"/>
        <v>6666.666667</v>
      </c>
      <c r="AV41" s="96">
        <f t="shared" si="48"/>
        <v>6666.666667</v>
      </c>
      <c r="AW41" s="96">
        <f t="shared" si="48"/>
        <v>6666.666667</v>
      </c>
      <c r="AX41" s="96">
        <f t="shared" si="48"/>
        <v>6666.666667</v>
      </c>
      <c r="AY41" s="96">
        <f t="shared" si="48"/>
        <v>6666.666667</v>
      </c>
      <c r="AZ41" s="96">
        <f t="shared" si="48"/>
        <v>6666.666667</v>
      </c>
      <c r="BA41" s="96">
        <f t="shared" si="48"/>
        <v>6666.666667</v>
      </c>
      <c r="BB41" s="96">
        <f t="shared" si="48"/>
        <v>6666.666667</v>
      </c>
      <c r="BC41" s="96">
        <f t="shared" si="48"/>
        <v>6666.666667</v>
      </c>
      <c r="BD41" s="96">
        <f t="shared" si="48"/>
        <v>6666.666667</v>
      </c>
      <c r="BE41" s="96">
        <f t="shared" si="48"/>
        <v>6666.666667</v>
      </c>
      <c r="BF41" s="96">
        <f t="shared" si="48"/>
        <v>6666.666667</v>
      </c>
      <c r="BG41" s="96">
        <f t="shared" si="48"/>
        <v>6666.666667</v>
      </c>
      <c r="BH41" s="96">
        <f t="shared" si="48"/>
        <v>6666.666667</v>
      </c>
      <c r="BI41" s="96">
        <f t="shared" si="48"/>
        <v>6666.666667</v>
      </c>
    </row>
    <row r="42" ht="15.75" customHeight="1">
      <c r="A42" s="7"/>
      <c r="B42" s="1" t="s">
        <v>197</v>
      </c>
      <c r="C42" s="1" t="s">
        <v>198</v>
      </c>
      <c r="D42" s="1" t="str">
        <f t="shared" si="46"/>
        <v>Sales</v>
      </c>
      <c r="E42" s="143">
        <v>60000.0</v>
      </c>
      <c r="F42" s="141">
        <v>43831.0</v>
      </c>
      <c r="G42" s="141">
        <v>43951.0</v>
      </c>
      <c r="H42" s="142">
        <v>0.09</v>
      </c>
      <c r="I42" s="143">
        <f t="shared" si="47"/>
        <v>200</v>
      </c>
      <c r="J42" s="143">
        <v>500.0</v>
      </c>
      <c r="K42" s="96">
        <f t="shared" si="5"/>
        <v>700</v>
      </c>
      <c r="L42" s="1"/>
      <c r="M42" s="1"/>
      <c r="N42" s="96">
        <f t="shared" ref="N42:BI42" si="49">IF($F42=0,0, IF(AND(N$1&gt;=$G42,$G42&lt;&gt;0),0,IF(N$1&gt;=$F42,$E42/12,0)))</f>
        <v>0</v>
      </c>
      <c r="O42" s="96">
        <f t="shared" si="49"/>
        <v>0</v>
      </c>
      <c r="P42" s="96">
        <f t="shared" si="49"/>
        <v>0</v>
      </c>
      <c r="Q42" s="96">
        <f t="shared" si="49"/>
        <v>0</v>
      </c>
      <c r="R42" s="96">
        <f t="shared" si="49"/>
        <v>0</v>
      </c>
      <c r="S42" s="96">
        <f t="shared" si="49"/>
        <v>0</v>
      </c>
      <c r="T42" s="96">
        <f t="shared" si="49"/>
        <v>0</v>
      </c>
      <c r="U42" s="96">
        <f t="shared" si="49"/>
        <v>0</v>
      </c>
      <c r="V42" s="96">
        <f t="shared" si="49"/>
        <v>0</v>
      </c>
      <c r="W42" s="96">
        <f t="shared" si="49"/>
        <v>0</v>
      </c>
      <c r="X42" s="96">
        <f t="shared" si="49"/>
        <v>0</v>
      </c>
      <c r="Y42" s="96">
        <f t="shared" si="49"/>
        <v>0</v>
      </c>
      <c r="Z42" s="96">
        <f t="shared" si="49"/>
        <v>0</v>
      </c>
      <c r="AA42" s="96">
        <f t="shared" si="49"/>
        <v>0</v>
      </c>
      <c r="AB42" s="96">
        <f t="shared" si="49"/>
        <v>0</v>
      </c>
      <c r="AC42" s="96">
        <f t="shared" si="49"/>
        <v>0</v>
      </c>
      <c r="AD42" s="96">
        <f t="shared" si="49"/>
        <v>0</v>
      </c>
      <c r="AE42" s="96">
        <f t="shared" si="49"/>
        <v>0</v>
      </c>
      <c r="AF42" s="96">
        <f t="shared" si="49"/>
        <v>0</v>
      </c>
      <c r="AG42" s="96">
        <f t="shared" si="49"/>
        <v>0</v>
      </c>
      <c r="AH42" s="96">
        <f t="shared" si="49"/>
        <v>0</v>
      </c>
      <c r="AI42" s="96">
        <f t="shared" si="49"/>
        <v>0</v>
      </c>
      <c r="AJ42" s="96">
        <f t="shared" si="49"/>
        <v>0</v>
      </c>
      <c r="AK42" s="96">
        <f t="shared" si="49"/>
        <v>0</v>
      </c>
      <c r="AL42" s="96">
        <f t="shared" si="49"/>
        <v>0</v>
      </c>
      <c r="AM42" s="96">
        <f t="shared" si="49"/>
        <v>0</v>
      </c>
      <c r="AN42" s="96">
        <f t="shared" si="49"/>
        <v>0</v>
      </c>
      <c r="AO42" s="96">
        <f t="shared" si="49"/>
        <v>0</v>
      </c>
      <c r="AP42" s="96">
        <f t="shared" si="49"/>
        <v>0</v>
      </c>
      <c r="AQ42" s="96">
        <f t="shared" si="49"/>
        <v>0</v>
      </c>
      <c r="AR42" s="96">
        <f t="shared" si="49"/>
        <v>0</v>
      </c>
      <c r="AS42" s="96">
        <f t="shared" si="49"/>
        <v>0</v>
      </c>
      <c r="AT42" s="96">
        <f t="shared" si="49"/>
        <v>0</v>
      </c>
      <c r="AU42" s="96">
        <f t="shared" si="49"/>
        <v>0</v>
      </c>
      <c r="AV42" s="96">
        <f t="shared" si="49"/>
        <v>0</v>
      </c>
      <c r="AW42" s="96">
        <f t="shared" si="49"/>
        <v>0</v>
      </c>
      <c r="AX42" s="96">
        <f t="shared" si="49"/>
        <v>0</v>
      </c>
      <c r="AY42" s="96">
        <f t="shared" si="49"/>
        <v>0</v>
      </c>
      <c r="AZ42" s="96">
        <f t="shared" si="49"/>
        <v>0</v>
      </c>
      <c r="BA42" s="96">
        <f t="shared" si="49"/>
        <v>0</v>
      </c>
      <c r="BB42" s="96">
        <f t="shared" si="49"/>
        <v>0</v>
      </c>
      <c r="BC42" s="96">
        <f t="shared" si="49"/>
        <v>0</v>
      </c>
      <c r="BD42" s="96">
        <f t="shared" si="49"/>
        <v>0</v>
      </c>
      <c r="BE42" s="96">
        <f t="shared" si="49"/>
        <v>0</v>
      </c>
      <c r="BF42" s="96">
        <f t="shared" si="49"/>
        <v>0</v>
      </c>
      <c r="BG42" s="96">
        <f t="shared" si="49"/>
        <v>0</v>
      </c>
      <c r="BH42" s="96">
        <f t="shared" si="49"/>
        <v>0</v>
      </c>
      <c r="BI42" s="96">
        <f t="shared" si="49"/>
        <v>0</v>
      </c>
    </row>
    <row r="43" ht="15.75" customHeight="1">
      <c r="A43" s="7"/>
      <c r="B43" s="1" t="s">
        <v>199</v>
      </c>
      <c r="C43" s="1" t="s">
        <v>198</v>
      </c>
      <c r="D43" s="1" t="str">
        <f t="shared" si="46"/>
        <v>Sales</v>
      </c>
      <c r="E43" s="143">
        <v>60000.0</v>
      </c>
      <c r="F43" s="141">
        <v>43831.0</v>
      </c>
      <c r="G43" s="141">
        <v>43951.0</v>
      </c>
      <c r="H43" s="142">
        <v>0.09</v>
      </c>
      <c r="I43" s="143">
        <f t="shared" si="47"/>
        <v>200</v>
      </c>
      <c r="J43" s="143">
        <v>500.0</v>
      </c>
      <c r="K43" s="96">
        <f t="shared" si="5"/>
        <v>700</v>
      </c>
      <c r="L43" s="1"/>
      <c r="M43" s="1"/>
      <c r="N43" s="96">
        <f t="shared" ref="N43:BI43" si="50">IF($F43=0,0, IF(AND(N$1&gt;=$G43,$G43&lt;&gt;0),0,IF(N$1&gt;=$F43,$E43/12,0)))</f>
        <v>0</v>
      </c>
      <c r="O43" s="96">
        <f t="shared" si="50"/>
        <v>0</v>
      </c>
      <c r="P43" s="96">
        <f t="shared" si="50"/>
        <v>0</v>
      </c>
      <c r="Q43" s="96">
        <f t="shared" si="50"/>
        <v>0</v>
      </c>
      <c r="R43" s="96">
        <f t="shared" si="50"/>
        <v>0</v>
      </c>
      <c r="S43" s="96">
        <f t="shared" si="50"/>
        <v>0</v>
      </c>
      <c r="T43" s="96">
        <f t="shared" si="50"/>
        <v>0</v>
      </c>
      <c r="U43" s="96">
        <f t="shared" si="50"/>
        <v>0</v>
      </c>
      <c r="V43" s="96">
        <f t="shared" si="50"/>
        <v>0</v>
      </c>
      <c r="W43" s="96">
        <f t="shared" si="50"/>
        <v>0</v>
      </c>
      <c r="X43" s="96">
        <f t="shared" si="50"/>
        <v>0</v>
      </c>
      <c r="Y43" s="96">
        <f t="shared" si="50"/>
        <v>0</v>
      </c>
      <c r="Z43" s="96">
        <f t="shared" si="50"/>
        <v>0</v>
      </c>
      <c r="AA43" s="96">
        <f t="shared" si="50"/>
        <v>0</v>
      </c>
      <c r="AB43" s="96">
        <f t="shared" si="50"/>
        <v>0</v>
      </c>
      <c r="AC43" s="96">
        <f t="shared" si="50"/>
        <v>0</v>
      </c>
      <c r="AD43" s="96">
        <f t="shared" si="50"/>
        <v>0</v>
      </c>
      <c r="AE43" s="96">
        <f t="shared" si="50"/>
        <v>0</v>
      </c>
      <c r="AF43" s="96">
        <f t="shared" si="50"/>
        <v>0</v>
      </c>
      <c r="AG43" s="96">
        <f t="shared" si="50"/>
        <v>0</v>
      </c>
      <c r="AH43" s="96">
        <f t="shared" si="50"/>
        <v>0</v>
      </c>
      <c r="AI43" s="96">
        <f t="shared" si="50"/>
        <v>0</v>
      </c>
      <c r="AJ43" s="96">
        <f t="shared" si="50"/>
        <v>0</v>
      </c>
      <c r="AK43" s="96">
        <f t="shared" si="50"/>
        <v>0</v>
      </c>
      <c r="AL43" s="96">
        <f t="shared" si="50"/>
        <v>0</v>
      </c>
      <c r="AM43" s="96">
        <f t="shared" si="50"/>
        <v>0</v>
      </c>
      <c r="AN43" s="96">
        <f t="shared" si="50"/>
        <v>0</v>
      </c>
      <c r="AO43" s="96">
        <f t="shared" si="50"/>
        <v>0</v>
      </c>
      <c r="AP43" s="96">
        <f t="shared" si="50"/>
        <v>0</v>
      </c>
      <c r="AQ43" s="96">
        <f t="shared" si="50"/>
        <v>0</v>
      </c>
      <c r="AR43" s="96">
        <f t="shared" si="50"/>
        <v>0</v>
      </c>
      <c r="AS43" s="96">
        <f t="shared" si="50"/>
        <v>0</v>
      </c>
      <c r="AT43" s="96">
        <f t="shared" si="50"/>
        <v>0</v>
      </c>
      <c r="AU43" s="96">
        <f t="shared" si="50"/>
        <v>0</v>
      </c>
      <c r="AV43" s="96">
        <f t="shared" si="50"/>
        <v>0</v>
      </c>
      <c r="AW43" s="96">
        <f t="shared" si="50"/>
        <v>0</v>
      </c>
      <c r="AX43" s="96">
        <f t="shared" si="50"/>
        <v>0</v>
      </c>
      <c r="AY43" s="96">
        <f t="shared" si="50"/>
        <v>0</v>
      </c>
      <c r="AZ43" s="96">
        <f t="shared" si="50"/>
        <v>0</v>
      </c>
      <c r="BA43" s="96">
        <f t="shared" si="50"/>
        <v>0</v>
      </c>
      <c r="BB43" s="96">
        <f t="shared" si="50"/>
        <v>0</v>
      </c>
      <c r="BC43" s="96">
        <f t="shared" si="50"/>
        <v>0</v>
      </c>
      <c r="BD43" s="96">
        <f t="shared" si="50"/>
        <v>0</v>
      </c>
      <c r="BE43" s="96">
        <f t="shared" si="50"/>
        <v>0</v>
      </c>
      <c r="BF43" s="96">
        <f t="shared" si="50"/>
        <v>0</v>
      </c>
      <c r="BG43" s="96">
        <f t="shared" si="50"/>
        <v>0</v>
      </c>
      <c r="BH43" s="96">
        <f t="shared" si="50"/>
        <v>0</v>
      </c>
      <c r="BI43" s="96">
        <f t="shared" si="50"/>
        <v>0</v>
      </c>
    </row>
    <row r="44" ht="15.75" customHeight="1">
      <c r="A44" s="7"/>
      <c r="B44" s="1" t="s">
        <v>175</v>
      </c>
      <c r="C44" s="1" t="s">
        <v>200</v>
      </c>
      <c r="D44" s="1" t="str">
        <f t="shared" si="46"/>
        <v>Sales</v>
      </c>
      <c r="E44" s="143">
        <v>60000.0</v>
      </c>
      <c r="F44" s="144"/>
      <c r="G44" s="141"/>
      <c r="H44" s="142">
        <v>0.09</v>
      </c>
      <c r="I44" s="143">
        <f t="shared" si="47"/>
        <v>200</v>
      </c>
      <c r="J44" s="143">
        <v>500.0</v>
      </c>
      <c r="K44" s="96">
        <f t="shared" si="5"/>
        <v>700</v>
      </c>
      <c r="L44" s="1"/>
      <c r="M44" s="1"/>
      <c r="N44" s="96">
        <f t="shared" ref="N44:BI44" si="51">IF($F44=0,0, IF(AND(N$1&gt;=$G44,$G44&lt;&gt;0),0,IF(N$1&gt;=$F44,$E44/12,0)))</f>
        <v>0</v>
      </c>
      <c r="O44" s="96">
        <f t="shared" si="51"/>
        <v>0</v>
      </c>
      <c r="P44" s="96">
        <f t="shared" si="51"/>
        <v>0</v>
      </c>
      <c r="Q44" s="96">
        <f t="shared" si="51"/>
        <v>0</v>
      </c>
      <c r="R44" s="96">
        <f t="shared" si="51"/>
        <v>0</v>
      </c>
      <c r="S44" s="96">
        <f t="shared" si="51"/>
        <v>0</v>
      </c>
      <c r="T44" s="96">
        <f t="shared" si="51"/>
        <v>0</v>
      </c>
      <c r="U44" s="96">
        <f t="shared" si="51"/>
        <v>0</v>
      </c>
      <c r="V44" s="96">
        <f t="shared" si="51"/>
        <v>0</v>
      </c>
      <c r="W44" s="96">
        <f t="shared" si="51"/>
        <v>0</v>
      </c>
      <c r="X44" s="96">
        <f t="shared" si="51"/>
        <v>0</v>
      </c>
      <c r="Y44" s="96">
        <f t="shared" si="51"/>
        <v>0</v>
      </c>
      <c r="Z44" s="96">
        <f t="shared" si="51"/>
        <v>0</v>
      </c>
      <c r="AA44" s="96">
        <f t="shared" si="51"/>
        <v>0</v>
      </c>
      <c r="AB44" s="96">
        <f t="shared" si="51"/>
        <v>0</v>
      </c>
      <c r="AC44" s="96">
        <f t="shared" si="51"/>
        <v>0</v>
      </c>
      <c r="AD44" s="96">
        <f t="shared" si="51"/>
        <v>0</v>
      </c>
      <c r="AE44" s="96">
        <f t="shared" si="51"/>
        <v>0</v>
      </c>
      <c r="AF44" s="96">
        <f t="shared" si="51"/>
        <v>0</v>
      </c>
      <c r="AG44" s="96">
        <f t="shared" si="51"/>
        <v>0</v>
      </c>
      <c r="AH44" s="96">
        <f t="shared" si="51"/>
        <v>0</v>
      </c>
      <c r="AI44" s="96">
        <f t="shared" si="51"/>
        <v>0</v>
      </c>
      <c r="AJ44" s="96">
        <f t="shared" si="51"/>
        <v>0</v>
      </c>
      <c r="AK44" s="96">
        <f t="shared" si="51"/>
        <v>0</v>
      </c>
      <c r="AL44" s="96">
        <f t="shared" si="51"/>
        <v>0</v>
      </c>
      <c r="AM44" s="96">
        <f t="shared" si="51"/>
        <v>0</v>
      </c>
      <c r="AN44" s="96">
        <f t="shared" si="51"/>
        <v>0</v>
      </c>
      <c r="AO44" s="96">
        <f t="shared" si="51"/>
        <v>0</v>
      </c>
      <c r="AP44" s="96">
        <f t="shared" si="51"/>
        <v>0</v>
      </c>
      <c r="AQ44" s="96">
        <f t="shared" si="51"/>
        <v>0</v>
      </c>
      <c r="AR44" s="96">
        <f t="shared" si="51"/>
        <v>0</v>
      </c>
      <c r="AS44" s="96">
        <f t="shared" si="51"/>
        <v>0</v>
      </c>
      <c r="AT44" s="96">
        <f t="shared" si="51"/>
        <v>0</v>
      </c>
      <c r="AU44" s="96">
        <f t="shared" si="51"/>
        <v>0</v>
      </c>
      <c r="AV44" s="96">
        <f t="shared" si="51"/>
        <v>0</v>
      </c>
      <c r="AW44" s="96">
        <f t="shared" si="51"/>
        <v>0</v>
      </c>
      <c r="AX44" s="96">
        <f t="shared" si="51"/>
        <v>0</v>
      </c>
      <c r="AY44" s="96">
        <f t="shared" si="51"/>
        <v>0</v>
      </c>
      <c r="AZ44" s="96">
        <f t="shared" si="51"/>
        <v>0</v>
      </c>
      <c r="BA44" s="96">
        <f t="shared" si="51"/>
        <v>0</v>
      </c>
      <c r="BB44" s="96">
        <f t="shared" si="51"/>
        <v>0</v>
      </c>
      <c r="BC44" s="96">
        <f t="shared" si="51"/>
        <v>0</v>
      </c>
      <c r="BD44" s="96">
        <f t="shared" si="51"/>
        <v>0</v>
      </c>
      <c r="BE44" s="96">
        <f t="shared" si="51"/>
        <v>0</v>
      </c>
      <c r="BF44" s="96">
        <f t="shared" si="51"/>
        <v>0</v>
      </c>
      <c r="BG44" s="96">
        <f t="shared" si="51"/>
        <v>0</v>
      </c>
      <c r="BH44" s="96">
        <f t="shared" si="51"/>
        <v>0</v>
      </c>
      <c r="BI44" s="96">
        <f t="shared" si="51"/>
        <v>0</v>
      </c>
    </row>
    <row r="45" ht="15.75" customHeight="1">
      <c r="A45" s="7"/>
      <c r="B45" s="1" t="s">
        <v>176</v>
      </c>
      <c r="C45" s="1" t="s">
        <v>201</v>
      </c>
      <c r="D45" s="1" t="str">
        <f t="shared" si="46"/>
        <v>Sales</v>
      </c>
      <c r="E45" s="143">
        <v>60000.0</v>
      </c>
      <c r="F45" s="144"/>
      <c r="G45" s="141"/>
      <c r="H45" s="142">
        <v>0.09</v>
      </c>
      <c r="I45" s="143">
        <f t="shared" si="47"/>
        <v>200</v>
      </c>
      <c r="J45" s="143">
        <v>500.0</v>
      </c>
      <c r="K45" s="96">
        <f t="shared" si="5"/>
        <v>700</v>
      </c>
      <c r="L45" s="1"/>
      <c r="M45" s="1"/>
      <c r="N45" s="96">
        <f t="shared" ref="N45:BI45" si="52">IF($F45=0,0, IF(AND(N$1&gt;=$G45,$G45&lt;&gt;0),0,IF(N$1&gt;=$F45,$E45/12,0)))</f>
        <v>0</v>
      </c>
      <c r="O45" s="96">
        <f t="shared" si="52"/>
        <v>0</v>
      </c>
      <c r="P45" s="96">
        <f t="shared" si="52"/>
        <v>0</v>
      </c>
      <c r="Q45" s="96">
        <f t="shared" si="52"/>
        <v>0</v>
      </c>
      <c r="R45" s="96">
        <f t="shared" si="52"/>
        <v>0</v>
      </c>
      <c r="S45" s="96">
        <f t="shared" si="52"/>
        <v>0</v>
      </c>
      <c r="T45" s="96">
        <f t="shared" si="52"/>
        <v>0</v>
      </c>
      <c r="U45" s="96">
        <f t="shared" si="52"/>
        <v>0</v>
      </c>
      <c r="V45" s="96">
        <f t="shared" si="52"/>
        <v>0</v>
      </c>
      <c r="W45" s="96">
        <f t="shared" si="52"/>
        <v>0</v>
      </c>
      <c r="X45" s="96">
        <f t="shared" si="52"/>
        <v>0</v>
      </c>
      <c r="Y45" s="96">
        <f t="shared" si="52"/>
        <v>0</v>
      </c>
      <c r="Z45" s="96">
        <f t="shared" si="52"/>
        <v>0</v>
      </c>
      <c r="AA45" s="96">
        <f t="shared" si="52"/>
        <v>0</v>
      </c>
      <c r="AB45" s="96">
        <f t="shared" si="52"/>
        <v>0</v>
      </c>
      <c r="AC45" s="96">
        <f t="shared" si="52"/>
        <v>0</v>
      </c>
      <c r="AD45" s="96">
        <f t="shared" si="52"/>
        <v>0</v>
      </c>
      <c r="AE45" s="96">
        <f t="shared" si="52"/>
        <v>0</v>
      </c>
      <c r="AF45" s="96">
        <f t="shared" si="52"/>
        <v>0</v>
      </c>
      <c r="AG45" s="96">
        <f t="shared" si="52"/>
        <v>0</v>
      </c>
      <c r="AH45" s="96">
        <f t="shared" si="52"/>
        <v>0</v>
      </c>
      <c r="AI45" s="96">
        <f t="shared" si="52"/>
        <v>0</v>
      </c>
      <c r="AJ45" s="96">
        <f t="shared" si="52"/>
        <v>0</v>
      </c>
      <c r="AK45" s="96">
        <f t="shared" si="52"/>
        <v>0</v>
      </c>
      <c r="AL45" s="96">
        <f t="shared" si="52"/>
        <v>0</v>
      </c>
      <c r="AM45" s="96">
        <f t="shared" si="52"/>
        <v>0</v>
      </c>
      <c r="AN45" s="96">
        <f t="shared" si="52"/>
        <v>0</v>
      </c>
      <c r="AO45" s="96">
        <f t="shared" si="52"/>
        <v>0</v>
      </c>
      <c r="AP45" s="96">
        <f t="shared" si="52"/>
        <v>0</v>
      </c>
      <c r="AQ45" s="96">
        <f t="shared" si="52"/>
        <v>0</v>
      </c>
      <c r="AR45" s="96">
        <f t="shared" si="52"/>
        <v>0</v>
      </c>
      <c r="AS45" s="96">
        <f t="shared" si="52"/>
        <v>0</v>
      </c>
      <c r="AT45" s="96">
        <f t="shared" si="52"/>
        <v>0</v>
      </c>
      <c r="AU45" s="96">
        <f t="shared" si="52"/>
        <v>0</v>
      </c>
      <c r="AV45" s="96">
        <f t="shared" si="52"/>
        <v>0</v>
      </c>
      <c r="AW45" s="96">
        <f t="shared" si="52"/>
        <v>0</v>
      </c>
      <c r="AX45" s="96">
        <f t="shared" si="52"/>
        <v>0</v>
      </c>
      <c r="AY45" s="96">
        <f t="shared" si="52"/>
        <v>0</v>
      </c>
      <c r="AZ45" s="96">
        <f t="shared" si="52"/>
        <v>0</v>
      </c>
      <c r="BA45" s="96">
        <f t="shared" si="52"/>
        <v>0</v>
      </c>
      <c r="BB45" s="96">
        <f t="shared" si="52"/>
        <v>0</v>
      </c>
      <c r="BC45" s="96">
        <f t="shared" si="52"/>
        <v>0</v>
      </c>
      <c r="BD45" s="96">
        <f t="shared" si="52"/>
        <v>0</v>
      </c>
      <c r="BE45" s="96">
        <f t="shared" si="52"/>
        <v>0</v>
      </c>
      <c r="BF45" s="96">
        <f t="shared" si="52"/>
        <v>0</v>
      </c>
      <c r="BG45" s="96">
        <f t="shared" si="52"/>
        <v>0</v>
      </c>
      <c r="BH45" s="96">
        <f t="shared" si="52"/>
        <v>0</v>
      </c>
      <c r="BI45" s="96">
        <f t="shared" si="52"/>
        <v>0</v>
      </c>
    </row>
    <row r="46" ht="15.75" customHeight="1">
      <c r="A46" s="7"/>
      <c r="B46" s="1" t="s">
        <v>177</v>
      </c>
      <c r="C46" s="1" t="s">
        <v>202</v>
      </c>
      <c r="D46" s="1" t="str">
        <f t="shared" si="46"/>
        <v>Sales</v>
      </c>
      <c r="E46" s="143">
        <v>60000.0</v>
      </c>
      <c r="F46" s="144"/>
      <c r="G46" s="141"/>
      <c r="H46" s="142">
        <v>0.09</v>
      </c>
      <c r="I46" s="143">
        <f t="shared" si="47"/>
        <v>200</v>
      </c>
      <c r="J46" s="143">
        <v>500.0</v>
      </c>
      <c r="K46" s="96">
        <f t="shared" si="5"/>
        <v>700</v>
      </c>
      <c r="L46" s="1"/>
      <c r="M46" s="1"/>
      <c r="N46" s="96">
        <f t="shared" ref="N46:BI46" si="53">IF($F46=0,0, IF(AND(N$1&gt;=$G46,$G46&lt;&gt;0),0,IF(N$1&gt;=$F46,$E46/12,0)))</f>
        <v>0</v>
      </c>
      <c r="O46" s="96">
        <f t="shared" si="53"/>
        <v>0</v>
      </c>
      <c r="P46" s="96">
        <f t="shared" si="53"/>
        <v>0</v>
      </c>
      <c r="Q46" s="96">
        <f t="shared" si="53"/>
        <v>0</v>
      </c>
      <c r="R46" s="96">
        <f t="shared" si="53"/>
        <v>0</v>
      </c>
      <c r="S46" s="96">
        <f t="shared" si="53"/>
        <v>0</v>
      </c>
      <c r="T46" s="96">
        <f t="shared" si="53"/>
        <v>0</v>
      </c>
      <c r="U46" s="96">
        <f t="shared" si="53"/>
        <v>0</v>
      </c>
      <c r="V46" s="96">
        <f t="shared" si="53"/>
        <v>0</v>
      </c>
      <c r="W46" s="96">
        <f t="shared" si="53"/>
        <v>0</v>
      </c>
      <c r="X46" s="96">
        <f t="shared" si="53"/>
        <v>0</v>
      </c>
      <c r="Y46" s="96">
        <f t="shared" si="53"/>
        <v>0</v>
      </c>
      <c r="Z46" s="96">
        <f t="shared" si="53"/>
        <v>0</v>
      </c>
      <c r="AA46" s="96">
        <f t="shared" si="53"/>
        <v>0</v>
      </c>
      <c r="AB46" s="96">
        <f t="shared" si="53"/>
        <v>0</v>
      </c>
      <c r="AC46" s="96">
        <f t="shared" si="53"/>
        <v>0</v>
      </c>
      <c r="AD46" s="96">
        <f t="shared" si="53"/>
        <v>0</v>
      </c>
      <c r="AE46" s="96">
        <f t="shared" si="53"/>
        <v>0</v>
      </c>
      <c r="AF46" s="96">
        <f t="shared" si="53"/>
        <v>0</v>
      </c>
      <c r="AG46" s="96">
        <f t="shared" si="53"/>
        <v>0</v>
      </c>
      <c r="AH46" s="96">
        <f t="shared" si="53"/>
        <v>0</v>
      </c>
      <c r="AI46" s="96">
        <f t="shared" si="53"/>
        <v>0</v>
      </c>
      <c r="AJ46" s="96">
        <f t="shared" si="53"/>
        <v>0</v>
      </c>
      <c r="AK46" s="96">
        <f t="shared" si="53"/>
        <v>0</v>
      </c>
      <c r="AL46" s="96">
        <f t="shared" si="53"/>
        <v>0</v>
      </c>
      <c r="AM46" s="96">
        <f t="shared" si="53"/>
        <v>0</v>
      </c>
      <c r="AN46" s="96">
        <f t="shared" si="53"/>
        <v>0</v>
      </c>
      <c r="AO46" s="96">
        <f t="shared" si="53"/>
        <v>0</v>
      </c>
      <c r="AP46" s="96">
        <f t="shared" si="53"/>
        <v>0</v>
      </c>
      <c r="AQ46" s="96">
        <f t="shared" si="53"/>
        <v>0</v>
      </c>
      <c r="AR46" s="96">
        <f t="shared" si="53"/>
        <v>0</v>
      </c>
      <c r="AS46" s="96">
        <f t="shared" si="53"/>
        <v>0</v>
      </c>
      <c r="AT46" s="96">
        <f t="shared" si="53"/>
        <v>0</v>
      </c>
      <c r="AU46" s="96">
        <f t="shared" si="53"/>
        <v>0</v>
      </c>
      <c r="AV46" s="96">
        <f t="shared" si="53"/>
        <v>0</v>
      </c>
      <c r="AW46" s="96">
        <f t="shared" si="53"/>
        <v>0</v>
      </c>
      <c r="AX46" s="96">
        <f t="shared" si="53"/>
        <v>0</v>
      </c>
      <c r="AY46" s="96">
        <f t="shared" si="53"/>
        <v>0</v>
      </c>
      <c r="AZ46" s="96">
        <f t="shared" si="53"/>
        <v>0</v>
      </c>
      <c r="BA46" s="96">
        <f t="shared" si="53"/>
        <v>0</v>
      </c>
      <c r="BB46" s="96">
        <f t="shared" si="53"/>
        <v>0</v>
      </c>
      <c r="BC46" s="96">
        <f t="shared" si="53"/>
        <v>0</v>
      </c>
      <c r="BD46" s="96">
        <f t="shared" si="53"/>
        <v>0</v>
      </c>
      <c r="BE46" s="96">
        <f t="shared" si="53"/>
        <v>0</v>
      </c>
      <c r="BF46" s="96">
        <f t="shared" si="53"/>
        <v>0</v>
      </c>
      <c r="BG46" s="96">
        <f t="shared" si="53"/>
        <v>0</v>
      </c>
      <c r="BH46" s="96">
        <f t="shared" si="53"/>
        <v>0</v>
      </c>
      <c r="BI46" s="96">
        <f t="shared" si="53"/>
        <v>0</v>
      </c>
    </row>
    <row r="47" ht="15.75" customHeight="1">
      <c r="A47" s="7"/>
      <c r="B47" s="1" t="s">
        <v>178</v>
      </c>
      <c r="C47" s="1" t="s">
        <v>203</v>
      </c>
      <c r="D47" s="1" t="str">
        <f t="shared" si="46"/>
        <v>Sales</v>
      </c>
      <c r="E47" s="145">
        <v>60000.0</v>
      </c>
      <c r="F47" s="144"/>
      <c r="G47" s="141"/>
      <c r="H47" s="142">
        <v>0.09</v>
      </c>
      <c r="I47" s="145">
        <f t="shared" si="47"/>
        <v>200</v>
      </c>
      <c r="J47" s="145">
        <v>500.0</v>
      </c>
      <c r="K47" s="96">
        <f t="shared" si="5"/>
        <v>700</v>
      </c>
      <c r="L47" s="1"/>
      <c r="M47" s="1"/>
      <c r="N47" s="96">
        <f t="shared" ref="N47:BI47" si="54">IF($F47=0,0, IF(AND(N$1&gt;=$G47,$G47&lt;&gt;0),0,IF(N$1&gt;=$F47,$E47/12,0)))</f>
        <v>0</v>
      </c>
      <c r="O47" s="96">
        <f t="shared" si="54"/>
        <v>0</v>
      </c>
      <c r="P47" s="96">
        <f t="shared" si="54"/>
        <v>0</v>
      </c>
      <c r="Q47" s="96">
        <f t="shared" si="54"/>
        <v>0</v>
      </c>
      <c r="R47" s="96">
        <f t="shared" si="54"/>
        <v>0</v>
      </c>
      <c r="S47" s="96">
        <f t="shared" si="54"/>
        <v>0</v>
      </c>
      <c r="T47" s="96">
        <f t="shared" si="54"/>
        <v>0</v>
      </c>
      <c r="U47" s="96">
        <f t="shared" si="54"/>
        <v>0</v>
      </c>
      <c r="V47" s="96">
        <f t="shared" si="54"/>
        <v>0</v>
      </c>
      <c r="W47" s="96">
        <f t="shared" si="54"/>
        <v>0</v>
      </c>
      <c r="X47" s="96">
        <f t="shared" si="54"/>
        <v>0</v>
      </c>
      <c r="Y47" s="96">
        <f t="shared" si="54"/>
        <v>0</v>
      </c>
      <c r="Z47" s="96">
        <f t="shared" si="54"/>
        <v>0</v>
      </c>
      <c r="AA47" s="96">
        <f t="shared" si="54"/>
        <v>0</v>
      </c>
      <c r="AB47" s="96">
        <f t="shared" si="54"/>
        <v>0</v>
      </c>
      <c r="AC47" s="96">
        <f t="shared" si="54"/>
        <v>0</v>
      </c>
      <c r="AD47" s="96">
        <f t="shared" si="54"/>
        <v>0</v>
      </c>
      <c r="AE47" s="96">
        <f t="shared" si="54"/>
        <v>0</v>
      </c>
      <c r="AF47" s="96">
        <f t="shared" si="54"/>
        <v>0</v>
      </c>
      <c r="AG47" s="96">
        <f t="shared" si="54"/>
        <v>0</v>
      </c>
      <c r="AH47" s="96">
        <f t="shared" si="54"/>
        <v>0</v>
      </c>
      <c r="AI47" s="96">
        <f t="shared" si="54"/>
        <v>0</v>
      </c>
      <c r="AJ47" s="96">
        <f t="shared" si="54"/>
        <v>0</v>
      </c>
      <c r="AK47" s="96">
        <f t="shared" si="54"/>
        <v>0</v>
      </c>
      <c r="AL47" s="96">
        <f t="shared" si="54"/>
        <v>0</v>
      </c>
      <c r="AM47" s="96">
        <f t="shared" si="54"/>
        <v>0</v>
      </c>
      <c r="AN47" s="96">
        <f t="shared" si="54"/>
        <v>0</v>
      </c>
      <c r="AO47" s="96">
        <f t="shared" si="54"/>
        <v>0</v>
      </c>
      <c r="AP47" s="96">
        <f t="shared" si="54"/>
        <v>0</v>
      </c>
      <c r="AQ47" s="96">
        <f t="shared" si="54"/>
        <v>0</v>
      </c>
      <c r="AR47" s="96">
        <f t="shared" si="54"/>
        <v>0</v>
      </c>
      <c r="AS47" s="96">
        <f t="shared" si="54"/>
        <v>0</v>
      </c>
      <c r="AT47" s="96">
        <f t="shared" si="54"/>
        <v>0</v>
      </c>
      <c r="AU47" s="96">
        <f t="shared" si="54"/>
        <v>0</v>
      </c>
      <c r="AV47" s="96">
        <f t="shared" si="54"/>
        <v>0</v>
      </c>
      <c r="AW47" s="96">
        <f t="shared" si="54"/>
        <v>0</v>
      </c>
      <c r="AX47" s="96">
        <f t="shared" si="54"/>
        <v>0</v>
      </c>
      <c r="AY47" s="96">
        <f t="shared" si="54"/>
        <v>0</v>
      </c>
      <c r="AZ47" s="96">
        <f t="shared" si="54"/>
        <v>0</v>
      </c>
      <c r="BA47" s="96">
        <f t="shared" si="54"/>
        <v>0</v>
      </c>
      <c r="BB47" s="96">
        <f t="shared" si="54"/>
        <v>0</v>
      </c>
      <c r="BC47" s="96">
        <f t="shared" si="54"/>
        <v>0</v>
      </c>
      <c r="BD47" s="96">
        <f t="shared" si="54"/>
        <v>0</v>
      </c>
      <c r="BE47" s="96">
        <f t="shared" si="54"/>
        <v>0</v>
      </c>
      <c r="BF47" s="96">
        <f t="shared" si="54"/>
        <v>0</v>
      </c>
      <c r="BG47" s="96">
        <f t="shared" si="54"/>
        <v>0</v>
      </c>
      <c r="BH47" s="96">
        <f t="shared" si="54"/>
        <v>0</v>
      </c>
      <c r="BI47" s="96">
        <f t="shared" si="54"/>
        <v>0</v>
      </c>
    </row>
    <row r="48" ht="15.75" customHeight="1">
      <c r="A48" s="7"/>
      <c r="B48" s="1" t="s">
        <v>180</v>
      </c>
      <c r="C48" s="1" t="s">
        <v>204</v>
      </c>
      <c r="D48" s="1" t="str">
        <f t="shared" si="46"/>
        <v>Sales</v>
      </c>
      <c r="E48" s="143">
        <v>160000.0</v>
      </c>
      <c r="F48" s="144"/>
      <c r="G48" s="141"/>
      <c r="H48" s="142">
        <v>0.09</v>
      </c>
      <c r="I48" s="143">
        <f t="shared" si="47"/>
        <v>533.3333333</v>
      </c>
      <c r="J48" s="143">
        <v>500.0</v>
      </c>
      <c r="K48" s="96">
        <f t="shared" si="5"/>
        <v>1033.333333</v>
      </c>
      <c r="L48" s="1"/>
      <c r="M48" s="1"/>
      <c r="N48" s="96">
        <f t="shared" ref="N48:BI48" si="55">IF($F48=0,0, IF(AND(N$1&gt;=$G48,$G48&lt;&gt;0),0,IF(N$1&gt;=$F48,$E48/12,0)))</f>
        <v>0</v>
      </c>
      <c r="O48" s="96">
        <f t="shared" si="55"/>
        <v>0</v>
      </c>
      <c r="P48" s="96">
        <f t="shared" si="55"/>
        <v>0</v>
      </c>
      <c r="Q48" s="96">
        <f t="shared" si="55"/>
        <v>0</v>
      </c>
      <c r="R48" s="96">
        <f t="shared" si="55"/>
        <v>0</v>
      </c>
      <c r="S48" s="96">
        <f t="shared" si="55"/>
        <v>0</v>
      </c>
      <c r="T48" s="96">
        <f t="shared" si="55"/>
        <v>0</v>
      </c>
      <c r="U48" s="96">
        <f t="shared" si="55"/>
        <v>0</v>
      </c>
      <c r="V48" s="96">
        <f t="shared" si="55"/>
        <v>0</v>
      </c>
      <c r="W48" s="96">
        <f t="shared" si="55"/>
        <v>0</v>
      </c>
      <c r="X48" s="96">
        <f t="shared" si="55"/>
        <v>0</v>
      </c>
      <c r="Y48" s="96">
        <f t="shared" si="55"/>
        <v>0</v>
      </c>
      <c r="Z48" s="96">
        <f t="shared" si="55"/>
        <v>0</v>
      </c>
      <c r="AA48" s="96">
        <f t="shared" si="55"/>
        <v>0</v>
      </c>
      <c r="AB48" s="96">
        <f t="shared" si="55"/>
        <v>0</v>
      </c>
      <c r="AC48" s="96">
        <f t="shared" si="55"/>
        <v>0</v>
      </c>
      <c r="AD48" s="96">
        <f t="shared" si="55"/>
        <v>0</v>
      </c>
      <c r="AE48" s="96">
        <f t="shared" si="55"/>
        <v>0</v>
      </c>
      <c r="AF48" s="96">
        <f t="shared" si="55"/>
        <v>0</v>
      </c>
      <c r="AG48" s="96">
        <f t="shared" si="55"/>
        <v>0</v>
      </c>
      <c r="AH48" s="96">
        <f t="shared" si="55"/>
        <v>0</v>
      </c>
      <c r="AI48" s="96">
        <f t="shared" si="55"/>
        <v>0</v>
      </c>
      <c r="AJ48" s="96">
        <f t="shared" si="55"/>
        <v>0</v>
      </c>
      <c r="AK48" s="96">
        <f t="shared" si="55"/>
        <v>0</v>
      </c>
      <c r="AL48" s="96">
        <f t="shared" si="55"/>
        <v>0</v>
      </c>
      <c r="AM48" s="96">
        <f t="shared" si="55"/>
        <v>0</v>
      </c>
      <c r="AN48" s="96">
        <f t="shared" si="55"/>
        <v>0</v>
      </c>
      <c r="AO48" s="96">
        <f t="shared" si="55"/>
        <v>0</v>
      </c>
      <c r="AP48" s="96">
        <f t="shared" si="55"/>
        <v>0</v>
      </c>
      <c r="AQ48" s="96">
        <f t="shared" si="55"/>
        <v>0</v>
      </c>
      <c r="AR48" s="96">
        <f t="shared" si="55"/>
        <v>0</v>
      </c>
      <c r="AS48" s="96">
        <f t="shared" si="55"/>
        <v>0</v>
      </c>
      <c r="AT48" s="96">
        <f t="shared" si="55"/>
        <v>0</v>
      </c>
      <c r="AU48" s="96">
        <f t="shared" si="55"/>
        <v>0</v>
      </c>
      <c r="AV48" s="96">
        <f t="shared" si="55"/>
        <v>0</v>
      </c>
      <c r="AW48" s="96">
        <f t="shared" si="55"/>
        <v>0</v>
      </c>
      <c r="AX48" s="96">
        <f t="shared" si="55"/>
        <v>0</v>
      </c>
      <c r="AY48" s="96">
        <f t="shared" si="55"/>
        <v>0</v>
      </c>
      <c r="AZ48" s="96">
        <f t="shared" si="55"/>
        <v>0</v>
      </c>
      <c r="BA48" s="96">
        <f t="shared" si="55"/>
        <v>0</v>
      </c>
      <c r="BB48" s="96">
        <f t="shared" si="55"/>
        <v>0</v>
      </c>
      <c r="BC48" s="96">
        <f t="shared" si="55"/>
        <v>0</v>
      </c>
      <c r="BD48" s="96">
        <f t="shared" si="55"/>
        <v>0</v>
      </c>
      <c r="BE48" s="96">
        <f t="shared" si="55"/>
        <v>0</v>
      </c>
      <c r="BF48" s="96">
        <f t="shared" si="55"/>
        <v>0</v>
      </c>
      <c r="BG48" s="96">
        <f t="shared" si="55"/>
        <v>0</v>
      </c>
      <c r="BH48" s="96">
        <f t="shared" si="55"/>
        <v>0</v>
      </c>
      <c r="BI48" s="96">
        <f t="shared" si="55"/>
        <v>0</v>
      </c>
    </row>
    <row r="49" ht="15.75" customHeight="1">
      <c r="A49" s="7"/>
      <c r="B49" s="1" t="s">
        <v>181</v>
      </c>
      <c r="C49" s="1" t="s">
        <v>205</v>
      </c>
      <c r="D49" s="1" t="str">
        <f t="shared" si="46"/>
        <v>Sales</v>
      </c>
      <c r="E49" s="143">
        <v>160000.0</v>
      </c>
      <c r="F49" s="144"/>
      <c r="G49" s="141"/>
      <c r="H49" s="142">
        <v>0.09</v>
      </c>
      <c r="I49" s="143">
        <f t="shared" si="47"/>
        <v>533.3333333</v>
      </c>
      <c r="J49" s="143">
        <v>500.0</v>
      </c>
      <c r="K49" s="96">
        <f t="shared" si="5"/>
        <v>1033.333333</v>
      </c>
      <c r="L49" s="1"/>
      <c r="M49" s="1"/>
      <c r="N49" s="96">
        <f t="shared" ref="N49:BI49" si="56">IF($F49=0,0, IF(AND(N$1&gt;=$G49,$G49&lt;&gt;0),0,IF(N$1&gt;=$F49,$E49/12,0)))</f>
        <v>0</v>
      </c>
      <c r="O49" s="96">
        <f t="shared" si="56"/>
        <v>0</v>
      </c>
      <c r="P49" s="96">
        <f t="shared" si="56"/>
        <v>0</v>
      </c>
      <c r="Q49" s="96">
        <f t="shared" si="56"/>
        <v>0</v>
      </c>
      <c r="R49" s="96">
        <f t="shared" si="56"/>
        <v>0</v>
      </c>
      <c r="S49" s="96">
        <f t="shared" si="56"/>
        <v>0</v>
      </c>
      <c r="T49" s="96">
        <f t="shared" si="56"/>
        <v>0</v>
      </c>
      <c r="U49" s="96">
        <f t="shared" si="56"/>
        <v>0</v>
      </c>
      <c r="V49" s="96">
        <f t="shared" si="56"/>
        <v>0</v>
      </c>
      <c r="W49" s="96">
        <f t="shared" si="56"/>
        <v>0</v>
      </c>
      <c r="X49" s="96">
        <f t="shared" si="56"/>
        <v>0</v>
      </c>
      <c r="Y49" s="96">
        <f t="shared" si="56"/>
        <v>0</v>
      </c>
      <c r="Z49" s="96">
        <f t="shared" si="56"/>
        <v>0</v>
      </c>
      <c r="AA49" s="96">
        <f t="shared" si="56"/>
        <v>0</v>
      </c>
      <c r="AB49" s="96">
        <f t="shared" si="56"/>
        <v>0</v>
      </c>
      <c r="AC49" s="96">
        <f t="shared" si="56"/>
        <v>0</v>
      </c>
      <c r="AD49" s="96">
        <f t="shared" si="56"/>
        <v>0</v>
      </c>
      <c r="AE49" s="96">
        <f t="shared" si="56"/>
        <v>0</v>
      </c>
      <c r="AF49" s="96">
        <f t="shared" si="56"/>
        <v>0</v>
      </c>
      <c r="AG49" s="96">
        <f t="shared" si="56"/>
        <v>0</v>
      </c>
      <c r="AH49" s="96">
        <f t="shared" si="56"/>
        <v>0</v>
      </c>
      <c r="AI49" s="96">
        <f t="shared" si="56"/>
        <v>0</v>
      </c>
      <c r="AJ49" s="96">
        <f t="shared" si="56"/>
        <v>0</v>
      </c>
      <c r="AK49" s="96">
        <f t="shared" si="56"/>
        <v>0</v>
      </c>
      <c r="AL49" s="96">
        <f t="shared" si="56"/>
        <v>0</v>
      </c>
      <c r="AM49" s="96">
        <f t="shared" si="56"/>
        <v>0</v>
      </c>
      <c r="AN49" s="96">
        <f t="shared" si="56"/>
        <v>0</v>
      </c>
      <c r="AO49" s="96">
        <f t="shared" si="56"/>
        <v>0</v>
      </c>
      <c r="AP49" s="96">
        <f t="shared" si="56"/>
        <v>0</v>
      </c>
      <c r="AQ49" s="96">
        <f t="shared" si="56"/>
        <v>0</v>
      </c>
      <c r="AR49" s="96">
        <f t="shared" si="56"/>
        <v>0</v>
      </c>
      <c r="AS49" s="96">
        <f t="shared" si="56"/>
        <v>0</v>
      </c>
      <c r="AT49" s="96">
        <f t="shared" si="56"/>
        <v>0</v>
      </c>
      <c r="AU49" s="96">
        <f t="shared" si="56"/>
        <v>0</v>
      </c>
      <c r="AV49" s="96">
        <f t="shared" si="56"/>
        <v>0</v>
      </c>
      <c r="AW49" s="96">
        <f t="shared" si="56"/>
        <v>0</v>
      </c>
      <c r="AX49" s="96">
        <f t="shared" si="56"/>
        <v>0</v>
      </c>
      <c r="AY49" s="96">
        <f t="shared" si="56"/>
        <v>0</v>
      </c>
      <c r="AZ49" s="96">
        <f t="shared" si="56"/>
        <v>0</v>
      </c>
      <c r="BA49" s="96">
        <f t="shared" si="56"/>
        <v>0</v>
      </c>
      <c r="BB49" s="96">
        <f t="shared" si="56"/>
        <v>0</v>
      </c>
      <c r="BC49" s="96">
        <f t="shared" si="56"/>
        <v>0</v>
      </c>
      <c r="BD49" s="96">
        <f t="shared" si="56"/>
        <v>0</v>
      </c>
      <c r="BE49" s="96">
        <f t="shared" si="56"/>
        <v>0</v>
      </c>
      <c r="BF49" s="96">
        <f t="shared" si="56"/>
        <v>0</v>
      </c>
      <c r="BG49" s="96">
        <f t="shared" si="56"/>
        <v>0</v>
      </c>
      <c r="BH49" s="96">
        <f t="shared" si="56"/>
        <v>0</v>
      </c>
      <c r="BI49" s="96">
        <f t="shared" si="56"/>
        <v>0</v>
      </c>
    </row>
    <row r="50" ht="15.75" customHeight="1">
      <c r="A50" s="7"/>
      <c r="B50" s="1" t="s">
        <v>182</v>
      </c>
      <c r="C50" s="1" t="s">
        <v>206</v>
      </c>
      <c r="D50" s="1" t="str">
        <f t="shared" si="46"/>
        <v>Sales</v>
      </c>
      <c r="E50" s="143">
        <v>160000.0</v>
      </c>
      <c r="F50" s="144"/>
      <c r="G50" s="141"/>
      <c r="H50" s="142">
        <v>0.09</v>
      </c>
      <c r="I50" s="143">
        <f t="shared" si="47"/>
        <v>533.3333333</v>
      </c>
      <c r="J50" s="143">
        <v>500.0</v>
      </c>
      <c r="K50" s="96">
        <f t="shared" si="5"/>
        <v>1033.333333</v>
      </c>
      <c r="L50" s="1"/>
      <c r="M50" s="1"/>
      <c r="N50" s="96">
        <f t="shared" ref="N50:BI50" si="57">IF($F50=0,0, IF(AND(N$1&gt;=$G50,$G50&lt;&gt;0),0,IF(N$1&gt;=$F50,$E50/12,0)))</f>
        <v>0</v>
      </c>
      <c r="O50" s="96">
        <f t="shared" si="57"/>
        <v>0</v>
      </c>
      <c r="P50" s="96">
        <f t="shared" si="57"/>
        <v>0</v>
      </c>
      <c r="Q50" s="96">
        <f t="shared" si="57"/>
        <v>0</v>
      </c>
      <c r="R50" s="96">
        <f t="shared" si="57"/>
        <v>0</v>
      </c>
      <c r="S50" s="96">
        <f t="shared" si="57"/>
        <v>0</v>
      </c>
      <c r="T50" s="96">
        <f t="shared" si="57"/>
        <v>0</v>
      </c>
      <c r="U50" s="96">
        <f t="shared" si="57"/>
        <v>0</v>
      </c>
      <c r="V50" s="96">
        <f t="shared" si="57"/>
        <v>0</v>
      </c>
      <c r="W50" s="96">
        <f t="shared" si="57"/>
        <v>0</v>
      </c>
      <c r="X50" s="96">
        <f t="shared" si="57"/>
        <v>0</v>
      </c>
      <c r="Y50" s="96">
        <f t="shared" si="57"/>
        <v>0</v>
      </c>
      <c r="Z50" s="96">
        <f t="shared" si="57"/>
        <v>0</v>
      </c>
      <c r="AA50" s="96">
        <f t="shared" si="57"/>
        <v>0</v>
      </c>
      <c r="AB50" s="96">
        <f t="shared" si="57"/>
        <v>0</v>
      </c>
      <c r="AC50" s="96">
        <f t="shared" si="57"/>
        <v>0</v>
      </c>
      <c r="AD50" s="96">
        <f t="shared" si="57"/>
        <v>0</v>
      </c>
      <c r="AE50" s="96">
        <f t="shared" si="57"/>
        <v>0</v>
      </c>
      <c r="AF50" s="96">
        <f t="shared" si="57"/>
        <v>0</v>
      </c>
      <c r="AG50" s="96">
        <f t="shared" si="57"/>
        <v>0</v>
      </c>
      <c r="AH50" s="96">
        <f t="shared" si="57"/>
        <v>0</v>
      </c>
      <c r="AI50" s="96">
        <f t="shared" si="57"/>
        <v>0</v>
      </c>
      <c r="AJ50" s="96">
        <f t="shared" si="57"/>
        <v>0</v>
      </c>
      <c r="AK50" s="96">
        <f t="shared" si="57"/>
        <v>0</v>
      </c>
      <c r="AL50" s="96">
        <f t="shared" si="57"/>
        <v>0</v>
      </c>
      <c r="AM50" s="96">
        <f t="shared" si="57"/>
        <v>0</v>
      </c>
      <c r="AN50" s="96">
        <f t="shared" si="57"/>
        <v>0</v>
      </c>
      <c r="AO50" s="96">
        <f t="shared" si="57"/>
        <v>0</v>
      </c>
      <c r="AP50" s="96">
        <f t="shared" si="57"/>
        <v>0</v>
      </c>
      <c r="AQ50" s="96">
        <f t="shared" si="57"/>
        <v>0</v>
      </c>
      <c r="AR50" s="96">
        <f t="shared" si="57"/>
        <v>0</v>
      </c>
      <c r="AS50" s="96">
        <f t="shared" si="57"/>
        <v>0</v>
      </c>
      <c r="AT50" s="96">
        <f t="shared" si="57"/>
        <v>0</v>
      </c>
      <c r="AU50" s="96">
        <f t="shared" si="57"/>
        <v>0</v>
      </c>
      <c r="AV50" s="96">
        <f t="shared" si="57"/>
        <v>0</v>
      </c>
      <c r="AW50" s="96">
        <f t="shared" si="57"/>
        <v>0</v>
      </c>
      <c r="AX50" s="96">
        <f t="shared" si="57"/>
        <v>0</v>
      </c>
      <c r="AY50" s="96">
        <f t="shared" si="57"/>
        <v>0</v>
      </c>
      <c r="AZ50" s="96">
        <f t="shared" si="57"/>
        <v>0</v>
      </c>
      <c r="BA50" s="96">
        <f t="shared" si="57"/>
        <v>0</v>
      </c>
      <c r="BB50" s="96">
        <f t="shared" si="57"/>
        <v>0</v>
      </c>
      <c r="BC50" s="96">
        <f t="shared" si="57"/>
        <v>0</v>
      </c>
      <c r="BD50" s="96">
        <f t="shared" si="57"/>
        <v>0</v>
      </c>
      <c r="BE50" s="96">
        <f t="shared" si="57"/>
        <v>0</v>
      </c>
      <c r="BF50" s="96">
        <f t="shared" si="57"/>
        <v>0</v>
      </c>
      <c r="BG50" s="96">
        <f t="shared" si="57"/>
        <v>0</v>
      </c>
      <c r="BH50" s="96">
        <f t="shared" si="57"/>
        <v>0</v>
      </c>
      <c r="BI50" s="96">
        <f t="shared" si="57"/>
        <v>0</v>
      </c>
    </row>
    <row r="51" ht="15.75" customHeight="1">
      <c r="A51" s="7"/>
      <c r="B51" s="1" t="s">
        <v>183</v>
      </c>
      <c r="C51" s="1" t="s">
        <v>207</v>
      </c>
      <c r="D51" s="1" t="str">
        <f t="shared" si="46"/>
        <v>Sales</v>
      </c>
      <c r="E51" s="143">
        <v>160000.0</v>
      </c>
      <c r="F51" s="144"/>
      <c r="G51" s="141"/>
      <c r="H51" s="142">
        <v>0.09</v>
      </c>
      <c r="I51" s="143">
        <f t="shared" si="47"/>
        <v>533.3333333</v>
      </c>
      <c r="J51" s="143">
        <v>500.0</v>
      </c>
      <c r="K51" s="96">
        <f t="shared" si="5"/>
        <v>1033.333333</v>
      </c>
      <c r="L51" s="1"/>
      <c r="M51" s="1"/>
      <c r="N51" s="96">
        <f t="shared" ref="N51:BI51" si="58">IF($F51=0,0, IF(AND(N$1&gt;=$G51,$G51&lt;&gt;0),0,IF(N$1&gt;=$F51,$E51/12,0)))</f>
        <v>0</v>
      </c>
      <c r="O51" s="96">
        <f t="shared" si="58"/>
        <v>0</v>
      </c>
      <c r="P51" s="96">
        <f t="shared" si="58"/>
        <v>0</v>
      </c>
      <c r="Q51" s="96">
        <f t="shared" si="58"/>
        <v>0</v>
      </c>
      <c r="R51" s="96">
        <f t="shared" si="58"/>
        <v>0</v>
      </c>
      <c r="S51" s="96">
        <f t="shared" si="58"/>
        <v>0</v>
      </c>
      <c r="T51" s="96">
        <f t="shared" si="58"/>
        <v>0</v>
      </c>
      <c r="U51" s="96">
        <f t="shared" si="58"/>
        <v>0</v>
      </c>
      <c r="V51" s="96">
        <f t="shared" si="58"/>
        <v>0</v>
      </c>
      <c r="W51" s="96">
        <f t="shared" si="58"/>
        <v>0</v>
      </c>
      <c r="X51" s="96">
        <f t="shared" si="58"/>
        <v>0</v>
      </c>
      <c r="Y51" s="96">
        <f t="shared" si="58"/>
        <v>0</v>
      </c>
      <c r="Z51" s="96">
        <f t="shared" si="58"/>
        <v>0</v>
      </c>
      <c r="AA51" s="96">
        <f t="shared" si="58"/>
        <v>0</v>
      </c>
      <c r="AB51" s="96">
        <f t="shared" si="58"/>
        <v>0</v>
      </c>
      <c r="AC51" s="96">
        <f t="shared" si="58"/>
        <v>0</v>
      </c>
      <c r="AD51" s="96">
        <f t="shared" si="58"/>
        <v>0</v>
      </c>
      <c r="AE51" s="96">
        <f t="shared" si="58"/>
        <v>0</v>
      </c>
      <c r="AF51" s="96">
        <f t="shared" si="58"/>
        <v>0</v>
      </c>
      <c r="AG51" s="96">
        <f t="shared" si="58"/>
        <v>0</v>
      </c>
      <c r="AH51" s="96">
        <f t="shared" si="58"/>
        <v>0</v>
      </c>
      <c r="AI51" s="96">
        <f t="shared" si="58"/>
        <v>0</v>
      </c>
      <c r="AJ51" s="96">
        <f t="shared" si="58"/>
        <v>0</v>
      </c>
      <c r="AK51" s="96">
        <f t="shared" si="58"/>
        <v>0</v>
      </c>
      <c r="AL51" s="96">
        <f t="shared" si="58"/>
        <v>0</v>
      </c>
      <c r="AM51" s="96">
        <f t="shared" si="58"/>
        <v>0</v>
      </c>
      <c r="AN51" s="96">
        <f t="shared" si="58"/>
        <v>0</v>
      </c>
      <c r="AO51" s="96">
        <f t="shared" si="58"/>
        <v>0</v>
      </c>
      <c r="AP51" s="96">
        <f t="shared" si="58"/>
        <v>0</v>
      </c>
      <c r="AQ51" s="96">
        <f t="shared" si="58"/>
        <v>0</v>
      </c>
      <c r="AR51" s="96">
        <f t="shared" si="58"/>
        <v>0</v>
      </c>
      <c r="AS51" s="96">
        <f t="shared" si="58"/>
        <v>0</v>
      </c>
      <c r="AT51" s="96">
        <f t="shared" si="58"/>
        <v>0</v>
      </c>
      <c r="AU51" s="96">
        <f t="shared" si="58"/>
        <v>0</v>
      </c>
      <c r="AV51" s="96">
        <f t="shared" si="58"/>
        <v>0</v>
      </c>
      <c r="AW51" s="96">
        <f t="shared" si="58"/>
        <v>0</v>
      </c>
      <c r="AX51" s="96">
        <f t="shared" si="58"/>
        <v>0</v>
      </c>
      <c r="AY51" s="96">
        <f t="shared" si="58"/>
        <v>0</v>
      </c>
      <c r="AZ51" s="96">
        <f t="shared" si="58"/>
        <v>0</v>
      </c>
      <c r="BA51" s="96">
        <f t="shared" si="58"/>
        <v>0</v>
      </c>
      <c r="BB51" s="96">
        <f t="shared" si="58"/>
        <v>0</v>
      </c>
      <c r="BC51" s="96">
        <f t="shared" si="58"/>
        <v>0</v>
      </c>
      <c r="BD51" s="96">
        <f t="shared" si="58"/>
        <v>0</v>
      </c>
      <c r="BE51" s="96">
        <f t="shared" si="58"/>
        <v>0</v>
      </c>
      <c r="BF51" s="96">
        <f t="shared" si="58"/>
        <v>0</v>
      </c>
      <c r="BG51" s="96">
        <f t="shared" si="58"/>
        <v>0</v>
      </c>
      <c r="BH51" s="96">
        <f t="shared" si="58"/>
        <v>0</v>
      </c>
      <c r="BI51" s="96">
        <f t="shared" si="58"/>
        <v>0</v>
      </c>
    </row>
    <row r="52" ht="15.75" customHeight="1">
      <c r="A52" s="7"/>
      <c r="B52" s="7" t="s">
        <v>208</v>
      </c>
      <c r="C52" s="1"/>
      <c r="D52" s="1"/>
      <c r="E52" s="96"/>
      <c r="F52" s="46"/>
      <c r="G52" s="46"/>
      <c r="H52" s="26"/>
      <c r="I52" s="96"/>
      <c r="J52" s="96"/>
      <c r="K52" s="96">
        <f t="shared" si="5"/>
        <v>0</v>
      </c>
      <c r="L52" s="1"/>
      <c r="M52" s="1"/>
      <c r="N52" s="96">
        <f t="shared" ref="N52:BI52" si="59">IF($F52=0,0, IF(AND(N$1&gt;=$G52,$G52&lt;&gt;0),0,IF(N$1&gt;=$F52,$E52/12,0)))</f>
        <v>0</v>
      </c>
      <c r="O52" s="96">
        <f t="shared" si="59"/>
        <v>0</v>
      </c>
      <c r="P52" s="96">
        <f t="shared" si="59"/>
        <v>0</v>
      </c>
      <c r="Q52" s="96">
        <f t="shared" si="59"/>
        <v>0</v>
      </c>
      <c r="R52" s="96">
        <f t="shared" si="59"/>
        <v>0</v>
      </c>
      <c r="S52" s="96">
        <f t="shared" si="59"/>
        <v>0</v>
      </c>
      <c r="T52" s="96">
        <f t="shared" si="59"/>
        <v>0</v>
      </c>
      <c r="U52" s="96">
        <f t="shared" si="59"/>
        <v>0</v>
      </c>
      <c r="V52" s="96">
        <f t="shared" si="59"/>
        <v>0</v>
      </c>
      <c r="W52" s="96">
        <f t="shared" si="59"/>
        <v>0</v>
      </c>
      <c r="X52" s="96">
        <f t="shared" si="59"/>
        <v>0</v>
      </c>
      <c r="Y52" s="96">
        <f t="shared" si="59"/>
        <v>0</v>
      </c>
      <c r="Z52" s="96">
        <f t="shared" si="59"/>
        <v>0</v>
      </c>
      <c r="AA52" s="96">
        <f t="shared" si="59"/>
        <v>0</v>
      </c>
      <c r="AB52" s="96">
        <f t="shared" si="59"/>
        <v>0</v>
      </c>
      <c r="AC52" s="96">
        <f t="shared" si="59"/>
        <v>0</v>
      </c>
      <c r="AD52" s="96">
        <f t="shared" si="59"/>
        <v>0</v>
      </c>
      <c r="AE52" s="96">
        <f t="shared" si="59"/>
        <v>0</v>
      </c>
      <c r="AF52" s="96">
        <f t="shared" si="59"/>
        <v>0</v>
      </c>
      <c r="AG52" s="96">
        <f t="shared" si="59"/>
        <v>0</v>
      </c>
      <c r="AH52" s="96">
        <f t="shared" si="59"/>
        <v>0</v>
      </c>
      <c r="AI52" s="96">
        <f t="shared" si="59"/>
        <v>0</v>
      </c>
      <c r="AJ52" s="96">
        <f t="shared" si="59"/>
        <v>0</v>
      </c>
      <c r="AK52" s="96">
        <f t="shared" si="59"/>
        <v>0</v>
      </c>
      <c r="AL52" s="96">
        <f t="shared" si="59"/>
        <v>0</v>
      </c>
      <c r="AM52" s="96">
        <f t="shared" si="59"/>
        <v>0</v>
      </c>
      <c r="AN52" s="96">
        <f t="shared" si="59"/>
        <v>0</v>
      </c>
      <c r="AO52" s="96">
        <f t="shared" si="59"/>
        <v>0</v>
      </c>
      <c r="AP52" s="96">
        <f t="shared" si="59"/>
        <v>0</v>
      </c>
      <c r="AQ52" s="96">
        <f t="shared" si="59"/>
        <v>0</v>
      </c>
      <c r="AR52" s="96">
        <f t="shared" si="59"/>
        <v>0</v>
      </c>
      <c r="AS52" s="96">
        <f t="shared" si="59"/>
        <v>0</v>
      </c>
      <c r="AT52" s="96">
        <f t="shared" si="59"/>
        <v>0</v>
      </c>
      <c r="AU52" s="96">
        <f t="shared" si="59"/>
        <v>0</v>
      </c>
      <c r="AV52" s="96">
        <f t="shared" si="59"/>
        <v>0</v>
      </c>
      <c r="AW52" s="96">
        <f t="shared" si="59"/>
        <v>0</v>
      </c>
      <c r="AX52" s="96">
        <f t="shared" si="59"/>
        <v>0</v>
      </c>
      <c r="AY52" s="96">
        <f t="shared" si="59"/>
        <v>0</v>
      </c>
      <c r="AZ52" s="96">
        <f t="shared" si="59"/>
        <v>0</v>
      </c>
      <c r="BA52" s="96">
        <f t="shared" si="59"/>
        <v>0</v>
      </c>
      <c r="BB52" s="96">
        <f t="shared" si="59"/>
        <v>0</v>
      </c>
      <c r="BC52" s="96">
        <f t="shared" si="59"/>
        <v>0</v>
      </c>
      <c r="BD52" s="96">
        <f t="shared" si="59"/>
        <v>0</v>
      </c>
      <c r="BE52" s="96">
        <f t="shared" si="59"/>
        <v>0</v>
      </c>
      <c r="BF52" s="96">
        <f t="shared" si="59"/>
        <v>0</v>
      </c>
      <c r="BG52" s="96">
        <f t="shared" si="59"/>
        <v>0</v>
      </c>
      <c r="BH52" s="96">
        <f t="shared" si="59"/>
        <v>0</v>
      </c>
      <c r="BI52" s="96">
        <f t="shared" si="59"/>
        <v>0</v>
      </c>
    </row>
    <row r="53" ht="15.75" customHeight="1">
      <c r="A53" s="1"/>
      <c r="B53" s="1" t="s">
        <v>209</v>
      </c>
      <c r="C53" s="1" t="s">
        <v>210</v>
      </c>
      <c r="D53" s="1" t="str">
        <f t="shared" ref="D53:D64" si="61">$B$52</f>
        <v>Support</v>
      </c>
      <c r="E53" s="140">
        <f>150000*0.75</f>
        <v>112500</v>
      </c>
      <c r="F53" s="141">
        <v>43497.0</v>
      </c>
      <c r="G53" s="141"/>
      <c r="H53" s="142">
        <v>0.09</v>
      </c>
      <c r="I53" s="143">
        <f t="shared" ref="I53:I64" si="62">0.04*E53/12</f>
        <v>375</v>
      </c>
      <c r="J53" s="143">
        <v>500.0</v>
      </c>
      <c r="K53" s="96">
        <f t="shared" si="5"/>
        <v>875</v>
      </c>
      <c r="L53" s="1"/>
      <c r="M53" s="1"/>
      <c r="N53" s="96">
        <f t="shared" ref="N53:BI53" si="60">IF($F53=0,0, IF(AND(N$1&gt;=$G53,$G53&lt;&gt;0),0,IF(N$1&gt;=$F53,$E53/12,0)))</f>
        <v>9375</v>
      </c>
      <c r="O53" s="96">
        <f t="shared" si="60"/>
        <v>9375</v>
      </c>
      <c r="P53" s="96">
        <f t="shared" si="60"/>
        <v>9375</v>
      </c>
      <c r="Q53" s="96">
        <f t="shared" si="60"/>
        <v>9375</v>
      </c>
      <c r="R53" s="96">
        <f t="shared" si="60"/>
        <v>9375</v>
      </c>
      <c r="S53" s="96">
        <f t="shared" si="60"/>
        <v>9375</v>
      </c>
      <c r="T53" s="96">
        <f t="shared" si="60"/>
        <v>9375</v>
      </c>
      <c r="U53" s="96">
        <f t="shared" si="60"/>
        <v>9375</v>
      </c>
      <c r="V53" s="96">
        <f t="shared" si="60"/>
        <v>9375</v>
      </c>
      <c r="W53" s="96">
        <f t="shared" si="60"/>
        <v>9375</v>
      </c>
      <c r="X53" s="96">
        <f t="shared" si="60"/>
        <v>9375</v>
      </c>
      <c r="Y53" s="96">
        <f t="shared" si="60"/>
        <v>9375</v>
      </c>
      <c r="Z53" s="96">
        <f t="shared" si="60"/>
        <v>9375</v>
      </c>
      <c r="AA53" s="96">
        <f t="shared" si="60"/>
        <v>9375</v>
      </c>
      <c r="AB53" s="96">
        <f t="shared" si="60"/>
        <v>9375</v>
      </c>
      <c r="AC53" s="96">
        <f t="shared" si="60"/>
        <v>9375</v>
      </c>
      <c r="AD53" s="96">
        <f t="shared" si="60"/>
        <v>9375</v>
      </c>
      <c r="AE53" s="96">
        <f t="shared" si="60"/>
        <v>9375</v>
      </c>
      <c r="AF53" s="96">
        <f t="shared" si="60"/>
        <v>9375</v>
      </c>
      <c r="AG53" s="96">
        <f t="shared" si="60"/>
        <v>9375</v>
      </c>
      <c r="AH53" s="96">
        <f t="shared" si="60"/>
        <v>9375</v>
      </c>
      <c r="AI53" s="96">
        <f t="shared" si="60"/>
        <v>9375</v>
      </c>
      <c r="AJ53" s="96">
        <f t="shared" si="60"/>
        <v>9375</v>
      </c>
      <c r="AK53" s="96">
        <f t="shared" si="60"/>
        <v>9375</v>
      </c>
      <c r="AL53" s="96">
        <f t="shared" si="60"/>
        <v>9375</v>
      </c>
      <c r="AM53" s="96">
        <f t="shared" si="60"/>
        <v>9375</v>
      </c>
      <c r="AN53" s="96">
        <f t="shared" si="60"/>
        <v>9375</v>
      </c>
      <c r="AO53" s="96">
        <f t="shared" si="60"/>
        <v>9375</v>
      </c>
      <c r="AP53" s="96">
        <f t="shared" si="60"/>
        <v>9375</v>
      </c>
      <c r="AQ53" s="96">
        <f t="shared" si="60"/>
        <v>9375</v>
      </c>
      <c r="AR53" s="96">
        <f t="shared" si="60"/>
        <v>9375</v>
      </c>
      <c r="AS53" s="96">
        <f t="shared" si="60"/>
        <v>9375</v>
      </c>
      <c r="AT53" s="96">
        <f t="shared" si="60"/>
        <v>9375</v>
      </c>
      <c r="AU53" s="96">
        <f t="shared" si="60"/>
        <v>9375</v>
      </c>
      <c r="AV53" s="96">
        <f t="shared" si="60"/>
        <v>9375</v>
      </c>
      <c r="AW53" s="96">
        <f t="shared" si="60"/>
        <v>9375</v>
      </c>
      <c r="AX53" s="96">
        <f t="shared" si="60"/>
        <v>9375</v>
      </c>
      <c r="AY53" s="96">
        <f t="shared" si="60"/>
        <v>9375</v>
      </c>
      <c r="AZ53" s="96">
        <f t="shared" si="60"/>
        <v>9375</v>
      </c>
      <c r="BA53" s="96">
        <f t="shared" si="60"/>
        <v>9375</v>
      </c>
      <c r="BB53" s="96">
        <f t="shared" si="60"/>
        <v>9375</v>
      </c>
      <c r="BC53" s="96">
        <f t="shared" si="60"/>
        <v>9375</v>
      </c>
      <c r="BD53" s="96">
        <f t="shared" si="60"/>
        <v>9375</v>
      </c>
      <c r="BE53" s="96">
        <f t="shared" si="60"/>
        <v>9375</v>
      </c>
      <c r="BF53" s="96">
        <f t="shared" si="60"/>
        <v>9375</v>
      </c>
      <c r="BG53" s="96">
        <f t="shared" si="60"/>
        <v>9375</v>
      </c>
      <c r="BH53" s="96">
        <f t="shared" si="60"/>
        <v>9375</v>
      </c>
      <c r="BI53" s="96">
        <f t="shared" si="60"/>
        <v>9375</v>
      </c>
    </row>
    <row r="54" ht="15.75" customHeight="1">
      <c r="A54" s="1"/>
      <c r="B54" s="1" t="s">
        <v>211</v>
      </c>
      <c r="C54" s="1" t="s">
        <v>212</v>
      </c>
      <c r="D54" s="1" t="str">
        <f t="shared" si="61"/>
        <v>Support</v>
      </c>
      <c r="E54" s="143">
        <v>62400.0</v>
      </c>
      <c r="F54" s="141">
        <v>43101.0</v>
      </c>
      <c r="G54" s="141"/>
      <c r="H54" s="142">
        <v>0.09</v>
      </c>
      <c r="I54" s="143">
        <f t="shared" si="62"/>
        <v>208</v>
      </c>
      <c r="J54" s="143">
        <v>500.0</v>
      </c>
      <c r="K54" s="96">
        <f t="shared" si="5"/>
        <v>708</v>
      </c>
      <c r="L54" s="1"/>
      <c r="M54" s="1"/>
      <c r="N54" s="96">
        <f t="shared" ref="N54:BI54" si="63">IF($F54=0,0, IF(AND(N$1&gt;=$G54,$G54&lt;&gt;0),0,IF(N$1&gt;=$F54,$E54/12,0)))</f>
        <v>5200</v>
      </c>
      <c r="O54" s="96">
        <f t="shared" si="63"/>
        <v>5200</v>
      </c>
      <c r="P54" s="96">
        <f t="shared" si="63"/>
        <v>5200</v>
      </c>
      <c r="Q54" s="96">
        <f t="shared" si="63"/>
        <v>5200</v>
      </c>
      <c r="R54" s="96">
        <f t="shared" si="63"/>
        <v>5200</v>
      </c>
      <c r="S54" s="96">
        <f t="shared" si="63"/>
        <v>5200</v>
      </c>
      <c r="T54" s="96">
        <f t="shared" si="63"/>
        <v>5200</v>
      </c>
      <c r="U54" s="96">
        <f t="shared" si="63"/>
        <v>5200</v>
      </c>
      <c r="V54" s="96">
        <f t="shared" si="63"/>
        <v>5200</v>
      </c>
      <c r="W54" s="96">
        <f t="shared" si="63"/>
        <v>5200</v>
      </c>
      <c r="X54" s="96">
        <f t="shared" si="63"/>
        <v>5200</v>
      </c>
      <c r="Y54" s="96">
        <f t="shared" si="63"/>
        <v>5200</v>
      </c>
      <c r="Z54" s="96">
        <f t="shared" si="63"/>
        <v>5200</v>
      </c>
      <c r="AA54" s="96">
        <f t="shared" si="63"/>
        <v>5200</v>
      </c>
      <c r="AB54" s="96">
        <f t="shared" si="63"/>
        <v>5200</v>
      </c>
      <c r="AC54" s="96">
        <f t="shared" si="63"/>
        <v>5200</v>
      </c>
      <c r="AD54" s="96">
        <f t="shared" si="63"/>
        <v>5200</v>
      </c>
      <c r="AE54" s="96">
        <f t="shared" si="63"/>
        <v>5200</v>
      </c>
      <c r="AF54" s="96">
        <f t="shared" si="63"/>
        <v>5200</v>
      </c>
      <c r="AG54" s="96">
        <f t="shared" si="63"/>
        <v>5200</v>
      </c>
      <c r="AH54" s="96">
        <f t="shared" si="63"/>
        <v>5200</v>
      </c>
      <c r="AI54" s="96">
        <f t="shared" si="63"/>
        <v>5200</v>
      </c>
      <c r="AJ54" s="96">
        <f t="shared" si="63"/>
        <v>5200</v>
      </c>
      <c r="AK54" s="96">
        <f t="shared" si="63"/>
        <v>5200</v>
      </c>
      <c r="AL54" s="96">
        <f t="shared" si="63"/>
        <v>5200</v>
      </c>
      <c r="AM54" s="96">
        <f t="shared" si="63"/>
        <v>5200</v>
      </c>
      <c r="AN54" s="96">
        <f t="shared" si="63"/>
        <v>5200</v>
      </c>
      <c r="AO54" s="96">
        <f t="shared" si="63"/>
        <v>5200</v>
      </c>
      <c r="AP54" s="96">
        <f t="shared" si="63"/>
        <v>5200</v>
      </c>
      <c r="AQ54" s="96">
        <f t="shared" si="63"/>
        <v>5200</v>
      </c>
      <c r="AR54" s="96">
        <f t="shared" si="63"/>
        <v>5200</v>
      </c>
      <c r="AS54" s="96">
        <f t="shared" si="63"/>
        <v>5200</v>
      </c>
      <c r="AT54" s="96">
        <f t="shared" si="63"/>
        <v>5200</v>
      </c>
      <c r="AU54" s="96">
        <f t="shared" si="63"/>
        <v>5200</v>
      </c>
      <c r="AV54" s="96">
        <f t="shared" si="63"/>
        <v>5200</v>
      </c>
      <c r="AW54" s="96">
        <f t="shared" si="63"/>
        <v>5200</v>
      </c>
      <c r="AX54" s="96">
        <f t="shared" si="63"/>
        <v>5200</v>
      </c>
      <c r="AY54" s="96">
        <f t="shared" si="63"/>
        <v>5200</v>
      </c>
      <c r="AZ54" s="96">
        <f t="shared" si="63"/>
        <v>5200</v>
      </c>
      <c r="BA54" s="96">
        <f t="shared" si="63"/>
        <v>5200</v>
      </c>
      <c r="BB54" s="96">
        <f t="shared" si="63"/>
        <v>5200</v>
      </c>
      <c r="BC54" s="96">
        <f t="shared" si="63"/>
        <v>5200</v>
      </c>
      <c r="BD54" s="96">
        <f t="shared" si="63"/>
        <v>5200</v>
      </c>
      <c r="BE54" s="96">
        <f t="shared" si="63"/>
        <v>5200</v>
      </c>
      <c r="BF54" s="96">
        <f t="shared" si="63"/>
        <v>5200</v>
      </c>
      <c r="BG54" s="96">
        <f t="shared" si="63"/>
        <v>5200</v>
      </c>
      <c r="BH54" s="96">
        <f t="shared" si="63"/>
        <v>5200</v>
      </c>
      <c r="BI54" s="96">
        <f t="shared" si="63"/>
        <v>5200</v>
      </c>
    </row>
    <row r="55" ht="15.75" customHeight="1">
      <c r="A55" s="1"/>
      <c r="B55" s="1" t="s">
        <v>213</v>
      </c>
      <c r="C55" s="1" t="s">
        <v>212</v>
      </c>
      <c r="D55" s="1" t="str">
        <f t="shared" si="61"/>
        <v>Support</v>
      </c>
      <c r="E55" s="143">
        <v>62400.0</v>
      </c>
      <c r="F55" s="141">
        <v>43101.0</v>
      </c>
      <c r="G55" s="141"/>
      <c r="H55" s="142">
        <v>0.09</v>
      </c>
      <c r="I55" s="143">
        <f t="shared" si="62"/>
        <v>208</v>
      </c>
      <c r="J55" s="143">
        <v>500.0</v>
      </c>
      <c r="K55" s="96">
        <f t="shared" si="5"/>
        <v>708</v>
      </c>
      <c r="L55" s="1"/>
      <c r="M55" s="1"/>
      <c r="N55" s="96">
        <f t="shared" ref="N55:BI55" si="64">IF($F55=0,0, IF(AND(N$1&gt;=$G55,$G55&lt;&gt;0),0,IF(N$1&gt;=$F55,$E55/12,0)))</f>
        <v>5200</v>
      </c>
      <c r="O55" s="96">
        <f t="shared" si="64"/>
        <v>5200</v>
      </c>
      <c r="P55" s="96">
        <f t="shared" si="64"/>
        <v>5200</v>
      </c>
      <c r="Q55" s="96">
        <f t="shared" si="64"/>
        <v>5200</v>
      </c>
      <c r="R55" s="96">
        <f t="shared" si="64"/>
        <v>5200</v>
      </c>
      <c r="S55" s="96">
        <f t="shared" si="64"/>
        <v>5200</v>
      </c>
      <c r="T55" s="96">
        <f t="shared" si="64"/>
        <v>5200</v>
      </c>
      <c r="U55" s="96">
        <f t="shared" si="64"/>
        <v>5200</v>
      </c>
      <c r="V55" s="96">
        <f t="shared" si="64"/>
        <v>5200</v>
      </c>
      <c r="W55" s="96">
        <f t="shared" si="64"/>
        <v>5200</v>
      </c>
      <c r="X55" s="96">
        <f t="shared" si="64"/>
        <v>5200</v>
      </c>
      <c r="Y55" s="96">
        <f t="shared" si="64"/>
        <v>5200</v>
      </c>
      <c r="Z55" s="96">
        <f t="shared" si="64"/>
        <v>5200</v>
      </c>
      <c r="AA55" s="96">
        <f t="shared" si="64"/>
        <v>5200</v>
      </c>
      <c r="AB55" s="96">
        <f t="shared" si="64"/>
        <v>5200</v>
      </c>
      <c r="AC55" s="96">
        <f t="shared" si="64"/>
        <v>5200</v>
      </c>
      <c r="AD55" s="96">
        <f t="shared" si="64"/>
        <v>5200</v>
      </c>
      <c r="AE55" s="96">
        <f t="shared" si="64"/>
        <v>5200</v>
      </c>
      <c r="AF55" s="96">
        <f t="shared" si="64"/>
        <v>5200</v>
      </c>
      <c r="AG55" s="96">
        <f t="shared" si="64"/>
        <v>5200</v>
      </c>
      <c r="AH55" s="96">
        <f t="shared" si="64"/>
        <v>5200</v>
      </c>
      <c r="AI55" s="96">
        <f t="shared" si="64"/>
        <v>5200</v>
      </c>
      <c r="AJ55" s="96">
        <f t="shared" si="64"/>
        <v>5200</v>
      </c>
      <c r="AK55" s="96">
        <f t="shared" si="64"/>
        <v>5200</v>
      </c>
      <c r="AL55" s="96">
        <f t="shared" si="64"/>
        <v>5200</v>
      </c>
      <c r="AM55" s="96">
        <f t="shared" si="64"/>
        <v>5200</v>
      </c>
      <c r="AN55" s="96">
        <f t="shared" si="64"/>
        <v>5200</v>
      </c>
      <c r="AO55" s="96">
        <f t="shared" si="64"/>
        <v>5200</v>
      </c>
      <c r="AP55" s="96">
        <f t="shared" si="64"/>
        <v>5200</v>
      </c>
      <c r="AQ55" s="96">
        <f t="shared" si="64"/>
        <v>5200</v>
      </c>
      <c r="AR55" s="96">
        <f t="shared" si="64"/>
        <v>5200</v>
      </c>
      <c r="AS55" s="96">
        <f t="shared" si="64"/>
        <v>5200</v>
      </c>
      <c r="AT55" s="96">
        <f t="shared" si="64"/>
        <v>5200</v>
      </c>
      <c r="AU55" s="96">
        <f t="shared" si="64"/>
        <v>5200</v>
      </c>
      <c r="AV55" s="96">
        <f t="shared" si="64"/>
        <v>5200</v>
      </c>
      <c r="AW55" s="96">
        <f t="shared" si="64"/>
        <v>5200</v>
      </c>
      <c r="AX55" s="96">
        <f t="shared" si="64"/>
        <v>5200</v>
      </c>
      <c r="AY55" s="96">
        <f t="shared" si="64"/>
        <v>5200</v>
      </c>
      <c r="AZ55" s="96">
        <f t="shared" si="64"/>
        <v>5200</v>
      </c>
      <c r="BA55" s="96">
        <f t="shared" si="64"/>
        <v>5200</v>
      </c>
      <c r="BB55" s="96">
        <f t="shared" si="64"/>
        <v>5200</v>
      </c>
      <c r="BC55" s="96">
        <f t="shared" si="64"/>
        <v>5200</v>
      </c>
      <c r="BD55" s="96">
        <f t="shared" si="64"/>
        <v>5200</v>
      </c>
      <c r="BE55" s="96">
        <f t="shared" si="64"/>
        <v>5200</v>
      </c>
      <c r="BF55" s="96">
        <f t="shared" si="64"/>
        <v>5200</v>
      </c>
      <c r="BG55" s="96">
        <f t="shared" si="64"/>
        <v>5200</v>
      </c>
      <c r="BH55" s="96">
        <f t="shared" si="64"/>
        <v>5200</v>
      </c>
      <c r="BI55" s="96">
        <f t="shared" si="64"/>
        <v>5200</v>
      </c>
    </row>
    <row r="56" ht="15.75" customHeight="1">
      <c r="A56" s="1"/>
      <c r="B56" s="1" t="s">
        <v>214</v>
      </c>
      <c r="C56" s="1" t="s">
        <v>212</v>
      </c>
      <c r="D56" s="1" t="str">
        <f t="shared" si="61"/>
        <v>Support</v>
      </c>
      <c r="E56" s="143">
        <v>62400.0</v>
      </c>
      <c r="F56" s="141">
        <v>43101.0</v>
      </c>
      <c r="G56" s="141"/>
      <c r="H56" s="142">
        <v>0.09</v>
      </c>
      <c r="I56" s="143">
        <f t="shared" si="62"/>
        <v>208</v>
      </c>
      <c r="J56" s="143">
        <v>500.0</v>
      </c>
      <c r="K56" s="96">
        <f t="shared" si="5"/>
        <v>708</v>
      </c>
      <c r="L56" s="1"/>
      <c r="M56" s="1"/>
      <c r="N56" s="96">
        <f t="shared" ref="N56:BI56" si="65">IF($F56=0,0, IF(AND(N$1&gt;=$G56,$G56&lt;&gt;0),0,IF(N$1&gt;=$F56,$E56/12,0)))</f>
        <v>5200</v>
      </c>
      <c r="O56" s="96">
        <f t="shared" si="65"/>
        <v>5200</v>
      </c>
      <c r="P56" s="96">
        <f t="shared" si="65"/>
        <v>5200</v>
      </c>
      <c r="Q56" s="96">
        <f t="shared" si="65"/>
        <v>5200</v>
      </c>
      <c r="R56" s="96">
        <f t="shared" si="65"/>
        <v>5200</v>
      </c>
      <c r="S56" s="96">
        <f t="shared" si="65"/>
        <v>5200</v>
      </c>
      <c r="T56" s="96">
        <f t="shared" si="65"/>
        <v>5200</v>
      </c>
      <c r="U56" s="96">
        <f t="shared" si="65"/>
        <v>5200</v>
      </c>
      <c r="V56" s="96">
        <f t="shared" si="65"/>
        <v>5200</v>
      </c>
      <c r="W56" s="96">
        <f t="shared" si="65"/>
        <v>5200</v>
      </c>
      <c r="X56" s="96">
        <f t="shared" si="65"/>
        <v>5200</v>
      </c>
      <c r="Y56" s="96">
        <f t="shared" si="65"/>
        <v>5200</v>
      </c>
      <c r="Z56" s="96">
        <f t="shared" si="65"/>
        <v>5200</v>
      </c>
      <c r="AA56" s="96">
        <f t="shared" si="65"/>
        <v>5200</v>
      </c>
      <c r="AB56" s="96">
        <f t="shared" si="65"/>
        <v>5200</v>
      </c>
      <c r="AC56" s="96">
        <f t="shared" si="65"/>
        <v>5200</v>
      </c>
      <c r="AD56" s="96">
        <f t="shared" si="65"/>
        <v>5200</v>
      </c>
      <c r="AE56" s="96">
        <f t="shared" si="65"/>
        <v>5200</v>
      </c>
      <c r="AF56" s="96">
        <f t="shared" si="65"/>
        <v>5200</v>
      </c>
      <c r="AG56" s="96">
        <f t="shared" si="65"/>
        <v>5200</v>
      </c>
      <c r="AH56" s="96">
        <f t="shared" si="65"/>
        <v>5200</v>
      </c>
      <c r="AI56" s="96">
        <f t="shared" si="65"/>
        <v>5200</v>
      </c>
      <c r="AJ56" s="96">
        <f t="shared" si="65"/>
        <v>5200</v>
      </c>
      <c r="AK56" s="96">
        <f t="shared" si="65"/>
        <v>5200</v>
      </c>
      <c r="AL56" s="96">
        <f t="shared" si="65"/>
        <v>5200</v>
      </c>
      <c r="AM56" s="96">
        <f t="shared" si="65"/>
        <v>5200</v>
      </c>
      <c r="AN56" s="96">
        <f t="shared" si="65"/>
        <v>5200</v>
      </c>
      <c r="AO56" s="96">
        <f t="shared" si="65"/>
        <v>5200</v>
      </c>
      <c r="AP56" s="96">
        <f t="shared" si="65"/>
        <v>5200</v>
      </c>
      <c r="AQ56" s="96">
        <f t="shared" si="65"/>
        <v>5200</v>
      </c>
      <c r="AR56" s="96">
        <f t="shared" si="65"/>
        <v>5200</v>
      </c>
      <c r="AS56" s="96">
        <f t="shared" si="65"/>
        <v>5200</v>
      </c>
      <c r="AT56" s="96">
        <f t="shared" si="65"/>
        <v>5200</v>
      </c>
      <c r="AU56" s="96">
        <f t="shared" si="65"/>
        <v>5200</v>
      </c>
      <c r="AV56" s="96">
        <f t="shared" si="65"/>
        <v>5200</v>
      </c>
      <c r="AW56" s="96">
        <f t="shared" si="65"/>
        <v>5200</v>
      </c>
      <c r="AX56" s="96">
        <f t="shared" si="65"/>
        <v>5200</v>
      </c>
      <c r="AY56" s="96">
        <f t="shared" si="65"/>
        <v>5200</v>
      </c>
      <c r="AZ56" s="96">
        <f t="shared" si="65"/>
        <v>5200</v>
      </c>
      <c r="BA56" s="96">
        <f t="shared" si="65"/>
        <v>5200</v>
      </c>
      <c r="BB56" s="96">
        <f t="shared" si="65"/>
        <v>5200</v>
      </c>
      <c r="BC56" s="96">
        <f t="shared" si="65"/>
        <v>5200</v>
      </c>
      <c r="BD56" s="96">
        <f t="shared" si="65"/>
        <v>5200</v>
      </c>
      <c r="BE56" s="96">
        <f t="shared" si="65"/>
        <v>5200</v>
      </c>
      <c r="BF56" s="96">
        <f t="shared" si="65"/>
        <v>5200</v>
      </c>
      <c r="BG56" s="96">
        <f t="shared" si="65"/>
        <v>5200</v>
      </c>
      <c r="BH56" s="96">
        <f t="shared" si="65"/>
        <v>5200</v>
      </c>
      <c r="BI56" s="96">
        <f t="shared" si="65"/>
        <v>5200</v>
      </c>
    </row>
    <row r="57" ht="15.75" customHeight="1">
      <c r="A57" s="1"/>
      <c r="B57" s="1" t="s">
        <v>215</v>
      </c>
      <c r="C57" s="1" t="s">
        <v>212</v>
      </c>
      <c r="D57" s="1" t="str">
        <f t="shared" si="61"/>
        <v>Support</v>
      </c>
      <c r="E57" s="143">
        <v>62400.0</v>
      </c>
      <c r="F57" s="141">
        <v>43070.0</v>
      </c>
      <c r="G57" s="141"/>
      <c r="H57" s="142">
        <v>0.09</v>
      </c>
      <c r="I57" s="143">
        <f t="shared" si="62"/>
        <v>208</v>
      </c>
      <c r="J57" s="143">
        <v>500.0</v>
      </c>
      <c r="K57" s="96">
        <f t="shared" si="5"/>
        <v>708</v>
      </c>
      <c r="L57" s="1"/>
      <c r="M57" s="1"/>
      <c r="N57" s="96">
        <f t="shared" ref="N57:BI57" si="66">IF($F57=0,0, IF(AND(N$1&gt;=$G57,$G57&lt;&gt;0),0,IF(N$1&gt;=$F57,$E57/12,0)))</f>
        <v>5200</v>
      </c>
      <c r="O57" s="96">
        <f t="shared" si="66"/>
        <v>5200</v>
      </c>
      <c r="P57" s="96">
        <f t="shared" si="66"/>
        <v>5200</v>
      </c>
      <c r="Q57" s="96">
        <f t="shared" si="66"/>
        <v>5200</v>
      </c>
      <c r="R57" s="96">
        <f t="shared" si="66"/>
        <v>5200</v>
      </c>
      <c r="S57" s="96">
        <f t="shared" si="66"/>
        <v>5200</v>
      </c>
      <c r="T57" s="96">
        <f t="shared" si="66"/>
        <v>5200</v>
      </c>
      <c r="U57" s="96">
        <f t="shared" si="66"/>
        <v>5200</v>
      </c>
      <c r="V57" s="96">
        <f t="shared" si="66"/>
        <v>5200</v>
      </c>
      <c r="W57" s="96">
        <f t="shared" si="66"/>
        <v>5200</v>
      </c>
      <c r="X57" s="96">
        <f t="shared" si="66"/>
        <v>5200</v>
      </c>
      <c r="Y57" s="96">
        <f t="shared" si="66"/>
        <v>5200</v>
      </c>
      <c r="Z57" s="96">
        <f t="shared" si="66"/>
        <v>5200</v>
      </c>
      <c r="AA57" s="96">
        <f t="shared" si="66"/>
        <v>5200</v>
      </c>
      <c r="AB57" s="96">
        <f t="shared" si="66"/>
        <v>5200</v>
      </c>
      <c r="AC57" s="96">
        <f t="shared" si="66"/>
        <v>5200</v>
      </c>
      <c r="AD57" s="96">
        <f t="shared" si="66"/>
        <v>5200</v>
      </c>
      <c r="AE57" s="96">
        <f t="shared" si="66"/>
        <v>5200</v>
      </c>
      <c r="AF57" s="96">
        <f t="shared" si="66"/>
        <v>5200</v>
      </c>
      <c r="AG57" s="96">
        <f t="shared" si="66"/>
        <v>5200</v>
      </c>
      <c r="AH57" s="96">
        <f t="shared" si="66"/>
        <v>5200</v>
      </c>
      <c r="AI57" s="96">
        <f t="shared" si="66"/>
        <v>5200</v>
      </c>
      <c r="AJ57" s="96">
        <f t="shared" si="66"/>
        <v>5200</v>
      </c>
      <c r="AK57" s="96">
        <f t="shared" si="66"/>
        <v>5200</v>
      </c>
      <c r="AL57" s="96">
        <f t="shared" si="66"/>
        <v>5200</v>
      </c>
      <c r="AM57" s="96">
        <f t="shared" si="66"/>
        <v>5200</v>
      </c>
      <c r="AN57" s="96">
        <f t="shared" si="66"/>
        <v>5200</v>
      </c>
      <c r="AO57" s="96">
        <f t="shared" si="66"/>
        <v>5200</v>
      </c>
      <c r="AP57" s="96">
        <f t="shared" si="66"/>
        <v>5200</v>
      </c>
      <c r="AQ57" s="96">
        <f t="shared" si="66"/>
        <v>5200</v>
      </c>
      <c r="AR57" s="96">
        <f t="shared" si="66"/>
        <v>5200</v>
      </c>
      <c r="AS57" s="96">
        <f t="shared" si="66"/>
        <v>5200</v>
      </c>
      <c r="AT57" s="96">
        <f t="shared" si="66"/>
        <v>5200</v>
      </c>
      <c r="AU57" s="96">
        <f t="shared" si="66"/>
        <v>5200</v>
      </c>
      <c r="AV57" s="96">
        <f t="shared" si="66"/>
        <v>5200</v>
      </c>
      <c r="AW57" s="96">
        <f t="shared" si="66"/>
        <v>5200</v>
      </c>
      <c r="AX57" s="96">
        <f t="shared" si="66"/>
        <v>5200</v>
      </c>
      <c r="AY57" s="96">
        <f t="shared" si="66"/>
        <v>5200</v>
      </c>
      <c r="AZ57" s="96">
        <f t="shared" si="66"/>
        <v>5200</v>
      </c>
      <c r="BA57" s="96">
        <f t="shared" si="66"/>
        <v>5200</v>
      </c>
      <c r="BB57" s="96">
        <f t="shared" si="66"/>
        <v>5200</v>
      </c>
      <c r="BC57" s="96">
        <f t="shared" si="66"/>
        <v>5200</v>
      </c>
      <c r="BD57" s="96">
        <f t="shared" si="66"/>
        <v>5200</v>
      </c>
      <c r="BE57" s="96">
        <f t="shared" si="66"/>
        <v>5200</v>
      </c>
      <c r="BF57" s="96">
        <f t="shared" si="66"/>
        <v>5200</v>
      </c>
      <c r="BG57" s="96">
        <f t="shared" si="66"/>
        <v>5200</v>
      </c>
      <c r="BH57" s="96">
        <f t="shared" si="66"/>
        <v>5200</v>
      </c>
      <c r="BI57" s="96">
        <f t="shared" si="66"/>
        <v>5200</v>
      </c>
    </row>
    <row r="58" ht="15.75" customHeight="1">
      <c r="A58" s="1"/>
      <c r="B58" s="1" t="s">
        <v>216</v>
      </c>
      <c r="C58" s="1" t="s">
        <v>212</v>
      </c>
      <c r="D58" s="1" t="str">
        <f t="shared" si="61"/>
        <v>Support</v>
      </c>
      <c r="E58" s="143">
        <v>62400.0</v>
      </c>
      <c r="F58" s="141">
        <v>43174.0</v>
      </c>
      <c r="G58" s="141"/>
      <c r="H58" s="142">
        <v>0.09</v>
      </c>
      <c r="I58" s="143">
        <f t="shared" si="62"/>
        <v>208</v>
      </c>
      <c r="J58" s="143">
        <v>500.0</v>
      </c>
      <c r="K58" s="96">
        <f t="shared" si="5"/>
        <v>708</v>
      </c>
      <c r="L58" s="1"/>
      <c r="M58" s="1"/>
      <c r="N58" s="96">
        <f t="shared" ref="N58:BI58" si="67">IF($F58=0,0, IF(AND(N$1&gt;=$G58,$G58&lt;&gt;0),0,IF(N$1&gt;=$F58,$E58/12,0)))</f>
        <v>5200</v>
      </c>
      <c r="O58" s="96">
        <f t="shared" si="67"/>
        <v>5200</v>
      </c>
      <c r="P58" s="96">
        <f t="shared" si="67"/>
        <v>5200</v>
      </c>
      <c r="Q58" s="96">
        <f t="shared" si="67"/>
        <v>5200</v>
      </c>
      <c r="R58" s="96">
        <f t="shared" si="67"/>
        <v>5200</v>
      </c>
      <c r="S58" s="96">
        <f t="shared" si="67"/>
        <v>5200</v>
      </c>
      <c r="T58" s="96">
        <f t="shared" si="67"/>
        <v>5200</v>
      </c>
      <c r="U58" s="96">
        <f t="shared" si="67"/>
        <v>5200</v>
      </c>
      <c r="V58" s="96">
        <f t="shared" si="67"/>
        <v>5200</v>
      </c>
      <c r="W58" s="96">
        <f t="shared" si="67"/>
        <v>5200</v>
      </c>
      <c r="X58" s="96">
        <f t="shared" si="67"/>
        <v>5200</v>
      </c>
      <c r="Y58" s="96">
        <f t="shared" si="67"/>
        <v>5200</v>
      </c>
      <c r="Z58" s="96">
        <f t="shared" si="67"/>
        <v>5200</v>
      </c>
      <c r="AA58" s="96">
        <f t="shared" si="67"/>
        <v>5200</v>
      </c>
      <c r="AB58" s="96">
        <f t="shared" si="67"/>
        <v>5200</v>
      </c>
      <c r="AC58" s="96">
        <f t="shared" si="67"/>
        <v>5200</v>
      </c>
      <c r="AD58" s="96">
        <f t="shared" si="67"/>
        <v>5200</v>
      </c>
      <c r="AE58" s="96">
        <f t="shared" si="67"/>
        <v>5200</v>
      </c>
      <c r="AF58" s="96">
        <f t="shared" si="67"/>
        <v>5200</v>
      </c>
      <c r="AG58" s="96">
        <f t="shared" si="67"/>
        <v>5200</v>
      </c>
      <c r="AH58" s="96">
        <f t="shared" si="67"/>
        <v>5200</v>
      </c>
      <c r="AI58" s="96">
        <f t="shared" si="67"/>
        <v>5200</v>
      </c>
      <c r="AJ58" s="96">
        <f t="shared" si="67"/>
        <v>5200</v>
      </c>
      <c r="AK58" s="96">
        <f t="shared" si="67"/>
        <v>5200</v>
      </c>
      <c r="AL58" s="96">
        <f t="shared" si="67"/>
        <v>5200</v>
      </c>
      <c r="AM58" s="96">
        <f t="shared" si="67"/>
        <v>5200</v>
      </c>
      <c r="AN58" s="96">
        <f t="shared" si="67"/>
        <v>5200</v>
      </c>
      <c r="AO58" s="96">
        <f t="shared" si="67"/>
        <v>5200</v>
      </c>
      <c r="AP58" s="96">
        <f t="shared" si="67"/>
        <v>5200</v>
      </c>
      <c r="AQ58" s="96">
        <f t="shared" si="67"/>
        <v>5200</v>
      </c>
      <c r="AR58" s="96">
        <f t="shared" si="67"/>
        <v>5200</v>
      </c>
      <c r="AS58" s="96">
        <f t="shared" si="67"/>
        <v>5200</v>
      </c>
      <c r="AT58" s="96">
        <f t="shared" si="67"/>
        <v>5200</v>
      </c>
      <c r="AU58" s="96">
        <f t="shared" si="67"/>
        <v>5200</v>
      </c>
      <c r="AV58" s="96">
        <f t="shared" si="67"/>
        <v>5200</v>
      </c>
      <c r="AW58" s="96">
        <f t="shared" si="67"/>
        <v>5200</v>
      </c>
      <c r="AX58" s="96">
        <f t="shared" si="67"/>
        <v>5200</v>
      </c>
      <c r="AY58" s="96">
        <f t="shared" si="67"/>
        <v>5200</v>
      </c>
      <c r="AZ58" s="96">
        <f t="shared" si="67"/>
        <v>5200</v>
      </c>
      <c r="BA58" s="96">
        <f t="shared" si="67"/>
        <v>5200</v>
      </c>
      <c r="BB58" s="96">
        <f t="shared" si="67"/>
        <v>5200</v>
      </c>
      <c r="BC58" s="96">
        <f t="shared" si="67"/>
        <v>5200</v>
      </c>
      <c r="BD58" s="96">
        <f t="shared" si="67"/>
        <v>5200</v>
      </c>
      <c r="BE58" s="96">
        <f t="shared" si="67"/>
        <v>5200</v>
      </c>
      <c r="BF58" s="96">
        <f t="shared" si="67"/>
        <v>5200</v>
      </c>
      <c r="BG58" s="96">
        <f t="shared" si="67"/>
        <v>5200</v>
      </c>
      <c r="BH58" s="96">
        <f t="shared" si="67"/>
        <v>5200</v>
      </c>
      <c r="BI58" s="96">
        <f t="shared" si="67"/>
        <v>5200</v>
      </c>
    </row>
    <row r="59" ht="15.75" customHeight="1">
      <c r="A59" s="1"/>
      <c r="B59" s="1" t="s">
        <v>217</v>
      </c>
      <c r="C59" s="1" t="s">
        <v>212</v>
      </c>
      <c r="D59" s="1" t="str">
        <f t="shared" si="61"/>
        <v>Support</v>
      </c>
      <c r="E59" s="143">
        <v>120000.0</v>
      </c>
      <c r="F59" s="141">
        <v>43678.0</v>
      </c>
      <c r="G59" s="141"/>
      <c r="H59" s="142">
        <v>0.09</v>
      </c>
      <c r="I59" s="143">
        <f t="shared" si="62"/>
        <v>400</v>
      </c>
      <c r="J59" s="143">
        <v>500.0</v>
      </c>
      <c r="K59" s="96">
        <f t="shared" si="5"/>
        <v>900</v>
      </c>
      <c r="L59" s="1"/>
      <c r="M59" s="1"/>
      <c r="N59" s="96">
        <f t="shared" ref="N59:BI59" si="68">IF($F59=0,0, IF(AND(N$1&gt;=$G59,$G59&lt;&gt;0),0,IF(N$1&gt;=$F59,$E59/12,0)))</f>
        <v>10000</v>
      </c>
      <c r="O59" s="96">
        <f t="shared" si="68"/>
        <v>10000</v>
      </c>
      <c r="P59" s="96">
        <f t="shared" si="68"/>
        <v>10000</v>
      </c>
      <c r="Q59" s="96">
        <f t="shared" si="68"/>
        <v>10000</v>
      </c>
      <c r="R59" s="96">
        <f t="shared" si="68"/>
        <v>10000</v>
      </c>
      <c r="S59" s="96">
        <f t="shared" si="68"/>
        <v>10000</v>
      </c>
      <c r="T59" s="96">
        <f t="shared" si="68"/>
        <v>10000</v>
      </c>
      <c r="U59" s="96">
        <f t="shared" si="68"/>
        <v>10000</v>
      </c>
      <c r="V59" s="96">
        <f t="shared" si="68"/>
        <v>10000</v>
      </c>
      <c r="W59" s="96">
        <f t="shared" si="68"/>
        <v>10000</v>
      </c>
      <c r="X59" s="96">
        <f t="shared" si="68"/>
        <v>10000</v>
      </c>
      <c r="Y59" s="96">
        <f t="shared" si="68"/>
        <v>10000</v>
      </c>
      <c r="Z59" s="96">
        <f t="shared" si="68"/>
        <v>10000</v>
      </c>
      <c r="AA59" s="96">
        <f t="shared" si="68"/>
        <v>10000</v>
      </c>
      <c r="AB59" s="96">
        <f t="shared" si="68"/>
        <v>10000</v>
      </c>
      <c r="AC59" s="96">
        <f t="shared" si="68"/>
        <v>10000</v>
      </c>
      <c r="AD59" s="96">
        <f t="shared" si="68"/>
        <v>10000</v>
      </c>
      <c r="AE59" s="96">
        <f t="shared" si="68"/>
        <v>10000</v>
      </c>
      <c r="AF59" s="96">
        <f t="shared" si="68"/>
        <v>10000</v>
      </c>
      <c r="AG59" s="96">
        <f t="shared" si="68"/>
        <v>10000</v>
      </c>
      <c r="AH59" s="96">
        <f t="shared" si="68"/>
        <v>10000</v>
      </c>
      <c r="AI59" s="96">
        <f t="shared" si="68"/>
        <v>10000</v>
      </c>
      <c r="AJ59" s="96">
        <f t="shared" si="68"/>
        <v>10000</v>
      </c>
      <c r="AK59" s="96">
        <f t="shared" si="68"/>
        <v>10000</v>
      </c>
      <c r="AL59" s="96">
        <f t="shared" si="68"/>
        <v>10000</v>
      </c>
      <c r="AM59" s="96">
        <f t="shared" si="68"/>
        <v>10000</v>
      </c>
      <c r="AN59" s="96">
        <f t="shared" si="68"/>
        <v>10000</v>
      </c>
      <c r="AO59" s="96">
        <f t="shared" si="68"/>
        <v>10000</v>
      </c>
      <c r="AP59" s="96">
        <f t="shared" si="68"/>
        <v>10000</v>
      </c>
      <c r="AQ59" s="96">
        <f t="shared" si="68"/>
        <v>10000</v>
      </c>
      <c r="AR59" s="96">
        <f t="shared" si="68"/>
        <v>10000</v>
      </c>
      <c r="AS59" s="96">
        <f t="shared" si="68"/>
        <v>10000</v>
      </c>
      <c r="AT59" s="96">
        <f t="shared" si="68"/>
        <v>10000</v>
      </c>
      <c r="AU59" s="96">
        <f t="shared" si="68"/>
        <v>10000</v>
      </c>
      <c r="AV59" s="96">
        <f t="shared" si="68"/>
        <v>10000</v>
      </c>
      <c r="AW59" s="96">
        <f t="shared" si="68"/>
        <v>10000</v>
      </c>
      <c r="AX59" s="96">
        <f t="shared" si="68"/>
        <v>10000</v>
      </c>
      <c r="AY59" s="96">
        <f t="shared" si="68"/>
        <v>10000</v>
      </c>
      <c r="AZ59" s="96">
        <f t="shared" si="68"/>
        <v>10000</v>
      </c>
      <c r="BA59" s="96">
        <f t="shared" si="68"/>
        <v>10000</v>
      </c>
      <c r="BB59" s="96">
        <f t="shared" si="68"/>
        <v>10000</v>
      </c>
      <c r="BC59" s="96">
        <f t="shared" si="68"/>
        <v>10000</v>
      </c>
      <c r="BD59" s="96">
        <f t="shared" si="68"/>
        <v>10000</v>
      </c>
      <c r="BE59" s="96">
        <f t="shared" si="68"/>
        <v>10000</v>
      </c>
      <c r="BF59" s="96">
        <f t="shared" si="68"/>
        <v>10000</v>
      </c>
      <c r="BG59" s="96">
        <f t="shared" si="68"/>
        <v>10000</v>
      </c>
      <c r="BH59" s="96">
        <f t="shared" si="68"/>
        <v>10000</v>
      </c>
      <c r="BI59" s="96">
        <f t="shared" si="68"/>
        <v>10000</v>
      </c>
    </row>
    <row r="60" ht="15.75" customHeight="1">
      <c r="A60" s="1"/>
      <c r="B60" s="1" t="s">
        <v>218</v>
      </c>
      <c r="C60" s="1" t="s">
        <v>212</v>
      </c>
      <c r="D60" s="1" t="str">
        <f t="shared" si="61"/>
        <v>Support</v>
      </c>
      <c r="E60" s="143">
        <v>62400.0</v>
      </c>
      <c r="F60" s="141">
        <v>43709.0</v>
      </c>
      <c r="G60" s="141">
        <v>43951.0</v>
      </c>
      <c r="H60" s="142">
        <v>0.09</v>
      </c>
      <c r="I60" s="143">
        <f t="shared" si="62"/>
        <v>208</v>
      </c>
      <c r="J60" s="143">
        <v>500.0</v>
      </c>
      <c r="K60" s="96">
        <f t="shared" si="5"/>
        <v>708</v>
      </c>
      <c r="L60" s="1"/>
      <c r="M60" s="1"/>
      <c r="N60" s="96">
        <f t="shared" ref="N60:BI60" si="69">IF($F60=0,0, IF(AND(N$1&gt;=$G60,$G60&lt;&gt;0),0,IF(N$1&gt;=$F60,$E60/12,0)))</f>
        <v>0</v>
      </c>
      <c r="O60" s="96">
        <f t="shared" si="69"/>
        <v>0</v>
      </c>
      <c r="P60" s="96">
        <f t="shared" si="69"/>
        <v>0</v>
      </c>
      <c r="Q60" s="96">
        <f t="shared" si="69"/>
        <v>0</v>
      </c>
      <c r="R60" s="96">
        <f t="shared" si="69"/>
        <v>0</v>
      </c>
      <c r="S60" s="96">
        <f t="shared" si="69"/>
        <v>0</v>
      </c>
      <c r="T60" s="96">
        <f t="shared" si="69"/>
        <v>0</v>
      </c>
      <c r="U60" s="96">
        <f t="shared" si="69"/>
        <v>0</v>
      </c>
      <c r="V60" s="96">
        <f t="shared" si="69"/>
        <v>0</v>
      </c>
      <c r="W60" s="96">
        <f t="shared" si="69"/>
        <v>0</v>
      </c>
      <c r="X60" s="96">
        <f t="shared" si="69"/>
        <v>0</v>
      </c>
      <c r="Y60" s="96">
        <f t="shared" si="69"/>
        <v>0</v>
      </c>
      <c r="Z60" s="96">
        <f t="shared" si="69"/>
        <v>0</v>
      </c>
      <c r="AA60" s="96">
        <f t="shared" si="69"/>
        <v>0</v>
      </c>
      <c r="AB60" s="96">
        <f t="shared" si="69"/>
        <v>0</v>
      </c>
      <c r="AC60" s="96">
        <f t="shared" si="69"/>
        <v>0</v>
      </c>
      <c r="AD60" s="96">
        <f t="shared" si="69"/>
        <v>0</v>
      </c>
      <c r="AE60" s="96">
        <f t="shared" si="69"/>
        <v>0</v>
      </c>
      <c r="AF60" s="96">
        <f t="shared" si="69"/>
        <v>0</v>
      </c>
      <c r="AG60" s="96">
        <f t="shared" si="69"/>
        <v>0</v>
      </c>
      <c r="AH60" s="96">
        <f t="shared" si="69"/>
        <v>0</v>
      </c>
      <c r="AI60" s="96">
        <f t="shared" si="69"/>
        <v>0</v>
      </c>
      <c r="AJ60" s="96">
        <f t="shared" si="69"/>
        <v>0</v>
      </c>
      <c r="AK60" s="96">
        <f t="shared" si="69"/>
        <v>0</v>
      </c>
      <c r="AL60" s="96">
        <f t="shared" si="69"/>
        <v>0</v>
      </c>
      <c r="AM60" s="96">
        <f t="shared" si="69"/>
        <v>0</v>
      </c>
      <c r="AN60" s="96">
        <f t="shared" si="69"/>
        <v>0</v>
      </c>
      <c r="AO60" s="96">
        <f t="shared" si="69"/>
        <v>0</v>
      </c>
      <c r="AP60" s="96">
        <f t="shared" si="69"/>
        <v>0</v>
      </c>
      <c r="AQ60" s="96">
        <f t="shared" si="69"/>
        <v>0</v>
      </c>
      <c r="AR60" s="96">
        <f t="shared" si="69"/>
        <v>0</v>
      </c>
      <c r="AS60" s="96">
        <f t="shared" si="69"/>
        <v>0</v>
      </c>
      <c r="AT60" s="96">
        <f t="shared" si="69"/>
        <v>0</v>
      </c>
      <c r="AU60" s="96">
        <f t="shared" si="69"/>
        <v>0</v>
      </c>
      <c r="AV60" s="96">
        <f t="shared" si="69"/>
        <v>0</v>
      </c>
      <c r="AW60" s="96">
        <f t="shared" si="69"/>
        <v>0</v>
      </c>
      <c r="AX60" s="96">
        <f t="shared" si="69"/>
        <v>0</v>
      </c>
      <c r="AY60" s="96">
        <f t="shared" si="69"/>
        <v>0</v>
      </c>
      <c r="AZ60" s="96">
        <f t="shared" si="69"/>
        <v>0</v>
      </c>
      <c r="BA60" s="96">
        <f t="shared" si="69"/>
        <v>0</v>
      </c>
      <c r="BB60" s="96">
        <f t="shared" si="69"/>
        <v>0</v>
      </c>
      <c r="BC60" s="96">
        <f t="shared" si="69"/>
        <v>0</v>
      </c>
      <c r="BD60" s="96">
        <f t="shared" si="69"/>
        <v>0</v>
      </c>
      <c r="BE60" s="96">
        <f t="shared" si="69"/>
        <v>0</v>
      </c>
      <c r="BF60" s="96">
        <f t="shared" si="69"/>
        <v>0</v>
      </c>
      <c r="BG60" s="96">
        <f t="shared" si="69"/>
        <v>0</v>
      </c>
      <c r="BH60" s="96">
        <f t="shared" si="69"/>
        <v>0</v>
      </c>
      <c r="BI60" s="96">
        <f t="shared" si="69"/>
        <v>0</v>
      </c>
    </row>
    <row r="61" ht="15.75" customHeight="1">
      <c r="A61" s="1"/>
      <c r="B61" s="1" t="s">
        <v>219</v>
      </c>
      <c r="C61" s="1" t="s">
        <v>212</v>
      </c>
      <c r="D61" s="1" t="str">
        <f t="shared" si="61"/>
        <v>Support</v>
      </c>
      <c r="E61" s="143">
        <v>80000.0</v>
      </c>
      <c r="F61" s="141">
        <v>43800.0</v>
      </c>
      <c r="G61" s="141">
        <v>43951.0</v>
      </c>
      <c r="H61" s="142">
        <v>0.09</v>
      </c>
      <c r="I61" s="143">
        <f t="shared" si="62"/>
        <v>266.6666667</v>
      </c>
      <c r="J61" s="143">
        <v>500.0</v>
      </c>
      <c r="K61" s="96">
        <f t="shared" si="5"/>
        <v>766.6666667</v>
      </c>
      <c r="L61" s="1"/>
      <c r="M61" s="1"/>
      <c r="N61" s="96">
        <f t="shared" ref="N61:BI61" si="70">IF($F61=0,0, IF(AND(N$1&gt;=$G61,$G61&lt;&gt;0),0,IF(N$1&gt;=$F61,$E61/12,0)))</f>
        <v>0</v>
      </c>
      <c r="O61" s="96">
        <f t="shared" si="70"/>
        <v>0</v>
      </c>
      <c r="P61" s="96">
        <f t="shared" si="70"/>
        <v>0</v>
      </c>
      <c r="Q61" s="96">
        <f t="shared" si="70"/>
        <v>0</v>
      </c>
      <c r="R61" s="96">
        <f t="shared" si="70"/>
        <v>0</v>
      </c>
      <c r="S61" s="96">
        <f t="shared" si="70"/>
        <v>0</v>
      </c>
      <c r="T61" s="96">
        <f t="shared" si="70"/>
        <v>0</v>
      </c>
      <c r="U61" s="96">
        <f t="shared" si="70"/>
        <v>0</v>
      </c>
      <c r="V61" s="96">
        <f t="shared" si="70"/>
        <v>0</v>
      </c>
      <c r="W61" s="96">
        <f t="shared" si="70"/>
        <v>0</v>
      </c>
      <c r="X61" s="96">
        <f t="shared" si="70"/>
        <v>0</v>
      </c>
      <c r="Y61" s="96">
        <f t="shared" si="70"/>
        <v>0</v>
      </c>
      <c r="Z61" s="96">
        <f t="shared" si="70"/>
        <v>0</v>
      </c>
      <c r="AA61" s="96">
        <f t="shared" si="70"/>
        <v>0</v>
      </c>
      <c r="AB61" s="96">
        <f t="shared" si="70"/>
        <v>0</v>
      </c>
      <c r="AC61" s="96">
        <f t="shared" si="70"/>
        <v>0</v>
      </c>
      <c r="AD61" s="96">
        <f t="shared" si="70"/>
        <v>0</v>
      </c>
      <c r="AE61" s="96">
        <f t="shared" si="70"/>
        <v>0</v>
      </c>
      <c r="AF61" s="96">
        <f t="shared" si="70"/>
        <v>0</v>
      </c>
      <c r="AG61" s="96">
        <f t="shared" si="70"/>
        <v>0</v>
      </c>
      <c r="AH61" s="96">
        <f t="shared" si="70"/>
        <v>0</v>
      </c>
      <c r="AI61" s="96">
        <f t="shared" si="70"/>
        <v>0</v>
      </c>
      <c r="AJ61" s="96">
        <f t="shared" si="70"/>
        <v>0</v>
      </c>
      <c r="AK61" s="96">
        <f t="shared" si="70"/>
        <v>0</v>
      </c>
      <c r="AL61" s="96">
        <f t="shared" si="70"/>
        <v>0</v>
      </c>
      <c r="AM61" s="96">
        <f t="shared" si="70"/>
        <v>0</v>
      </c>
      <c r="AN61" s="96">
        <f t="shared" si="70"/>
        <v>0</v>
      </c>
      <c r="AO61" s="96">
        <f t="shared" si="70"/>
        <v>0</v>
      </c>
      <c r="AP61" s="96">
        <f t="shared" si="70"/>
        <v>0</v>
      </c>
      <c r="AQ61" s="96">
        <f t="shared" si="70"/>
        <v>0</v>
      </c>
      <c r="AR61" s="96">
        <f t="shared" si="70"/>
        <v>0</v>
      </c>
      <c r="AS61" s="96">
        <f t="shared" si="70"/>
        <v>0</v>
      </c>
      <c r="AT61" s="96">
        <f t="shared" si="70"/>
        <v>0</v>
      </c>
      <c r="AU61" s="96">
        <f t="shared" si="70"/>
        <v>0</v>
      </c>
      <c r="AV61" s="96">
        <f t="shared" si="70"/>
        <v>0</v>
      </c>
      <c r="AW61" s="96">
        <f t="shared" si="70"/>
        <v>0</v>
      </c>
      <c r="AX61" s="96">
        <f t="shared" si="70"/>
        <v>0</v>
      </c>
      <c r="AY61" s="96">
        <f t="shared" si="70"/>
        <v>0</v>
      </c>
      <c r="AZ61" s="96">
        <f t="shared" si="70"/>
        <v>0</v>
      </c>
      <c r="BA61" s="96">
        <f t="shared" si="70"/>
        <v>0</v>
      </c>
      <c r="BB61" s="96">
        <f t="shared" si="70"/>
        <v>0</v>
      </c>
      <c r="BC61" s="96">
        <f t="shared" si="70"/>
        <v>0</v>
      </c>
      <c r="BD61" s="96">
        <f t="shared" si="70"/>
        <v>0</v>
      </c>
      <c r="BE61" s="96">
        <f t="shared" si="70"/>
        <v>0</v>
      </c>
      <c r="BF61" s="96">
        <f t="shared" si="70"/>
        <v>0</v>
      </c>
      <c r="BG61" s="96">
        <f t="shared" si="70"/>
        <v>0</v>
      </c>
      <c r="BH61" s="96">
        <f t="shared" si="70"/>
        <v>0</v>
      </c>
      <c r="BI61" s="96">
        <f t="shared" si="70"/>
        <v>0</v>
      </c>
    </row>
    <row r="62" ht="15.75" customHeight="1">
      <c r="A62" s="1"/>
      <c r="B62" s="1" t="s">
        <v>220</v>
      </c>
      <c r="C62" s="1" t="s">
        <v>212</v>
      </c>
      <c r="D62" s="1" t="str">
        <f t="shared" si="61"/>
        <v>Support</v>
      </c>
      <c r="E62" s="143">
        <v>80000.0</v>
      </c>
      <c r="F62" s="144"/>
      <c r="G62" s="141"/>
      <c r="H62" s="142">
        <v>0.09</v>
      </c>
      <c r="I62" s="143">
        <f t="shared" si="62"/>
        <v>266.6666667</v>
      </c>
      <c r="J62" s="143">
        <v>500.0</v>
      </c>
      <c r="K62" s="96">
        <f t="shared" si="5"/>
        <v>766.6666667</v>
      </c>
      <c r="L62" s="1"/>
      <c r="M62" s="1"/>
      <c r="N62" s="96">
        <f t="shared" ref="N62:BI62" si="71">IF($F62=0,0, IF(AND(N$1&gt;=$G62,$G62&lt;&gt;0),0,IF(N$1&gt;=$F62,$E62/12,0)))</f>
        <v>0</v>
      </c>
      <c r="O62" s="96">
        <f t="shared" si="71"/>
        <v>0</v>
      </c>
      <c r="P62" s="96">
        <f t="shared" si="71"/>
        <v>0</v>
      </c>
      <c r="Q62" s="96">
        <f t="shared" si="71"/>
        <v>0</v>
      </c>
      <c r="R62" s="96">
        <f t="shared" si="71"/>
        <v>0</v>
      </c>
      <c r="S62" s="96">
        <f t="shared" si="71"/>
        <v>0</v>
      </c>
      <c r="T62" s="96">
        <f t="shared" si="71"/>
        <v>0</v>
      </c>
      <c r="U62" s="96">
        <f t="shared" si="71"/>
        <v>0</v>
      </c>
      <c r="V62" s="96">
        <f t="shared" si="71"/>
        <v>0</v>
      </c>
      <c r="W62" s="96">
        <f t="shared" si="71"/>
        <v>0</v>
      </c>
      <c r="X62" s="96">
        <f t="shared" si="71"/>
        <v>0</v>
      </c>
      <c r="Y62" s="96">
        <f t="shared" si="71"/>
        <v>0</v>
      </c>
      <c r="Z62" s="96">
        <f t="shared" si="71"/>
        <v>0</v>
      </c>
      <c r="AA62" s="96">
        <f t="shared" si="71"/>
        <v>0</v>
      </c>
      <c r="AB62" s="96">
        <f t="shared" si="71"/>
        <v>0</v>
      </c>
      <c r="AC62" s="96">
        <f t="shared" si="71"/>
        <v>0</v>
      </c>
      <c r="AD62" s="96">
        <f t="shared" si="71"/>
        <v>0</v>
      </c>
      <c r="AE62" s="96">
        <f t="shared" si="71"/>
        <v>0</v>
      </c>
      <c r="AF62" s="96">
        <f t="shared" si="71"/>
        <v>0</v>
      </c>
      <c r="AG62" s="96">
        <f t="shared" si="71"/>
        <v>0</v>
      </c>
      <c r="AH62" s="96">
        <f t="shared" si="71"/>
        <v>0</v>
      </c>
      <c r="AI62" s="96">
        <f t="shared" si="71"/>
        <v>0</v>
      </c>
      <c r="AJ62" s="96">
        <f t="shared" si="71"/>
        <v>0</v>
      </c>
      <c r="AK62" s="96">
        <f t="shared" si="71"/>
        <v>0</v>
      </c>
      <c r="AL62" s="96">
        <f t="shared" si="71"/>
        <v>0</v>
      </c>
      <c r="AM62" s="96">
        <f t="shared" si="71"/>
        <v>0</v>
      </c>
      <c r="AN62" s="96">
        <f t="shared" si="71"/>
        <v>0</v>
      </c>
      <c r="AO62" s="96">
        <f t="shared" si="71"/>
        <v>0</v>
      </c>
      <c r="AP62" s="96">
        <f t="shared" si="71"/>
        <v>0</v>
      </c>
      <c r="AQ62" s="96">
        <f t="shared" si="71"/>
        <v>0</v>
      </c>
      <c r="AR62" s="96">
        <f t="shared" si="71"/>
        <v>0</v>
      </c>
      <c r="AS62" s="96">
        <f t="shared" si="71"/>
        <v>0</v>
      </c>
      <c r="AT62" s="96">
        <f t="shared" si="71"/>
        <v>0</v>
      </c>
      <c r="AU62" s="96">
        <f t="shared" si="71"/>
        <v>0</v>
      </c>
      <c r="AV62" s="96">
        <f t="shared" si="71"/>
        <v>0</v>
      </c>
      <c r="AW62" s="96">
        <f t="shared" si="71"/>
        <v>0</v>
      </c>
      <c r="AX62" s="96">
        <f t="shared" si="71"/>
        <v>0</v>
      </c>
      <c r="AY62" s="96">
        <f t="shared" si="71"/>
        <v>0</v>
      </c>
      <c r="AZ62" s="96">
        <f t="shared" si="71"/>
        <v>0</v>
      </c>
      <c r="BA62" s="96">
        <f t="shared" si="71"/>
        <v>0</v>
      </c>
      <c r="BB62" s="96">
        <f t="shared" si="71"/>
        <v>0</v>
      </c>
      <c r="BC62" s="96">
        <f t="shared" si="71"/>
        <v>0</v>
      </c>
      <c r="BD62" s="96">
        <f t="shared" si="71"/>
        <v>0</v>
      </c>
      <c r="BE62" s="96">
        <f t="shared" si="71"/>
        <v>0</v>
      </c>
      <c r="BF62" s="96">
        <f t="shared" si="71"/>
        <v>0</v>
      </c>
      <c r="BG62" s="96">
        <f t="shared" si="71"/>
        <v>0</v>
      </c>
      <c r="BH62" s="96">
        <f t="shared" si="71"/>
        <v>0</v>
      </c>
      <c r="BI62" s="96">
        <f t="shared" si="71"/>
        <v>0</v>
      </c>
    </row>
    <row r="63" ht="15.75" customHeight="1">
      <c r="A63" s="1"/>
      <c r="B63" s="1" t="s">
        <v>221</v>
      </c>
      <c r="C63" s="1" t="s">
        <v>212</v>
      </c>
      <c r="D63" s="1" t="str">
        <f t="shared" si="61"/>
        <v>Support</v>
      </c>
      <c r="E63" s="143">
        <v>85000.0</v>
      </c>
      <c r="F63" s="144"/>
      <c r="G63" s="141"/>
      <c r="H63" s="142">
        <v>0.09</v>
      </c>
      <c r="I63" s="143">
        <f t="shared" si="62"/>
        <v>283.3333333</v>
      </c>
      <c r="J63" s="143">
        <v>500.0</v>
      </c>
      <c r="K63" s="96">
        <f t="shared" si="5"/>
        <v>783.3333333</v>
      </c>
      <c r="L63" s="1"/>
      <c r="M63" s="1"/>
      <c r="N63" s="96">
        <f t="shared" ref="N63:BI63" si="72">IF($F63=0,0, IF(AND(N$1&gt;=$G63,$G63&lt;&gt;0),0,IF(N$1&gt;=$F63,$E63/12,0)))</f>
        <v>0</v>
      </c>
      <c r="O63" s="96">
        <f t="shared" si="72"/>
        <v>0</v>
      </c>
      <c r="P63" s="96">
        <f t="shared" si="72"/>
        <v>0</v>
      </c>
      <c r="Q63" s="96">
        <f t="shared" si="72"/>
        <v>0</v>
      </c>
      <c r="R63" s="96">
        <f t="shared" si="72"/>
        <v>0</v>
      </c>
      <c r="S63" s="96">
        <f t="shared" si="72"/>
        <v>0</v>
      </c>
      <c r="T63" s="96">
        <f t="shared" si="72"/>
        <v>0</v>
      </c>
      <c r="U63" s="96">
        <f t="shared" si="72"/>
        <v>0</v>
      </c>
      <c r="V63" s="96">
        <f t="shared" si="72"/>
        <v>0</v>
      </c>
      <c r="W63" s="96">
        <f t="shared" si="72"/>
        <v>0</v>
      </c>
      <c r="X63" s="96">
        <f t="shared" si="72"/>
        <v>0</v>
      </c>
      <c r="Y63" s="96">
        <f t="shared" si="72"/>
        <v>0</v>
      </c>
      <c r="Z63" s="96">
        <f t="shared" si="72"/>
        <v>0</v>
      </c>
      <c r="AA63" s="96">
        <f t="shared" si="72"/>
        <v>0</v>
      </c>
      <c r="AB63" s="96">
        <f t="shared" si="72"/>
        <v>0</v>
      </c>
      <c r="AC63" s="96">
        <f t="shared" si="72"/>
        <v>0</v>
      </c>
      <c r="AD63" s="96">
        <f t="shared" si="72"/>
        <v>0</v>
      </c>
      <c r="AE63" s="96">
        <f t="shared" si="72"/>
        <v>0</v>
      </c>
      <c r="AF63" s="96">
        <f t="shared" si="72"/>
        <v>0</v>
      </c>
      <c r="AG63" s="96">
        <f t="shared" si="72"/>
        <v>0</v>
      </c>
      <c r="AH63" s="96">
        <f t="shared" si="72"/>
        <v>0</v>
      </c>
      <c r="AI63" s="96">
        <f t="shared" si="72"/>
        <v>0</v>
      </c>
      <c r="AJ63" s="96">
        <f t="shared" si="72"/>
        <v>0</v>
      </c>
      <c r="AK63" s="96">
        <f t="shared" si="72"/>
        <v>0</v>
      </c>
      <c r="AL63" s="96">
        <f t="shared" si="72"/>
        <v>0</v>
      </c>
      <c r="AM63" s="96">
        <f t="shared" si="72"/>
        <v>0</v>
      </c>
      <c r="AN63" s="96">
        <f t="shared" si="72"/>
        <v>0</v>
      </c>
      <c r="AO63" s="96">
        <f t="shared" si="72"/>
        <v>0</v>
      </c>
      <c r="AP63" s="96">
        <f t="shared" si="72"/>
        <v>0</v>
      </c>
      <c r="AQ63" s="96">
        <f t="shared" si="72"/>
        <v>0</v>
      </c>
      <c r="AR63" s="96">
        <f t="shared" si="72"/>
        <v>0</v>
      </c>
      <c r="AS63" s="96">
        <f t="shared" si="72"/>
        <v>0</v>
      </c>
      <c r="AT63" s="96">
        <f t="shared" si="72"/>
        <v>0</v>
      </c>
      <c r="AU63" s="96">
        <f t="shared" si="72"/>
        <v>0</v>
      </c>
      <c r="AV63" s="96">
        <f t="shared" si="72"/>
        <v>0</v>
      </c>
      <c r="AW63" s="96">
        <f t="shared" si="72"/>
        <v>0</v>
      </c>
      <c r="AX63" s="96">
        <f t="shared" si="72"/>
        <v>0</v>
      </c>
      <c r="AY63" s="96">
        <f t="shared" si="72"/>
        <v>0</v>
      </c>
      <c r="AZ63" s="96">
        <f t="shared" si="72"/>
        <v>0</v>
      </c>
      <c r="BA63" s="96">
        <f t="shared" si="72"/>
        <v>0</v>
      </c>
      <c r="BB63" s="96">
        <f t="shared" si="72"/>
        <v>0</v>
      </c>
      <c r="BC63" s="96">
        <f t="shared" si="72"/>
        <v>0</v>
      </c>
      <c r="BD63" s="96">
        <f t="shared" si="72"/>
        <v>0</v>
      </c>
      <c r="BE63" s="96">
        <f t="shared" si="72"/>
        <v>0</v>
      </c>
      <c r="BF63" s="96">
        <f t="shared" si="72"/>
        <v>0</v>
      </c>
      <c r="BG63" s="96">
        <f t="shared" si="72"/>
        <v>0</v>
      </c>
      <c r="BH63" s="96">
        <f t="shared" si="72"/>
        <v>0</v>
      </c>
      <c r="BI63" s="96">
        <f t="shared" si="72"/>
        <v>0</v>
      </c>
    </row>
    <row r="64" ht="15.75" customHeight="1">
      <c r="A64" s="1"/>
      <c r="B64" s="1" t="s">
        <v>222</v>
      </c>
      <c r="C64" s="1" t="s">
        <v>212</v>
      </c>
      <c r="D64" s="1" t="str">
        <f t="shared" si="61"/>
        <v>Support</v>
      </c>
      <c r="E64" s="143">
        <v>80000.0</v>
      </c>
      <c r="F64" s="144"/>
      <c r="G64" s="141"/>
      <c r="H64" s="142">
        <v>0.09</v>
      </c>
      <c r="I64" s="143">
        <f t="shared" si="62"/>
        <v>266.6666667</v>
      </c>
      <c r="J64" s="143">
        <v>500.0</v>
      </c>
      <c r="K64" s="96">
        <f t="shared" si="5"/>
        <v>766.6666667</v>
      </c>
      <c r="L64" s="1"/>
      <c r="M64" s="1"/>
      <c r="N64" s="96">
        <f t="shared" ref="N64:BI64" si="73">IF($F64=0,0, IF(AND(N$1&gt;=$G64,$G64&lt;&gt;0),0,IF(N$1&gt;=$F64,$E64/12,0)))</f>
        <v>0</v>
      </c>
      <c r="O64" s="96">
        <f t="shared" si="73"/>
        <v>0</v>
      </c>
      <c r="P64" s="96">
        <f t="shared" si="73"/>
        <v>0</v>
      </c>
      <c r="Q64" s="96">
        <f t="shared" si="73"/>
        <v>0</v>
      </c>
      <c r="R64" s="96">
        <f t="shared" si="73"/>
        <v>0</v>
      </c>
      <c r="S64" s="96">
        <f t="shared" si="73"/>
        <v>0</v>
      </c>
      <c r="T64" s="96">
        <f t="shared" si="73"/>
        <v>0</v>
      </c>
      <c r="U64" s="96">
        <f t="shared" si="73"/>
        <v>0</v>
      </c>
      <c r="V64" s="96">
        <f t="shared" si="73"/>
        <v>0</v>
      </c>
      <c r="W64" s="96">
        <f t="shared" si="73"/>
        <v>0</v>
      </c>
      <c r="X64" s="96">
        <f t="shared" si="73"/>
        <v>0</v>
      </c>
      <c r="Y64" s="96">
        <f t="shared" si="73"/>
        <v>0</v>
      </c>
      <c r="Z64" s="96">
        <f t="shared" si="73"/>
        <v>0</v>
      </c>
      <c r="AA64" s="96">
        <f t="shared" si="73"/>
        <v>0</v>
      </c>
      <c r="AB64" s="96">
        <f t="shared" si="73"/>
        <v>0</v>
      </c>
      <c r="AC64" s="96">
        <f t="shared" si="73"/>
        <v>0</v>
      </c>
      <c r="AD64" s="96">
        <f t="shared" si="73"/>
        <v>0</v>
      </c>
      <c r="AE64" s="96">
        <f t="shared" si="73"/>
        <v>0</v>
      </c>
      <c r="AF64" s="96">
        <f t="shared" si="73"/>
        <v>0</v>
      </c>
      <c r="AG64" s="96">
        <f t="shared" si="73"/>
        <v>0</v>
      </c>
      <c r="AH64" s="96">
        <f t="shared" si="73"/>
        <v>0</v>
      </c>
      <c r="AI64" s="96">
        <f t="shared" si="73"/>
        <v>0</v>
      </c>
      <c r="AJ64" s="96">
        <f t="shared" si="73"/>
        <v>0</v>
      </c>
      <c r="AK64" s="96">
        <f t="shared" si="73"/>
        <v>0</v>
      </c>
      <c r="AL64" s="96">
        <f t="shared" si="73"/>
        <v>0</v>
      </c>
      <c r="AM64" s="96">
        <f t="shared" si="73"/>
        <v>0</v>
      </c>
      <c r="AN64" s="96">
        <f t="shared" si="73"/>
        <v>0</v>
      </c>
      <c r="AO64" s="96">
        <f t="shared" si="73"/>
        <v>0</v>
      </c>
      <c r="AP64" s="96">
        <f t="shared" si="73"/>
        <v>0</v>
      </c>
      <c r="AQ64" s="96">
        <f t="shared" si="73"/>
        <v>0</v>
      </c>
      <c r="AR64" s="96">
        <f t="shared" si="73"/>
        <v>0</v>
      </c>
      <c r="AS64" s="96">
        <f t="shared" si="73"/>
        <v>0</v>
      </c>
      <c r="AT64" s="96">
        <f t="shared" si="73"/>
        <v>0</v>
      </c>
      <c r="AU64" s="96">
        <f t="shared" si="73"/>
        <v>0</v>
      </c>
      <c r="AV64" s="96">
        <f t="shared" si="73"/>
        <v>0</v>
      </c>
      <c r="AW64" s="96">
        <f t="shared" si="73"/>
        <v>0</v>
      </c>
      <c r="AX64" s="96">
        <f t="shared" si="73"/>
        <v>0</v>
      </c>
      <c r="AY64" s="96">
        <f t="shared" si="73"/>
        <v>0</v>
      </c>
      <c r="AZ64" s="96">
        <f t="shared" si="73"/>
        <v>0</v>
      </c>
      <c r="BA64" s="96">
        <f t="shared" si="73"/>
        <v>0</v>
      </c>
      <c r="BB64" s="96">
        <f t="shared" si="73"/>
        <v>0</v>
      </c>
      <c r="BC64" s="96">
        <f t="shared" si="73"/>
        <v>0</v>
      </c>
      <c r="BD64" s="96">
        <f t="shared" si="73"/>
        <v>0</v>
      </c>
      <c r="BE64" s="96">
        <f t="shared" si="73"/>
        <v>0</v>
      </c>
      <c r="BF64" s="96">
        <f t="shared" si="73"/>
        <v>0</v>
      </c>
      <c r="BG64" s="96">
        <f t="shared" si="73"/>
        <v>0</v>
      </c>
      <c r="BH64" s="96">
        <f t="shared" si="73"/>
        <v>0</v>
      </c>
      <c r="BI64" s="96">
        <f t="shared" si="73"/>
        <v>0</v>
      </c>
    </row>
    <row r="65" ht="15.75" customHeight="1">
      <c r="A65" s="21" t="s">
        <v>223</v>
      </c>
      <c r="B65" s="22"/>
      <c r="C65" s="22"/>
      <c r="D65" s="22"/>
      <c r="E65" s="22"/>
      <c r="F65" s="22"/>
      <c r="G65" s="22"/>
      <c r="H65" s="22"/>
      <c r="I65" s="22"/>
      <c r="J65" s="22"/>
      <c r="K65" s="22"/>
      <c r="L65" s="22"/>
      <c r="M65" s="22"/>
      <c r="N65" s="157">
        <f t="shared" ref="N65:BI65" si="74">SUM(N4:N64)</f>
        <v>292000</v>
      </c>
      <c r="O65" s="157">
        <f t="shared" si="74"/>
        <v>292000</v>
      </c>
      <c r="P65" s="157">
        <f t="shared" si="74"/>
        <v>292000</v>
      </c>
      <c r="Q65" s="157">
        <f t="shared" si="74"/>
        <v>292000</v>
      </c>
      <c r="R65" s="157">
        <f t="shared" si="74"/>
        <v>292000</v>
      </c>
      <c r="S65" s="157">
        <f t="shared" si="74"/>
        <v>292000</v>
      </c>
      <c r="T65" s="157">
        <f t="shared" si="74"/>
        <v>292000</v>
      </c>
      <c r="U65" s="157">
        <f t="shared" si="74"/>
        <v>292000</v>
      </c>
      <c r="V65" s="157">
        <f t="shared" si="74"/>
        <v>292000</v>
      </c>
      <c r="W65" s="157">
        <f t="shared" si="74"/>
        <v>292000</v>
      </c>
      <c r="X65" s="157">
        <f t="shared" si="74"/>
        <v>292000</v>
      </c>
      <c r="Y65" s="157">
        <f t="shared" si="74"/>
        <v>292000</v>
      </c>
      <c r="Z65" s="157">
        <f t="shared" si="74"/>
        <v>292000</v>
      </c>
      <c r="AA65" s="157">
        <f t="shared" si="74"/>
        <v>292000</v>
      </c>
      <c r="AB65" s="157">
        <f t="shared" si="74"/>
        <v>292000</v>
      </c>
      <c r="AC65" s="157">
        <f t="shared" si="74"/>
        <v>292000</v>
      </c>
      <c r="AD65" s="157">
        <f t="shared" si="74"/>
        <v>292000</v>
      </c>
      <c r="AE65" s="157">
        <f t="shared" si="74"/>
        <v>292000</v>
      </c>
      <c r="AF65" s="157">
        <f t="shared" si="74"/>
        <v>292000</v>
      </c>
      <c r="AG65" s="157">
        <f t="shared" si="74"/>
        <v>292000</v>
      </c>
      <c r="AH65" s="157">
        <f t="shared" si="74"/>
        <v>292000</v>
      </c>
      <c r="AI65" s="157">
        <f t="shared" si="74"/>
        <v>292000</v>
      </c>
      <c r="AJ65" s="157">
        <f t="shared" si="74"/>
        <v>292000</v>
      </c>
      <c r="AK65" s="157">
        <f t="shared" si="74"/>
        <v>292000</v>
      </c>
      <c r="AL65" s="157">
        <f t="shared" si="74"/>
        <v>292000</v>
      </c>
      <c r="AM65" s="157">
        <f t="shared" si="74"/>
        <v>292000</v>
      </c>
      <c r="AN65" s="157">
        <f t="shared" si="74"/>
        <v>292000</v>
      </c>
      <c r="AO65" s="157">
        <f t="shared" si="74"/>
        <v>292000</v>
      </c>
      <c r="AP65" s="157">
        <f t="shared" si="74"/>
        <v>292000</v>
      </c>
      <c r="AQ65" s="157">
        <f t="shared" si="74"/>
        <v>292000</v>
      </c>
      <c r="AR65" s="157">
        <f t="shared" si="74"/>
        <v>292000</v>
      </c>
      <c r="AS65" s="157">
        <f t="shared" si="74"/>
        <v>292000</v>
      </c>
      <c r="AT65" s="157">
        <f t="shared" si="74"/>
        <v>292000</v>
      </c>
      <c r="AU65" s="157">
        <f t="shared" si="74"/>
        <v>292000</v>
      </c>
      <c r="AV65" s="157">
        <f t="shared" si="74"/>
        <v>292000</v>
      </c>
      <c r="AW65" s="157">
        <f t="shared" si="74"/>
        <v>292000</v>
      </c>
      <c r="AX65" s="157">
        <f t="shared" si="74"/>
        <v>292000</v>
      </c>
      <c r="AY65" s="157">
        <f t="shared" si="74"/>
        <v>292000</v>
      </c>
      <c r="AZ65" s="157">
        <f t="shared" si="74"/>
        <v>292000</v>
      </c>
      <c r="BA65" s="157">
        <f t="shared" si="74"/>
        <v>292000</v>
      </c>
      <c r="BB65" s="157">
        <f t="shared" si="74"/>
        <v>292000</v>
      </c>
      <c r="BC65" s="157">
        <f t="shared" si="74"/>
        <v>292000</v>
      </c>
      <c r="BD65" s="157">
        <f t="shared" si="74"/>
        <v>292000</v>
      </c>
      <c r="BE65" s="157">
        <f t="shared" si="74"/>
        <v>292000</v>
      </c>
      <c r="BF65" s="157">
        <f t="shared" si="74"/>
        <v>292000</v>
      </c>
      <c r="BG65" s="157">
        <f t="shared" si="74"/>
        <v>292000</v>
      </c>
      <c r="BH65" s="157">
        <f t="shared" si="74"/>
        <v>292000</v>
      </c>
      <c r="BI65" s="157">
        <f t="shared" si="74"/>
        <v>292000</v>
      </c>
    </row>
    <row r="66" ht="15.75" customHeight="1">
      <c r="D66" s="30"/>
      <c r="E66" s="30"/>
      <c r="F66" s="30"/>
      <c r="G66" s="30"/>
      <c r="H66" s="30"/>
      <c r="I66" s="30"/>
      <c r="J66" s="30"/>
      <c r="K66" s="30"/>
    </row>
    <row r="67" ht="15.75" customHeight="1">
      <c r="A67" s="7" t="s">
        <v>224</v>
      </c>
      <c r="D67" s="30"/>
      <c r="E67" s="30"/>
      <c r="F67" s="30"/>
      <c r="G67" s="30"/>
      <c r="H67" s="30"/>
      <c r="I67" s="30"/>
      <c r="J67" s="30"/>
      <c r="K67" s="30"/>
    </row>
    <row r="68" ht="15.75" customHeight="1">
      <c r="B68" s="1" t="s">
        <v>77</v>
      </c>
      <c r="D68" s="30"/>
      <c r="E68" s="30"/>
      <c r="F68" s="30"/>
      <c r="G68" s="30"/>
      <c r="H68" s="30"/>
      <c r="I68" s="30"/>
      <c r="J68" s="30"/>
      <c r="K68" s="30"/>
      <c r="N68" s="76">
        <f t="shared" ref="N68:BI68" si="75">SUMIFS(N$4:N$64,$D$4:$D$64,$B68,$H$4:$H$64,"&gt;"&amp;0)</f>
        <v>16875</v>
      </c>
      <c r="O68" s="76">
        <f t="shared" si="75"/>
        <v>16875</v>
      </c>
      <c r="P68" s="76">
        <f t="shared" si="75"/>
        <v>16875</v>
      </c>
      <c r="Q68" s="76">
        <f t="shared" si="75"/>
        <v>16875</v>
      </c>
      <c r="R68" s="76">
        <f t="shared" si="75"/>
        <v>16875</v>
      </c>
      <c r="S68" s="76">
        <f t="shared" si="75"/>
        <v>16875</v>
      </c>
      <c r="T68" s="76">
        <f t="shared" si="75"/>
        <v>16875</v>
      </c>
      <c r="U68" s="76">
        <f t="shared" si="75"/>
        <v>16875</v>
      </c>
      <c r="V68" s="76">
        <f t="shared" si="75"/>
        <v>16875</v>
      </c>
      <c r="W68" s="76">
        <f t="shared" si="75"/>
        <v>16875</v>
      </c>
      <c r="X68" s="76">
        <f t="shared" si="75"/>
        <v>16875</v>
      </c>
      <c r="Y68" s="76">
        <f t="shared" si="75"/>
        <v>16875</v>
      </c>
      <c r="Z68" s="76">
        <f t="shared" si="75"/>
        <v>16875</v>
      </c>
      <c r="AA68" s="76">
        <f t="shared" si="75"/>
        <v>16875</v>
      </c>
      <c r="AB68" s="76">
        <f t="shared" si="75"/>
        <v>16875</v>
      </c>
      <c r="AC68" s="76">
        <f t="shared" si="75"/>
        <v>16875</v>
      </c>
      <c r="AD68" s="76">
        <f t="shared" si="75"/>
        <v>16875</v>
      </c>
      <c r="AE68" s="76">
        <f t="shared" si="75"/>
        <v>16875</v>
      </c>
      <c r="AF68" s="76">
        <f t="shared" si="75"/>
        <v>16875</v>
      </c>
      <c r="AG68" s="76">
        <f t="shared" si="75"/>
        <v>16875</v>
      </c>
      <c r="AH68" s="76">
        <f t="shared" si="75"/>
        <v>16875</v>
      </c>
      <c r="AI68" s="76">
        <f t="shared" si="75"/>
        <v>16875</v>
      </c>
      <c r="AJ68" s="76">
        <f t="shared" si="75"/>
        <v>16875</v>
      </c>
      <c r="AK68" s="76">
        <f t="shared" si="75"/>
        <v>16875</v>
      </c>
      <c r="AL68" s="76">
        <f t="shared" si="75"/>
        <v>16875</v>
      </c>
      <c r="AM68" s="76">
        <f t="shared" si="75"/>
        <v>16875</v>
      </c>
      <c r="AN68" s="76">
        <f t="shared" si="75"/>
        <v>16875</v>
      </c>
      <c r="AO68" s="76">
        <f t="shared" si="75"/>
        <v>16875</v>
      </c>
      <c r="AP68" s="76">
        <f t="shared" si="75"/>
        <v>16875</v>
      </c>
      <c r="AQ68" s="76">
        <f t="shared" si="75"/>
        <v>16875</v>
      </c>
      <c r="AR68" s="76">
        <f t="shared" si="75"/>
        <v>16875</v>
      </c>
      <c r="AS68" s="76">
        <f t="shared" si="75"/>
        <v>16875</v>
      </c>
      <c r="AT68" s="76">
        <f t="shared" si="75"/>
        <v>16875</v>
      </c>
      <c r="AU68" s="76">
        <f t="shared" si="75"/>
        <v>16875</v>
      </c>
      <c r="AV68" s="76">
        <f t="shared" si="75"/>
        <v>16875</v>
      </c>
      <c r="AW68" s="76">
        <f t="shared" si="75"/>
        <v>16875</v>
      </c>
      <c r="AX68" s="76">
        <f t="shared" si="75"/>
        <v>16875</v>
      </c>
      <c r="AY68" s="76">
        <f t="shared" si="75"/>
        <v>16875</v>
      </c>
      <c r="AZ68" s="76">
        <f t="shared" si="75"/>
        <v>16875</v>
      </c>
      <c r="BA68" s="76">
        <f t="shared" si="75"/>
        <v>16875</v>
      </c>
      <c r="BB68" s="76">
        <f t="shared" si="75"/>
        <v>16875</v>
      </c>
      <c r="BC68" s="76">
        <f t="shared" si="75"/>
        <v>16875</v>
      </c>
      <c r="BD68" s="76">
        <f t="shared" si="75"/>
        <v>16875</v>
      </c>
      <c r="BE68" s="76">
        <f t="shared" si="75"/>
        <v>16875</v>
      </c>
      <c r="BF68" s="76">
        <f t="shared" si="75"/>
        <v>16875</v>
      </c>
      <c r="BG68" s="76">
        <f t="shared" si="75"/>
        <v>16875</v>
      </c>
      <c r="BH68" s="76">
        <f t="shared" si="75"/>
        <v>16875</v>
      </c>
      <c r="BI68" s="76">
        <f t="shared" si="75"/>
        <v>16875</v>
      </c>
    </row>
    <row r="69" ht="15.75" customHeight="1">
      <c r="B69" s="1" t="s">
        <v>78</v>
      </c>
      <c r="D69" s="30"/>
      <c r="E69" s="30"/>
      <c r="F69" s="30"/>
      <c r="G69" s="30"/>
      <c r="H69" s="30"/>
      <c r="I69" s="30"/>
      <c r="J69" s="30"/>
      <c r="K69" s="30"/>
      <c r="N69" s="76">
        <f t="shared" ref="N69:BI69" si="76">SUMIFS(N$4:N$64,$D$4:$D$64,$B69,$H$4:$H$64,"&gt;"&amp;0)</f>
        <v>181625</v>
      </c>
      <c r="O69" s="76">
        <f t="shared" si="76"/>
        <v>181625</v>
      </c>
      <c r="P69" s="76">
        <f t="shared" si="76"/>
        <v>181625</v>
      </c>
      <c r="Q69" s="76">
        <f t="shared" si="76"/>
        <v>181625</v>
      </c>
      <c r="R69" s="76">
        <f t="shared" si="76"/>
        <v>181625</v>
      </c>
      <c r="S69" s="76">
        <f t="shared" si="76"/>
        <v>181625</v>
      </c>
      <c r="T69" s="76">
        <f t="shared" si="76"/>
        <v>181625</v>
      </c>
      <c r="U69" s="76">
        <f t="shared" si="76"/>
        <v>181625</v>
      </c>
      <c r="V69" s="76">
        <f t="shared" si="76"/>
        <v>181625</v>
      </c>
      <c r="W69" s="76">
        <f t="shared" si="76"/>
        <v>181625</v>
      </c>
      <c r="X69" s="76">
        <f t="shared" si="76"/>
        <v>181625</v>
      </c>
      <c r="Y69" s="76">
        <f t="shared" si="76"/>
        <v>181625</v>
      </c>
      <c r="Z69" s="76">
        <f t="shared" si="76"/>
        <v>181625</v>
      </c>
      <c r="AA69" s="76">
        <f t="shared" si="76"/>
        <v>181625</v>
      </c>
      <c r="AB69" s="76">
        <f t="shared" si="76"/>
        <v>181625</v>
      </c>
      <c r="AC69" s="76">
        <f t="shared" si="76"/>
        <v>181625</v>
      </c>
      <c r="AD69" s="76">
        <f t="shared" si="76"/>
        <v>181625</v>
      </c>
      <c r="AE69" s="76">
        <f t="shared" si="76"/>
        <v>181625</v>
      </c>
      <c r="AF69" s="76">
        <f t="shared" si="76"/>
        <v>181625</v>
      </c>
      <c r="AG69" s="76">
        <f t="shared" si="76"/>
        <v>181625</v>
      </c>
      <c r="AH69" s="76">
        <f t="shared" si="76"/>
        <v>181625</v>
      </c>
      <c r="AI69" s="76">
        <f t="shared" si="76"/>
        <v>181625</v>
      </c>
      <c r="AJ69" s="76">
        <f t="shared" si="76"/>
        <v>181625</v>
      </c>
      <c r="AK69" s="76">
        <f t="shared" si="76"/>
        <v>181625</v>
      </c>
      <c r="AL69" s="76">
        <f t="shared" si="76"/>
        <v>181625</v>
      </c>
      <c r="AM69" s="76">
        <f t="shared" si="76"/>
        <v>181625</v>
      </c>
      <c r="AN69" s="76">
        <f t="shared" si="76"/>
        <v>181625</v>
      </c>
      <c r="AO69" s="76">
        <f t="shared" si="76"/>
        <v>181625</v>
      </c>
      <c r="AP69" s="76">
        <f t="shared" si="76"/>
        <v>181625</v>
      </c>
      <c r="AQ69" s="76">
        <f t="shared" si="76"/>
        <v>181625</v>
      </c>
      <c r="AR69" s="76">
        <f t="shared" si="76"/>
        <v>181625</v>
      </c>
      <c r="AS69" s="76">
        <f t="shared" si="76"/>
        <v>181625</v>
      </c>
      <c r="AT69" s="76">
        <f t="shared" si="76"/>
        <v>181625</v>
      </c>
      <c r="AU69" s="76">
        <f t="shared" si="76"/>
        <v>181625</v>
      </c>
      <c r="AV69" s="76">
        <f t="shared" si="76"/>
        <v>181625</v>
      </c>
      <c r="AW69" s="76">
        <f t="shared" si="76"/>
        <v>181625</v>
      </c>
      <c r="AX69" s="76">
        <f t="shared" si="76"/>
        <v>181625</v>
      </c>
      <c r="AY69" s="76">
        <f t="shared" si="76"/>
        <v>181625</v>
      </c>
      <c r="AZ69" s="76">
        <f t="shared" si="76"/>
        <v>181625</v>
      </c>
      <c r="BA69" s="76">
        <f t="shared" si="76"/>
        <v>181625</v>
      </c>
      <c r="BB69" s="76">
        <f t="shared" si="76"/>
        <v>181625</v>
      </c>
      <c r="BC69" s="76">
        <f t="shared" si="76"/>
        <v>181625</v>
      </c>
      <c r="BD69" s="76">
        <f t="shared" si="76"/>
        <v>181625</v>
      </c>
      <c r="BE69" s="76">
        <f t="shared" si="76"/>
        <v>181625</v>
      </c>
      <c r="BF69" s="76">
        <f t="shared" si="76"/>
        <v>181625</v>
      </c>
      <c r="BG69" s="76">
        <f t="shared" si="76"/>
        <v>181625</v>
      </c>
      <c r="BH69" s="76">
        <f t="shared" si="76"/>
        <v>181625</v>
      </c>
      <c r="BI69" s="76">
        <f t="shared" si="76"/>
        <v>181625</v>
      </c>
    </row>
    <row r="70" ht="15.75" customHeight="1">
      <c r="B70" s="1" t="s">
        <v>184</v>
      </c>
      <c r="D70" s="30"/>
      <c r="E70" s="30"/>
      <c r="F70" s="30"/>
      <c r="G70" s="30"/>
      <c r="H70" s="30"/>
      <c r="I70" s="30"/>
      <c r="J70" s="30"/>
      <c r="K70" s="30"/>
      <c r="N70" s="76">
        <f t="shared" ref="N70:BI70" si="77">SUMIFS(N$4:N$64,$D$4:$D$64,$B70,$H$4:$H$64,"&gt;"&amp;0)</f>
        <v>25833.33333</v>
      </c>
      <c r="O70" s="76">
        <f t="shared" si="77"/>
        <v>25833.33333</v>
      </c>
      <c r="P70" s="76">
        <f t="shared" si="77"/>
        <v>25833.33333</v>
      </c>
      <c r="Q70" s="76">
        <f t="shared" si="77"/>
        <v>25833.33333</v>
      </c>
      <c r="R70" s="76">
        <f t="shared" si="77"/>
        <v>25833.33333</v>
      </c>
      <c r="S70" s="76">
        <f t="shared" si="77"/>
        <v>25833.33333</v>
      </c>
      <c r="T70" s="76">
        <f t="shared" si="77"/>
        <v>25833.33333</v>
      </c>
      <c r="U70" s="76">
        <f t="shared" si="77"/>
        <v>25833.33333</v>
      </c>
      <c r="V70" s="76">
        <f t="shared" si="77"/>
        <v>25833.33333</v>
      </c>
      <c r="W70" s="76">
        <f t="shared" si="77"/>
        <v>25833.33333</v>
      </c>
      <c r="X70" s="76">
        <f t="shared" si="77"/>
        <v>25833.33333</v>
      </c>
      <c r="Y70" s="76">
        <f t="shared" si="77"/>
        <v>25833.33333</v>
      </c>
      <c r="Z70" s="76">
        <f t="shared" si="77"/>
        <v>25833.33333</v>
      </c>
      <c r="AA70" s="76">
        <f t="shared" si="77"/>
        <v>25833.33333</v>
      </c>
      <c r="AB70" s="76">
        <f t="shared" si="77"/>
        <v>25833.33333</v>
      </c>
      <c r="AC70" s="76">
        <f t="shared" si="77"/>
        <v>25833.33333</v>
      </c>
      <c r="AD70" s="76">
        <f t="shared" si="77"/>
        <v>25833.33333</v>
      </c>
      <c r="AE70" s="76">
        <f t="shared" si="77"/>
        <v>25833.33333</v>
      </c>
      <c r="AF70" s="76">
        <f t="shared" si="77"/>
        <v>25833.33333</v>
      </c>
      <c r="AG70" s="76">
        <f t="shared" si="77"/>
        <v>25833.33333</v>
      </c>
      <c r="AH70" s="76">
        <f t="shared" si="77"/>
        <v>25833.33333</v>
      </c>
      <c r="AI70" s="76">
        <f t="shared" si="77"/>
        <v>25833.33333</v>
      </c>
      <c r="AJ70" s="76">
        <f t="shared" si="77"/>
        <v>25833.33333</v>
      </c>
      <c r="AK70" s="76">
        <f t="shared" si="77"/>
        <v>25833.33333</v>
      </c>
      <c r="AL70" s="76">
        <f t="shared" si="77"/>
        <v>25833.33333</v>
      </c>
      <c r="AM70" s="76">
        <f t="shared" si="77"/>
        <v>25833.33333</v>
      </c>
      <c r="AN70" s="76">
        <f t="shared" si="77"/>
        <v>25833.33333</v>
      </c>
      <c r="AO70" s="76">
        <f t="shared" si="77"/>
        <v>25833.33333</v>
      </c>
      <c r="AP70" s="76">
        <f t="shared" si="77"/>
        <v>25833.33333</v>
      </c>
      <c r="AQ70" s="76">
        <f t="shared" si="77"/>
        <v>25833.33333</v>
      </c>
      <c r="AR70" s="76">
        <f t="shared" si="77"/>
        <v>25833.33333</v>
      </c>
      <c r="AS70" s="76">
        <f t="shared" si="77"/>
        <v>25833.33333</v>
      </c>
      <c r="AT70" s="76">
        <f t="shared" si="77"/>
        <v>25833.33333</v>
      </c>
      <c r="AU70" s="76">
        <f t="shared" si="77"/>
        <v>25833.33333</v>
      </c>
      <c r="AV70" s="76">
        <f t="shared" si="77"/>
        <v>25833.33333</v>
      </c>
      <c r="AW70" s="76">
        <f t="shared" si="77"/>
        <v>25833.33333</v>
      </c>
      <c r="AX70" s="76">
        <f t="shared" si="77"/>
        <v>25833.33333</v>
      </c>
      <c r="AY70" s="76">
        <f t="shared" si="77"/>
        <v>25833.33333</v>
      </c>
      <c r="AZ70" s="76">
        <f t="shared" si="77"/>
        <v>25833.33333</v>
      </c>
      <c r="BA70" s="76">
        <f t="shared" si="77"/>
        <v>25833.33333</v>
      </c>
      <c r="BB70" s="76">
        <f t="shared" si="77"/>
        <v>25833.33333</v>
      </c>
      <c r="BC70" s="76">
        <f t="shared" si="77"/>
        <v>25833.33333</v>
      </c>
      <c r="BD70" s="76">
        <f t="shared" si="77"/>
        <v>25833.33333</v>
      </c>
      <c r="BE70" s="76">
        <f t="shared" si="77"/>
        <v>25833.33333</v>
      </c>
      <c r="BF70" s="76">
        <f t="shared" si="77"/>
        <v>25833.33333</v>
      </c>
      <c r="BG70" s="76">
        <f t="shared" si="77"/>
        <v>25833.33333</v>
      </c>
      <c r="BH70" s="76">
        <f t="shared" si="77"/>
        <v>25833.33333</v>
      </c>
      <c r="BI70" s="76">
        <f t="shared" si="77"/>
        <v>25833.33333</v>
      </c>
    </row>
    <row r="71" ht="15.75" customHeight="1">
      <c r="B71" s="1" t="s">
        <v>193</v>
      </c>
      <c r="D71" s="30"/>
      <c r="E71" s="30"/>
      <c r="F71" s="30"/>
      <c r="G71" s="30"/>
      <c r="H71" s="30"/>
      <c r="I71" s="30"/>
      <c r="J71" s="30"/>
      <c r="K71" s="30"/>
      <c r="N71" s="76">
        <f t="shared" ref="N71:BI71" si="78">SUMIFS(N$4:N$64,$D$4:$D$64,$B71,$H$4:$H$64,"&gt;"&amp;0)</f>
        <v>22291.66667</v>
      </c>
      <c r="O71" s="76">
        <f t="shared" si="78"/>
        <v>22291.66667</v>
      </c>
      <c r="P71" s="76">
        <f t="shared" si="78"/>
        <v>22291.66667</v>
      </c>
      <c r="Q71" s="76">
        <f t="shared" si="78"/>
        <v>22291.66667</v>
      </c>
      <c r="R71" s="76">
        <f t="shared" si="78"/>
        <v>22291.66667</v>
      </c>
      <c r="S71" s="76">
        <f t="shared" si="78"/>
        <v>22291.66667</v>
      </c>
      <c r="T71" s="76">
        <f t="shared" si="78"/>
        <v>22291.66667</v>
      </c>
      <c r="U71" s="76">
        <f t="shared" si="78"/>
        <v>22291.66667</v>
      </c>
      <c r="V71" s="76">
        <f t="shared" si="78"/>
        <v>22291.66667</v>
      </c>
      <c r="W71" s="76">
        <f t="shared" si="78"/>
        <v>22291.66667</v>
      </c>
      <c r="X71" s="76">
        <f t="shared" si="78"/>
        <v>22291.66667</v>
      </c>
      <c r="Y71" s="76">
        <f t="shared" si="78"/>
        <v>22291.66667</v>
      </c>
      <c r="Z71" s="76">
        <f t="shared" si="78"/>
        <v>22291.66667</v>
      </c>
      <c r="AA71" s="76">
        <f t="shared" si="78"/>
        <v>22291.66667</v>
      </c>
      <c r="AB71" s="76">
        <f t="shared" si="78"/>
        <v>22291.66667</v>
      </c>
      <c r="AC71" s="76">
        <f t="shared" si="78"/>
        <v>22291.66667</v>
      </c>
      <c r="AD71" s="76">
        <f t="shared" si="78"/>
        <v>22291.66667</v>
      </c>
      <c r="AE71" s="76">
        <f t="shared" si="78"/>
        <v>22291.66667</v>
      </c>
      <c r="AF71" s="76">
        <f t="shared" si="78"/>
        <v>22291.66667</v>
      </c>
      <c r="AG71" s="76">
        <f t="shared" si="78"/>
        <v>22291.66667</v>
      </c>
      <c r="AH71" s="76">
        <f t="shared" si="78"/>
        <v>22291.66667</v>
      </c>
      <c r="AI71" s="76">
        <f t="shared" si="78"/>
        <v>22291.66667</v>
      </c>
      <c r="AJ71" s="76">
        <f t="shared" si="78"/>
        <v>22291.66667</v>
      </c>
      <c r="AK71" s="76">
        <f t="shared" si="78"/>
        <v>22291.66667</v>
      </c>
      <c r="AL71" s="76">
        <f t="shared" si="78"/>
        <v>22291.66667</v>
      </c>
      <c r="AM71" s="76">
        <f t="shared" si="78"/>
        <v>22291.66667</v>
      </c>
      <c r="AN71" s="76">
        <f t="shared" si="78"/>
        <v>22291.66667</v>
      </c>
      <c r="AO71" s="76">
        <f t="shared" si="78"/>
        <v>22291.66667</v>
      </c>
      <c r="AP71" s="76">
        <f t="shared" si="78"/>
        <v>22291.66667</v>
      </c>
      <c r="AQ71" s="76">
        <f t="shared" si="78"/>
        <v>22291.66667</v>
      </c>
      <c r="AR71" s="76">
        <f t="shared" si="78"/>
        <v>22291.66667</v>
      </c>
      <c r="AS71" s="76">
        <f t="shared" si="78"/>
        <v>22291.66667</v>
      </c>
      <c r="AT71" s="76">
        <f t="shared" si="78"/>
        <v>22291.66667</v>
      </c>
      <c r="AU71" s="76">
        <f t="shared" si="78"/>
        <v>22291.66667</v>
      </c>
      <c r="AV71" s="76">
        <f t="shared" si="78"/>
        <v>22291.66667</v>
      </c>
      <c r="AW71" s="76">
        <f t="shared" si="78"/>
        <v>22291.66667</v>
      </c>
      <c r="AX71" s="76">
        <f t="shared" si="78"/>
        <v>22291.66667</v>
      </c>
      <c r="AY71" s="76">
        <f t="shared" si="78"/>
        <v>22291.66667</v>
      </c>
      <c r="AZ71" s="76">
        <f t="shared" si="78"/>
        <v>22291.66667</v>
      </c>
      <c r="BA71" s="76">
        <f t="shared" si="78"/>
        <v>22291.66667</v>
      </c>
      <c r="BB71" s="76">
        <f t="shared" si="78"/>
        <v>22291.66667</v>
      </c>
      <c r="BC71" s="76">
        <f t="shared" si="78"/>
        <v>22291.66667</v>
      </c>
      <c r="BD71" s="76">
        <f t="shared" si="78"/>
        <v>22291.66667</v>
      </c>
      <c r="BE71" s="76">
        <f t="shared" si="78"/>
        <v>22291.66667</v>
      </c>
      <c r="BF71" s="76">
        <f t="shared" si="78"/>
        <v>22291.66667</v>
      </c>
      <c r="BG71" s="76">
        <f t="shared" si="78"/>
        <v>22291.66667</v>
      </c>
      <c r="BH71" s="76">
        <f t="shared" si="78"/>
        <v>22291.66667</v>
      </c>
      <c r="BI71" s="76">
        <f t="shared" si="78"/>
        <v>22291.66667</v>
      </c>
    </row>
    <row r="72" ht="15.75" customHeight="1">
      <c r="B72" s="1" t="s">
        <v>208</v>
      </c>
      <c r="D72" s="30"/>
      <c r="E72" s="30"/>
      <c r="F72" s="30"/>
      <c r="G72" s="30"/>
      <c r="H72" s="30"/>
      <c r="I72" s="30"/>
      <c r="J72" s="30"/>
      <c r="K72" s="30"/>
      <c r="N72" s="76">
        <f t="shared" ref="N72:BI72" si="79">SUMIFS(N$4:N$64,$D$4:$D$64,$B72,$H$4:$H$64,"&gt;"&amp;0)</f>
        <v>45375</v>
      </c>
      <c r="O72" s="76">
        <f t="shared" si="79"/>
        <v>45375</v>
      </c>
      <c r="P72" s="76">
        <f t="shared" si="79"/>
        <v>45375</v>
      </c>
      <c r="Q72" s="76">
        <f t="shared" si="79"/>
        <v>45375</v>
      </c>
      <c r="R72" s="76">
        <f t="shared" si="79"/>
        <v>45375</v>
      </c>
      <c r="S72" s="76">
        <f t="shared" si="79"/>
        <v>45375</v>
      </c>
      <c r="T72" s="76">
        <f t="shared" si="79"/>
        <v>45375</v>
      </c>
      <c r="U72" s="76">
        <f t="shared" si="79"/>
        <v>45375</v>
      </c>
      <c r="V72" s="76">
        <f t="shared" si="79"/>
        <v>45375</v>
      </c>
      <c r="W72" s="76">
        <f t="shared" si="79"/>
        <v>45375</v>
      </c>
      <c r="X72" s="76">
        <f t="shared" si="79"/>
        <v>45375</v>
      </c>
      <c r="Y72" s="76">
        <f t="shared" si="79"/>
        <v>45375</v>
      </c>
      <c r="Z72" s="76">
        <f t="shared" si="79"/>
        <v>45375</v>
      </c>
      <c r="AA72" s="76">
        <f t="shared" si="79"/>
        <v>45375</v>
      </c>
      <c r="AB72" s="76">
        <f t="shared" si="79"/>
        <v>45375</v>
      </c>
      <c r="AC72" s="76">
        <f t="shared" si="79"/>
        <v>45375</v>
      </c>
      <c r="AD72" s="76">
        <f t="shared" si="79"/>
        <v>45375</v>
      </c>
      <c r="AE72" s="76">
        <f t="shared" si="79"/>
        <v>45375</v>
      </c>
      <c r="AF72" s="76">
        <f t="shared" si="79"/>
        <v>45375</v>
      </c>
      <c r="AG72" s="76">
        <f t="shared" si="79"/>
        <v>45375</v>
      </c>
      <c r="AH72" s="76">
        <f t="shared" si="79"/>
        <v>45375</v>
      </c>
      <c r="AI72" s="76">
        <f t="shared" si="79"/>
        <v>45375</v>
      </c>
      <c r="AJ72" s="76">
        <f t="shared" si="79"/>
        <v>45375</v>
      </c>
      <c r="AK72" s="76">
        <f t="shared" si="79"/>
        <v>45375</v>
      </c>
      <c r="AL72" s="76">
        <f t="shared" si="79"/>
        <v>45375</v>
      </c>
      <c r="AM72" s="76">
        <f t="shared" si="79"/>
        <v>45375</v>
      </c>
      <c r="AN72" s="76">
        <f t="shared" si="79"/>
        <v>45375</v>
      </c>
      <c r="AO72" s="76">
        <f t="shared" si="79"/>
        <v>45375</v>
      </c>
      <c r="AP72" s="76">
        <f t="shared" si="79"/>
        <v>45375</v>
      </c>
      <c r="AQ72" s="76">
        <f t="shared" si="79"/>
        <v>45375</v>
      </c>
      <c r="AR72" s="76">
        <f t="shared" si="79"/>
        <v>45375</v>
      </c>
      <c r="AS72" s="76">
        <f t="shared" si="79"/>
        <v>45375</v>
      </c>
      <c r="AT72" s="76">
        <f t="shared" si="79"/>
        <v>45375</v>
      </c>
      <c r="AU72" s="76">
        <f t="shared" si="79"/>
        <v>45375</v>
      </c>
      <c r="AV72" s="76">
        <f t="shared" si="79"/>
        <v>45375</v>
      </c>
      <c r="AW72" s="76">
        <f t="shared" si="79"/>
        <v>45375</v>
      </c>
      <c r="AX72" s="76">
        <f t="shared" si="79"/>
        <v>45375</v>
      </c>
      <c r="AY72" s="76">
        <f t="shared" si="79"/>
        <v>45375</v>
      </c>
      <c r="AZ72" s="76">
        <f t="shared" si="79"/>
        <v>45375</v>
      </c>
      <c r="BA72" s="76">
        <f t="shared" si="79"/>
        <v>45375</v>
      </c>
      <c r="BB72" s="76">
        <f t="shared" si="79"/>
        <v>45375</v>
      </c>
      <c r="BC72" s="76">
        <f t="shared" si="79"/>
        <v>45375</v>
      </c>
      <c r="BD72" s="76">
        <f t="shared" si="79"/>
        <v>45375</v>
      </c>
      <c r="BE72" s="76">
        <f t="shared" si="79"/>
        <v>45375</v>
      </c>
      <c r="BF72" s="76">
        <f t="shared" si="79"/>
        <v>45375</v>
      </c>
      <c r="BG72" s="76">
        <f t="shared" si="79"/>
        <v>45375</v>
      </c>
      <c r="BH72" s="76">
        <f t="shared" si="79"/>
        <v>45375</v>
      </c>
      <c r="BI72" s="76">
        <f t="shared" si="79"/>
        <v>45375</v>
      </c>
    </row>
    <row r="73" ht="15.75" customHeight="1">
      <c r="A73" s="21" t="s">
        <v>225</v>
      </c>
      <c r="B73" s="22"/>
      <c r="C73" s="22"/>
      <c r="D73" s="148"/>
      <c r="E73" s="148"/>
      <c r="F73" s="148"/>
      <c r="G73" s="148"/>
      <c r="H73" s="148"/>
      <c r="I73" s="148"/>
      <c r="J73" s="148"/>
      <c r="K73" s="148"/>
      <c r="L73" s="22"/>
      <c r="M73" s="22"/>
      <c r="N73" s="147">
        <f t="shared" ref="N73:BI73" si="80">SUM(N68:N72)</f>
        <v>292000</v>
      </c>
      <c r="O73" s="147">
        <f t="shared" si="80"/>
        <v>292000</v>
      </c>
      <c r="P73" s="147">
        <f t="shared" si="80"/>
        <v>292000</v>
      </c>
      <c r="Q73" s="147">
        <f t="shared" si="80"/>
        <v>292000</v>
      </c>
      <c r="R73" s="147">
        <f t="shared" si="80"/>
        <v>292000</v>
      </c>
      <c r="S73" s="147">
        <f t="shared" si="80"/>
        <v>292000</v>
      </c>
      <c r="T73" s="147">
        <f t="shared" si="80"/>
        <v>292000</v>
      </c>
      <c r="U73" s="147">
        <f t="shared" si="80"/>
        <v>292000</v>
      </c>
      <c r="V73" s="147">
        <f t="shared" si="80"/>
        <v>292000</v>
      </c>
      <c r="W73" s="147">
        <f t="shared" si="80"/>
        <v>292000</v>
      </c>
      <c r="X73" s="147">
        <f t="shared" si="80"/>
        <v>292000</v>
      </c>
      <c r="Y73" s="147">
        <f t="shared" si="80"/>
        <v>292000</v>
      </c>
      <c r="Z73" s="147">
        <f t="shared" si="80"/>
        <v>292000</v>
      </c>
      <c r="AA73" s="147">
        <f t="shared" si="80"/>
        <v>292000</v>
      </c>
      <c r="AB73" s="147">
        <f t="shared" si="80"/>
        <v>292000</v>
      </c>
      <c r="AC73" s="147">
        <f t="shared" si="80"/>
        <v>292000</v>
      </c>
      <c r="AD73" s="147">
        <f t="shared" si="80"/>
        <v>292000</v>
      </c>
      <c r="AE73" s="147">
        <f t="shared" si="80"/>
        <v>292000</v>
      </c>
      <c r="AF73" s="147">
        <f t="shared" si="80"/>
        <v>292000</v>
      </c>
      <c r="AG73" s="147">
        <f t="shared" si="80"/>
        <v>292000</v>
      </c>
      <c r="AH73" s="147">
        <f t="shared" si="80"/>
        <v>292000</v>
      </c>
      <c r="AI73" s="147">
        <f t="shared" si="80"/>
        <v>292000</v>
      </c>
      <c r="AJ73" s="147">
        <f t="shared" si="80"/>
        <v>292000</v>
      </c>
      <c r="AK73" s="147">
        <f t="shared" si="80"/>
        <v>292000</v>
      </c>
      <c r="AL73" s="147">
        <f t="shared" si="80"/>
        <v>292000</v>
      </c>
      <c r="AM73" s="147">
        <f t="shared" si="80"/>
        <v>292000</v>
      </c>
      <c r="AN73" s="147">
        <f t="shared" si="80"/>
        <v>292000</v>
      </c>
      <c r="AO73" s="147">
        <f t="shared" si="80"/>
        <v>292000</v>
      </c>
      <c r="AP73" s="147">
        <f t="shared" si="80"/>
        <v>292000</v>
      </c>
      <c r="AQ73" s="147">
        <f t="shared" si="80"/>
        <v>292000</v>
      </c>
      <c r="AR73" s="147">
        <f t="shared" si="80"/>
        <v>292000</v>
      </c>
      <c r="AS73" s="147">
        <f t="shared" si="80"/>
        <v>292000</v>
      </c>
      <c r="AT73" s="147">
        <f t="shared" si="80"/>
        <v>292000</v>
      </c>
      <c r="AU73" s="147">
        <f t="shared" si="80"/>
        <v>292000</v>
      </c>
      <c r="AV73" s="147">
        <f t="shared" si="80"/>
        <v>292000</v>
      </c>
      <c r="AW73" s="147">
        <f t="shared" si="80"/>
        <v>292000</v>
      </c>
      <c r="AX73" s="147">
        <f t="shared" si="80"/>
        <v>292000</v>
      </c>
      <c r="AY73" s="147">
        <f t="shared" si="80"/>
        <v>292000</v>
      </c>
      <c r="AZ73" s="147">
        <f t="shared" si="80"/>
        <v>292000</v>
      </c>
      <c r="BA73" s="147">
        <f t="shared" si="80"/>
        <v>292000</v>
      </c>
      <c r="BB73" s="147">
        <f t="shared" si="80"/>
        <v>292000</v>
      </c>
      <c r="BC73" s="147">
        <f t="shared" si="80"/>
        <v>292000</v>
      </c>
      <c r="BD73" s="147">
        <f t="shared" si="80"/>
        <v>292000</v>
      </c>
      <c r="BE73" s="147">
        <f t="shared" si="80"/>
        <v>292000</v>
      </c>
      <c r="BF73" s="147">
        <f t="shared" si="80"/>
        <v>292000</v>
      </c>
      <c r="BG73" s="147">
        <f t="shared" si="80"/>
        <v>292000</v>
      </c>
      <c r="BH73" s="147">
        <f t="shared" si="80"/>
        <v>292000</v>
      </c>
      <c r="BI73" s="147">
        <f t="shared" si="80"/>
        <v>292000</v>
      </c>
    </row>
    <row r="74" ht="15.75" customHeight="1">
      <c r="A74" s="31" t="s">
        <v>226</v>
      </c>
      <c r="B74" s="31"/>
      <c r="C74" s="31"/>
      <c r="D74" s="149"/>
      <c r="E74" s="149"/>
      <c r="F74" s="149"/>
      <c r="G74" s="149"/>
      <c r="H74" s="149"/>
      <c r="I74" s="149"/>
      <c r="J74" s="149"/>
      <c r="K74" s="149"/>
      <c r="L74" s="31"/>
      <c r="M74" s="31"/>
      <c r="N74" s="158">
        <f t="shared" ref="N74:BI74" si="81">ROUND(N73-N65+N97,2)</f>
        <v>0</v>
      </c>
      <c r="O74" s="158">
        <f t="shared" si="81"/>
        <v>0</v>
      </c>
      <c r="P74" s="158">
        <f t="shared" si="81"/>
        <v>0</v>
      </c>
      <c r="Q74" s="158">
        <f t="shared" si="81"/>
        <v>0</v>
      </c>
      <c r="R74" s="158">
        <f t="shared" si="81"/>
        <v>0</v>
      </c>
      <c r="S74" s="158">
        <f t="shared" si="81"/>
        <v>0</v>
      </c>
      <c r="T74" s="158">
        <f t="shared" si="81"/>
        <v>0</v>
      </c>
      <c r="U74" s="158">
        <f t="shared" si="81"/>
        <v>0</v>
      </c>
      <c r="V74" s="158">
        <f t="shared" si="81"/>
        <v>0</v>
      </c>
      <c r="W74" s="158">
        <f t="shared" si="81"/>
        <v>0</v>
      </c>
      <c r="X74" s="158">
        <f t="shared" si="81"/>
        <v>0</v>
      </c>
      <c r="Y74" s="158">
        <f t="shared" si="81"/>
        <v>0</v>
      </c>
      <c r="Z74" s="158">
        <f t="shared" si="81"/>
        <v>0</v>
      </c>
      <c r="AA74" s="158">
        <f t="shared" si="81"/>
        <v>0</v>
      </c>
      <c r="AB74" s="158">
        <f t="shared" si="81"/>
        <v>0</v>
      </c>
      <c r="AC74" s="158">
        <f t="shared" si="81"/>
        <v>0</v>
      </c>
      <c r="AD74" s="158">
        <f t="shared" si="81"/>
        <v>0</v>
      </c>
      <c r="AE74" s="158">
        <f t="shared" si="81"/>
        <v>0</v>
      </c>
      <c r="AF74" s="158">
        <f t="shared" si="81"/>
        <v>0</v>
      </c>
      <c r="AG74" s="158">
        <f t="shared" si="81"/>
        <v>0</v>
      </c>
      <c r="AH74" s="158">
        <f t="shared" si="81"/>
        <v>0</v>
      </c>
      <c r="AI74" s="158">
        <f t="shared" si="81"/>
        <v>0</v>
      </c>
      <c r="AJ74" s="158">
        <f t="shared" si="81"/>
        <v>0</v>
      </c>
      <c r="AK74" s="158">
        <f t="shared" si="81"/>
        <v>0</v>
      </c>
      <c r="AL74" s="158">
        <f t="shared" si="81"/>
        <v>0</v>
      </c>
      <c r="AM74" s="158">
        <f t="shared" si="81"/>
        <v>0</v>
      </c>
      <c r="AN74" s="158">
        <f t="shared" si="81"/>
        <v>0</v>
      </c>
      <c r="AO74" s="158">
        <f t="shared" si="81"/>
        <v>0</v>
      </c>
      <c r="AP74" s="158">
        <f t="shared" si="81"/>
        <v>0</v>
      </c>
      <c r="AQ74" s="158">
        <f t="shared" si="81"/>
        <v>0</v>
      </c>
      <c r="AR74" s="158">
        <f t="shared" si="81"/>
        <v>0</v>
      </c>
      <c r="AS74" s="158">
        <f t="shared" si="81"/>
        <v>0</v>
      </c>
      <c r="AT74" s="158">
        <f t="shared" si="81"/>
        <v>0</v>
      </c>
      <c r="AU74" s="158">
        <f t="shared" si="81"/>
        <v>0</v>
      </c>
      <c r="AV74" s="158">
        <f t="shared" si="81"/>
        <v>0</v>
      </c>
      <c r="AW74" s="158">
        <f t="shared" si="81"/>
        <v>0</v>
      </c>
      <c r="AX74" s="158">
        <f t="shared" si="81"/>
        <v>0</v>
      </c>
      <c r="AY74" s="158">
        <f t="shared" si="81"/>
        <v>0</v>
      </c>
      <c r="AZ74" s="158">
        <f t="shared" si="81"/>
        <v>0</v>
      </c>
      <c r="BA74" s="158">
        <f t="shared" si="81"/>
        <v>0</v>
      </c>
      <c r="BB74" s="158">
        <f t="shared" si="81"/>
        <v>0</v>
      </c>
      <c r="BC74" s="158">
        <f t="shared" si="81"/>
        <v>0</v>
      </c>
      <c r="BD74" s="158">
        <f t="shared" si="81"/>
        <v>0</v>
      </c>
      <c r="BE74" s="158">
        <f t="shared" si="81"/>
        <v>0</v>
      </c>
      <c r="BF74" s="158">
        <f t="shared" si="81"/>
        <v>0</v>
      </c>
      <c r="BG74" s="158">
        <f t="shared" si="81"/>
        <v>0</v>
      </c>
      <c r="BH74" s="158">
        <f t="shared" si="81"/>
        <v>0</v>
      </c>
      <c r="BI74" s="158">
        <f t="shared" si="81"/>
        <v>0</v>
      </c>
    </row>
    <row r="75" ht="15.75" customHeight="1">
      <c r="A75" s="7" t="s">
        <v>227</v>
      </c>
      <c r="D75" s="30"/>
      <c r="E75" s="30"/>
      <c r="F75" s="30"/>
      <c r="G75" s="30"/>
      <c r="H75" s="30"/>
      <c r="I75" s="30"/>
      <c r="J75" s="30"/>
      <c r="K75" s="30"/>
    </row>
    <row r="76" ht="15.75" customHeight="1">
      <c r="B76" s="1" t="str">
        <f t="shared" ref="B76:B80" si="82">B68</f>
        <v>General &amp; Admin</v>
      </c>
      <c r="D76" s="30"/>
      <c r="E76" s="30"/>
      <c r="F76" s="30"/>
      <c r="G76" s="30"/>
      <c r="H76" s="30"/>
      <c r="I76" s="30"/>
      <c r="J76" s="30"/>
      <c r="K76" s="30"/>
      <c r="N76" s="76">
        <f t="array" ref="N76">SUMPRODUCT((N$4:N$64*($D$4:$D$64=$B76)),$H$4:$H$64)</f>
        <v>1518.75</v>
      </c>
      <c r="O76" s="76">
        <f t="array" ref="O76">SUMPRODUCT((O$4:O$64*($D$4:$D$64=$B76)),$H$4:$H$64)</f>
        <v>1518.75</v>
      </c>
      <c r="P76" s="76">
        <f t="array" ref="P76">SUMPRODUCT((P$4:P$64*($D$4:$D$64=$B76)),$H$4:$H$64)</f>
        <v>1518.75</v>
      </c>
      <c r="Q76" s="76">
        <f t="array" ref="Q76">SUMPRODUCT((Q$4:Q$64*($D$4:$D$64=$B76)),$H$4:$H$64)</f>
        <v>1518.75</v>
      </c>
      <c r="R76" s="76">
        <f t="array" ref="R76">SUMPRODUCT((R$4:R$64*($D$4:$D$64=$B76)),$H$4:$H$64)</f>
        <v>1518.75</v>
      </c>
      <c r="S76" s="76">
        <f t="array" ref="S76">SUMPRODUCT((S$4:S$64*($D$4:$D$64=$B76)),$H$4:$H$64)</f>
        <v>1518.75</v>
      </c>
      <c r="T76" s="76">
        <f t="array" ref="T76">SUMPRODUCT((T$4:T$64*($D$4:$D$64=$B76)),$H$4:$H$64)</f>
        <v>1518.75</v>
      </c>
      <c r="U76" s="76">
        <f t="array" ref="U76">SUMPRODUCT((U$4:U$64*($D$4:$D$64=$B76)),$H$4:$H$64)</f>
        <v>1518.75</v>
      </c>
      <c r="V76" s="76">
        <f t="array" ref="V76">SUMPRODUCT((V$4:V$64*($D$4:$D$64=$B76)),$H$4:$H$64)</f>
        <v>1518.75</v>
      </c>
      <c r="W76" s="76">
        <f t="array" ref="W76">SUMPRODUCT((W$4:W$64*($D$4:$D$64=$B76)),$H$4:$H$64)</f>
        <v>1518.75</v>
      </c>
      <c r="X76" s="76">
        <f t="array" ref="X76">SUMPRODUCT((X$4:X$64*($D$4:$D$64=$B76)),$H$4:$H$64)</f>
        <v>1518.75</v>
      </c>
      <c r="Y76" s="76">
        <f t="array" ref="Y76">SUMPRODUCT((Y$4:Y$64*($D$4:$D$64=$B76)),$H$4:$H$64)</f>
        <v>1518.75</v>
      </c>
      <c r="Z76" s="76">
        <f t="array" ref="Z76">SUMPRODUCT((Z$4:Z$64*($D$4:$D$64=$B76)),$H$4:$H$64)</f>
        <v>1518.75</v>
      </c>
      <c r="AA76" s="76">
        <f t="array" ref="AA76">SUMPRODUCT((AA$4:AA$64*($D$4:$D$64=$B76)),$H$4:$H$64)</f>
        <v>1518.75</v>
      </c>
      <c r="AB76" s="76">
        <f t="array" ref="AB76">SUMPRODUCT((AB$4:AB$64*($D$4:$D$64=$B76)),$H$4:$H$64)</f>
        <v>1518.75</v>
      </c>
      <c r="AC76" s="76">
        <f t="array" ref="AC76">SUMPRODUCT((AC$4:AC$64*($D$4:$D$64=$B76)),$H$4:$H$64)</f>
        <v>1518.75</v>
      </c>
      <c r="AD76" s="76">
        <f t="array" ref="AD76">SUMPRODUCT((AD$4:AD$64*($D$4:$D$64=$B76)),$H$4:$H$64)</f>
        <v>1518.75</v>
      </c>
      <c r="AE76" s="76">
        <f t="array" ref="AE76">SUMPRODUCT((AE$4:AE$64*($D$4:$D$64=$B76)),$H$4:$H$64)</f>
        <v>1518.75</v>
      </c>
      <c r="AF76" s="76">
        <f t="array" ref="AF76">SUMPRODUCT((AF$4:AF$64*($D$4:$D$64=$B76)),$H$4:$H$64)</f>
        <v>1518.75</v>
      </c>
      <c r="AG76" s="76">
        <f t="array" ref="AG76">SUMPRODUCT((AG$4:AG$64*($D$4:$D$64=$B76)),$H$4:$H$64)</f>
        <v>1518.75</v>
      </c>
      <c r="AH76" s="76">
        <f t="array" ref="AH76">SUMPRODUCT((AH$4:AH$64*($D$4:$D$64=$B76)),$H$4:$H$64)</f>
        <v>1518.75</v>
      </c>
      <c r="AI76" s="76">
        <f t="array" ref="AI76">SUMPRODUCT((AI$4:AI$64*($D$4:$D$64=$B76)),$H$4:$H$64)</f>
        <v>1518.75</v>
      </c>
      <c r="AJ76" s="76">
        <f t="array" ref="AJ76">SUMPRODUCT((AJ$4:AJ$64*($D$4:$D$64=$B76)),$H$4:$H$64)</f>
        <v>1518.75</v>
      </c>
      <c r="AK76" s="76">
        <f t="array" ref="AK76">SUMPRODUCT((AK$4:AK$64*($D$4:$D$64=$B76)),$H$4:$H$64)</f>
        <v>1518.75</v>
      </c>
      <c r="AL76" s="76">
        <f t="array" ref="AL76">SUMPRODUCT((AL$4:AL$64*($D$4:$D$64=$B76)),$H$4:$H$64)</f>
        <v>1518.75</v>
      </c>
      <c r="AM76" s="76">
        <f t="array" ref="AM76">SUMPRODUCT((AM$4:AM$64*($D$4:$D$64=$B76)),$H$4:$H$64)</f>
        <v>1518.75</v>
      </c>
      <c r="AN76" s="76">
        <f t="array" ref="AN76">SUMPRODUCT((AN$4:AN$64*($D$4:$D$64=$B76)),$H$4:$H$64)</f>
        <v>1518.75</v>
      </c>
      <c r="AO76" s="76">
        <f t="array" ref="AO76">SUMPRODUCT((AO$4:AO$64*($D$4:$D$64=$B76)),$H$4:$H$64)</f>
        <v>1518.75</v>
      </c>
      <c r="AP76" s="76">
        <f t="array" ref="AP76">SUMPRODUCT((AP$4:AP$64*($D$4:$D$64=$B76)),$H$4:$H$64)</f>
        <v>1518.75</v>
      </c>
      <c r="AQ76" s="76">
        <f t="array" ref="AQ76">SUMPRODUCT((AQ$4:AQ$64*($D$4:$D$64=$B76)),$H$4:$H$64)</f>
        <v>1518.75</v>
      </c>
      <c r="AR76" s="76">
        <f t="array" ref="AR76">SUMPRODUCT((AR$4:AR$64*($D$4:$D$64=$B76)),$H$4:$H$64)</f>
        <v>1518.75</v>
      </c>
      <c r="AS76" s="76">
        <f t="array" ref="AS76">SUMPRODUCT((AS$4:AS$64*($D$4:$D$64=$B76)),$H$4:$H$64)</f>
        <v>1518.75</v>
      </c>
      <c r="AT76" s="76">
        <f t="array" ref="AT76">SUMPRODUCT((AT$4:AT$64*($D$4:$D$64=$B76)),$H$4:$H$64)</f>
        <v>1518.75</v>
      </c>
      <c r="AU76" s="76">
        <f t="array" ref="AU76">SUMPRODUCT((AU$4:AU$64*($D$4:$D$64=$B76)),$H$4:$H$64)</f>
        <v>1518.75</v>
      </c>
      <c r="AV76" s="76">
        <f t="array" ref="AV76">SUMPRODUCT((AV$4:AV$64*($D$4:$D$64=$B76)),$H$4:$H$64)</f>
        <v>1518.75</v>
      </c>
      <c r="AW76" s="76">
        <f t="array" ref="AW76">SUMPRODUCT((AW$4:AW$64*($D$4:$D$64=$B76)),$H$4:$H$64)</f>
        <v>1518.75</v>
      </c>
      <c r="AX76" s="76">
        <f t="array" ref="AX76">SUMPRODUCT((AX$4:AX$64*($D$4:$D$64=$B76)),$H$4:$H$64)</f>
        <v>1518.75</v>
      </c>
      <c r="AY76" s="76">
        <f t="array" ref="AY76">SUMPRODUCT((AY$4:AY$64*($D$4:$D$64=$B76)),$H$4:$H$64)</f>
        <v>1518.75</v>
      </c>
      <c r="AZ76" s="76">
        <f t="array" ref="AZ76">SUMPRODUCT((AZ$4:AZ$64*($D$4:$D$64=$B76)),$H$4:$H$64)</f>
        <v>1518.75</v>
      </c>
      <c r="BA76" s="76">
        <f t="array" ref="BA76">SUMPRODUCT((BA$4:BA$64*($D$4:$D$64=$B76)),$H$4:$H$64)</f>
        <v>1518.75</v>
      </c>
      <c r="BB76" s="76">
        <f t="array" ref="BB76">SUMPRODUCT((BB$4:BB$64*($D$4:$D$64=$B76)),$H$4:$H$64)</f>
        <v>1518.75</v>
      </c>
      <c r="BC76" s="76">
        <f t="array" ref="BC76">SUMPRODUCT((BC$4:BC$64*($D$4:$D$64=$B76)),$H$4:$H$64)</f>
        <v>1518.75</v>
      </c>
      <c r="BD76" s="76">
        <f t="array" ref="BD76">SUMPRODUCT((BD$4:BD$64*($D$4:$D$64=$B76)),$H$4:$H$64)</f>
        <v>1518.75</v>
      </c>
      <c r="BE76" s="76">
        <f t="array" ref="BE76">SUMPRODUCT((BE$4:BE$64*($D$4:$D$64=$B76)),$H$4:$H$64)</f>
        <v>1518.75</v>
      </c>
      <c r="BF76" s="76">
        <f t="array" ref="BF76">SUMPRODUCT((BF$4:BF$64*($D$4:$D$64=$B76)),$H$4:$H$64)</f>
        <v>1518.75</v>
      </c>
      <c r="BG76" s="76">
        <f t="array" ref="BG76">SUMPRODUCT((BG$4:BG$64*($D$4:$D$64=$B76)),$H$4:$H$64)</f>
        <v>1518.75</v>
      </c>
      <c r="BH76" s="76">
        <f t="array" ref="BH76">SUMPRODUCT((BH$4:BH$64*($D$4:$D$64=$B76)),$H$4:$H$64)</f>
        <v>1518.75</v>
      </c>
      <c r="BI76" s="76">
        <f t="array" ref="BI76">SUMPRODUCT((BI$4:BI$64*($D$4:$D$64=$B76)),$H$4:$H$64)</f>
        <v>1518.75</v>
      </c>
    </row>
    <row r="77" ht="15.75" customHeight="1">
      <c r="B77" s="1" t="str">
        <f t="shared" si="82"/>
        <v>Engineering</v>
      </c>
      <c r="D77" s="30"/>
      <c r="E77" s="30"/>
      <c r="F77" s="30"/>
      <c r="G77" s="30"/>
      <c r="H77" s="30"/>
      <c r="I77" s="30"/>
      <c r="J77" s="30"/>
      <c r="K77" s="30"/>
      <c r="N77" s="76">
        <f t="array" ref="N77">SUMPRODUCT((N$4:N$64*($D$4:$D$64=$B77)),$H$4:$H$64)</f>
        <v>16346.25</v>
      </c>
      <c r="O77" s="76">
        <f t="array" ref="O77">SUMPRODUCT((O$4:O$64*($D$4:$D$64=$B77)),$H$4:$H$64)</f>
        <v>16346.25</v>
      </c>
      <c r="P77" s="76">
        <f t="array" ref="P77">SUMPRODUCT((P$4:P$64*($D$4:$D$64=$B77)),$H$4:$H$64)</f>
        <v>16346.25</v>
      </c>
      <c r="Q77" s="76">
        <f t="array" ref="Q77">SUMPRODUCT((Q$4:Q$64*($D$4:$D$64=$B77)),$H$4:$H$64)</f>
        <v>16346.25</v>
      </c>
      <c r="R77" s="76">
        <f t="array" ref="R77">SUMPRODUCT((R$4:R$64*($D$4:$D$64=$B77)),$H$4:$H$64)</f>
        <v>16346.25</v>
      </c>
      <c r="S77" s="76">
        <f t="array" ref="S77">SUMPRODUCT((S$4:S$64*($D$4:$D$64=$B77)),$H$4:$H$64)</f>
        <v>16346.25</v>
      </c>
      <c r="T77" s="76">
        <f t="array" ref="T77">SUMPRODUCT((T$4:T$64*($D$4:$D$64=$B77)),$H$4:$H$64)</f>
        <v>16346.25</v>
      </c>
      <c r="U77" s="76">
        <f t="array" ref="U77">SUMPRODUCT((U$4:U$64*($D$4:$D$64=$B77)),$H$4:$H$64)</f>
        <v>16346.25</v>
      </c>
      <c r="V77" s="76">
        <f t="array" ref="V77">SUMPRODUCT((V$4:V$64*($D$4:$D$64=$B77)),$H$4:$H$64)</f>
        <v>16346.25</v>
      </c>
      <c r="W77" s="76">
        <f t="array" ref="W77">SUMPRODUCT((W$4:W$64*($D$4:$D$64=$B77)),$H$4:$H$64)</f>
        <v>16346.25</v>
      </c>
      <c r="X77" s="76">
        <f t="array" ref="X77">SUMPRODUCT((X$4:X$64*($D$4:$D$64=$B77)),$H$4:$H$64)</f>
        <v>16346.25</v>
      </c>
      <c r="Y77" s="76">
        <f t="array" ref="Y77">SUMPRODUCT((Y$4:Y$64*($D$4:$D$64=$B77)),$H$4:$H$64)</f>
        <v>16346.25</v>
      </c>
      <c r="Z77" s="76">
        <f t="array" ref="Z77">SUMPRODUCT((Z$4:Z$64*($D$4:$D$64=$B77)),$H$4:$H$64)</f>
        <v>16346.25</v>
      </c>
      <c r="AA77" s="76">
        <f t="array" ref="AA77">SUMPRODUCT((AA$4:AA$64*($D$4:$D$64=$B77)),$H$4:$H$64)</f>
        <v>16346.25</v>
      </c>
      <c r="AB77" s="76">
        <f t="array" ref="AB77">SUMPRODUCT((AB$4:AB$64*($D$4:$D$64=$B77)),$H$4:$H$64)</f>
        <v>16346.25</v>
      </c>
      <c r="AC77" s="76">
        <f t="array" ref="AC77">SUMPRODUCT((AC$4:AC$64*($D$4:$D$64=$B77)),$H$4:$H$64)</f>
        <v>16346.25</v>
      </c>
      <c r="AD77" s="76">
        <f t="array" ref="AD77">SUMPRODUCT((AD$4:AD$64*($D$4:$D$64=$B77)),$H$4:$H$64)</f>
        <v>16346.25</v>
      </c>
      <c r="AE77" s="76">
        <f t="array" ref="AE77">SUMPRODUCT((AE$4:AE$64*($D$4:$D$64=$B77)),$H$4:$H$64)</f>
        <v>16346.25</v>
      </c>
      <c r="AF77" s="76">
        <f t="array" ref="AF77">SUMPRODUCT((AF$4:AF$64*($D$4:$D$64=$B77)),$H$4:$H$64)</f>
        <v>16346.25</v>
      </c>
      <c r="AG77" s="76">
        <f t="array" ref="AG77">SUMPRODUCT((AG$4:AG$64*($D$4:$D$64=$B77)),$H$4:$H$64)</f>
        <v>16346.25</v>
      </c>
      <c r="AH77" s="76">
        <f t="array" ref="AH77">SUMPRODUCT((AH$4:AH$64*($D$4:$D$64=$B77)),$H$4:$H$64)</f>
        <v>16346.25</v>
      </c>
      <c r="AI77" s="76">
        <f t="array" ref="AI77">SUMPRODUCT((AI$4:AI$64*($D$4:$D$64=$B77)),$H$4:$H$64)</f>
        <v>16346.25</v>
      </c>
      <c r="AJ77" s="76">
        <f t="array" ref="AJ77">SUMPRODUCT((AJ$4:AJ$64*($D$4:$D$64=$B77)),$H$4:$H$64)</f>
        <v>16346.25</v>
      </c>
      <c r="AK77" s="76">
        <f t="array" ref="AK77">SUMPRODUCT((AK$4:AK$64*($D$4:$D$64=$B77)),$H$4:$H$64)</f>
        <v>16346.25</v>
      </c>
      <c r="AL77" s="76">
        <f t="array" ref="AL77">SUMPRODUCT((AL$4:AL$64*($D$4:$D$64=$B77)),$H$4:$H$64)</f>
        <v>16346.25</v>
      </c>
      <c r="AM77" s="76">
        <f t="array" ref="AM77">SUMPRODUCT((AM$4:AM$64*($D$4:$D$64=$B77)),$H$4:$H$64)</f>
        <v>16346.25</v>
      </c>
      <c r="AN77" s="76">
        <f t="array" ref="AN77">SUMPRODUCT((AN$4:AN$64*($D$4:$D$64=$B77)),$H$4:$H$64)</f>
        <v>16346.25</v>
      </c>
      <c r="AO77" s="76">
        <f t="array" ref="AO77">SUMPRODUCT((AO$4:AO$64*($D$4:$D$64=$B77)),$H$4:$H$64)</f>
        <v>16346.25</v>
      </c>
      <c r="AP77" s="76">
        <f t="array" ref="AP77">SUMPRODUCT((AP$4:AP$64*($D$4:$D$64=$B77)),$H$4:$H$64)</f>
        <v>16346.25</v>
      </c>
      <c r="AQ77" s="76">
        <f t="array" ref="AQ77">SUMPRODUCT((AQ$4:AQ$64*($D$4:$D$64=$B77)),$H$4:$H$64)</f>
        <v>16346.25</v>
      </c>
      <c r="AR77" s="76">
        <f t="array" ref="AR77">SUMPRODUCT((AR$4:AR$64*($D$4:$D$64=$B77)),$H$4:$H$64)</f>
        <v>16346.25</v>
      </c>
      <c r="AS77" s="76">
        <f t="array" ref="AS77">SUMPRODUCT((AS$4:AS$64*($D$4:$D$64=$B77)),$H$4:$H$64)</f>
        <v>16346.25</v>
      </c>
      <c r="AT77" s="76">
        <f t="array" ref="AT77">SUMPRODUCT((AT$4:AT$64*($D$4:$D$64=$B77)),$H$4:$H$64)</f>
        <v>16346.25</v>
      </c>
      <c r="AU77" s="76">
        <f t="array" ref="AU77">SUMPRODUCT((AU$4:AU$64*($D$4:$D$64=$B77)),$H$4:$H$64)</f>
        <v>16346.25</v>
      </c>
      <c r="AV77" s="76">
        <f t="array" ref="AV77">SUMPRODUCT((AV$4:AV$64*($D$4:$D$64=$B77)),$H$4:$H$64)</f>
        <v>16346.25</v>
      </c>
      <c r="AW77" s="76">
        <f t="array" ref="AW77">SUMPRODUCT((AW$4:AW$64*($D$4:$D$64=$B77)),$H$4:$H$64)</f>
        <v>16346.25</v>
      </c>
      <c r="AX77" s="76">
        <f t="array" ref="AX77">SUMPRODUCT((AX$4:AX$64*($D$4:$D$64=$B77)),$H$4:$H$64)</f>
        <v>16346.25</v>
      </c>
      <c r="AY77" s="76">
        <f t="array" ref="AY77">SUMPRODUCT((AY$4:AY$64*($D$4:$D$64=$B77)),$H$4:$H$64)</f>
        <v>16346.25</v>
      </c>
      <c r="AZ77" s="76">
        <f t="array" ref="AZ77">SUMPRODUCT((AZ$4:AZ$64*($D$4:$D$64=$B77)),$H$4:$H$64)</f>
        <v>16346.25</v>
      </c>
      <c r="BA77" s="76">
        <f t="array" ref="BA77">SUMPRODUCT((BA$4:BA$64*($D$4:$D$64=$B77)),$H$4:$H$64)</f>
        <v>16346.25</v>
      </c>
      <c r="BB77" s="76">
        <f t="array" ref="BB77">SUMPRODUCT((BB$4:BB$64*($D$4:$D$64=$B77)),$H$4:$H$64)</f>
        <v>16346.25</v>
      </c>
      <c r="BC77" s="76">
        <f t="array" ref="BC77">SUMPRODUCT((BC$4:BC$64*($D$4:$D$64=$B77)),$H$4:$H$64)</f>
        <v>16346.25</v>
      </c>
      <c r="BD77" s="76">
        <f t="array" ref="BD77">SUMPRODUCT((BD$4:BD$64*($D$4:$D$64=$B77)),$H$4:$H$64)</f>
        <v>16346.25</v>
      </c>
      <c r="BE77" s="76">
        <f t="array" ref="BE77">SUMPRODUCT((BE$4:BE$64*($D$4:$D$64=$B77)),$H$4:$H$64)</f>
        <v>16346.25</v>
      </c>
      <c r="BF77" s="76">
        <f t="array" ref="BF77">SUMPRODUCT((BF$4:BF$64*($D$4:$D$64=$B77)),$H$4:$H$64)</f>
        <v>16346.25</v>
      </c>
      <c r="BG77" s="76">
        <f t="array" ref="BG77">SUMPRODUCT((BG$4:BG$64*($D$4:$D$64=$B77)),$H$4:$H$64)</f>
        <v>16346.25</v>
      </c>
      <c r="BH77" s="76">
        <f t="array" ref="BH77">SUMPRODUCT((BH$4:BH$64*($D$4:$D$64=$B77)),$H$4:$H$64)</f>
        <v>16346.25</v>
      </c>
      <c r="BI77" s="76">
        <f t="array" ref="BI77">SUMPRODUCT((BI$4:BI$64*($D$4:$D$64=$B77)),$H$4:$H$64)</f>
        <v>16346.25</v>
      </c>
    </row>
    <row r="78" ht="15.75" customHeight="1">
      <c r="B78" s="1" t="str">
        <f t="shared" si="82"/>
        <v>Marketing</v>
      </c>
      <c r="D78" s="30"/>
      <c r="E78" s="30"/>
      <c r="F78" s="30"/>
      <c r="G78" s="30"/>
      <c r="H78" s="30"/>
      <c r="I78" s="30"/>
      <c r="J78" s="30"/>
      <c r="K78" s="30"/>
      <c r="N78" s="76">
        <f t="array" ref="N78">SUMPRODUCT((N$4:N$64*($D$4:$D$64=$B78)),$H$4:$H$64)</f>
        <v>2325</v>
      </c>
      <c r="O78" s="76">
        <f t="array" ref="O78">SUMPRODUCT((O$4:O$64*($D$4:$D$64=$B78)),$H$4:$H$64)</f>
        <v>2325</v>
      </c>
      <c r="P78" s="76">
        <f t="array" ref="P78">SUMPRODUCT((P$4:P$64*($D$4:$D$64=$B78)),$H$4:$H$64)</f>
        <v>2325</v>
      </c>
      <c r="Q78" s="76">
        <f t="array" ref="Q78">SUMPRODUCT((Q$4:Q$64*($D$4:$D$64=$B78)),$H$4:$H$64)</f>
        <v>2325</v>
      </c>
      <c r="R78" s="76">
        <f t="array" ref="R78">SUMPRODUCT((R$4:R$64*($D$4:$D$64=$B78)),$H$4:$H$64)</f>
        <v>2325</v>
      </c>
      <c r="S78" s="76">
        <f t="array" ref="S78">SUMPRODUCT((S$4:S$64*($D$4:$D$64=$B78)),$H$4:$H$64)</f>
        <v>2325</v>
      </c>
      <c r="T78" s="76">
        <f t="array" ref="T78">SUMPRODUCT((T$4:T$64*($D$4:$D$64=$B78)),$H$4:$H$64)</f>
        <v>2325</v>
      </c>
      <c r="U78" s="76">
        <f t="array" ref="U78">SUMPRODUCT((U$4:U$64*($D$4:$D$64=$B78)),$H$4:$H$64)</f>
        <v>2325</v>
      </c>
      <c r="V78" s="76">
        <f t="array" ref="V78">SUMPRODUCT((V$4:V$64*($D$4:$D$64=$B78)),$H$4:$H$64)</f>
        <v>2325</v>
      </c>
      <c r="W78" s="76">
        <f t="array" ref="W78">SUMPRODUCT((W$4:W$64*($D$4:$D$64=$B78)),$H$4:$H$64)</f>
        <v>2325</v>
      </c>
      <c r="X78" s="76">
        <f t="array" ref="X78">SUMPRODUCT((X$4:X$64*($D$4:$D$64=$B78)),$H$4:$H$64)</f>
        <v>2325</v>
      </c>
      <c r="Y78" s="76">
        <f t="array" ref="Y78">SUMPRODUCT((Y$4:Y$64*($D$4:$D$64=$B78)),$H$4:$H$64)</f>
        <v>2325</v>
      </c>
      <c r="Z78" s="76">
        <f t="array" ref="Z78">SUMPRODUCT((Z$4:Z$64*($D$4:$D$64=$B78)),$H$4:$H$64)</f>
        <v>2325</v>
      </c>
      <c r="AA78" s="76">
        <f t="array" ref="AA78">SUMPRODUCT((AA$4:AA$64*($D$4:$D$64=$B78)),$H$4:$H$64)</f>
        <v>2325</v>
      </c>
      <c r="AB78" s="76">
        <f t="array" ref="AB78">SUMPRODUCT((AB$4:AB$64*($D$4:$D$64=$B78)),$H$4:$H$64)</f>
        <v>2325</v>
      </c>
      <c r="AC78" s="76">
        <f t="array" ref="AC78">SUMPRODUCT((AC$4:AC$64*($D$4:$D$64=$B78)),$H$4:$H$64)</f>
        <v>2325</v>
      </c>
      <c r="AD78" s="76">
        <f t="array" ref="AD78">SUMPRODUCT((AD$4:AD$64*($D$4:$D$64=$B78)),$H$4:$H$64)</f>
        <v>2325</v>
      </c>
      <c r="AE78" s="76">
        <f t="array" ref="AE78">SUMPRODUCT((AE$4:AE$64*($D$4:$D$64=$B78)),$H$4:$H$64)</f>
        <v>2325</v>
      </c>
      <c r="AF78" s="76">
        <f t="array" ref="AF78">SUMPRODUCT((AF$4:AF$64*($D$4:$D$64=$B78)),$H$4:$H$64)</f>
        <v>2325</v>
      </c>
      <c r="AG78" s="76">
        <f t="array" ref="AG78">SUMPRODUCT((AG$4:AG$64*($D$4:$D$64=$B78)),$H$4:$H$64)</f>
        <v>2325</v>
      </c>
      <c r="AH78" s="76">
        <f t="array" ref="AH78">SUMPRODUCT((AH$4:AH$64*($D$4:$D$64=$B78)),$H$4:$H$64)</f>
        <v>2325</v>
      </c>
      <c r="AI78" s="76">
        <f t="array" ref="AI78">SUMPRODUCT((AI$4:AI$64*($D$4:$D$64=$B78)),$H$4:$H$64)</f>
        <v>2325</v>
      </c>
      <c r="AJ78" s="76">
        <f t="array" ref="AJ78">SUMPRODUCT((AJ$4:AJ$64*($D$4:$D$64=$B78)),$H$4:$H$64)</f>
        <v>2325</v>
      </c>
      <c r="AK78" s="76">
        <f t="array" ref="AK78">SUMPRODUCT((AK$4:AK$64*($D$4:$D$64=$B78)),$H$4:$H$64)</f>
        <v>2325</v>
      </c>
      <c r="AL78" s="76">
        <f t="array" ref="AL78">SUMPRODUCT((AL$4:AL$64*($D$4:$D$64=$B78)),$H$4:$H$64)</f>
        <v>2325</v>
      </c>
      <c r="AM78" s="76">
        <f t="array" ref="AM78">SUMPRODUCT((AM$4:AM$64*($D$4:$D$64=$B78)),$H$4:$H$64)</f>
        <v>2325</v>
      </c>
      <c r="AN78" s="76">
        <f t="array" ref="AN78">SUMPRODUCT((AN$4:AN$64*($D$4:$D$64=$B78)),$H$4:$H$64)</f>
        <v>2325</v>
      </c>
      <c r="AO78" s="76">
        <f t="array" ref="AO78">SUMPRODUCT((AO$4:AO$64*($D$4:$D$64=$B78)),$H$4:$H$64)</f>
        <v>2325</v>
      </c>
      <c r="AP78" s="76">
        <f t="array" ref="AP78">SUMPRODUCT((AP$4:AP$64*($D$4:$D$64=$B78)),$H$4:$H$64)</f>
        <v>2325</v>
      </c>
      <c r="AQ78" s="76">
        <f t="array" ref="AQ78">SUMPRODUCT((AQ$4:AQ$64*($D$4:$D$64=$B78)),$H$4:$H$64)</f>
        <v>2325</v>
      </c>
      <c r="AR78" s="76">
        <f t="array" ref="AR78">SUMPRODUCT((AR$4:AR$64*($D$4:$D$64=$B78)),$H$4:$H$64)</f>
        <v>2325</v>
      </c>
      <c r="AS78" s="76">
        <f t="array" ref="AS78">SUMPRODUCT((AS$4:AS$64*($D$4:$D$64=$B78)),$H$4:$H$64)</f>
        <v>2325</v>
      </c>
      <c r="AT78" s="76">
        <f t="array" ref="AT78">SUMPRODUCT((AT$4:AT$64*($D$4:$D$64=$B78)),$H$4:$H$64)</f>
        <v>2325</v>
      </c>
      <c r="AU78" s="76">
        <f t="array" ref="AU78">SUMPRODUCT((AU$4:AU$64*($D$4:$D$64=$B78)),$H$4:$H$64)</f>
        <v>2325</v>
      </c>
      <c r="AV78" s="76">
        <f t="array" ref="AV78">SUMPRODUCT((AV$4:AV$64*($D$4:$D$64=$B78)),$H$4:$H$64)</f>
        <v>2325</v>
      </c>
      <c r="AW78" s="76">
        <f t="array" ref="AW78">SUMPRODUCT((AW$4:AW$64*($D$4:$D$64=$B78)),$H$4:$H$64)</f>
        <v>2325</v>
      </c>
      <c r="AX78" s="76">
        <f t="array" ref="AX78">SUMPRODUCT((AX$4:AX$64*($D$4:$D$64=$B78)),$H$4:$H$64)</f>
        <v>2325</v>
      </c>
      <c r="AY78" s="76">
        <f t="array" ref="AY78">SUMPRODUCT((AY$4:AY$64*($D$4:$D$64=$B78)),$H$4:$H$64)</f>
        <v>2325</v>
      </c>
      <c r="AZ78" s="76">
        <f t="array" ref="AZ78">SUMPRODUCT((AZ$4:AZ$64*($D$4:$D$64=$B78)),$H$4:$H$64)</f>
        <v>2325</v>
      </c>
      <c r="BA78" s="76">
        <f t="array" ref="BA78">SUMPRODUCT((BA$4:BA$64*($D$4:$D$64=$B78)),$H$4:$H$64)</f>
        <v>2325</v>
      </c>
      <c r="BB78" s="76">
        <f t="array" ref="BB78">SUMPRODUCT((BB$4:BB$64*($D$4:$D$64=$B78)),$H$4:$H$64)</f>
        <v>2325</v>
      </c>
      <c r="BC78" s="76">
        <f t="array" ref="BC78">SUMPRODUCT((BC$4:BC$64*($D$4:$D$64=$B78)),$H$4:$H$64)</f>
        <v>2325</v>
      </c>
      <c r="BD78" s="76">
        <f t="array" ref="BD78">SUMPRODUCT((BD$4:BD$64*($D$4:$D$64=$B78)),$H$4:$H$64)</f>
        <v>2325</v>
      </c>
      <c r="BE78" s="76">
        <f t="array" ref="BE78">SUMPRODUCT((BE$4:BE$64*($D$4:$D$64=$B78)),$H$4:$H$64)</f>
        <v>2325</v>
      </c>
      <c r="BF78" s="76">
        <f t="array" ref="BF78">SUMPRODUCT((BF$4:BF$64*($D$4:$D$64=$B78)),$H$4:$H$64)</f>
        <v>2325</v>
      </c>
      <c r="BG78" s="76">
        <f t="array" ref="BG78">SUMPRODUCT((BG$4:BG$64*($D$4:$D$64=$B78)),$H$4:$H$64)</f>
        <v>2325</v>
      </c>
      <c r="BH78" s="76">
        <f t="array" ref="BH78">SUMPRODUCT((BH$4:BH$64*($D$4:$D$64=$B78)),$H$4:$H$64)</f>
        <v>2325</v>
      </c>
      <c r="BI78" s="76">
        <f t="array" ref="BI78">SUMPRODUCT((BI$4:BI$64*($D$4:$D$64=$B78)),$H$4:$H$64)</f>
        <v>2325</v>
      </c>
    </row>
    <row r="79" ht="15.75" customHeight="1">
      <c r="B79" s="1" t="str">
        <f t="shared" si="82"/>
        <v>Sales</v>
      </c>
      <c r="D79" s="30"/>
      <c r="E79" s="30"/>
      <c r="F79" s="30"/>
      <c r="G79" s="30"/>
      <c r="H79" s="30"/>
      <c r="I79" s="30"/>
      <c r="J79" s="30"/>
      <c r="K79" s="30"/>
      <c r="N79" s="76">
        <f t="array" ref="N79">SUMPRODUCT((N$4:N$64*($D$4:$D$64=$B79)),$H$4:$H$64)</f>
        <v>2006.25</v>
      </c>
      <c r="O79" s="76">
        <f t="array" ref="O79">SUMPRODUCT((O$4:O$64*($D$4:$D$64=$B79)),$H$4:$H$64)</f>
        <v>2006.25</v>
      </c>
      <c r="P79" s="76">
        <f t="array" ref="P79">SUMPRODUCT((P$4:P$64*($D$4:$D$64=$B79)),$H$4:$H$64)</f>
        <v>2006.25</v>
      </c>
      <c r="Q79" s="76">
        <f t="array" ref="Q79">SUMPRODUCT((Q$4:Q$64*($D$4:$D$64=$B79)),$H$4:$H$64)</f>
        <v>2006.25</v>
      </c>
      <c r="R79" s="76">
        <f t="array" ref="R79">SUMPRODUCT((R$4:R$64*($D$4:$D$64=$B79)),$H$4:$H$64)</f>
        <v>2006.25</v>
      </c>
      <c r="S79" s="76">
        <f t="array" ref="S79">SUMPRODUCT((S$4:S$64*($D$4:$D$64=$B79)),$H$4:$H$64)</f>
        <v>2006.25</v>
      </c>
      <c r="T79" s="76">
        <f t="array" ref="T79">SUMPRODUCT((T$4:T$64*($D$4:$D$64=$B79)),$H$4:$H$64)</f>
        <v>2006.25</v>
      </c>
      <c r="U79" s="76">
        <f t="array" ref="U79">SUMPRODUCT((U$4:U$64*($D$4:$D$64=$B79)),$H$4:$H$64)</f>
        <v>2006.25</v>
      </c>
      <c r="V79" s="76">
        <f t="array" ref="V79">SUMPRODUCT((V$4:V$64*($D$4:$D$64=$B79)),$H$4:$H$64)</f>
        <v>2006.25</v>
      </c>
      <c r="W79" s="76">
        <f t="array" ref="W79">SUMPRODUCT((W$4:W$64*($D$4:$D$64=$B79)),$H$4:$H$64)</f>
        <v>2006.25</v>
      </c>
      <c r="X79" s="76">
        <f t="array" ref="X79">SUMPRODUCT((X$4:X$64*($D$4:$D$64=$B79)),$H$4:$H$64)</f>
        <v>2006.25</v>
      </c>
      <c r="Y79" s="76">
        <f t="array" ref="Y79">SUMPRODUCT((Y$4:Y$64*($D$4:$D$64=$B79)),$H$4:$H$64)</f>
        <v>2006.25</v>
      </c>
      <c r="Z79" s="76">
        <f t="array" ref="Z79">SUMPRODUCT((Z$4:Z$64*($D$4:$D$64=$B79)),$H$4:$H$64)</f>
        <v>2006.25</v>
      </c>
      <c r="AA79" s="76">
        <f t="array" ref="AA79">SUMPRODUCT((AA$4:AA$64*($D$4:$D$64=$B79)),$H$4:$H$64)</f>
        <v>2006.25</v>
      </c>
      <c r="AB79" s="76">
        <f t="array" ref="AB79">SUMPRODUCT((AB$4:AB$64*($D$4:$D$64=$B79)),$H$4:$H$64)</f>
        <v>2006.25</v>
      </c>
      <c r="AC79" s="76">
        <f t="array" ref="AC79">SUMPRODUCT((AC$4:AC$64*($D$4:$D$64=$B79)),$H$4:$H$64)</f>
        <v>2006.25</v>
      </c>
      <c r="AD79" s="76">
        <f t="array" ref="AD79">SUMPRODUCT((AD$4:AD$64*($D$4:$D$64=$B79)),$H$4:$H$64)</f>
        <v>2006.25</v>
      </c>
      <c r="AE79" s="76">
        <f t="array" ref="AE79">SUMPRODUCT((AE$4:AE$64*($D$4:$D$64=$B79)),$H$4:$H$64)</f>
        <v>2006.25</v>
      </c>
      <c r="AF79" s="76">
        <f t="array" ref="AF79">SUMPRODUCT((AF$4:AF$64*($D$4:$D$64=$B79)),$H$4:$H$64)</f>
        <v>2006.25</v>
      </c>
      <c r="AG79" s="76">
        <f t="array" ref="AG79">SUMPRODUCT((AG$4:AG$64*($D$4:$D$64=$B79)),$H$4:$H$64)</f>
        <v>2006.25</v>
      </c>
      <c r="AH79" s="76">
        <f t="array" ref="AH79">SUMPRODUCT((AH$4:AH$64*($D$4:$D$64=$B79)),$H$4:$H$64)</f>
        <v>2006.25</v>
      </c>
      <c r="AI79" s="76">
        <f t="array" ref="AI79">SUMPRODUCT((AI$4:AI$64*($D$4:$D$64=$B79)),$H$4:$H$64)</f>
        <v>2006.25</v>
      </c>
      <c r="AJ79" s="76">
        <f t="array" ref="AJ79">SUMPRODUCT((AJ$4:AJ$64*($D$4:$D$64=$B79)),$H$4:$H$64)</f>
        <v>2006.25</v>
      </c>
      <c r="AK79" s="76">
        <f t="array" ref="AK79">SUMPRODUCT((AK$4:AK$64*($D$4:$D$64=$B79)),$H$4:$H$64)</f>
        <v>2006.25</v>
      </c>
      <c r="AL79" s="76">
        <f t="array" ref="AL79">SUMPRODUCT((AL$4:AL$64*($D$4:$D$64=$B79)),$H$4:$H$64)</f>
        <v>2006.25</v>
      </c>
      <c r="AM79" s="76">
        <f t="array" ref="AM79">SUMPRODUCT((AM$4:AM$64*($D$4:$D$64=$B79)),$H$4:$H$64)</f>
        <v>2006.25</v>
      </c>
      <c r="AN79" s="76">
        <f t="array" ref="AN79">SUMPRODUCT((AN$4:AN$64*($D$4:$D$64=$B79)),$H$4:$H$64)</f>
        <v>2006.25</v>
      </c>
      <c r="AO79" s="76">
        <f t="array" ref="AO79">SUMPRODUCT((AO$4:AO$64*($D$4:$D$64=$B79)),$H$4:$H$64)</f>
        <v>2006.25</v>
      </c>
      <c r="AP79" s="76">
        <f t="array" ref="AP79">SUMPRODUCT((AP$4:AP$64*($D$4:$D$64=$B79)),$H$4:$H$64)</f>
        <v>2006.25</v>
      </c>
      <c r="AQ79" s="76">
        <f t="array" ref="AQ79">SUMPRODUCT((AQ$4:AQ$64*($D$4:$D$64=$B79)),$H$4:$H$64)</f>
        <v>2006.25</v>
      </c>
      <c r="AR79" s="76">
        <f t="array" ref="AR79">SUMPRODUCT((AR$4:AR$64*($D$4:$D$64=$B79)),$H$4:$H$64)</f>
        <v>2006.25</v>
      </c>
      <c r="AS79" s="76">
        <f t="array" ref="AS79">SUMPRODUCT((AS$4:AS$64*($D$4:$D$64=$B79)),$H$4:$H$64)</f>
        <v>2006.25</v>
      </c>
      <c r="AT79" s="76">
        <f t="array" ref="AT79">SUMPRODUCT((AT$4:AT$64*($D$4:$D$64=$B79)),$H$4:$H$64)</f>
        <v>2006.25</v>
      </c>
      <c r="AU79" s="76">
        <f t="array" ref="AU79">SUMPRODUCT((AU$4:AU$64*($D$4:$D$64=$B79)),$H$4:$H$64)</f>
        <v>2006.25</v>
      </c>
      <c r="AV79" s="76">
        <f t="array" ref="AV79">SUMPRODUCT((AV$4:AV$64*($D$4:$D$64=$B79)),$H$4:$H$64)</f>
        <v>2006.25</v>
      </c>
      <c r="AW79" s="76">
        <f t="array" ref="AW79">SUMPRODUCT((AW$4:AW$64*($D$4:$D$64=$B79)),$H$4:$H$64)</f>
        <v>2006.25</v>
      </c>
      <c r="AX79" s="76">
        <f t="array" ref="AX79">SUMPRODUCT((AX$4:AX$64*($D$4:$D$64=$B79)),$H$4:$H$64)</f>
        <v>2006.25</v>
      </c>
      <c r="AY79" s="76">
        <f t="array" ref="AY79">SUMPRODUCT((AY$4:AY$64*($D$4:$D$64=$B79)),$H$4:$H$64)</f>
        <v>2006.25</v>
      </c>
      <c r="AZ79" s="76">
        <f t="array" ref="AZ79">SUMPRODUCT((AZ$4:AZ$64*($D$4:$D$64=$B79)),$H$4:$H$64)</f>
        <v>2006.25</v>
      </c>
      <c r="BA79" s="76">
        <f t="array" ref="BA79">SUMPRODUCT((BA$4:BA$64*($D$4:$D$64=$B79)),$H$4:$H$64)</f>
        <v>2006.25</v>
      </c>
      <c r="BB79" s="76">
        <f t="array" ref="BB79">SUMPRODUCT((BB$4:BB$64*($D$4:$D$64=$B79)),$H$4:$H$64)</f>
        <v>2006.25</v>
      </c>
      <c r="BC79" s="76">
        <f t="array" ref="BC79">SUMPRODUCT((BC$4:BC$64*($D$4:$D$64=$B79)),$H$4:$H$64)</f>
        <v>2006.25</v>
      </c>
      <c r="BD79" s="76">
        <f t="array" ref="BD79">SUMPRODUCT((BD$4:BD$64*($D$4:$D$64=$B79)),$H$4:$H$64)</f>
        <v>2006.25</v>
      </c>
      <c r="BE79" s="76">
        <f t="array" ref="BE79">SUMPRODUCT((BE$4:BE$64*($D$4:$D$64=$B79)),$H$4:$H$64)</f>
        <v>2006.25</v>
      </c>
      <c r="BF79" s="76">
        <f t="array" ref="BF79">SUMPRODUCT((BF$4:BF$64*($D$4:$D$64=$B79)),$H$4:$H$64)</f>
        <v>2006.25</v>
      </c>
      <c r="BG79" s="76">
        <f t="array" ref="BG79">SUMPRODUCT((BG$4:BG$64*($D$4:$D$64=$B79)),$H$4:$H$64)</f>
        <v>2006.25</v>
      </c>
      <c r="BH79" s="76">
        <f t="array" ref="BH79">SUMPRODUCT((BH$4:BH$64*($D$4:$D$64=$B79)),$H$4:$H$64)</f>
        <v>2006.25</v>
      </c>
      <c r="BI79" s="76">
        <f t="array" ref="BI79">SUMPRODUCT((BI$4:BI$64*($D$4:$D$64=$B79)),$H$4:$H$64)</f>
        <v>2006.25</v>
      </c>
    </row>
    <row r="80" ht="15.75" customHeight="1">
      <c r="B80" s="1" t="str">
        <f t="shared" si="82"/>
        <v>Support</v>
      </c>
      <c r="D80" s="30"/>
      <c r="E80" s="30"/>
      <c r="F80" s="30"/>
      <c r="G80" s="30"/>
      <c r="H80" s="30"/>
      <c r="I80" s="30"/>
      <c r="J80" s="30"/>
      <c r="K80" s="30"/>
      <c r="N80" s="76">
        <f t="array" ref="N80">SUMPRODUCT((N$4:N$64*($D$4:$D$64=$B80)),$H$4:$H$64)</f>
        <v>4083.75</v>
      </c>
      <c r="O80" s="76">
        <f t="array" ref="O80">SUMPRODUCT((O$4:O$64*($D$4:$D$64=$B80)),$H$4:$H$64)</f>
        <v>4083.75</v>
      </c>
      <c r="P80" s="76">
        <f t="array" ref="P80">SUMPRODUCT((P$4:P$64*($D$4:$D$64=$B80)),$H$4:$H$64)</f>
        <v>4083.75</v>
      </c>
      <c r="Q80" s="76">
        <f t="array" ref="Q80">SUMPRODUCT((Q$4:Q$64*($D$4:$D$64=$B80)),$H$4:$H$64)</f>
        <v>4083.75</v>
      </c>
      <c r="R80" s="76">
        <f t="array" ref="R80">SUMPRODUCT((R$4:R$64*($D$4:$D$64=$B80)),$H$4:$H$64)</f>
        <v>4083.75</v>
      </c>
      <c r="S80" s="76">
        <f t="array" ref="S80">SUMPRODUCT((S$4:S$64*($D$4:$D$64=$B80)),$H$4:$H$64)</f>
        <v>4083.75</v>
      </c>
      <c r="T80" s="76">
        <f t="array" ref="T80">SUMPRODUCT((T$4:T$64*($D$4:$D$64=$B80)),$H$4:$H$64)</f>
        <v>4083.75</v>
      </c>
      <c r="U80" s="76">
        <f t="array" ref="U80">SUMPRODUCT((U$4:U$64*($D$4:$D$64=$B80)),$H$4:$H$64)</f>
        <v>4083.75</v>
      </c>
      <c r="V80" s="76">
        <f t="array" ref="V80">SUMPRODUCT((V$4:V$64*($D$4:$D$64=$B80)),$H$4:$H$64)</f>
        <v>4083.75</v>
      </c>
      <c r="W80" s="76">
        <f t="array" ref="W80">SUMPRODUCT((W$4:W$64*($D$4:$D$64=$B80)),$H$4:$H$64)</f>
        <v>4083.75</v>
      </c>
      <c r="X80" s="76">
        <f t="array" ref="X80">SUMPRODUCT((X$4:X$64*($D$4:$D$64=$B80)),$H$4:$H$64)</f>
        <v>4083.75</v>
      </c>
      <c r="Y80" s="76">
        <f t="array" ref="Y80">SUMPRODUCT((Y$4:Y$64*($D$4:$D$64=$B80)),$H$4:$H$64)</f>
        <v>4083.75</v>
      </c>
      <c r="Z80" s="76">
        <f t="array" ref="Z80">SUMPRODUCT((Z$4:Z$64*($D$4:$D$64=$B80)),$H$4:$H$64)</f>
        <v>4083.75</v>
      </c>
      <c r="AA80" s="76">
        <f t="array" ref="AA80">SUMPRODUCT((AA$4:AA$64*($D$4:$D$64=$B80)),$H$4:$H$64)</f>
        <v>4083.75</v>
      </c>
      <c r="AB80" s="76">
        <f t="array" ref="AB80">SUMPRODUCT((AB$4:AB$64*($D$4:$D$64=$B80)),$H$4:$H$64)</f>
        <v>4083.75</v>
      </c>
      <c r="AC80" s="76">
        <f t="array" ref="AC80">SUMPRODUCT((AC$4:AC$64*($D$4:$D$64=$B80)),$H$4:$H$64)</f>
        <v>4083.75</v>
      </c>
      <c r="AD80" s="76">
        <f t="array" ref="AD80">SUMPRODUCT((AD$4:AD$64*($D$4:$D$64=$B80)),$H$4:$H$64)</f>
        <v>4083.75</v>
      </c>
      <c r="AE80" s="76">
        <f t="array" ref="AE80">SUMPRODUCT((AE$4:AE$64*($D$4:$D$64=$B80)),$H$4:$H$64)</f>
        <v>4083.75</v>
      </c>
      <c r="AF80" s="76">
        <f t="array" ref="AF80">SUMPRODUCT((AF$4:AF$64*($D$4:$D$64=$B80)),$H$4:$H$64)</f>
        <v>4083.75</v>
      </c>
      <c r="AG80" s="76">
        <f t="array" ref="AG80">SUMPRODUCT((AG$4:AG$64*($D$4:$D$64=$B80)),$H$4:$H$64)</f>
        <v>4083.75</v>
      </c>
      <c r="AH80" s="76">
        <f t="array" ref="AH80">SUMPRODUCT((AH$4:AH$64*($D$4:$D$64=$B80)),$H$4:$H$64)</f>
        <v>4083.75</v>
      </c>
      <c r="AI80" s="76">
        <f t="array" ref="AI80">SUMPRODUCT((AI$4:AI$64*($D$4:$D$64=$B80)),$H$4:$H$64)</f>
        <v>4083.75</v>
      </c>
      <c r="AJ80" s="76">
        <f t="array" ref="AJ80">SUMPRODUCT((AJ$4:AJ$64*($D$4:$D$64=$B80)),$H$4:$H$64)</f>
        <v>4083.75</v>
      </c>
      <c r="AK80" s="76">
        <f t="array" ref="AK80">SUMPRODUCT((AK$4:AK$64*($D$4:$D$64=$B80)),$H$4:$H$64)</f>
        <v>4083.75</v>
      </c>
      <c r="AL80" s="76">
        <f t="array" ref="AL80">SUMPRODUCT((AL$4:AL$64*($D$4:$D$64=$B80)),$H$4:$H$64)</f>
        <v>4083.75</v>
      </c>
      <c r="AM80" s="76">
        <f t="array" ref="AM80">SUMPRODUCT((AM$4:AM$64*($D$4:$D$64=$B80)),$H$4:$H$64)</f>
        <v>4083.75</v>
      </c>
      <c r="AN80" s="76">
        <f t="array" ref="AN80">SUMPRODUCT((AN$4:AN$64*($D$4:$D$64=$B80)),$H$4:$H$64)</f>
        <v>4083.75</v>
      </c>
      <c r="AO80" s="76">
        <f t="array" ref="AO80">SUMPRODUCT((AO$4:AO$64*($D$4:$D$64=$B80)),$H$4:$H$64)</f>
        <v>4083.75</v>
      </c>
      <c r="AP80" s="76">
        <f t="array" ref="AP80">SUMPRODUCT((AP$4:AP$64*($D$4:$D$64=$B80)),$H$4:$H$64)</f>
        <v>4083.75</v>
      </c>
      <c r="AQ80" s="76">
        <f t="array" ref="AQ80">SUMPRODUCT((AQ$4:AQ$64*($D$4:$D$64=$B80)),$H$4:$H$64)</f>
        <v>4083.75</v>
      </c>
      <c r="AR80" s="76">
        <f t="array" ref="AR80">SUMPRODUCT((AR$4:AR$64*($D$4:$D$64=$B80)),$H$4:$H$64)</f>
        <v>4083.75</v>
      </c>
      <c r="AS80" s="76">
        <f t="array" ref="AS80">SUMPRODUCT((AS$4:AS$64*($D$4:$D$64=$B80)),$H$4:$H$64)</f>
        <v>4083.75</v>
      </c>
      <c r="AT80" s="76">
        <f t="array" ref="AT80">SUMPRODUCT((AT$4:AT$64*($D$4:$D$64=$B80)),$H$4:$H$64)</f>
        <v>4083.75</v>
      </c>
      <c r="AU80" s="76">
        <f t="array" ref="AU80">SUMPRODUCT((AU$4:AU$64*($D$4:$D$64=$B80)),$H$4:$H$64)</f>
        <v>4083.75</v>
      </c>
      <c r="AV80" s="76">
        <f t="array" ref="AV80">SUMPRODUCT((AV$4:AV$64*($D$4:$D$64=$B80)),$H$4:$H$64)</f>
        <v>4083.75</v>
      </c>
      <c r="AW80" s="76">
        <f t="array" ref="AW80">SUMPRODUCT((AW$4:AW$64*($D$4:$D$64=$B80)),$H$4:$H$64)</f>
        <v>4083.75</v>
      </c>
      <c r="AX80" s="76">
        <f t="array" ref="AX80">SUMPRODUCT((AX$4:AX$64*($D$4:$D$64=$B80)),$H$4:$H$64)</f>
        <v>4083.75</v>
      </c>
      <c r="AY80" s="76">
        <f t="array" ref="AY80">SUMPRODUCT((AY$4:AY$64*($D$4:$D$64=$B80)),$H$4:$H$64)</f>
        <v>4083.75</v>
      </c>
      <c r="AZ80" s="76">
        <f t="array" ref="AZ80">SUMPRODUCT((AZ$4:AZ$64*($D$4:$D$64=$B80)),$H$4:$H$64)</f>
        <v>4083.75</v>
      </c>
      <c r="BA80" s="76">
        <f t="array" ref="BA80">SUMPRODUCT((BA$4:BA$64*($D$4:$D$64=$B80)),$H$4:$H$64)</f>
        <v>4083.75</v>
      </c>
      <c r="BB80" s="76">
        <f t="array" ref="BB80">SUMPRODUCT((BB$4:BB$64*($D$4:$D$64=$B80)),$H$4:$H$64)</f>
        <v>4083.75</v>
      </c>
      <c r="BC80" s="76">
        <f t="array" ref="BC80">SUMPRODUCT((BC$4:BC$64*($D$4:$D$64=$B80)),$H$4:$H$64)</f>
        <v>4083.75</v>
      </c>
      <c r="BD80" s="76">
        <f t="array" ref="BD80">SUMPRODUCT((BD$4:BD$64*($D$4:$D$64=$B80)),$H$4:$H$64)</f>
        <v>4083.75</v>
      </c>
      <c r="BE80" s="76">
        <f t="array" ref="BE80">SUMPRODUCT((BE$4:BE$64*($D$4:$D$64=$B80)),$H$4:$H$64)</f>
        <v>4083.75</v>
      </c>
      <c r="BF80" s="76">
        <f t="array" ref="BF80">SUMPRODUCT((BF$4:BF$64*($D$4:$D$64=$B80)),$H$4:$H$64)</f>
        <v>4083.75</v>
      </c>
      <c r="BG80" s="76">
        <f t="array" ref="BG80">SUMPRODUCT((BG$4:BG$64*($D$4:$D$64=$B80)),$H$4:$H$64)</f>
        <v>4083.75</v>
      </c>
      <c r="BH80" s="76">
        <f t="array" ref="BH80">SUMPRODUCT((BH$4:BH$64*($D$4:$D$64=$B80)),$H$4:$H$64)</f>
        <v>4083.75</v>
      </c>
      <c r="BI80" s="76">
        <f t="array" ref="BI80">SUMPRODUCT((BI$4:BI$64*($D$4:$D$64=$B80)),$H$4:$H$64)</f>
        <v>4083.75</v>
      </c>
    </row>
    <row r="81" ht="15.75" customHeight="1">
      <c r="A81" s="7" t="s">
        <v>228</v>
      </c>
      <c r="B81" s="22"/>
      <c r="C81" s="22"/>
      <c r="D81" s="148"/>
      <c r="E81" s="148"/>
      <c r="F81" s="148"/>
      <c r="G81" s="148"/>
      <c r="H81" s="148"/>
      <c r="I81" s="148"/>
      <c r="J81" s="148"/>
      <c r="K81" s="148"/>
      <c r="L81" s="22"/>
      <c r="M81" s="22"/>
      <c r="N81" s="147">
        <f t="shared" ref="N81:BI81" si="83">SUM(N76:N80)</f>
        <v>26280</v>
      </c>
      <c r="O81" s="147">
        <f t="shared" si="83"/>
        <v>26280</v>
      </c>
      <c r="P81" s="147">
        <f t="shared" si="83"/>
        <v>26280</v>
      </c>
      <c r="Q81" s="147">
        <f t="shared" si="83"/>
        <v>26280</v>
      </c>
      <c r="R81" s="147">
        <f t="shared" si="83"/>
        <v>26280</v>
      </c>
      <c r="S81" s="147">
        <f t="shared" si="83"/>
        <v>26280</v>
      </c>
      <c r="T81" s="147">
        <f t="shared" si="83"/>
        <v>26280</v>
      </c>
      <c r="U81" s="147">
        <f t="shared" si="83"/>
        <v>26280</v>
      </c>
      <c r="V81" s="147">
        <f t="shared" si="83"/>
        <v>26280</v>
      </c>
      <c r="W81" s="147">
        <f t="shared" si="83"/>
        <v>26280</v>
      </c>
      <c r="X81" s="147">
        <f t="shared" si="83"/>
        <v>26280</v>
      </c>
      <c r="Y81" s="147">
        <f t="shared" si="83"/>
        <v>26280</v>
      </c>
      <c r="Z81" s="147">
        <f t="shared" si="83"/>
        <v>26280</v>
      </c>
      <c r="AA81" s="147">
        <f t="shared" si="83"/>
        <v>26280</v>
      </c>
      <c r="AB81" s="147">
        <f t="shared" si="83"/>
        <v>26280</v>
      </c>
      <c r="AC81" s="147">
        <f t="shared" si="83"/>
        <v>26280</v>
      </c>
      <c r="AD81" s="147">
        <f t="shared" si="83"/>
        <v>26280</v>
      </c>
      <c r="AE81" s="147">
        <f t="shared" si="83"/>
        <v>26280</v>
      </c>
      <c r="AF81" s="147">
        <f t="shared" si="83"/>
        <v>26280</v>
      </c>
      <c r="AG81" s="147">
        <f t="shared" si="83"/>
        <v>26280</v>
      </c>
      <c r="AH81" s="147">
        <f t="shared" si="83"/>
        <v>26280</v>
      </c>
      <c r="AI81" s="147">
        <f t="shared" si="83"/>
        <v>26280</v>
      </c>
      <c r="AJ81" s="147">
        <f t="shared" si="83"/>
        <v>26280</v>
      </c>
      <c r="AK81" s="147">
        <f t="shared" si="83"/>
        <v>26280</v>
      </c>
      <c r="AL81" s="147">
        <f t="shared" si="83"/>
        <v>26280</v>
      </c>
      <c r="AM81" s="147">
        <f t="shared" si="83"/>
        <v>26280</v>
      </c>
      <c r="AN81" s="147">
        <f t="shared" si="83"/>
        <v>26280</v>
      </c>
      <c r="AO81" s="147">
        <f t="shared" si="83"/>
        <v>26280</v>
      </c>
      <c r="AP81" s="147">
        <f t="shared" si="83"/>
        <v>26280</v>
      </c>
      <c r="AQ81" s="147">
        <f t="shared" si="83"/>
        <v>26280</v>
      </c>
      <c r="AR81" s="147">
        <f t="shared" si="83"/>
        <v>26280</v>
      </c>
      <c r="AS81" s="147">
        <f t="shared" si="83"/>
        <v>26280</v>
      </c>
      <c r="AT81" s="147">
        <f t="shared" si="83"/>
        <v>26280</v>
      </c>
      <c r="AU81" s="147">
        <f t="shared" si="83"/>
        <v>26280</v>
      </c>
      <c r="AV81" s="147">
        <f t="shared" si="83"/>
        <v>26280</v>
      </c>
      <c r="AW81" s="147">
        <f t="shared" si="83"/>
        <v>26280</v>
      </c>
      <c r="AX81" s="147">
        <f t="shared" si="83"/>
        <v>26280</v>
      </c>
      <c r="AY81" s="147">
        <f t="shared" si="83"/>
        <v>26280</v>
      </c>
      <c r="AZ81" s="147">
        <f t="shared" si="83"/>
        <v>26280</v>
      </c>
      <c r="BA81" s="147">
        <f t="shared" si="83"/>
        <v>26280</v>
      </c>
      <c r="BB81" s="147">
        <f t="shared" si="83"/>
        <v>26280</v>
      </c>
      <c r="BC81" s="147">
        <f t="shared" si="83"/>
        <v>26280</v>
      </c>
      <c r="BD81" s="147">
        <f t="shared" si="83"/>
        <v>26280</v>
      </c>
      <c r="BE81" s="147">
        <f t="shared" si="83"/>
        <v>26280</v>
      </c>
      <c r="BF81" s="147">
        <f t="shared" si="83"/>
        <v>26280</v>
      </c>
      <c r="BG81" s="147">
        <f t="shared" si="83"/>
        <v>26280</v>
      </c>
      <c r="BH81" s="147">
        <f t="shared" si="83"/>
        <v>26280</v>
      </c>
      <c r="BI81" s="147">
        <f t="shared" si="83"/>
        <v>26280</v>
      </c>
    </row>
    <row r="82" ht="15.75" customHeight="1">
      <c r="A82" s="31" t="s">
        <v>226</v>
      </c>
      <c r="B82" s="31"/>
      <c r="C82" s="31"/>
      <c r="D82" s="149"/>
      <c r="E82" s="149"/>
      <c r="F82" s="149"/>
      <c r="G82" s="149"/>
      <c r="H82" s="149"/>
      <c r="I82" s="149"/>
      <c r="J82" s="149"/>
      <c r="K82" s="149"/>
      <c r="L82" s="31"/>
      <c r="M82" s="31"/>
      <c r="N82" s="150">
        <f t="shared" ref="N82:BI82" si="84">SUMPRODUCT(N$4:N$64,$H$4:$H$64)-N81</f>
        <v>0</v>
      </c>
      <c r="O82" s="150">
        <f t="shared" si="84"/>
        <v>0</v>
      </c>
      <c r="P82" s="150">
        <f t="shared" si="84"/>
        <v>0</v>
      </c>
      <c r="Q82" s="150">
        <f t="shared" si="84"/>
        <v>0</v>
      </c>
      <c r="R82" s="150">
        <f t="shared" si="84"/>
        <v>0</v>
      </c>
      <c r="S82" s="150">
        <f t="shared" si="84"/>
        <v>0</v>
      </c>
      <c r="T82" s="150">
        <f t="shared" si="84"/>
        <v>0</v>
      </c>
      <c r="U82" s="150">
        <f t="shared" si="84"/>
        <v>0</v>
      </c>
      <c r="V82" s="150">
        <f t="shared" si="84"/>
        <v>0</v>
      </c>
      <c r="W82" s="150">
        <f t="shared" si="84"/>
        <v>0</v>
      </c>
      <c r="X82" s="150">
        <f t="shared" si="84"/>
        <v>0</v>
      </c>
      <c r="Y82" s="150">
        <f t="shared" si="84"/>
        <v>0</v>
      </c>
      <c r="Z82" s="150">
        <f t="shared" si="84"/>
        <v>0</v>
      </c>
      <c r="AA82" s="150">
        <f t="shared" si="84"/>
        <v>0</v>
      </c>
      <c r="AB82" s="150">
        <f t="shared" si="84"/>
        <v>0</v>
      </c>
      <c r="AC82" s="150">
        <f t="shared" si="84"/>
        <v>0</v>
      </c>
      <c r="AD82" s="150">
        <f t="shared" si="84"/>
        <v>0</v>
      </c>
      <c r="AE82" s="150">
        <f t="shared" si="84"/>
        <v>0</v>
      </c>
      <c r="AF82" s="150">
        <f t="shared" si="84"/>
        <v>0</v>
      </c>
      <c r="AG82" s="150">
        <f t="shared" si="84"/>
        <v>0</v>
      </c>
      <c r="AH82" s="150">
        <f t="shared" si="84"/>
        <v>0</v>
      </c>
      <c r="AI82" s="150">
        <f t="shared" si="84"/>
        <v>0</v>
      </c>
      <c r="AJ82" s="150">
        <f t="shared" si="84"/>
        <v>0</v>
      </c>
      <c r="AK82" s="150">
        <f t="shared" si="84"/>
        <v>0</v>
      </c>
      <c r="AL82" s="150">
        <f t="shared" si="84"/>
        <v>0</v>
      </c>
      <c r="AM82" s="150">
        <f t="shared" si="84"/>
        <v>0</v>
      </c>
      <c r="AN82" s="150">
        <f t="shared" si="84"/>
        <v>0</v>
      </c>
      <c r="AO82" s="150">
        <f t="shared" si="84"/>
        <v>0</v>
      </c>
      <c r="AP82" s="150">
        <f t="shared" si="84"/>
        <v>0</v>
      </c>
      <c r="AQ82" s="150">
        <f t="shared" si="84"/>
        <v>0</v>
      </c>
      <c r="AR82" s="150">
        <f t="shared" si="84"/>
        <v>0</v>
      </c>
      <c r="AS82" s="150">
        <f t="shared" si="84"/>
        <v>0</v>
      </c>
      <c r="AT82" s="150">
        <f t="shared" si="84"/>
        <v>0</v>
      </c>
      <c r="AU82" s="150">
        <f t="shared" si="84"/>
        <v>0</v>
      </c>
      <c r="AV82" s="150">
        <f t="shared" si="84"/>
        <v>0</v>
      </c>
      <c r="AW82" s="150">
        <f t="shared" si="84"/>
        <v>0</v>
      </c>
      <c r="AX82" s="150">
        <f t="shared" si="84"/>
        <v>0</v>
      </c>
      <c r="AY82" s="150">
        <f t="shared" si="84"/>
        <v>0</v>
      </c>
      <c r="AZ82" s="150">
        <f t="shared" si="84"/>
        <v>0</v>
      </c>
      <c r="BA82" s="150">
        <f t="shared" si="84"/>
        <v>0</v>
      </c>
      <c r="BB82" s="150">
        <f t="shared" si="84"/>
        <v>0</v>
      </c>
      <c r="BC82" s="150">
        <f t="shared" si="84"/>
        <v>0</v>
      </c>
      <c r="BD82" s="150">
        <f t="shared" si="84"/>
        <v>0</v>
      </c>
      <c r="BE82" s="150">
        <f t="shared" si="84"/>
        <v>0</v>
      </c>
      <c r="BF82" s="150">
        <f t="shared" si="84"/>
        <v>0</v>
      </c>
      <c r="BG82" s="150">
        <f t="shared" si="84"/>
        <v>0</v>
      </c>
      <c r="BH82" s="150">
        <f t="shared" si="84"/>
        <v>0</v>
      </c>
      <c r="BI82" s="150">
        <f t="shared" si="84"/>
        <v>0</v>
      </c>
    </row>
    <row r="83" ht="15.75" customHeight="1">
      <c r="A83" s="7" t="s">
        <v>229</v>
      </c>
      <c r="D83" s="30"/>
      <c r="E83" s="30"/>
      <c r="F83" s="30"/>
      <c r="G83" s="30"/>
      <c r="H83" s="30"/>
      <c r="I83" s="30"/>
      <c r="J83" s="30"/>
      <c r="K83" s="30"/>
    </row>
    <row r="84" ht="15.75" customHeight="1">
      <c r="B84" s="1" t="str">
        <f t="shared" ref="B84:B88" si="86">B76</f>
        <v>General &amp; Admin</v>
      </c>
      <c r="D84" s="30"/>
      <c r="E84" s="30"/>
      <c r="F84" s="30"/>
      <c r="G84" s="30"/>
      <c r="H84" s="30"/>
      <c r="I84" s="30"/>
      <c r="J84" s="30"/>
      <c r="K84" s="30"/>
      <c r="N84" s="76">
        <f t="shared" ref="N84:BI84" si="85">SUMIFS($K$4:$K$64,N$4:N$64,"&gt;"&amp;0,$D$4:$D$64,$B84)</f>
        <v>1675</v>
      </c>
      <c r="O84" s="76">
        <f t="shared" si="85"/>
        <v>1675</v>
      </c>
      <c r="P84" s="76">
        <f t="shared" si="85"/>
        <v>1675</v>
      </c>
      <c r="Q84" s="76">
        <f t="shared" si="85"/>
        <v>1675</v>
      </c>
      <c r="R84" s="76">
        <f t="shared" si="85"/>
        <v>1675</v>
      </c>
      <c r="S84" s="76">
        <f t="shared" si="85"/>
        <v>1675</v>
      </c>
      <c r="T84" s="76">
        <f t="shared" si="85"/>
        <v>1675</v>
      </c>
      <c r="U84" s="76">
        <f t="shared" si="85"/>
        <v>1675</v>
      </c>
      <c r="V84" s="76">
        <f t="shared" si="85"/>
        <v>1675</v>
      </c>
      <c r="W84" s="76">
        <f t="shared" si="85"/>
        <v>1675</v>
      </c>
      <c r="X84" s="76">
        <f t="shared" si="85"/>
        <v>1675</v>
      </c>
      <c r="Y84" s="76">
        <f t="shared" si="85"/>
        <v>1675</v>
      </c>
      <c r="Z84" s="76">
        <f t="shared" si="85"/>
        <v>1675</v>
      </c>
      <c r="AA84" s="76">
        <f t="shared" si="85"/>
        <v>1675</v>
      </c>
      <c r="AB84" s="76">
        <f t="shared" si="85"/>
        <v>1675</v>
      </c>
      <c r="AC84" s="76">
        <f t="shared" si="85"/>
        <v>1675</v>
      </c>
      <c r="AD84" s="76">
        <f t="shared" si="85"/>
        <v>1675</v>
      </c>
      <c r="AE84" s="76">
        <f t="shared" si="85"/>
        <v>1675</v>
      </c>
      <c r="AF84" s="76">
        <f t="shared" si="85"/>
        <v>1675</v>
      </c>
      <c r="AG84" s="76">
        <f t="shared" si="85"/>
        <v>1675</v>
      </c>
      <c r="AH84" s="76">
        <f t="shared" si="85"/>
        <v>1675</v>
      </c>
      <c r="AI84" s="76">
        <f t="shared" si="85"/>
        <v>1675</v>
      </c>
      <c r="AJ84" s="76">
        <f t="shared" si="85"/>
        <v>1675</v>
      </c>
      <c r="AK84" s="76">
        <f t="shared" si="85"/>
        <v>1675</v>
      </c>
      <c r="AL84" s="76">
        <f t="shared" si="85"/>
        <v>1675</v>
      </c>
      <c r="AM84" s="76">
        <f t="shared" si="85"/>
        <v>1675</v>
      </c>
      <c r="AN84" s="76">
        <f t="shared" si="85"/>
        <v>1675</v>
      </c>
      <c r="AO84" s="76">
        <f t="shared" si="85"/>
        <v>1675</v>
      </c>
      <c r="AP84" s="76">
        <f t="shared" si="85"/>
        <v>1675</v>
      </c>
      <c r="AQ84" s="76">
        <f t="shared" si="85"/>
        <v>1675</v>
      </c>
      <c r="AR84" s="76">
        <f t="shared" si="85"/>
        <v>1675</v>
      </c>
      <c r="AS84" s="76">
        <f t="shared" si="85"/>
        <v>1675</v>
      </c>
      <c r="AT84" s="76">
        <f t="shared" si="85"/>
        <v>1675</v>
      </c>
      <c r="AU84" s="76">
        <f t="shared" si="85"/>
        <v>1675</v>
      </c>
      <c r="AV84" s="76">
        <f t="shared" si="85"/>
        <v>1675</v>
      </c>
      <c r="AW84" s="76">
        <f t="shared" si="85"/>
        <v>1675</v>
      </c>
      <c r="AX84" s="76">
        <f t="shared" si="85"/>
        <v>1675</v>
      </c>
      <c r="AY84" s="76">
        <f t="shared" si="85"/>
        <v>1675</v>
      </c>
      <c r="AZ84" s="76">
        <f t="shared" si="85"/>
        <v>1675</v>
      </c>
      <c r="BA84" s="76">
        <f t="shared" si="85"/>
        <v>1675</v>
      </c>
      <c r="BB84" s="76">
        <f t="shared" si="85"/>
        <v>1675</v>
      </c>
      <c r="BC84" s="76">
        <f t="shared" si="85"/>
        <v>1675</v>
      </c>
      <c r="BD84" s="76">
        <f t="shared" si="85"/>
        <v>1675</v>
      </c>
      <c r="BE84" s="76">
        <f t="shared" si="85"/>
        <v>1675</v>
      </c>
      <c r="BF84" s="76">
        <f t="shared" si="85"/>
        <v>1675</v>
      </c>
      <c r="BG84" s="76">
        <f t="shared" si="85"/>
        <v>1675</v>
      </c>
      <c r="BH84" s="76">
        <f t="shared" si="85"/>
        <v>1675</v>
      </c>
      <c r="BI84" s="76">
        <f t="shared" si="85"/>
        <v>1675</v>
      </c>
    </row>
    <row r="85" ht="15.75" customHeight="1">
      <c r="B85" s="1" t="str">
        <f t="shared" si="86"/>
        <v>Engineering</v>
      </c>
      <c r="D85" s="30"/>
      <c r="E85" s="30"/>
      <c r="F85" s="30"/>
      <c r="G85" s="30"/>
      <c r="H85" s="30"/>
      <c r="I85" s="30"/>
      <c r="J85" s="30"/>
      <c r="K85" s="30"/>
      <c r="N85" s="76">
        <f t="shared" ref="N85:BI85" si="87">SUMIFS($K$4:$K$64,N$4:N$64,"&gt;"&amp;0,$D$4:$D$64,$B85)</f>
        <v>13265</v>
      </c>
      <c r="O85" s="76">
        <f t="shared" si="87"/>
        <v>13265</v>
      </c>
      <c r="P85" s="76">
        <f t="shared" si="87"/>
        <v>13265</v>
      </c>
      <c r="Q85" s="76">
        <f t="shared" si="87"/>
        <v>13265</v>
      </c>
      <c r="R85" s="76">
        <f t="shared" si="87"/>
        <v>13265</v>
      </c>
      <c r="S85" s="76">
        <f t="shared" si="87"/>
        <v>13265</v>
      </c>
      <c r="T85" s="76">
        <f t="shared" si="87"/>
        <v>13265</v>
      </c>
      <c r="U85" s="76">
        <f t="shared" si="87"/>
        <v>13265</v>
      </c>
      <c r="V85" s="76">
        <f t="shared" si="87"/>
        <v>13265</v>
      </c>
      <c r="W85" s="76">
        <f t="shared" si="87"/>
        <v>13265</v>
      </c>
      <c r="X85" s="76">
        <f t="shared" si="87"/>
        <v>13265</v>
      </c>
      <c r="Y85" s="76">
        <f t="shared" si="87"/>
        <v>13265</v>
      </c>
      <c r="Z85" s="76">
        <f t="shared" si="87"/>
        <v>13265</v>
      </c>
      <c r="AA85" s="76">
        <f t="shared" si="87"/>
        <v>13265</v>
      </c>
      <c r="AB85" s="76">
        <f t="shared" si="87"/>
        <v>13265</v>
      </c>
      <c r="AC85" s="76">
        <f t="shared" si="87"/>
        <v>13265</v>
      </c>
      <c r="AD85" s="76">
        <f t="shared" si="87"/>
        <v>13265</v>
      </c>
      <c r="AE85" s="76">
        <f t="shared" si="87"/>
        <v>13265</v>
      </c>
      <c r="AF85" s="76">
        <f t="shared" si="87"/>
        <v>13265</v>
      </c>
      <c r="AG85" s="76">
        <f t="shared" si="87"/>
        <v>13265</v>
      </c>
      <c r="AH85" s="76">
        <f t="shared" si="87"/>
        <v>13265</v>
      </c>
      <c r="AI85" s="76">
        <f t="shared" si="87"/>
        <v>13265</v>
      </c>
      <c r="AJ85" s="76">
        <f t="shared" si="87"/>
        <v>13265</v>
      </c>
      <c r="AK85" s="76">
        <f t="shared" si="87"/>
        <v>13265</v>
      </c>
      <c r="AL85" s="76">
        <f t="shared" si="87"/>
        <v>13265</v>
      </c>
      <c r="AM85" s="76">
        <f t="shared" si="87"/>
        <v>13265</v>
      </c>
      <c r="AN85" s="76">
        <f t="shared" si="87"/>
        <v>13265</v>
      </c>
      <c r="AO85" s="76">
        <f t="shared" si="87"/>
        <v>13265</v>
      </c>
      <c r="AP85" s="76">
        <f t="shared" si="87"/>
        <v>13265</v>
      </c>
      <c r="AQ85" s="76">
        <f t="shared" si="87"/>
        <v>13265</v>
      </c>
      <c r="AR85" s="76">
        <f t="shared" si="87"/>
        <v>13265</v>
      </c>
      <c r="AS85" s="76">
        <f t="shared" si="87"/>
        <v>13265</v>
      </c>
      <c r="AT85" s="76">
        <f t="shared" si="87"/>
        <v>13265</v>
      </c>
      <c r="AU85" s="76">
        <f t="shared" si="87"/>
        <v>13265</v>
      </c>
      <c r="AV85" s="76">
        <f t="shared" si="87"/>
        <v>13265</v>
      </c>
      <c r="AW85" s="76">
        <f t="shared" si="87"/>
        <v>13265</v>
      </c>
      <c r="AX85" s="76">
        <f t="shared" si="87"/>
        <v>13265</v>
      </c>
      <c r="AY85" s="76">
        <f t="shared" si="87"/>
        <v>13265</v>
      </c>
      <c r="AZ85" s="76">
        <f t="shared" si="87"/>
        <v>13265</v>
      </c>
      <c r="BA85" s="76">
        <f t="shared" si="87"/>
        <v>13265</v>
      </c>
      <c r="BB85" s="76">
        <f t="shared" si="87"/>
        <v>13265</v>
      </c>
      <c r="BC85" s="76">
        <f t="shared" si="87"/>
        <v>13265</v>
      </c>
      <c r="BD85" s="76">
        <f t="shared" si="87"/>
        <v>13265</v>
      </c>
      <c r="BE85" s="76">
        <f t="shared" si="87"/>
        <v>13265</v>
      </c>
      <c r="BF85" s="76">
        <f t="shared" si="87"/>
        <v>13265</v>
      </c>
      <c r="BG85" s="76">
        <f t="shared" si="87"/>
        <v>13265</v>
      </c>
      <c r="BH85" s="76">
        <f t="shared" si="87"/>
        <v>13265</v>
      </c>
      <c r="BI85" s="76">
        <f t="shared" si="87"/>
        <v>13265</v>
      </c>
    </row>
    <row r="86" ht="15.75" customHeight="1">
      <c r="B86" s="1" t="str">
        <f t="shared" si="86"/>
        <v>Marketing</v>
      </c>
      <c r="D86" s="30"/>
      <c r="E86" s="30"/>
      <c r="F86" s="30"/>
      <c r="G86" s="30"/>
      <c r="H86" s="30"/>
      <c r="I86" s="30"/>
      <c r="J86" s="30"/>
      <c r="K86" s="30"/>
      <c r="N86" s="76">
        <f t="shared" ref="N86:BI86" si="88">SUMIFS($K$4:$K$64,N$4:N$64,"&gt;"&amp;0,$D$4:$D$64,$B86)</f>
        <v>2033.333333</v>
      </c>
      <c r="O86" s="76">
        <f t="shared" si="88"/>
        <v>2033.333333</v>
      </c>
      <c r="P86" s="76">
        <f t="shared" si="88"/>
        <v>2033.333333</v>
      </c>
      <c r="Q86" s="76">
        <f t="shared" si="88"/>
        <v>2033.333333</v>
      </c>
      <c r="R86" s="76">
        <f t="shared" si="88"/>
        <v>2033.333333</v>
      </c>
      <c r="S86" s="76">
        <f t="shared" si="88"/>
        <v>2033.333333</v>
      </c>
      <c r="T86" s="76">
        <f t="shared" si="88"/>
        <v>2033.333333</v>
      </c>
      <c r="U86" s="76">
        <f t="shared" si="88"/>
        <v>2033.333333</v>
      </c>
      <c r="V86" s="76">
        <f t="shared" si="88"/>
        <v>2033.333333</v>
      </c>
      <c r="W86" s="76">
        <f t="shared" si="88"/>
        <v>2033.333333</v>
      </c>
      <c r="X86" s="76">
        <f t="shared" si="88"/>
        <v>2033.333333</v>
      </c>
      <c r="Y86" s="76">
        <f t="shared" si="88"/>
        <v>2033.333333</v>
      </c>
      <c r="Z86" s="76">
        <f t="shared" si="88"/>
        <v>2033.333333</v>
      </c>
      <c r="AA86" s="76">
        <f t="shared" si="88"/>
        <v>2033.333333</v>
      </c>
      <c r="AB86" s="76">
        <f t="shared" si="88"/>
        <v>2033.333333</v>
      </c>
      <c r="AC86" s="76">
        <f t="shared" si="88"/>
        <v>2033.333333</v>
      </c>
      <c r="AD86" s="76">
        <f t="shared" si="88"/>
        <v>2033.333333</v>
      </c>
      <c r="AE86" s="76">
        <f t="shared" si="88"/>
        <v>2033.333333</v>
      </c>
      <c r="AF86" s="76">
        <f t="shared" si="88"/>
        <v>2033.333333</v>
      </c>
      <c r="AG86" s="76">
        <f t="shared" si="88"/>
        <v>2033.333333</v>
      </c>
      <c r="AH86" s="76">
        <f t="shared" si="88"/>
        <v>2033.333333</v>
      </c>
      <c r="AI86" s="76">
        <f t="shared" si="88"/>
        <v>2033.333333</v>
      </c>
      <c r="AJ86" s="76">
        <f t="shared" si="88"/>
        <v>2033.333333</v>
      </c>
      <c r="AK86" s="76">
        <f t="shared" si="88"/>
        <v>2033.333333</v>
      </c>
      <c r="AL86" s="76">
        <f t="shared" si="88"/>
        <v>2033.333333</v>
      </c>
      <c r="AM86" s="76">
        <f t="shared" si="88"/>
        <v>2033.333333</v>
      </c>
      <c r="AN86" s="76">
        <f t="shared" si="88"/>
        <v>2033.333333</v>
      </c>
      <c r="AO86" s="76">
        <f t="shared" si="88"/>
        <v>2033.333333</v>
      </c>
      <c r="AP86" s="76">
        <f t="shared" si="88"/>
        <v>2033.333333</v>
      </c>
      <c r="AQ86" s="76">
        <f t="shared" si="88"/>
        <v>2033.333333</v>
      </c>
      <c r="AR86" s="76">
        <f t="shared" si="88"/>
        <v>2033.333333</v>
      </c>
      <c r="AS86" s="76">
        <f t="shared" si="88"/>
        <v>2033.333333</v>
      </c>
      <c r="AT86" s="76">
        <f t="shared" si="88"/>
        <v>2033.333333</v>
      </c>
      <c r="AU86" s="76">
        <f t="shared" si="88"/>
        <v>2033.333333</v>
      </c>
      <c r="AV86" s="76">
        <f t="shared" si="88"/>
        <v>2033.333333</v>
      </c>
      <c r="AW86" s="76">
        <f t="shared" si="88"/>
        <v>2033.333333</v>
      </c>
      <c r="AX86" s="76">
        <f t="shared" si="88"/>
        <v>2033.333333</v>
      </c>
      <c r="AY86" s="76">
        <f t="shared" si="88"/>
        <v>2033.333333</v>
      </c>
      <c r="AZ86" s="76">
        <f t="shared" si="88"/>
        <v>2033.333333</v>
      </c>
      <c r="BA86" s="76">
        <f t="shared" si="88"/>
        <v>2033.333333</v>
      </c>
      <c r="BB86" s="76">
        <f t="shared" si="88"/>
        <v>2033.333333</v>
      </c>
      <c r="BC86" s="76">
        <f t="shared" si="88"/>
        <v>2033.333333</v>
      </c>
      <c r="BD86" s="76">
        <f t="shared" si="88"/>
        <v>2033.333333</v>
      </c>
      <c r="BE86" s="76">
        <f t="shared" si="88"/>
        <v>2033.333333</v>
      </c>
      <c r="BF86" s="76">
        <f t="shared" si="88"/>
        <v>2033.333333</v>
      </c>
      <c r="BG86" s="76">
        <f t="shared" si="88"/>
        <v>2033.333333</v>
      </c>
      <c r="BH86" s="76">
        <f t="shared" si="88"/>
        <v>2033.333333</v>
      </c>
      <c r="BI86" s="76">
        <f t="shared" si="88"/>
        <v>2033.333333</v>
      </c>
    </row>
    <row r="87" ht="15.75" customHeight="1">
      <c r="B87" s="1" t="str">
        <f t="shared" si="86"/>
        <v>Sales</v>
      </c>
      <c r="D87" s="30"/>
      <c r="E87" s="30"/>
      <c r="F87" s="30"/>
      <c r="G87" s="30"/>
      <c r="H87" s="30"/>
      <c r="I87" s="30"/>
      <c r="J87" s="30"/>
      <c r="K87" s="30"/>
      <c r="N87" s="76">
        <f t="shared" ref="N87:BI87" si="89">SUMIFS($K$4:$K$64,N$4:N$64,"&gt;"&amp;0,$D$4:$D$64,$B87)</f>
        <v>1891.666667</v>
      </c>
      <c r="O87" s="76">
        <f t="shared" si="89"/>
        <v>1891.666667</v>
      </c>
      <c r="P87" s="76">
        <f t="shared" si="89"/>
        <v>1891.666667</v>
      </c>
      <c r="Q87" s="76">
        <f t="shared" si="89"/>
        <v>1891.666667</v>
      </c>
      <c r="R87" s="76">
        <f t="shared" si="89"/>
        <v>1891.666667</v>
      </c>
      <c r="S87" s="76">
        <f t="shared" si="89"/>
        <v>1891.666667</v>
      </c>
      <c r="T87" s="76">
        <f t="shared" si="89"/>
        <v>1891.666667</v>
      </c>
      <c r="U87" s="76">
        <f t="shared" si="89"/>
        <v>1891.666667</v>
      </c>
      <c r="V87" s="76">
        <f t="shared" si="89"/>
        <v>1891.666667</v>
      </c>
      <c r="W87" s="76">
        <f t="shared" si="89"/>
        <v>1891.666667</v>
      </c>
      <c r="X87" s="76">
        <f t="shared" si="89"/>
        <v>1891.666667</v>
      </c>
      <c r="Y87" s="76">
        <f t="shared" si="89"/>
        <v>1891.666667</v>
      </c>
      <c r="Z87" s="76">
        <f t="shared" si="89"/>
        <v>1891.666667</v>
      </c>
      <c r="AA87" s="76">
        <f t="shared" si="89"/>
        <v>1891.666667</v>
      </c>
      <c r="AB87" s="76">
        <f t="shared" si="89"/>
        <v>1891.666667</v>
      </c>
      <c r="AC87" s="76">
        <f t="shared" si="89"/>
        <v>1891.666667</v>
      </c>
      <c r="AD87" s="76">
        <f t="shared" si="89"/>
        <v>1891.666667</v>
      </c>
      <c r="AE87" s="76">
        <f t="shared" si="89"/>
        <v>1891.666667</v>
      </c>
      <c r="AF87" s="76">
        <f t="shared" si="89"/>
        <v>1891.666667</v>
      </c>
      <c r="AG87" s="76">
        <f t="shared" si="89"/>
        <v>1891.666667</v>
      </c>
      <c r="AH87" s="76">
        <f t="shared" si="89"/>
        <v>1891.666667</v>
      </c>
      <c r="AI87" s="76">
        <f t="shared" si="89"/>
        <v>1891.666667</v>
      </c>
      <c r="AJ87" s="76">
        <f t="shared" si="89"/>
        <v>1891.666667</v>
      </c>
      <c r="AK87" s="76">
        <f t="shared" si="89"/>
        <v>1891.666667</v>
      </c>
      <c r="AL87" s="76">
        <f t="shared" si="89"/>
        <v>1891.666667</v>
      </c>
      <c r="AM87" s="76">
        <f t="shared" si="89"/>
        <v>1891.666667</v>
      </c>
      <c r="AN87" s="76">
        <f t="shared" si="89"/>
        <v>1891.666667</v>
      </c>
      <c r="AO87" s="76">
        <f t="shared" si="89"/>
        <v>1891.666667</v>
      </c>
      <c r="AP87" s="76">
        <f t="shared" si="89"/>
        <v>1891.666667</v>
      </c>
      <c r="AQ87" s="76">
        <f t="shared" si="89"/>
        <v>1891.666667</v>
      </c>
      <c r="AR87" s="76">
        <f t="shared" si="89"/>
        <v>1891.666667</v>
      </c>
      <c r="AS87" s="76">
        <f t="shared" si="89"/>
        <v>1891.666667</v>
      </c>
      <c r="AT87" s="76">
        <f t="shared" si="89"/>
        <v>1891.666667</v>
      </c>
      <c r="AU87" s="76">
        <f t="shared" si="89"/>
        <v>1891.666667</v>
      </c>
      <c r="AV87" s="76">
        <f t="shared" si="89"/>
        <v>1891.666667</v>
      </c>
      <c r="AW87" s="76">
        <f t="shared" si="89"/>
        <v>1891.666667</v>
      </c>
      <c r="AX87" s="76">
        <f t="shared" si="89"/>
        <v>1891.666667</v>
      </c>
      <c r="AY87" s="76">
        <f t="shared" si="89"/>
        <v>1891.666667</v>
      </c>
      <c r="AZ87" s="76">
        <f t="shared" si="89"/>
        <v>1891.666667</v>
      </c>
      <c r="BA87" s="76">
        <f t="shared" si="89"/>
        <v>1891.666667</v>
      </c>
      <c r="BB87" s="76">
        <f t="shared" si="89"/>
        <v>1891.666667</v>
      </c>
      <c r="BC87" s="76">
        <f t="shared" si="89"/>
        <v>1891.666667</v>
      </c>
      <c r="BD87" s="76">
        <f t="shared" si="89"/>
        <v>1891.666667</v>
      </c>
      <c r="BE87" s="76">
        <f t="shared" si="89"/>
        <v>1891.666667</v>
      </c>
      <c r="BF87" s="76">
        <f t="shared" si="89"/>
        <v>1891.666667</v>
      </c>
      <c r="BG87" s="76">
        <f t="shared" si="89"/>
        <v>1891.666667</v>
      </c>
      <c r="BH87" s="76">
        <f t="shared" si="89"/>
        <v>1891.666667</v>
      </c>
      <c r="BI87" s="76">
        <f t="shared" si="89"/>
        <v>1891.666667</v>
      </c>
    </row>
    <row r="88" ht="15.75" customHeight="1">
      <c r="B88" s="1" t="str">
        <f t="shared" si="86"/>
        <v>Support</v>
      </c>
      <c r="D88" s="30"/>
      <c r="E88" s="30"/>
      <c r="F88" s="30"/>
      <c r="G88" s="30"/>
      <c r="H88" s="30"/>
      <c r="I88" s="30"/>
      <c r="J88" s="30"/>
      <c r="K88" s="30"/>
      <c r="N88" s="76">
        <f t="shared" ref="N88:BI88" si="90">SUMIFS($K$4:$K$64,N$4:N$64,"&gt;"&amp;0,$D$4:$D$64,$B88)</f>
        <v>5315</v>
      </c>
      <c r="O88" s="76">
        <f t="shared" si="90"/>
        <v>5315</v>
      </c>
      <c r="P88" s="76">
        <f t="shared" si="90"/>
        <v>5315</v>
      </c>
      <c r="Q88" s="76">
        <f t="shared" si="90"/>
        <v>5315</v>
      </c>
      <c r="R88" s="76">
        <f t="shared" si="90"/>
        <v>5315</v>
      </c>
      <c r="S88" s="76">
        <f t="shared" si="90"/>
        <v>5315</v>
      </c>
      <c r="T88" s="76">
        <f t="shared" si="90"/>
        <v>5315</v>
      </c>
      <c r="U88" s="76">
        <f t="shared" si="90"/>
        <v>5315</v>
      </c>
      <c r="V88" s="76">
        <f t="shared" si="90"/>
        <v>5315</v>
      </c>
      <c r="W88" s="76">
        <f t="shared" si="90"/>
        <v>5315</v>
      </c>
      <c r="X88" s="76">
        <f t="shared" si="90"/>
        <v>5315</v>
      </c>
      <c r="Y88" s="76">
        <f t="shared" si="90"/>
        <v>5315</v>
      </c>
      <c r="Z88" s="76">
        <f t="shared" si="90"/>
        <v>5315</v>
      </c>
      <c r="AA88" s="76">
        <f t="shared" si="90"/>
        <v>5315</v>
      </c>
      <c r="AB88" s="76">
        <f t="shared" si="90"/>
        <v>5315</v>
      </c>
      <c r="AC88" s="76">
        <f t="shared" si="90"/>
        <v>5315</v>
      </c>
      <c r="AD88" s="76">
        <f t="shared" si="90"/>
        <v>5315</v>
      </c>
      <c r="AE88" s="76">
        <f t="shared" si="90"/>
        <v>5315</v>
      </c>
      <c r="AF88" s="76">
        <f t="shared" si="90"/>
        <v>5315</v>
      </c>
      <c r="AG88" s="76">
        <f t="shared" si="90"/>
        <v>5315</v>
      </c>
      <c r="AH88" s="76">
        <f t="shared" si="90"/>
        <v>5315</v>
      </c>
      <c r="AI88" s="76">
        <f t="shared" si="90"/>
        <v>5315</v>
      </c>
      <c r="AJ88" s="76">
        <f t="shared" si="90"/>
        <v>5315</v>
      </c>
      <c r="AK88" s="76">
        <f t="shared" si="90"/>
        <v>5315</v>
      </c>
      <c r="AL88" s="76">
        <f t="shared" si="90"/>
        <v>5315</v>
      </c>
      <c r="AM88" s="76">
        <f t="shared" si="90"/>
        <v>5315</v>
      </c>
      <c r="AN88" s="76">
        <f t="shared" si="90"/>
        <v>5315</v>
      </c>
      <c r="AO88" s="76">
        <f t="shared" si="90"/>
        <v>5315</v>
      </c>
      <c r="AP88" s="76">
        <f t="shared" si="90"/>
        <v>5315</v>
      </c>
      <c r="AQ88" s="76">
        <f t="shared" si="90"/>
        <v>5315</v>
      </c>
      <c r="AR88" s="76">
        <f t="shared" si="90"/>
        <v>5315</v>
      </c>
      <c r="AS88" s="76">
        <f t="shared" si="90"/>
        <v>5315</v>
      </c>
      <c r="AT88" s="76">
        <f t="shared" si="90"/>
        <v>5315</v>
      </c>
      <c r="AU88" s="76">
        <f t="shared" si="90"/>
        <v>5315</v>
      </c>
      <c r="AV88" s="76">
        <f t="shared" si="90"/>
        <v>5315</v>
      </c>
      <c r="AW88" s="76">
        <f t="shared" si="90"/>
        <v>5315</v>
      </c>
      <c r="AX88" s="76">
        <f t="shared" si="90"/>
        <v>5315</v>
      </c>
      <c r="AY88" s="76">
        <f t="shared" si="90"/>
        <v>5315</v>
      </c>
      <c r="AZ88" s="76">
        <f t="shared" si="90"/>
        <v>5315</v>
      </c>
      <c r="BA88" s="76">
        <f t="shared" si="90"/>
        <v>5315</v>
      </c>
      <c r="BB88" s="76">
        <f t="shared" si="90"/>
        <v>5315</v>
      </c>
      <c r="BC88" s="76">
        <f t="shared" si="90"/>
        <v>5315</v>
      </c>
      <c r="BD88" s="76">
        <f t="shared" si="90"/>
        <v>5315</v>
      </c>
      <c r="BE88" s="76">
        <f t="shared" si="90"/>
        <v>5315</v>
      </c>
      <c r="BF88" s="76">
        <f t="shared" si="90"/>
        <v>5315</v>
      </c>
      <c r="BG88" s="76">
        <f t="shared" si="90"/>
        <v>5315</v>
      </c>
      <c r="BH88" s="76">
        <f t="shared" si="90"/>
        <v>5315</v>
      </c>
      <c r="BI88" s="76">
        <f t="shared" si="90"/>
        <v>5315</v>
      </c>
    </row>
    <row r="89" ht="15.75" customHeight="1">
      <c r="A89" s="7" t="s">
        <v>230</v>
      </c>
      <c r="B89" s="22"/>
      <c r="C89" s="22"/>
      <c r="D89" s="148"/>
      <c r="E89" s="148"/>
      <c r="F89" s="148"/>
      <c r="G89" s="148"/>
      <c r="H89" s="148"/>
      <c r="I89" s="148"/>
      <c r="J89" s="148"/>
      <c r="K89" s="148"/>
      <c r="L89" s="22"/>
      <c r="M89" s="22"/>
      <c r="N89" s="147">
        <f t="shared" ref="N89:BI89" si="91">SUM(N84:N88)</f>
        <v>24180</v>
      </c>
      <c r="O89" s="147">
        <f t="shared" si="91"/>
        <v>24180</v>
      </c>
      <c r="P89" s="147">
        <f t="shared" si="91"/>
        <v>24180</v>
      </c>
      <c r="Q89" s="147">
        <f t="shared" si="91"/>
        <v>24180</v>
      </c>
      <c r="R89" s="147">
        <f t="shared" si="91"/>
        <v>24180</v>
      </c>
      <c r="S89" s="147">
        <f t="shared" si="91"/>
        <v>24180</v>
      </c>
      <c r="T89" s="147">
        <f t="shared" si="91"/>
        <v>24180</v>
      </c>
      <c r="U89" s="147">
        <f t="shared" si="91"/>
        <v>24180</v>
      </c>
      <c r="V89" s="147">
        <f t="shared" si="91"/>
        <v>24180</v>
      </c>
      <c r="W89" s="147">
        <f t="shared" si="91"/>
        <v>24180</v>
      </c>
      <c r="X89" s="147">
        <f t="shared" si="91"/>
        <v>24180</v>
      </c>
      <c r="Y89" s="147">
        <f t="shared" si="91"/>
        <v>24180</v>
      </c>
      <c r="Z89" s="147">
        <f t="shared" si="91"/>
        <v>24180</v>
      </c>
      <c r="AA89" s="147">
        <f t="shared" si="91"/>
        <v>24180</v>
      </c>
      <c r="AB89" s="147">
        <f t="shared" si="91"/>
        <v>24180</v>
      </c>
      <c r="AC89" s="147">
        <f t="shared" si="91"/>
        <v>24180</v>
      </c>
      <c r="AD89" s="147">
        <f t="shared" si="91"/>
        <v>24180</v>
      </c>
      <c r="AE89" s="147">
        <f t="shared" si="91"/>
        <v>24180</v>
      </c>
      <c r="AF89" s="147">
        <f t="shared" si="91"/>
        <v>24180</v>
      </c>
      <c r="AG89" s="147">
        <f t="shared" si="91"/>
        <v>24180</v>
      </c>
      <c r="AH89" s="147">
        <f t="shared" si="91"/>
        <v>24180</v>
      </c>
      <c r="AI89" s="147">
        <f t="shared" si="91"/>
        <v>24180</v>
      </c>
      <c r="AJ89" s="147">
        <f t="shared" si="91"/>
        <v>24180</v>
      </c>
      <c r="AK89" s="147">
        <f t="shared" si="91"/>
        <v>24180</v>
      </c>
      <c r="AL89" s="147">
        <f t="shared" si="91"/>
        <v>24180</v>
      </c>
      <c r="AM89" s="147">
        <f t="shared" si="91"/>
        <v>24180</v>
      </c>
      <c r="AN89" s="147">
        <f t="shared" si="91"/>
        <v>24180</v>
      </c>
      <c r="AO89" s="147">
        <f t="shared" si="91"/>
        <v>24180</v>
      </c>
      <c r="AP89" s="147">
        <f t="shared" si="91"/>
        <v>24180</v>
      </c>
      <c r="AQ89" s="147">
        <f t="shared" si="91"/>
        <v>24180</v>
      </c>
      <c r="AR89" s="147">
        <f t="shared" si="91"/>
        <v>24180</v>
      </c>
      <c r="AS89" s="147">
        <f t="shared" si="91"/>
        <v>24180</v>
      </c>
      <c r="AT89" s="147">
        <f t="shared" si="91"/>
        <v>24180</v>
      </c>
      <c r="AU89" s="147">
        <f t="shared" si="91"/>
        <v>24180</v>
      </c>
      <c r="AV89" s="147">
        <f t="shared" si="91"/>
        <v>24180</v>
      </c>
      <c r="AW89" s="147">
        <f t="shared" si="91"/>
        <v>24180</v>
      </c>
      <c r="AX89" s="147">
        <f t="shared" si="91"/>
        <v>24180</v>
      </c>
      <c r="AY89" s="147">
        <f t="shared" si="91"/>
        <v>24180</v>
      </c>
      <c r="AZ89" s="147">
        <f t="shared" si="91"/>
        <v>24180</v>
      </c>
      <c r="BA89" s="147">
        <f t="shared" si="91"/>
        <v>24180</v>
      </c>
      <c r="BB89" s="147">
        <f t="shared" si="91"/>
        <v>24180</v>
      </c>
      <c r="BC89" s="147">
        <f t="shared" si="91"/>
        <v>24180</v>
      </c>
      <c r="BD89" s="147">
        <f t="shared" si="91"/>
        <v>24180</v>
      </c>
      <c r="BE89" s="147">
        <f t="shared" si="91"/>
        <v>24180</v>
      </c>
      <c r="BF89" s="147">
        <f t="shared" si="91"/>
        <v>24180</v>
      </c>
      <c r="BG89" s="147">
        <f t="shared" si="91"/>
        <v>24180</v>
      </c>
      <c r="BH89" s="147">
        <f t="shared" si="91"/>
        <v>24180</v>
      </c>
      <c r="BI89" s="147">
        <f t="shared" si="91"/>
        <v>24180</v>
      </c>
    </row>
    <row r="90" ht="15.75" customHeight="1">
      <c r="A90" s="31" t="s">
        <v>226</v>
      </c>
      <c r="B90" s="31"/>
      <c r="C90" s="31"/>
      <c r="D90" s="149"/>
      <c r="E90" s="149"/>
      <c r="F90" s="149"/>
      <c r="G90" s="149"/>
      <c r="H90" s="149"/>
      <c r="I90" s="149"/>
      <c r="J90" s="149"/>
      <c r="K90" s="149"/>
      <c r="L90" s="31"/>
      <c r="M90" s="31"/>
      <c r="N90" s="150">
        <f t="shared" ref="N90:BI90" si="92">ROUND(SUMIFS($K$4:$K$64,N$4:N$64,"&gt;"&amp;0)-N89,2)</f>
        <v>0</v>
      </c>
      <c r="O90" s="150">
        <f t="shared" si="92"/>
        <v>0</v>
      </c>
      <c r="P90" s="150">
        <f t="shared" si="92"/>
        <v>0</v>
      </c>
      <c r="Q90" s="150">
        <f t="shared" si="92"/>
        <v>0</v>
      </c>
      <c r="R90" s="150">
        <f t="shared" si="92"/>
        <v>0</v>
      </c>
      <c r="S90" s="150">
        <f t="shared" si="92"/>
        <v>0</v>
      </c>
      <c r="T90" s="150">
        <f t="shared" si="92"/>
        <v>0</v>
      </c>
      <c r="U90" s="150">
        <f t="shared" si="92"/>
        <v>0</v>
      </c>
      <c r="V90" s="150">
        <f t="shared" si="92"/>
        <v>0</v>
      </c>
      <c r="W90" s="150">
        <f t="shared" si="92"/>
        <v>0</v>
      </c>
      <c r="X90" s="150">
        <f t="shared" si="92"/>
        <v>0</v>
      </c>
      <c r="Y90" s="150">
        <f t="shared" si="92"/>
        <v>0</v>
      </c>
      <c r="Z90" s="150">
        <f t="shared" si="92"/>
        <v>0</v>
      </c>
      <c r="AA90" s="150">
        <f t="shared" si="92"/>
        <v>0</v>
      </c>
      <c r="AB90" s="150">
        <f t="shared" si="92"/>
        <v>0</v>
      </c>
      <c r="AC90" s="150">
        <f t="shared" si="92"/>
        <v>0</v>
      </c>
      <c r="AD90" s="150">
        <f t="shared" si="92"/>
        <v>0</v>
      </c>
      <c r="AE90" s="150">
        <f t="shared" si="92"/>
        <v>0</v>
      </c>
      <c r="AF90" s="150">
        <f t="shared" si="92"/>
        <v>0</v>
      </c>
      <c r="AG90" s="150">
        <f t="shared" si="92"/>
        <v>0</v>
      </c>
      <c r="AH90" s="150">
        <f t="shared" si="92"/>
        <v>0</v>
      </c>
      <c r="AI90" s="150">
        <f t="shared" si="92"/>
        <v>0</v>
      </c>
      <c r="AJ90" s="150">
        <f t="shared" si="92"/>
        <v>0</v>
      </c>
      <c r="AK90" s="150">
        <f t="shared" si="92"/>
        <v>0</v>
      </c>
      <c r="AL90" s="150">
        <f t="shared" si="92"/>
        <v>0</v>
      </c>
      <c r="AM90" s="150">
        <f t="shared" si="92"/>
        <v>0</v>
      </c>
      <c r="AN90" s="150">
        <f t="shared" si="92"/>
        <v>0</v>
      </c>
      <c r="AO90" s="150">
        <f t="shared" si="92"/>
        <v>0</v>
      </c>
      <c r="AP90" s="150">
        <f t="shared" si="92"/>
        <v>0</v>
      </c>
      <c r="AQ90" s="150">
        <f t="shared" si="92"/>
        <v>0</v>
      </c>
      <c r="AR90" s="150">
        <f t="shared" si="92"/>
        <v>0</v>
      </c>
      <c r="AS90" s="150">
        <f t="shared" si="92"/>
        <v>0</v>
      </c>
      <c r="AT90" s="150">
        <f t="shared" si="92"/>
        <v>0</v>
      </c>
      <c r="AU90" s="150">
        <f t="shared" si="92"/>
        <v>0</v>
      </c>
      <c r="AV90" s="150">
        <f t="shared" si="92"/>
        <v>0</v>
      </c>
      <c r="AW90" s="150">
        <f t="shared" si="92"/>
        <v>0</v>
      </c>
      <c r="AX90" s="150">
        <f t="shared" si="92"/>
        <v>0</v>
      </c>
      <c r="AY90" s="150">
        <f t="shared" si="92"/>
        <v>0</v>
      </c>
      <c r="AZ90" s="150">
        <f t="shared" si="92"/>
        <v>0</v>
      </c>
      <c r="BA90" s="150">
        <f t="shared" si="92"/>
        <v>0</v>
      </c>
      <c r="BB90" s="150">
        <f t="shared" si="92"/>
        <v>0</v>
      </c>
      <c r="BC90" s="150">
        <f t="shared" si="92"/>
        <v>0</v>
      </c>
      <c r="BD90" s="150">
        <f t="shared" si="92"/>
        <v>0</v>
      </c>
      <c r="BE90" s="150">
        <f t="shared" si="92"/>
        <v>0</v>
      </c>
      <c r="BF90" s="150">
        <f t="shared" si="92"/>
        <v>0</v>
      </c>
      <c r="BG90" s="150">
        <f t="shared" si="92"/>
        <v>0</v>
      </c>
      <c r="BH90" s="150">
        <f t="shared" si="92"/>
        <v>0</v>
      </c>
      <c r="BI90" s="150">
        <f t="shared" si="92"/>
        <v>0</v>
      </c>
    </row>
    <row r="91" ht="15.75" customHeight="1">
      <c r="A91" s="7" t="s">
        <v>231</v>
      </c>
      <c r="D91" s="30"/>
      <c r="E91" s="30"/>
      <c r="F91" s="30"/>
      <c r="G91" s="30"/>
      <c r="H91" s="30"/>
      <c r="I91" s="30"/>
      <c r="J91" s="30"/>
      <c r="K91" s="30"/>
    </row>
    <row r="92" ht="15.75" customHeight="1">
      <c r="B92" s="1" t="str">
        <f t="shared" ref="B92:B96" si="94">B76</f>
        <v>General &amp; Admin</v>
      </c>
      <c r="D92" s="30"/>
      <c r="E92" s="30"/>
      <c r="F92" s="30"/>
      <c r="G92" s="30"/>
      <c r="H92" s="30"/>
      <c r="I92" s="30"/>
      <c r="J92" s="30"/>
      <c r="K92" s="30"/>
      <c r="N92" s="76">
        <f t="shared" ref="N92:BI92" si="93">SUMIFS(N$4:N$64,$D$4:$D$64,$B92,$H$4:$H$64,"")</f>
        <v>0</v>
      </c>
      <c r="O92" s="76">
        <f t="shared" si="93"/>
        <v>0</v>
      </c>
      <c r="P92" s="76">
        <f t="shared" si="93"/>
        <v>0</v>
      </c>
      <c r="Q92" s="76">
        <f t="shared" si="93"/>
        <v>0</v>
      </c>
      <c r="R92" s="76">
        <f t="shared" si="93"/>
        <v>0</v>
      </c>
      <c r="S92" s="76">
        <f t="shared" si="93"/>
        <v>0</v>
      </c>
      <c r="T92" s="76">
        <f t="shared" si="93"/>
        <v>0</v>
      </c>
      <c r="U92" s="76">
        <f t="shared" si="93"/>
        <v>0</v>
      </c>
      <c r="V92" s="76">
        <f t="shared" si="93"/>
        <v>0</v>
      </c>
      <c r="W92" s="76">
        <f t="shared" si="93"/>
        <v>0</v>
      </c>
      <c r="X92" s="76">
        <f t="shared" si="93"/>
        <v>0</v>
      </c>
      <c r="Y92" s="76">
        <f t="shared" si="93"/>
        <v>0</v>
      </c>
      <c r="Z92" s="76">
        <f t="shared" si="93"/>
        <v>0</v>
      </c>
      <c r="AA92" s="76">
        <f t="shared" si="93"/>
        <v>0</v>
      </c>
      <c r="AB92" s="76">
        <f t="shared" si="93"/>
        <v>0</v>
      </c>
      <c r="AC92" s="76">
        <f t="shared" si="93"/>
        <v>0</v>
      </c>
      <c r="AD92" s="76">
        <f t="shared" si="93"/>
        <v>0</v>
      </c>
      <c r="AE92" s="76">
        <f t="shared" si="93"/>
        <v>0</v>
      </c>
      <c r="AF92" s="76">
        <f t="shared" si="93"/>
        <v>0</v>
      </c>
      <c r="AG92" s="76">
        <f t="shared" si="93"/>
        <v>0</v>
      </c>
      <c r="AH92" s="76">
        <f t="shared" si="93"/>
        <v>0</v>
      </c>
      <c r="AI92" s="76">
        <f t="shared" si="93"/>
        <v>0</v>
      </c>
      <c r="AJ92" s="76">
        <f t="shared" si="93"/>
        <v>0</v>
      </c>
      <c r="AK92" s="76">
        <f t="shared" si="93"/>
        <v>0</v>
      </c>
      <c r="AL92" s="76">
        <f t="shared" si="93"/>
        <v>0</v>
      </c>
      <c r="AM92" s="76">
        <f t="shared" si="93"/>
        <v>0</v>
      </c>
      <c r="AN92" s="76">
        <f t="shared" si="93"/>
        <v>0</v>
      </c>
      <c r="AO92" s="76">
        <f t="shared" si="93"/>
        <v>0</v>
      </c>
      <c r="AP92" s="76">
        <f t="shared" si="93"/>
        <v>0</v>
      </c>
      <c r="AQ92" s="76">
        <f t="shared" si="93"/>
        <v>0</v>
      </c>
      <c r="AR92" s="76">
        <f t="shared" si="93"/>
        <v>0</v>
      </c>
      <c r="AS92" s="76">
        <f t="shared" si="93"/>
        <v>0</v>
      </c>
      <c r="AT92" s="76">
        <f t="shared" si="93"/>
        <v>0</v>
      </c>
      <c r="AU92" s="76">
        <f t="shared" si="93"/>
        <v>0</v>
      </c>
      <c r="AV92" s="76">
        <f t="shared" si="93"/>
        <v>0</v>
      </c>
      <c r="AW92" s="76">
        <f t="shared" si="93"/>
        <v>0</v>
      </c>
      <c r="AX92" s="76">
        <f t="shared" si="93"/>
        <v>0</v>
      </c>
      <c r="AY92" s="76">
        <f t="shared" si="93"/>
        <v>0</v>
      </c>
      <c r="AZ92" s="76">
        <f t="shared" si="93"/>
        <v>0</v>
      </c>
      <c r="BA92" s="76">
        <f t="shared" si="93"/>
        <v>0</v>
      </c>
      <c r="BB92" s="76">
        <f t="shared" si="93"/>
        <v>0</v>
      </c>
      <c r="BC92" s="76">
        <f t="shared" si="93"/>
        <v>0</v>
      </c>
      <c r="BD92" s="76">
        <f t="shared" si="93"/>
        <v>0</v>
      </c>
      <c r="BE92" s="76">
        <f t="shared" si="93"/>
        <v>0</v>
      </c>
      <c r="BF92" s="76">
        <f t="shared" si="93"/>
        <v>0</v>
      </c>
      <c r="BG92" s="76">
        <f t="shared" si="93"/>
        <v>0</v>
      </c>
      <c r="BH92" s="76">
        <f t="shared" si="93"/>
        <v>0</v>
      </c>
      <c r="BI92" s="76">
        <f t="shared" si="93"/>
        <v>0</v>
      </c>
    </row>
    <row r="93" ht="15.75" customHeight="1">
      <c r="B93" s="1" t="str">
        <f t="shared" si="94"/>
        <v>Engineering</v>
      </c>
      <c r="D93" s="30"/>
      <c r="E93" s="30"/>
      <c r="F93" s="30"/>
      <c r="G93" s="30"/>
      <c r="H93" s="30"/>
      <c r="I93" s="30"/>
      <c r="J93" s="30"/>
      <c r="K93" s="30"/>
      <c r="N93" s="76">
        <f t="shared" ref="N93:BI93" si="95">SUMIFS(N$4:N$64,$D$4:$D$64,$B93,$H$4:$H$64,"")</f>
        <v>0</v>
      </c>
      <c r="O93" s="76">
        <f t="shared" si="95"/>
        <v>0</v>
      </c>
      <c r="P93" s="76">
        <f t="shared" si="95"/>
        <v>0</v>
      </c>
      <c r="Q93" s="76">
        <f t="shared" si="95"/>
        <v>0</v>
      </c>
      <c r="R93" s="76">
        <f t="shared" si="95"/>
        <v>0</v>
      </c>
      <c r="S93" s="76">
        <f t="shared" si="95"/>
        <v>0</v>
      </c>
      <c r="T93" s="76">
        <f t="shared" si="95"/>
        <v>0</v>
      </c>
      <c r="U93" s="76">
        <f t="shared" si="95"/>
        <v>0</v>
      </c>
      <c r="V93" s="76">
        <f t="shared" si="95"/>
        <v>0</v>
      </c>
      <c r="W93" s="76">
        <f t="shared" si="95"/>
        <v>0</v>
      </c>
      <c r="X93" s="76">
        <f t="shared" si="95"/>
        <v>0</v>
      </c>
      <c r="Y93" s="76">
        <f t="shared" si="95"/>
        <v>0</v>
      </c>
      <c r="Z93" s="76">
        <f t="shared" si="95"/>
        <v>0</v>
      </c>
      <c r="AA93" s="76">
        <f t="shared" si="95"/>
        <v>0</v>
      </c>
      <c r="AB93" s="76">
        <f t="shared" si="95"/>
        <v>0</v>
      </c>
      <c r="AC93" s="76">
        <f t="shared" si="95"/>
        <v>0</v>
      </c>
      <c r="AD93" s="76">
        <f t="shared" si="95"/>
        <v>0</v>
      </c>
      <c r="AE93" s="76">
        <f t="shared" si="95"/>
        <v>0</v>
      </c>
      <c r="AF93" s="76">
        <f t="shared" si="95"/>
        <v>0</v>
      </c>
      <c r="AG93" s="76">
        <f t="shared" si="95"/>
        <v>0</v>
      </c>
      <c r="AH93" s="76">
        <f t="shared" si="95"/>
        <v>0</v>
      </c>
      <c r="AI93" s="76">
        <f t="shared" si="95"/>
        <v>0</v>
      </c>
      <c r="AJ93" s="76">
        <f t="shared" si="95"/>
        <v>0</v>
      </c>
      <c r="AK93" s="76">
        <f t="shared" si="95"/>
        <v>0</v>
      </c>
      <c r="AL93" s="76">
        <f t="shared" si="95"/>
        <v>0</v>
      </c>
      <c r="AM93" s="76">
        <f t="shared" si="95"/>
        <v>0</v>
      </c>
      <c r="AN93" s="76">
        <f t="shared" si="95"/>
        <v>0</v>
      </c>
      <c r="AO93" s="76">
        <f t="shared" si="95"/>
        <v>0</v>
      </c>
      <c r="AP93" s="76">
        <f t="shared" si="95"/>
        <v>0</v>
      </c>
      <c r="AQ93" s="76">
        <f t="shared" si="95"/>
        <v>0</v>
      </c>
      <c r="AR93" s="76">
        <f t="shared" si="95"/>
        <v>0</v>
      </c>
      <c r="AS93" s="76">
        <f t="shared" si="95"/>
        <v>0</v>
      </c>
      <c r="AT93" s="76">
        <f t="shared" si="95"/>
        <v>0</v>
      </c>
      <c r="AU93" s="76">
        <f t="shared" si="95"/>
        <v>0</v>
      </c>
      <c r="AV93" s="76">
        <f t="shared" si="95"/>
        <v>0</v>
      </c>
      <c r="AW93" s="76">
        <f t="shared" si="95"/>
        <v>0</v>
      </c>
      <c r="AX93" s="76">
        <f t="shared" si="95"/>
        <v>0</v>
      </c>
      <c r="AY93" s="76">
        <f t="shared" si="95"/>
        <v>0</v>
      </c>
      <c r="AZ93" s="76">
        <f t="shared" si="95"/>
        <v>0</v>
      </c>
      <c r="BA93" s="76">
        <f t="shared" si="95"/>
        <v>0</v>
      </c>
      <c r="BB93" s="76">
        <f t="shared" si="95"/>
        <v>0</v>
      </c>
      <c r="BC93" s="76">
        <f t="shared" si="95"/>
        <v>0</v>
      </c>
      <c r="BD93" s="76">
        <f t="shared" si="95"/>
        <v>0</v>
      </c>
      <c r="BE93" s="76">
        <f t="shared" si="95"/>
        <v>0</v>
      </c>
      <c r="BF93" s="76">
        <f t="shared" si="95"/>
        <v>0</v>
      </c>
      <c r="BG93" s="76">
        <f t="shared" si="95"/>
        <v>0</v>
      </c>
      <c r="BH93" s="76">
        <f t="shared" si="95"/>
        <v>0</v>
      </c>
      <c r="BI93" s="76">
        <f t="shared" si="95"/>
        <v>0</v>
      </c>
    </row>
    <row r="94" ht="15.75" customHeight="1">
      <c r="B94" s="1" t="str">
        <f t="shared" si="94"/>
        <v>Marketing</v>
      </c>
      <c r="D94" s="30"/>
      <c r="E94" s="30"/>
      <c r="F94" s="30"/>
      <c r="G94" s="30"/>
      <c r="H94" s="30"/>
      <c r="I94" s="30"/>
      <c r="J94" s="30"/>
      <c r="K94" s="30"/>
      <c r="N94" s="76">
        <f t="shared" ref="N94:BI94" si="96">SUMIFS(N$4:N$64,$D$4:$D$64,$B94,$H$4:$H$64,"")</f>
        <v>0</v>
      </c>
      <c r="O94" s="76">
        <f t="shared" si="96"/>
        <v>0</v>
      </c>
      <c r="P94" s="76">
        <f t="shared" si="96"/>
        <v>0</v>
      </c>
      <c r="Q94" s="76">
        <f t="shared" si="96"/>
        <v>0</v>
      </c>
      <c r="R94" s="76">
        <f t="shared" si="96"/>
        <v>0</v>
      </c>
      <c r="S94" s="76">
        <f t="shared" si="96"/>
        <v>0</v>
      </c>
      <c r="T94" s="76">
        <f t="shared" si="96"/>
        <v>0</v>
      </c>
      <c r="U94" s="76">
        <f t="shared" si="96"/>
        <v>0</v>
      </c>
      <c r="V94" s="76">
        <f t="shared" si="96"/>
        <v>0</v>
      </c>
      <c r="W94" s="76">
        <f t="shared" si="96"/>
        <v>0</v>
      </c>
      <c r="X94" s="76">
        <f t="shared" si="96"/>
        <v>0</v>
      </c>
      <c r="Y94" s="76">
        <f t="shared" si="96"/>
        <v>0</v>
      </c>
      <c r="Z94" s="76">
        <f t="shared" si="96"/>
        <v>0</v>
      </c>
      <c r="AA94" s="76">
        <f t="shared" si="96"/>
        <v>0</v>
      </c>
      <c r="AB94" s="76">
        <f t="shared" si="96"/>
        <v>0</v>
      </c>
      <c r="AC94" s="76">
        <f t="shared" si="96"/>
        <v>0</v>
      </c>
      <c r="AD94" s="76">
        <f t="shared" si="96"/>
        <v>0</v>
      </c>
      <c r="AE94" s="76">
        <f t="shared" si="96"/>
        <v>0</v>
      </c>
      <c r="AF94" s="76">
        <f t="shared" si="96"/>
        <v>0</v>
      </c>
      <c r="AG94" s="76">
        <f t="shared" si="96"/>
        <v>0</v>
      </c>
      <c r="AH94" s="76">
        <f t="shared" si="96"/>
        <v>0</v>
      </c>
      <c r="AI94" s="76">
        <f t="shared" si="96"/>
        <v>0</v>
      </c>
      <c r="AJ94" s="76">
        <f t="shared" si="96"/>
        <v>0</v>
      </c>
      <c r="AK94" s="76">
        <f t="shared" si="96"/>
        <v>0</v>
      </c>
      <c r="AL94" s="76">
        <f t="shared" si="96"/>
        <v>0</v>
      </c>
      <c r="AM94" s="76">
        <f t="shared" si="96"/>
        <v>0</v>
      </c>
      <c r="AN94" s="76">
        <f t="shared" si="96"/>
        <v>0</v>
      </c>
      <c r="AO94" s="76">
        <f t="shared" si="96"/>
        <v>0</v>
      </c>
      <c r="AP94" s="76">
        <f t="shared" si="96"/>
        <v>0</v>
      </c>
      <c r="AQ94" s="76">
        <f t="shared" si="96"/>
        <v>0</v>
      </c>
      <c r="AR94" s="76">
        <f t="shared" si="96"/>
        <v>0</v>
      </c>
      <c r="AS94" s="76">
        <f t="shared" si="96"/>
        <v>0</v>
      </c>
      <c r="AT94" s="76">
        <f t="shared" si="96"/>
        <v>0</v>
      </c>
      <c r="AU94" s="76">
        <f t="shared" si="96"/>
        <v>0</v>
      </c>
      <c r="AV94" s="76">
        <f t="shared" si="96"/>
        <v>0</v>
      </c>
      <c r="AW94" s="76">
        <f t="shared" si="96"/>
        <v>0</v>
      </c>
      <c r="AX94" s="76">
        <f t="shared" si="96"/>
        <v>0</v>
      </c>
      <c r="AY94" s="76">
        <f t="shared" si="96"/>
        <v>0</v>
      </c>
      <c r="AZ94" s="76">
        <f t="shared" si="96"/>
        <v>0</v>
      </c>
      <c r="BA94" s="76">
        <f t="shared" si="96"/>
        <v>0</v>
      </c>
      <c r="BB94" s="76">
        <f t="shared" si="96"/>
        <v>0</v>
      </c>
      <c r="BC94" s="76">
        <f t="shared" si="96"/>
        <v>0</v>
      </c>
      <c r="BD94" s="76">
        <f t="shared" si="96"/>
        <v>0</v>
      </c>
      <c r="BE94" s="76">
        <f t="shared" si="96"/>
        <v>0</v>
      </c>
      <c r="BF94" s="76">
        <f t="shared" si="96"/>
        <v>0</v>
      </c>
      <c r="BG94" s="76">
        <f t="shared" si="96"/>
        <v>0</v>
      </c>
      <c r="BH94" s="76">
        <f t="shared" si="96"/>
        <v>0</v>
      </c>
      <c r="BI94" s="76">
        <f t="shared" si="96"/>
        <v>0</v>
      </c>
    </row>
    <row r="95" ht="15.75" customHeight="1">
      <c r="B95" s="1" t="str">
        <f t="shared" si="94"/>
        <v>Sales</v>
      </c>
      <c r="D95" s="30"/>
      <c r="E95" s="30"/>
      <c r="F95" s="30"/>
      <c r="G95" s="30"/>
      <c r="H95" s="30"/>
      <c r="I95" s="30"/>
      <c r="J95" s="30"/>
      <c r="K95" s="30"/>
      <c r="N95" s="76">
        <f t="shared" ref="N95:BI95" si="97">SUMIFS(N$4:N$64,$D$4:$D$64,$B95,$H$4:$H$64,"")</f>
        <v>0</v>
      </c>
      <c r="O95" s="76">
        <f t="shared" si="97"/>
        <v>0</v>
      </c>
      <c r="P95" s="76">
        <f t="shared" si="97"/>
        <v>0</v>
      </c>
      <c r="Q95" s="76">
        <f t="shared" si="97"/>
        <v>0</v>
      </c>
      <c r="R95" s="76">
        <f t="shared" si="97"/>
        <v>0</v>
      </c>
      <c r="S95" s="76">
        <f t="shared" si="97"/>
        <v>0</v>
      </c>
      <c r="T95" s="76">
        <f t="shared" si="97"/>
        <v>0</v>
      </c>
      <c r="U95" s="76">
        <f t="shared" si="97"/>
        <v>0</v>
      </c>
      <c r="V95" s="76">
        <f t="shared" si="97"/>
        <v>0</v>
      </c>
      <c r="W95" s="76">
        <f t="shared" si="97"/>
        <v>0</v>
      </c>
      <c r="X95" s="76">
        <f t="shared" si="97"/>
        <v>0</v>
      </c>
      <c r="Y95" s="76">
        <f t="shared" si="97"/>
        <v>0</v>
      </c>
      <c r="Z95" s="76">
        <f t="shared" si="97"/>
        <v>0</v>
      </c>
      <c r="AA95" s="76">
        <f t="shared" si="97"/>
        <v>0</v>
      </c>
      <c r="AB95" s="76">
        <f t="shared" si="97"/>
        <v>0</v>
      </c>
      <c r="AC95" s="76">
        <f t="shared" si="97"/>
        <v>0</v>
      </c>
      <c r="AD95" s="76">
        <f t="shared" si="97"/>
        <v>0</v>
      </c>
      <c r="AE95" s="76">
        <f t="shared" si="97"/>
        <v>0</v>
      </c>
      <c r="AF95" s="76">
        <f t="shared" si="97"/>
        <v>0</v>
      </c>
      <c r="AG95" s="76">
        <f t="shared" si="97"/>
        <v>0</v>
      </c>
      <c r="AH95" s="76">
        <f t="shared" si="97"/>
        <v>0</v>
      </c>
      <c r="AI95" s="76">
        <f t="shared" si="97"/>
        <v>0</v>
      </c>
      <c r="AJ95" s="76">
        <f t="shared" si="97"/>
        <v>0</v>
      </c>
      <c r="AK95" s="76">
        <f t="shared" si="97"/>
        <v>0</v>
      </c>
      <c r="AL95" s="76">
        <f t="shared" si="97"/>
        <v>0</v>
      </c>
      <c r="AM95" s="76">
        <f t="shared" si="97"/>
        <v>0</v>
      </c>
      <c r="AN95" s="76">
        <f t="shared" si="97"/>
        <v>0</v>
      </c>
      <c r="AO95" s="76">
        <f t="shared" si="97"/>
        <v>0</v>
      </c>
      <c r="AP95" s="76">
        <f t="shared" si="97"/>
        <v>0</v>
      </c>
      <c r="AQ95" s="76">
        <f t="shared" si="97"/>
        <v>0</v>
      </c>
      <c r="AR95" s="76">
        <f t="shared" si="97"/>
        <v>0</v>
      </c>
      <c r="AS95" s="76">
        <f t="shared" si="97"/>
        <v>0</v>
      </c>
      <c r="AT95" s="76">
        <f t="shared" si="97"/>
        <v>0</v>
      </c>
      <c r="AU95" s="76">
        <f t="shared" si="97"/>
        <v>0</v>
      </c>
      <c r="AV95" s="76">
        <f t="shared" si="97"/>
        <v>0</v>
      </c>
      <c r="AW95" s="76">
        <f t="shared" si="97"/>
        <v>0</v>
      </c>
      <c r="AX95" s="76">
        <f t="shared" si="97"/>
        <v>0</v>
      </c>
      <c r="AY95" s="76">
        <f t="shared" si="97"/>
        <v>0</v>
      </c>
      <c r="AZ95" s="76">
        <f t="shared" si="97"/>
        <v>0</v>
      </c>
      <c r="BA95" s="76">
        <f t="shared" si="97"/>
        <v>0</v>
      </c>
      <c r="BB95" s="76">
        <f t="shared" si="97"/>
        <v>0</v>
      </c>
      <c r="BC95" s="76">
        <f t="shared" si="97"/>
        <v>0</v>
      </c>
      <c r="BD95" s="76">
        <f t="shared" si="97"/>
        <v>0</v>
      </c>
      <c r="BE95" s="76">
        <f t="shared" si="97"/>
        <v>0</v>
      </c>
      <c r="BF95" s="76">
        <f t="shared" si="97"/>
        <v>0</v>
      </c>
      <c r="BG95" s="76">
        <f t="shared" si="97"/>
        <v>0</v>
      </c>
      <c r="BH95" s="76">
        <f t="shared" si="97"/>
        <v>0</v>
      </c>
      <c r="BI95" s="76">
        <f t="shared" si="97"/>
        <v>0</v>
      </c>
    </row>
    <row r="96" ht="15.75" customHeight="1">
      <c r="B96" s="1" t="str">
        <f t="shared" si="94"/>
        <v>Support</v>
      </c>
      <c r="D96" s="30"/>
      <c r="E96" s="30"/>
      <c r="F96" s="30"/>
      <c r="G96" s="30"/>
      <c r="H96" s="30"/>
      <c r="I96" s="30"/>
      <c r="J96" s="30"/>
      <c r="K96" s="30"/>
      <c r="N96" s="76">
        <f t="shared" ref="N96:BI96" si="98">SUMIFS(N$4:N$64,$D$4:$D$64,$B96,$H$4:$H$64,"")</f>
        <v>0</v>
      </c>
      <c r="O96" s="76">
        <f t="shared" si="98"/>
        <v>0</v>
      </c>
      <c r="P96" s="76">
        <f t="shared" si="98"/>
        <v>0</v>
      </c>
      <c r="Q96" s="76">
        <f t="shared" si="98"/>
        <v>0</v>
      </c>
      <c r="R96" s="76">
        <f t="shared" si="98"/>
        <v>0</v>
      </c>
      <c r="S96" s="76">
        <f t="shared" si="98"/>
        <v>0</v>
      </c>
      <c r="T96" s="76">
        <f t="shared" si="98"/>
        <v>0</v>
      </c>
      <c r="U96" s="76">
        <f t="shared" si="98"/>
        <v>0</v>
      </c>
      <c r="V96" s="76">
        <f t="shared" si="98"/>
        <v>0</v>
      </c>
      <c r="W96" s="76">
        <f t="shared" si="98"/>
        <v>0</v>
      </c>
      <c r="X96" s="76">
        <f t="shared" si="98"/>
        <v>0</v>
      </c>
      <c r="Y96" s="76">
        <f t="shared" si="98"/>
        <v>0</v>
      </c>
      <c r="Z96" s="76">
        <f t="shared" si="98"/>
        <v>0</v>
      </c>
      <c r="AA96" s="76">
        <f t="shared" si="98"/>
        <v>0</v>
      </c>
      <c r="AB96" s="76">
        <f t="shared" si="98"/>
        <v>0</v>
      </c>
      <c r="AC96" s="76">
        <f t="shared" si="98"/>
        <v>0</v>
      </c>
      <c r="AD96" s="76">
        <f t="shared" si="98"/>
        <v>0</v>
      </c>
      <c r="AE96" s="76">
        <f t="shared" si="98"/>
        <v>0</v>
      </c>
      <c r="AF96" s="76">
        <f t="shared" si="98"/>
        <v>0</v>
      </c>
      <c r="AG96" s="76">
        <f t="shared" si="98"/>
        <v>0</v>
      </c>
      <c r="AH96" s="76">
        <f t="shared" si="98"/>
        <v>0</v>
      </c>
      <c r="AI96" s="76">
        <f t="shared" si="98"/>
        <v>0</v>
      </c>
      <c r="AJ96" s="76">
        <f t="shared" si="98"/>
        <v>0</v>
      </c>
      <c r="AK96" s="76">
        <f t="shared" si="98"/>
        <v>0</v>
      </c>
      <c r="AL96" s="76">
        <f t="shared" si="98"/>
        <v>0</v>
      </c>
      <c r="AM96" s="76">
        <f t="shared" si="98"/>
        <v>0</v>
      </c>
      <c r="AN96" s="76">
        <f t="shared" si="98"/>
        <v>0</v>
      </c>
      <c r="AO96" s="76">
        <f t="shared" si="98"/>
        <v>0</v>
      </c>
      <c r="AP96" s="76">
        <f t="shared" si="98"/>
        <v>0</v>
      </c>
      <c r="AQ96" s="76">
        <f t="shared" si="98"/>
        <v>0</v>
      </c>
      <c r="AR96" s="76">
        <f t="shared" si="98"/>
        <v>0</v>
      </c>
      <c r="AS96" s="76">
        <f t="shared" si="98"/>
        <v>0</v>
      </c>
      <c r="AT96" s="76">
        <f t="shared" si="98"/>
        <v>0</v>
      </c>
      <c r="AU96" s="76">
        <f t="shared" si="98"/>
        <v>0</v>
      </c>
      <c r="AV96" s="76">
        <f t="shared" si="98"/>
        <v>0</v>
      </c>
      <c r="AW96" s="76">
        <f t="shared" si="98"/>
        <v>0</v>
      </c>
      <c r="AX96" s="76">
        <f t="shared" si="98"/>
        <v>0</v>
      </c>
      <c r="AY96" s="76">
        <f t="shared" si="98"/>
        <v>0</v>
      </c>
      <c r="AZ96" s="76">
        <f t="shared" si="98"/>
        <v>0</v>
      </c>
      <c r="BA96" s="76">
        <f t="shared" si="98"/>
        <v>0</v>
      </c>
      <c r="BB96" s="76">
        <f t="shared" si="98"/>
        <v>0</v>
      </c>
      <c r="BC96" s="76">
        <f t="shared" si="98"/>
        <v>0</v>
      </c>
      <c r="BD96" s="76">
        <f t="shared" si="98"/>
        <v>0</v>
      </c>
      <c r="BE96" s="76">
        <f t="shared" si="98"/>
        <v>0</v>
      </c>
      <c r="BF96" s="76">
        <f t="shared" si="98"/>
        <v>0</v>
      </c>
      <c r="BG96" s="76">
        <f t="shared" si="98"/>
        <v>0</v>
      </c>
      <c r="BH96" s="76">
        <f t="shared" si="98"/>
        <v>0</v>
      </c>
      <c r="BI96" s="76">
        <f t="shared" si="98"/>
        <v>0</v>
      </c>
    </row>
    <row r="97" ht="15.75" customHeight="1">
      <c r="A97" s="7" t="s">
        <v>232</v>
      </c>
      <c r="B97" s="22"/>
      <c r="C97" s="22"/>
      <c r="D97" s="148"/>
      <c r="E97" s="148"/>
      <c r="F97" s="148"/>
      <c r="G97" s="148"/>
      <c r="H97" s="148"/>
      <c r="I97" s="148"/>
      <c r="J97" s="148"/>
      <c r="K97" s="148"/>
      <c r="L97" s="22"/>
      <c r="M97" s="22"/>
      <c r="N97" s="147">
        <f t="shared" ref="N97:BI97" si="99">SUM(N92:N96)</f>
        <v>0</v>
      </c>
      <c r="O97" s="147">
        <f t="shared" si="99"/>
        <v>0</v>
      </c>
      <c r="P97" s="147">
        <f t="shared" si="99"/>
        <v>0</v>
      </c>
      <c r="Q97" s="147">
        <f t="shared" si="99"/>
        <v>0</v>
      </c>
      <c r="R97" s="147">
        <f t="shared" si="99"/>
        <v>0</v>
      </c>
      <c r="S97" s="147">
        <f t="shared" si="99"/>
        <v>0</v>
      </c>
      <c r="T97" s="147">
        <f t="shared" si="99"/>
        <v>0</v>
      </c>
      <c r="U97" s="147">
        <f t="shared" si="99"/>
        <v>0</v>
      </c>
      <c r="V97" s="147">
        <f t="shared" si="99"/>
        <v>0</v>
      </c>
      <c r="W97" s="147">
        <f t="shared" si="99"/>
        <v>0</v>
      </c>
      <c r="X97" s="147">
        <f t="shared" si="99"/>
        <v>0</v>
      </c>
      <c r="Y97" s="147">
        <f t="shared" si="99"/>
        <v>0</v>
      </c>
      <c r="Z97" s="147">
        <f t="shared" si="99"/>
        <v>0</v>
      </c>
      <c r="AA97" s="147">
        <f t="shared" si="99"/>
        <v>0</v>
      </c>
      <c r="AB97" s="147">
        <f t="shared" si="99"/>
        <v>0</v>
      </c>
      <c r="AC97" s="147">
        <f t="shared" si="99"/>
        <v>0</v>
      </c>
      <c r="AD97" s="147">
        <f t="shared" si="99"/>
        <v>0</v>
      </c>
      <c r="AE97" s="147">
        <f t="shared" si="99"/>
        <v>0</v>
      </c>
      <c r="AF97" s="147">
        <f t="shared" si="99"/>
        <v>0</v>
      </c>
      <c r="AG97" s="147">
        <f t="shared" si="99"/>
        <v>0</v>
      </c>
      <c r="AH97" s="147">
        <f t="shared" si="99"/>
        <v>0</v>
      </c>
      <c r="AI97" s="147">
        <f t="shared" si="99"/>
        <v>0</v>
      </c>
      <c r="AJ97" s="147">
        <f t="shared" si="99"/>
        <v>0</v>
      </c>
      <c r="AK97" s="147">
        <f t="shared" si="99"/>
        <v>0</v>
      </c>
      <c r="AL97" s="147">
        <f t="shared" si="99"/>
        <v>0</v>
      </c>
      <c r="AM97" s="147">
        <f t="shared" si="99"/>
        <v>0</v>
      </c>
      <c r="AN97" s="147">
        <f t="shared" si="99"/>
        <v>0</v>
      </c>
      <c r="AO97" s="147">
        <f t="shared" si="99"/>
        <v>0</v>
      </c>
      <c r="AP97" s="147">
        <f t="shared" si="99"/>
        <v>0</v>
      </c>
      <c r="AQ97" s="147">
        <f t="shared" si="99"/>
        <v>0</v>
      </c>
      <c r="AR97" s="147">
        <f t="shared" si="99"/>
        <v>0</v>
      </c>
      <c r="AS97" s="147">
        <f t="shared" si="99"/>
        <v>0</v>
      </c>
      <c r="AT97" s="147">
        <f t="shared" si="99"/>
        <v>0</v>
      </c>
      <c r="AU97" s="147">
        <f t="shared" si="99"/>
        <v>0</v>
      </c>
      <c r="AV97" s="147">
        <f t="shared" si="99"/>
        <v>0</v>
      </c>
      <c r="AW97" s="147">
        <f t="shared" si="99"/>
        <v>0</v>
      </c>
      <c r="AX97" s="147">
        <f t="shared" si="99"/>
        <v>0</v>
      </c>
      <c r="AY97" s="147">
        <f t="shared" si="99"/>
        <v>0</v>
      </c>
      <c r="AZ97" s="147">
        <f t="shared" si="99"/>
        <v>0</v>
      </c>
      <c r="BA97" s="147">
        <f t="shared" si="99"/>
        <v>0</v>
      </c>
      <c r="BB97" s="147">
        <f t="shared" si="99"/>
        <v>0</v>
      </c>
      <c r="BC97" s="147">
        <f t="shared" si="99"/>
        <v>0</v>
      </c>
      <c r="BD97" s="147">
        <f t="shared" si="99"/>
        <v>0</v>
      </c>
      <c r="BE97" s="147">
        <f t="shared" si="99"/>
        <v>0</v>
      </c>
      <c r="BF97" s="147">
        <f t="shared" si="99"/>
        <v>0</v>
      </c>
      <c r="BG97" s="147">
        <f t="shared" si="99"/>
        <v>0</v>
      </c>
      <c r="BH97" s="147">
        <f t="shared" si="99"/>
        <v>0</v>
      </c>
      <c r="BI97" s="147">
        <f t="shared" si="99"/>
        <v>0</v>
      </c>
    </row>
    <row r="98" ht="15.75" customHeight="1">
      <c r="A98" s="31" t="s">
        <v>226</v>
      </c>
      <c r="B98" s="31"/>
      <c r="C98" s="31"/>
      <c r="D98" s="149"/>
      <c r="E98" s="149"/>
      <c r="F98" s="149"/>
      <c r="G98" s="149"/>
      <c r="H98" s="149"/>
      <c r="I98" s="149"/>
      <c r="J98" s="149"/>
      <c r="K98" s="149"/>
      <c r="L98" s="31"/>
      <c r="M98" s="31"/>
      <c r="N98" s="150">
        <f t="shared" ref="N98:BI98" si="100">SUMIFS(N$4:N$64,$H$4:$H$64,"")-N97</f>
        <v>0</v>
      </c>
      <c r="O98" s="150">
        <f t="shared" si="100"/>
        <v>0</v>
      </c>
      <c r="P98" s="150">
        <f t="shared" si="100"/>
        <v>0</v>
      </c>
      <c r="Q98" s="150">
        <f t="shared" si="100"/>
        <v>0</v>
      </c>
      <c r="R98" s="150">
        <f t="shared" si="100"/>
        <v>0</v>
      </c>
      <c r="S98" s="150">
        <f t="shared" si="100"/>
        <v>0</v>
      </c>
      <c r="T98" s="150">
        <f t="shared" si="100"/>
        <v>0</v>
      </c>
      <c r="U98" s="150">
        <f t="shared" si="100"/>
        <v>0</v>
      </c>
      <c r="V98" s="150">
        <f t="shared" si="100"/>
        <v>0</v>
      </c>
      <c r="W98" s="150">
        <f t="shared" si="100"/>
        <v>0</v>
      </c>
      <c r="X98" s="150">
        <f t="shared" si="100"/>
        <v>0</v>
      </c>
      <c r="Y98" s="150">
        <f t="shared" si="100"/>
        <v>0</v>
      </c>
      <c r="Z98" s="150">
        <f t="shared" si="100"/>
        <v>0</v>
      </c>
      <c r="AA98" s="150">
        <f t="shared" si="100"/>
        <v>0</v>
      </c>
      <c r="AB98" s="150">
        <f t="shared" si="100"/>
        <v>0</v>
      </c>
      <c r="AC98" s="150">
        <f t="shared" si="100"/>
        <v>0</v>
      </c>
      <c r="AD98" s="150">
        <f t="shared" si="100"/>
        <v>0</v>
      </c>
      <c r="AE98" s="150">
        <f t="shared" si="100"/>
        <v>0</v>
      </c>
      <c r="AF98" s="150">
        <f t="shared" si="100"/>
        <v>0</v>
      </c>
      <c r="AG98" s="150">
        <f t="shared" si="100"/>
        <v>0</v>
      </c>
      <c r="AH98" s="150">
        <f t="shared" si="100"/>
        <v>0</v>
      </c>
      <c r="AI98" s="150">
        <f t="shared" si="100"/>
        <v>0</v>
      </c>
      <c r="AJ98" s="150">
        <f t="shared" si="100"/>
        <v>0</v>
      </c>
      <c r="AK98" s="150">
        <f t="shared" si="100"/>
        <v>0</v>
      </c>
      <c r="AL98" s="150">
        <f t="shared" si="100"/>
        <v>0</v>
      </c>
      <c r="AM98" s="150">
        <f t="shared" si="100"/>
        <v>0</v>
      </c>
      <c r="AN98" s="150">
        <f t="shared" si="100"/>
        <v>0</v>
      </c>
      <c r="AO98" s="150">
        <f t="shared" si="100"/>
        <v>0</v>
      </c>
      <c r="AP98" s="150">
        <f t="shared" si="100"/>
        <v>0</v>
      </c>
      <c r="AQ98" s="150">
        <f t="shared" si="100"/>
        <v>0</v>
      </c>
      <c r="AR98" s="150">
        <f t="shared" si="100"/>
        <v>0</v>
      </c>
      <c r="AS98" s="150">
        <f t="shared" si="100"/>
        <v>0</v>
      </c>
      <c r="AT98" s="150">
        <f t="shared" si="100"/>
        <v>0</v>
      </c>
      <c r="AU98" s="150">
        <f t="shared" si="100"/>
        <v>0</v>
      </c>
      <c r="AV98" s="150">
        <f t="shared" si="100"/>
        <v>0</v>
      </c>
      <c r="AW98" s="150">
        <f t="shared" si="100"/>
        <v>0</v>
      </c>
      <c r="AX98" s="150">
        <f t="shared" si="100"/>
        <v>0</v>
      </c>
      <c r="AY98" s="150">
        <f t="shared" si="100"/>
        <v>0</v>
      </c>
      <c r="AZ98" s="150">
        <f t="shared" si="100"/>
        <v>0</v>
      </c>
      <c r="BA98" s="150">
        <f t="shared" si="100"/>
        <v>0</v>
      </c>
      <c r="BB98" s="150">
        <f t="shared" si="100"/>
        <v>0</v>
      </c>
      <c r="BC98" s="150">
        <f t="shared" si="100"/>
        <v>0</v>
      </c>
      <c r="BD98" s="150">
        <f t="shared" si="100"/>
        <v>0</v>
      </c>
      <c r="BE98" s="150">
        <f t="shared" si="100"/>
        <v>0</v>
      </c>
      <c r="BF98" s="150">
        <f t="shared" si="100"/>
        <v>0</v>
      </c>
      <c r="BG98" s="150">
        <f t="shared" si="100"/>
        <v>0</v>
      </c>
      <c r="BH98" s="150">
        <f t="shared" si="100"/>
        <v>0</v>
      </c>
      <c r="BI98" s="150">
        <f t="shared" si="100"/>
        <v>0</v>
      </c>
    </row>
    <row r="99" ht="15.75" customHeight="1">
      <c r="D99" s="30"/>
      <c r="E99" s="30"/>
      <c r="F99" s="30"/>
      <c r="G99" s="30"/>
      <c r="H99" s="30"/>
      <c r="I99" s="30"/>
      <c r="J99" s="30"/>
      <c r="K99" s="30"/>
    </row>
    <row r="100" ht="15.75" customHeight="1">
      <c r="D100" s="30"/>
      <c r="E100" s="30"/>
      <c r="F100" s="30"/>
      <c r="G100" s="30"/>
      <c r="H100" s="30"/>
      <c r="I100" s="30"/>
      <c r="J100" s="30"/>
      <c r="K100" s="30"/>
    </row>
    <row r="101" ht="15.75" customHeight="1">
      <c r="D101" s="30"/>
      <c r="E101" s="30"/>
      <c r="F101" s="30"/>
      <c r="G101" s="30"/>
      <c r="H101" s="30"/>
      <c r="I101" s="30"/>
      <c r="J101" s="30"/>
      <c r="K101" s="30"/>
    </row>
    <row r="102" ht="15.75" customHeight="1">
      <c r="D102" s="30"/>
      <c r="E102" s="30"/>
      <c r="F102" s="30"/>
      <c r="G102" s="30"/>
      <c r="H102" s="30"/>
      <c r="I102" s="30"/>
      <c r="J102" s="30"/>
      <c r="K102" s="30"/>
    </row>
    <row r="103" ht="15.75" customHeight="1">
      <c r="D103" s="30"/>
      <c r="E103" s="30"/>
      <c r="F103" s="30"/>
      <c r="G103" s="30"/>
      <c r="H103" s="30"/>
      <c r="I103" s="30"/>
      <c r="J103" s="30"/>
      <c r="K103" s="30"/>
    </row>
    <row r="104" ht="15.75" customHeight="1">
      <c r="D104" s="30"/>
      <c r="E104" s="30"/>
      <c r="F104" s="30"/>
      <c r="G104" s="30"/>
      <c r="H104" s="30"/>
      <c r="I104" s="30"/>
      <c r="J104" s="30"/>
      <c r="K104" s="30"/>
    </row>
    <row r="105" ht="15.75" customHeight="1">
      <c r="D105" s="30"/>
      <c r="E105" s="30"/>
      <c r="F105" s="30"/>
      <c r="G105" s="30"/>
      <c r="H105" s="30"/>
      <c r="I105" s="30"/>
      <c r="J105" s="30"/>
      <c r="K105" s="30"/>
    </row>
    <row r="106" ht="15.75" customHeight="1">
      <c r="D106" s="30"/>
      <c r="E106" s="30"/>
      <c r="F106" s="30"/>
      <c r="G106" s="30"/>
      <c r="H106" s="30"/>
      <c r="I106" s="30"/>
      <c r="J106" s="30"/>
      <c r="K106" s="30"/>
    </row>
    <row r="107" ht="15.75" customHeight="1">
      <c r="D107" s="30"/>
      <c r="E107" s="30"/>
      <c r="F107" s="30"/>
      <c r="G107" s="30"/>
      <c r="H107" s="30"/>
      <c r="I107" s="30"/>
      <c r="J107" s="30"/>
      <c r="K107" s="30"/>
    </row>
    <row r="108" ht="15.75" customHeight="1">
      <c r="D108" s="30"/>
      <c r="E108" s="30"/>
      <c r="F108" s="30"/>
      <c r="G108" s="30"/>
      <c r="H108" s="30"/>
      <c r="I108" s="30"/>
      <c r="J108" s="30"/>
      <c r="K108" s="30"/>
    </row>
    <row r="109" ht="15.75" customHeight="1">
      <c r="D109" s="30"/>
      <c r="E109" s="30"/>
      <c r="F109" s="30"/>
      <c r="G109" s="30"/>
      <c r="H109" s="30"/>
      <c r="I109" s="30"/>
      <c r="J109" s="30"/>
      <c r="K109" s="30"/>
    </row>
    <row r="110" ht="15.75" customHeight="1">
      <c r="D110" s="30"/>
      <c r="E110" s="30"/>
      <c r="F110" s="30"/>
      <c r="G110" s="30"/>
      <c r="H110" s="30"/>
      <c r="I110" s="30"/>
      <c r="J110" s="30"/>
      <c r="K110" s="30"/>
    </row>
    <row r="111" ht="15.75" customHeight="1">
      <c r="D111" s="30"/>
      <c r="E111" s="30"/>
      <c r="F111" s="30"/>
      <c r="G111" s="30"/>
      <c r="H111" s="30"/>
      <c r="I111" s="30"/>
      <c r="J111" s="30"/>
      <c r="K111" s="30"/>
    </row>
    <row r="112" ht="15.75" customHeight="1">
      <c r="D112" s="30"/>
      <c r="E112" s="30"/>
      <c r="F112" s="30"/>
      <c r="G112" s="30"/>
      <c r="H112" s="30"/>
      <c r="I112" s="30"/>
      <c r="J112" s="30"/>
      <c r="K112" s="30"/>
    </row>
    <row r="113" ht="15.75" customHeight="1">
      <c r="D113" s="30"/>
      <c r="E113" s="30"/>
      <c r="F113" s="30"/>
      <c r="G113" s="30"/>
      <c r="H113" s="30"/>
      <c r="I113" s="30"/>
      <c r="J113" s="30"/>
      <c r="K113" s="30"/>
    </row>
    <row r="114" ht="15.75" customHeight="1">
      <c r="D114" s="30"/>
      <c r="E114" s="30"/>
      <c r="F114" s="30"/>
      <c r="G114" s="30"/>
      <c r="H114" s="30"/>
      <c r="I114" s="30"/>
      <c r="J114" s="30"/>
      <c r="K114" s="30"/>
    </row>
    <row r="115" ht="15.75" customHeight="1">
      <c r="D115" s="30"/>
      <c r="E115" s="30"/>
      <c r="F115" s="30"/>
      <c r="G115" s="30"/>
      <c r="H115" s="30"/>
      <c r="I115" s="30"/>
      <c r="J115" s="30"/>
      <c r="K115" s="30"/>
    </row>
    <row r="116" ht="15.75" customHeight="1">
      <c r="D116" s="30"/>
      <c r="E116" s="30"/>
      <c r="F116" s="30"/>
      <c r="G116" s="30"/>
      <c r="H116" s="30"/>
      <c r="I116" s="30"/>
      <c r="J116" s="30"/>
      <c r="K116" s="30"/>
    </row>
    <row r="117" ht="15.75" customHeight="1">
      <c r="D117" s="30"/>
      <c r="E117" s="30"/>
      <c r="F117" s="30"/>
      <c r="G117" s="30"/>
      <c r="H117" s="30"/>
      <c r="I117" s="30"/>
      <c r="J117" s="30"/>
      <c r="K117" s="30"/>
    </row>
    <row r="118" ht="15.75" customHeight="1">
      <c r="D118" s="30"/>
      <c r="E118" s="30"/>
      <c r="F118" s="30"/>
      <c r="G118" s="30"/>
      <c r="H118" s="30"/>
      <c r="I118" s="30"/>
      <c r="J118" s="30"/>
      <c r="K118" s="30"/>
    </row>
    <row r="119" ht="15.75" customHeight="1">
      <c r="D119" s="30"/>
      <c r="E119" s="30"/>
      <c r="F119" s="30"/>
      <c r="G119" s="30"/>
      <c r="H119" s="30"/>
      <c r="I119" s="30"/>
      <c r="J119" s="30"/>
      <c r="K119" s="30"/>
    </row>
    <row r="120" ht="15.75" customHeight="1">
      <c r="D120" s="30"/>
      <c r="E120" s="30"/>
      <c r="F120" s="30"/>
      <c r="G120" s="30"/>
      <c r="H120" s="30"/>
      <c r="I120" s="30"/>
      <c r="J120" s="30"/>
      <c r="K120" s="30"/>
    </row>
    <row r="121" ht="15.75" customHeight="1">
      <c r="D121" s="30"/>
      <c r="E121" s="30"/>
      <c r="F121" s="30"/>
      <c r="G121" s="30"/>
      <c r="H121" s="30"/>
      <c r="I121" s="30"/>
      <c r="J121" s="30"/>
      <c r="K121" s="30"/>
    </row>
    <row r="122" ht="15.75" customHeight="1">
      <c r="D122" s="30"/>
      <c r="E122" s="30"/>
      <c r="F122" s="30"/>
      <c r="G122" s="30"/>
      <c r="H122" s="30"/>
      <c r="I122" s="30"/>
      <c r="J122" s="30"/>
      <c r="K122" s="30"/>
    </row>
    <row r="123" ht="15.75" customHeight="1">
      <c r="D123" s="30"/>
      <c r="E123" s="30"/>
      <c r="F123" s="30"/>
      <c r="G123" s="30"/>
      <c r="H123" s="30"/>
      <c r="I123" s="30"/>
      <c r="J123" s="30"/>
      <c r="K123" s="30"/>
    </row>
    <row r="124" ht="15.75" customHeight="1">
      <c r="D124" s="30"/>
      <c r="E124" s="30"/>
      <c r="F124" s="30"/>
      <c r="G124" s="30"/>
      <c r="H124" s="30"/>
      <c r="I124" s="30"/>
      <c r="J124" s="30"/>
      <c r="K124" s="30"/>
    </row>
    <row r="125" ht="15.75" customHeight="1">
      <c r="D125" s="30"/>
      <c r="E125" s="30"/>
      <c r="F125" s="30"/>
      <c r="G125" s="30"/>
      <c r="H125" s="30"/>
      <c r="I125" s="30"/>
      <c r="J125" s="30"/>
      <c r="K125" s="30"/>
    </row>
    <row r="126" ht="15.75" customHeight="1">
      <c r="D126" s="30"/>
      <c r="E126" s="30"/>
      <c r="F126" s="30"/>
      <c r="G126" s="30"/>
      <c r="H126" s="30"/>
      <c r="I126" s="30"/>
      <c r="J126" s="30"/>
      <c r="K126" s="30"/>
    </row>
    <row r="127" ht="15.75" customHeight="1">
      <c r="D127" s="30"/>
      <c r="E127" s="30"/>
      <c r="F127" s="30"/>
      <c r="G127" s="30"/>
      <c r="H127" s="30"/>
      <c r="I127" s="30"/>
      <c r="J127" s="30"/>
      <c r="K127" s="30"/>
    </row>
    <row r="128" ht="15.75" customHeight="1">
      <c r="D128" s="30"/>
      <c r="E128" s="30"/>
      <c r="F128" s="30"/>
      <c r="G128" s="30"/>
      <c r="H128" s="30"/>
      <c r="I128" s="30"/>
      <c r="J128" s="30"/>
      <c r="K128" s="30"/>
    </row>
    <row r="129" ht="15.75" customHeight="1">
      <c r="D129" s="30"/>
      <c r="E129" s="30"/>
      <c r="F129" s="30"/>
      <c r="G129" s="30"/>
      <c r="H129" s="30"/>
      <c r="I129" s="30"/>
      <c r="J129" s="30"/>
      <c r="K129" s="30"/>
    </row>
    <row r="130" ht="15.75" customHeight="1">
      <c r="D130" s="30"/>
      <c r="E130" s="30"/>
      <c r="F130" s="30"/>
      <c r="G130" s="30"/>
      <c r="H130" s="30"/>
      <c r="I130" s="30"/>
      <c r="J130" s="30"/>
      <c r="K130" s="30"/>
    </row>
    <row r="131" ht="15.75" customHeight="1">
      <c r="D131" s="30"/>
      <c r="E131" s="30"/>
      <c r="F131" s="30"/>
      <c r="G131" s="30"/>
      <c r="H131" s="30"/>
      <c r="I131" s="30"/>
      <c r="J131" s="30"/>
      <c r="K131" s="30"/>
    </row>
    <row r="132" ht="15.75" customHeight="1">
      <c r="D132" s="30"/>
      <c r="E132" s="30"/>
      <c r="F132" s="30"/>
      <c r="G132" s="30"/>
      <c r="H132" s="30"/>
      <c r="I132" s="30"/>
      <c r="J132" s="30"/>
      <c r="K132" s="30"/>
    </row>
    <row r="133" ht="15.75" customHeight="1">
      <c r="D133" s="30"/>
      <c r="E133" s="30"/>
      <c r="F133" s="30"/>
      <c r="G133" s="30"/>
      <c r="H133" s="30"/>
      <c r="I133" s="30"/>
      <c r="J133" s="30"/>
      <c r="K133" s="30"/>
    </row>
    <row r="134" ht="15.75" customHeight="1">
      <c r="D134" s="30"/>
      <c r="E134" s="30"/>
      <c r="F134" s="30"/>
      <c r="G134" s="30"/>
      <c r="H134" s="30"/>
      <c r="I134" s="30"/>
      <c r="J134" s="30"/>
      <c r="K134" s="30"/>
    </row>
    <row r="135" ht="15.75" customHeight="1">
      <c r="D135" s="30"/>
      <c r="E135" s="30"/>
      <c r="F135" s="30"/>
      <c r="G135" s="30"/>
      <c r="H135" s="30"/>
      <c r="I135" s="30"/>
      <c r="J135" s="30"/>
      <c r="K135" s="30"/>
    </row>
    <row r="136" ht="15.75" customHeight="1">
      <c r="D136" s="30"/>
      <c r="E136" s="30"/>
      <c r="F136" s="30"/>
      <c r="G136" s="30"/>
      <c r="H136" s="30"/>
      <c r="I136" s="30"/>
      <c r="J136" s="30"/>
      <c r="K136" s="30"/>
    </row>
    <row r="137" ht="15.75" customHeight="1">
      <c r="D137" s="30"/>
      <c r="E137" s="30"/>
      <c r="F137" s="30"/>
      <c r="G137" s="30"/>
      <c r="H137" s="30"/>
      <c r="I137" s="30"/>
      <c r="J137" s="30"/>
      <c r="K137" s="30"/>
    </row>
    <row r="138" ht="15.75" customHeight="1">
      <c r="D138" s="30"/>
      <c r="E138" s="30"/>
      <c r="F138" s="30"/>
      <c r="G138" s="30"/>
      <c r="H138" s="30"/>
      <c r="I138" s="30"/>
      <c r="J138" s="30"/>
      <c r="K138" s="30"/>
    </row>
    <row r="139" ht="15.75" customHeight="1">
      <c r="D139" s="30"/>
      <c r="E139" s="30"/>
      <c r="F139" s="30"/>
      <c r="G139" s="30"/>
      <c r="H139" s="30"/>
      <c r="I139" s="30"/>
      <c r="J139" s="30"/>
      <c r="K139" s="30"/>
    </row>
    <row r="140" ht="15.75" customHeight="1">
      <c r="D140" s="30"/>
      <c r="E140" s="30"/>
      <c r="F140" s="30"/>
      <c r="G140" s="30"/>
      <c r="H140" s="30"/>
      <c r="I140" s="30"/>
      <c r="J140" s="30"/>
      <c r="K140" s="30"/>
    </row>
    <row r="141" ht="15.75" customHeight="1">
      <c r="D141" s="30"/>
      <c r="E141" s="30"/>
      <c r="F141" s="30"/>
      <c r="G141" s="30"/>
      <c r="H141" s="30"/>
      <c r="I141" s="30"/>
      <c r="J141" s="30"/>
      <c r="K141" s="30"/>
    </row>
    <row r="142" ht="15.75" customHeight="1">
      <c r="D142" s="30"/>
      <c r="E142" s="30"/>
      <c r="F142" s="30"/>
      <c r="G142" s="30"/>
      <c r="H142" s="30"/>
      <c r="I142" s="30"/>
      <c r="J142" s="30"/>
      <c r="K142" s="30"/>
    </row>
    <row r="143" ht="15.75" customHeight="1">
      <c r="D143" s="30"/>
      <c r="E143" s="30"/>
      <c r="F143" s="30"/>
      <c r="G143" s="30"/>
      <c r="H143" s="30"/>
      <c r="I143" s="30"/>
      <c r="J143" s="30"/>
      <c r="K143" s="30"/>
    </row>
    <row r="144" ht="15.75" customHeight="1">
      <c r="D144" s="30"/>
      <c r="E144" s="30"/>
      <c r="F144" s="30"/>
      <c r="G144" s="30"/>
      <c r="H144" s="30"/>
      <c r="I144" s="30"/>
      <c r="J144" s="30"/>
      <c r="K144" s="30"/>
    </row>
    <row r="145" ht="15.75" customHeight="1">
      <c r="D145" s="30"/>
      <c r="E145" s="30"/>
      <c r="F145" s="30"/>
      <c r="G145" s="30"/>
      <c r="H145" s="30"/>
      <c r="I145" s="30"/>
      <c r="J145" s="30"/>
      <c r="K145" s="30"/>
    </row>
    <row r="146" ht="15.75" customHeight="1">
      <c r="D146" s="30"/>
      <c r="E146" s="30"/>
      <c r="F146" s="30"/>
      <c r="G146" s="30"/>
      <c r="H146" s="30"/>
      <c r="I146" s="30"/>
      <c r="J146" s="30"/>
      <c r="K146" s="30"/>
    </row>
    <row r="147" ht="15.75" customHeight="1">
      <c r="D147" s="30"/>
      <c r="E147" s="30"/>
      <c r="F147" s="30"/>
      <c r="G147" s="30"/>
      <c r="H147" s="30"/>
      <c r="I147" s="30"/>
      <c r="J147" s="30"/>
      <c r="K147" s="30"/>
    </row>
    <row r="148" ht="15.75" customHeight="1">
      <c r="D148" s="30"/>
      <c r="E148" s="30"/>
      <c r="F148" s="30"/>
      <c r="G148" s="30"/>
      <c r="H148" s="30"/>
      <c r="I148" s="30"/>
      <c r="J148" s="30"/>
      <c r="K148" s="30"/>
    </row>
    <row r="149" ht="15.75" customHeight="1">
      <c r="D149" s="30"/>
      <c r="E149" s="30"/>
      <c r="F149" s="30"/>
      <c r="G149" s="30"/>
      <c r="H149" s="30"/>
      <c r="I149" s="30"/>
      <c r="J149" s="30"/>
      <c r="K149" s="30"/>
    </row>
    <row r="150" ht="15.75" customHeight="1">
      <c r="D150" s="30"/>
      <c r="E150" s="30"/>
      <c r="F150" s="30"/>
      <c r="G150" s="30"/>
      <c r="H150" s="30"/>
      <c r="I150" s="30"/>
      <c r="J150" s="30"/>
      <c r="K150" s="30"/>
    </row>
    <row r="151" ht="15.75" customHeight="1">
      <c r="D151" s="30"/>
      <c r="E151" s="30"/>
      <c r="F151" s="30"/>
      <c r="G151" s="30"/>
      <c r="H151" s="30"/>
      <c r="I151" s="30"/>
      <c r="J151" s="30"/>
      <c r="K151" s="30"/>
    </row>
    <row r="152" ht="15.75" customHeight="1">
      <c r="D152" s="30"/>
      <c r="E152" s="30"/>
      <c r="F152" s="30"/>
      <c r="G152" s="30"/>
      <c r="H152" s="30"/>
      <c r="I152" s="30"/>
      <c r="J152" s="30"/>
      <c r="K152" s="30"/>
    </row>
    <row r="153" ht="15.75" customHeight="1">
      <c r="D153" s="30"/>
      <c r="E153" s="30"/>
      <c r="F153" s="30"/>
      <c r="G153" s="30"/>
      <c r="H153" s="30"/>
      <c r="I153" s="30"/>
      <c r="J153" s="30"/>
      <c r="K153" s="30"/>
    </row>
    <row r="154" ht="15.75" customHeight="1">
      <c r="D154" s="30"/>
      <c r="E154" s="30"/>
      <c r="F154" s="30"/>
      <c r="G154" s="30"/>
      <c r="H154" s="30"/>
      <c r="I154" s="30"/>
      <c r="J154" s="30"/>
      <c r="K154" s="30"/>
    </row>
    <row r="155" ht="15.75" customHeight="1">
      <c r="D155" s="30"/>
      <c r="E155" s="30"/>
      <c r="F155" s="30"/>
      <c r="G155" s="30"/>
      <c r="H155" s="30"/>
      <c r="I155" s="30"/>
      <c r="J155" s="30"/>
      <c r="K155" s="30"/>
    </row>
    <row r="156" ht="15.75" customHeight="1">
      <c r="D156" s="30"/>
      <c r="E156" s="30"/>
      <c r="F156" s="30"/>
      <c r="G156" s="30"/>
      <c r="H156" s="30"/>
      <c r="I156" s="30"/>
      <c r="J156" s="30"/>
      <c r="K156" s="30"/>
    </row>
    <row r="157" ht="15.75" customHeight="1">
      <c r="D157" s="30"/>
      <c r="E157" s="30"/>
      <c r="F157" s="30"/>
      <c r="G157" s="30"/>
      <c r="H157" s="30"/>
      <c r="I157" s="30"/>
      <c r="J157" s="30"/>
      <c r="K157" s="30"/>
    </row>
    <row r="158" ht="15.75" customHeight="1">
      <c r="D158" s="30"/>
      <c r="E158" s="30"/>
      <c r="F158" s="30"/>
      <c r="G158" s="30"/>
      <c r="H158" s="30"/>
      <c r="I158" s="30"/>
      <c r="J158" s="30"/>
      <c r="K158" s="30"/>
    </row>
    <row r="159" ht="15.75" customHeight="1">
      <c r="D159" s="30"/>
      <c r="E159" s="30"/>
      <c r="F159" s="30"/>
      <c r="G159" s="30"/>
      <c r="H159" s="30"/>
      <c r="I159" s="30"/>
      <c r="J159" s="30"/>
      <c r="K159" s="30"/>
    </row>
    <row r="160" ht="15.75" customHeight="1">
      <c r="D160" s="30"/>
      <c r="E160" s="30"/>
      <c r="F160" s="30"/>
      <c r="G160" s="30"/>
      <c r="H160" s="30"/>
      <c r="I160" s="30"/>
      <c r="J160" s="30"/>
      <c r="K160" s="30"/>
    </row>
    <row r="161" ht="15.75" customHeight="1">
      <c r="D161" s="30"/>
      <c r="E161" s="30"/>
      <c r="F161" s="30"/>
      <c r="G161" s="30"/>
      <c r="H161" s="30"/>
      <c r="I161" s="30"/>
      <c r="J161" s="30"/>
      <c r="K161" s="30"/>
    </row>
    <row r="162" ht="15.75" customHeight="1">
      <c r="D162" s="30"/>
      <c r="E162" s="30"/>
      <c r="F162" s="30"/>
      <c r="G162" s="30"/>
      <c r="H162" s="30"/>
      <c r="I162" s="30"/>
      <c r="J162" s="30"/>
      <c r="K162" s="30"/>
    </row>
    <row r="163" ht="15.75" customHeight="1">
      <c r="D163" s="30"/>
      <c r="E163" s="30"/>
      <c r="F163" s="30"/>
      <c r="G163" s="30"/>
      <c r="H163" s="30"/>
      <c r="I163" s="30"/>
      <c r="J163" s="30"/>
      <c r="K163" s="30"/>
    </row>
    <row r="164" ht="15.75" customHeight="1">
      <c r="D164" s="30"/>
      <c r="E164" s="30"/>
      <c r="F164" s="30"/>
      <c r="G164" s="30"/>
      <c r="H164" s="30"/>
      <c r="I164" s="30"/>
      <c r="J164" s="30"/>
      <c r="K164" s="30"/>
    </row>
    <row r="165" ht="15.75" customHeight="1">
      <c r="D165" s="30"/>
      <c r="E165" s="30"/>
      <c r="F165" s="30"/>
      <c r="G165" s="30"/>
      <c r="H165" s="30"/>
      <c r="I165" s="30"/>
      <c r="J165" s="30"/>
      <c r="K165" s="30"/>
    </row>
    <row r="166" ht="15.75" customHeight="1">
      <c r="D166" s="30"/>
      <c r="E166" s="30"/>
      <c r="F166" s="30"/>
      <c r="G166" s="30"/>
      <c r="H166" s="30"/>
      <c r="I166" s="30"/>
      <c r="J166" s="30"/>
      <c r="K166" s="30"/>
    </row>
    <row r="167" ht="15.75" customHeight="1">
      <c r="D167" s="30"/>
      <c r="E167" s="30"/>
      <c r="F167" s="30"/>
      <c r="G167" s="30"/>
      <c r="H167" s="30"/>
      <c r="I167" s="30"/>
      <c r="J167" s="30"/>
      <c r="K167" s="30"/>
    </row>
    <row r="168" ht="15.75" customHeight="1">
      <c r="D168" s="30"/>
      <c r="E168" s="30"/>
      <c r="F168" s="30"/>
      <c r="G168" s="30"/>
      <c r="H168" s="30"/>
      <c r="I168" s="30"/>
      <c r="J168" s="30"/>
      <c r="K168" s="30"/>
    </row>
    <row r="169" ht="15.75" customHeight="1">
      <c r="D169" s="30"/>
      <c r="E169" s="30"/>
      <c r="F169" s="30"/>
      <c r="G169" s="30"/>
      <c r="H169" s="30"/>
      <c r="I169" s="30"/>
      <c r="J169" s="30"/>
      <c r="K169" s="30"/>
    </row>
    <row r="170" ht="15.75" customHeight="1">
      <c r="D170" s="30"/>
      <c r="E170" s="30"/>
      <c r="F170" s="30"/>
      <c r="G170" s="30"/>
      <c r="H170" s="30"/>
      <c r="I170" s="30"/>
      <c r="J170" s="30"/>
      <c r="K170" s="30"/>
    </row>
    <row r="171" ht="15.75" customHeight="1">
      <c r="D171" s="30"/>
      <c r="E171" s="30"/>
      <c r="F171" s="30"/>
      <c r="G171" s="30"/>
      <c r="H171" s="30"/>
      <c r="I171" s="30"/>
      <c r="J171" s="30"/>
      <c r="K171" s="30"/>
    </row>
    <row r="172" ht="15.75" customHeight="1">
      <c r="D172" s="30"/>
      <c r="E172" s="30"/>
      <c r="F172" s="30"/>
      <c r="G172" s="30"/>
      <c r="H172" s="30"/>
      <c r="I172" s="30"/>
      <c r="J172" s="30"/>
      <c r="K172" s="30"/>
    </row>
    <row r="173" ht="15.75" customHeight="1">
      <c r="D173" s="30"/>
      <c r="E173" s="30"/>
      <c r="F173" s="30"/>
      <c r="G173" s="30"/>
      <c r="H173" s="30"/>
      <c r="I173" s="30"/>
      <c r="J173" s="30"/>
      <c r="K173" s="30"/>
    </row>
    <row r="174" ht="15.75" customHeight="1">
      <c r="D174" s="30"/>
      <c r="E174" s="30"/>
      <c r="F174" s="30"/>
      <c r="G174" s="30"/>
      <c r="H174" s="30"/>
      <c r="I174" s="30"/>
      <c r="J174" s="30"/>
      <c r="K174" s="30"/>
    </row>
    <row r="175" ht="15.75" customHeight="1">
      <c r="D175" s="30"/>
      <c r="E175" s="30"/>
      <c r="F175" s="30"/>
      <c r="G175" s="30"/>
      <c r="H175" s="30"/>
      <c r="I175" s="30"/>
      <c r="J175" s="30"/>
      <c r="K175" s="30"/>
    </row>
    <row r="176" ht="15.75" customHeight="1">
      <c r="D176" s="30"/>
      <c r="E176" s="30"/>
      <c r="F176" s="30"/>
      <c r="G176" s="30"/>
      <c r="H176" s="30"/>
      <c r="I176" s="30"/>
      <c r="J176" s="30"/>
      <c r="K176" s="30"/>
    </row>
    <row r="177" ht="15.75" customHeight="1">
      <c r="D177" s="30"/>
      <c r="E177" s="30"/>
      <c r="F177" s="30"/>
      <c r="G177" s="30"/>
      <c r="H177" s="30"/>
      <c r="I177" s="30"/>
      <c r="J177" s="30"/>
      <c r="K177" s="30"/>
    </row>
    <row r="178" ht="15.75" customHeight="1">
      <c r="D178" s="30"/>
      <c r="E178" s="30"/>
      <c r="F178" s="30"/>
      <c r="G178" s="30"/>
      <c r="H178" s="30"/>
      <c r="I178" s="30"/>
      <c r="J178" s="30"/>
      <c r="K178" s="30"/>
    </row>
    <row r="179" ht="15.75" customHeight="1">
      <c r="D179" s="30"/>
      <c r="E179" s="30"/>
      <c r="F179" s="30"/>
      <c r="G179" s="30"/>
      <c r="H179" s="30"/>
      <c r="I179" s="30"/>
      <c r="J179" s="30"/>
      <c r="K179" s="30"/>
    </row>
    <row r="180" ht="15.75" customHeight="1">
      <c r="D180" s="30"/>
      <c r="E180" s="30"/>
      <c r="F180" s="30"/>
      <c r="G180" s="30"/>
      <c r="H180" s="30"/>
      <c r="I180" s="30"/>
      <c r="J180" s="30"/>
      <c r="K180" s="30"/>
    </row>
    <row r="181" ht="15.75" customHeight="1">
      <c r="D181" s="30"/>
      <c r="E181" s="30"/>
      <c r="F181" s="30"/>
      <c r="G181" s="30"/>
      <c r="H181" s="30"/>
      <c r="I181" s="30"/>
      <c r="J181" s="30"/>
      <c r="K181" s="30"/>
    </row>
    <row r="182" ht="15.75" customHeight="1">
      <c r="D182" s="30"/>
      <c r="E182" s="30"/>
      <c r="F182" s="30"/>
      <c r="G182" s="30"/>
      <c r="H182" s="30"/>
      <c r="I182" s="30"/>
      <c r="J182" s="30"/>
      <c r="K182" s="30"/>
    </row>
    <row r="183" ht="15.75" customHeight="1">
      <c r="D183" s="30"/>
      <c r="E183" s="30"/>
      <c r="F183" s="30"/>
      <c r="G183" s="30"/>
      <c r="H183" s="30"/>
      <c r="I183" s="30"/>
      <c r="J183" s="30"/>
      <c r="K183" s="30"/>
    </row>
    <row r="184" ht="15.75" customHeight="1">
      <c r="D184" s="30"/>
      <c r="E184" s="30"/>
      <c r="F184" s="30"/>
      <c r="G184" s="30"/>
      <c r="H184" s="30"/>
      <c r="I184" s="30"/>
      <c r="J184" s="30"/>
      <c r="K184" s="30"/>
    </row>
    <row r="185" ht="15.75" customHeight="1">
      <c r="D185" s="30"/>
      <c r="E185" s="30"/>
      <c r="F185" s="30"/>
      <c r="G185" s="30"/>
      <c r="H185" s="30"/>
      <c r="I185" s="30"/>
      <c r="J185" s="30"/>
      <c r="K185" s="30"/>
    </row>
    <row r="186" ht="15.75" customHeight="1">
      <c r="D186" s="30"/>
      <c r="E186" s="30"/>
      <c r="F186" s="30"/>
      <c r="G186" s="30"/>
      <c r="H186" s="30"/>
      <c r="I186" s="30"/>
      <c r="J186" s="30"/>
      <c r="K186" s="30"/>
    </row>
    <row r="187" ht="15.75" customHeight="1">
      <c r="D187" s="30"/>
      <c r="E187" s="30"/>
      <c r="F187" s="30"/>
      <c r="G187" s="30"/>
      <c r="H187" s="30"/>
      <c r="I187" s="30"/>
      <c r="J187" s="30"/>
      <c r="K187" s="30"/>
    </row>
    <row r="188" ht="15.75" customHeight="1">
      <c r="D188" s="30"/>
      <c r="E188" s="30"/>
      <c r="F188" s="30"/>
      <c r="G188" s="30"/>
      <c r="H188" s="30"/>
      <c r="I188" s="30"/>
      <c r="J188" s="30"/>
      <c r="K188" s="30"/>
    </row>
    <row r="189" ht="15.75" customHeight="1">
      <c r="D189" s="30"/>
      <c r="E189" s="30"/>
      <c r="F189" s="30"/>
      <c r="G189" s="30"/>
      <c r="H189" s="30"/>
      <c r="I189" s="30"/>
      <c r="J189" s="30"/>
      <c r="K189" s="30"/>
    </row>
    <row r="190" ht="15.75" customHeight="1">
      <c r="D190" s="30"/>
      <c r="E190" s="30"/>
      <c r="F190" s="30"/>
      <c r="G190" s="30"/>
      <c r="H190" s="30"/>
      <c r="I190" s="30"/>
      <c r="J190" s="30"/>
      <c r="K190" s="30"/>
    </row>
    <row r="191" ht="15.75" customHeight="1">
      <c r="D191" s="30"/>
      <c r="E191" s="30"/>
      <c r="F191" s="30"/>
      <c r="G191" s="30"/>
      <c r="H191" s="30"/>
      <c r="I191" s="30"/>
      <c r="J191" s="30"/>
      <c r="K191" s="30"/>
    </row>
    <row r="192" ht="15.75" customHeight="1">
      <c r="D192" s="30"/>
      <c r="E192" s="30"/>
      <c r="F192" s="30"/>
      <c r="G192" s="30"/>
      <c r="H192" s="30"/>
      <c r="I192" s="30"/>
      <c r="J192" s="30"/>
      <c r="K192" s="30"/>
    </row>
    <row r="193" ht="15.75" customHeight="1">
      <c r="D193" s="30"/>
      <c r="E193" s="30"/>
      <c r="F193" s="30"/>
      <c r="G193" s="30"/>
      <c r="H193" s="30"/>
      <c r="I193" s="30"/>
      <c r="J193" s="30"/>
      <c r="K193" s="30"/>
    </row>
    <row r="194" ht="15.75" customHeight="1">
      <c r="D194" s="30"/>
      <c r="E194" s="30"/>
      <c r="F194" s="30"/>
      <c r="G194" s="30"/>
      <c r="H194" s="30"/>
      <c r="I194" s="30"/>
      <c r="J194" s="30"/>
      <c r="K194" s="30"/>
    </row>
    <row r="195" ht="15.75" customHeight="1">
      <c r="D195" s="30"/>
      <c r="E195" s="30"/>
      <c r="F195" s="30"/>
      <c r="G195" s="30"/>
      <c r="H195" s="30"/>
      <c r="I195" s="30"/>
      <c r="J195" s="30"/>
      <c r="K195" s="30"/>
    </row>
    <row r="196" ht="15.75" customHeight="1">
      <c r="D196" s="30"/>
      <c r="E196" s="30"/>
      <c r="F196" s="30"/>
      <c r="G196" s="30"/>
      <c r="H196" s="30"/>
      <c r="I196" s="30"/>
      <c r="J196" s="30"/>
      <c r="K196" s="30"/>
    </row>
    <row r="197" ht="15.75" customHeight="1">
      <c r="D197" s="30"/>
      <c r="E197" s="30"/>
      <c r="F197" s="30"/>
      <c r="G197" s="30"/>
      <c r="H197" s="30"/>
      <c r="I197" s="30"/>
      <c r="J197" s="30"/>
      <c r="K197" s="30"/>
    </row>
    <row r="198" ht="15.75" customHeight="1">
      <c r="D198" s="30"/>
      <c r="E198" s="30"/>
      <c r="F198" s="30"/>
      <c r="G198" s="30"/>
      <c r="H198" s="30"/>
      <c r="I198" s="30"/>
      <c r="J198" s="30"/>
      <c r="K198" s="30"/>
    </row>
    <row r="199" ht="15.75" customHeight="1">
      <c r="D199" s="30"/>
      <c r="E199" s="30"/>
      <c r="F199" s="30"/>
      <c r="G199" s="30"/>
      <c r="H199" s="30"/>
      <c r="I199" s="30"/>
      <c r="J199" s="30"/>
      <c r="K199" s="30"/>
    </row>
    <row r="200" ht="15.75" customHeight="1">
      <c r="D200" s="30"/>
      <c r="E200" s="30"/>
      <c r="F200" s="30"/>
      <c r="G200" s="30"/>
      <c r="H200" s="30"/>
      <c r="I200" s="30"/>
      <c r="J200" s="30"/>
      <c r="K200" s="30"/>
    </row>
    <row r="201" ht="15.75" customHeight="1">
      <c r="D201" s="30"/>
      <c r="E201" s="30"/>
      <c r="F201" s="30"/>
      <c r="G201" s="30"/>
      <c r="H201" s="30"/>
      <c r="I201" s="30"/>
      <c r="J201" s="30"/>
      <c r="K201" s="30"/>
    </row>
    <row r="202" ht="15.75" customHeight="1">
      <c r="D202" s="30"/>
      <c r="E202" s="30"/>
      <c r="F202" s="30"/>
      <c r="G202" s="30"/>
      <c r="H202" s="30"/>
      <c r="I202" s="30"/>
      <c r="J202" s="30"/>
      <c r="K202" s="30"/>
    </row>
    <row r="203" ht="15.75" customHeight="1">
      <c r="D203" s="30"/>
      <c r="E203" s="30"/>
      <c r="F203" s="30"/>
      <c r="G203" s="30"/>
      <c r="H203" s="30"/>
      <c r="I203" s="30"/>
      <c r="J203" s="30"/>
      <c r="K203" s="30"/>
    </row>
    <row r="204" ht="15.75" customHeight="1">
      <c r="D204" s="30"/>
      <c r="E204" s="30"/>
      <c r="F204" s="30"/>
      <c r="G204" s="30"/>
      <c r="H204" s="30"/>
      <c r="I204" s="30"/>
      <c r="J204" s="30"/>
      <c r="K204" s="30"/>
    </row>
    <row r="205" ht="15.75" customHeight="1">
      <c r="D205" s="30"/>
      <c r="E205" s="30"/>
      <c r="F205" s="30"/>
      <c r="G205" s="30"/>
      <c r="H205" s="30"/>
      <c r="I205" s="30"/>
      <c r="J205" s="30"/>
      <c r="K205" s="30"/>
    </row>
    <row r="206" ht="15.75" customHeight="1">
      <c r="D206" s="30"/>
      <c r="E206" s="30"/>
      <c r="F206" s="30"/>
      <c r="G206" s="30"/>
      <c r="H206" s="30"/>
      <c r="I206" s="30"/>
      <c r="J206" s="30"/>
      <c r="K206" s="30"/>
    </row>
    <row r="207" ht="15.75" customHeight="1">
      <c r="D207" s="30"/>
      <c r="E207" s="30"/>
      <c r="F207" s="30"/>
      <c r="G207" s="30"/>
      <c r="H207" s="30"/>
      <c r="I207" s="30"/>
      <c r="J207" s="30"/>
      <c r="K207" s="30"/>
    </row>
    <row r="208" ht="15.75" customHeight="1">
      <c r="D208" s="30"/>
      <c r="E208" s="30"/>
      <c r="F208" s="30"/>
      <c r="G208" s="30"/>
      <c r="H208" s="30"/>
      <c r="I208" s="30"/>
      <c r="J208" s="30"/>
      <c r="K208" s="30"/>
    </row>
    <row r="209" ht="15.75" customHeight="1">
      <c r="D209" s="30"/>
      <c r="E209" s="30"/>
      <c r="F209" s="30"/>
      <c r="G209" s="30"/>
      <c r="H209" s="30"/>
      <c r="I209" s="30"/>
      <c r="J209" s="30"/>
      <c r="K209" s="30"/>
    </row>
    <row r="210" ht="15.75" customHeight="1">
      <c r="D210" s="30"/>
      <c r="E210" s="30"/>
      <c r="F210" s="30"/>
      <c r="G210" s="30"/>
      <c r="H210" s="30"/>
      <c r="I210" s="30"/>
      <c r="J210" s="30"/>
      <c r="K210" s="30"/>
    </row>
    <row r="211" ht="15.75" customHeight="1">
      <c r="D211" s="30"/>
      <c r="E211" s="30"/>
      <c r="F211" s="30"/>
      <c r="G211" s="30"/>
      <c r="H211" s="30"/>
      <c r="I211" s="30"/>
      <c r="J211" s="30"/>
      <c r="K211" s="30"/>
    </row>
    <row r="212" ht="15.75" customHeight="1">
      <c r="D212" s="30"/>
      <c r="E212" s="30"/>
      <c r="F212" s="30"/>
      <c r="G212" s="30"/>
      <c r="H212" s="30"/>
      <c r="I212" s="30"/>
      <c r="J212" s="30"/>
      <c r="K212" s="30"/>
    </row>
    <row r="213" ht="15.75" customHeight="1">
      <c r="D213" s="30"/>
      <c r="E213" s="30"/>
      <c r="F213" s="30"/>
      <c r="G213" s="30"/>
      <c r="H213" s="30"/>
      <c r="I213" s="30"/>
      <c r="J213" s="30"/>
      <c r="K213" s="30"/>
    </row>
    <row r="214" ht="15.75" customHeight="1">
      <c r="D214" s="30"/>
      <c r="E214" s="30"/>
      <c r="F214" s="30"/>
      <c r="G214" s="30"/>
      <c r="H214" s="30"/>
      <c r="I214" s="30"/>
      <c r="J214" s="30"/>
      <c r="K214" s="30"/>
    </row>
    <row r="215" ht="15.75" customHeight="1">
      <c r="D215" s="30"/>
      <c r="E215" s="30"/>
      <c r="F215" s="30"/>
      <c r="G215" s="30"/>
      <c r="H215" s="30"/>
      <c r="I215" s="30"/>
      <c r="J215" s="30"/>
      <c r="K215" s="30"/>
    </row>
    <row r="216" ht="15.75" customHeight="1">
      <c r="D216" s="30"/>
      <c r="E216" s="30"/>
      <c r="F216" s="30"/>
      <c r="G216" s="30"/>
      <c r="H216" s="30"/>
      <c r="I216" s="30"/>
      <c r="J216" s="30"/>
      <c r="K216" s="30"/>
    </row>
    <row r="217" ht="15.75" customHeight="1">
      <c r="D217" s="30"/>
      <c r="E217" s="30"/>
      <c r="F217" s="30"/>
      <c r="G217" s="30"/>
      <c r="H217" s="30"/>
      <c r="I217" s="30"/>
      <c r="J217" s="30"/>
      <c r="K217" s="30"/>
    </row>
    <row r="218" ht="15.75" customHeight="1">
      <c r="D218" s="30"/>
      <c r="E218" s="30"/>
      <c r="F218" s="30"/>
      <c r="G218" s="30"/>
      <c r="H218" s="30"/>
      <c r="I218" s="30"/>
      <c r="J218" s="30"/>
      <c r="K218" s="30"/>
    </row>
    <row r="219" ht="15.75" customHeight="1">
      <c r="D219" s="30"/>
      <c r="E219" s="30"/>
      <c r="F219" s="30"/>
      <c r="G219" s="30"/>
      <c r="H219" s="30"/>
      <c r="I219" s="30"/>
      <c r="J219" s="30"/>
      <c r="K219" s="30"/>
    </row>
    <row r="220" ht="15.75" customHeight="1">
      <c r="D220" s="30"/>
      <c r="E220" s="30"/>
      <c r="F220" s="30"/>
      <c r="G220" s="30"/>
      <c r="H220" s="30"/>
      <c r="I220" s="30"/>
      <c r="J220" s="30"/>
      <c r="K220" s="30"/>
    </row>
    <row r="221" ht="15.75" customHeight="1">
      <c r="D221" s="30"/>
      <c r="E221" s="30"/>
      <c r="F221" s="30"/>
      <c r="G221" s="30"/>
      <c r="H221" s="30"/>
      <c r="I221" s="30"/>
      <c r="J221" s="30"/>
      <c r="K221" s="30"/>
    </row>
    <row r="222" ht="15.75" customHeight="1">
      <c r="D222" s="30"/>
      <c r="E222" s="30"/>
      <c r="F222" s="30"/>
      <c r="G222" s="30"/>
      <c r="H222" s="30"/>
      <c r="I222" s="30"/>
      <c r="J222" s="30"/>
      <c r="K222" s="30"/>
    </row>
    <row r="223" ht="15.75" customHeight="1">
      <c r="D223" s="30"/>
      <c r="E223" s="30"/>
      <c r="F223" s="30"/>
      <c r="G223" s="30"/>
      <c r="H223" s="30"/>
      <c r="I223" s="30"/>
      <c r="J223" s="30"/>
      <c r="K223" s="30"/>
    </row>
    <row r="224" ht="15.75" customHeight="1">
      <c r="D224" s="30"/>
      <c r="E224" s="30"/>
      <c r="F224" s="30"/>
      <c r="G224" s="30"/>
      <c r="H224" s="30"/>
      <c r="I224" s="30"/>
      <c r="J224" s="30"/>
      <c r="K224" s="30"/>
    </row>
    <row r="225" ht="15.75" customHeight="1">
      <c r="D225" s="30"/>
      <c r="E225" s="30"/>
      <c r="F225" s="30"/>
      <c r="G225" s="30"/>
      <c r="H225" s="30"/>
      <c r="I225" s="30"/>
      <c r="J225" s="30"/>
      <c r="K225" s="30"/>
    </row>
    <row r="226" ht="15.75" customHeight="1">
      <c r="D226" s="30"/>
      <c r="E226" s="30"/>
      <c r="F226" s="30"/>
      <c r="G226" s="30"/>
      <c r="H226" s="30"/>
      <c r="I226" s="30"/>
      <c r="J226" s="30"/>
      <c r="K226" s="30"/>
    </row>
    <row r="227" ht="15.75" customHeight="1">
      <c r="D227" s="30"/>
      <c r="E227" s="30"/>
      <c r="F227" s="30"/>
      <c r="G227" s="30"/>
      <c r="H227" s="30"/>
      <c r="I227" s="30"/>
      <c r="J227" s="30"/>
      <c r="K227" s="30"/>
    </row>
    <row r="228" ht="15.75" customHeight="1">
      <c r="D228" s="30"/>
      <c r="E228" s="30"/>
      <c r="F228" s="30"/>
      <c r="G228" s="30"/>
      <c r="H228" s="30"/>
      <c r="I228" s="30"/>
      <c r="J228" s="30"/>
      <c r="K228" s="30"/>
    </row>
    <row r="229" ht="15.75" customHeight="1">
      <c r="D229" s="30"/>
      <c r="E229" s="30"/>
      <c r="F229" s="30"/>
      <c r="G229" s="30"/>
      <c r="H229" s="30"/>
      <c r="I229" s="30"/>
      <c r="J229" s="30"/>
      <c r="K229" s="30"/>
    </row>
    <row r="230" ht="15.75" customHeight="1">
      <c r="D230" s="30"/>
      <c r="E230" s="30"/>
      <c r="F230" s="30"/>
      <c r="G230" s="30"/>
      <c r="H230" s="30"/>
      <c r="I230" s="30"/>
      <c r="J230" s="30"/>
      <c r="K230" s="30"/>
    </row>
    <row r="231" ht="15.75" customHeight="1">
      <c r="D231" s="30"/>
      <c r="E231" s="30"/>
      <c r="F231" s="30"/>
      <c r="G231" s="30"/>
      <c r="H231" s="30"/>
      <c r="I231" s="30"/>
      <c r="J231" s="30"/>
      <c r="K231" s="30"/>
    </row>
    <row r="232" ht="15.75" customHeight="1">
      <c r="D232" s="30"/>
      <c r="E232" s="30"/>
      <c r="F232" s="30"/>
      <c r="G232" s="30"/>
      <c r="H232" s="30"/>
      <c r="I232" s="30"/>
      <c r="J232" s="30"/>
      <c r="K232" s="30"/>
    </row>
    <row r="233" ht="15.75" customHeight="1">
      <c r="D233" s="30"/>
      <c r="E233" s="30"/>
      <c r="F233" s="30"/>
      <c r="G233" s="30"/>
      <c r="H233" s="30"/>
      <c r="I233" s="30"/>
      <c r="J233" s="30"/>
      <c r="K233" s="30"/>
    </row>
    <row r="234" ht="15.75" customHeight="1">
      <c r="D234" s="30"/>
      <c r="E234" s="30"/>
      <c r="F234" s="30"/>
      <c r="G234" s="30"/>
      <c r="H234" s="30"/>
      <c r="I234" s="30"/>
      <c r="J234" s="30"/>
      <c r="K234" s="30"/>
    </row>
    <row r="235" ht="15.75" customHeight="1">
      <c r="D235" s="30"/>
      <c r="E235" s="30"/>
      <c r="F235" s="30"/>
      <c r="G235" s="30"/>
      <c r="H235" s="30"/>
      <c r="I235" s="30"/>
      <c r="J235" s="30"/>
      <c r="K235" s="30"/>
    </row>
    <row r="236" ht="15.75" customHeight="1">
      <c r="D236" s="30"/>
      <c r="E236" s="30"/>
      <c r="F236" s="30"/>
      <c r="G236" s="30"/>
      <c r="H236" s="30"/>
      <c r="I236" s="30"/>
      <c r="J236" s="30"/>
      <c r="K236" s="30"/>
    </row>
    <row r="237" ht="15.75" customHeight="1">
      <c r="D237" s="30"/>
      <c r="E237" s="30"/>
      <c r="F237" s="30"/>
      <c r="G237" s="30"/>
      <c r="H237" s="30"/>
      <c r="I237" s="30"/>
      <c r="J237" s="30"/>
      <c r="K237" s="30"/>
    </row>
    <row r="238" ht="15.75" customHeight="1">
      <c r="D238" s="30"/>
      <c r="E238" s="30"/>
      <c r="F238" s="30"/>
      <c r="G238" s="30"/>
      <c r="H238" s="30"/>
      <c r="I238" s="30"/>
      <c r="J238" s="30"/>
      <c r="K238" s="30"/>
    </row>
    <row r="239" ht="15.75" customHeight="1">
      <c r="D239" s="30"/>
      <c r="E239" s="30"/>
      <c r="F239" s="30"/>
      <c r="G239" s="30"/>
      <c r="H239" s="30"/>
      <c r="I239" s="30"/>
      <c r="J239" s="30"/>
      <c r="K239" s="30"/>
    </row>
    <row r="240" ht="15.75" customHeight="1">
      <c r="D240" s="30"/>
      <c r="E240" s="30"/>
      <c r="F240" s="30"/>
      <c r="G240" s="30"/>
      <c r="H240" s="30"/>
      <c r="I240" s="30"/>
      <c r="J240" s="30"/>
      <c r="K240" s="30"/>
    </row>
    <row r="241" ht="15.75" customHeight="1">
      <c r="D241" s="30"/>
      <c r="E241" s="30"/>
      <c r="F241" s="30"/>
      <c r="G241" s="30"/>
      <c r="H241" s="30"/>
      <c r="I241" s="30"/>
      <c r="J241" s="30"/>
      <c r="K241" s="30"/>
    </row>
    <row r="242" ht="15.75" customHeight="1">
      <c r="D242" s="30"/>
      <c r="E242" s="30"/>
      <c r="F242" s="30"/>
      <c r="G242" s="30"/>
      <c r="H242" s="30"/>
      <c r="I242" s="30"/>
      <c r="J242" s="30"/>
      <c r="K242" s="30"/>
    </row>
    <row r="243" ht="15.75" customHeight="1">
      <c r="D243" s="30"/>
      <c r="E243" s="30"/>
      <c r="F243" s="30"/>
      <c r="G243" s="30"/>
      <c r="H243" s="30"/>
      <c r="I243" s="30"/>
      <c r="J243" s="30"/>
      <c r="K243" s="30"/>
    </row>
    <row r="244" ht="15.75" customHeight="1">
      <c r="D244" s="30"/>
      <c r="E244" s="30"/>
      <c r="F244" s="30"/>
      <c r="G244" s="30"/>
      <c r="H244" s="30"/>
      <c r="I244" s="30"/>
      <c r="J244" s="30"/>
      <c r="K244" s="30"/>
    </row>
    <row r="245" ht="15.75" customHeight="1">
      <c r="D245" s="30"/>
      <c r="E245" s="30"/>
      <c r="F245" s="30"/>
      <c r="G245" s="30"/>
      <c r="H245" s="30"/>
      <c r="I245" s="30"/>
      <c r="J245" s="30"/>
      <c r="K245" s="30"/>
    </row>
    <row r="246" ht="15.75" customHeight="1">
      <c r="D246" s="30"/>
      <c r="E246" s="30"/>
      <c r="F246" s="30"/>
      <c r="G246" s="30"/>
      <c r="H246" s="30"/>
      <c r="I246" s="30"/>
      <c r="J246" s="30"/>
      <c r="K246" s="30"/>
    </row>
    <row r="247" ht="15.75" customHeight="1">
      <c r="D247" s="30"/>
      <c r="E247" s="30"/>
      <c r="F247" s="30"/>
      <c r="G247" s="30"/>
      <c r="H247" s="30"/>
      <c r="I247" s="30"/>
      <c r="J247" s="30"/>
      <c r="K247" s="30"/>
    </row>
    <row r="248" ht="15.75" customHeight="1">
      <c r="D248" s="30"/>
      <c r="E248" s="30"/>
      <c r="F248" s="30"/>
      <c r="G248" s="30"/>
      <c r="H248" s="30"/>
      <c r="I248" s="30"/>
      <c r="J248" s="30"/>
      <c r="K248" s="30"/>
    </row>
    <row r="249" ht="15.75" customHeight="1">
      <c r="D249" s="30"/>
      <c r="E249" s="30"/>
      <c r="F249" s="30"/>
      <c r="G249" s="30"/>
      <c r="H249" s="30"/>
      <c r="I249" s="30"/>
      <c r="J249" s="30"/>
      <c r="K249" s="30"/>
    </row>
    <row r="250" ht="15.75" customHeight="1">
      <c r="D250" s="30"/>
      <c r="E250" s="30"/>
      <c r="F250" s="30"/>
      <c r="G250" s="30"/>
      <c r="H250" s="30"/>
      <c r="I250" s="30"/>
      <c r="J250" s="30"/>
      <c r="K250" s="30"/>
    </row>
    <row r="251" ht="15.75" customHeight="1">
      <c r="D251" s="30"/>
      <c r="E251" s="30"/>
      <c r="F251" s="30"/>
      <c r="G251" s="30"/>
      <c r="H251" s="30"/>
      <c r="I251" s="30"/>
      <c r="J251" s="30"/>
      <c r="K251" s="30"/>
    </row>
    <row r="252" ht="15.75" customHeight="1">
      <c r="D252" s="30"/>
      <c r="E252" s="30"/>
      <c r="F252" s="30"/>
      <c r="G252" s="30"/>
      <c r="H252" s="30"/>
      <c r="I252" s="30"/>
      <c r="J252" s="30"/>
      <c r="K252" s="30"/>
    </row>
    <row r="253" ht="15.75" customHeight="1">
      <c r="D253" s="30"/>
      <c r="E253" s="30"/>
      <c r="F253" s="30"/>
      <c r="G253" s="30"/>
      <c r="H253" s="30"/>
      <c r="I253" s="30"/>
      <c r="J253" s="30"/>
      <c r="K253" s="30"/>
    </row>
    <row r="254" ht="15.75" customHeight="1">
      <c r="D254" s="30"/>
      <c r="E254" s="30"/>
      <c r="F254" s="30"/>
      <c r="G254" s="30"/>
      <c r="H254" s="30"/>
      <c r="I254" s="30"/>
      <c r="J254" s="30"/>
      <c r="K254" s="30"/>
    </row>
    <row r="255" ht="15.75" customHeight="1">
      <c r="D255" s="30"/>
      <c r="E255" s="30"/>
      <c r="F255" s="30"/>
      <c r="G255" s="30"/>
      <c r="H255" s="30"/>
      <c r="I255" s="30"/>
      <c r="J255" s="30"/>
      <c r="K255" s="30"/>
    </row>
    <row r="256" ht="15.75" customHeight="1">
      <c r="D256" s="30"/>
      <c r="E256" s="30"/>
      <c r="F256" s="30"/>
      <c r="G256" s="30"/>
      <c r="H256" s="30"/>
      <c r="I256" s="30"/>
      <c r="J256" s="30"/>
      <c r="K256" s="30"/>
    </row>
    <row r="257" ht="15.75" customHeight="1">
      <c r="D257" s="30"/>
      <c r="E257" s="30"/>
      <c r="F257" s="30"/>
      <c r="G257" s="30"/>
      <c r="H257" s="30"/>
      <c r="I257" s="30"/>
      <c r="J257" s="30"/>
      <c r="K257" s="30"/>
    </row>
    <row r="258" ht="15.75" customHeight="1">
      <c r="D258" s="30"/>
      <c r="E258" s="30"/>
      <c r="F258" s="30"/>
      <c r="G258" s="30"/>
      <c r="H258" s="30"/>
      <c r="I258" s="30"/>
      <c r="J258" s="30"/>
      <c r="K258" s="30"/>
    </row>
    <row r="259" ht="15.75" customHeight="1">
      <c r="D259" s="30"/>
      <c r="E259" s="30"/>
      <c r="F259" s="30"/>
      <c r="G259" s="30"/>
      <c r="H259" s="30"/>
      <c r="I259" s="30"/>
      <c r="J259" s="30"/>
      <c r="K259" s="30"/>
    </row>
    <row r="260" ht="15.75" customHeight="1">
      <c r="D260" s="30"/>
      <c r="E260" s="30"/>
      <c r="F260" s="30"/>
      <c r="G260" s="30"/>
      <c r="H260" s="30"/>
      <c r="I260" s="30"/>
      <c r="J260" s="30"/>
      <c r="K260" s="30"/>
    </row>
    <row r="261" ht="15.75" customHeight="1">
      <c r="D261" s="30"/>
      <c r="E261" s="30"/>
      <c r="F261" s="30"/>
      <c r="G261" s="30"/>
      <c r="H261" s="30"/>
      <c r="I261" s="30"/>
      <c r="J261" s="30"/>
      <c r="K261" s="30"/>
    </row>
    <row r="262" ht="15.75" customHeight="1">
      <c r="D262" s="30"/>
      <c r="E262" s="30"/>
      <c r="F262" s="30"/>
      <c r="G262" s="30"/>
      <c r="H262" s="30"/>
      <c r="I262" s="30"/>
      <c r="J262" s="30"/>
      <c r="K262" s="30"/>
    </row>
    <row r="263" ht="15.75" customHeight="1">
      <c r="D263" s="30"/>
      <c r="E263" s="30"/>
      <c r="F263" s="30"/>
      <c r="G263" s="30"/>
      <c r="H263" s="30"/>
      <c r="I263" s="30"/>
      <c r="J263" s="30"/>
      <c r="K263" s="30"/>
    </row>
    <row r="264" ht="15.75" customHeight="1">
      <c r="D264" s="30"/>
      <c r="E264" s="30"/>
      <c r="F264" s="30"/>
      <c r="G264" s="30"/>
      <c r="H264" s="30"/>
      <c r="I264" s="30"/>
      <c r="J264" s="30"/>
      <c r="K264" s="30"/>
    </row>
    <row r="265" ht="15.75" customHeight="1">
      <c r="D265" s="30"/>
      <c r="E265" s="30"/>
      <c r="F265" s="30"/>
      <c r="G265" s="30"/>
      <c r="H265" s="30"/>
      <c r="I265" s="30"/>
      <c r="J265" s="30"/>
      <c r="K265" s="30"/>
    </row>
    <row r="266" ht="15.75" customHeight="1">
      <c r="D266" s="30"/>
      <c r="E266" s="30"/>
      <c r="F266" s="30"/>
      <c r="G266" s="30"/>
      <c r="H266" s="30"/>
      <c r="I266" s="30"/>
      <c r="J266" s="30"/>
      <c r="K266" s="30"/>
    </row>
    <row r="267" ht="15.75" customHeight="1">
      <c r="D267" s="30"/>
      <c r="E267" s="30"/>
      <c r="F267" s="30"/>
      <c r="G267" s="30"/>
      <c r="H267" s="30"/>
      <c r="I267" s="30"/>
      <c r="J267" s="30"/>
      <c r="K267" s="30"/>
    </row>
    <row r="268" ht="15.75" customHeight="1">
      <c r="D268" s="30"/>
      <c r="E268" s="30"/>
      <c r="F268" s="30"/>
      <c r="G268" s="30"/>
      <c r="H268" s="30"/>
      <c r="I268" s="30"/>
      <c r="J268" s="30"/>
      <c r="K268" s="30"/>
    </row>
    <row r="269" ht="15.75" customHeight="1">
      <c r="D269" s="30"/>
      <c r="E269" s="30"/>
      <c r="F269" s="30"/>
      <c r="G269" s="30"/>
      <c r="H269" s="30"/>
      <c r="I269" s="30"/>
      <c r="J269" s="30"/>
      <c r="K269" s="30"/>
    </row>
    <row r="270" ht="15.75" customHeight="1">
      <c r="D270" s="30"/>
      <c r="E270" s="30"/>
      <c r="F270" s="30"/>
      <c r="G270" s="30"/>
      <c r="H270" s="30"/>
      <c r="I270" s="30"/>
      <c r="J270" s="30"/>
      <c r="K270" s="30"/>
    </row>
    <row r="271" ht="15.75" customHeight="1">
      <c r="D271" s="30"/>
      <c r="E271" s="30"/>
      <c r="F271" s="30"/>
      <c r="G271" s="30"/>
      <c r="H271" s="30"/>
      <c r="I271" s="30"/>
      <c r="J271" s="30"/>
      <c r="K271" s="30"/>
    </row>
    <row r="272" ht="15.75" customHeight="1">
      <c r="D272" s="30"/>
      <c r="E272" s="30"/>
      <c r="F272" s="30"/>
      <c r="G272" s="30"/>
      <c r="H272" s="30"/>
      <c r="I272" s="30"/>
      <c r="J272" s="30"/>
      <c r="K272" s="30"/>
    </row>
    <row r="273" ht="15.75" customHeight="1">
      <c r="D273" s="30"/>
      <c r="E273" s="30"/>
      <c r="F273" s="30"/>
      <c r="G273" s="30"/>
      <c r="H273" s="30"/>
      <c r="I273" s="30"/>
      <c r="J273" s="30"/>
      <c r="K273" s="30"/>
    </row>
    <row r="274" ht="15.75" customHeight="1">
      <c r="D274" s="30"/>
      <c r="E274" s="30"/>
      <c r="F274" s="30"/>
      <c r="G274" s="30"/>
      <c r="H274" s="30"/>
      <c r="I274" s="30"/>
      <c r="J274" s="30"/>
      <c r="K274" s="30"/>
    </row>
    <row r="275" ht="15.75" customHeight="1">
      <c r="D275" s="30"/>
      <c r="E275" s="30"/>
      <c r="F275" s="30"/>
      <c r="G275" s="30"/>
      <c r="H275" s="30"/>
      <c r="I275" s="30"/>
      <c r="J275" s="30"/>
      <c r="K275" s="30"/>
    </row>
    <row r="276" ht="15.75" customHeight="1">
      <c r="D276" s="30"/>
      <c r="E276" s="30"/>
      <c r="F276" s="30"/>
      <c r="G276" s="30"/>
      <c r="H276" s="30"/>
      <c r="I276" s="30"/>
      <c r="J276" s="30"/>
      <c r="K276" s="30"/>
    </row>
    <row r="277" ht="15.75" customHeight="1">
      <c r="D277" s="30"/>
      <c r="E277" s="30"/>
      <c r="F277" s="30"/>
      <c r="G277" s="30"/>
      <c r="H277" s="30"/>
      <c r="I277" s="30"/>
      <c r="J277" s="30"/>
      <c r="K277" s="30"/>
    </row>
    <row r="278" ht="15.75" customHeight="1">
      <c r="D278" s="30"/>
      <c r="E278" s="30"/>
      <c r="F278" s="30"/>
      <c r="G278" s="30"/>
      <c r="H278" s="30"/>
      <c r="I278" s="30"/>
      <c r="J278" s="30"/>
      <c r="K278" s="30"/>
    </row>
    <row r="279" ht="15.75" customHeight="1">
      <c r="D279" s="30"/>
      <c r="E279" s="30"/>
      <c r="F279" s="30"/>
      <c r="G279" s="30"/>
      <c r="H279" s="30"/>
      <c r="I279" s="30"/>
      <c r="J279" s="30"/>
      <c r="K279" s="30"/>
    </row>
    <row r="280" ht="15.75" customHeight="1">
      <c r="D280" s="30"/>
      <c r="E280" s="30"/>
      <c r="F280" s="30"/>
      <c r="G280" s="30"/>
      <c r="H280" s="30"/>
      <c r="I280" s="30"/>
      <c r="J280" s="30"/>
      <c r="K280" s="30"/>
    </row>
    <row r="281" ht="15.75" customHeight="1">
      <c r="D281" s="30"/>
      <c r="E281" s="30"/>
      <c r="F281" s="30"/>
      <c r="G281" s="30"/>
      <c r="H281" s="30"/>
      <c r="I281" s="30"/>
      <c r="J281" s="30"/>
      <c r="K281" s="30"/>
    </row>
    <row r="282" ht="15.75" customHeight="1">
      <c r="D282" s="30"/>
      <c r="E282" s="30"/>
      <c r="F282" s="30"/>
      <c r="G282" s="30"/>
      <c r="H282" s="30"/>
      <c r="I282" s="30"/>
      <c r="J282" s="30"/>
      <c r="K282" s="30"/>
    </row>
    <row r="283" ht="15.75" customHeight="1">
      <c r="D283" s="30"/>
      <c r="E283" s="30"/>
      <c r="F283" s="30"/>
      <c r="G283" s="30"/>
      <c r="H283" s="30"/>
      <c r="I283" s="30"/>
      <c r="J283" s="30"/>
      <c r="K283" s="30"/>
    </row>
    <row r="284" ht="15.75" customHeight="1">
      <c r="D284" s="30"/>
      <c r="E284" s="30"/>
      <c r="F284" s="30"/>
      <c r="G284" s="30"/>
      <c r="H284" s="30"/>
      <c r="I284" s="30"/>
      <c r="J284" s="30"/>
      <c r="K284" s="30"/>
    </row>
    <row r="285" ht="15.75" customHeight="1">
      <c r="D285" s="30"/>
      <c r="E285" s="30"/>
      <c r="F285" s="30"/>
      <c r="G285" s="30"/>
      <c r="H285" s="30"/>
      <c r="I285" s="30"/>
      <c r="J285" s="30"/>
      <c r="K285" s="30"/>
    </row>
    <row r="286" ht="15.75" customHeight="1">
      <c r="D286" s="30"/>
      <c r="E286" s="30"/>
      <c r="F286" s="30"/>
      <c r="G286" s="30"/>
      <c r="H286" s="30"/>
      <c r="I286" s="30"/>
      <c r="J286" s="30"/>
      <c r="K286" s="30"/>
    </row>
    <row r="287" ht="15.75" customHeight="1">
      <c r="D287" s="30"/>
      <c r="E287" s="30"/>
      <c r="F287" s="30"/>
      <c r="G287" s="30"/>
      <c r="H287" s="30"/>
      <c r="I287" s="30"/>
      <c r="J287" s="30"/>
      <c r="K287" s="30"/>
    </row>
    <row r="288" ht="15.75" customHeight="1">
      <c r="D288" s="30"/>
      <c r="E288" s="30"/>
      <c r="F288" s="30"/>
      <c r="G288" s="30"/>
      <c r="H288" s="30"/>
      <c r="I288" s="30"/>
      <c r="J288" s="30"/>
      <c r="K288" s="30"/>
    </row>
    <row r="289" ht="15.75" customHeight="1">
      <c r="D289" s="30"/>
      <c r="E289" s="30"/>
      <c r="F289" s="30"/>
      <c r="G289" s="30"/>
      <c r="H289" s="30"/>
      <c r="I289" s="30"/>
      <c r="J289" s="30"/>
      <c r="K289" s="30"/>
    </row>
    <row r="290" ht="15.75" customHeight="1">
      <c r="D290" s="30"/>
      <c r="E290" s="30"/>
      <c r="F290" s="30"/>
      <c r="G290" s="30"/>
      <c r="H290" s="30"/>
      <c r="I290" s="30"/>
      <c r="J290" s="30"/>
      <c r="K290" s="30"/>
    </row>
    <row r="291" ht="15.75" customHeight="1">
      <c r="D291" s="30"/>
      <c r="E291" s="30"/>
      <c r="F291" s="30"/>
      <c r="G291" s="30"/>
      <c r="H291" s="30"/>
      <c r="I291" s="30"/>
      <c r="J291" s="30"/>
      <c r="K291" s="30"/>
    </row>
    <row r="292" ht="15.75" customHeight="1">
      <c r="D292" s="30"/>
      <c r="E292" s="30"/>
      <c r="F292" s="30"/>
      <c r="G292" s="30"/>
      <c r="H292" s="30"/>
      <c r="I292" s="30"/>
      <c r="J292" s="30"/>
      <c r="K292" s="30"/>
    </row>
    <row r="293" ht="15.75" customHeight="1">
      <c r="D293" s="30"/>
      <c r="E293" s="30"/>
      <c r="F293" s="30"/>
      <c r="G293" s="30"/>
      <c r="H293" s="30"/>
      <c r="I293" s="30"/>
      <c r="J293" s="30"/>
      <c r="K293" s="30"/>
    </row>
    <row r="294" ht="15.75" customHeight="1">
      <c r="D294" s="30"/>
      <c r="E294" s="30"/>
      <c r="F294" s="30"/>
      <c r="G294" s="30"/>
      <c r="H294" s="30"/>
      <c r="I294" s="30"/>
      <c r="J294" s="30"/>
      <c r="K294" s="30"/>
    </row>
    <row r="295" ht="15.75" customHeight="1">
      <c r="D295" s="30"/>
      <c r="E295" s="30"/>
      <c r="F295" s="30"/>
      <c r="G295" s="30"/>
      <c r="H295" s="30"/>
      <c r="I295" s="30"/>
      <c r="J295" s="30"/>
      <c r="K295" s="30"/>
    </row>
    <row r="296" ht="15.75" customHeight="1">
      <c r="D296" s="30"/>
      <c r="E296" s="30"/>
      <c r="F296" s="30"/>
      <c r="G296" s="30"/>
      <c r="H296" s="30"/>
      <c r="I296" s="30"/>
      <c r="J296" s="30"/>
      <c r="K296" s="30"/>
    </row>
    <row r="297" ht="15.75" customHeight="1">
      <c r="D297" s="30"/>
      <c r="E297" s="30"/>
      <c r="F297" s="30"/>
      <c r="G297" s="30"/>
      <c r="H297" s="30"/>
      <c r="I297" s="30"/>
      <c r="J297" s="30"/>
      <c r="K297" s="30"/>
    </row>
    <row r="298" ht="15.75" customHeight="1">
      <c r="D298" s="30"/>
      <c r="E298" s="30"/>
      <c r="F298" s="30"/>
      <c r="G298" s="30"/>
      <c r="H298" s="30"/>
      <c r="I298" s="30"/>
      <c r="J298" s="30"/>
      <c r="K298" s="30"/>
    </row>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N74:BI74 N82:BI82 N90:BI90 N98:BI98">
    <cfRule type="cellIs" dxfId="4" priority="1" operator="equal">
      <formula>0</formula>
    </cfRule>
  </conditionalFormatting>
  <conditionalFormatting sqref="N74:BI74 N82:BI82 N90:BI90 N98:BI98">
    <cfRule type="cellIs" dxfId="5" priority="2" operator="notEqual">
      <formula>0</formula>
    </cfRule>
  </conditionalFormatting>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B888"/>
    <outlinePr summaryBelow="0" summaryRight="0"/>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67.13"/>
    <col customWidth="1" min="2" max="2" width="14.38"/>
    <col customWidth="1" min="3" max="3" width="2.63"/>
    <col customWidth="1" min="4" max="75" width="14.38"/>
  </cols>
  <sheetData>
    <row r="1" ht="22.5" customHeight="1">
      <c r="A1" s="36" t="s">
        <v>237</v>
      </c>
      <c r="B1" s="135" t="s">
        <v>238</v>
      </c>
      <c r="C1" s="135"/>
      <c r="D1" s="37">
        <v>43101.0</v>
      </c>
      <c r="E1" s="37">
        <f t="shared" ref="E1:BW1" si="1">EDATE(D1,1)</f>
        <v>43132</v>
      </c>
      <c r="F1" s="37">
        <f t="shared" si="1"/>
        <v>43160</v>
      </c>
      <c r="G1" s="37">
        <f t="shared" si="1"/>
        <v>43191</v>
      </c>
      <c r="H1" s="37">
        <f t="shared" si="1"/>
        <v>43221</v>
      </c>
      <c r="I1" s="37">
        <f t="shared" si="1"/>
        <v>43252</v>
      </c>
      <c r="J1" s="37">
        <f t="shared" si="1"/>
        <v>43282</v>
      </c>
      <c r="K1" s="37">
        <f t="shared" si="1"/>
        <v>43313</v>
      </c>
      <c r="L1" s="37">
        <f t="shared" si="1"/>
        <v>43344</v>
      </c>
      <c r="M1" s="37">
        <f t="shared" si="1"/>
        <v>43374</v>
      </c>
      <c r="N1" s="37">
        <f t="shared" si="1"/>
        <v>43405</v>
      </c>
      <c r="O1" s="37">
        <f t="shared" si="1"/>
        <v>43435</v>
      </c>
      <c r="P1" s="37">
        <f t="shared" si="1"/>
        <v>43466</v>
      </c>
      <c r="Q1" s="37">
        <f t="shared" si="1"/>
        <v>43497</v>
      </c>
      <c r="R1" s="37">
        <f t="shared" si="1"/>
        <v>43525</v>
      </c>
      <c r="S1" s="37">
        <f t="shared" si="1"/>
        <v>43556</v>
      </c>
      <c r="T1" s="37">
        <f t="shared" si="1"/>
        <v>43586</v>
      </c>
      <c r="U1" s="37">
        <f t="shared" si="1"/>
        <v>43617</v>
      </c>
      <c r="V1" s="37">
        <f t="shared" si="1"/>
        <v>43647</v>
      </c>
      <c r="W1" s="37">
        <f t="shared" si="1"/>
        <v>43678</v>
      </c>
      <c r="X1" s="37">
        <f t="shared" si="1"/>
        <v>43709</v>
      </c>
      <c r="Y1" s="37">
        <f t="shared" si="1"/>
        <v>43739</v>
      </c>
      <c r="Z1" s="37">
        <f t="shared" si="1"/>
        <v>43770</v>
      </c>
      <c r="AA1" s="37">
        <f t="shared" si="1"/>
        <v>43800</v>
      </c>
      <c r="AB1" s="37">
        <f t="shared" si="1"/>
        <v>43831</v>
      </c>
      <c r="AC1" s="37">
        <f t="shared" si="1"/>
        <v>43862</v>
      </c>
      <c r="AD1" s="37">
        <f t="shared" si="1"/>
        <v>43891</v>
      </c>
      <c r="AE1" s="37">
        <f t="shared" si="1"/>
        <v>43922</v>
      </c>
      <c r="AF1" s="37">
        <f t="shared" si="1"/>
        <v>43952</v>
      </c>
      <c r="AG1" s="37">
        <f t="shared" si="1"/>
        <v>43983</v>
      </c>
      <c r="AH1" s="37">
        <f t="shared" si="1"/>
        <v>44013</v>
      </c>
      <c r="AI1" s="37">
        <f t="shared" si="1"/>
        <v>44044</v>
      </c>
      <c r="AJ1" s="37">
        <f t="shared" si="1"/>
        <v>44075</v>
      </c>
      <c r="AK1" s="37">
        <f t="shared" si="1"/>
        <v>44105</v>
      </c>
      <c r="AL1" s="37">
        <f t="shared" si="1"/>
        <v>44136</v>
      </c>
      <c r="AM1" s="37">
        <f t="shared" si="1"/>
        <v>44166</v>
      </c>
      <c r="AN1" s="37">
        <f t="shared" si="1"/>
        <v>44197</v>
      </c>
      <c r="AO1" s="37">
        <f t="shared" si="1"/>
        <v>44228</v>
      </c>
      <c r="AP1" s="37">
        <f t="shared" si="1"/>
        <v>44256</v>
      </c>
      <c r="AQ1" s="37">
        <f t="shared" si="1"/>
        <v>44287</v>
      </c>
      <c r="AR1" s="37">
        <f t="shared" si="1"/>
        <v>44317</v>
      </c>
      <c r="AS1" s="37">
        <f t="shared" si="1"/>
        <v>44348</v>
      </c>
      <c r="AT1" s="37">
        <f t="shared" si="1"/>
        <v>44378</v>
      </c>
      <c r="AU1" s="37">
        <f t="shared" si="1"/>
        <v>44409</v>
      </c>
      <c r="AV1" s="37">
        <f t="shared" si="1"/>
        <v>44440</v>
      </c>
      <c r="AW1" s="37">
        <f t="shared" si="1"/>
        <v>44470</v>
      </c>
      <c r="AX1" s="37">
        <f t="shared" si="1"/>
        <v>44501</v>
      </c>
      <c r="AY1" s="37">
        <f t="shared" si="1"/>
        <v>44531</v>
      </c>
      <c r="AZ1" s="37">
        <f t="shared" si="1"/>
        <v>44562</v>
      </c>
      <c r="BA1" s="37">
        <f t="shared" si="1"/>
        <v>44593</v>
      </c>
      <c r="BB1" s="37">
        <f t="shared" si="1"/>
        <v>44621</v>
      </c>
      <c r="BC1" s="37">
        <f t="shared" si="1"/>
        <v>44652</v>
      </c>
      <c r="BD1" s="37">
        <f t="shared" si="1"/>
        <v>44682</v>
      </c>
      <c r="BE1" s="37">
        <f t="shared" si="1"/>
        <v>44713</v>
      </c>
      <c r="BF1" s="37">
        <f t="shared" si="1"/>
        <v>44743</v>
      </c>
      <c r="BG1" s="37">
        <f t="shared" si="1"/>
        <v>44774</v>
      </c>
      <c r="BH1" s="37">
        <f t="shared" si="1"/>
        <v>44805</v>
      </c>
      <c r="BI1" s="37">
        <f t="shared" si="1"/>
        <v>44835</v>
      </c>
      <c r="BJ1" s="37">
        <f t="shared" si="1"/>
        <v>44866</v>
      </c>
      <c r="BK1" s="37">
        <f t="shared" si="1"/>
        <v>44896</v>
      </c>
      <c r="BL1" s="37">
        <f t="shared" si="1"/>
        <v>44927</v>
      </c>
      <c r="BM1" s="37">
        <f t="shared" si="1"/>
        <v>44958</v>
      </c>
      <c r="BN1" s="37">
        <f t="shared" si="1"/>
        <v>44986</v>
      </c>
      <c r="BO1" s="37">
        <f t="shared" si="1"/>
        <v>45017</v>
      </c>
      <c r="BP1" s="37">
        <f t="shared" si="1"/>
        <v>45047</v>
      </c>
      <c r="BQ1" s="37">
        <f t="shared" si="1"/>
        <v>45078</v>
      </c>
      <c r="BR1" s="37">
        <f t="shared" si="1"/>
        <v>45108</v>
      </c>
      <c r="BS1" s="37">
        <f t="shared" si="1"/>
        <v>45139</v>
      </c>
      <c r="BT1" s="37">
        <f t="shared" si="1"/>
        <v>45170</v>
      </c>
      <c r="BU1" s="37">
        <f t="shared" si="1"/>
        <v>45200</v>
      </c>
      <c r="BV1" s="37">
        <f t="shared" si="1"/>
        <v>45231</v>
      </c>
      <c r="BW1" s="37">
        <f t="shared" si="1"/>
        <v>45261</v>
      </c>
    </row>
    <row r="2" ht="15.75" customHeight="1">
      <c r="A2" s="7" t="s">
        <v>239</v>
      </c>
      <c r="B2" s="159"/>
      <c r="AZ2" s="81" t="s">
        <v>240</v>
      </c>
      <c r="BA2" s="81"/>
      <c r="BB2" s="81"/>
      <c r="BC2" s="81"/>
      <c r="BD2" s="81"/>
      <c r="BE2" s="81"/>
      <c r="BF2" s="81"/>
      <c r="BG2" s="81"/>
      <c r="BH2" s="81"/>
      <c r="BI2" s="81"/>
      <c r="BJ2" s="81"/>
      <c r="BK2" s="81"/>
      <c r="BL2" s="81"/>
      <c r="BM2" s="81"/>
      <c r="BN2" s="81"/>
      <c r="BO2" s="81"/>
      <c r="BP2" s="81"/>
      <c r="BQ2" s="81"/>
      <c r="BR2" s="81"/>
      <c r="BS2" s="81"/>
      <c r="BT2" s="81"/>
      <c r="BU2" s="81"/>
      <c r="BV2" s="81"/>
      <c r="BW2" s="81"/>
    </row>
    <row r="3" ht="15.75" customHeight="1">
      <c r="A3" s="31" t="s">
        <v>241</v>
      </c>
      <c r="B3" s="159"/>
    </row>
    <row r="4" ht="15.75" customHeight="1">
      <c r="A4" s="1" t="s">
        <v>242</v>
      </c>
      <c r="B4" s="160">
        <f>AVERAGEIFS(4:4,$1:$1,"&gt;="&amp;DATE(YEAR(Current_Month),MONTH(Current_Month)-2,DAY(Current_Month)),$1:$1,"&lt;="&amp;EOMONTH(Current_Month,0))</f>
        <v>820098.3967</v>
      </c>
      <c r="D4" s="76">
        <f t="array" ref="D4">INDEX(INDIRECT("PnL_"&amp;TEXT(D$1,"mmm")&amp;"_"&amp;TEXT(D$1,"yyyy")),MATCH(TRIM($A4),PnL_Accounts,0))</f>
        <v>303373</v>
      </c>
      <c r="E4" s="76">
        <f t="array" ref="E4">INDEX(INDIRECT("PnL_"&amp;TEXT(E$1,"mmm")&amp;"_"&amp;TEXT(E$1,"yyyy")),MATCH(TRIM($A4),PnL_Accounts,0))</f>
        <v>321057</v>
      </c>
      <c r="F4" s="76">
        <f t="array" ref="F4">INDEX(INDIRECT("PnL_"&amp;TEXT(F$1,"mmm")&amp;"_"&amp;TEXT(F$1,"yyyy")),MATCH(TRIM($A4),PnL_Accounts,0))</f>
        <v>340521</v>
      </c>
      <c r="G4" s="76">
        <f t="array" ref="G4">INDEX(INDIRECT("PnL_"&amp;TEXT(G$1,"mmm")&amp;"_"&amp;TEXT(G$1,"yyyy")),MATCH(TRIM($A4),PnL_Accounts,0))</f>
        <v>360770</v>
      </c>
      <c r="H4" s="76">
        <f t="array" ref="H4">INDEX(INDIRECT("PnL_"&amp;TEXT(H$1,"mmm")&amp;"_"&amp;TEXT(H$1,"yyyy")),MATCH(TRIM($A4),PnL_Accounts,0))</f>
        <v>386024</v>
      </c>
      <c r="I4" s="76">
        <f t="array" ref="I4">INDEX(INDIRECT("PnL_"&amp;TEXT(I$1,"mmm")&amp;"_"&amp;TEXT(I$1,"yyyy")),MATCH(TRIM($A4),PnL_Accounts,0))</f>
        <v>401465</v>
      </c>
      <c r="J4" s="76">
        <f t="array" ref="J4">INDEX(INDIRECT("PnL_"&amp;TEXT(J$1,"mmm")&amp;"_"&amp;TEXT(J$1,"yyyy")),MATCH(TRIM($A4),PnL_Accounts,0))</f>
        <v>424939</v>
      </c>
      <c r="K4" s="76">
        <f t="array" ref="K4">INDEX(INDIRECT("PnL_"&amp;TEXT(K$1,"mmm")&amp;"_"&amp;TEXT(K$1,"yyyy")),MATCH(TRIM($A4),PnL_Accounts,0))</f>
        <v>438925</v>
      </c>
      <c r="L4" s="76">
        <f t="array" ref="L4">INDEX(INDIRECT("PnL_"&amp;TEXT(L$1,"mmm")&amp;"_"&amp;TEXT(L$1,"yyyy")),MATCH(TRIM($A4),PnL_Accounts,0))</f>
        <v>452768</v>
      </c>
      <c r="M4" s="76">
        <f t="array" ref="M4">INDEX(INDIRECT("PnL_"&amp;TEXT(M$1,"mmm")&amp;"_"&amp;TEXT(M$1,"yyyy")),MATCH(TRIM($A4),PnL_Accounts,0))</f>
        <v>465957</v>
      </c>
      <c r="N4" s="76">
        <f t="array" ref="N4">INDEX(INDIRECT("PnL_"&amp;TEXT(N$1,"mmm")&amp;"_"&amp;TEXT(N$1,"yyyy")),MATCH(TRIM($A4),PnL_Accounts,0))</f>
        <v>479118</v>
      </c>
      <c r="O4" s="76">
        <f t="array" ref="O4">INDEX(INDIRECT("PnL_"&amp;TEXT(O$1,"mmm")&amp;"_"&amp;TEXT(O$1,"yyyy")),MATCH(TRIM($A4),PnL_Accounts,0))</f>
        <v>491501</v>
      </c>
      <c r="P4" s="76">
        <f t="array" ref="P4">INDEX(INDIRECT("PnL_"&amp;TEXT(P$1,"mmm")&amp;"_"&amp;TEXT(P$1,"yyyy")),MATCH(TRIM($A4),PnL_Accounts,0))</f>
        <v>505058</v>
      </c>
      <c r="Q4" s="76">
        <f t="array" ref="Q4">INDEX(INDIRECT("PnL_"&amp;TEXT(Q$1,"mmm")&amp;"_"&amp;TEXT(Q$1,"yyyy")),MATCH(TRIM($A4),PnL_Accounts,0))</f>
        <v>525437</v>
      </c>
      <c r="R4" s="76">
        <f t="array" ref="R4">INDEX(INDIRECT("PnL_"&amp;TEXT(R$1,"mmm")&amp;"_"&amp;TEXT(R$1,"yyyy")),MATCH(TRIM($A4),PnL_Accounts,0))</f>
        <v>542733</v>
      </c>
      <c r="S4" s="76">
        <f t="array" ref="S4">INDEX(INDIRECT("PnL_"&amp;TEXT(S$1,"mmm")&amp;"_"&amp;TEXT(S$1,"yyyy")),MATCH(TRIM($A4),PnL_Accounts,0))</f>
        <v>598887</v>
      </c>
      <c r="T4" s="76">
        <f t="array" ref="T4">INDEX(INDIRECT("PnL_"&amp;TEXT(T$1,"mmm")&amp;"_"&amp;TEXT(T$1,"yyyy")),MATCH(TRIM($A4),PnL_Accounts,0))</f>
        <v>614053</v>
      </c>
      <c r="U4" s="76">
        <f t="array" ref="U4">INDEX(INDIRECT("PnL_"&amp;TEXT(U$1,"mmm")&amp;"_"&amp;TEXT(U$1,"yyyy")),MATCH(TRIM($A4),PnL_Accounts,0))</f>
        <v>637488</v>
      </c>
      <c r="V4" s="76">
        <f t="array" ref="V4">INDEX(INDIRECT("PnL_"&amp;TEXT(V$1,"mmm")&amp;"_"&amp;TEXT(V$1,"yyyy")),MATCH(TRIM($A4),PnL_Accounts,0))</f>
        <v>657516</v>
      </c>
      <c r="W4" s="76">
        <f t="array" ref="W4">INDEX(INDIRECT("PnL_"&amp;TEXT(W$1,"mmm")&amp;"_"&amp;TEXT(W$1,"yyyy")),MATCH(TRIM($A4),PnL_Accounts,0))</f>
        <v>685483</v>
      </c>
      <c r="X4" s="76">
        <f t="array" ref="X4">INDEX(INDIRECT("PnL_"&amp;TEXT(X$1,"mmm")&amp;"_"&amp;TEXT(X$1,"yyyy")),MATCH(TRIM($A4),PnL_Accounts,0))</f>
        <v>718774</v>
      </c>
      <c r="Y4" s="76">
        <f t="array" ref="Y4">INDEX(INDIRECT("PnL_"&amp;TEXT(Y$1,"mmm")&amp;"_"&amp;TEXT(Y$1,"yyyy")),MATCH(TRIM($A4),PnL_Accounts,0))</f>
        <v>754542</v>
      </c>
      <c r="Z4" s="76">
        <f t="array" ref="Z4">INDEX(INDIRECT("PnL_"&amp;TEXT(Z$1,"mmm")&amp;"_"&amp;TEXT(Z$1,"yyyy")),MATCH(TRIM($A4),PnL_Accounts,0))</f>
        <v>787554</v>
      </c>
      <c r="AA4" s="76">
        <f t="array" ref="AA4">INDEX(INDIRECT("PnL_"&amp;TEXT(AA$1,"mmm")&amp;"_"&amp;TEXT(AA$1,"yyyy")),MATCH(TRIM($A4),PnL_Accounts,0))</f>
        <v>808046</v>
      </c>
      <c r="AB4" s="76">
        <f t="array" ref="AB4">INDEX(INDIRECT("PnL_"&amp;TEXT(AB$1,"mmm")&amp;"_"&amp;TEXT(AB$1,"yyyy")),MATCH(TRIM($A4),PnL_Accounts,0))</f>
        <v>824529</v>
      </c>
      <c r="AC4" s="76">
        <f t="array" ref="AC4">INDEX(INDIRECT("PnL_"&amp;TEXT(AC$1,"mmm")&amp;"_"&amp;TEXT(AC$1,"yyyy")),MATCH(TRIM($A4),PnL_Accounts,0))</f>
        <v>844626</v>
      </c>
      <c r="AD4" s="76">
        <f t="array" ref="AD4">INDEX(INDIRECT("PnL_"&amp;TEXT(AD$1,"mmm")&amp;"_"&amp;TEXT(AD$1,"yyyy")),MATCH(TRIM($A4),PnL_Accounts,0))</f>
        <v>819162.19</v>
      </c>
      <c r="AE4" s="76">
        <f t="array" ref="AE4">INDEX(INDIRECT("PnL_"&amp;TEXT(AE$1,"mmm")&amp;"_"&amp;TEXT(AE$1,"yyyy")),MATCH(TRIM($A4),PnL_Accounts,0))</f>
        <v>796507</v>
      </c>
      <c r="AF4" s="39">
        <f t="array" ref="AF4">INDEX(Revenue_Model_MRR,MATCH(AF$1,Revenue_Model_Months,0))</f>
        <v>780349.4289</v>
      </c>
      <c r="AG4" s="39">
        <f t="array" ref="AG4">INDEX(Revenue_Model_MRR,MATCH(AG$1,Revenue_Model_Months,0))</f>
        <v>776838.8983</v>
      </c>
      <c r="AH4" s="39">
        <f t="array" ref="AH4">INDEX(Revenue_Model_MRR,MATCH(AH$1,Revenue_Model_Months,0))</f>
        <v>784307.4964</v>
      </c>
      <c r="AI4" s="39">
        <f t="array" ref="AI4">INDEX(Revenue_Model_MRR,MATCH(AI$1,Revenue_Model_Months,0))</f>
        <v>794270.1184</v>
      </c>
      <c r="AJ4" s="39">
        <f t="array" ref="AJ4">INDEX(Revenue_Model_MRR,MATCH(AJ$1,Revenue_Model_Months,0))</f>
        <v>810446.9171</v>
      </c>
      <c r="AK4" s="39">
        <f t="array" ref="AK4">INDEX(Revenue_Model_MRR,MATCH(AK$1,Revenue_Model_Months,0))</f>
        <v>828843.4437</v>
      </c>
      <c r="AL4" s="39">
        <f t="array" ref="AL4">INDEX(Revenue_Model_MRR,MATCH(AL$1,Revenue_Model_Months,0))</f>
        <v>846201.4208</v>
      </c>
      <c r="AM4" s="39">
        <f t="array" ref="AM4">INDEX(Revenue_Model_MRR,MATCH(AM$1,Revenue_Model_Months,0))</f>
        <v>864575.1131</v>
      </c>
      <c r="AN4" s="39">
        <f t="array" ref="AN4">INDEX(Revenue_Model_MRR,MATCH(AN$1,Revenue_Model_Months,0))</f>
        <v>882839.9823</v>
      </c>
      <c r="AO4" s="39">
        <f t="array" ref="AO4">INDEX(Revenue_Model_MRR,MATCH(AO$1,Revenue_Model_Months,0))</f>
        <v>902246.5996</v>
      </c>
      <c r="AP4" s="39">
        <f t="array" ref="AP4">INDEX(Revenue_Model_MRR,MATCH(AP$1,Revenue_Model_Months,0))</f>
        <v>921493.2125</v>
      </c>
      <c r="AQ4" s="39">
        <f t="array" ref="AQ4">INDEX(Revenue_Model_MRR,MATCH(AQ$1,Revenue_Model_Months,0))</f>
        <v>941858.9225</v>
      </c>
      <c r="AR4" s="39">
        <f t="array" ref="AR4">INDEX(Revenue_Model_MRR,MATCH(AR$1,Revenue_Model_Months,0))</f>
        <v>963330.7191</v>
      </c>
      <c r="AS4" s="39">
        <f t="array" ref="AS4">INDEX(Revenue_Model_MRR,MATCH(AS$1,Revenue_Model_Months,0))</f>
        <v>984645.7735</v>
      </c>
      <c r="AT4" s="39">
        <f t="array" ref="AT4">INDEX(Revenue_Model_MRR,MATCH(AT$1,Revenue_Model_Months,0))</f>
        <v>1007059.449</v>
      </c>
      <c r="AU4" s="39">
        <f t="array" ref="AU4">INDEX(Revenue_Model_MRR,MATCH(AU$1,Revenue_Model_Months,0))</f>
        <v>1029314.149</v>
      </c>
      <c r="AV4" s="39">
        <f t="array" ref="AV4">INDEX(Revenue_Model_MRR,MATCH(AV$1,Revenue_Model_Months,0))</f>
        <v>1052658.019</v>
      </c>
      <c r="AW4" s="39">
        <f t="array" ref="AW4">INDEX(Revenue_Model_MRR,MATCH(AW$1,Revenue_Model_Months,0))</f>
        <v>1077084.272</v>
      </c>
      <c r="AX4" s="39">
        <f t="array" ref="AX4">INDEX(Revenue_Model_MRR,MATCH(AX$1,Revenue_Model_Months,0))</f>
        <v>1101336.803</v>
      </c>
      <c r="AY4" s="39">
        <f t="array" ref="AY4">INDEX(Revenue_Model_MRR,MATCH(AY$1,Revenue_Model_Months,0))</f>
        <v>1126664.72</v>
      </c>
      <c r="AZ4" s="39">
        <f t="array" ref="AZ4">INDEX(Revenue_Model_MRR,MATCH(AZ$1,Revenue_Model_Months,0))</f>
        <v>1160464.661</v>
      </c>
      <c r="BA4" s="39">
        <f t="array" ref="BA4">INDEX(Revenue_Model_MRR,MATCH(BA$1,Revenue_Model_Months,0))</f>
        <v>1195278.601</v>
      </c>
      <c r="BB4" s="39">
        <f t="array" ref="BB4">INDEX(Revenue_Model_MRR,MATCH(BB$1,Revenue_Model_Months,0))</f>
        <v>1231136.959</v>
      </c>
      <c r="BC4" s="39">
        <f t="array" ref="BC4">INDEX(Revenue_Model_MRR,MATCH(BC$1,Revenue_Model_Months,0))</f>
        <v>1268071.068</v>
      </c>
      <c r="BD4" s="39">
        <f t="array" ref="BD4">INDEX(Revenue_Model_MRR,MATCH(BD$1,Revenue_Model_Months,0))</f>
        <v>1306113.2</v>
      </c>
      <c r="BE4" s="39">
        <f t="array" ref="BE4">INDEX(Revenue_Model_MRR,MATCH(BE$1,Revenue_Model_Months,0))</f>
        <v>1345296.596</v>
      </c>
      <c r="BF4" s="39">
        <f t="array" ref="BF4">INDEX(Revenue_Model_MRR,MATCH(BF$1,Revenue_Model_Months,0))</f>
        <v>1385655.494</v>
      </c>
      <c r="BG4" s="39">
        <f t="array" ref="BG4">INDEX(Revenue_Model_MRR,MATCH(BG$1,Revenue_Model_Months,0))</f>
        <v>1427225.159</v>
      </c>
      <c r="BH4" s="39">
        <f t="array" ref="BH4">INDEX(Revenue_Model_MRR,MATCH(BH$1,Revenue_Model_Months,0))</f>
        <v>1470041.914</v>
      </c>
      <c r="BI4" s="39">
        <f t="array" ref="BI4">INDEX(Revenue_Model_MRR,MATCH(BI$1,Revenue_Model_Months,0))</f>
        <v>1514143.171</v>
      </c>
      <c r="BJ4" s="39">
        <f t="array" ref="BJ4">INDEX(Revenue_Model_MRR,MATCH(BJ$1,Revenue_Model_Months,0))</f>
        <v>1559567.466</v>
      </c>
      <c r="BK4" s="39">
        <f t="array" ref="BK4">INDEX(Revenue_Model_MRR,MATCH(BK$1,Revenue_Model_Months,0))</f>
        <v>1606354.49</v>
      </c>
      <c r="BL4" s="39">
        <f t="array" ref="BL4">INDEX(Revenue_Model_MRR,MATCH(BL$1,Revenue_Model_Months,0))</f>
        <v>1654545.125</v>
      </c>
      <c r="BM4" s="39">
        <f t="array" ref="BM4">INDEX(Revenue_Model_MRR,MATCH(BM$1,Revenue_Model_Months,0))</f>
        <v>1704181.479</v>
      </c>
      <c r="BN4" s="39">
        <f t="array" ref="BN4">INDEX(Revenue_Model_MRR,MATCH(BN$1,Revenue_Model_Months,0))</f>
        <v>1755306.923</v>
      </c>
      <c r="BO4" s="39">
        <f t="array" ref="BO4">INDEX(Revenue_Model_MRR,MATCH(BO$1,Revenue_Model_Months,0))</f>
        <v>1807966.131</v>
      </c>
      <c r="BP4" s="39">
        <f t="array" ref="BP4">INDEX(Revenue_Model_MRR,MATCH(BP$1,Revenue_Model_Months,0))</f>
        <v>1862205.114</v>
      </c>
      <c r="BQ4" s="39">
        <f t="array" ref="BQ4">INDEX(Revenue_Model_MRR,MATCH(BQ$1,Revenue_Model_Months,0))</f>
        <v>1918071.268</v>
      </c>
      <c r="BR4" s="39">
        <f t="array" ref="BR4">INDEX(Revenue_Model_MRR,MATCH(BR$1,Revenue_Model_Months,0))</f>
        <v>1975613.406</v>
      </c>
      <c r="BS4" s="39">
        <f t="array" ref="BS4">INDEX(Revenue_Model_MRR,MATCH(BS$1,Revenue_Model_Months,0))</f>
        <v>2034881.808</v>
      </c>
      <c r="BT4" s="39">
        <f t="array" ref="BT4">INDEX(Revenue_Model_MRR,MATCH(BT$1,Revenue_Model_Months,0))</f>
        <v>2095928.262</v>
      </c>
      <c r="BU4" s="39">
        <f t="array" ref="BU4">INDEX(Revenue_Model_MRR,MATCH(BU$1,Revenue_Model_Months,0))</f>
        <v>2158806.11</v>
      </c>
      <c r="BV4" s="39">
        <f t="array" ref="BV4">INDEX(Revenue_Model_MRR,MATCH(BV$1,Revenue_Model_Months,0))</f>
        <v>2223570.294</v>
      </c>
      <c r="BW4" s="39">
        <f t="array" ref="BW4">INDEX(Revenue_Model_MRR,MATCH(BW$1,Revenue_Model_Months,0))</f>
        <v>2290277.402</v>
      </c>
    </row>
    <row r="5" ht="15.75" customHeight="1">
      <c r="A5" s="21" t="s">
        <v>243</v>
      </c>
      <c r="B5" s="161"/>
      <c r="C5" s="157"/>
      <c r="D5" s="157">
        <f t="shared" ref="D5:BW5" si="2">SUM(D3:D4)</f>
        <v>303373</v>
      </c>
      <c r="E5" s="157">
        <f t="shared" si="2"/>
        <v>321057</v>
      </c>
      <c r="F5" s="157">
        <f t="shared" si="2"/>
        <v>340521</v>
      </c>
      <c r="G5" s="157">
        <f t="shared" si="2"/>
        <v>360770</v>
      </c>
      <c r="H5" s="157">
        <f t="shared" si="2"/>
        <v>386024</v>
      </c>
      <c r="I5" s="157">
        <f t="shared" si="2"/>
        <v>401465</v>
      </c>
      <c r="J5" s="157">
        <f t="shared" si="2"/>
        <v>424939</v>
      </c>
      <c r="K5" s="157">
        <f t="shared" si="2"/>
        <v>438925</v>
      </c>
      <c r="L5" s="157">
        <f t="shared" si="2"/>
        <v>452768</v>
      </c>
      <c r="M5" s="157">
        <f t="shared" si="2"/>
        <v>465957</v>
      </c>
      <c r="N5" s="157">
        <f t="shared" si="2"/>
        <v>479118</v>
      </c>
      <c r="O5" s="157">
        <f t="shared" si="2"/>
        <v>491501</v>
      </c>
      <c r="P5" s="157">
        <f t="shared" si="2"/>
        <v>505058</v>
      </c>
      <c r="Q5" s="157">
        <f t="shared" si="2"/>
        <v>525437</v>
      </c>
      <c r="R5" s="157">
        <f t="shared" si="2"/>
        <v>542733</v>
      </c>
      <c r="S5" s="157">
        <f t="shared" si="2"/>
        <v>598887</v>
      </c>
      <c r="T5" s="157">
        <f t="shared" si="2"/>
        <v>614053</v>
      </c>
      <c r="U5" s="157">
        <f t="shared" si="2"/>
        <v>637488</v>
      </c>
      <c r="V5" s="157">
        <f t="shared" si="2"/>
        <v>657516</v>
      </c>
      <c r="W5" s="157">
        <f t="shared" si="2"/>
        <v>685483</v>
      </c>
      <c r="X5" s="157">
        <f t="shared" si="2"/>
        <v>718774</v>
      </c>
      <c r="Y5" s="157">
        <f t="shared" si="2"/>
        <v>754542</v>
      </c>
      <c r="Z5" s="157">
        <f t="shared" si="2"/>
        <v>787554</v>
      </c>
      <c r="AA5" s="157">
        <f t="shared" si="2"/>
        <v>808046</v>
      </c>
      <c r="AB5" s="157">
        <f t="shared" si="2"/>
        <v>824529</v>
      </c>
      <c r="AC5" s="157">
        <f t="shared" si="2"/>
        <v>844626</v>
      </c>
      <c r="AD5" s="157">
        <f t="shared" si="2"/>
        <v>819162.19</v>
      </c>
      <c r="AE5" s="157">
        <f t="shared" si="2"/>
        <v>796507</v>
      </c>
      <c r="AF5" s="157">
        <f t="shared" si="2"/>
        <v>780349.4289</v>
      </c>
      <c r="AG5" s="157">
        <f t="shared" si="2"/>
        <v>776838.8983</v>
      </c>
      <c r="AH5" s="157">
        <f t="shared" si="2"/>
        <v>784307.4964</v>
      </c>
      <c r="AI5" s="157">
        <f t="shared" si="2"/>
        <v>794270.1184</v>
      </c>
      <c r="AJ5" s="157">
        <f t="shared" si="2"/>
        <v>810446.9171</v>
      </c>
      <c r="AK5" s="157">
        <f t="shared" si="2"/>
        <v>828843.4437</v>
      </c>
      <c r="AL5" s="157">
        <f t="shared" si="2"/>
        <v>846201.4208</v>
      </c>
      <c r="AM5" s="157">
        <f t="shared" si="2"/>
        <v>864575.1131</v>
      </c>
      <c r="AN5" s="157">
        <f t="shared" si="2"/>
        <v>882839.9823</v>
      </c>
      <c r="AO5" s="157">
        <f t="shared" si="2"/>
        <v>902246.5996</v>
      </c>
      <c r="AP5" s="157">
        <f t="shared" si="2"/>
        <v>921493.2125</v>
      </c>
      <c r="AQ5" s="157">
        <f t="shared" si="2"/>
        <v>941858.9225</v>
      </c>
      <c r="AR5" s="157">
        <f t="shared" si="2"/>
        <v>963330.7191</v>
      </c>
      <c r="AS5" s="157">
        <f t="shared" si="2"/>
        <v>984645.7735</v>
      </c>
      <c r="AT5" s="157">
        <f t="shared" si="2"/>
        <v>1007059.449</v>
      </c>
      <c r="AU5" s="157">
        <f t="shared" si="2"/>
        <v>1029314.149</v>
      </c>
      <c r="AV5" s="157">
        <f t="shared" si="2"/>
        <v>1052658.019</v>
      </c>
      <c r="AW5" s="157">
        <f t="shared" si="2"/>
        <v>1077084.272</v>
      </c>
      <c r="AX5" s="157">
        <f t="shared" si="2"/>
        <v>1101336.803</v>
      </c>
      <c r="AY5" s="157">
        <f t="shared" si="2"/>
        <v>1126664.72</v>
      </c>
      <c r="AZ5" s="157">
        <f t="shared" si="2"/>
        <v>1160464.661</v>
      </c>
      <c r="BA5" s="157">
        <f t="shared" si="2"/>
        <v>1195278.601</v>
      </c>
      <c r="BB5" s="157">
        <f t="shared" si="2"/>
        <v>1231136.959</v>
      </c>
      <c r="BC5" s="157">
        <f t="shared" si="2"/>
        <v>1268071.068</v>
      </c>
      <c r="BD5" s="157">
        <f t="shared" si="2"/>
        <v>1306113.2</v>
      </c>
      <c r="BE5" s="157">
        <f t="shared" si="2"/>
        <v>1345296.596</v>
      </c>
      <c r="BF5" s="157">
        <f t="shared" si="2"/>
        <v>1385655.494</v>
      </c>
      <c r="BG5" s="157">
        <f t="shared" si="2"/>
        <v>1427225.159</v>
      </c>
      <c r="BH5" s="157">
        <f t="shared" si="2"/>
        <v>1470041.914</v>
      </c>
      <c r="BI5" s="157">
        <f t="shared" si="2"/>
        <v>1514143.171</v>
      </c>
      <c r="BJ5" s="157">
        <f t="shared" si="2"/>
        <v>1559567.466</v>
      </c>
      <c r="BK5" s="157">
        <f t="shared" si="2"/>
        <v>1606354.49</v>
      </c>
      <c r="BL5" s="157">
        <f t="shared" si="2"/>
        <v>1654545.125</v>
      </c>
      <c r="BM5" s="157">
        <f t="shared" si="2"/>
        <v>1704181.479</v>
      </c>
      <c r="BN5" s="157">
        <f t="shared" si="2"/>
        <v>1755306.923</v>
      </c>
      <c r="BO5" s="157">
        <f t="shared" si="2"/>
        <v>1807966.131</v>
      </c>
      <c r="BP5" s="157">
        <f t="shared" si="2"/>
        <v>1862205.114</v>
      </c>
      <c r="BQ5" s="157">
        <f t="shared" si="2"/>
        <v>1918071.268</v>
      </c>
      <c r="BR5" s="157">
        <f t="shared" si="2"/>
        <v>1975613.406</v>
      </c>
      <c r="BS5" s="157">
        <f t="shared" si="2"/>
        <v>2034881.808</v>
      </c>
      <c r="BT5" s="157">
        <f t="shared" si="2"/>
        <v>2095928.262</v>
      </c>
      <c r="BU5" s="157">
        <f t="shared" si="2"/>
        <v>2158806.11</v>
      </c>
      <c r="BV5" s="157">
        <f t="shared" si="2"/>
        <v>2223570.294</v>
      </c>
      <c r="BW5" s="157">
        <f t="shared" si="2"/>
        <v>2290277.402</v>
      </c>
    </row>
    <row r="6" ht="15.75" customHeight="1">
      <c r="A6" s="31" t="s">
        <v>244</v>
      </c>
      <c r="B6" s="159"/>
      <c r="D6" s="162">
        <f t="array" ref="D6">INDEX(INDIRECT("PnL_"&amp;TEXT(D$1,"mmm")&amp;"_"&amp;TEXT(D$1,"yyyy")),MATCH(TRIM($A5),PnL_Accounts,0))-D5</f>
        <v>0</v>
      </c>
      <c r="E6" s="162">
        <f t="array" ref="E6">INDEX(INDIRECT("PnL_"&amp;TEXT(E$1,"mmm")&amp;"_"&amp;TEXT(E$1,"yyyy")),MATCH(TRIM($A5),PnL_Accounts,0))-E5</f>
        <v>0</v>
      </c>
      <c r="F6" s="162">
        <f t="array" ref="F6">INDEX(INDIRECT("PnL_"&amp;TEXT(F$1,"mmm")&amp;"_"&amp;TEXT(F$1,"yyyy")),MATCH(TRIM($A5),PnL_Accounts,0))-F5</f>
        <v>0</v>
      </c>
      <c r="G6" s="162">
        <f t="array" ref="G6">INDEX(INDIRECT("PnL_"&amp;TEXT(G$1,"mmm")&amp;"_"&amp;TEXT(G$1,"yyyy")),MATCH(TRIM($A5),PnL_Accounts,0))-G5</f>
        <v>0</v>
      </c>
      <c r="H6" s="162">
        <f t="array" ref="H6">INDEX(INDIRECT("PnL_"&amp;TEXT(H$1,"mmm")&amp;"_"&amp;TEXT(H$1,"yyyy")),MATCH(TRIM($A5),PnL_Accounts,0))-H5</f>
        <v>0</v>
      </c>
      <c r="I6" s="162">
        <f t="array" ref="I6">INDEX(INDIRECT("PnL_"&amp;TEXT(I$1,"mmm")&amp;"_"&amp;TEXT(I$1,"yyyy")),MATCH(TRIM($A5),PnL_Accounts,0))-I5</f>
        <v>0</v>
      </c>
      <c r="J6" s="162">
        <f t="array" ref="J6">INDEX(INDIRECT("PnL_"&amp;TEXT(J$1,"mmm")&amp;"_"&amp;TEXT(J$1,"yyyy")),MATCH(TRIM($A5),PnL_Accounts,0))-J5</f>
        <v>0</v>
      </c>
      <c r="K6" s="162">
        <f t="array" ref="K6">INDEX(INDIRECT("PnL_"&amp;TEXT(K$1,"mmm")&amp;"_"&amp;TEXT(K$1,"yyyy")),MATCH(TRIM($A5),PnL_Accounts,0))-K5</f>
        <v>0</v>
      </c>
      <c r="L6" s="162">
        <f t="array" ref="L6">INDEX(INDIRECT("PnL_"&amp;TEXT(L$1,"mmm")&amp;"_"&amp;TEXT(L$1,"yyyy")),MATCH(TRIM($A5),PnL_Accounts,0))-L5</f>
        <v>0</v>
      </c>
      <c r="M6" s="162">
        <f t="array" ref="M6">INDEX(INDIRECT("PnL_"&amp;TEXT(M$1,"mmm")&amp;"_"&amp;TEXT(M$1,"yyyy")),MATCH(TRIM($A5),PnL_Accounts,0))-M5</f>
        <v>0</v>
      </c>
      <c r="N6" s="162">
        <f t="array" ref="N6">INDEX(INDIRECT("PnL_"&amp;TEXT(N$1,"mmm")&amp;"_"&amp;TEXT(N$1,"yyyy")),MATCH(TRIM($A5),PnL_Accounts,0))-N5</f>
        <v>0</v>
      </c>
      <c r="O6" s="162">
        <f t="array" ref="O6">INDEX(INDIRECT("PnL_"&amp;TEXT(O$1,"mmm")&amp;"_"&amp;TEXT(O$1,"yyyy")),MATCH(TRIM($A5),PnL_Accounts,0))-O5</f>
        <v>0</v>
      </c>
      <c r="P6" s="162">
        <f t="array" ref="P6">INDEX(INDIRECT("PnL_"&amp;TEXT(P$1,"mmm")&amp;"_"&amp;TEXT(P$1,"yyyy")),MATCH(TRIM($A5),PnL_Accounts,0))-P5</f>
        <v>0</v>
      </c>
      <c r="Q6" s="162">
        <f t="array" ref="Q6">INDEX(INDIRECT("PnL_"&amp;TEXT(Q$1,"mmm")&amp;"_"&amp;TEXT(Q$1,"yyyy")),MATCH(TRIM($A5),PnL_Accounts,0))-Q5</f>
        <v>0</v>
      </c>
      <c r="R6" s="162">
        <f t="array" ref="R6">INDEX(INDIRECT("PnL_"&amp;TEXT(R$1,"mmm")&amp;"_"&amp;TEXT(R$1,"yyyy")),MATCH(TRIM($A5),PnL_Accounts,0))-R5</f>
        <v>0</v>
      </c>
      <c r="S6" s="162">
        <f t="array" ref="S6">INDEX(INDIRECT("PnL_"&amp;TEXT(S$1,"mmm")&amp;"_"&amp;TEXT(S$1,"yyyy")),MATCH(TRIM($A5),PnL_Accounts,0))-S5</f>
        <v>0</v>
      </c>
      <c r="T6" s="162">
        <f t="array" ref="T6">INDEX(INDIRECT("PnL_"&amp;TEXT(T$1,"mmm")&amp;"_"&amp;TEXT(T$1,"yyyy")),MATCH(TRIM($A5),PnL_Accounts,0))-T5</f>
        <v>0</v>
      </c>
      <c r="U6" s="162">
        <f t="array" ref="U6">INDEX(INDIRECT("PnL_"&amp;TEXT(U$1,"mmm")&amp;"_"&amp;TEXT(U$1,"yyyy")),MATCH(TRIM($A5),PnL_Accounts,0))-U5</f>
        <v>0</v>
      </c>
      <c r="V6" s="162">
        <f t="array" ref="V6">INDEX(INDIRECT("PnL_"&amp;TEXT(V$1,"mmm")&amp;"_"&amp;TEXT(V$1,"yyyy")),MATCH(TRIM($A5),PnL_Accounts,0))-V5</f>
        <v>0</v>
      </c>
      <c r="W6" s="162">
        <f t="array" ref="W6">INDEX(INDIRECT("PnL_"&amp;TEXT(W$1,"mmm")&amp;"_"&amp;TEXT(W$1,"yyyy")),MATCH(TRIM($A5),PnL_Accounts,0))-W5</f>
        <v>0</v>
      </c>
      <c r="X6" s="162">
        <f t="array" ref="X6">INDEX(INDIRECT("PnL_"&amp;TEXT(X$1,"mmm")&amp;"_"&amp;TEXT(X$1,"yyyy")),MATCH(TRIM($A5),PnL_Accounts,0))-X5</f>
        <v>0</v>
      </c>
      <c r="Y6" s="162">
        <f t="array" ref="Y6">INDEX(INDIRECT("PnL_"&amp;TEXT(Y$1,"mmm")&amp;"_"&amp;TEXT(Y$1,"yyyy")),MATCH(TRIM($A5),PnL_Accounts,0))-Y5</f>
        <v>0</v>
      </c>
      <c r="Z6" s="162">
        <f t="array" ref="Z6">INDEX(INDIRECT("PnL_"&amp;TEXT(Z$1,"mmm")&amp;"_"&amp;TEXT(Z$1,"yyyy")),MATCH(TRIM($A5),PnL_Accounts,0))-Z5</f>
        <v>0</v>
      </c>
      <c r="AA6" s="162">
        <f t="array" ref="AA6">INDEX(INDIRECT("PnL_"&amp;TEXT(AA$1,"mmm")&amp;"_"&amp;TEXT(AA$1,"yyyy")),MATCH(TRIM($A5),PnL_Accounts,0))-AA5</f>
        <v>0</v>
      </c>
      <c r="AB6" s="162">
        <f t="array" ref="AB6">INDEX(INDIRECT("PnL_"&amp;TEXT(AB$1,"mmm")&amp;"_"&amp;TEXT(AB$1,"yyyy")),MATCH(TRIM($A5),PnL_Accounts,0))-AB5</f>
        <v>0</v>
      </c>
      <c r="AC6" s="162">
        <f t="array" ref="AC6">INDEX(INDIRECT("PnL_"&amp;TEXT(AC$1,"mmm")&amp;"_"&amp;TEXT(AC$1,"yyyy")),MATCH(TRIM($A5),PnL_Accounts,0))-AC5</f>
        <v>0</v>
      </c>
      <c r="AD6" s="162">
        <f t="array" ref="AD6">INDEX(INDIRECT("PnL_"&amp;TEXT(AD$1,"mmm")&amp;"_"&amp;TEXT(AD$1,"yyyy")),MATCH(TRIM($A5),PnL_Accounts,0))-AD5</f>
        <v>0</v>
      </c>
      <c r="AE6" s="162">
        <f t="array" ref="AE6">INDEX(INDIRECT("PnL_"&amp;TEXT(AE$1,"mmm")&amp;"_"&amp;TEXT(AE$1,"yyyy")),MATCH(TRIM($A5),PnL_Accounts,0))-AE5</f>
        <v>0</v>
      </c>
    </row>
    <row r="7" ht="15.75" customHeight="1">
      <c r="A7" s="31" t="s">
        <v>245</v>
      </c>
      <c r="B7" s="159"/>
    </row>
    <row r="8" ht="15.75" customHeight="1">
      <c r="A8" s="1" t="s">
        <v>246</v>
      </c>
      <c r="B8" s="159"/>
      <c r="D8" s="76" t="str">
        <f t="array" ref="D8">INDEX(INDIRECT("PnL_"&amp;TEXT(D$1,"mmm")&amp;"_"&amp;TEXT(D$1,"yyyy")),MATCH(TRIM($A8),PnL_Accounts,0))</f>
        <v/>
      </c>
      <c r="E8" s="76" t="str">
        <f t="array" ref="E8">INDEX(INDIRECT("PnL_"&amp;TEXT(E$1,"mmm")&amp;"_"&amp;TEXT(E$1,"yyyy")),MATCH(TRIM($A8),PnL_Accounts,0))</f>
        <v/>
      </c>
      <c r="F8" s="76" t="str">
        <f t="array" ref="F8">INDEX(INDIRECT("PnL_"&amp;TEXT(F$1,"mmm")&amp;"_"&amp;TEXT(F$1,"yyyy")),MATCH(TRIM($A8),PnL_Accounts,0))</f>
        <v/>
      </c>
      <c r="G8" s="76" t="str">
        <f t="array" ref="G8">INDEX(INDIRECT("PnL_"&amp;TEXT(G$1,"mmm")&amp;"_"&amp;TEXT(G$1,"yyyy")),MATCH(TRIM($A8),PnL_Accounts,0))</f>
        <v/>
      </c>
      <c r="H8" s="76" t="str">
        <f t="array" ref="H8">INDEX(INDIRECT("PnL_"&amp;TEXT(H$1,"mmm")&amp;"_"&amp;TEXT(H$1,"yyyy")),MATCH(TRIM($A8),PnL_Accounts,0))</f>
        <v/>
      </c>
      <c r="I8" s="76" t="str">
        <f t="array" ref="I8">INDEX(INDIRECT("PnL_"&amp;TEXT(I$1,"mmm")&amp;"_"&amp;TEXT(I$1,"yyyy")),MATCH(TRIM($A8),PnL_Accounts,0))</f>
        <v/>
      </c>
      <c r="J8" s="76" t="str">
        <f t="array" ref="J8">INDEX(INDIRECT("PnL_"&amp;TEXT(J$1,"mmm")&amp;"_"&amp;TEXT(J$1,"yyyy")),MATCH(TRIM($A8),PnL_Accounts,0))</f>
        <v/>
      </c>
      <c r="K8" s="76" t="str">
        <f t="array" ref="K8">INDEX(INDIRECT("PnL_"&amp;TEXT(K$1,"mmm")&amp;"_"&amp;TEXT(K$1,"yyyy")),MATCH(TRIM($A8),PnL_Accounts,0))</f>
        <v/>
      </c>
      <c r="L8" s="76" t="str">
        <f t="array" ref="L8">INDEX(INDIRECT("PnL_"&amp;TEXT(L$1,"mmm")&amp;"_"&amp;TEXT(L$1,"yyyy")),MATCH(TRIM($A8),PnL_Accounts,0))</f>
        <v/>
      </c>
      <c r="M8" s="76" t="str">
        <f t="array" ref="M8">INDEX(INDIRECT("PnL_"&amp;TEXT(M$1,"mmm")&amp;"_"&amp;TEXT(M$1,"yyyy")),MATCH(TRIM($A8),PnL_Accounts,0))</f>
        <v/>
      </c>
      <c r="N8" s="76" t="str">
        <f t="array" ref="N8">INDEX(INDIRECT("PnL_"&amp;TEXT(N$1,"mmm")&amp;"_"&amp;TEXT(N$1,"yyyy")),MATCH(TRIM($A8),PnL_Accounts,0))</f>
        <v/>
      </c>
      <c r="O8" s="76" t="str">
        <f t="array" ref="O8">INDEX(INDIRECT("PnL_"&amp;TEXT(O$1,"mmm")&amp;"_"&amp;TEXT(O$1,"yyyy")),MATCH(TRIM($A8),PnL_Accounts,0))</f>
        <v/>
      </c>
      <c r="P8" s="76" t="str">
        <f t="array" ref="P8">INDEX(INDIRECT("PnL_"&amp;TEXT(P$1,"mmm")&amp;"_"&amp;TEXT(P$1,"yyyy")),MATCH(TRIM($A8),PnL_Accounts,0))</f>
        <v/>
      </c>
      <c r="Q8" s="76" t="str">
        <f t="array" ref="Q8">INDEX(INDIRECT("PnL_"&amp;TEXT(Q$1,"mmm")&amp;"_"&amp;TEXT(Q$1,"yyyy")),MATCH(TRIM($A8),PnL_Accounts,0))</f>
        <v/>
      </c>
      <c r="R8" s="76" t="str">
        <f t="array" ref="R8">INDEX(INDIRECT("PnL_"&amp;TEXT(R$1,"mmm")&amp;"_"&amp;TEXT(R$1,"yyyy")),MATCH(TRIM($A8),PnL_Accounts,0))</f>
        <v/>
      </c>
      <c r="S8" s="76" t="str">
        <f t="array" ref="S8">INDEX(INDIRECT("PnL_"&amp;TEXT(S$1,"mmm")&amp;"_"&amp;TEXT(S$1,"yyyy")),MATCH(TRIM($A8),PnL_Accounts,0))</f>
        <v/>
      </c>
      <c r="T8" s="76" t="str">
        <f t="array" ref="T8">INDEX(INDIRECT("PnL_"&amp;TEXT(T$1,"mmm")&amp;"_"&amp;TEXT(T$1,"yyyy")),MATCH(TRIM($A8),PnL_Accounts,0))</f>
        <v/>
      </c>
      <c r="U8" s="76" t="str">
        <f t="array" ref="U8">INDEX(INDIRECT("PnL_"&amp;TEXT(U$1,"mmm")&amp;"_"&amp;TEXT(U$1,"yyyy")),MATCH(TRIM($A8),PnL_Accounts,0))</f>
        <v/>
      </c>
      <c r="V8" s="76" t="str">
        <f t="array" ref="V8">INDEX(INDIRECT("PnL_"&amp;TEXT(V$1,"mmm")&amp;"_"&amp;TEXT(V$1,"yyyy")),MATCH(TRIM($A8),PnL_Accounts,0))</f>
        <v/>
      </c>
      <c r="W8" s="76" t="str">
        <f t="array" ref="W8">INDEX(INDIRECT("PnL_"&amp;TEXT(W$1,"mmm")&amp;"_"&amp;TEXT(W$1,"yyyy")),MATCH(TRIM($A8),PnL_Accounts,0))</f>
        <v/>
      </c>
      <c r="X8" s="76" t="str">
        <f t="array" ref="X8">INDEX(INDIRECT("PnL_"&amp;TEXT(X$1,"mmm")&amp;"_"&amp;TEXT(X$1,"yyyy")),MATCH(TRIM($A8),PnL_Accounts,0))</f>
        <v/>
      </c>
      <c r="Y8" s="76" t="str">
        <f t="array" ref="Y8">INDEX(INDIRECT("PnL_"&amp;TEXT(Y$1,"mmm")&amp;"_"&amp;TEXT(Y$1,"yyyy")),MATCH(TRIM($A8),PnL_Accounts,0))</f>
        <v/>
      </c>
      <c r="Z8" s="76" t="str">
        <f t="array" ref="Z8">INDEX(INDIRECT("PnL_"&amp;TEXT(Z$1,"mmm")&amp;"_"&amp;TEXT(Z$1,"yyyy")),MATCH(TRIM($A8),PnL_Accounts,0))</f>
        <v/>
      </c>
      <c r="AA8" s="76" t="str">
        <f t="array" ref="AA8">INDEX(INDIRECT("PnL_"&amp;TEXT(AA$1,"mmm")&amp;"_"&amp;TEXT(AA$1,"yyyy")),MATCH(TRIM($A8),PnL_Accounts,0))</f>
        <v/>
      </c>
      <c r="AB8" s="76" t="str">
        <f t="array" ref="AB8">INDEX(INDIRECT("PnL_"&amp;TEXT(AB$1,"mmm")&amp;"_"&amp;TEXT(AB$1,"yyyy")),MATCH(TRIM($A8),PnL_Accounts,0))</f>
        <v/>
      </c>
      <c r="AC8" s="76" t="str">
        <f t="array" ref="AC8">INDEX(INDIRECT("PnL_"&amp;TEXT(AC$1,"mmm")&amp;"_"&amp;TEXT(AC$1,"yyyy")),MATCH(TRIM($A8),PnL_Accounts,0))</f>
        <v/>
      </c>
      <c r="AD8" s="76" t="str">
        <f t="array" ref="AD8">INDEX(INDIRECT("PnL_"&amp;TEXT(AD$1,"mmm")&amp;"_"&amp;TEXT(AD$1,"yyyy")),MATCH(TRIM($A8),PnL_Accounts,0))</f>
        <v/>
      </c>
      <c r="AE8" s="76" t="str">
        <f t="array" ref="AE8">INDEX(INDIRECT("PnL_"&amp;TEXT(AE$1,"mmm")&amp;"_"&amp;TEXT(AE$1,"yyyy")),MATCH(TRIM($A8),PnL_Accounts,0))</f>
        <v/>
      </c>
    </row>
    <row r="9" ht="15.75" customHeight="1">
      <c r="A9" s="1" t="s">
        <v>247</v>
      </c>
      <c r="B9" s="159"/>
      <c r="D9" s="76" t="str">
        <f t="array" ref="D9">INDEX(INDIRECT("PnL_"&amp;TEXT(D$1,"mmm")&amp;"_"&amp;TEXT(D$1,"yyyy")),MATCH(TRIM($A9),PnL_Accounts,0))</f>
        <v/>
      </c>
      <c r="E9" s="76" t="str">
        <f t="array" ref="E9">INDEX(INDIRECT("PnL_"&amp;TEXT(E$1,"mmm")&amp;"_"&amp;TEXT(E$1,"yyyy")),MATCH(TRIM($A9),PnL_Accounts,0))</f>
        <v/>
      </c>
      <c r="F9" s="76" t="str">
        <f t="array" ref="F9">INDEX(INDIRECT("PnL_"&amp;TEXT(F$1,"mmm")&amp;"_"&amp;TEXT(F$1,"yyyy")),MATCH(TRIM($A9),PnL_Accounts,0))</f>
        <v/>
      </c>
      <c r="G9" s="76" t="str">
        <f t="array" ref="G9">INDEX(INDIRECT("PnL_"&amp;TEXT(G$1,"mmm")&amp;"_"&amp;TEXT(G$1,"yyyy")),MATCH(TRIM($A9),PnL_Accounts,0))</f>
        <v/>
      </c>
      <c r="H9" s="76" t="str">
        <f t="array" ref="H9">INDEX(INDIRECT("PnL_"&amp;TEXT(H$1,"mmm")&amp;"_"&amp;TEXT(H$1,"yyyy")),MATCH(TRIM($A9),PnL_Accounts,0))</f>
        <v/>
      </c>
      <c r="I9" s="76" t="str">
        <f t="array" ref="I9">INDEX(INDIRECT("PnL_"&amp;TEXT(I$1,"mmm")&amp;"_"&amp;TEXT(I$1,"yyyy")),MATCH(TRIM($A9),PnL_Accounts,0))</f>
        <v/>
      </c>
      <c r="J9" s="76" t="str">
        <f t="array" ref="J9">INDEX(INDIRECT("PnL_"&amp;TEXT(J$1,"mmm")&amp;"_"&amp;TEXT(J$1,"yyyy")),MATCH(TRIM($A9),PnL_Accounts,0))</f>
        <v/>
      </c>
      <c r="K9" s="76" t="str">
        <f t="array" ref="K9">INDEX(INDIRECT("PnL_"&amp;TEXT(K$1,"mmm")&amp;"_"&amp;TEXT(K$1,"yyyy")),MATCH(TRIM($A9),PnL_Accounts,0))</f>
        <v/>
      </c>
      <c r="L9" s="76" t="str">
        <f t="array" ref="L9">INDEX(INDIRECT("PnL_"&amp;TEXT(L$1,"mmm")&amp;"_"&amp;TEXT(L$1,"yyyy")),MATCH(TRIM($A9),PnL_Accounts,0))</f>
        <v/>
      </c>
      <c r="M9" s="76" t="str">
        <f t="array" ref="M9">INDEX(INDIRECT("PnL_"&amp;TEXT(M$1,"mmm")&amp;"_"&amp;TEXT(M$1,"yyyy")),MATCH(TRIM($A9),PnL_Accounts,0))</f>
        <v/>
      </c>
      <c r="N9" s="76" t="str">
        <f t="array" ref="N9">INDEX(INDIRECT("PnL_"&amp;TEXT(N$1,"mmm")&amp;"_"&amp;TEXT(N$1,"yyyy")),MATCH(TRIM($A9),PnL_Accounts,0))</f>
        <v/>
      </c>
      <c r="O9" s="76" t="str">
        <f t="array" ref="O9">INDEX(INDIRECT("PnL_"&amp;TEXT(O$1,"mmm")&amp;"_"&amp;TEXT(O$1,"yyyy")),MATCH(TRIM($A9),PnL_Accounts,0))</f>
        <v/>
      </c>
      <c r="P9" s="76" t="str">
        <f t="array" ref="P9">INDEX(INDIRECT("PnL_"&amp;TEXT(P$1,"mmm")&amp;"_"&amp;TEXT(P$1,"yyyy")),MATCH(TRIM($A9),PnL_Accounts,0))</f>
        <v/>
      </c>
      <c r="Q9" s="76" t="str">
        <f t="array" ref="Q9">INDEX(INDIRECT("PnL_"&amp;TEXT(Q$1,"mmm")&amp;"_"&amp;TEXT(Q$1,"yyyy")),MATCH(TRIM($A9),PnL_Accounts,0))</f>
        <v/>
      </c>
      <c r="R9" s="76" t="str">
        <f t="array" ref="R9">INDEX(INDIRECT("PnL_"&amp;TEXT(R$1,"mmm")&amp;"_"&amp;TEXT(R$1,"yyyy")),MATCH(TRIM($A9),PnL_Accounts,0))</f>
        <v/>
      </c>
      <c r="S9" s="76" t="str">
        <f t="array" ref="S9">INDEX(INDIRECT("PnL_"&amp;TEXT(S$1,"mmm")&amp;"_"&amp;TEXT(S$1,"yyyy")),MATCH(TRIM($A9),PnL_Accounts,0))</f>
        <v/>
      </c>
      <c r="T9" s="76" t="str">
        <f t="array" ref="T9">INDEX(INDIRECT("PnL_"&amp;TEXT(T$1,"mmm")&amp;"_"&amp;TEXT(T$1,"yyyy")),MATCH(TRIM($A9),PnL_Accounts,0))</f>
        <v/>
      </c>
      <c r="U9" s="76" t="str">
        <f t="array" ref="U9">INDEX(INDIRECT("PnL_"&amp;TEXT(U$1,"mmm")&amp;"_"&amp;TEXT(U$1,"yyyy")),MATCH(TRIM($A9),PnL_Accounts,0))</f>
        <v/>
      </c>
      <c r="V9" s="76" t="str">
        <f t="array" ref="V9">INDEX(INDIRECT("PnL_"&amp;TEXT(V$1,"mmm")&amp;"_"&amp;TEXT(V$1,"yyyy")),MATCH(TRIM($A9),PnL_Accounts,0))</f>
        <v/>
      </c>
      <c r="W9" s="76" t="str">
        <f t="array" ref="W9">INDEX(INDIRECT("PnL_"&amp;TEXT(W$1,"mmm")&amp;"_"&amp;TEXT(W$1,"yyyy")),MATCH(TRIM($A9),PnL_Accounts,0))</f>
        <v/>
      </c>
      <c r="X9" s="76" t="str">
        <f t="array" ref="X9">INDEX(INDIRECT("PnL_"&amp;TEXT(X$1,"mmm")&amp;"_"&amp;TEXT(X$1,"yyyy")),MATCH(TRIM($A9),PnL_Accounts,0))</f>
        <v/>
      </c>
      <c r="Y9" s="76" t="str">
        <f t="array" ref="Y9">INDEX(INDIRECT("PnL_"&amp;TEXT(Y$1,"mmm")&amp;"_"&amp;TEXT(Y$1,"yyyy")),MATCH(TRIM($A9),PnL_Accounts,0))</f>
        <v/>
      </c>
      <c r="Z9" s="76" t="str">
        <f t="array" ref="Z9">INDEX(INDIRECT("PnL_"&amp;TEXT(Z$1,"mmm")&amp;"_"&amp;TEXT(Z$1,"yyyy")),MATCH(TRIM($A9),PnL_Accounts,0))</f>
        <v/>
      </c>
      <c r="AA9" s="76" t="str">
        <f t="array" ref="AA9">INDEX(INDIRECT("PnL_"&amp;TEXT(AA$1,"mmm")&amp;"_"&amp;TEXT(AA$1,"yyyy")),MATCH(TRIM($A9),PnL_Accounts,0))</f>
        <v/>
      </c>
      <c r="AB9" s="76" t="str">
        <f t="array" ref="AB9">INDEX(INDIRECT("PnL_"&amp;TEXT(AB$1,"mmm")&amp;"_"&amp;TEXT(AB$1,"yyyy")),MATCH(TRIM($A9),PnL_Accounts,0))</f>
        <v/>
      </c>
      <c r="AC9" s="76" t="str">
        <f t="array" ref="AC9">INDEX(INDIRECT("PnL_"&amp;TEXT(AC$1,"mmm")&amp;"_"&amp;TEXT(AC$1,"yyyy")),MATCH(TRIM($A9),PnL_Accounts,0))</f>
        <v/>
      </c>
      <c r="AD9" s="76" t="str">
        <f t="array" ref="AD9">INDEX(INDIRECT("PnL_"&amp;TEXT(AD$1,"mmm")&amp;"_"&amp;TEXT(AD$1,"yyyy")),MATCH(TRIM($A9),PnL_Accounts,0))</f>
        <v/>
      </c>
      <c r="AE9" s="76" t="str">
        <f t="array" ref="AE9">INDEX(INDIRECT("PnL_"&amp;TEXT(AE$1,"mmm")&amp;"_"&amp;TEXT(AE$1,"yyyy")),MATCH(TRIM($A9),PnL_Accounts,0))</f>
        <v/>
      </c>
    </row>
    <row r="10" ht="15.75" customHeight="1">
      <c r="A10" s="1" t="s">
        <v>248</v>
      </c>
      <c r="B10" s="160">
        <f>AVERAGEIFS(10:10,$1:$1,"&gt;="&amp;DATE(YEAR(Current_Month),MONTH(Current_Month)-2,DAY(Current_Month)),$1:$1,"&lt;="&amp;EOMONTH(Current_Month,0))</f>
        <v>2973</v>
      </c>
      <c r="D10" s="76">
        <f t="array" ref="D10">INDEX(INDIRECT("PnL_"&amp;TEXT(D$1,"mmm")&amp;"_"&amp;TEXT(D$1,"yyyy")),MATCH(TRIM($A10),PnL_Accounts,0))</f>
        <v>985</v>
      </c>
      <c r="E10" s="76">
        <f t="array" ref="E10">INDEX(INDIRECT("PnL_"&amp;TEXT(E$1,"mmm")&amp;"_"&amp;TEXT(E$1,"yyyy")),MATCH(TRIM($A10),PnL_Accounts,0))</f>
        <v>985</v>
      </c>
      <c r="F10" s="76">
        <f t="array" ref="F10">INDEX(INDIRECT("PnL_"&amp;TEXT(F$1,"mmm")&amp;"_"&amp;TEXT(F$1,"yyyy")),MATCH(TRIM($A10),PnL_Accounts,0))</f>
        <v>985</v>
      </c>
      <c r="G10" s="76">
        <f t="array" ref="G10">INDEX(INDIRECT("PnL_"&amp;TEXT(G$1,"mmm")&amp;"_"&amp;TEXT(G$1,"yyyy")),MATCH(TRIM($A10),PnL_Accounts,0))</f>
        <v>1182</v>
      </c>
      <c r="H10" s="76">
        <f t="array" ref="H10">INDEX(INDIRECT("PnL_"&amp;TEXT(H$1,"mmm")&amp;"_"&amp;TEXT(H$1,"yyyy")),MATCH(TRIM($A10),PnL_Accounts,0))</f>
        <v>1182</v>
      </c>
      <c r="I10" s="76">
        <f t="array" ref="I10">INDEX(INDIRECT("PnL_"&amp;TEXT(I$1,"mmm")&amp;"_"&amp;TEXT(I$1,"yyyy")),MATCH(TRIM($A10),PnL_Accounts,0))</f>
        <v>1182</v>
      </c>
      <c r="J10" s="76">
        <f t="array" ref="J10">INDEX(INDIRECT("PnL_"&amp;TEXT(J$1,"mmm")&amp;"_"&amp;TEXT(J$1,"yyyy")),MATCH(TRIM($A10),PnL_Accounts,0))</f>
        <v>1379</v>
      </c>
      <c r="K10" s="76">
        <f t="array" ref="K10">INDEX(INDIRECT("PnL_"&amp;TEXT(K$1,"mmm")&amp;"_"&amp;TEXT(K$1,"yyyy")),MATCH(TRIM($A10),PnL_Accounts,0))</f>
        <v>1379</v>
      </c>
      <c r="L10" s="76">
        <f t="array" ref="L10">INDEX(INDIRECT("PnL_"&amp;TEXT(L$1,"mmm")&amp;"_"&amp;TEXT(L$1,"yyyy")),MATCH(TRIM($A10),PnL_Accounts,0))</f>
        <v>1576</v>
      </c>
      <c r="M10" s="76">
        <f t="array" ref="M10">INDEX(INDIRECT("PnL_"&amp;TEXT(M$1,"mmm")&amp;"_"&amp;TEXT(M$1,"yyyy")),MATCH(TRIM($A10),PnL_Accounts,0))</f>
        <v>1576</v>
      </c>
      <c r="N10" s="76">
        <f t="array" ref="N10">INDEX(INDIRECT("PnL_"&amp;TEXT(N$1,"mmm")&amp;"_"&amp;TEXT(N$1,"yyyy")),MATCH(TRIM($A10),PnL_Accounts,0))</f>
        <v>1576</v>
      </c>
      <c r="O10" s="76">
        <f t="array" ref="O10">INDEX(INDIRECT("PnL_"&amp;TEXT(O$1,"mmm")&amp;"_"&amp;TEXT(O$1,"yyyy")),MATCH(TRIM($A10),PnL_Accounts,0))</f>
        <v>1773</v>
      </c>
      <c r="P10" s="76">
        <f t="array" ref="P10">INDEX(INDIRECT("PnL_"&amp;TEXT(P$1,"mmm")&amp;"_"&amp;TEXT(P$1,"yyyy")),MATCH(TRIM($A10),PnL_Accounts,0))</f>
        <v>1773</v>
      </c>
      <c r="Q10" s="76">
        <f t="array" ref="Q10">INDEX(INDIRECT("PnL_"&amp;TEXT(Q$1,"mmm")&amp;"_"&amp;TEXT(Q$1,"yyyy")),MATCH(TRIM($A10),PnL_Accounts,0))</f>
        <v>1773</v>
      </c>
      <c r="R10" s="76">
        <f t="array" ref="R10">INDEX(INDIRECT("PnL_"&amp;TEXT(R$1,"mmm")&amp;"_"&amp;TEXT(R$1,"yyyy")),MATCH(TRIM($A10),PnL_Accounts,0))</f>
        <v>1773</v>
      </c>
      <c r="S10" s="76">
        <f t="array" ref="S10">INDEX(INDIRECT("PnL_"&amp;TEXT(S$1,"mmm")&amp;"_"&amp;TEXT(S$1,"yyyy")),MATCH(TRIM($A10),PnL_Accounts,0))</f>
        <v>2773</v>
      </c>
      <c r="T10" s="76">
        <f t="array" ref="T10">INDEX(INDIRECT("PnL_"&amp;TEXT(T$1,"mmm")&amp;"_"&amp;TEXT(T$1,"yyyy")),MATCH(TRIM($A10),PnL_Accounts,0))</f>
        <v>2973</v>
      </c>
      <c r="U10" s="76">
        <f t="array" ref="U10">INDEX(INDIRECT("PnL_"&amp;TEXT(U$1,"mmm")&amp;"_"&amp;TEXT(U$1,"yyyy")),MATCH(TRIM($A10),PnL_Accounts,0))</f>
        <v>2973</v>
      </c>
      <c r="V10" s="76">
        <f t="array" ref="V10">INDEX(INDIRECT("PnL_"&amp;TEXT(V$1,"mmm")&amp;"_"&amp;TEXT(V$1,"yyyy")),MATCH(TRIM($A10),PnL_Accounts,0))</f>
        <v>2973</v>
      </c>
      <c r="W10" s="76">
        <f t="array" ref="W10">INDEX(INDIRECT("PnL_"&amp;TEXT(W$1,"mmm")&amp;"_"&amp;TEXT(W$1,"yyyy")),MATCH(TRIM($A10),PnL_Accounts,0))</f>
        <v>2973</v>
      </c>
      <c r="X10" s="76">
        <f t="array" ref="X10">INDEX(INDIRECT("PnL_"&amp;TEXT(X$1,"mmm")&amp;"_"&amp;TEXT(X$1,"yyyy")),MATCH(TRIM($A10),PnL_Accounts,0))</f>
        <v>2973</v>
      </c>
      <c r="Y10" s="76">
        <f t="array" ref="Y10">INDEX(INDIRECT("PnL_"&amp;TEXT(Y$1,"mmm")&amp;"_"&amp;TEXT(Y$1,"yyyy")),MATCH(TRIM($A10),PnL_Accounts,0))</f>
        <v>2973</v>
      </c>
      <c r="Z10" s="76">
        <f t="array" ref="Z10">INDEX(INDIRECT("PnL_"&amp;TEXT(Z$1,"mmm")&amp;"_"&amp;TEXT(Z$1,"yyyy")),MATCH(TRIM($A10),PnL_Accounts,0))</f>
        <v>2973</v>
      </c>
      <c r="AA10" s="76">
        <f t="array" ref="AA10">INDEX(INDIRECT("PnL_"&amp;TEXT(AA$1,"mmm")&amp;"_"&amp;TEXT(AA$1,"yyyy")),MATCH(TRIM($A10),PnL_Accounts,0))</f>
        <v>2973</v>
      </c>
      <c r="AB10" s="76">
        <f t="array" ref="AB10">INDEX(INDIRECT("PnL_"&amp;TEXT(AB$1,"mmm")&amp;"_"&amp;TEXT(AB$1,"yyyy")),MATCH(TRIM($A10),PnL_Accounts,0))</f>
        <v>2973</v>
      </c>
      <c r="AC10" s="76">
        <f t="array" ref="AC10">INDEX(INDIRECT("PnL_"&amp;TEXT(AC$1,"mmm")&amp;"_"&amp;TEXT(AC$1,"yyyy")),MATCH(TRIM($A10),PnL_Accounts,0))</f>
        <v>2973</v>
      </c>
      <c r="AD10" s="76">
        <f t="array" ref="AD10">INDEX(INDIRECT("PnL_"&amp;TEXT(AD$1,"mmm")&amp;"_"&amp;TEXT(AD$1,"yyyy")),MATCH(TRIM($A10),PnL_Accounts,0))</f>
        <v>2973</v>
      </c>
      <c r="AE10" s="76">
        <f t="array" ref="AE10">INDEX(INDIRECT("PnL_"&amp;TEXT(AE$1,"mmm")&amp;"_"&amp;TEXT(AE$1,"yyyy")),MATCH(TRIM($A10),PnL_Accounts,0))</f>
        <v>2973</v>
      </c>
      <c r="AF10" s="39">
        <f t="array" ref="AF10">INDEX(Hiring_Plan_Benefits_Support,MATCH(AF$1,Hiring_Plan_Months,0))</f>
        <v>3182.666667</v>
      </c>
      <c r="AG10" s="39">
        <f t="array" ref="AG10">INDEX(Hiring_Plan_Benefits_Support,MATCH(AG$1,Hiring_Plan_Months,0))</f>
        <v>3182.666667</v>
      </c>
      <c r="AH10" s="39">
        <f t="array" ref="AH10">INDEX(Hiring_Plan_Benefits_Support,MATCH(AH$1,Hiring_Plan_Months,0))</f>
        <v>3182.666667</v>
      </c>
      <c r="AI10" s="39">
        <f t="array" ref="AI10">INDEX(Hiring_Plan_Benefits_Support,MATCH(AI$1,Hiring_Plan_Months,0))</f>
        <v>3182.666667</v>
      </c>
      <c r="AJ10" s="39">
        <f t="array" ref="AJ10">INDEX(Hiring_Plan_Benefits_Support,MATCH(AJ$1,Hiring_Plan_Months,0))</f>
        <v>3182.666667</v>
      </c>
      <c r="AK10" s="39">
        <f t="array" ref="AK10">INDEX(Hiring_Plan_Benefits_Support,MATCH(AK$1,Hiring_Plan_Months,0))</f>
        <v>3949.333333</v>
      </c>
      <c r="AL10" s="39">
        <f t="array" ref="AL10">INDEX(Hiring_Plan_Benefits_Support,MATCH(AL$1,Hiring_Plan_Months,0))</f>
        <v>3949.333333</v>
      </c>
      <c r="AM10" s="39">
        <f t="array" ref="AM10">INDEX(Hiring_Plan_Benefits_Support,MATCH(AM$1,Hiring_Plan_Months,0))</f>
        <v>4732.666667</v>
      </c>
      <c r="AN10" s="39">
        <f t="array" ref="AN10">INDEX(Hiring_Plan_Benefits_Support,MATCH(AN$1,Hiring_Plan_Months,0))</f>
        <v>4732.666667</v>
      </c>
      <c r="AO10" s="39">
        <f t="array" ref="AO10">INDEX(Hiring_Plan_Benefits_Support,MATCH(AO$1,Hiring_Plan_Months,0))</f>
        <v>5499.333333</v>
      </c>
      <c r="AP10" s="39">
        <f t="array" ref="AP10">INDEX(Hiring_Plan_Benefits_Support,MATCH(AP$1,Hiring_Plan_Months,0))</f>
        <v>5499.333333</v>
      </c>
      <c r="AQ10" s="39">
        <f t="array" ref="AQ10">INDEX(Hiring_Plan_Benefits_Support,MATCH(AQ$1,Hiring_Plan_Months,0))</f>
        <v>5499.333333</v>
      </c>
      <c r="AR10" s="39">
        <f t="array" ref="AR10">INDEX(Hiring_Plan_Benefits_Support,MATCH(AR$1,Hiring_Plan_Months,0))</f>
        <v>5499.333333</v>
      </c>
      <c r="AS10" s="39">
        <f t="array" ref="AS10">INDEX(Hiring_Plan_Benefits_Support,MATCH(AS$1,Hiring_Plan_Months,0))</f>
        <v>5499.333333</v>
      </c>
      <c r="AT10" s="39">
        <f t="array" ref="AT10">INDEX(Hiring_Plan_Benefits_Support,MATCH(AT$1,Hiring_Plan_Months,0))</f>
        <v>5499.333333</v>
      </c>
      <c r="AU10" s="39">
        <f t="array" ref="AU10">INDEX(Hiring_Plan_Benefits_Support,MATCH(AU$1,Hiring_Plan_Months,0))</f>
        <v>5499.333333</v>
      </c>
      <c r="AV10" s="39">
        <f t="array" ref="AV10">INDEX(Hiring_Plan_Benefits_Support,MATCH(AV$1,Hiring_Plan_Months,0))</f>
        <v>5499.333333</v>
      </c>
      <c r="AW10" s="39">
        <f t="array" ref="AW10">INDEX(Hiring_Plan_Benefits_Support,MATCH(AW$1,Hiring_Plan_Months,0))</f>
        <v>5499.333333</v>
      </c>
      <c r="AX10" s="39">
        <f t="array" ref="AX10">INDEX(Hiring_Plan_Benefits_Support,MATCH(AX$1,Hiring_Plan_Months,0))</f>
        <v>5499.333333</v>
      </c>
      <c r="AY10" s="39">
        <f t="array" ref="AY10">INDEX(Hiring_Plan_Benefits_Support,MATCH(AY$1,Hiring_Plan_Months,0))</f>
        <v>5499.333333</v>
      </c>
      <c r="AZ10" s="39">
        <f t="array" ref="AZ10">INDEX(Hiring_Plan_Benefits_Support,MATCH(AZ$1,Hiring_Plan_Months,0))</f>
        <v>5499.333333</v>
      </c>
      <c r="BA10" s="39">
        <f t="array" ref="BA10">INDEX(Hiring_Plan_Benefits_Support,MATCH(BA$1,Hiring_Plan_Months,0))</f>
        <v>5499.333333</v>
      </c>
      <c r="BB10" s="39">
        <f t="array" ref="BB10">INDEX(Hiring_Plan_Benefits_Support,MATCH(BB$1,Hiring_Plan_Months,0))</f>
        <v>5499.333333</v>
      </c>
      <c r="BC10" s="39">
        <f t="array" ref="BC10">INDEX(Hiring_Plan_Benefits_Support,MATCH(BC$1,Hiring_Plan_Months,0))</f>
        <v>5499.333333</v>
      </c>
      <c r="BD10" s="39">
        <f t="array" ref="BD10">INDEX(Hiring_Plan_Benefits_Support,MATCH(BD$1,Hiring_Plan_Months,0))</f>
        <v>5499.333333</v>
      </c>
      <c r="BE10" s="39">
        <f t="array" ref="BE10">INDEX(Hiring_Plan_Benefits_Support,MATCH(BE$1,Hiring_Plan_Months,0))</f>
        <v>5499.333333</v>
      </c>
      <c r="BF10" s="39">
        <f t="array" ref="BF10">INDEX(Hiring_Plan_Benefits_Support,MATCH(BF$1,Hiring_Plan_Months,0))</f>
        <v>5499.333333</v>
      </c>
      <c r="BG10" s="39">
        <f t="array" ref="BG10">INDEX(Hiring_Plan_Benefits_Support,MATCH(BG$1,Hiring_Plan_Months,0))</f>
        <v>5499.333333</v>
      </c>
      <c r="BH10" s="39">
        <f t="array" ref="BH10">INDEX(Hiring_Plan_Benefits_Support,MATCH(BH$1,Hiring_Plan_Months,0))</f>
        <v>5499.333333</v>
      </c>
      <c r="BI10" s="39">
        <f t="array" ref="BI10">INDEX(Hiring_Plan_Benefits_Support,MATCH(BI$1,Hiring_Plan_Months,0))</f>
        <v>5499.333333</v>
      </c>
      <c r="BJ10" s="39">
        <f t="array" ref="BJ10">INDEX(Hiring_Plan_Benefits_Support,MATCH(BJ$1,Hiring_Plan_Months,0))</f>
        <v>5499.333333</v>
      </c>
      <c r="BK10" s="39">
        <f t="array" ref="BK10">INDEX(Hiring_Plan_Benefits_Support,MATCH(BK$1,Hiring_Plan_Months,0))</f>
        <v>5499.333333</v>
      </c>
      <c r="BL10" s="39">
        <f t="array" ref="BL10">INDEX(Hiring_Plan_Benefits_Support,MATCH(BL$1,Hiring_Plan_Months,0))</f>
        <v>5499.333333</v>
      </c>
      <c r="BM10" s="39">
        <f t="array" ref="BM10">INDEX(Hiring_Plan_Benefits_Support,MATCH(BM$1,Hiring_Plan_Months,0))</f>
        <v>5499.333333</v>
      </c>
      <c r="BN10" s="39">
        <f t="array" ref="BN10">INDEX(Hiring_Plan_Benefits_Support,MATCH(BN$1,Hiring_Plan_Months,0))</f>
        <v>5499.333333</v>
      </c>
      <c r="BO10" s="39">
        <f t="array" ref="BO10">INDEX(Hiring_Plan_Benefits_Support,MATCH(BO$1,Hiring_Plan_Months,0))</f>
        <v>5499.333333</v>
      </c>
      <c r="BP10" s="39">
        <f t="array" ref="BP10">INDEX(Hiring_Plan_Benefits_Support,MATCH(BP$1,Hiring_Plan_Months,0))</f>
        <v>5499.333333</v>
      </c>
      <c r="BQ10" s="39">
        <f t="array" ref="BQ10">INDEX(Hiring_Plan_Benefits_Support,MATCH(BQ$1,Hiring_Plan_Months,0))</f>
        <v>5499.333333</v>
      </c>
      <c r="BR10" s="39">
        <f t="array" ref="BR10">INDEX(Hiring_Plan_Benefits_Support,MATCH(BR$1,Hiring_Plan_Months,0))</f>
        <v>5499.333333</v>
      </c>
      <c r="BS10" s="39">
        <f t="array" ref="BS10">INDEX(Hiring_Plan_Benefits_Support,MATCH(BS$1,Hiring_Plan_Months,0))</f>
        <v>5499.333333</v>
      </c>
      <c r="BT10" s="39">
        <f t="array" ref="BT10">INDEX(Hiring_Plan_Benefits_Support,MATCH(BT$1,Hiring_Plan_Months,0))</f>
        <v>5499.333333</v>
      </c>
      <c r="BU10" s="39">
        <f t="array" ref="BU10">INDEX(Hiring_Plan_Benefits_Support,MATCH(BU$1,Hiring_Plan_Months,0))</f>
        <v>5499.333333</v>
      </c>
      <c r="BV10" s="39">
        <f t="array" ref="BV10">INDEX(Hiring_Plan_Benefits_Support,MATCH(BV$1,Hiring_Plan_Months,0))</f>
        <v>5499.333333</v>
      </c>
      <c r="BW10" s="39">
        <f t="array" ref="BW10">INDEX(Hiring_Plan_Benefits_Support,MATCH(BW$1,Hiring_Plan_Months,0))</f>
        <v>5499.333333</v>
      </c>
    </row>
    <row r="11" ht="15.75" customHeight="1">
      <c r="A11" s="1" t="s">
        <v>249</v>
      </c>
      <c r="B11" s="160">
        <f>AVERAGEIFS(11:11,$1:$1,"&gt;="&amp;DATE(YEAR(Current_Month),MONTH(Current_Month)-2,DAY(Current_Month)),$1:$1,"&lt;="&amp;EOMONTH(Current_Month,0))</f>
        <v>5567</v>
      </c>
      <c r="D11" s="76">
        <f t="array" ref="D11">INDEX(INDIRECT("PnL_"&amp;TEXT(D$1,"mmm")&amp;"_"&amp;TEXT(D$1,"yyyy")),MATCH(TRIM($A11),PnL_Accounts,0))</f>
        <v>2340</v>
      </c>
      <c r="E11" s="76">
        <f t="array" ref="E11">INDEX(INDIRECT("PnL_"&amp;TEXT(E$1,"mmm")&amp;"_"&amp;TEXT(E$1,"yyyy")),MATCH(TRIM($A11),PnL_Accounts,0))</f>
        <v>2340</v>
      </c>
      <c r="F11" s="76">
        <f t="array" ref="F11">INDEX(INDIRECT("PnL_"&amp;TEXT(F$1,"mmm")&amp;"_"&amp;TEXT(F$1,"yyyy")),MATCH(TRIM($A11),PnL_Accounts,0))</f>
        <v>2340</v>
      </c>
      <c r="G11" s="76">
        <f t="array" ref="G11">INDEX(INDIRECT("PnL_"&amp;TEXT(G$1,"mmm")&amp;"_"&amp;TEXT(G$1,"yyyy")),MATCH(TRIM($A11),PnL_Accounts,0))</f>
        <v>2808</v>
      </c>
      <c r="H11" s="76">
        <f t="array" ref="H11">INDEX(INDIRECT("PnL_"&amp;TEXT(H$1,"mmm")&amp;"_"&amp;TEXT(H$1,"yyyy")),MATCH(TRIM($A11),PnL_Accounts,0))</f>
        <v>2808</v>
      </c>
      <c r="I11" s="76">
        <f t="array" ref="I11">INDEX(INDIRECT("PnL_"&amp;TEXT(I$1,"mmm")&amp;"_"&amp;TEXT(I$1,"yyyy")),MATCH(TRIM($A11),PnL_Accounts,0))</f>
        <v>2808</v>
      </c>
      <c r="J11" s="76">
        <f t="array" ref="J11">INDEX(INDIRECT("PnL_"&amp;TEXT(J$1,"mmm")&amp;"_"&amp;TEXT(J$1,"yyyy")),MATCH(TRIM($A11),PnL_Accounts,0))</f>
        <v>3258</v>
      </c>
      <c r="K11" s="76">
        <f t="array" ref="K11">INDEX(INDIRECT("PnL_"&amp;TEXT(K$1,"mmm")&amp;"_"&amp;TEXT(K$1,"yyyy")),MATCH(TRIM($A11),PnL_Accounts,0))</f>
        <v>3258</v>
      </c>
      <c r="L11" s="76">
        <f t="array" ref="L11">INDEX(INDIRECT("PnL_"&amp;TEXT(L$1,"mmm")&amp;"_"&amp;TEXT(L$1,"yyyy")),MATCH(TRIM($A11),PnL_Accounts,0))</f>
        <v>3699</v>
      </c>
      <c r="M11" s="76">
        <f t="array" ref="M11">INDEX(INDIRECT("PnL_"&amp;TEXT(M$1,"mmm")&amp;"_"&amp;TEXT(M$1,"yyyy")),MATCH(TRIM($A11),PnL_Accounts,0))</f>
        <v>3699</v>
      </c>
      <c r="N11" s="76">
        <f t="array" ref="N11">INDEX(INDIRECT("PnL_"&amp;TEXT(N$1,"mmm")&amp;"_"&amp;TEXT(N$1,"yyyy")),MATCH(TRIM($A11),PnL_Accounts,0))</f>
        <v>3699</v>
      </c>
      <c r="O11" s="76">
        <f t="array" ref="O11">INDEX(INDIRECT("PnL_"&amp;TEXT(O$1,"mmm")&amp;"_"&amp;TEXT(O$1,"yyyy")),MATCH(TRIM($A11),PnL_Accounts,0))</f>
        <v>5067</v>
      </c>
      <c r="P11" s="76">
        <f t="array" ref="P11">INDEX(INDIRECT("PnL_"&amp;TEXT(P$1,"mmm")&amp;"_"&amp;TEXT(P$1,"yyyy")),MATCH(TRIM($A11),PnL_Accounts,0))</f>
        <v>5067</v>
      </c>
      <c r="Q11" s="76">
        <f t="array" ref="Q11">INDEX(INDIRECT("PnL_"&amp;TEXT(Q$1,"mmm")&amp;"_"&amp;TEXT(Q$1,"yyyy")),MATCH(TRIM($A11),PnL_Accounts,0))</f>
        <v>5067</v>
      </c>
      <c r="R11" s="76">
        <f t="array" ref="R11">INDEX(INDIRECT("PnL_"&amp;TEXT(R$1,"mmm")&amp;"_"&amp;TEXT(R$1,"yyyy")),MATCH(TRIM($A11),PnL_Accounts,0))</f>
        <v>5067</v>
      </c>
      <c r="S11" s="76">
        <f t="array" ref="S11">INDEX(INDIRECT("PnL_"&amp;TEXT(S$1,"mmm")&amp;"_"&amp;TEXT(S$1,"yyyy")),MATCH(TRIM($A11),PnL_Accounts,0))</f>
        <v>5067</v>
      </c>
      <c r="T11" s="76">
        <f t="array" ref="T11">INDEX(INDIRECT("PnL_"&amp;TEXT(T$1,"mmm")&amp;"_"&amp;TEXT(T$1,"yyyy")),MATCH(TRIM($A11),PnL_Accounts,0))</f>
        <v>5567</v>
      </c>
      <c r="U11" s="76">
        <f t="array" ref="U11">INDEX(INDIRECT("PnL_"&amp;TEXT(U$1,"mmm")&amp;"_"&amp;TEXT(U$1,"yyyy")),MATCH(TRIM($A11),PnL_Accounts,0))</f>
        <v>5567</v>
      </c>
      <c r="V11" s="76">
        <f t="array" ref="V11">INDEX(INDIRECT("PnL_"&amp;TEXT(V$1,"mmm")&amp;"_"&amp;TEXT(V$1,"yyyy")),MATCH(TRIM($A11),PnL_Accounts,0))</f>
        <v>5567</v>
      </c>
      <c r="W11" s="76">
        <f t="array" ref="W11">INDEX(INDIRECT("PnL_"&amp;TEXT(W$1,"mmm")&amp;"_"&amp;TEXT(W$1,"yyyy")),MATCH(TRIM($A11),PnL_Accounts,0))</f>
        <v>5567</v>
      </c>
      <c r="X11" s="76">
        <f t="array" ref="X11">INDEX(INDIRECT("PnL_"&amp;TEXT(X$1,"mmm")&amp;"_"&amp;TEXT(X$1,"yyyy")),MATCH(TRIM($A11),PnL_Accounts,0))</f>
        <v>5567</v>
      </c>
      <c r="Y11" s="76">
        <f t="array" ref="Y11">INDEX(INDIRECT("PnL_"&amp;TEXT(Y$1,"mmm")&amp;"_"&amp;TEXT(Y$1,"yyyy")),MATCH(TRIM($A11),PnL_Accounts,0))</f>
        <v>5567</v>
      </c>
      <c r="Z11" s="76">
        <f t="array" ref="Z11">INDEX(INDIRECT("PnL_"&amp;TEXT(Z$1,"mmm")&amp;"_"&amp;TEXT(Z$1,"yyyy")),MATCH(TRIM($A11),PnL_Accounts,0))</f>
        <v>5567</v>
      </c>
      <c r="AA11" s="76">
        <f t="array" ref="AA11">INDEX(INDIRECT("PnL_"&amp;TEXT(AA$1,"mmm")&amp;"_"&amp;TEXT(AA$1,"yyyy")),MATCH(TRIM($A11),PnL_Accounts,0))</f>
        <v>5567</v>
      </c>
      <c r="AB11" s="76">
        <f t="array" ref="AB11">INDEX(INDIRECT("PnL_"&amp;TEXT(AB$1,"mmm")&amp;"_"&amp;TEXT(AB$1,"yyyy")),MATCH(TRIM($A11),PnL_Accounts,0))</f>
        <v>5567</v>
      </c>
      <c r="AC11" s="76">
        <f t="array" ref="AC11">INDEX(INDIRECT("PnL_"&amp;TEXT(AC$1,"mmm")&amp;"_"&amp;TEXT(AC$1,"yyyy")),MATCH(TRIM($A11),PnL_Accounts,0))</f>
        <v>5567</v>
      </c>
      <c r="AD11" s="76">
        <f t="array" ref="AD11">INDEX(INDIRECT("PnL_"&amp;TEXT(AD$1,"mmm")&amp;"_"&amp;TEXT(AD$1,"yyyy")),MATCH(TRIM($A11),PnL_Accounts,0))</f>
        <v>5567</v>
      </c>
      <c r="AE11" s="76">
        <f t="array" ref="AE11">INDEX(INDIRECT("PnL_"&amp;TEXT(AE$1,"mmm")&amp;"_"&amp;TEXT(AE$1,"yyyy")),MATCH(TRIM($A11),PnL_Accounts,0))</f>
        <v>5567</v>
      </c>
      <c r="AF11" s="39">
        <f t="array" ref="AF11">INDEX(Hiring_Plan_Payroll_Taxes_Support,MATCH(AF$1,Hiring_Plan_Months,0))</f>
        <v>5433</v>
      </c>
      <c r="AG11" s="39">
        <f t="array" ref="AG11">INDEX(Hiring_Plan_Payroll_Taxes_Support,MATCH(AG$1,Hiring_Plan_Months,0))</f>
        <v>5433</v>
      </c>
      <c r="AH11" s="39">
        <f t="array" ref="AH11">INDEX(Hiring_Plan_Payroll_Taxes_Support,MATCH(AH$1,Hiring_Plan_Months,0))</f>
        <v>5433</v>
      </c>
      <c r="AI11" s="39">
        <f t="array" ref="AI11">INDEX(Hiring_Plan_Payroll_Taxes_Support,MATCH(AI$1,Hiring_Plan_Months,0))</f>
        <v>5433</v>
      </c>
      <c r="AJ11" s="39">
        <f t="array" ref="AJ11">INDEX(Hiring_Plan_Payroll_Taxes_Support,MATCH(AJ$1,Hiring_Plan_Months,0))</f>
        <v>5433</v>
      </c>
      <c r="AK11" s="39">
        <f t="array" ref="AK11">INDEX(Hiring_Plan_Payroll_Taxes_Support,MATCH(AK$1,Hiring_Plan_Months,0))</f>
        <v>6033</v>
      </c>
      <c r="AL11" s="39">
        <f t="array" ref="AL11">INDEX(Hiring_Plan_Payroll_Taxes_Support,MATCH(AL$1,Hiring_Plan_Months,0))</f>
        <v>6033</v>
      </c>
      <c r="AM11" s="39">
        <f t="array" ref="AM11">INDEX(Hiring_Plan_Payroll_Taxes_Support,MATCH(AM$1,Hiring_Plan_Months,0))</f>
        <v>6670.5</v>
      </c>
      <c r="AN11" s="39">
        <f t="array" ref="AN11">INDEX(Hiring_Plan_Payroll_Taxes_Support,MATCH(AN$1,Hiring_Plan_Months,0))</f>
        <v>6670.5</v>
      </c>
      <c r="AO11" s="39">
        <f t="array" ref="AO11">INDEX(Hiring_Plan_Payroll_Taxes_Support,MATCH(AO$1,Hiring_Plan_Months,0))</f>
        <v>7270.5</v>
      </c>
      <c r="AP11" s="39">
        <f t="array" ref="AP11">INDEX(Hiring_Plan_Payroll_Taxes_Support,MATCH(AP$1,Hiring_Plan_Months,0))</f>
        <v>7270.5</v>
      </c>
      <c r="AQ11" s="39">
        <f t="array" ref="AQ11">INDEX(Hiring_Plan_Payroll_Taxes_Support,MATCH(AQ$1,Hiring_Plan_Months,0))</f>
        <v>7270.5</v>
      </c>
      <c r="AR11" s="39">
        <f t="array" ref="AR11">INDEX(Hiring_Plan_Payroll_Taxes_Support,MATCH(AR$1,Hiring_Plan_Months,0))</f>
        <v>7270.5</v>
      </c>
      <c r="AS11" s="39">
        <f t="array" ref="AS11">INDEX(Hiring_Plan_Payroll_Taxes_Support,MATCH(AS$1,Hiring_Plan_Months,0))</f>
        <v>7270.5</v>
      </c>
      <c r="AT11" s="39">
        <f t="array" ref="AT11">INDEX(Hiring_Plan_Payroll_Taxes_Support,MATCH(AT$1,Hiring_Plan_Months,0))</f>
        <v>7270.5</v>
      </c>
      <c r="AU11" s="39">
        <f t="array" ref="AU11">INDEX(Hiring_Plan_Payroll_Taxes_Support,MATCH(AU$1,Hiring_Plan_Months,0))</f>
        <v>7270.5</v>
      </c>
      <c r="AV11" s="39">
        <f t="array" ref="AV11">INDEX(Hiring_Plan_Payroll_Taxes_Support,MATCH(AV$1,Hiring_Plan_Months,0))</f>
        <v>7270.5</v>
      </c>
      <c r="AW11" s="39">
        <f t="array" ref="AW11">INDEX(Hiring_Plan_Payroll_Taxes_Support,MATCH(AW$1,Hiring_Plan_Months,0))</f>
        <v>7270.5</v>
      </c>
      <c r="AX11" s="39">
        <f t="array" ref="AX11">INDEX(Hiring_Plan_Payroll_Taxes_Support,MATCH(AX$1,Hiring_Plan_Months,0))</f>
        <v>7270.5</v>
      </c>
      <c r="AY11" s="39">
        <f t="array" ref="AY11">INDEX(Hiring_Plan_Payroll_Taxes_Support,MATCH(AY$1,Hiring_Plan_Months,0))</f>
        <v>7270.5</v>
      </c>
      <c r="AZ11" s="39">
        <f t="array" ref="AZ11">INDEX(Hiring_Plan_Payroll_Taxes_Support,MATCH(AZ$1,Hiring_Plan_Months,0))</f>
        <v>7270.5</v>
      </c>
      <c r="BA11" s="39">
        <f t="array" ref="BA11">INDEX(Hiring_Plan_Payroll_Taxes_Support,MATCH(BA$1,Hiring_Plan_Months,0))</f>
        <v>7270.5</v>
      </c>
      <c r="BB11" s="39">
        <f t="array" ref="BB11">INDEX(Hiring_Plan_Payroll_Taxes_Support,MATCH(BB$1,Hiring_Plan_Months,0))</f>
        <v>7270.5</v>
      </c>
      <c r="BC11" s="39">
        <f t="array" ref="BC11">INDEX(Hiring_Plan_Payroll_Taxes_Support,MATCH(BC$1,Hiring_Plan_Months,0))</f>
        <v>7270.5</v>
      </c>
      <c r="BD11" s="39">
        <f t="array" ref="BD11">INDEX(Hiring_Plan_Payroll_Taxes_Support,MATCH(BD$1,Hiring_Plan_Months,0))</f>
        <v>7270.5</v>
      </c>
      <c r="BE11" s="39">
        <f t="array" ref="BE11">INDEX(Hiring_Plan_Payroll_Taxes_Support,MATCH(BE$1,Hiring_Plan_Months,0))</f>
        <v>7270.5</v>
      </c>
      <c r="BF11" s="39">
        <f t="array" ref="BF11">INDEX(Hiring_Plan_Payroll_Taxes_Support,MATCH(BF$1,Hiring_Plan_Months,0))</f>
        <v>7270.5</v>
      </c>
      <c r="BG11" s="39">
        <f t="array" ref="BG11">INDEX(Hiring_Plan_Payroll_Taxes_Support,MATCH(BG$1,Hiring_Plan_Months,0))</f>
        <v>7270.5</v>
      </c>
      <c r="BH11" s="39">
        <f t="array" ref="BH11">INDEX(Hiring_Plan_Payroll_Taxes_Support,MATCH(BH$1,Hiring_Plan_Months,0))</f>
        <v>7270.5</v>
      </c>
      <c r="BI11" s="39">
        <f t="array" ref="BI11">INDEX(Hiring_Plan_Payroll_Taxes_Support,MATCH(BI$1,Hiring_Plan_Months,0))</f>
        <v>7270.5</v>
      </c>
      <c r="BJ11" s="39">
        <f t="array" ref="BJ11">INDEX(Hiring_Plan_Payroll_Taxes_Support,MATCH(BJ$1,Hiring_Plan_Months,0))</f>
        <v>7270.5</v>
      </c>
      <c r="BK11" s="39">
        <f t="array" ref="BK11">INDEX(Hiring_Plan_Payroll_Taxes_Support,MATCH(BK$1,Hiring_Plan_Months,0))</f>
        <v>7270.5</v>
      </c>
      <c r="BL11" s="39">
        <f t="array" ref="BL11">INDEX(Hiring_Plan_Payroll_Taxes_Support,MATCH(BL$1,Hiring_Plan_Months,0))</f>
        <v>7270.5</v>
      </c>
      <c r="BM11" s="39">
        <f t="array" ref="BM11">INDEX(Hiring_Plan_Payroll_Taxes_Support,MATCH(BM$1,Hiring_Plan_Months,0))</f>
        <v>7270.5</v>
      </c>
      <c r="BN11" s="39">
        <f t="array" ref="BN11">INDEX(Hiring_Plan_Payroll_Taxes_Support,MATCH(BN$1,Hiring_Plan_Months,0))</f>
        <v>7270.5</v>
      </c>
      <c r="BO11" s="39">
        <f t="array" ref="BO11">INDEX(Hiring_Plan_Payroll_Taxes_Support,MATCH(BO$1,Hiring_Plan_Months,0))</f>
        <v>7270.5</v>
      </c>
      <c r="BP11" s="39">
        <f t="array" ref="BP11">INDEX(Hiring_Plan_Payroll_Taxes_Support,MATCH(BP$1,Hiring_Plan_Months,0))</f>
        <v>7270.5</v>
      </c>
      <c r="BQ11" s="39">
        <f t="array" ref="BQ11">INDEX(Hiring_Plan_Payroll_Taxes_Support,MATCH(BQ$1,Hiring_Plan_Months,0))</f>
        <v>7270.5</v>
      </c>
      <c r="BR11" s="39">
        <f t="array" ref="BR11">INDEX(Hiring_Plan_Payroll_Taxes_Support,MATCH(BR$1,Hiring_Plan_Months,0))</f>
        <v>7270.5</v>
      </c>
      <c r="BS11" s="39">
        <f t="array" ref="BS11">INDEX(Hiring_Plan_Payroll_Taxes_Support,MATCH(BS$1,Hiring_Plan_Months,0))</f>
        <v>7270.5</v>
      </c>
      <c r="BT11" s="39">
        <f t="array" ref="BT11">INDEX(Hiring_Plan_Payroll_Taxes_Support,MATCH(BT$1,Hiring_Plan_Months,0))</f>
        <v>7270.5</v>
      </c>
      <c r="BU11" s="39">
        <f t="array" ref="BU11">INDEX(Hiring_Plan_Payroll_Taxes_Support,MATCH(BU$1,Hiring_Plan_Months,0))</f>
        <v>7270.5</v>
      </c>
      <c r="BV11" s="39">
        <f t="array" ref="BV11">INDEX(Hiring_Plan_Payroll_Taxes_Support,MATCH(BV$1,Hiring_Plan_Months,0))</f>
        <v>7270.5</v>
      </c>
      <c r="BW11" s="39">
        <f t="array" ref="BW11">INDEX(Hiring_Plan_Payroll_Taxes_Support,MATCH(BW$1,Hiring_Plan_Months,0))</f>
        <v>7270.5</v>
      </c>
    </row>
    <row r="12" ht="15.75" customHeight="1">
      <c r="A12" s="1" t="s">
        <v>250</v>
      </c>
      <c r="B12" s="160">
        <f>AVERAGEIFS(12:12,$1:$1,"&gt;="&amp;DATE(YEAR(Current_Month),MONTH(Current_Month)-2,DAY(Current_Month)),$1:$1,"&lt;="&amp;EOMONTH(Current_Month,0))</f>
        <v>59501</v>
      </c>
      <c r="D12" s="76">
        <f t="array" ref="D12">INDEX(INDIRECT("PnL_"&amp;TEXT(D$1,"mmm")&amp;"_"&amp;TEXT(D$1,"yyyy")),MATCH(TRIM($A12),PnL_Accounts,0))</f>
        <v>26000</v>
      </c>
      <c r="E12" s="76">
        <f t="array" ref="E12">INDEX(INDIRECT("PnL_"&amp;TEXT(E$1,"mmm")&amp;"_"&amp;TEXT(E$1,"yyyy")),MATCH(TRIM($A12),PnL_Accounts,0))</f>
        <v>26000</v>
      </c>
      <c r="F12" s="76">
        <f t="array" ref="F12">INDEX(INDIRECT("PnL_"&amp;TEXT(F$1,"mmm")&amp;"_"&amp;TEXT(F$1,"yyyy")),MATCH(TRIM($A12),PnL_Accounts,0))</f>
        <v>26000</v>
      </c>
      <c r="G12" s="76">
        <f t="array" ref="G12">INDEX(INDIRECT("PnL_"&amp;TEXT(G$1,"mmm")&amp;"_"&amp;TEXT(G$1,"yyyy")),MATCH(TRIM($A12),PnL_Accounts,0))</f>
        <v>31200</v>
      </c>
      <c r="H12" s="76">
        <f t="array" ref="H12">INDEX(INDIRECT("PnL_"&amp;TEXT(H$1,"mmm")&amp;"_"&amp;TEXT(H$1,"yyyy")),MATCH(TRIM($A12),PnL_Accounts,0))</f>
        <v>31200</v>
      </c>
      <c r="I12" s="76">
        <f t="array" ref="I12">INDEX(INDIRECT("PnL_"&amp;TEXT(I$1,"mmm")&amp;"_"&amp;TEXT(I$1,"yyyy")),MATCH(TRIM($A12),PnL_Accounts,0))</f>
        <v>31200</v>
      </c>
      <c r="J12" s="76">
        <f t="array" ref="J12">INDEX(INDIRECT("PnL_"&amp;TEXT(J$1,"mmm")&amp;"_"&amp;TEXT(J$1,"yyyy")),MATCH(TRIM($A12),PnL_Accounts,0))</f>
        <v>36200</v>
      </c>
      <c r="K12" s="76">
        <f t="array" ref="K12">INDEX(INDIRECT("PnL_"&amp;TEXT(K$1,"mmm")&amp;"_"&amp;TEXT(K$1,"yyyy")),MATCH(TRIM($A12),PnL_Accounts,0))</f>
        <v>36200</v>
      </c>
      <c r="L12" s="76">
        <f t="array" ref="L12">INDEX(INDIRECT("PnL_"&amp;TEXT(L$1,"mmm")&amp;"_"&amp;TEXT(L$1,"yyyy")),MATCH(TRIM($A12),PnL_Accounts,0))</f>
        <v>41100</v>
      </c>
      <c r="M12" s="76">
        <f t="array" ref="M12">INDEX(INDIRECT("PnL_"&amp;TEXT(M$1,"mmm")&amp;"_"&amp;TEXT(M$1,"yyyy")),MATCH(TRIM($A12),PnL_Accounts,0))</f>
        <v>41100</v>
      </c>
      <c r="N12" s="76">
        <f t="array" ref="N12">INDEX(INDIRECT("PnL_"&amp;TEXT(N$1,"mmm")&amp;"_"&amp;TEXT(N$1,"yyyy")),MATCH(TRIM($A12),PnL_Accounts,0))</f>
        <v>41100</v>
      </c>
      <c r="O12" s="76">
        <f t="array" ref="O12">INDEX(INDIRECT("PnL_"&amp;TEXT(O$1,"mmm")&amp;"_"&amp;TEXT(O$1,"yyyy")),MATCH(TRIM($A12),PnL_Accounts,0))</f>
        <v>56300</v>
      </c>
      <c r="P12" s="76">
        <f t="array" ref="P12">INDEX(INDIRECT("PnL_"&amp;TEXT(P$1,"mmm")&amp;"_"&amp;TEXT(P$1,"yyyy")),MATCH(TRIM($A12),PnL_Accounts,0))</f>
        <v>56300</v>
      </c>
      <c r="Q12" s="76">
        <f t="array" ref="Q12">INDEX(INDIRECT("PnL_"&amp;TEXT(Q$1,"mmm")&amp;"_"&amp;TEXT(Q$1,"yyyy")),MATCH(TRIM($A12),PnL_Accounts,0))</f>
        <v>56500</v>
      </c>
      <c r="R12" s="76">
        <f t="array" ref="R12">INDEX(INDIRECT("PnL_"&amp;TEXT(R$1,"mmm")&amp;"_"&amp;TEXT(R$1,"yyyy")),MATCH(TRIM($A12),PnL_Accounts,0))</f>
        <v>56500</v>
      </c>
      <c r="S12" s="76">
        <f t="array" ref="S12">INDEX(INDIRECT("PnL_"&amp;TEXT(S$1,"mmm")&amp;"_"&amp;TEXT(S$1,"yyyy")),MATCH(TRIM($A12),PnL_Accounts,0))</f>
        <v>56500</v>
      </c>
      <c r="T12" s="76">
        <f t="array" ref="T12">INDEX(INDIRECT("PnL_"&amp;TEXT(T$1,"mmm")&amp;"_"&amp;TEXT(T$1,"yyyy")),MATCH(TRIM($A12),PnL_Accounts,0))</f>
        <v>59501</v>
      </c>
      <c r="U12" s="76">
        <f t="array" ref="U12">INDEX(INDIRECT("PnL_"&amp;TEXT(U$1,"mmm")&amp;"_"&amp;TEXT(U$1,"yyyy")),MATCH(TRIM($A12),PnL_Accounts,0))</f>
        <v>59501</v>
      </c>
      <c r="V12" s="76">
        <f t="array" ref="V12">INDEX(INDIRECT("PnL_"&amp;TEXT(V$1,"mmm")&amp;"_"&amp;TEXT(V$1,"yyyy")),MATCH(TRIM($A12),PnL_Accounts,0))</f>
        <v>59501</v>
      </c>
      <c r="W12" s="76">
        <f t="array" ref="W12">INDEX(INDIRECT("PnL_"&amp;TEXT(W$1,"mmm")&amp;"_"&amp;TEXT(W$1,"yyyy")),MATCH(TRIM($A12),PnL_Accounts,0))</f>
        <v>59501</v>
      </c>
      <c r="X12" s="76">
        <f t="array" ref="X12">INDEX(INDIRECT("PnL_"&amp;TEXT(X$1,"mmm")&amp;"_"&amp;TEXT(X$1,"yyyy")),MATCH(TRIM($A12),PnL_Accounts,0))</f>
        <v>59501</v>
      </c>
      <c r="Y12" s="76">
        <f t="array" ref="Y12">INDEX(INDIRECT("PnL_"&amp;TEXT(Y$1,"mmm")&amp;"_"&amp;TEXT(Y$1,"yyyy")),MATCH(TRIM($A12),PnL_Accounts,0))</f>
        <v>59501</v>
      </c>
      <c r="Z12" s="76">
        <f t="array" ref="Z12">INDEX(INDIRECT("PnL_"&amp;TEXT(Z$1,"mmm")&amp;"_"&amp;TEXT(Z$1,"yyyy")),MATCH(TRIM($A12),PnL_Accounts,0))</f>
        <v>59501</v>
      </c>
      <c r="AA12" s="76">
        <f t="array" ref="AA12">INDEX(INDIRECT("PnL_"&amp;TEXT(AA$1,"mmm")&amp;"_"&amp;TEXT(AA$1,"yyyy")),MATCH(TRIM($A12),PnL_Accounts,0))</f>
        <v>59501</v>
      </c>
      <c r="AB12" s="76">
        <f t="array" ref="AB12">INDEX(INDIRECT("PnL_"&amp;TEXT(AB$1,"mmm")&amp;"_"&amp;TEXT(AB$1,"yyyy")),MATCH(TRIM($A12),PnL_Accounts,0))</f>
        <v>59501</v>
      </c>
      <c r="AC12" s="76">
        <f t="array" ref="AC12">INDEX(INDIRECT("PnL_"&amp;TEXT(AC$1,"mmm")&amp;"_"&amp;TEXT(AC$1,"yyyy")),MATCH(TRIM($A12),PnL_Accounts,0))</f>
        <v>59501</v>
      </c>
      <c r="AD12" s="76">
        <f t="array" ref="AD12">INDEX(INDIRECT("PnL_"&amp;TEXT(AD$1,"mmm")&amp;"_"&amp;TEXT(AD$1,"yyyy")),MATCH(TRIM($A12),PnL_Accounts,0))</f>
        <v>59501</v>
      </c>
      <c r="AE12" s="76">
        <f t="array" ref="AE12">INDEX(INDIRECT("PnL_"&amp;TEXT(AE$1,"mmm")&amp;"_"&amp;TEXT(AE$1,"yyyy")),MATCH(TRIM($A12),PnL_Accounts,0))</f>
        <v>59501</v>
      </c>
      <c r="AF12" s="39">
        <f t="array" ref="AF12">INDEX(Hiring_Plan_Salaries_Support,MATCH(AF$1,Hiring_Plan_Months,0))</f>
        <v>60366.66667</v>
      </c>
      <c r="AG12" s="39">
        <f t="array" ref="AG12">INDEX(Hiring_Plan_Salaries_Support,MATCH(AG$1,Hiring_Plan_Months,0))</f>
        <v>60366.66667</v>
      </c>
      <c r="AH12" s="39">
        <f t="array" ref="AH12">INDEX(Hiring_Plan_Salaries_Support,MATCH(AH$1,Hiring_Plan_Months,0))</f>
        <v>60366.66667</v>
      </c>
      <c r="AI12" s="39">
        <f t="array" ref="AI12">INDEX(Hiring_Plan_Salaries_Support,MATCH(AI$1,Hiring_Plan_Months,0))</f>
        <v>60366.66667</v>
      </c>
      <c r="AJ12" s="39">
        <f t="array" ref="AJ12">INDEX(Hiring_Plan_Salaries_Support,MATCH(AJ$1,Hiring_Plan_Months,0))</f>
        <v>60366.66667</v>
      </c>
      <c r="AK12" s="39">
        <f t="array" ref="AK12">INDEX(Hiring_Plan_Salaries_Support,MATCH(AK$1,Hiring_Plan_Months,0))</f>
        <v>67033.33333</v>
      </c>
      <c r="AL12" s="39">
        <f t="array" ref="AL12">INDEX(Hiring_Plan_Salaries_Support,MATCH(AL$1,Hiring_Plan_Months,0))</f>
        <v>67033.33333</v>
      </c>
      <c r="AM12" s="39">
        <f t="array" ref="AM12">INDEX(Hiring_Plan_Salaries_Support,MATCH(AM$1,Hiring_Plan_Months,0))</f>
        <v>74116.66667</v>
      </c>
      <c r="AN12" s="39">
        <f t="array" ref="AN12">INDEX(Hiring_Plan_Salaries_Support,MATCH(AN$1,Hiring_Plan_Months,0))</f>
        <v>74116.66667</v>
      </c>
      <c r="AO12" s="39">
        <f t="array" ref="AO12">INDEX(Hiring_Plan_Salaries_Support,MATCH(AO$1,Hiring_Plan_Months,0))</f>
        <v>80783.33333</v>
      </c>
      <c r="AP12" s="39">
        <f t="array" ref="AP12">INDEX(Hiring_Plan_Salaries_Support,MATCH(AP$1,Hiring_Plan_Months,0))</f>
        <v>80783.33333</v>
      </c>
      <c r="AQ12" s="39">
        <f t="array" ref="AQ12">INDEX(Hiring_Plan_Salaries_Support,MATCH(AQ$1,Hiring_Plan_Months,0))</f>
        <v>80783.33333</v>
      </c>
      <c r="AR12" s="39">
        <f t="array" ref="AR12">INDEX(Hiring_Plan_Salaries_Support,MATCH(AR$1,Hiring_Plan_Months,0))</f>
        <v>80783.33333</v>
      </c>
      <c r="AS12" s="39">
        <f t="array" ref="AS12">INDEX(Hiring_Plan_Salaries_Support,MATCH(AS$1,Hiring_Plan_Months,0))</f>
        <v>80783.33333</v>
      </c>
      <c r="AT12" s="39">
        <f t="array" ref="AT12">INDEX(Hiring_Plan_Salaries_Support,MATCH(AT$1,Hiring_Plan_Months,0))</f>
        <v>80783.33333</v>
      </c>
      <c r="AU12" s="39">
        <f t="array" ref="AU12">INDEX(Hiring_Plan_Salaries_Support,MATCH(AU$1,Hiring_Plan_Months,0))</f>
        <v>80783.33333</v>
      </c>
      <c r="AV12" s="39">
        <f t="array" ref="AV12">INDEX(Hiring_Plan_Salaries_Support,MATCH(AV$1,Hiring_Plan_Months,0))</f>
        <v>80783.33333</v>
      </c>
      <c r="AW12" s="39">
        <f t="array" ref="AW12">INDEX(Hiring_Plan_Salaries_Support,MATCH(AW$1,Hiring_Plan_Months,0))</f>
        <v>80783.33333</v>
      </c>
      <c r="AX12" s="39">
        <f t="array" ref="AX12">INDEX(Hiring_Plan_Salaries_Support,MATCH(AX$1,Hiring_Plan_Months,0))</f>
        <v>80783.33333</v>
      </c>
      <c r="AY12" s="39">
        <f t="array" ref="AY12">INDEX(Hiring_Plan_Salaries_Support,MATCH(AY$1,Hiring_Plan_Months,0))</f>
        <v>80783.33333</v>
      </c>
      <c r="AZ12" s="39">
        <f t="array" ref="AZ12">INDEX(Hiring_Plan_Salaries_Support,MATCH(AZ$1,Hiring_Plan_Months,0))</f>
        <v>80783.33333</v>
      </c>
      <c r="BA12" s="39">
        <f t="array" ref="BA12">INDEX(Hiring_Plan_Salaries_Support,MATCH(BA$1,Hiring_Plan_Months,0))</f>
        <v>80783.33333</v>
      </c>
      <c r="BB12" s="39">
        <f t="array" ref="BB12">INDEX(Hiring_Plan_Salaries_Support,MATCH(BB$1,Hiring_Plan_Months,0))</f>
        <v>80783.33333</v>
      </c>
      <c r="BC12" s="39">
        <f t="array" ref="BC12">INDEX(Hiring_Plan_Salaries_Support,MATCH(BC$1,Hiring_Plan_Months,0))</f>
        <v>80783.33333</v>
      </c>
      <c r="BD12" s="39">
        <f t="array" ref="BD12">INDEX(Hiring_Plan_Salaries_Support,MATCH(BD$1,Hiring_Plan_Months,0))</f>
        <v>80783.33333</v>
      </c>
      <c r="BE12" s="39">
        <f t="array" ref="BE12">INDEX(Hiring_Plan_Salaries_Support,MATCH(BE$1,Hiring_Plan_Months,0))</f>
        <v>80783.33333</v>
      </c>
      <c r="BF12" s="39">
        <f t="array" ref="BF12">INDEX(Hiring_Plan_Salaries_Support,MATCH(BF$1,Hiring_Plan_Months,0))</f>
        <v>80783.33333</v>
      </c>
      <c r="BG12" s="39">
        <f t="array" ref="BG12">INDEX(Hiring_Plan_Salaries_Support,MATCH(BG$1,Hiring_Plan_Months,0))</f>
        <v>80783.33333</v>
      </c>
      <c r="BH12" s="39">
        <f t="array" ref="BH12">INDEX(Hiring_Plan_Salaries_Support,MATCH(BH$1,Hiring_Plan_Months,0))</f>
        <v>80783.33333</v>
      </c>
      <c r="BI12" s="39">
        <f t="array" ref="BI12">INDEX(Hiring_Plan_Salaries_Support,MATCH(BI$1,Hiring_Plan_Months,0))</f>
        <v>80783.33333</v>
      </c>
      <c r="BJ12" s="39">
        <f t="array" ref="BJ12">INDEX(Hiring_Plan_Salaries_Support,MATCH(BJ$1,Hiring_Plan_Months,0))</f>
        <v>80783.33333</v>
      </c>
      <c r="BK12" s="39">
        <f t="array" ref="BK12">INDEX(Hiring_Plan_Salaries_Support,MATCH(BK$1,Hiring_Plan_Months,0))</f>
        <v>80783.33333</v>
      </c>
      <c r="BL12" s="39">
        <f t="array" ref="BL12">INDEX(Hiring_Plan_Salaries_Support,MATCH(BL$1,Hiring_Plan_Months,0))</f>
        <v>80783.33333</v>
      </c>
      <c r="BM12" s="39">
        <f t="array" ref="BM12">INDEX(Hiring_Plan_Salaries_Support,MATCH(BM$1,Hiring_Plan_Months,0))</f>
        <v>80783.33333</v>
      </c>
      <c r="BN12" s="39">
        <f t="array" ref="BN12">INDEX(Hiring_Plan_Salaries_Support,MATCH(BN$1,Hiring_Plan_Months,0))</f>
        <v>80783.33333</v>
      </c>
      <c r="BO12" s="39">
        <f t="array" ref="BO12">INDEX(Hiring_Plan_Salaries_Support,MATCH(BO$1,Hiring_Plan_Months,0))</f>
        <v>80783.33333</v>
      </c>
      <c r="BP12" s="39">
        <f t="array" ref="BP12">INDEX(Hiring_Plan_Salaries_Support,MATCH(BP$1,Hiring_Plan_Months,0))</f>
        <v>80783.33333</v>
      </c>
      <c r="BQ12" s="39">
        <f t="array" ref="BQ12">INDEX(Hiring_Plan_Salaries_Support,MATCH(BQ$1,Hiring_Plan_Months,0))</f>
        <v>80783.33333</v>
      </c>
      <c r="BR12" s="39">
        <f t="array" ref="BR12">INDEX(Hiring_Plan_Salaries_Support,MATCH(BR$1,Hiring_Plan_Months,0))</f>
        <v>80783.33333</v>
      </c>
      <c r="BS12" s="39">
        <f t="array" ref="BS12">INDEX(Hiring_Plan_Salaries_Support,MATCH(BS$1,Hiring_Plan_Months,0))</f>
        <v>80783.33333</v>
      </c>
      <c r="BT12" s="39">
        <f t="array" ref="BT12">INDEX(Hiring_Plan_Salaries_Support,MATCH(BT$1,Hiring_Plan_Months,0))</f>
        <v>80783.33333</v>
      </c>
      <c r="BU12" s="39">
        <f t="array" ref="BU12">INDEX(Hiring_Plan_Salaries_Support,MATCH(BU$1,Hiring_Plan_Months,0))</f>
        <v>80783.33333</v>
      </c>
      <c r="BV12" s="39">
        <f t="array" ref="BV12">INDEX(Hiring_Plan_Salaries_Support,MATCH(BV$1,Hiring_Plan_Months,0))</f>
        <v>80783.33333</v>
      </c>
      <c r="BW12" s="39">
        <f t="array" ref="BW12">INDEX(Hiring_Plan_Salaries_Support,MATCH(BW$1,Hiring_Plan_Months,0))</f>
        <v>80783.33333</v>
      </c>
    </row>
    <row r="13" ht="15.75" customHeight="1">
      <c r="A13" s="21" t="s">
        <v>251</v>
      </c>
      <c r="B13" s="163"/>
      <c r="C13" s="21"/>
      <c r="D13" s="157">
        <f t="shared" ref="D13:BW13" si="3">SUM(D9:D12)</f>
        <v>29325</v>
      </c>
      <c r="E13" s="157">
        <f t="shared" si="3"/>
        <v>29325</v>
      </c>
      <c r="F13" s="157">
        <f t="shared" si="3"/>
        <v>29325</v>
      </c>
      <c r="G13" s="157">
        <f t="shared" si="3"/>
        <v>35190</v>
      </c>
      <c r="H13" s="157">
        <f t="shared" si="3"/>
        <v>35190</v>
      </c>
      <c r="I13" s="157">
        <f t="shared" si="3"/>
        <v>35190</v>
      </c>
      <c r="J13" s="157">
        <f t="shared" si="3"/>
        <v>40837</v>
      </c>
      <c r="K13" s="157">
        <f t="shared" si="3"/>
        <v>40837</v>
      </c>
      <c r="L13" s="157">
        <f t="shared" si="3"/>
        <v>46375</v>
      </c>
      <c r="M13" s="157">
        <f t="shared" si="3"/>
        <v>46375</v>
      </c>
      <c r="N13" s="157">
        <f t="shared" si="3"/>
        <v>46375</v>
      </c>
      <c r="O13" s="157">
        <f t="shared" si="3"/>
        <v>63140</v>
      </c>
      <c r="P13" s="157">
        <f t="shared" si="3"/>
        <v>63140</v>
      </c>
      <c r="Q13" s="157">
        <f t="shared" si="3"/>
        <v>63340</v>
      </c>
      <c r="R13" s="157">
        <f t="shared" si="3"/>
        <v>63340</v>
      </c>
      <c r="S13" s="157">
        <f t="shared" si="3"/>
        <v>64340</v>
      </c>
      <c r="T13" s="157">
        <f t="shared" si="3"/>
        <v>68041</v>
      </c>
      <c r="U13" s="157">
        <f t="shared" si="3"/>
        <v>68041</v>
      </c>
      <c r="V13" s="157">
        <f t="shared" si="3"/>
        <v>68041</v>
      </c>
      <c r="W13" s="157">
        <f t="shared" si="3"/>
        <v>68041</v>
      </c>
      <c r="X13" s="157">
        <f t="shared" si="3"/>
        <v>68041</v>
      </c>
      <c r="Y13" s="157">
        <f t="shared" si="3"/>
        <v>68041</v>
      </c>
      <c r="Z13" s="157">
        <f t="shared" si="3"/>
        <v>68041</v>
      </c>
      <c r="AA13" s="157">
        <f t="shared" si="3"/>
        <v>68041</v>
      </c>
      <c r="AB13" s="157">
        <f t="shared" si="3"/>
        <v>68041</v>
      </c>
      <c r="AC13" s="157">
        <f t="shared" si="3"/>
        <v>68041</v>
      </c>
      <c r="AD13" s="157">
        <f t="shared" si="3"/>
        <v>68041</v>
      </c>
      <c r="AE13" s="157">
        <f t="shared" si="3"/>
        <v>68041</v>
      </c>
      <c r="AF13" s="157">
        <f t="shared" si="3"/>
        <v>68982.33333</v>
      </c>
      <c r="AG13" s="157">
        <f t="shared" si="3"/>
        <v>68982.33333</v>
      </c>
      <c r="AH13" s="157">
        <f t="shared" si="3"/>
        <v>68982.33333</v>
      </c>
      <c r="AI13" s="157">
        <f t="shared" si="3"/>
        <v>68982.33333</v>
      </c>
      <c r="AJ13" s="157">
        <f t="shared" si="3"/>
        <v>68982.33333</v>
      </c>
      <c r="AK13" s="157">
        <f t="shared" si="3"/>
        <v>77015.66667</v>
      </c>
      <c r="AL13" s="157">
        <f t="shared" si="3"/>
        <v>77015.66667</v>
      </c>
      <c r="AM13" s="157">
        <f t="shared" si="3"/>
        <v>85519.83333</v>
      </c>
      <c r="AN13" s="157">
        <f t="shared" si="3"/>
        <v>85519.83333</v>
      </c>
      <c r="AO13" s="157">
        <f t="shared" si="3"/>
        <v>93553.16667</v>
      </c>
      <c r="AP13" s="157">
        <f t="shared" si="3"/>
        <v>93553.16667</v>
      </c>
      <c r="AQ13" s="157">
        <f t="shared" si="3"/>
        <v>93553.16667</v>
      </c>
      <c r="AR13" s="157">
        <f t="shared" si="3"/>
        <v>93553.16667</v>
      </c>
      <c r="AS13" s="157">
        <f t="shared" si="3"/>
        <v>93553.16667</v>
      </c>
      <c r="AT13" s="157">
        <f t="shared" si="3"/>
        <v>93553.16667</v>
      </c>
      <c r="AU13" s="157">
        <f t="shared" si="3"/>
        <v>93553.16667</v>
      </c>
      <c r="AV13" s="157">
        <f t="shared" si="3"/>
        <v>93553.16667</v>
      </c>
      <c r="AW13" s="157">
        <f t="shared" si="3"/>
        <v>93553.16667</v>
      </c>
      <c r="AX13" s="157">
        <f t="shared" si="3"/>
        <v>93553.16667</v>
      </c>
      <c r="AY13" s="157">
        <f t="shared" si="3"/>
        <v>93553.16667</v>
      </c>
      <c r="AZ13" s="157">
        <f t="shared" si="3"/>
        <v>93553.16667</v>
      </c>
      <c r="BA13" s="157">
        <f t="shared" si="3"/>
        <v>93553.16667</v>
      </c>
      <c r="BB13" s="157">
        <f t="shared" si="3"/>
        <v>93553.16667</v>
      </c>
      <c r="BC13" s="157">
        <f t="shared" si="3"/>
        <v>93553.16667</v>
      </c>
      <c r="BD13" s="157">
        <f t="shared" si="3"/>
        <v>93553.16667</v>
      </c>
      <c r="BE13" s="157">
        <f t="shared" si="3"/>
        <v>93553.16667</v>
      </c>
      <c r="BF13" s="157">
        <f t="shared" si="3"/>
        <v>93553.16667</v>
      </c>
      <c r="BG13" s="157">
        <f t="shared" si="3"/>
        <v>93553.16667</v>
      </c>
      <c r="BH13" s="157">
        <f t="shared" si="3"/>
        <v>93553.16667</v>
      </c>
      <c r="BI13" s="157">
        <f t="shared" si="3"/>
        <v>93553.16667</v>
      </c>
      <c r="BJ13" s="157">
        <f t="shared" si="3"/>
        <v>93553.16667</v>
      </c>
      <c r="BK13" s="157">
        <f t="shared" si="3"/>
        <v>93553.16667</v>
      </c>
      <c r="BL13" s="157">
        <f t="shared" si="3"/>
        <v>93553.16667</v>
      </c>
      <c r="BM13" s="157">
        <f t="shared" si="3"/>
        <v>93553.16667</v>
      </c>
      <c r="BN13" s="157">
        <f t="shared" si="3"/>
        <v>93553.16667</v>
      </c>
      <c r="BO13" s="157">
        <f t="shared" si="3"/>
        <v>93553.16667</v>
      </c>
      <c r="BP13" s="157">
        <f t="shared" si="3"/>
        <v>93553.16667</v>
      </c>
      <c r="BQ13" s="157">
        <f t="shared" si="3"/>
        <v>93553.16667</v>
      </c>
      <c r="BR13" s="157">
        <f t="shared" si="3"/>
        <v>93553.16667</v>
      </c>
      <c r="BS13" s="157">
        <f t="shared" si="3"/>
        <v>93553.16667</v>
      </c>
      <c r="BT13" s="157">
        <f t="shared" si="3"/>
        <v>93553.16667</v>
      </c>
      <c r="BU13" s="157">
        <f t="shared" si="3"/>
        <v>93553.16667</v>
      </c>
      <c r="BV13" s="157">
        <f t="shared" si="3"/>
        <v>93553.16667</v>
      </c>
      <c r="BW13" s="157">
        <f t="shared" si="3"/>
        <v>93553.16667</v>
      </c>
    </row>
    <row r="14" ht="15.75" customHeight="1">
      <c r="A14" s="1" t="s">
        <v>252</v>
      </c>
      <c r="B14" s="164">
        <f>AVERAGEIFS(14:14,$1:$1,"&gt;="&amp;DATE(YEAR(Current_Month),MONTH(Current_Month)-2,DAY(Current_Month)),$1:$1,"&lt;="&amp;EOMONTH(Current_Month,0))/AVERAGEIFS(Oper_Model_Revenue,$1:$1,"&gt;="&amp;DATE(YEAR(Current_Month),MONTH(Current_Month)-2,DAY(Current_Month)),$1:$1,"&lt;="&amp;EOMONTH(Current_Month,0))</f>
        <v>0.009057449728</v>
      </c>
      <c r="D14" s="76">
        <f t="array" ref="D14">INDEX(INDIRECT("PnL_"&amp;TEXT(D$1,"mmm")&amp;"_"&amp;TEXT(D$1,"yyyy")),MATCH(TRIM($A14),PnL_Accounts,0))</f>
        <v>4958</v>
      </c>
      <c r="E14" s="76">
        <f t="array" ref="E14">INDEX(INDIRECT("PnL_"&amp;TEXT(E$1,"mmm")&amp;"_"&amp;TEXT(E$1,"yyyy")),MATCH(TRIM($A14),PnL_Accounts,0))</f>
        <v>5068</v>
      </c>
      <c r="F14" s="76">
        <f t="array" ref="F14">INDEX(INDIRECT("PnL_"&amp;TEXT(F$1,"mmm")&amp;"_"&amp;TEXT(F$1,"yyyy")),MATCH(TRIM($A14),PnL_Accounts,0))</f>
        <v>5152</v>
      </c>
      <c r="G14" s="76">
        <f t="array" ref="G14">INDEX(INDIRECT("PnL_"&amp;TEXT(G$1,"mmm")&amp;"_"&amp;TEXT(G$1,"yyyy")),MATCH(TRIM($A14),PnL_Accounts,0))</f>
        <v>5195</v>
      </c>
      <c r="H14" s="76">
        <f t="array" ref="H14">INDEX(INDIRECT("PnL_"&amp;TEXT(H$1,"mmm")&amp;"_"&amp;TEXT(H$1,"yyyy")),MATCH(TRIM($A14),PnL_Accounts,0))</f>
        <v>5317</v>
      </c>
      <c r="I14" s="76">
        <f t="array" ref="I14">INDEX(INDIRECT("PnL_"&amp;TEXT(I$1,"mmm")&amp;"_"&amp;TEXT(I$1,"yyyy")),MATCH(TRIM($A14),PnL_Accounts,0))</f>
        <v>5443</v>
      </c>
      <c r="J14" s="76">
        <f t="array" ref="J14">INDEX(INDIRECT("PnL_"&amp;TEXT(J$1,"mmm")&amp;"_"&amp;TEXT(J$1,"yyyy")),MATCH(TRIM($A14),PnL_Accounts,0))</f>
        <v>5525</v>
      </c>
      <c r="K14" s="76">
        <f t="array" ref="K14">INDEX(INDIRECT("PnL_"&amp;TEXT(K$1,"mmm")&amp;"_"&amp;TEXT(K$1,"yyyy")),MATCH(TRIM($A14),PnL_Accounts,0))</f>
        <v>5460</v>
      </c>
      <c r="L14" s="76">
        <f t="array" ref="L14">INDEX(INDIRECT("PnL_"&amp;TEXT(L$1,"mmm")&amp;"_"&amp;TEXT(L$1,"yyyy")),MATCH(TRIM($A14),PnL_Accounts,0))</f>
        <v>5320</v>
      </c>
      <c r="M14" s="76">
        <f t="array" ref="M14">INDEX(INDIRECT("PnL_"&amp;TEXT(M$1,"mmm")&amp;"_"&amp;TEXT(M$1,"yyyy")),MATCH(TRIM($A14),PnL_Accounts,0))</f>
        <v>5497</v>
      </c>
      <c r="N14" s="76">
        <f t="array" ref="N14">INDEX(INDIRECT("PnL_"&amp;TEXT(N$1,"mmm")&amp;"_"&amp;TEXT(N$1,"yyyy")),MATCH(TRIM($A14),PnL_Accounts,0))</f>
        <v>5687</v>
      </c>
      <c r="O14" s="76">
        <f t="array" ref="O14">INDEX(INDIRECT("PnL_"&amp;TEXT(O$1,"mmm")&amp;"_"&amp;TEXT(O$1,"yyyy")),MATCH(TRIM($A14),PnL_Accounts,0))</f>
        <v>5824</v>
      </c>
      <c r="P14" s="76">
        <f t="array" ref="P14">INDEX(INDIRECT("PnL_"&amp;TEXT(P$1,"mmm")&amp;"_"&amp;TEXT(P$1,"yyyy")),MATCH(TRIM($A14),PnL_Accounts,0))</f>
        <v>4830</v>
      </c>
      <c r="Q14" s="76">
        <f t="array" ref="Q14">INDEX(INDIRECT("PnL_"&amp;TEXT(Q$1,"mmm")&amp;"_"&amp;TEXT(Q$1,"yyyy")),MATCH(TRIM($A14),PnL_Accounts,0))</f>
        <v>6476</v>
      </c>
      <c r="R14" s="76">
        <f t="array" ref="R14">INDEX(INDIRECT("PnL_"&amp;TEXT(R$1,"mmm")&amp;"_"&amp;TEXT(R$1,"yyyy")),MATCH(TRIM($A14),PnL_Accounts,0))</f>
        <v>6788</v>
      </c>
      <c r="S14" s="76">
        <f t="array" ref="S14">INDEX(INDIRECT("PnL_"&amp;TEXT(S$1,"mmm")&amp;"_"&amp;TEXT(S$1,"yyyy")),MATCH(TRIM($A14),PnL_Accounts,0))</f>
        <v>6788</v>
      </c>
      <c r="T14" s="76">
        <f t="array" ref="T14">INDEX(INDIRECT("PnL_"&amp;TEXT(T$1,"mmm")&amp;"_"&amp;TEXT(T$1,"yyyy")),MATCH(TRIM($A14),PnL_Accounts,0))</f>
        <v>7214</v>
      </c>
      <c r="U14" s="76">
        <f t="array" ref="U14">INDEX(INDIRECT("PnL_"&amp;TEXT(U$1,"mmm")&amp;"_"&amp;TEXT(U$1,"yyyy")),MATCH(TRIM($A14),PnL_Accounts,0))</f>
        <v>7433</v>
      </c>
      <c r="V14" s="76">
        <f t="array" ref="V14">INDEX(INDIRECT("PnL_"&amp;TEXT(V$1,"mmm")&amp;"_"&amp;TEXT(V$1,"yyyy")),MATCH(TRIM($A14),PnL_Accounts,0))</f>
        <v>7296</v>
      </c>
      <c r="W14" s="76">
        <f t="array" ref="W14">INDEX(INDIRECT("PnL_"&amp;TEXT(W$1,"mmm")&amp;"_"&amp;TEXT(W$1,"yyyy")),MATCH(TRIM($A14),PnL_Accounts,0))</f>
        <v>7521</v>
      </c>
      <c r="X14" s="76">
        <f t="array" ref="X14">INDEX(INDIRECT("PnL_"&amp;TEXT(X$1,"mmm")&amp;"_"&amp;TEXT(X$1,"yyyy")),MATCH(TRIM($A14),PnL_Accounts,0))</f>
        <v>7521</v>
      </c>
      <c r="Y14" s="76">
        <f t="array" ref="Y14">INDEX(INDIRECT("PnL_"&amp;TEXT(Y$1,"mmm")&amp;"_"&amp;TEXT(Y$1,"yyyy")),MATCH(TRIM($A14),PnL_Accounts,0))</f>
        <v>7521</v>
      </c>
      <c r="Z14" s="76">
        <f t="array" ref="Z14">INDEX(INDIRECT("PnL_"&amp;TEXT(Z$1,"mmm")&amp;"_"&amp;TEXT(Z$1,"yyyy")),MATCH(TRIM($A14),PnL_Accounts,0))</f>
        <v>7599</v>
      </c>
      <c r="AA14" s="76">
        <f t="array" ref="AA14">INDEX(INDIRECT("PnL_"&amp;TEXT(AA$1,"mmm")&amp;"_"&amp;TEXT(AA$1,"yyyy")),MATCH(TRIM($A14),PnL_Accounts,0))</f>
        <v>8976</v>
      </c>
      <c r="AB14" s="76">
        <f t="array" ref="AB14">INDEX(INDIRECT("PnL_"&amp;TEXT(AB$1,"mmm")&amp;"_"&amp;TEXT(AB$1,"yyyy")),MATCH(TRIM($A14),PnL_Accounts,0))</f>
        <v>8976</v>
      </c>
      <c r="AC14" s="76">
        <f t="array" ref="AC14">INDEX(INDIRECT("PnL_"&amp;TEXT(AC$1,"mmm")&amp;"_"&amp;TEXT(AC$1,"yyyy")),MATCH(TRIM($A14),PnL_Accounts,0))</f>
        <v>8155</v>
      </c>
      <c r="AD14" s="76">
        <f t="array" ref="AD14">INDEX(INDIRECT("PnL_"&amp;TEXT(AD$1,"mmm")&amp;"_"&amp;TEXT(AD$1,"yyyy")),MATCH(TRIM($A14),PnL_Accounts,0))</f>
        <v>7155</v>
      </c>
      <c r="AE14" s="76">
        <f t="array" ref="AE14">INDEX(INDIRECT("PnL_"&amp;TEXT(AE$1,"mmm")&amp;"_"&amp;TEXT(AE$1,"yyyy")),MATCH(TRIM($A14),PnL_Accounts,0))</f>
        <v>6974</v>
      </c>
      <c r="AF14" s="76">
        <f t="shared" ref="AF14:BW14" si="4">$B14*AF$5</f>
        <v>7067.975723</v>
      </c>
      <c r="AG14" s="76">
        <f t="shared" si="4"/>
        <v>7036.179269</v>
      </c>
      <c r="AH14" s="76">
        <f t="shared" si="4"/>
        <v>7103.82572</v>
      </c>
      <c r="AI14" s="76">
        <f t="shared" si="4"/>
        <v>7194.061668</v>
      </c>
      <c r="AJ14" s="76">
        <f t="shared" si="4"/>
        <v>7340.582209</v>
      </c>
      <c r="AK14" s="76">
        <f t="shared" si="4"/>
        <v>7507.207824</v>
      </c>
      <c r="AL14" s="76">
        <f t="shared" si="4"/>
        <v>7664.426829</v>
      </c>
      <c r="AM14" s="76">
        <f t="shared" si="4"/>
        <v>7830.845623</v>
      </c>
      <c r="AN14" s="76">
        <f t="shared" si="4"/>
        <v>7996.278758</v>
      </c>
      <c r="AO14" s="76">
        <f t="shared" si="4"/>
        <v>8172.053219</v>
      </c>
      <c r="AP14" s="76">
        <f t="shared" si="4"/>
        <v>8346.378447</v>
      </c>
      <c r="AQ14" s="76">
        <f t="shared" si="4"/>
        <v>8530.839842</v>
      </c>
      <c r="AR14" s="76">
        <f t="shared" si="4"/>
        <v>8725.31956</v>
      </c>
      <c r="AS14" s="76">
        <f t="shared" si="4"/>
        <v>8918.379594</v>
      </c>
      <c r="AT14" s="76">
        <f t="shared" si="4"/>
        <v>9121.390333</v>
      </c>
      <c r="AU14" s="76">
        <f t="shared" si="4"/>
        <v>9322.961162</v>
      </c>
      <c r="AV14" s="76">
        <f t="shared" si="4"/>
        <v>9534.39709</v>
      </c>
      <c r="AW14" s="76">
        <f t="shared" si="4"/>
        <v>9755.636647</v>
      </c>
      <c r="AX14" s="76">
        <f t="shared" si="4"/>
        <v>9975.302728</v>
      </c>
      <c r="AY14" s="76">
        <f t="shared" si="4"/>
        <v>10204.70906</v>
      </c>
      <c r="AZ14" s="76">
        <f t="shared" si="4"/>
        <v>10510.85033</v>
      </c>
      <c r="BA14" s="76">
        <f t="shared" si="4"/>
        <v>10826.17584</v>
      </c>
      <c r="BB14" s="76">
        <f t="shared" si="4"/>
        <v>11150.96112</v>
      </c>
      <c r="BC14" s="76">
        <f t="shared" si="4"/>
        <v>11485.48995</v>
      </c>
      <c r="BD14" s="76">
        <f t="shared" si="4"/>
        <v>11830.05465</v>
      </c>
      <c r="BE14" s="76">
        <f t="shared" si="4"/>
        <v>12184.95629</v>
      </c>
      <c r="BF14" s="76">
        <f t="shared" si="4"/>
        <v>12550.50498</v>
      </c>
      <c r="BG14" s="76">
        <f t="shared" si="4"/>
        <v>12927.02013</v>
      </c>
      <c r="BH14" s="76">
        <f t="shared" si="4"/>
        <v>13314.83073</v>
      </c>
      <c r="BI14" s="76">
        <f t="shared" si="4"/>
        <v>13714.27565</v>
      </c>
      <c r="BJ14" s="76">
        <f t="shared" si="4"/>
        <v>14125.70392</v>
      </c>
      <c r="BK14" s="76">
        <f t="shared" si="4"/>
        <v>14549.47504</v>
      </c>
      <c r="BL14" s="76">
        <f t="shared" si="4"/>
        <v>14985.95929</v>
      </c>
      <c r="BM14" s="76">
        <f t="shared" si="4"/>
        <v>15435.53807</v>
      </c>
      <c r="BN14" s="76">
        <f t="shared" si="4"/>
        <v>15898.60421</v>
      </c>
      <c r="BO14" s="76">
        <f t="shared" si="4"/>
        <v>16375.56234</v>
      </c>
      <c r="BP14" s="76">
        <f t="shared" si="4"/>
        <v>16866.82921</v>
      </c>
      <c r="BQ14" s="76">
        <f t="shared" si="4"/>
        <v>17372.83408</v>
      </c>
      <c r="BR14" s="76">
        <f t="shared" si="4"/>
        <v>17894.01911</v>
      </c>
      <c r="BS14" s="76">
        <f t="shared" si="4"/>
        <v>18430.83968</v>
      </c>
      <c r="BT14" s="76">
        <f t="shared" si="4"/>
        <v>18983.76487</v>
      </c>
      <c r="BU14" s="76">
        <f t="shared" si="4"/>
        <v>19553.27782</v>
      </c>
      <c r="BV14" s="76">
        <f t="shared" si="4"/>
        <v>20139.87615</v>
      </c>
      <c r="BW14" s="76">
        <f t="shared" si="4"/>
        <v>20744.07244</v>
      </c>
    </row>
    <row r="15" ht="15.75" customHeight="1">
      <c r="A15" s="21" t="s">
        <v>253</v>
      </c>
      <c r="B15" s="163"/>
      <c r="C15" s="21"/>
      <c r="D15" s="157">
        <f t="shared" ref="D15:BW15" si="5">SUM(D14,D13)</f>
        <v>34283</v>
      </c>
      <c r="E15" s="157">
        <f t="shared" si="5"/>
        <v>34393</v>
      </c>
      <c r="F15" s="157">
        <f t="shared" si="5"/>
        <v>34477</v>
      </c>
      <c r="G15" s="157">
        <f t="shared" si="5"/>
        <v>40385</v>
      </c>
      <c r="H15" s="157">
        <f t="shared" si="5"/>
        <v>40507</v>
      </c>
      <c r="I15" s="157">
        <f t="shared" si="5"/>
        <v>40633</v>
      </c>
      <c r="J15" s="157">
        <f t="shared" si="5"/>
        <v>46362</v>
      </c>
      <c r="K15" s="157">
        <f t="shared" si="5"/>
        <v>46297</v>
      </c>
      <c r="L15" s="157">
        <f t="shared" si="5"/>
        <v>51695</v>
      </c>
      <c r="M15" s="157">
        <f t="shared" si="5"/>
        <v>51872</v>
      </c>
      <c r="N15" s="157">
        <f t="shared" si="5"/>
        <v>52062</v>
      </c>
      <c r="O15" s="157">
        <f t="shared" si="5"/>
        <v>68964</v>
      </c>
      <c r="P15" s="157">
        <f t="shared" si="5"/>
        <v>67970</v>
      </c>
      <c r="Q15" s="157">
        <f t="shared" si="5"/>
        <v>69816</v>
      </c>
      <c r="R15" s="157">
        <f t="shared" si="5"/>
        <v>70128</v>
      </c>
      <c r="S15" s="157">
        <f t="shared" si="5"/>
        <v>71128</v>
      </c>
      <c r="T15" s="157">
        <f t="shared" si="5"/>
        <v>75255</v>
      </c>
      <c r="U15" s="157">
        <f t="shared" si="5"/>
        <v>75474</v>
      </c>
      <c r="V15" s="157">
        <f t="shared" si="5"/>
        <v>75337</v>
      </c>
      <c r="W15" s="157">
        <f t="shared" si="5"/>
        <v>75562</v>
      </c>
      <c r="X15" s="157">
        <f t="shared" si="5"/>
        <v>75562</v>
      </c>
      <c r="Y15" s="157">
        <f t="shared" si="5"/>
        <v>75562</v>
      </c>
      <c r="Z15" s="157">
        <f t="shared" si="5"/>
        <v>75640</v>
      </c>
      <c r="AA15" s="157">
        <f t="shared" si="5"/>
        <v>77017</v>
      </c>
      <c r="AB15" s="157">
        <f t="shared" si="5"/>
        <v>77017</v>
      </c>
      <c r="AC15" s="157">
        <f t="shared" si="5"/>
        <v>76196</v>
      </c>
      <c r="AD15" s="157">
        <f t="shared" si="5"/>
        <v>75196</v>
      </c>
      <c r="AE15" s="157">
        <f t="shared" si="5"/>
        <v>75015</v>
      </c>
      <c r="AF15" s="157">
        <f t="shared" si="5"/>
        <v>76050.30906</v>
      </c>
      <c r="AG15" s="157">
        <f t="shared" si="5"/>
        <v>76018.5126</v>
      </c>
      <c r="AH15" s="157">
        <f t="shared" si="5"/>
        <v>76086.15905</v>
      </c>
      <c r="AI15" s="157">
        <f t="shared" si="5"/>
        <v>76176.395</v>
      </c>
      <c r="AJ15" s="157">
        <f t="shared" si="5"/>
        <v>76322.91554</v>
      </c>
      <c r="AK15" s="157">
        <f t="shared" si="5"/>
        <v>84522.87449</v>
      </c>
      <c r="AL15" s="157">
        <f t="shared" si="5"/>
        <v>84680.0935</v>
      </c>
      <c r="AM15" s="157">
        <f t="shared" si="5"/>
        <v>93350.67896</v>
      </c>
      <c r="AN15" s="157">
        <f t="shared" si="5"/>
        <v>93516.11209</v>
      </c>
      <c r="AO15" s="157">
        <f t="shared" si="5"/>
        <v>101725.2199</v>
      </c>
      <c r="AP15" s="157">
        <f t="shared" si="5"/>
        <v>101899.5451</v>
      </c>
      <c r="AQ15" s="157">
        <f t="shared" si="5"/>
        <v>102084.0065</v>
      </c>
      <c r="AR15" s="157">
        <f t="shared" si="5"/>
        <v>102278.4862</v>
      </c>
      <c r="AS15" s="157">
        <f t="shared" si="5"/>
        <v>102471.5463</v>
      </c>
      <c r="AT15" s="157">
        <f t="shared" si="5"/>
        <v>102674.557</v>
      </c>
      <c r="AU15" s="157">
        <f t="shared" si="5"/>
        <v>102876.1278</v>
      </c>
      <c r="AV15" s="157">
        <f t="shared" si="5"/>
        <v>103087.5638</v>
      </c>
      <c r="AW15" s="157">
        <f t="shared" si="5"/>
        <v>103308.8033</v>
      </c>
      <c r="AX15" s="157">
        <f t="shared" si="5"/>
        <v>103528.4694</v>
      </c>
      <c r="AY15" s="157">
        <f t="shared" si="5"/>
        <v>103757.8757</v>
      </c>
      <c r="AZ15" s="157">
        <f t="shared" si="5"/>
        <v>104064.017</v>
      </c>
      <c r="BA15" s="157">
        <f t="shared" si="5"/>
        <v>104379.3425</v>
      </c>
      <c r="BB15" s="157">
        <f t="shared" si="5"/>
        <v>104704.1278</v>
      </c>
      <c r="BC15" s="157">
        <f t="shared" si="5"/>
        <v>105038.6566</v>
      </c>
      <c r="BD15" s="157">
        <f t="shared" si="5"/>
        <v>105383.2213</v>
      </c>
      <c r="BE15" s="157">
        <f t="shared" si="5"/>
        <v>105738.123</v>
      </c>
      <c r="BF15" s="157">
        <f t="shared" si="5"/>
        <v>106103.6716</v>
      </c>
      <c r="BG15" s="157">
        <f t="shared" si="5"/>
        <v>106480.1868</v>
      </c>
      <c r="BH15" s="157">
        <f t="shared" si="5"/>
        <v>106867.9974</v>
      </c>
      <c r="BI15" s="157">
        <f t="shared" si="5"/>
        <v>107267.4423</v>
      </c>
      <c r="BJ15" s="157">
        <f t="shared" si="5"/>
        <v>107678.8706</v>
      </c>
      <c r="BK15" s="157">
        <f t="shared" si="5"/>
        <v>108102.6417</v>
      </c>
      <c r="BL15" s="157">
        <f t="shared" si="5"/>
        <v>108539.126</v>
      </c>
      <c r="BM15" s="157">
        <f t="shared" si="5"/>
        <v>108988.7047</v>
      </c>
      <c r="BN15" s="157">
        <f t="shared" si="5"/>
        <v>109451.7709</v>
      </c>
      <c r="BO15" s="157">
        <f t="shared" si="5"/>
        <v>109928.729</v>
      </c>
      <c r="BP15" s="157">
        <f t="shared" si="5"/>
        <v>110419.9959</v>
      </c>
      <c r="BQ15" s="157">
        <f t="shared" si="5"/>
        <v>110926.0008</v>
      </c>
      <c r="BR15" s="157">
        <f t="shared" si="5"/>
        <v>111447.1858</v>
      </c>
      <c r="BS15" s="157">
        <f t="shared" si="5"/>
        <v>111984.0063</v>
      </c>
      <c r="BT15" s="157">
        <f t="shared" si="5"/>
        <v>112536.9315</v>
      </c>
      <c r="BU15" s="157">
        <f t="shared" si="5"/>
        <v>113106.4445</v>
      </c>
      <c r="BV15" s="157">
        <f t="shared" si="5"/>
        <v>113693.0428</v>
      </c>
      <c r="BW15" s="157">
        <f t="shared" si="5"/>
        <v>114297.2391</v>
      </c>
    </row>
    <row r="16" ht="15.75" customHeight="1">
      <c r="A16" s="1" t="s">
        <v>254</v>
      </c>
      <c r="B16" s="159"/>
      <c r="D16" s="76" t="str">
        <f t="array" ref="D16">INDEX(INDIRECT("PnL_"&amp;TEXT(D$1,"mmm")&amp;"_"&amp;TEXT(D$1,"yyyy")),MATCH(TRIM($A16),PnL_Accounts,0))</f>
        <v/>
      </c>
      <c r="E16" s="76" t="str">
        <f t="array" ref="E16">INDEX(INDIRECT("PnL_"&amp;TEXT(E$1,"mmm")&amp;"_"&amp;TEXT(E$1,"yyyy")),MATCH(TRIM($A16),PnL_Accounts,0))</f>
        <v/>
      </c>
      <c r="F16" s="76" t="str">
        <f t="array" ref="F16">INDEX(INDIRECT("PnL_"&amp;TEXT(F$1,"mmm")&amp;"_"&amp;TEXT(F$1,"yyyy")),MATCH(TRIM($A16),PnL_Accounts,0))</f>
        <v/>
      </c>
      <c r="G16" s="76" t="str">
        <f t="array" ref="G16">INDEX(INDIRECT("PnL_"&amp;TEXT(G$1,"mmm")&amp;"_"&amp;TEXT(G$1,"yyyy")),MATCH(TRIM($A16),PnL_Accounts,0))</f>
        <v/>
      </c>
      <c r="H16" s="76" t="str">
        <f t="array" ref="H16">INDEX(INDIRECT("PnL_"&amp;TEXT(H$1,"mmm")&amp;"_"&amp;TEXT(H$1,"yyyy")),MATCH(TRIM($A16),PnL_Accounts,0))</f>
        <v/>
      </c>
      <c r="I16" s="76" t="str">
        <f t="array" ref="I16">INDEX(INDIRECT("PnL_"&amp;TEXT(I$1,"mmm")&amp;"_"&amp;TEXT(I$1,"yyyy")),MATCH(TRIM($A16),PnL_Accounts,0))</f>
        <v/>
      </c>
      <c r="J16" s="76" t="str">
        <f t="array" ref="J16">INDEX(INDIRECT("PnL_"&amp;TEXT(J$1,"mmm")&amp;"_"&amp;TEXT(J$1,"yyyy")),MATCH(TRIM($A16),PnL_Accounts,0))</f>
        <v/>
      </c>
      <c r="K16" s="76" t="str">
        <f t="array" ref="K16">INDEX(INDIRECT("PnL_"&amp;TEXT(K$1,"mmm")&amp;"_"&amp;TEXT(K$1,"yyyy")),MATCH(TRIM($A16),PnL_Accounts,0))</f>
        <v/>
      </c>
      <c r="L16" s="76" t="str">
        <f t="array" ref="L16">INDEX(INDIRECT("PnL_"&amp;TEXT(L$1,"mmm")&amp;"_"&amp;TEXT(L$1,"yyyy")),MATCH(TRIM($A16),PnL_Accounts,0))</f>
        <v/>
      </c>
      <c r="M16" s="76" t="str">
        <f t="array" ref="M16">INDEX(INDIRECT("PnL_"&amp;TEXT(M$1,"mmm")&amp;"_"&amp;TEXT(M$1,"yyyy")),MATCH(TRIM($A16),PnL_Accounts,0))</f>
        <v/>
      </c>
      <c r="N16" s="76" t="str">
        <f t="array" ref="N16">INDEX(INDIRECT("PnL_"&amp;TEXT(N$1,"mmm")&amp;"_"&amp;TEXT(N$1,"yyyy")),MATCH(TRIM($A16),PnL_Accounts,0))</f>
        <v/>
      </c>
      <c r="O16" s="76" t="str">
        <f t="array" ref="O16">INDEX(INDIRECT("PnL_"&amp;TEXT(O$1,"mmm")&amp;"_"&amp;TEXT(O$1,"yyyy")),MATCH(TRIM($A16),PnL_Accounts,0))</f>
        <v/>
      </c>
      <c r="P16" s="76" t="str">
        <f t="array" ref="P16">INDEX(INDIRECT("PnL_"&amp;TEXT(P$1,"mmm")&amp;"_"&amp;TEXT(P$1,"yyyy")),MATCH(TRIM($A16),PnL_Accounts,0))</f>
        <v/>
      </c>
      <c r="Q16" s="76" t="str">
        <f t="array" ref="Q16">INDEX(INDIRECT("PnL_"&amp;TEXT(Q$1,"mmm")&amp;"_"&amp;TEXT(Q$1,"yyyy")),MATCH(TRIM($A16),PnL_Accounts,0))</f>
        <v/>
      </c>
      <c r="R16" s="76" t="str">
        <f t="array" ref="R16">INDEX(INDIRECT("PnL_"&amp;TEXT(R$1,"mmm")&amp;"_"&amp;TEXT(R$1,"yyyy")),MATCH(TRIM($A16),PnL_Accounts,0))</f>
        <v/>
      </c>
      <c r="S16" s="76" t="str">
        <f t="array" ref="S16">INDEX(INDIRECT("PnL_"&amp;TEXT(S$1,"mmm")&amp;"_"&amp;TEXT(S$1,"yyyy")),MATCH(TRIM($A16),PnL_Accounts,0))</f>
        <v/>
      </c>
      <c r="T16" s="76" t="str">
        <f t="array" ref="T16">INDEX(INDIRECT("PnL_"&amp;TEXT(T$1,"mmm")&amp;"_"&amp;TEXT(T$1,"yyyy")),MATCH(TRIM($A16),PnL_Accounts,0))</f>
        <v/>
      </c>
      <c r="U16" s="76" t="str">
        <f t="array" ref="U16">INDEX(INDIRECT("PnL_"&amp;TEXT(U$1,"mmm")&amp;"_"&amp;TEXT(U$1,"yyyy")),MATCH(TRIM($A16),PnL_Accounts,0))</f>
        <v/>
      </c>
      <c r="V16" s="76" t="str">
        <f t="array" ref="V16">INDEX(INDIRECT("PnL_"&amp;TEXT(V$1,"mmm")&amp;"_"&amp;TEXT(V$1,"yyyy")),MATCH(TRIM($A16),PnL_Accounts,0))</f>
        <v/>
      </c>
      <c r="W16" s="76" t="str">
        <f t="array" ref="W16">INDEX(INDIRECT("PnL_"&amp;TEXT(W$1,"mmm")&amp;"_"&amp;TEXT(W$1,"yyyy")),MATCH(TRIM($A16),PnL_Accounts,0))</f>
        <v/>
      </c>
      <c r="X16" s="76" t="str">
        <f t="array" ref="X16">INDEX(INDIRECT("PnL_"&amp;TEXT(X$1,"mmm")&amp;"_"&amp;TEXT(X$1,"yyyy")),MATCH(TRIM($A16),PnL_Accounts,0))</f>
        <v/>
      </c>
      <c r="Y16" s="76" t="str">
        <f t="array" ref="Y16">INDEX(INDIRECT("PnL_"&amp;TEXT(Y$1,"mmm")&amp;"_"&amp;TEXT(Y$1,"yyyy")),MATCH(TRIM($A16),PnL_Accounts,0))</f>
        <v/>
      </c>
      <c r="Z16" s="76" t="str">
        <f t="array" ref="Z16">INDEX(INDIRECT("PnL_"&amp;TEXT(Z$1,"mmm")&amp;"_"&amp;TEXT(Z$1,"yyyy")),MATCH(TRIM($A16),PnL_Accounts,0))</f>
        <v/>
      </c>
      <c r="AA16" s="76" t="str">
        <f t="array" ref="AA16">INDEX(INDIRECT("PnL_"&amp;TEXT(AA$1,"mmm")&amp;"_"&amp;TEXT(AA$1,"yyyy")),MATCH(TRIM($A16),PnL_Accounts,0))</f>
        <v/>
      </c>
      <c r="AB16" s="76" t="str">
        <f t="array" ref="AB16">INDEX(INDIRECT("PnL_"&amp;TEXT(AB$1,"mmm")&amp;"_"&amp;TEXT(AB$1,"yyyy")),MATCH(TRIM($A16),PnL_Accounts,0))</f>
        <v/>
      </c>
      <c r="AC16" s="76" t="str">
        <f t="array" ref="AC16">INDEX(INDIRECT("PnL_"&amp;TEXT(AC$1,"mmm")&amp;"_"&amp;TEXT(AC$1,"yyyy")),MATCH(TRIM($A16),PnL_Accounts,0))</f>
        <v/>
      </c>
      <c r="AD16" s="76" t="str">
        <f t="array" ref="AD16">INDEX(INDIRECT("PnL_"&amp;TEXT(AD$1,"mmm")&amp;"_"&amp;TEXT(AD$1,"yyyy")),MATCH(TRIM($A16),PnL_Accounts,0))</f>
        <v/>
      </c>
      <c r="AE16" s="76" t="str">
        <f t="array" ref="AE16">INDEX(INDIRECT("PnL_"&amp;TEXT(AE$1,"mmm")&amp;"_"&amp;TEXT(AE$1,"yyyy")),MATCH(TRIM($A16),PnL_Accounts,0))</f>
        <v/>
      </c>
    </row>
    <row r="17" ht="15.75" customHeight="1">
      <c r="A17" s="1" t="s">
        <v>255</v>
      </c>
      <c r="B17" s="164">
        <f>AVERAGEIFS(17:17,$1:$1,"&gt;="&amp;DATE(YEAR(Current_Month),MONTH(Current_Month)-2,DAY(Current_Month)),$1:$1,"&lt;="&amp;EOMONTH(Current_Month,0))/AVERAGEIFS(Oper_Model_Revenue,$1:$1,"&gt;="&amp;DATE(YEAR(Current_Month),MONTH(Current_Month)-2,DAY(Current_Month)),$1:$1,"&lt;="&amp;EOMONTH(Current_Month,0))</f>
        <v>0.08685096035</v>
      </c>
      <c r="D17" s="76">
        <f t="array" ref="D17">INDEX(INDIRECT("PnL_"&amp;TEXT(D$1,"mmm")&amp;"_"&amp;TEXT(D$1,"yyyy")),MATCH(TRIM($A17),PnL_Accounts,0))</f>
        <v>30517</v>
      </c>
      <c r="E17" s="76">
        <f t="array" ref="E17">INDEX(INDIRECT("PnL_"&amp;TEXT(E$1,"mmm")&amp;"_"&amp;TEXT(E$1,"yyyy")),MATCH(TRIM($A17),PnL_Accounts,0))</f>
        <v>32284</v>
      </c>
      <c r="F17" s="76">
        <f t="array" ref="F17">INDEX(INDIRECT("PnL_"&amp;TEXT(F$1,"mmm")&amp;"_"&amp;TEXT(F$1,"yyyy")),MATCH(TRIM($A17),PnL_Accounts,0))</f>
        <v>35963</v>
      </c>
      <c r="G17" s="76">
        <f t="array" ref="G17">INDEX(INDIRECT("PnL_"&amp;TEXT(G$1,"mmm")&amp;"_"&amp;TEXT(G$1,"yyyy")),MATCH(TRIM($A17),PnL_Accounts,0))</f>
        <v>36287</v>
      </c>
      <c r="H17" s="76">
        <f t="array" ref="H17">INDEX(INDIRECT("PnL_"&amp;TEXT(H$1,"mmm")&amp;"_"&amp;TEXT(H$1,"yyyy")),MATCH(TRIM($A17),PnL_Accounts,0))</f>
        <v>38013</v>
      </c>
      <c r="I17" s="76">
        <f t="array" ref="I17">INDEX(INDIRECT("PnL_"&amp;TEXT(I$1,"mmm")&amp;"_"&amp;TEXT(I$1,"yyyy")),MATCH(TRIM($A17),PnL_Accounts,0))</f>
        <v>38336</v>
      </c>
      <c r="J17" s="76">
        <f t="array" ref="J17">INDEX(INDIRECT("PnL_"&amp;TEXT(J$1,"mmm")&amp;"_"&amp;TEXT(J$1,"yyyy")),MATCH(TRIM($A17),PnL_Accounts,0))</f>
        <v>39177</v>
      </c>
      <c r="K17" s="76">
        <f t="array" ref="K17">INDEX(INDIRECT("PnL_"&amp;TEXT(K$1,"mmm")&amp;"_"&amp;TEXT(K$1,"yyyy")),MATCH(TRIM($A17),PnL_Accounts,0))</f>
        <v>40408</v>
      </c>
      <c r="L17" s="76">
        <f t="array" ref="L17">INDEX(INDIRECT("PnL_"&amp;TEXT(L$1,"mmm")&amp;"_"&amp;TEXT(L$1,"yyyy")),MATCH(TRIM($A17),PnL_Accounts,0))</f>
        <v>38739</v>
      </c>
      <c r="M17" s="76">
        <f t="array" ref="M17">INDEX(INDIRECT("PnL_"&amp;TEXT(M$1,"mmm")&amp;"_"&amp;TEXT(M$1,"yyyy")),MATCH(TRIM($A17),PnL_Accounts,0))</f>
        <v>44005</v>
      </c>
      <c r="N17" s="76">
        <f t="array" ref="N17">INDEX(INDIRECT("PnL_"&amp;TEXT(N$1,"mmm")&amp;"_"&amp;TEXT(N$1,"yyyy")),MATCH(TRIM($A17),PnL_Accounts,0))</f>
        <v>44227</v>
      </c>
      <c r="O17" s="76">
        <f t="array" ref="O17">INDEX(INDIRECT("PnL_"&amp;TEXT(O$1,"mmm")&amp;"_"&amp;TEXT(O$1,"yyyy")),MATCH(TRIM($A17),PnL_Accounts,0))</f>
        <v>44405</v>
      </c>
      <c r="P17" s="76">
        <f t="array" ref="P17">INDEX(INDIRECT("PnL_"&amp;TEXT(P$1,"mmm")&amp;"_"&amp;TEXT(P$1,"yyyy")),MATCH(TRIM($A17),PnL_Accounts,0))</f>
        <v>43894</v>
      </c>
      <c r="Q17" s="76">
        <f t="array" ref="Q17">INDEX(INDIRECT("PnL_"&amp;TEXT(Q$1,"mmm")&amp;"_"&amp;TEXT(Q$1,"yyyy")),MATCH(TRIM($A17),PnL_Accounts,0))</f>
        <v>41517</v>
      </c>
      <c r="R17" s="76">
        <f t="array" ref="R17">INDEX(INDIRECT("PnL_"&amp;TEXT(R$1,"mmm")&amp;"_"&amp;TEXT(R$1,"yyyy")),MATCH(TRIM($A17),PnL_Accounts,0))</f>
        <v>44678</v>
      </c>
      <c r="S17" s="76">
        <f t="array" ref="S17">INDEX(INDIRECT("PnL_"&amp;TEXT(S$1,"mmm")&amp;"_"&amp;TEXT(S$1,"yyyy")),MATCH(TRIM($A17),PnL_Accounts,0))</f>
        <v>44685</v>
      </c>
      <c r="T17" s="76">
        <f t="array" ref="T17">INDEX(INDIRECT("PnL_"&amp;TEXT(T$1,"mmm")&amp;"_"&amp;TEXT(T$1,"yyyy")),MATCH(TRIM($A17),PnL_Accounts,0))</f>
        <v>48061</v>
      </c>
      <c r="U17" s="76">
        <f t="array" ref="U17">INDEX(INDIRECT("PnL_"&amp;TEXT(U$1,"mmm")&amp;"_"&amp;TEXT(U$1,"yyyy")),MATCH(TRIM($A17),PnL_Accounts,0))</f>
        <v>46218</v>
      </c>
      <c r="V17" s="76">
        <f t="array" ref="V17">INDEX(INDIRECT("PnL_"&amp;TEXT(V$1,"mmm")&amp;"_"&amp;TEXT(V$1,"yyyy")),MATCH(TRIM($A17),PnL_Accounts,0))</f>
        <v>47477</v>
      </c>
      <c r="W17" s="76">
        <f t="array" ref="W17">INDEX(INDIRECT("PnL_"&amp;TEXT(W$1,"mmm")&amp;"_"&amp;TEXT(W$1,"yyyy")),MATCH(TRIM($A17),PnL_Accounts,0))</f>
        <v>49233</v>
      </c>
      <c r="X17" s="76">
        <f t="array" ref="X17">INDEX(INDIRECT("PnL_"&amp;TEXT(X$1,"mmm")&amp;"_"&amp;TEXT(X$1,"yyyy")),MATCH(TRIM($A17),PnL_Accounts,0))</f>
        <v>51225</v>
      </c>
      <c r="Y17" s="76">
        <f t="array" ref="Y17">INDEX(INDIRECT("PnL_"&amp;TEXT(Y$1,"mmm")&amp;"_"&amp;TEXT(Y$1,"yyyy")),MATCH(TRIM($A17),PnL_Accounts,0))</f>
        <v>57243</v>
      </c>
      <c r="Z17" s="76">
        <f t="array" ref="Z17">INDEX(INDIRECT("PnL_"&amp;TEXT(Z$1,"mmm")&amp;"_"&amp;TEXT(Z$1,"yyyy")),MATCH(TRIM($A17),PnL_Accounts,0))</f>
        <v>62451</v>
      </c>
      <c r="AA17" s="76">
        <f t="array" ref="AA17">INDEX(INDIRECT("PnL_"&amp;TEXT(AA$1,"mmm")&amp;"_"&amp;TEXT(AA$1,"yyyy")),MATCH(TRIM($A17),PnL_Accounts,0))</f>
        <v>65739</v>
      </c>
      <c r="AB17" s="76">
        <f t="array" ref="AB17">INDEX(INDIRECT("PnL_"&amp;TEXT(AB$1,"mmm")&amp;"_"&amp;TEXT(AB$1,"yyyy")),MATCH(TRIM($A17),PnL_Accounts,0))</f>
        <v>67542</v>
      </c>
      <c r="AC17" s="76">
        <f t="array" ref="AC17">INDEX(INDIRECT("PnL_"&amp;TEXT(AC$1,"mmm")&amp;"_"&amp;TEXT(AC$1,"yyyy")),MATCH(TRIM($A17),PnL_Accounts,0))</f>
        <v>71275</v>
      </c>
      <c r="AD17" s="76">
        <f t="array" ref="AD17">INDEX(INDIRECT("PnL_"&amp;TEXT(AD$1,"mmm")&amp;"_"&amp;TEXT(AD$1,"yyyy")),MATCH(TRIM($A17),PnL_Accounts,0))</f>
        <v>71648</v>
      </c>
      <c r="AE17" s="76">
        <f t="array" ref="AE17">INDEX(INDIRECT("PnL_"&amp;TEXT(AE$1,"mmm")&amp;"_"&amp;TEXT(AE$1,"yyyy")),MATCH(TRIM($A17),PnL_Accounts,0))</f>
        <v>70756</v>
      </c>
      <c r="AF17" s="76">
        <f t="shared" ref="AF17:BW17" si="6">$B17*AF$5</f>
        <v>67774.09731</v>
      </c>
      <c r="AG17" s="76">
        <f t="shared" si="6"/>
        <v>67469.20436</v>
      </c>
      <c r="AH17" s="76">
        <f t="shared" si="6"/>
        <v>68117.85927</v>
      </c>
      <c r="AI17" s="76">
        <f t="shared" si="6"/>
        <v>68983.12256</v>
      </c>
      <c r="AJ17" s="76">
        <f t="shared" si="6"/>
        <v>70388.09306</v>
      </c>
      <c r="AK17" s="76">
        <f t="shared" si="6"/>
        <v>71985.84907</v>
      </c>
      <c r="AL17" s="76">
        <f t="shared" si="6"/>
        <v>73493.40605</v>
      </c>
      <c r="AM17" s="76">
        <f t="shared" si="6"/>
        <v>75089.17887</v>
      </c>
      <c r="AN17" s="76">
        <f t="shared" si="6"/>
        <v>76675.5003</v>
      </c>
      <c r="AO17" s="76">
        <f t="shared" si="6"/>
        <v>78360.98365</v>
      </c>
      <c r="AP17" s="76">
        <f t="shared" si="6"/>
        <v>80032.57046</v>
      </c>
      <c r="AQ17" s="76">
        <f t="shared" si="6"/>
        <v>81801.35193</v>
      </c>
      <c r="AR17" s="76">
        <f t="shared" si="6"/>
        <v>83666.19809</v>
      </c>
      <c r="AS17" s="76">
        <f t="shared" si="6"/>
        <v>85517.43103</v>
      </c>
      <c r="AT17" s="76">
        <f t="shared" si="6"/>
        <v>87464.08028</v>
      </c>
      <c r="AU17" s="76">
        <f t="shared" si="6"/>
        <v>89396.92237</v>
      </c>
      <c r="AV17" s="76">
        <f t="shared" si="6"/>
        <v>91424.35989</v>
      </c>
      <c r="AW17" s="76">
        <f t="shared" si="6"/>
        <v>93545.80341</v>
      </c>
      <c r="AX17" s="76">
        <f t="shared" si="6"/>
        <v>95652.15902</v>
      </c>
      <c r="AY17" s="76">
        <f t="shared" si="6"/>
        <v>97851.91291</v>
      </c>
      <c r="AZ17" s="76">
        <f t="shared" si="6"/>
        <v>100787.4703</v>
      </c>
      <c r="BA17" s="76">
        <f t="shared" si="6"/>
        <v>103811.0944</v>
      </c>
      <c r="BB17" s="76">
        <f t="shared" si="6"/>
        <v>106925.4272</v>
      </c>
      <c r="BC17" s="76">
        <f t="shared" si="6"/>
        <v>110133.1901</v>
      </c>
      <c r="BD17" s="76">
        <f t="shared" si="6"/>
        <v>113437.1858</v>
      </c>
      <c r="BE17" s="76">
        <f t="shared" si="6"/>
        <v>116840.3013</v>
      </c>
      <c r="BF17" s="76">
        <f t="shared" si="6"/>
        <v>120345.5104</v>
      </c>
      <c r="BG17" s="76">
        <f t="shared" si="6"/>
        <v>123955.8757</v>
      </c>
      <c r="BH17" s="76">
        <f t="shared" si="6"/>
        <v>127674.552</v>
      </c>
      <c r="BI17" s="76">
        <f t="shared" si="6"/>
        <v>131504.7885</v>
      </c>
      <c r="BJ17" s="76">
        <f t="shared" si="6"/>
        <v>135449.9322</v>
      </c>
      <c r="BK17" s="76">
        <f t="shared" si="6"/>
        <v>139513.4301</v>
      </c>
      <c r="BL17" s="76">
        <f t="shared" si="6"/>
        <v>143698.833</v>
      </c>
      <c r="BM17" s="76">
        <f t="shared" si="6"/>
        <v>148009.798</v>
      </c>
      <c r="BN17" s="76">
        <f t="shared" si="6"/>
        <v>152450.092</v>
      </c>
      <c r="BO17" s="76">
        <f t="shared" si="6"/>
        <v>157023.5947</v>
      </c>
      <c r="BP17" s="76">
        <f t="shared" si="6"/>
        <v>161734.3026</v>
      </c>
      <c r="BQ17" s="76">
        <f t="shared" si="6"/>
        <v>166586.3316</v>
      </c>
      <c r="BR17" s="76">
        <f t="shared" si="6"/>
        <v>171583.9216</v>
      </c>
      <c r="BS17" s="76">
        <f t="shared" si="6"/>
        <v>176731.4392</v>
      </c>
      <c r="BT17" s="76">
        <f t="shared" si="6"/>
        <v>182033.3824</v>
      </c>
      <c r="BU17" s="76">
        <f t="shared" si="6"/>
        <v>187494.3839</v>
      </c>
      <c r="BV17" s="76">
        <f t="shared" si="6"/>
        <v>193119.2154</v>
      </c>
      <c r="BW17" s="76">
        <f t="shared" si="6"/>
        <v>198912.7919</v>
      </c>
    </row>
    <row r="18" ht="15.75" customHeight="1">
      <c r="A18" s="21" t="s">
        <v>256</v>
      </c>
      <c r="B18" s="163"/>
      <c r="C18" s="21"/>
      <c r="D18" s="157">
        <f t="shared" ref="D18:BW18" si="7">SUM(D16:D17)</f>
        <v>30517</v>
      </c>
      <c r="E18" s="157">
        <f t="shared" si="7"/>
        <v>32284</v>
      </c>
      <c r="F18" s="157">
        <f t="shared" si="7"/>
        <v>35963</v>
      </c>
      <c r="G18" s="157">
        <f t="shared" si="7"/>
        <v>36287</v>
      </c>
      <c r="H18" s="157">
        <f t="shared" si="7"/>
        <v>38013</v>
      </c>
      <c r="I18" s="157">
        <f t="shared" si="7"/>
        <v>38336</v>
      </c>
      <c r="J18" s="157">
        <f t="shared" si="7"/>
        <v>39177</v>
      </c>
      <c r="K18" s="157">
        <f t="shared" si="7"/>
        <v>40408</v>
      </c>
      <c r="L18" s="157">
        <f t="shared" si="7"/>
        <v>38739</v>
      </c>
      <c r="M18" s="157">
        <f t="shared" si="7"/>
        <v>44005</v>
      </c>
      <c r="N18" s="157">
        <f t="shared" si="7"/>
        <v>44227</v>
      </c>
      <c r="O18" s="157">
        <f t="shared" si="7"/>
        <v>44405</v>
      </c>
      <c r="P18" s="157">
        <f t="shared" si="7"/>
        <v>43894</v>
      </c>
      <c r="Q18" s="157">
        <f t="shared" si="7"/>
        <v>41517</v>
      </c>
      <c r="R18" s="157">
        <f t="shared" si="7"/>
        <v>44678</v>
      </c>
      <c r="S18" s="157">
        <f t="shared" si="7"/>
        <v>44685</v>
      </c>
      <c r="T18" s="157">
        <f t="shared" si="7"/>
        <v>48061</v>
      </c>
      <c r="U18" s="157">
        <f t="shared" si="7"/>
        <v>46218</v>
      </c>
      <c r="V18" s="157">
        <f t="shared" si="7"/>
        <v>47477</v>
      </c>
      <c r="W18" s="157">
        <f t="shared" si="7"/>
        <v>49233</v>
      </c>
      <c r="X18" s="157">
        <f t="shared" si="7"/>
        <v>51225</v>
      </c>
      <c r="Y18" s="157">
        <f t="shared" si="7"/>
        <v>57243</v>
      </c>
      <c r="Z18" s="157">
        <f t="shared" si="7"/>
        <v>62451</v>
      </c>
      <c r="AA18" s="157">
        <f t="shared" si="7"/>
        <v>65739</v>
      </c>
      <c r="AB18" s="157">
        <f t="shared" si="7"/>
        <v>67542</v>
      </c>
      <c r="AC18" s="157">
        <f t="shared" si="7"/>
        <v>71275</v>
      </c>
      <c r="AD18" s="157">
        <f t="shared" si="7"/>
        <v>71648</v>
      </c>
      <c r="AE18" s="157">
        <f t="shared" si="7"/>
        <v>70756</v>
      </c>
      <c r="AF18" s="157">
        <f t="shared" si="7"/>
        <v>67774.09731</v>
      </c>
      <c r="AG18" s="157">
        <f t="shared" si="7"/>
        <v>67469.20436</v>
      </c>
      <c r="AH18" s="157">
        <f t="shared" si="7"/>
        <v>68117.85927</v>
      </c>
      <c r="AI18" s="157">
        <f t="shared" si="7"/>
        <v>68983.12256</v>
      </c>
      <c r="AJ18" s="157">
        <f t="shared" si="7"/>
        <v>70388.09306</v>
      </c>
      <c r="AK18" s="157">
        <f t="shared" si="7"/>
        <v>71985.84907</v>
      </c>
      <c r="AL18" s="157">
        <f t="shared" si="7"/>
        <v>73493.40605</v>
      </c>
      <c r="AM18" s="157">
        <f t="shared" si="7"/>
        <v>75089.17887</v>
      </c>
      <c r="AN18" s="157">
        <f t="shared" si="7"/>
        <v>76675.5003</v>
      </c>
      <c r="AO18" s="157">
        <f t="shared" si="7"/>
        <v>78360.98365</v>
      </c>
      <c r="AP18" s="157">
        <f t="shared" si="7"/>
        <v>80032.57046</v>
      </c>
      <c r="AQ18" s="157">
        <f t="shared" si="7"/>
        <v>81801.35193</v>
      </c>
      <c r="AR18" s="157">
        <f t="shared" si="7"/>
        <v>83666.19809</v>
      </c>
      <c r="AS18" s="157">
        <f t="shared" si="7"/>
        <v>85517.43103</v>
      </c>
      <c r="AT18" s="157">
        <f t="shared" si="7"/>
        <v>87464.08028</v>
      </c>
      <c r="AU18" s="157">
        <f t="shared" si="7"/>
        <v>89396.92237</v>
      </c>
      <c r="AV18" s="157">
        <f t="shared" si="7"/>
        <v>91424.35989</v>
      </c>
      <c r="AW18" s="157">
        <f t="shared" si="7"/>
        <v>93545.80341</v>
      </c>
      <c r="AX18" s="157">
        <f t="shared" si="7"/>
        <v>95652.15902</v>
      </c>
      <c r="AY18" s="157">
        <f t="shared" si="7"/>
        <v>97851.91291</v>
      </c>
      <c r="AZ18" s="157">
        <f t="shared" si="7"/>
        <v>100787.4703</v>
      </c>
      <c r="BA18" s="157">
        <f t="shared" si="7"/>
        <v>103811.0944</v>
      </c>
      <c r="BB18" s="157">
        <f t="shared" si="7"/>
        <v>106925.4272</v>
      </c>
      <c r="BC18" s="157">
        <f t="shared" si="7"/>
        <v>110133.1901</v>
      </c>
      <c r="BD18" s="157">
        <f t="shared" si="7"/>
        <v>113437.1858</v>
      </c>
      <c r="BE18" s="157">
        <f t="shared" si="7"/>
        <v>116840.3013</v>
      </c>
      <c r="BF18" s="157">
        <f t="shared" si="7"/>
        <v>120345.5104</v>
      </c>
      <c r="BG18" s="157">
        <f t="shared" si="7"/>
        <v>123955.8757</v>
      </c>
      <c r="BH18" s="157">
        <f t="shared" si="7"/>
        <v>127674.552</v>
      </c>
      <c r="BI18" s="157">
        <f t="shared" si="7"/>
        <v>131504.7885</v>
      </c>
      <c r="BJ18" s="157">
        <f t="shared" si="7"/>
        <v>135449.9322</v>
      </c>
      <c r="BK18" s="157">
        <f t="shared" si="7"/>
        <v>139513.4301</v>
      </c>
      <c r="BL18" s="157">
        <f t="shared" si="7"/>
        <v>143698.833</v>
      </c>
      <c r="BM18" s="157">
        <f t="shared" si="7"/>
        <v>148009.798</v>
      </c>
      <c r="BN18" s="157">
        <f t="shared" si="7"/>
        <v>152450.092</v>
      </c>
      <c r="BO18" s="157">
        <f t="shared" si="7"/>
        <v>157023.5947</v>
      </c>
      <c r="BP18" s="157">
        <f t="shared" si="7"/>
        <v>161734.3026</v>
      </c>
      <c r="BQ18" s="157">
        <f t="shared" si="7"/>
        <v>166586.3316</v>
      </c>
      <c r="BR18" s="157">
        <f t="shared" si="7"/>
        <v>171583.9216</v>
      </c>
      <c r="BS18" s="157">
        <f t="shared" si="7"/>
        <v>176731.4392</v>
      </c>
      <c r="BT18" s="157">
        <f t="shared" si="7"/>
        <v>182033.3824</v>
      </c>
      <c r="BU18" s="157">
        <f t="shared" si="7"/>
        <v>187494.3839</v>
      </c>
      <c r="BV18" s="157">
        <f t="shared" si="7"/>
        <v>193119.2154</v>
      </c>
      <c r="BW18" s="157">
        <f t="shared" si="7"/>
        <v>198912.7919</v>
      </c>
    </row>
    <row r="19" ht="15.75" customHeight="1">
      <c r="A19" s="21" t="s">
        <v>257</v>
      </c>
      <c r="B19" s="161"/>
      <c r="C19" s="157"/>
      <c r="D19" s="157">
        <f t="shared" ref="D19:BW19" si="8">SUM(D18,D15)</f>
        <v>64800</v>
      </c>
      <c r="E19" s="157">
        <f t="shared" si="8"/>
        <v>66677</v>
      </c>
      <c r="F19" s="157">
        <f t="shared" si="8"/>
        <v>70440</v>
      </c>
      <c r="G19" s="157">
        <f t="shared" si="8"/>
        <v>76672</v>
      </c>
      <c r="H19" s="157">
        <f t="shared" si="8"/>
        <v>78520</v>
      </c>
      <c r="I19" s="157">
        <f t="shared" si="8"/>
        <v>78969</v>
      </c>
      <c r="J19" s="157">
        <f t="shared" si="8"/>
        <v>85539</v>
      </c>
      <c r="K19" s="157">
        <f t="shared" si="8"/>
        <v>86705</v>
      </c>
      <c r="L19" s="157">
        <f t="shared" si="8"/>
        <v>90434</v>
      </c>
      <c r="M19" s="157">
        <f t="shared" si="8"/>
        <v>95877</v>
      </c>
      <c r="N19" s="157">
        <f t="shared" si="8"/>
        <v>96289</v>
      </c>
      <c r="O19" s="157">
        <f t="shared" si="8"/>
        <v>113369</v>
      </c>
      <c r="P19" s="157">
        <f t="shared" si="8"/>
        <v>111864</v>
      </c>
      <c r="Q19" s="157">
        <f t="shared" si="8"/>
        <v>111333</v>
      </c>
      <c r="R19" s="157">
        <f t="shared" si="8"/>
        <v>114806</v>
      </c>
      <c r="S19" s="157">
        <f t="shared" si="8"/>
        <v>115813</v>
      </c>
      <c r="T19" s="157">
        <f t="shared" si="8"/>
        <v>123316</v>
      </c>
      <c r="U19" s="157">
        <f t="shared" si="8"/>
        <v>121692</v>
      </c>
      <c r="V19" s="157">
        <f t="shared" si="8"/>
        <v>122814</v>
      </c>
      <c r="W19" s="157">
        <f t="shared" si="8"/>
        <v>124795</v>
      </c>
      <c r="X19" s="157">
        <f t="shared" si="8"/>
        <v>126787</v>
      </c>
      <c r="Y19" s="157">
        <f t="shared" si="8"/>
        <v>132805</v>
      </c>
      <c r="Z19" s="157">
        <f t="shared" si="8"/>
        <v>138091</v>
      </c>
      <c r="AA19" s="157">
        <f t="shared" si="8"/>
        <v>142756</v>
      </c>
      <c r="AB19" s="157">
        <f t="shared" si="8"/>
        <v>144559</v>
      </c>
      <c r="AC19" s="157">
        <f t="shared" si="8"/>
        <v>147471</v>
      </c>
      <c r="AD19" s="157">
        <f t="shared" si="8"/>
        <v>146844</v>
      </c>
      <c r="AE19" s="157">
        <f t="shared" si="8"/>
        <v>145771</v>
      </c>
      <c r="AF19" s="157">
        <f t="shared" si="8"/>
        <v>143824.4064</v>
      </c>
      <c r="AG19" s="157">
        <f t="shared" si="8"/>
        <v>143487.717</v>
      </c>
      <c r="AH19" s="157">
        <f t="shared" si="8"/>
        <v>144204.0183</v>
      </c>
      <c r="AI19" s="157">
        <f t="shared" si="8"/>
        <v>145159.5176</v>
      </c>
      <c r="AJ19" s="157">
        <f t="shared" si="8"/>
        <v>146711.0086</v>
      </c>
      <c r="AK19" s="157">
        <f t="shared" si="8"/>
        <v>156508.7236</v>
      </c>
      <c r="AL19" s="157">
        <f t="shared" si="8"/>
        <v>158173.4995</v>
      </c>
      <c r="AM19" s="157">
        <f t="shared" si="8"/>
        <v>168439.8578</v>
      </c>
      <c r="AN19" s="157">
        <f t="shared" si="8"/>
        <v>170191.6124</v>
      </c>
      <c r="AO19" s="157">
        <f t="shared" si="8"/>
        <v>180086.2035</v>
      </c>
      <c r="AP19" s="157">
        <f t="shared" si="8"/>
        <v>181932.1156</v>
      </c>
      <c r="AQ19" s="157">
        <f t="shared" si="8"/>
        <v>183885.3584</v>
      </c>
      <c r="AR19" s="157">
        <f t="shared" si="8"/>
        <v>185944.6843</v>
      </c>
      <c r="AS19" s="157">
        <f t="shared" si="8"/>
        <v>187988.9773</v>
      </c>
      <c r="AT19" s="157">
        <f t="shared" si="8"/>
        <v>190138.6373</v>
      </c>
      <c r="AU19" s="157">
        <f t="shared" si="8"/>
        <v>192273.0502</v>
      </c>
      <c r="AV19" s="157">
        <f t="shared" si="8"/>
        <v>194511.9236</v>
      </c>
      <c r="AW19" s="157">
        <f t="shared" si="8"/>
        <v>196854.6067</v>
      </c>
      <c r="AX19" s="157">
        <f t="shared" si="8"/>
        <v>199180.6284</v>
      </c>
      <c r="AY19" s="157">
        <f t="shared" si="8"/>
        <v>201609.7886</v>
      </c>
      <c r="AZ19" s="157">
        <f t="shared" si="8"/>
        <v>204851.4873</v>
      </c>
      <c r="BA19" s="157">
        <f t="shared" si="8"/>
        <v>208190.4369</v>
      </c>
      <c r="BB19" s="157">
        <f t="shared" si="8"/>
        <v>211629.555</v>
      </c>
      <c r="BC19" s="157">
        <f t="shared" si="8"/>
        <v>215171.8467</v>
      </c>
      <c r="BD19" s="157">
        <f t="shared" si="8"/>
        <v>218820.4071</v>
      </c>
      <c r="BE19" s="157">
        <f t="shared" si="8"/>
        <v>222578.4243</v>
      </c>
      <c r="BF19" s="157">
        <f t="shared" si="8"/>
        <v>226449.182</v>
      </c>
      <c r="BG19" s="157">
        <f t="shared" si="8"/>
        <v>230436.0625</v>
      </c>
      <c r="BH19" s="157">
        <f t="shared" si="8"/>
        <v>234542.5493</v>
      </c>
      <c r="BI19" s="157">
        <f t="shared" si="8"/>
        <v>238772.2308</v>
      </c>
      <c r="BJ19" s="157">
        <f t="shared" si="8"/>
        <v>243128.8028</v>
      </c>
      <c r="BK19" s="157">
        <f t="shared" si="8"/>
        <v>247616.0718</v>
      </c>
      <c r="BL19" s="157">
        <f t="shared" si="8"/>
        <v>252237.959</v>
      </c>
      <c r="BM19" s="157">
        <f t="shared" si="8"/>
        <v>256998.5028</v>
      </c>
      <c r="BN19" s="157">
        <f t="shared" si="8"/>
        <v>261901.8628</v>
      </c>
      <c r="BO19" s="157">
        <f t="shared" si="8"/>
        <v>266952.3237</v>
      </c>
      <c r="BP19" s="157">
        <f t="shared" si="8"/>
        <v>272154.2984</v>
      </c>
      <c r="BQ19" s="157">
        <f t="shared" si="8"/>
        <v>277512.3324</v>
      </c>
      <c r="BR19" s="157">
        <f t="shared" si="8"/>
        <v>283031.1074</v>
      </c>
      <c r="BS19" s="157">
        <f t="shared" si="8"/>
        <v>288715.4456</v>
      </c>
      <c r="BT19" s="157">
        <f t="shared" si="8"/>
        <v>294570.314</v>
      </c>
      <c r="BU19" s="157">
        <f t="shared" si="8"/>
        <v>300600.8284</v>
      </c>
      <c r="BV19" s="157">
        <f t="shared" si="8"/>
        <v>306812.2582</v>
      </c>
      <c r="BW19" s="157">
        <f t="shared" si="8"/>
        <v>313210.031</v>
      </c>
    </row>
    <row r="20" ht="15.75" customHeight="1">
      <c r="A20" s="21" t="s">
        <v>12</v>
      </c>
      <c r="B20" s="161"/>
      <c r="C20" s="157"/>
      <c r="D20" s="157">
        <f t="shared" ref="D20:BW20" si="9">D5-D19</f>
        <v>238573</v>
      </c>
      <c r="E20" s="157">
        <f t="shared" si="9"/>
        <v>254380</v>
      </c>
      <c r="F20" s="157">
        <f t="shared" si="9"/>
        <v>270081</v>
      </c>
      <c r="G20" s="157">
        <f t="shared" si="9"/>
        <v>284098</v>
      </c>
      <c r="H20" s="157">
        <f t="shared" si="9"/>
        <v>307504</v>
      </c>
      <c r="I20" s="157">
        <f t="shared" si="9"/>
        <v>322496</v>
      </c>
      <c r="J20" s="157">
        <f t="shared" si="9"/>
        <v>339400</v>
      </c>
      <c r="K20" s="157">
        <f t="shared" si="9"/>
        <v>352220</v>
      </c>
      <c r="L20" s="157">
        <f t="shared" si="9"/>
        <v>362334</v>
      </c>
      <c r="M20" s="157">
        <f t="shared" si="9"/>
        <v>370080</v>
      </c>
      <c r="N20" s="157">
        <f t="shared" si="9"/>
        <v>382829</v>
      </c>
      <c r="O20" s="157">
        <f t="shared" si="9"/>
        <v>378132</v>
      </c>
      <c r="P20" s="157">
        <f t="shared" si="9"/>
        <v>393194</v>
      </c>
      <c r="Q20" s="157">
        <f t="shared" si="9"/>
        <v>414104</v>
      </c>
      <c r="R20" s="157">
        <f t="shared" si="9"/>
        <v>427927</v>
      </c>
      <c r="S20" s="157">
        <f t="shared" si="9"/>
        <v>483074</v>
      </c>
      <c r="T20" s="157">
        <f t="shared" si="9"/>
        <v>490737</v>
      </c>
      <c r="U20" s="157">
        <f t="shared" si="9"/>
        <v>515796</v>
      </c>
      <c r="V20" s="157">
        <f t="shared" si="9"/>
        <v>534702</v>
      </c>
      <c r="W20" s="157">
        <f t="shared" si="9"/>
        <v>560688</v>
      </c>
      <c r="X20" s="157">
        <f t="shared" si="9"/>
        <v>591987</v>
      </c>
      <c r="Y20" s="157">
        <f t="shared" si="9"/>
        <v>621737</v>
      </c>
      <c r="Z20" s="157">
        <f t="shared" si="9"/>
        <v>649463</v>
      </c>
      <c r="AA20" s="157">
        <f t="shared" si="9"/>
        <v>665290</v>
      </c>
      <c r="AB20" s="157">
        <f t="shared" si="9"/>
        <v>679970</v>
      </c>
      <c r="AC20" s="157">
        <f t="shared" si="9"/>
        <v>697155</v>
      </c>
      <c r="AD20" s="157">
        <f t="shared" si="9"/>
        <v>672318.19</v>
      </c>
      <c r="AE20" s="157">
        <f t="shared" si="9"/>
        <v>650736</v>
      </c>
      <c r="AF20" s="157">
        <f t="shared" si="9"/>
        <v>636525.0225</v>
      </c>
      <c r="AG20" s="157">
        <f t="shared" si="9"/>
        <v>633351.1814</v>
      </c>
      <c r="AH20" s="157">
        <f t="shared" si="9"/>
        <v>640103.4781</v>
      </c>
      <c r="AI20" s="157">
        <f t="shared" si="9"/>
        <v>649110.6008</v>
      </c>
      <c r="AJ20" s="157">
        <f t="shared" si="9"/>
        <v>663735.9085</v>
      </c>
      <c r="AK20" s="157">
        <f t="shared" si="9"/>
        <v>672334.7201</v>
      </c>
      <c r="AL20" s="157">
        <f t="shared" si="9"/>
        <v>688027.9213</v>
      </c>
      <c r="AM20" s="157">
        <f t="shared" si="9"/>
        <v>696135.2552</v>
      </c>
      <c r="AN20" s="157">
        <f t="shared" si="9"/>
        <v>712648.3699</v>
      </c>
      <c r="AO20" s="157">
        <f t="shared" si="9"/>
        <v>722160.3961</v>
      </c>
      <c r="AP20" s="157">
        <f t="shared" si="9"/>
        <v>739561.0969</v>
      </c>
      <c r="AQ20" s="157">
        <f t="shared" si="9"/>
        <v>757973.564</v>
      </c>
      <c r="AR20" s="157">
        <f t="shared" si="9"/>
        <v>777386.0348</v>
      </c>
      <c r="AS20" s="157">
        <f t="shared" si="9"/>
        <v>796656.7962</v>
      </c>
      <c r="AT20" s="157">
        <f t="shared" si="9"/>
        <v>816920.8118</v>
      </c>
      <c r="AU20" s="157">
        <f t="shared" si="9"/>
        <v>837041.0991</v>
      </c>
      <c r="AV20" s="157">
        <f t="shared" si="9"/>
        <v>858146.0956</v>
      </c>
      <c r="AW20" s="157">
        <f t="shared" si="9"/>
        <v>880229.6653</v>
      </c>
      <c r="AX20" s="157">
        <f t="shared" si="9"/>
        <v>902156.1747</v>
      </c>
      <c r="AY20" s="157">
        <f t="shared" si="9"/>
        <v>925054.9312</v>
      </c>
      <c r="AZ20" s="157">
        <f t="shared" si="9"/>
        <v>955613.1741</v>
      </c>
      <c r="BA20" s="157">
        <f t="shared" si="9"/>
        <v>987088.1643</v>
      </c>
      <c r="BB20" s="157">
        <f t="shared" si="9"/>
        <v>1019507.404</v>
      </c>
      <c r="BC20" s="157">
        <f t="shared" si="9"/>
        <v>1052899.221</v>
      </c>
      <c r="BD20" s="157">
        <f t="shared" si="9"/>
        <v>1087292.793</v>
      </c>
      <c r="BE20" s="157">
        <f t="shared" si="9"/>
        <v>1122718.172</v>
      </c>
      <c r="BF20" s="157">
        <f t="shared" si="9"/>
        <v>1159206.312</v>
      </c>
      <c r="BG20" s="157">
        <f t="shared" si="9"/>
        <v>1196789.096</v>
      </c>
      <c r="BH20" s="157">
        <f t="shared" si="9"/>
        <v>1235499.364</v>
      </c>
      <c r="BI20" s="157">
        <f t="shared" si="9"/>
        <v>1275370.94</v>
      </c>
      <c r="BJ20" s="157">
        <f t="shared" si="9"/>
        <v>1316438.663</v>
      </c>
      <c r="BK20" s="157">
        <f t="shared" si="9"/>
        <v>1358738.418</v>
      </c>
      <c r="BL20" s="157">
        <f t="shared" si="9"/>
        <v>1402307.166</v>
      </c>
      <c r="BM20" s="157">
        <f t="shared" si="9"/>
        <v>1447182.976</v>
      </c>
      <c r="BN20" s="157">
        <f t="shared" si="9"/>
        <v>1493405.06</v>
      </c>
      <c r="BO20" s="157">
        <f t="shared" si="9"/>
        <v>1541013.807</v>
      </c>
      <c r="BP20" s="157">
        <f t="shared" si="9"/>
        <v>1590050.816</v>
      </c>
      <c r="BQ20" s="157">
        <f t="shared" si="9"/>
        <v>1640558.936</v>
      </c>
      <c r="BR20" s="157">
        <f t="shared" si="9"/>
        <v>1692582.299</v>
      </c>
      <c r="BS20" s="157">
        <f t="shared" si="9"/>
        <v>1746166.363</v>
      </c>
      <c r="BT20" s="157">
        <f t="shared" si="9"/>
        <v>1801357.948</v>
      </c>
      <c r="BU20" s="157">
        <f t="shared" si="9"/>
        <v>1858205.282</v>
      </c>
      <c r="BV20" s="157">
        <f t="shared" si="9"/>
        <v>1916758.035</v>
      </c>
      <c r="BW20" s="157">
        <f t="shared" si="9"/>
        <v>1977067.371</v>
      </c>
    </row>
    <row r="21" ht="15.75" customHeight="1">
      <c r="A21" s="31" t="s">
        <v>244</v>
      </c>
      <c r="B21" s="159"/>
      <c r="D21" s="76">
        <f t="array" ref="D21">INDEX(INDIRECT("PnL_"&amp;TEXT(D$1,"mmm")&amp;"_"&amp;TEXT(D$1,"yyyy")),MATCH(TRIM($A20),PnL_Accounts,0))-D20</f>
        <v>0</v>
      </c>
      <c r="E21" s="76">
        <f t="array" ref="E21">INDEX(INDIRECT("PnL_"&amp;TEXT(E$1,"mmm")&amp;"_"&amp;TEXT(E$1,"yyyy")),MATCH(TRIM($A20),PnL_Accounts,0))-E20</f>
        <v>0</v>
      </c>
      <c r="F21" s="76">
        <f t="array" ref="F21">INDEX(INDIRECT("PnL_"&amp;TEXT(F$1,"mmm")&amp;"_"&amp;TEXT(F$1,"yyyy")),MATCH(TRIM($A20),PnL_Accounts,0))-F20</f>
        <v>0</v>
      </c>
      <c r="G21" s="76">
        <f t="array" ref="G21">INDEX(INDIRECT("PnL_"&amp;TEXT(G$1,"mmm")&amp;"_"&amp;TEXT(G$1,"yyyy")),MATCH(TRIM($A20),PnL_Accounts,0))-G20</f>
        <v>0</v>
      </c>
      <c r="H21" s="76">
        <f t="array" ref="H21">INDEX(INDIRECT("PnL_"&amp;TEXT(H$1,"mmm")&amp;"_"&amp;TEXT(H$1,"yyyy")),MATCH(TRIM($A20),PnL_Accounts,0))-H20</f>
        <v>0</v>
      </c>
      <c r="I21" s="76">
        <f t="array" ref="I21">INDEX(INDIRECT("PnL_"&amp;TEXT(I$1,"mmm")&amp;"_"&amp;TEXT(I$1,"yyyy")),MATCH(TRIM($A20),PnL_Accounts,0))-I20</f>
        <v>0</v>
      </c>
      <c r="J21" s="76">
        <f t="array" ref="J21">INDEX(INDIRECT("PnL_"&amp;TEXT(J$1,"mmm")&amp;"_"&amp;TEXT(J$1,"yyyy")),MATCH(TRIM($A20),PnL_Accounts,0))-J20</f>
        <v>0</v>
      </c>
      <c r="K21" s="76">
        <f t="array" ref="K21">INDEX(INDIRECT("PnL_"&amp;TEXT(K$1,"mmm")&amp;"_"&amp;TEXT(K$1,"yyyy")),MATCH(TRIM($A20),PnL_Accounts,0))-K20</f>
        <v>0</v>
      </c>
      <c r="L21" s="76">
        <f t="array" ref="L21">INDEX(INDIRECT("PnL_"&amp;TEXT(L$1,"mmm")&amp;"_"&amp;TEXT(L$1,"yyyy")),MATCH(TRIM($A20),PnL_Accounts,0))-L20</f>
        <v>0</v>
      </c>
      <c r="M21" s="76">
        <f t="array" ref="M21">INDEX(INDIRECT("PnL_"&amp;TEXT(M$1,"mmm")&amp;"_"&amp;TEXT(M$1,"yyyy")),MATCH(TRIM($A20),PnL_Accounts,0))-M20</f>
        <v>0</v>
      </c>
      <c r="N21" s="76">
        <f t="array" ref="N21">INDEX(INDIRECT("PnL_"&amp;TEXT(N$1,"mmm")&amp;"_"&amp;TEXT(N$1,"yyyy")),MATCH(TRIM($A20),PnL_Accounts,0))-N20</f>
        <v>0</v>
      </c>
      <c r="O21" s="76">
        <f t="array" ref="O21">INDEX(INDIRECT("PnL_"&amp;TEXT(O$1,"mmm")&amp;"_"&amp;TEXT(O$1,"yyyy")),MATCH(TRIM($A20),PnL_Accounts,0))-O20</f>
        <v>0</v>
      </c>
      <c r="P21" s="76">
        <f t="array" ref="P21">INDEX(INDIRECT("PnL_"&amp;TEXT(P$1,"mmm")&amp;"_"&amp;TEXT(P$1,"yyyy")),MATCH(TRIM($A20),PnL_Accounts,0))-P20</f>
        <v>0</v>
      </c>
      <c r="Q21" s="76">
        <f t="array" ref="Q21">INDEX(INDIRECT("PnL_"&amp;TEXT(Q$1,"mmm")&amp;"_"&amp;TEXT(Q$1,"yyyy")),MATCH(TRIM($A20),PnL_Accounts,0))-Q20</f>
        <v>0</v>
      </c>
      <c r="R21" s="76">
        <f t="array" ref="R21">INDEX(INDIRECT("PnL_"&amp;TEXT(R$1,"mmm")&amp;"_"&amp;TEXT(R$1,"yyyy")),MATCH(TRIM($A20),PnL_Accounts,0))-R20</f>
        <v>0</v>
      </c>
      <c r="S21" s="76">
        <f t="array" ref="S21">INDEX(INDIRECT("PnL_"&amp;TEXT(S$1,"mmm")&amp;"_"&amp;TEXT(S$1,"yyyy")),MATCH(TRIM($A20),PnL_Accounts,0))-S20</f>
        <v>0</v>
      </c>
      <c r="T21" s="76">
        <f t="array" ref="T21">INDEX(INDIRECT("PnL_"&amp;TEXT(T$1,"mmm")&amp;"_"&amp;TEXT(T$1,"yyyy")),MATCH(TRIM($A20),PnL_Accounts,0))-T20</f>
        <v>0</v>
      </c>
      <c r="U21" s="76">
        <f t="array" ref="U21">INDEX(INDIRECT("PnL_"&amp;TEXT(U$1,"mmm")&amp;"_"&amp;TEXT(U$1,"yyyy")),MATCH(TRIM($A20),PnL_Accounts,0))-U20</f>
        <v>0</v>
      </c>
      <c r="V21" s="76">
        <f t="array" ref="V21">INDEX(INDIRECT("PnL_"&amp;TEXT(V$1,"mmm")&amp;"_"&amp;TEXT(V$1,"yyyy")),MATCH(TRIM($A20),PnL_Accounts,0))-V20</f>
        <v>0</v>
      </c>
      <c r="W21" s="76">
        <f t="array" ref="W21">INDEX(INDIRECT("PnL_"&amp;TEXT(W$1,"mmm")&amp;"_"&amp;TEXT(W$1,"yyyy")),MATCH(TRIM($A20),PnL_Accounts,0))-W20</f>
        <v>0</v>
      </c>
      <c r="X21" s="76">
        <f t="array" ref="X21">INDEX(INDIRECT("PnL_"&amp;TEXT(X$1,"mmm")&amp;"_"&amp;TEXT(X$1,"yyyy")),MATCH(TRIM($A20),PnL_Accounts,0))-X20</f>
        <v>0</v>
      </c>
      <c r="Y21" s="76">
        <f t="array" ref="Y21">INDEX(INDIRECT("PnL_"&amp;TEXT(Y$1,"mmm")&amp;"_"&amp;TEXT(Y$1,"yyyy")),MATCH(TRIM($A20),PnL_Accounts,0))-Y20</f>
        <v>0</v>
      </c>
      <c r="Z21" s="76">
        <f t="array" ref="Z21">INDEX(INDIRECT("PnL_"&amp;TEXT(Z$1,"mmm")&amp;"_"&amp;TEXT(Z$1,"yyyy")),MATCH(TRIM($A20),PnL_Accounts,0))-Z20</f>
        <v>0</v>
      </c>
      <c r="AA21" s="76">
        <f t="array" ref="AA21">INDEX(INDIRECT("PnL_"&amp;TEXT(AA$1,"mmm")&amp;"_"&amp;TEXT(AA$1,"yyyy")),MATCH(TRIM($A20),PnL_Accounts,0))-AA20</f>
        <v>0</v>
      </c>
      <c r="AB21" s="76">
        <f t="array" ref="AB21">INDEX(INDIRECT("PnL_"&amp;TEXT(AB$1,"mmm")&amp;"_"&amp;TEXT(AB$1,"yyyy")),MATCH(TRIM($A20),PnL_Accounts,0))-AB20</f>
        <v>0</v>
      </c>
      <c r="AC21" s="76">
        <f t="array" ref="AC21">INDEX(INDIRECT("PnL_"&amp;TEXT(AC$1,"mmm")&amp;"_"&amp;TEXT(AC$1,"yyyy")),MATCH(TRIM($A20),PnL_Accounts,0))-AC20</f>
        <v>0</v>
      </c>
      <c r="AD21" s="76">
        <f t="array" ref="AD21">INDEX(INDIRECT("PnL_"&amp;TEXT(AD$1,"mmm")&amp;"_"&amp;TEXT(AD$1,"yyyy")),MATCH(TRIM($A20),PnL_Accounts,0))-AD20</f>
        <v>0</v>
      </c>
      <c r="AE21" s="76">
        <f t="array" ref="AE21">INDEX(INDIRECT("PnL_"&amp;TEXT(AE$1,"mmm")&amp;"_"&amp;TEXT(AE$1,"yyyy")),MATCH(TRIM($A20),PnL_Accounts,0))-AE20</f>
        <v>0</v>
      </c>
    </row>
    <row r="22" ht="15.75" customHeight="1">
      <c r="A22" s="31" t="s">
        <v>14</v>
      </c>
      <c r="B22" s="159"/>
    </row>
    <row r="23" ht="15.75" customHeight="1">
      <c r="A23" s="1" t="s">
        <v>258</v>
      </c>
      <c r="B23" s="159"/>
    </row>
    <row r="24" ht="15.75" customHeight="1">
      <c r="A24" s="1" t="s">
        <v>259</v>
      </c>
      <c r="B24" s="160">
        <f>AVERAGEIFS(24:24,$1:$1,"&gt;="&amp;DATE(YEAR(Current_Month),MONTH(Current_Month)-2,DAY(Current_Month)),$1:$1,"&lt;="&amp;EOMONTH(Current_Month,0))</f>
        <v>32396.33333</v>
      </c>
      <c r="D24" s="165">
        <f t="array" ref="D24">INDEX(INDIRECT("PnL_"&amp;TEXT(D$1,"mmm")&amp;"_"&amp;TEXT(D$1,"yyyy")),MATCH(TRIM($A24),PnL_Accounts,0))</f>
        <v>20800</v>
      </c>
      <c r="E24" s="165">
        <f t="array" ref="E24">INDEX(INDIRECT("PnL_"&amp;TEXT(E$1,"mmm")&amp;"_"&amp;TEXT(E$1,"yyyy")),MATCH(TRIM($A24),PnL_Accounts,0))</f>
        <v>21162</v>
      </c>
      <c r="F24" s="165">
        <f t="array" ref="F24">INDEX(INDIRECT("PnL_"&amp;TEXT(F$1,"mmm")&amp;"_"&amp;TEXT(F$1,"yyyy")),MATCH(TRIM($A24),PnL_Accounts,0))</f>
        <v>24016</v>
      </c>
      <c r="G24" s="165">
        <f t="array" ref="G24">INDEX(INDIRECT("PnL_"&amp;TEXT(G$1,"mmm")&amp;"_"&amp;TEXT(G$1,"yyyy")),MATCH(TRIM($A24),PnL_Accounts,0))</f>
        <v>24060</v>
      </c>
      <c r="H24" s="165">
        <f t="array" ref="H24">INDEX(INDIRECT("PnL_"&amp;TEXT(H$1,"mmm")&amp;"_"&amp;TEXT(H$1,"yyyy")),MATCH(TRIM($A24),PnL_Accounts,0))</f>
        <v>23821</v>
      </c>
      <c r="I24" s="165">
        <f t="array" ref="I24">INDEX(INDIRECT("PnL_"&amp;TEXT(I$1,"mmm")&amp;"_"&amp;TEXT(I$1,"yyyy")),MATCH(TRIM($A24),PnL_Accounts,0))</f>
        <v>23226</v>
      </c>
      <c r="J24" s="165">
        <f t="array" ref="J24">INDEX(INDIRECT("PnL_"&amp;TEXT(J$1,"mmm")&amp;"_"&amp;TEXT(J$1,"yyyy")),MATCH(TRIM($A24),PnL_Accounts,0))</f>
        <v>24060</v>
      </c>
      <c r="K24" s="165">
        <f t="array" ref="K24">INDEX(INDIRECT("PnL_"&amp;TEXT(K$1,"mmm")&amp;"_"&amp;TEXT(K$1,"yyyy")),MATCH(TRIM($A24),PnL_Accounts,0))</f>
        <v>26430</v>
      </c>
      <c r="L24" s="165">
        <f t="array" ref="L24">INDEX(INDIRECT("PnL_"&amp;TEXT(L$1,"mmm")&amp;"_"&amp;TEXT(L$1,"yyyy")),MATCH(TRIM($A24),PnL_Accounts,0))</f>
        <v>23500</v>
      </c>
      <c r="M24" s="165">
        <f t="array" ref="M24">INDEX(INDIRECT("PnL_"&amp;TEXT(M$1,"mmm")&amp;"_"&amp;TEXT(M$1,"yyyy")),MATCH(TRIM($A24),PnL_Accounts,0))</f>
        <v>27820</v>
      </c>
      <c r="N24" s="165">
        <f t="array" ref="N24">INDEX(INDIRECT("PnL_"&amp;TEXT(N$1,"mmm")&amp;"_"&amp;TEXT(N$1,"yyyy")),MATCH(TRIM($A24),PnL_Accounts,0))</f>
        <v>29340</v>
      </c>
      <c r="O24" s="165">
        <f t="array" ref="O24">INDEX(INDIRECT("PnL_"&amp;TEXT(O$1,"mmm")&amp;"_"&amp;TEXT(O$1,"yyyy")),MATCH(TRIM($A24),PnL_Accounts,0))</f>
        <v>27420</v>
      </c>
      <c r="P24" s="165">
        <f t="array" ref="P24">INDEX(INDIRECT("PnL_"&amp;TEXT(P$1,"mmm")&amp;"_"&amp;TEXT(P$1,"yyyy")),MATCH(TRIM($A24),PnL_Accounts,0))</f>
        <v>26920</v>
      </c>
      <c r="Q24" s="165">
        <f t="array" ref="Q24">INDEX(INDIRECT("PnL_"&amp;TEXT(Q$1,"mmm")&amp;"_"&amp;TEXT(Q$1,"yyyy")),MATCH(TRIM($A24),PnL_Accounts,0))</f>
        <v>27893</v>
      </c>
      <c r="R24" s="165">
        <f t="array" ref="R24">INDEX(INDIRECT("PnL_"&amp;TEXT(R$1,"mmm")&amp;"_"&amp;TEXT(R$1,"yyyy")),MATCH(TRIM($A24),PnL_Accounts,0))</f>
        <v>27893</v>
      </c>
      <c r="S24" s="165">
        <f t="array" ref="S24">INDEX(INDIRECT("PnL_"&amp;TEXT(S$1,"mmm")&amp;"_"&amp;TEXT(S$1,"yyyy")),MATCH(TRIM($A24),PnL_Accounts,0))</f>
        <v>29881</v>
      </c>
      <c r="T24" s="165">
        <f t="array" ref="T24">INDEX(INDIRECT("PnL_"&amp;TEXT(T$1,"mmm")&amp;"_"&amp;TEXT(T$1,"yyyy")),MATCH(TRIM($A24),PnL_Accounts,0))</f>
        <v>28893</v>
      </c>
      <c r="U24" s="165">
        <f t="array" ref="U24">INDEX(INDIRECT("PnL_"&amp;TEXT(U$1,"mmm")&amp;"_"&amp;TEXT(U$1,"yyyy")),MATCH(TRIM($A24),PnL_Accounts,0))</f>
        <v>27658</v>
      </c>
      <c r="V24" s="165">
        <f t="array" ref="V24">INDEX(INDIRECT("PnL_"&amp;TEXT(V$1,"mmm")&amp;"_"&amp;TEXT(V$1,"yyyy")),MATCH(TRIM($A24),PnL_Accounts,0))</f>
        <v>27287</v>
      </c>
      <c r="W24" s="165">
        <f t="array" ref="W24">INDEX(INDIRECT("PnL_"&amp;TEXT(W$1,"mmm")&amp;"_"&amp;TEXT(W$1,"yyyy")),MATCH(TRIM($A24),PnL_Accounts,0))</f>
        <v>29822</v>
      </c>
      <c r="X24" s="165">
        <f t="array" ref="X24">INDEX(INDIRECT("PnL_"&amp;TEXT(X$1,"mmm")&amp;"_"&amp;TEXT(X$1,"yyyy")),MATCH(TRIM($A24),PnL_Accounts,0))</f>
        <v>29822</v>
      </c>
      <c r="Y24" s="165">
        <f t="array" ref="Y24">INDEX(INDIRECT("PnL_"&amp;TEXT(Y$1,"mmm")&amp;"_"&amp;TEXT(Y$1,"yyyy")),MATCH(TRIM($A24),PnL_Accounts,0))</f>
        <v>29822</v>
      </c>
      <c r="Z24" s="165">
        <f t="array" ref="Z24">INDEX(INDIRECT("PnL_"&amp;TEXT(Z$1,"mmm")&amp;"_"&amp;TEXT(Z$1,"yyyy")),MATCH(TRIM($A24),PnL_Accounts,0))</f>
        <v>29822</v>
      </c>
      <c r="AA24" s="165">
        <f t="array" ref="AA24">INDEX(INDIRECT("PnL_"&amp;TEXT(AA$1,"mmm")&amp;"_"&amp;TEXT(AA$1,"yyyy")),MATCH(TRIM($A24),PnL_Accounts,0))</f>
        <v>29822</v>
      </c>
      <c r="AB24" s="165">
        <f t="array" ref="AB24">INDEX(INDIRECT("PnL_"&amp;TEXT(AB$1,"mmm")&amp;"_"&amp;TEXT(AB$1,"yyyy")),MATCH(TRIM($A24),PnL_Accounts,0))</f>
        <v>29822</v>
      </c>
      <c r="AC24" s="165">
        <f t="array" ref="AC24">INDEX(INDIRECT("PnL_"&amp;TEXT(AC$1,"mmm")&amp;"_"&amp;TEXT(AC$1,"yyyy")),MATCH(TRIM($A24),PnL_Accounts,0))</f>
        <v>35789</v>
      </c>
      <c r="AD24" s="165">
        <f t="array" ref="AD24">INDEX(INDIRECT("PnL_"&amp;TEXT(AD$1,"mmm")&amp;"_"&amp;TEXT(AD$1,"yyyy")),MATCH(TRIM($A24),PnL_Accounts,0))</f>
        <v>32000</v>
      </c>
      <c r="AE24" s="165">
        <f t="array" ref="AE24">INDEX(INDIRECT("PnL_"&amp;TEXT(AE$1,"mmm")&amp;"_"&amp;TEXT(AE$1,"yyyy")),MATCH(TRIM($A24),PnL_Accounts,0))</f>
        <v>29400</v>
      </c>
      <c r="AF24" s="39">
        <f t="array" ref="AF24">INDEX(Hiring_Plan_Contractors_Engineering,MATCH(AF$1,Hiring_Plan_Months,0))</f>
        <v>0</v>
      </c>
      <c r="AG24" s="39">
        <f t="array" ref="AG24">INDEX(Hiring_Plan_Contractors_Engineering,MATCH(AG$1,Hiring_Plan_Months,0))</f>
        <v>0</v>
      </c>
      <c r="AH24" s="39">
        <f t="array" ref="AH24">INDEX(Hiring_Plan_Contractors_Engineering,MATCH(AH$1,Hiring_Plan_Months,0))</f>
        <v>0</v>
      </c>
      <c r="AI24" s="39">
        <f t="array" ref="AI24">INDEX(Hiring_Plan_Contractors_Engineering,MATCH(AI$1,Hiring_Plan_Months,0))</f>
        <v>0</v>
      </c>
      <c r="AJ24" s="39">
        <f t="array" ref="AJ24">INDEX(Hiring_Plan_Contractors_Engineering,MATCH(AJ$1,Hiring_Plan_Months,0))</f>
        <v>0</v>
      </c>
      <c r="AK24" s="39">
        <f t="array" ref="AK24">INDEX(Hiring_Plan_Contractors_Engineering,MATCH(AK$1,Hiring_Plan_Months,0))</f>
        <v>0</v>
      </c>
      <c r="AL24" s="39">
        <f t="array" ref="AL24">INDEX(Hiring_Plan_Contractors_Engineering,MATCH(AL$1,Hiring_Plan_Months,0))</f>
        <v>0</v>
      </c>
      <c r="AM24" s="39">
        <f t="array" ref="AM24">INDEX(Hiring_Plan_Contractors_Engineering,MATCH(AM$1,Hiring_Plan_Months,0))</f>
        <v>0</v>
      </c>
      <c r="AN24" s="39">
        <f t="array" ref="AN24">INDEX(Hiring_Plan_Contractors_Engineering,MATCH(AN$1,Hiring_Plan_Months,0))</f>
        <v>0</v>
      </c>
      <c r="AO24" s="39">
        <f t="array" ref="AO24">INDEX(Hiring_Plan_Contractors_Engineering,MATCH(AO$1,Hiring_Plan_Months,0))</f>
        <v>0</v>
      </c>
      <c r="AP24" s="39">
        <f t="array" ref="AP24">INDEX(Hiring_Plan_Contractors_Engineering,MATCH(AP$1,Hiring_Plan_Months,0))</f>
        <v>0</v>
      </c>
      <c r="AQ24" s="39">
        <f t="array" ref="AQ24">INDEX(Hiring_Plan_Contractors_Engineering,MATCH(AQ$1,Hiring_Plan_Months,0))</f>
        <v>0</v>
      </c>
      <c r="AR24" s="39">
        <f t="array" ref="AR24">INDEX(Hiring_Plan_Contractors_Engineering,MATCH(AR$1,Hiring_Plan_Months,0))</f>
        <v>0</v>
      </c>
      <c r="AS24" s="39">
        <f t="array" ref="AS24">INDEX(Hiring_Plan_Contractors_Engineering,MATCH(AS$1,Hiring_Plan_Months,0))</f>
        <v>0</v>
      </c>
      <c r="AT24" s="39">
        <f t="array" ref="AT24">INDEX(Hiring_Plan_Contractors_Engineering,MATCH(AT$1,Hiring_Plan_Months,0))</f>
        <v>0</v>
      </c>
      <c r="AU24" s="39">
        <f t="array" ref="AU24">INDEX(Hiring_Plan_Contractors_Engineering,MATCH(AU$1,Hiring_Plan_Months,0))</f>
        <v>0</v>
      </c>
      <c r="AV24" s="39">
        <f t="array" ref="AV24">INDEX(Hiring_Plan_Contractors_Engineering,MATCH(AV$1,Hiring_Plan_Months,0))</f>
        <v>0</v>
      </c>
      <c r="AW24" s="39">
        <f t="array" ref="AW24">INDEX(Hiring_Plan_Contractors_Engineering,MATCH(AW$1,Hiring_Plan_Months,0))</f>
        <v>0</v>
      </c>
      <c r="AX24" s="39">
        <f t="array" ref="AX24">INDEX(Hiring_Plan_Contractors_Engineering,MATCH(AX$1,Hiring_Plan_Months,0))</f>
        <v>0</v>
      </c>
      <c r="AY24" s="39">
        <f t="array" ref="AY24">INDEX(Hiring_Plan_Contractors_Engineering,MATCH(AY$1,Hiring_Plan_Months,0))</f>
        <v>0</v>
      </c>
      <c r="AZ24" s="39">
        <f t="array" ref="AZ24">INDEX(Hiring_Plan_Contractors_Engineering,MATCH(AZ$1,Hiring_Plan_Months,0))</f>
        <v>0</v>
      </c>
      <c r="BA24" s="39">
        <f t="array" ref="BA24">INDEX(Hiring_Plan_Contractors_Engineering,MATCH(BA$1,Hiring_Plan_Months,0))</f>
        <v>0</v>
      </c>
      <c r="BB24" s="39">
        <f t="array" ref="BB24">INDEX(Hiring_Plan_Contractors_Engineering,MATCH(BB$1,Hiring_Plan_Months,0))</f>
        <v>0</v>
      </c>
      <c r="BC24" s="39">
        <f t="array" ref="BC24">INDEX(Hiring_Plan_Contractors_Engineering,MATCH(BC$1,Hiring_Plan_Months,0))</f>
        <v>0</v>
      </c>
      <c r="BD24" s="39">
        <f t="array" ref="BD24">INDEX(Hiring_Plan_Contractors_Engineering,MATCH(BD$1,Hiring_Plan_Months,0))</f>
        <v>0</v>
      </c>
      <c r="BE24" s="39">
        <f t="array" ref="BE24">INDEX(Hiring_Plan_Contractors_Engineering,MATCH(BE$1,Hiring_Plan_Months,0))</f>
        <v>0</v>
      </c>
      <c r="BF24" s="39">
        <f t="array" ref="BF24">INDEX(Hiring_Plan_Contractors_Engineering,MATCH(BF$1,Hiring_Plan_Months,0))</f>
        <v>0</v>
      </c>
      <c r="BG24" s="39">
        <f t="array" ref="BG24">INDEX(Hiring_Plan_Contractors_Engineering,MATCH(BG$1,Hiring_Plan_Months,0))</f>
        <v>0</v>
      </c>
      <c r="BH24" s="39">
        <f t="array" ref="BH24">INDEX(Hiring_Plan_Contractors_Engineering,MATCH(BH$1,Hiring_Plan_Months,0))</f>
        <v>0</v>
      </c>
      <c r="BI24" s="39">
        <f t="array" ref="BI24">INDEX(Hiring_Plan_Contractors_Engineering,MATCH(BI$1,Hiring_Plan_Months,0))</f>
        <v>0</v>
      </c>
      <c r="BJ24" s="39">
        <f t="array" ref="BJ24">INDEX(Hiring_Plan_Contractors_Engineering,MATCH(BJ$1,Hiring_Plan_Months,0))</f>
        <v>0</v>
      </c>
      <c r="BK24" s="39">
        <f t="array" ref="BK24">INDEX(Hiring_Plan_Contractors_Engineering,MATCH(BK$1,Hiring_Plan_Months,0))</f>
        <v>0</v>
      </c>
      <c r="BL24" s="39">
        <f t="array" ref="BL24">INDEX(Hiring_Plan_Contractors_Engineering,MATCH(BL$1,Hiring_Plan_Months,0))</f>
        <v>0</v>
      </c>
      <c r="BM24" s="39">
        <f t="array" ref="BM24">INDEX(Hiring_Plan_Contractors_Engineering,MATCH(BM$1,Hiring_Plan_Months,0))</f>
        <v>0</v>
      </c>
      <c r="BN24" s="39">
        <f t="array" ref="BN24">INDEX(Hiring_Plan_Contractors_Engineering,MATCH(BN$1,Hiring_Plan_Months,0))</f>
        <v>0</v>
      </c>
      <c r="BO24" s="39">
        <f t="array" ref="BO24">INDEX(Hiring_Plan_Contractors_Engineering,MATCH(BO$1,Hiring_Plan_Months,0))</f>
        <v>0</v>
      </c>
      <c r="BP24" s="39">
        <f t="array" ref="BP24">INDEX(Hiring_Plan_Contractors_Engineering,MATCH(BP$1,Hiring_Plan_Months,0))</f>
        <v>0</v>
      </c>
      <c r="BQ24" s="39">
        <f t="array" ref="BQ24">INDEX(Hiring_Plan_Contractors_Engineering,MATCH(BQ$1,Hiring_Plan_Months,0))</f>
        <v>0</v>
      </c>
      <c r="BR24" s="39">
        <f t="array" ref="BR24">INDEX(Hiring_Plan_Contractors_Engineering,MATCH(BR$1,Hiring_Plan_Months,0))</f>
        <v>0</v>
      </c>
      <c r="BS24" s="39">
        <f t="array" ref="BS24">INDEX(Hiring_Plan_Contractors_Engineering,MATCH(BS$1,Hiring_Plan_Months,0))</f>
        <v>0</v>
      </c>
      <c r="BT24" s="39">
        <f t="array" ref="BT24">INDEX(Hiring_Plan_Contractors_Engineering,MATCH(BT$1,Hiring_Plan_Months,0))</f>
        <v>0</v>
      </c>
      <c r="BU24" s="39">
        <f t="array" ref="BU24">INDEX(Hiring_Plan_Contractors_Engineering,MATCH(BU$1,Hiring_Plan_Months,0))</f>
        <v>0</v>
      </c>
      <c r="BV24" s="39">
        <f t="array" ref="BV24">INDEX(Hiring_Plan_Contractors_Engineering,MATCH(BV$1,Hiring_Plan_Months,0))</f>
        <v>0</v>
      </c>
      <c r="BW24" s="39">
        <f t="array" ref="BW24">INDEX(Hiring_Plan_Contractors_Engineering,MATCH(BW$1,Hiring_Plan_Months,0))</f>
        <v>0</v>
      </c>
    </row>
    <row r="25" ht="15.75" customHeight="1">
      <c r="A25" s="1" t="s">
        <v>260</v>
      </c>
      <c r="B25" s="159"/>
      <c r="D25" s="76" t="str">
        <f t="array" ref="D25">INDEX(INDIRECT("PnL_"&amp;TEXT(D$1,"mmm")&amp;"_"&amp;TEXT(D$1,"yyyy")),MATCH(TRIM($A25),PnL_Accounts,0))</f>
        <v/>
      </c>
      <c r="E25" s="76" t="str">
        <f t="array" ref="E25">INDEX(INDIRECT("PnL_"&amp;TEXT(E$1,"mmm")&amp;"_"&amp;TEXT(E$1,"yyyy")),MATCH(TRIM($A25),PnL_Accounts,0))</f>
        <v/>
      </c>
      <c r="F25" s="76" t="str">
        <f t="array" ref="F25">INDEX(INDIRECT("PnL_"&amp;TEXT(F$1,"mmm")&amp;"_"&amp;TEXT(F$1,"yyyy")),MATCH(TRIM($A25),PnL_Accounts,0))</f>
        <v/>
      </c>
      <c r="G25" s="76" t="str">
        <f t="array" ref="G25">INDEX(INDIRECT("PnL_"&amp;TEXT(G$1,"mmm")&amp;"_"&amp;TEXT(G$1,"yyyy")),MATCH(TRIM($A25),PnL_Accounts,0))</f>
        <v/>
      </c>
      <c r="H25" s="76" t="str">
        <f t="array" ref="H25">INDEX(INDIRECT("PnL_"&amp;TEXT(H$1,"mmm")&amp;"_"&amp;TEXT(H$1,"yyyy")),MATCH(TRIM($A25),PnL_Accounts,0))</f>
        <v/>
      </c>
      <c r="I25" s="76" t="str">
        <f t="array" ref="I25">INDEX(INDIRECT("PnL_"&amp;TEXT(I$1,"mmm")&amp;"_"&amp;TEXT(I$1,"yyyy")),MATCH(TRIM($A25),PnL_Accounts,0))</f>
        <v/>
      </c>
      <c r="J25" s="76" t="str">
        <f t="array" ref="J25">INDEX(INDIRECT("PnL_"&amp;TEXT(J$1,"mmm")&amp;"_"&amp;TEXT(J$1,"yyyy")),MATCH(TRIM($A25),PnL_Accounts,0))</f>
        <v/>
      </c>
      <c r="K25" s="76" t="str">
        <f t="array" ref="K25">INDEX(INDIRECT("PnL_"&amp;TEXT(K$1,"mmm")&amp;"_"&amp;TEXT(K$1,"yyyy")),MATCH(TRIM($A25),PnL_Accounts,0))</f>
        <v/>
      </c>
      <c r="L25" s="76" t="str">
        <f t="array" ref="L25">INDEX(INDIRECT("PnL_"&amp;TEXT(L$1,"mmm")&amp;"_"&amp;TEXT(L$1,"yyyy")),MATCH(TRIM($A25),PnL_Accounts,0))</f>
        <v/>
      </c>
      <c r="M25" s="76" t="str">
        <f t="array" ref="M25">INDEX(INDIRECT("PnL_"&amp;TEXT(M$1,"mmm")&amp;"_"&amp;TEXT(M$1,"yyyy")),MATCH(TRIM($A25),PnL_Accounts,0))</f>
        <v/>
      </c>
      <c r="N25" s="76" t="str">
        <f t="array" ref="N25">INDEX(INDIRECT("PnL_"&amp;TEXT(N$1,"mmm")&amp;"_"&amp;TEXT(N$1,"yyyy")),MATCH(TRIM($A25),PnL_Accounts,0))</f>
        <v/>
      </c>
      <c r="O25" s="76" t="str">
        <f t="array" ref="O25">INDEX(INDIRECT("PnL_"&amp;TEXT(O$1,"mmm")&amp;"_"&amp;TEXT(O$1,"yyyy")),MATCH(TRIM($A25),PnL_Accounts,0))</f>
        <v/>
      </c>
      <c r="P25" s="76" t="str">
        <f t="array" ref="P25">INDEX(INDIRECT("PnL_"&amp;TEXT(P$1,"mmm")&amp;"_"&amp;TEXT(P$1,"yyyy")),MATCH(TRIM($A25),PnL_Accounts,0))</f>
        <v/>
      </c>
      <c r="Q25" s="76" t="str">
        <f t="array" ref="Q25">INDEX(INDIRECT("PnL_"&amp;TEXT(Q$1,"mmm")&amp;"_"&amp;TEXT(Q$1,"yyyy")),MATCH(TRIM($A25),PnL_Accounts,0))</f>
        <v/>
      </c>
      <c r="R25" s="76" t="str">
        <f t="array" ref="R25">INDEX(INDIRECT("PnL_"&amp;TEXT(R$1,"mmm")&amp;"_"&amp;TEXT(R$1,"yyyy")),MATCH(TRIM($A25),PnL_Accounts,0))</f>
        <v/>
      </c>
      <c r="S25" s="76" t="str">
        <f t="array" ref="S25">INDEX(INDIRECT("PnL_"&amp;TEXT(S$1,"mmm")&amp;"_"&amp;TEXT(S$1,"yyyy")),MATCH(TRIM($A25),PnL_Accounts,0))</f>
        <v/>
      </c>
      <c r="T25" s="76" t="str">
        <f t="array" ref="T25">INDEX(INDIRECT("PnL_"&amp;TEXT(T$1,"mmm")&amp;"_"&amp;TEXT(T$1,"yyyy")),MATCH(TRIM($A25),PnL_Accounts,0))</f>
        <v/>
      </c>
      <c r="U25" s="76" t="str">
        <f t="array" ref="U25">INDEX(INDIRECT("PnL_"&amp;TEXT(U$1,"mmm")&amp;"_"&amp;TEXT(U$1,"yyyy")),MATCH(TRIM($A25),PnL_Accounts,0))</f>
        <v/>
      </c>
      <c r="V25" s="76" t="str">
        <f t="array" ref="V25">INDEX(INDIRECT("PnL_"&amp;TEXT(V$1,"mmm")&amp;"_"&amp;TEXT(V$1,"yyyy")),MATCH(TRIM($A25),PnL_Accounts,0))</f>
        <v/>
      </c>
      <c r="W25" s="76" t="str">
        <f t="array" ref="W25">INDEX(INDIRECT("PnL_"&amp;TEXT(W$1,"mmm")&amp;"_"&amp;TEXT(W$1,"yyyy")),MATCH(TRIM($A25),PnL_Accounts,0))</f>
        <v/>
      </c>
      <c r="X25" s="76" t="str">
        <f t="array" ref="X25">INDEX(INDIRECT("PnL_"&amp;TEXT(X$1,"mmm")&amp;"_"&amp;TEXT(X$1,"yyyy")),MATCH(TRIM($A25),PnL_Accounts,0))</f>
        <v/>
      </c>
      <c r="Y25" s="76" t="str">
        <f t="array" ref="Y25">INDEX(INDIRECT("PnL_"&amp;TEXT(Y$1,"mmm")&amp;"_"&amp;TEXT(Y$1,"yyyy")),MATCH(TRIM($A25),PnL_Accounts,0))</f>
        <v/>
      </c>
      <c r="Z25" s="76" t="str">
        <f t="array" ref="Z25">INDEX(INDIRECT("PnL_"&amp;TEXT(Z$1,"mmm")&amp;"_"&amp;TEXT(Z$1,"yyyy")),MATCH(TRIM($A25),PnL_Accounts,0))</f>
        <v/>
      </c>
      <c r="AA25" s="76" t="str">
        <f t="array" ref="AA25">INDEX(INDIRECT("PnL_"&amp;TEXT(AA$1,"mmm")&amp;"_"&amp;TEXT(AA$1,"yyyy")),MATCH(TRIM($A25),PnL_Accounts,0))</f>
        <v/>
      </c>
      <c r="AB25" s="76" t="str">
        <f t="array" ref="AB25">INDEX(INDIRECT("PnL_"&amp;TEXT(AB$1,"mmm")&amp;"_"&amp;TEXT(AB$1,"yyyy")),MATCH(TRIM($A25),PnL_Accounts,0))</f>
        <v/>
      </c>
      <c r="AC25" s="76" t="str">
        <f t="array" ref="AC25">INDEX(INDIRECT("PnL_"&amp;TEXT(AC$1,"mmm")&amp;"_"&amp;TEXT(AC$1,"yyyy")),MATCH(TRIM($A25),PnL_Accounts,0))</f>
        <v/>
      </c>
      <c r="AD25" s="76" t="str">
        <f t="array" ref="AD25">INDEX(INDIRECT("PnL_"&amp;TEXT(AD$1,"mmm")&amp;"_"&amp;TEXT(AD$1,"yyyy")),MATCH(TRIM($A25),PnL_Accounts,0))</f>
        <v/>
      </c>
      <c r="AE25" s="76" t="str">
        <f t="array" ref="AE25">INDEX(INDIRECT("PnL_"&amp;TEXT(AE$1,"mmm")&amp;"_"&amp;TEXT(AE$1,"yyyy")),MATCH(TRIM($A25),PnL_Accounts,0))</f>
        <v/>
      </c>
    </row>
    <row r="26" ht="15.75" customHeight="1">
      <c r="A26" s="1" t="s">
        <v>261</v>
      </c>
      <c r="B26" s="160">
        <f>AVERAGEIFS(26:26,$1:$1,"&gt;="&amp;DATE(YEAR(Current_Month),MONTH(Current_Month)-2,DAY(Current_Month)),$1:$1,"&lt;="&amp;EOMONTH(Current_Month,0))</f>
        <v>4450</v>
      </c>
      <c r="D26" s="76">
        <f t="array" ref="D26">INDEX(INDIRECT("PnL_"&amp;TEXT(D$1,"mmm")&amp;"_"&amp;TEXT(D$1,"yyyy")),MATCH(TRIM($A26),PnL_Accounts,0))</f>
        <v>2966</v>
      </c>
      <c r="E26" s="76">
        <f t="array" ref="E26">INDEX(INDIRECT("PnL_"&amp;TEXT(E$1,"mmm")&amp;"_"&amp;TEXT(E$1,"yyyy")),MATCH(TRIM($A26),PnL_Accounts,0))</f>
        <v>3164</v>
      </c>
      <c r="F26" s="76">
        <f t="array" ref="F26">INDEX(INDIRECT("PnL_"&amp;TEXT(F$1,"mmm")&amp;"_"&amp;TEXT(F$1,"yyyy")),MATCH(TRIM($A26),PnL_Accounts,0))</f>
        <v>3361</v>
      </c>
      <c r="G26" s="76">
        <f t="array" ref="G26">INDEX(INDIRECT("PnL_"&amp;TEXT(G$1,"mmm")&amp;"_"&amp;TEXT(G$1,"yyyy")),MATCH(TRIM($A26),PnL_Accounts,0))</f>
        <v>3361</v>
      </c>
      <c r="H26" s="76">
        <f t="array" ref="H26">INDEX(INDIRECT("PnL_"&amp;TEXT(H$1,"mmm")&amp;"_"&amp;TEXT(H$1,"yyyy")),MATCH(TRIM($A26),PnL_Accounts,0))</f>
        <v>3361</v>
      </c>
      <c r="I26" s="76">
        <f t="array" ref="I26">INDEX(INDIRECT("PnL_"&amp;TEXT(I$1,"mmm")&amp;"_"&amp;TEXT(I$1,"yyyy")),MATCH(TRIM($A26),PnL_Accounts,0))</f>
        <v>3559</v>
      </c>
      <c r="J26" s="76">
        <f t="array" ref="J26">INDEX(INDIRECT("PnL_"&amp;TEXT(J$1,"mmm")&amp;"_"&amp;TEXT(J$1,"yyyy")),MATCH(TRIM($A26),PnL_Accounts,0))</f>
        <v>3559</v>
      </c>
      <c r="K26" s="76">
        <f t="array" ref="K26">INDEX(INDIRECT("PnL_"&amp;TEXT(K$1,"mmm")&amp;"_"&amp;TEXT(K$1,"yyyy")),MATCH(TRIM($A26),PnL_Accounts,0))</f>
        <v>3559</v>
      </c>
      <c r="L26" s="76">
        <f t="array" ref="L26">INDEX(INDIRECT("PnL_"&amp;TEXT(L$1,"mmm")&amp;"_"&amp;TEXT(L$1,"yyyy")),MATCH(TRIM($A26),PnL_Accounts,0))</f>
        <v>3756</v>
      </c>
      <c r="M26" s="76">
        <f t="array" ref="M26">INDEX(INDIRECT("PnL_"&amp;TEXT(M$1,"mmm")&amp;"_"&amp;TEXT(M$1,"yyyy")),MATCH(TRIM($A26),PnL_Accounts,0))</f>
        <v>3756</v>
      </c>
      <c r="N26" s="76">
        <f t="array" ref="N26">INDEX(INDIRECT("PnL_"&amp;TEXT(N$1,"mmm")&amp;"_"&amp;TEXT(N$1,"yyyy")),MATCH(TRIM($A26),PnL_Accounts,0))</f>
        <v>3756</v>
      </c>
      <c r="O26" s="76">
        <f t="array" ref="O26">INDEX(INDIRECT("PnL_"&amp;TEXT(O$1,"mmm")&amp;"_"&amp;TEXT(O$1,"yyyy")),MATCH(TRIM($A26),PnL_Accounts,0))</f>
        <v>4150</v>
      </c>
      <c r="P26" s="76">
        <f t="array" ref="P26">INDEX(INDIRECT("PnL_"&amp;TEXT(P$1,"mmm")&amp;"_"&amp;TEXT(P$1,"yyyy")),MATCH(TRIM($A26),PnL_Accounts,0))</f>
        <v>4150</v>
      </c>
      <c r="Q26" s="76">
        <f t="array" ref="Q26">INDEX(INDIRECT("PnL_"&amp;TEXT(Q$1,"mmm")&amp;"_"&amp;TEXT(Q$1,"yyyy")),MATCH(TRIM($A26),PnL_Accounts,0))</f>
        <v>4150</v>
      </c>
      <c r="R26" s="76">
        <f t="array" ref="R26">INDEX(INDIRECT("PnL_"&amp;TEXT(R$1,"mmm")&amp;"_"&amp;TEXT(R$1,"yyyy")),MATCH(TRIM($A26),PnL_Accounts,0))</f>
        <v>4150</v>
      </c>
      <c r="S26" s="76">
        <f t="array" ref="S26">INDEX(INDIRECT("PnL_"&amp;TEXT(S$1,"mmm")&amp;"_"&amp;TEXT(S$1,"yyyy")),MATCH(TRIM($A26),PnL_Accounts,0))</f>
        <v>4150</v>
      </c>
      <c r="T26" s="76">
        <f t="array" ref="T26">INDEX(INDIRECT("PnL_"&amp;TEXT(T$1,"mmm")&amp;"_"&amp;TEXT(T$1,"yyyy")),MATCH(TRIM($A26),PnL_Accounts,0))</f>
        <v>4450</v>
      </c>
      <c r="U26" s="76">
        <f t="array" ref="U26">INDEX(INDIRECT("PnL_"&amp;TEXT(U$1,"mmm")&amp;"_"&amp;TEXT(U$1,"yyyy")),MATCH(TRIM($A26),PnL_Accounts,0))</f>
        <v>4450</v>
      </c>
      <c r="V26" s="76">
        <f t="array" ref="V26">INDEX(INDIRECT("PnL_"&amp;TEXT(V$1,"mmm")&amp;"_"&amp;TEXT(V$1,"yyyy")),MATCH(TRIM($A26),PnL_Accounts,0))</f>
        <v>4450</v>
      </c>
      <c r="W26" s="76">
        <f t="array" ref="W26">INDEX(INDIRECT("PnL_"&amp;TEXT(W$1,"mmm")&amp;"_"&amp;TEXT(W$1,"yyyy")),MATCH(TRIM($A26),PnL_Accounts,0))</f>
        <v>4450</v>
      </c>
      <c r="X26" s="76">
        <f t="array" ref="X26">INDEX(INDIRECT("PnL_"&amp;TEXT(X$1,"mmm")&amp;"_"&amp;TEXT(X$1,"yyyy")),MATCH(TRIM($A26),PnL_Accounts,0))</f>
        <v>4450</v>
      </c>
      <c r="Y26" s="76">
        <f t="array" ref="Y26">INDEX(INDIRECT("PnL_"&amp;TEXT(Y$1,"mmm")&amp;"_"&amp;TEXT(Y$1,"yyyy")),MATCH(TRIM($A26),PnL_Accounts,0))</f>
        <v>4450</v>
      </c>
      <c r="Z26" s="76">
        <f t="array" ref="Z26">INDEX(INDIRECT("PnL_"&amp;TEXT(Z$1,"mmm")&amp;"_"&amp;TEXT(Z$1,"yyyy")),MATCH(TRIM($A26),PnL_Accounts,0))</f>
        <v>4450</v>
      </c>
      <c r="AA26" s="76">
        <f t="array" ref="AA26">INDEX(INDIRECT("PnL_"&amp;TEXT(AA$1,"mmm")&amp;"_"&amp;TEXT(AA$1,"yyyy")),MATCH(TRIM($A26),PnL_Accounts,0))</f>
        <v>4450</v>
      </c>
      <c r="AB26" s="76">
        <f t="array" ref="AB26">INDEX(INDIRECT("PnL_"&amp;TEXT(AB$1,"mmm")&amp;"_"&amp;TEXT(AB$1,"yyyy")),MATCH(TRIM($A26),PnL_Accounts,0))</f>
        <v>4450</v>
      </c>
      <c r="AC26" s="76">
        <f t="array" ref="AC26">INDEX(INDIRECT("PnL_"&amp;TEXT(AC$1,"mmm")&amp;"_"&amp;TEXT(AC$1,"yyyy")),MATCH(TRIM($A26),PnL_Accounts,0))</f>
        <v>4450</v>
      </c>
      <c r="AD26" s="76">
        <f t="array" ref="AD26">INDEX(INDIRECT("PnL_"&amp;TEXT(AD$1,"mmm")&amp;"_"&amp;TEXT(AD$1,"yyyy")),MATCH(TRIM($A26),PnL_Accounts,0))</f>
        <v>4450</v>
      </c>
      <c r="AE26" s="76">
        <f t="array" ref="AE26">INDEX(INDIRECT("PnL_"&amp;TEXT(AE$1,"mmm")&amp;"_"&amp;TEXT(AE$1,"yyyy")),MATCH(TRIM($A26),PnL_Accounts,0))</f>
        <v>4450</v>
      </c>
      <c r="AF26" s="39">
        <f t="array" ref="AF26">INDEX(Hiring_Plan_Benefits_Engineering,MATCH(AF$1,Hiring_Plan_Months,0))</f>
        <v>14390</v>
      </c>
      <c r="AG26" s="39">
        <f t="array" ref="AG26">INDEX(Hiring_Plan_Benefits_Engineering,MATCH(AG$1,Hiring_Plan_Months,0))</f>
        <v>14390</v>
      </c>
      <c r="AH26" s="39">
        <f t="array" ref="AH26">INDEX(Hiring_Plan_Benefits_Engineering,MATCH(AH$1,Hiring_Plan_Months,0))</f>
        <v>14390</v>
      </c>
      <c r="AI26" s="39">
        <f t="array" ref="AI26">INDEX(Hiring_Plan_Benefits_Engineering,MATCH(AI$1,Hiring_Plan_Months,0))</f>
        <v>14390</v>
      </c>
      <c r="AJ26" s="39">
        <f t="array" ref="AJ26">INDEX(Hiring_Plan_Benefits_Engineering,MATCH(AJ$1,Hiring_Plan_Months,0))</f>
        <v>14390</v>
      </c>
      <c r="AK26" s="39">
        <f t="array" ref="AK26">INDEX(Hiring_Plan_Benefits_Engineering,MATCH(AK$1,Hiring_Plan_Months,0))</f>
        <v>15506.66667</v>
      </c>
      <c r="AL26" s="39">
        <f t="array" ref="AL26">INDEX(Hiring_Plan_Benefits_Engineering,MATCH(AL$1,Hiring_Plan_Months,0))</f>
        <v>15506.66667</v>
      </c>
      <c r="AM26" s="39">
        <f t="array" ref="AM26">INDEX(Hiring_Plan_Benefits_Engineering,MATCH(AM$1,Hiring_Plan_Months,0))</f>
        <v>15506.66667</v>
      </c>
      <c r="AN26" s="39">
        <f t="array" ref="AN26">INDEX(Hiring_Plan_Benefits_Engineering,MATCH(AN$1,Hiring_Plan_Months,0))</f>
        <v>16590</v>
      </c>
      <c r="AO26" s="39">
        <f t="array" ref="AO26">INDEX(Hiring_Plan_Benefits_Engineering,MATCH(AO$1,Hiring_Plan_Months,0))</f>
        <v>16590</v>
      </c>
      <c r="AP26" s="39">
        <f t="array" ref="AP26">INDEX(Hiring_Plan_Benefits_Engineering,MATCH(AP$1,Hiring_Plan_Months,0))</f>
        <v>16590</v>
      </c>
      <c r="AQ26" s="39">
        <f t="array" ref="AQ26">INDEX(Hiring_Plan_Benefits_Engineering,MATCH(AQ$1,Hiring_Plan_Months,0))</f>
        <v>17673.33333</v>
      </c>
      <c r="AR26" s="39">
        <f t="array" ref="AR26">INDEX(Hiring_Plan_Benefits_Engineering,MATCH(AR$1,Hiring_Plan_Months,0))</f>
        <v>17673.33333</v>
      </c>
      <c r="AS26" s="39">
        <f t="array" ref="AS26">INDEX(Hiring_Plan_Benefits_Engineering,MATCH(AS$1,Hiring_Plan_Months,0))</f>
        <v>17673.33333</v>
      </c>
      <c r="AT26" s="39">
        <f t="array" ref="AT26">INDEX(Hiring_Plan_Benefits_Engineering,MATCH(AT$1,Hiring_Plan_Months,0))</f>
        <v>18780</v>
      </c>
      <c r="AU26" s="39">
        <f t="array" ref="AU26">INDEX(Hiring_Plan_Benefits_Engineering,MATCH(AU$1,Hiring_Plan_Months,0))</f>
        <v>18780</v>
      </c>
      <c r="AV26" s="39">
        <f t="array" ref="AV26">INDEX(Hiring_Plan_Benefits_Engineering,MATCH(AV$1,Hiring_Plan_Months,0))</f>
        <v>18780</v>
      </c>
      <c r="AW26" s="39">
        <f t="array" ref="AW26">INDEX(Hiring_Plan_Benefits_Engineering,MATCH(AW$1,Hiring_Plan_Months,0))</f>
        <v>19830</v>
      </c>
      <c r="AX26" s="39">
        <f t="array" ref="AX26">INDEX(Hiring_Plan_Benefits_Engineering,MATCH(AX$1,Hiring_Plan_Months,0))</f>
        <v>19830</v>
      </c>
      <c r="AY26" s="39">
        <f t="array" ref="AY26">INDEX(Hiring_Plan_Benefits_Engineering,MATCH(AY$1,Hiring_Plan_Months,0))</f>
        <v>19830</v>
      </c>
      <c r="AZ26" s="39">
        <f t="array" ref="AZ26">INDEX(Hiring_Plan_Benefits_Engineering,MATCH(AZ$1,Hiring_Plan_Months,0))</f>
        <v>20880</v>
      </c>
      <c r="BA26" s="39">
        <f t="array" ref="BA26">INDEX(Hiring_Plan_Benefits_Engineering,MATCH(BA$1,Hiring_Plan_Months,0))</f>
        <v>20880</v>
      </c>
      <c r="BB26" s="39">
        <f t="array" ref="BB26">INDEX(Hiring_Plan_Benefits_Engineering,MATCH(BB$1,Hiring_Plan_Months,0))</f>
        <v>20880</v>
      </c>
      <c r="BC26" s="39">
        <f t="array" ref="BC26">INDEX(Hiring_Plan_Benefits_Engineering,MATCH(BC$1,Hiring_Plan_Months,0))</f>
        <v>21930</v>
      </c>
      <c r="BD26" s="39">
        <f t="array" ref="BD26">INDEX(Hiring_Plan_Benefits_Engineering,MATCH(BD$1,Hiring_Plan_Months,0))</f>
        <v>21930</v>
      </c>
      <c r="BE26" s="39">
        <f t="array" ref="BE26">INDEX(Hiring_Plan_Benefits_Engineering,MATCH(BE$1,Hiring_Plan_Months,0))</f>
        <v>21930</v>
      </c>
      <c r="BF26" s="39">
        <f t="array" ref="BF26">INDEX(Hiring_Plan_Benefits_Engineering,MATCH(BF$1,Hiring_Plan_Months,0))</f>
        <v>22980</v>
      </c>
      <c r="BG26" s="39">
        <f t="array" ref="BG26">INDEX(Hiring_Plan_Benefits_Engineering,MATCH(BG$1,Hiring_Plan_Months,0))</f>
        <v>22980</v>
      </c>
      <c r="BH26" s="39">
        <f t="array" ref="BH26">INDEX(Hiring_Plan_Benefits_Engineering,MATCH(BH$1,Hiring_Plan_Months,0))</f>
        <v>22980</v>
      </c>
      <c r="BI26" s="39">
        <f t="array" ref="BI26">INDEX(Hiring_Plan_Benefits_Engineering,MATCH(BI$1,Hiring_Plan_Months,0))</f>
        <v>24030</v>
      </c>
      <c r="BJ26" s="39">
        <f t="array" ref="BJ26">INDEX(Hiring_Plan_Benefits_Engineering,MATCH(BJ$1,Hiring_Plan_Months,0))</f>
        <v>24030</v>
      </c>
      <c r="BK26" s="39">
        <f t="array" ref="BK26">INDEX(Hiring_Plan_Benefits_Engineering,MATCH(BK$1,Hiring_Plan_Months,0))</f>
        <v>24030</v>
      </c>
      <c r="BL26" s="39">
        <f t="array" ref="BL26">INDEX(Hiring_Plan_Benefits_Engineering,MATCH(BL$1,Hiring_Plan_Months,0))</f>
        <v>25080</v>
      </c>
      <c r="BM26" s="39">
        <f t="array" ref="BM26">INDEX(Hiring_Plan_Benefits_Engineering,MATCH(BM$1,Hiring_Plan_Months,0))</f>
        <v>25080</v>
      </c>
      <c r="BN26" s="39">
        <f t="array" ref="BN26">INDEX(Hiring_Plan_Benefits_Engineering,MATCH(BN$1,Hiring_Plan_Months,0))</f>
        <v>25080</v>
      </c>
      <c r="BO26" s="39">
        <f t="array" ref="BO26">INDEX(Hiring_Plan_Benefits_Engineering,MATCH(BO$1,Hiring_Plan_Months,0))</f>
        <v>26130</v>
      </c>
      <c r="BP26" s="39">
        <f t="array" ref="BP26">INDEX(Hiring_Plan_Benefits_Engineering,MATCH(BP$1,Hiring_Plan_Months,0))</f>
        <v>26130</v>
      </c>
      <c r="BQ26" s="39">
        <f t="array" ref="BQ26">INDEX(Hiring_Plan_Benefits_Engineering,MATCH(BQ$1,Hiring_Plan_Months,0))</f>
        <v>26130</v>
      </c>
      <c r="BR26" s="39">
        <f t="array" ref="BR26">INDEX(Hiring_Plan_Benefits_Engineering,MATCH(BR$1,Hiring_Plan_Months,0))</f>
        <v>27180</v>
      </c>
      <c r="BS26" s="39">
        <f t="array" ref="BS26">INDEX(Hiring_Plan_Benefits_Engineering,MATCH(BS$1,Hiring_Plan_Months,0))</f>
        <v>27180</v>
      </c>
      <c r="BT26" s="39">
        <f t="array" ref="BT26">INDEX(Hiring_Plan_Benefits_Engineering,MATCH(BT$1,Hiring_Plan_Months,0))</f>
        <v>27180</v>
      </c>
      <c r="BU26" s="39">
        <f t="array" ref="BU26">INDEX(Hiring_Plan_Benefits_Engineering,MATCH(BU$1,Hiring_Plan_Months,0))</f>
        <v>27180</v>
      </c>
      <c r="BV26" s="39">
        <f t="array" ref="BV26">INDEX(Hiring_Plan_Benefits_Engineering,MATCH(BV$1,Hiring_Plan_Months,0))</f>
        <v>27180</v>
      </c>
      <c r="BW26" s="39">
        <f t="array" ref="BW26">INDEX(Hiring_Plan_Benefits_Engineering,MATCH(BW$1,Hiring_Plan_Months,0))</f>
        <v>27180</v>
      </c>
    </row>
    <row r="27" ht="15.75" customHeight="1">
      <c r="A27" s="1" t="s">
        <v>262</v>
      </c>
      <c r="B27" s="160">
        <f>AVERAGEIFS(27:27,$1:$1,"&gt;="&amp;DATE(YEAR(Current_Month),MONTH(Current_Month)-2,DAY(Current_Month)),$1:$1,"&lt;="&amp;EOMONTH(Current_Month,0))</f>
        <v>19450</v>
      </c>
      <c r="D27" s="76">
        <f t="array" ref="D27">INDEX(INDIRECT("PnL_"&amp;TEXT(D$1,"mmm")&amp;"_"&amp;TEXT(D$1,"yyyy")),MATCH(TRIM($A27),PnL_Accounts,0))</f>
        <v>14850</v>
      </c>
      <c r="E27" s="76">
        <f t="array" ref="E27">INDEX(INDIRECT("PnL_"&amp;TEXT(E$1,"mmm")&amp;"_"&amp;TEXT(E$1,"yyyy")),MATCH(TRIM($A27),PnL_Accounts,0))</f>
        <v>15600</v>
      </c>
      <c r="F27" s="76">
        <f t="array" ref="F27">INDEX(INDIRECT("PnL_"&amp;TEXT(F$1,"mmm")&amp;"_"&amp;TEXT(F$1,"yyyy")),MATCH(TRIM($A27),PnL_Accounts,0))</f>
        <v>16574</v>
      </c>
      <c r="G27" s="76">
        <f t="array" ref="G27">INDEX(INDIRECT("PnL_"&amp;TEXT(G$1,"mmm")&amp;"_"&amp;TEXT(G$1,"yyyy")),MATCH(TRIM($A27),PnL_Accounts,0))</f>
        <v>16574</v>
      </c>
      <c r="H27" s="76">
        <f t="array" ref="H27">INDEX(INDIRECT("PnL_"&amp;TEXT(H$1,"mmm")&amp;"_"&amp;TEXT(H$1,"yyyy")),MATCH(TRIM($A27),PnL_Accounts,0))</f>
        <v>16574</v>
      </c>
      <c r="I27" s="76">
        <f t="array" ref="I27">INDEX(INDIRECT("PnL_"&amp;TEXT(I$1,"mmm")&amp;"_"&amp;TEXT(I$1,"yyyy")),MATCH(TRIM($A27),PnL_Accounts,0))</f>
        <v>17549</v>
      </c>
      <c r="J27" s="76">
        <f t="array" ref="J27">INDEX(INDIRECT("PnL_"&amp;TEXT(J$1,"mmm")&amp;"_"&amp;TEXT(J$1,"yyyy")),MATCH(TRIM($A27),PnL_Accounts,0))</f>
        <v>17549</v>
      </c>
      <c r="K27" s="76">
        <f t="array" ref="K27">INDEX(INDIRECT("PnL_"&amp;TEXT(K$1,"mmm")&amp;"_"&amp;TEXT(K$1,"yyyy")),MATCH(TRIM($A27),PnL_Accounts,0))</f>
        <v>17549</v>
      </c>
      <c r="L27" s="76">
        <f t="array" ref="L27">INDEX(INDIRECT("PnL_"&amp;TEXT(L$1,"mmm")&amp;"_"&amp;TEXT(L$1,"yyyy")),MATCH(TRIM($A27),PnL_Accounts,0))</f>
        <v>18017</v>
      </c>
      <c r="M27" s="76">
        <f t="array" ref="M27">INDEX(INDIRECT("PnL_"&amp;TEXT(M$1,"mmm")&amp;"_"&amp;TEXT(M$1,"yyyy")),MATCH(TRIM($A27),PnL_Accounts,0))</f>
        <v>18017</v>
      </c>
      <c r="N27" s="76">
        <f t="array" ref="N27">INDEX(INDIRECT("PnL_"&amp;TEXT(N$1,"mmm")&amp;"_"&amp;TEXT(N$1,"yyyy")),MATCH(TRIM($A27),PnL_Accounts,0))</f>
        <v>18017</v>
      </c>
      <c r="O27" s="76">
        <f t="array" ref="O27">INDEX(INDIRECT("PnL_"&amp;TEXT(O$1,"mmm")&amp;"_"&amp;TEXT(O$1,"yyyy")),MATCH(TRIM($A27),PnL_Accounts,0))</f>
        <v>18962</v>
      </c>
      <c r="P27" s="76">
        <f t="array" ref="P27">INDEX(INDIRECT("PnL_"&amp;TEXT(P$1,"mmm")&amp;"_"&amp;TEXT(P$1,"yyyy")),MATCH(TRIM($A27),PnL_Accounts,0))</f>
        <v>18962</v>
      </c>
      <c r="Q27" s="76">
        <f t="array" ref="Q27">INDEX(INDIRECT("PnL_"&amp;TEXT(Q$1,"mmm")&amp;"_"&amp;TEXT(Q$1,"yyyy")),MATCH(TRIM($A27),PnL_Accounts,0))</f>
        <v>18962</v>
      </c>
      <c r="R27" s="76">
        <f t="array" ref="R27">INDEX(INDIRECT("PnL_"&amp;TEXT(R$1,"mmm")&amp;"_"&amp;TEXT(R$1,"yyyy")),MATCH(TRIM($A27),PnL_Accounts,0))</f>
        <v>18962</v>
      </c>
      <c r="S27" s="76">
        <f t="array" ref="S27">INDEX(INDIRECT("PnL_"&amp;TEXT(S$1,"mmm")&amp;"_"&amp;TEXT(S$1,"yyyy")),MATCH(TRIM($A27),PnL_Accounts,0))</f>
        <v>18962</v>
      </c>
      <c r="T27" s="76">
        <f t="array" ref="T27">INDEX(INDIRECT("PnL_"&amp;TEXT(T$1,"mmm")&amp;"_"&amp;TEXT(T$1,"yyyy")),MATCH(TRIM($A27),PnL_Accounts,0))</f>
        <v>19450</v>
      </c>
      <c r="U27" s="76">
        <f t="array" ref="U27">INDEX(INDIRECT("PnL_"&amp;TEXT(U$1,"mmm")&amp;"_"&amp;TEXT(U$1,"yyyy")),MATCH(TRIM($A27),PnL_Accounts,0))</f>
        <v>19450</v>
      </c>
      <c r="V27" s="76">
        <f t="array" ref="V27">INDEX(INDIRECT("PnL_"&amp;TEXT(V$1,"mmm")&amp;"_"&amp;TEXT(V$1,"yyyy")),MATCH(TRIM($A27),PnL_Accounts,0))</f>
        <v>19450</v>
      </c>
      <c r="W27" s="76">
        <f t="array" ref="W27">INDEX(INDIRECT("PnL_"&amp;TEXT(W$1,"mmm")&amp;"_"&amp;TEXT(W$1,"yyyy")),MATCH(TRIM($A27),PnL_Accounts,0))</f>
        <v>19450</v>
      </c>
      <c r="X27" s="76">
        <f t="array" ref="X27">INDEX(INDIRECT("PnL_"&amp;TEXT(X$1,"mmm")&amp;"_"&amp;TEXT(X$1,"yyyy")),MATCH(TRIM($A27),PnL_Accounts,0))</f>
        <v>19450</v>
      </c>
      <c r="Y27" s="76">
        <f t="array" ref="Y27">INDEX(INDIRECT("PnL_"&amp;TEXT(Y$1,"mmm")&amp;"_"&amp;TEXT(Y$1,"yyyy")),MATCH(TRIM($A27),PnL_Accounts,0))</f>
        <v>19450</v>
      </c>
      <c r="Z27" s="76">
        <f t="array" ref="Z27">INDEX(INDIRECT("PnL_"&amp;TEXT(Z$1,"mmm")&amp;"_"&amp;TEXT(Z$1,"yyyy")),MATCH(TRIM($A27),PnL_Accounts,0))</f>
        <v>19450</v>
      </c>
      <c r="AA27" s="76">
        <f t="array" ref="AA27">INDEX(INDIRECT("PnL_"&amp;TEXT(AA$1,"mmm")&amp;"_"&amp;TEXT(AA$1,"yyyy")),MATCH(TRIM($A27),PnL_Accounts,0))</f>
        <v>19450</v>
      </c>
      <c r="AB27" s="76">
        <f t="array" ref="AB27">INDEX(INDIRECT("PnL_"&amp;TEXT(AB$1,"mmm")&amp;"_"&amp;TEXT(AB$1,"yyyy")),MATCH(TRIM($A27),PnL_Accounts,0))</f>
        <v>19450</v>
      </c>
      <c r="AC27" s="76">
        <f t="array" ref="AC27">INDEX(INDIRECT("PnL_"&amp;TEXT(AC$1,"mmm")&amp;"_"&amp;TEXT(AC$1,"yyyy")),MATCH(TRIM($A27),PnL_Accounts,0))</f>
        <v>19450</v>
      </c>
      <c r="AD27" s="76">
        <f t="array" ref="AD27">INDEX(INDIRECT("PnL_"&amp;TEXT(AD$1,"mmm")&amp;"_"&amp;TEXT(AD$1,"yyyy")),MATCH(TRIM($A27),PnL_Accounts,0))</f>
        <v>19450</v>
      </c>
      <c r="AE27" s="76">
        <f t="array" ref="AE27">INDEX(INDIRECT("PnL_"&amp;TEXT(AE$1,"mmm")&amp;"_"&amp;TEXT(AE$1,"yyyy")),MATCH(TRIM($A27),PnL_Accounts,0))</f>
        <v>19450</v>
      </c>
      <c r="AF27" s="39">
        <f t="array" ref="AF27">INDEX(Hiring_Plan_Payroll_Taxes_Engineering,MATCH(AF$1,Hiring_Plan_Months,0))</f>
        <v>17752.5</v>
      </c>
      <c r="AG27" s="39">
        <f t="array" ref="AG27">INDEX(Hiring_Plan_Payroll_Taxes_Engineering,MATCH(AG$1,Hiring_Plan_Months,0))</f>
        <v>17752.5</v>
      </c>
      <c r="AH27" s="39">
        <f t="array" ref="AH27">INDEX(Hiring_Plan_Payroll_Taxes_Engineering,MATCH(AH$1,Hiring_Plan_Months,0))</f>
        <v>17752.5</v>
      </c>
      <c r="AI27" s="39">
        <f t="array" ref="AI27">INDEX(Hiring_Plan_Payroll_Taxes_Engineering,MATCH(AI$1,Hiring_Plan_Months,0))</f>
        <v>17752.5</v>
      </c>
      <c r="AJ27" s="39">
        <f t="array" ref="AJ27">INDEX(Hiring_Plan_Payroll_Taxes_Engineering,MATCH(AJ$1,Hiring_Plan_Months,0))</f>
        <v>17752.5</v>
      </c>
      <c r="AK27" s="39">
        <f t="array" ref="AK27">INDEX(Hiring_Plan_Payroll_Taxes_Engineering,MATCH(AK$1,Hiring_Plan_Months,0))</f>
        <v>19140</v>
      </c>
      <c r="AL27" s="39">
        <f t="array" ref="AL27">INDEX(Hiring_Plan_Payroll_Taxes_Engineering,MATCH(AL$1,Hiring_Plan_Months,0))</f>
        <v>19140</v>
      </c>
      <c r="AM27" s="39">
        <f t="array" ref="AM27">INDEX(Hiring_Plan_Payroll_Taxes_Engineering,MATCH(AM$1,Hiring_Plan_Months,0))</f>
        <v>19140</v>
      </c>
      <c r="AN27" s="39">
        <f t="array" ref="AN27">INDEX(Hiring_Plan_Payroll_Taxes_Engineering,MATCH(AN$1,Hiring_Plan_Months,0))</f>
        <v>20452.5</v>
      </c>
      <c r="AO27" s="39">
        <f t="array" ref="AO27">INDEX(Hiring_Plan_Payroll_Taxes_Engineering,MATCH(AO$1,Hiring_Plan_Months,0))</f>
        <v>20452.5</v>
      </c>
      <c r="AP27" s="39">
        <f t="array" ref="AP27">INDEX(Hiring_Plan_Payroll_Taxes_Engineering,MATCH(AP$1,Hiring_Plan_Months,0))</f>
        <v>20452.5</v>
      </c>
      <c r="AQ27" s="39">
        <f t="array" ref="AQ27">INDEX(Hiring_Plan_Payroll_Taxes_Engineering,MATCH(AQ$1,Hiring_Plan_Months,0))</f>
        <v>21765</v>
      </c>
      <c r="AR27" s="39">
        <f t="array" ref="AR27">INDEX(Hiring_Plan_Payroll_Taxes_Engineering,MATCH(AR$1,Hiring_Plan_Months,0))</f>
        <v>21765</v>
      </c>
      <c r="AS27" s="39">
        <f t="array" ref="AS27">INDEX(Hiring_Plan_Payroll_Taxes_Engineering,MATCH(AS$1,Hiring_Plan_Months,0))</f>
        <v>21765</v>
      </c>
      <c r="AT27" s="39">
        <f t="array" ref="AT27">INDEX(Hiring_Plan_Payroll_Taxes_Engineering,MATCH(AT$1,Hiring_Plan_Months,0))</f>
        <v>23130</v>
      </c>
      <c r="AU27" s="39">
        <f t="array" ref="AU27">INDEX(Hiring_Plan_Payroll_Taxes_Engineering,MATCH(AU$1,Hiring_Plan_Months,0))</f>
        <v>23130</v>
      </c>
      <c r="AV27" s="39">
        <f t="array" ref="AV27">INDEX(Hiring_Plan_Payroll_Taxes_Engineering,MATCH(AV$1,Hiring_Plan_Months,0))</f>
        <v>23130</v>
      </c>
      <c r="AW27" s="39">
        <f t="array" ref="AW27">INDEX(Hiring_Plan_Payroll_Taxes_Engineering,MATCH(AW$1,Hiring_Plan_Months,0))</f>
        <v>24367.5</v>
      </c>
      <c r="AX27" s="39">
        <f t="array" ref="AX27">INDEX(Hiring_Plan_Payroll_Taxes_Engineering,MATCH(AX$1,Hiring_Plan_Months,0))</f>
        <v>24367.5</v>
      </c>
      <c r="AY27" s="39">
        <f t="array" ref="AY27">INDEX(Hiring_Plan_Payroll_Taxes_Engineering,MATCH(AY$1,Hiring_Plan_Months,0))</f>
        <v>24367.5</v>
      </c>
      <c r="AZ27" s="39">
        <f t="array" ref="AZ27">INDEX(Hiring_Plan_Payroll_Taxes_Engineering,MATCH(AZ$1,Hiring_Plan_Months,0))</f>
        <v>25605</v>
      </c>
      <c r="BA27" s="39">
        <f t="array" ref="BA27">INDEX(Hiring_Plan_Payroll_Taxes_Engineering,MATCH(BA$1,Hiring_Plan_Months,0))</f>
        <v>25605</v>
      </c>
      <c r="BB27" s="39">
        <f t="array" ref="BB27">INDEX(Hiring_Plan_Payroll_Taxes_Engineering,MATCH(BB$1,Hiring_Plan_Months,0))</f>
        <v>25605</v>
      </c>
      <c r="BC27" s="39">
        <f t="array" ref="BC27">INDEX(Hiring_Plan_Payroll_Taxes_Engineering,MATCH(BC$1,Hiring_Plan_Months,0))</f>
        <v>26842.5</v>
      </c>
      <c r="BD27" s="39">
        <f t="array" ref="BD27">INDEX(Hiring_Plan_Payroll_Taxes_Engineering,MATCH(BD$1,Hiring_Plan_Months,0))</f>
        <v>26842.5</v>
      </c>
      <c r="BE27" s="39">
        <f t="array" ref="BE27">INDEX(Hiring_Plan_Payroll_Taxes_Engineering,MATCH(BE$1,Hiring_Plan_Months,0))</f>
        <v>26842.5</v>
      </c>
      <c r="BF27" s="39">
        <f t="array" ref="BF27">INDEX(Hiring_Plan_Payroll_Taxes_Engineering,MATCH(BF$1,Hiring_Plan_Months,0))</f>
        <v>28080</v>
      </c>
      <c r="BG27" s="39">
        <f t="array" ref="BG27">INDEX(Hiring_Plan_Payroll_Taxes_Engineering,MATCH(BG$1,Hiring_Plan_Months,0))</f>
        <v>28080</v>
      </c>
      <c r="BH27" s="39">
        <f t="array" ref="BH27">INDEX(Hiring_Plan_Payroll_Taxes_Engineering,MATCH(BH$1,Hiring_Plan_Months,0))</f>
        <v>28080</v>
      </c>
      <c r="BI27" s="39">
        <f t="array" ref="BI27">INDEX(Hiring_Plan_Payroll_Taxes_Engineering,MATCH(BI$1,Hiring_Plan_Months,0))</f>
        <v>29317.5</v>
      </c>
      <c r="BJ27" s="39">
        <f t="array" ref="BJ27">INDEX(Hiring_Plan_Payroll_Taxes_Engineering,MATCH(BJ$1,Hiring_Plan_Months,0))</f>
        <v>29317.5</v>
      </c>
      <c r="BK27" s="39">
        <f t="array" ref="BK27">INDEX(Hiring_Plan_Payroll_Taxes_Engineering,MATCH(BK$1,Hiring_Plan_Months,0))</f>
        <v>29317.5</v>
      </c>
      <c r="BL27" s="39">
        <f t="array" ref="BL27">INDEX(Hiring_Plan_Payroll_Taxes_Engineering,MATCH(BL$1,Hiring_Plan_Months,0))</f>
        <v>30555</v>
      </c>
      <c r="BM27" s="39">
        <f t="array" ref="BM27">INDEX(Hiring_Plan_Payroll_Taxes_Engineering,MATCH(BM$1,Hiring_Plan_Months,0))</f>
        <v>30555</v>
      </c>
      <c r="BN27" s="39">
        <f t="array" ref="BN27">INDEX(Hiring_Plan_Payroll_Taxes_Engineering,MATCH(BN$1,Hiring_Plan_Months,0))</f>
        <v>30555</v>
      </c>
      <c r="BO27" s="39">
        <f t="array" ref="BO27">INDEX(Hiring_Plan_Payroll_Taxes_Engineering,MATCH(BO$1,Hiring_Plan_Months,0))</f>
        <v>31792.5</v>
      </c>
      <c r="BP27" s="39">
        <f t="array" ref="BP27">INDEX(Hiring_Plan_Payroll_Taxes_Engineering,MATCH(BP$1,Hiring_Plan_Months,0))</f>
        <v>31792.5</v>
      </c>
      <c r="BQ27" s="39">
        <f t="array" ref="BQ27">INDEX(Hiring_Plan_Payroll_Taxes_Engineering,MATCH(BQ$1,Hiring_Plan_Months,0))</f>
        <v>31792.5</v>
      </c>
      <c r="BR27" s="39">
        <f t="array" ref="BR27">INDEX(Hiring_Plan_Payroll_Taxes_Engineering,MATCH(BR$1,Hiring_Plan_Months,0))</f>
        <v>33030</v>
      </c>
      <c r="BS27" s="39">
        <f t="array" ref="BS27">INDEX(Hiring_Plan_Payroll_Taxes_Engineering,MATCH(BS$1,Hiring_Plan_Months,0))</f>
        <v>33030</v>
      </c>
      <c r="BT27" s="39">
        <f t="array" ref="BT27">INDEX(Hiring_Plan_Payroll_Taxes_Engineering,MATCH(BT$1,Hiring_Plan_Months,0))</f>
        <v>33030</v>
      </c>
      <c r="BU27" s="39">
        <f t="array" ref="BU27">INDEX(Hiring_Plan_Payroll_Taxes_Engineering,MATCH(BU$1,Hiring_Plan_Months,0))</f>
        <v>33030</v>
      </c>
      <c r="BV27" s="39">
        <f t="array" ref="BV27">INDEX(Hiring_Plan_Payroll_Taxes_Engineering,MATCH(BV$1,Hiring_Plan_Months,0))</f>
        <v>33030</v>
      </c>
      <c r="BW27" s="39">
        <f t="array" ref="BW27">INDEX(Hiring_Plan_Payroll_Taxes_Engineering,MATCH(BW$1,Hiring_Plan_Months,0))</f>
        <v>33030</v>
      </c>
    </row>
    <row r="28" ht="15.75" customHeight="1">
      <c r="A28" s="1" t="s">
        <v>263</v>
      </c>
      <c r="B28" s="160">
        <f>AVERAGEIFS(28:28,$1:$1,"&gt;="&amp;DATE(YEAR(Current_Month),MONTH(Current_Month)-2,DAY(Current_Month)),$1:$1,"&lt;="&amp;EOMONTH(Current_Month,0))</f>
        <v>225052</v>
      </c>
      <c r="D28" s="76">
        <f t="array" ref="D28">INDEX(INDIRECT("PnL_"&amp;TEXT(D$1,"mmm")&amp;"_"&amp;TEXT(D$1,"yyyy")),MATCH(TRIM($A28),PnL_Accounts,0))</f>
        <v>165000</v>
      </c>
      <c r="E28" s="76">
        <f t="array" ref="E28">INDEX(INDIRECT("PnL_"&amp;TEXT(E$1,"mmm")&amp;"_"&amp;TEXT(E$1,"yyyy")),MATCH(TRIM($A28),PnL_Accounts,0))</f>
        <v>173328</v>
      </c>
      <c r="F28" s="76">
        <f t="array" ref="F28">INDEX(INDIRECT("PnL_"&amp;TEXT(F$1,"mmm")&amp;"_"&amp;TEXT(F$1,"yyyy")),MATCH(TRIM($A28),PnL_Accounts,0))</f>
        <v>184161</v>
      </c>
      <c r="G28" s="76">
        <f t="array" ref="G28">INDEX(INDIRECT("PnL_"&amp;TEXT(G$1,"mmm")&amp;"_"&amp;TEXT(G$1,"yyyy")),MATCH(TRIM($A28),PnL_Accounts,0))</f>
        <v>184161</v>
      </c>
      <c r="H28" s="76">
        <f t="array" ref="H28">INDEX(INDIRECT("PnL_"&amp;TEXT(H$1,"mmm")&amp;"_"&amp;TEXT(H$1,"yyyy")),MATCH(TRIM($A28),PnL_Accounts,0))</f>
        <v>184161</v>
      </c>
      <c r="I28" s="76">
        <f t="array" ref="I28">INDEX(INDIRECT("PnL_"&amp;TEXT(I$1,"mmm")&amp;"_"&amp;TEXT(I$1,"yyyy")),MATCH(TRIM($A28),PnL_Accounts,0))</f>
        <v>194994</v>
      </c>
      <c r="J28" s="76">
        <f t="array" ref="J28">INDEX(INDIRECT("PnL_"&amp;TEXT(J$1,"mmm")&amp;"_"&amp;TEXT(J$1,"yyyy")),MATCH(TRIM($A28),PnL_Accounts,0))</f>
        <v>194994</v>
      </c>
      <c r="K28" s="76">
        <f t="array" ref="K28">INDEX(INDIRECT("PnL_"&amp;TEXT(K$1,"mmm")&amp;"_"&amp;TEXT(K$1,"yyyy")),MATCH(TRIM($A28),PnL_Accounts,0))</f>
        <v>194994</v>
      </c>
      <c r="L28" s="76">
        <f t="array" ref="L28">INDEX(INDIRECT("PnL_"&amp;TEXT(L$1,"mmm")&amp;"_"&amp;TEXT(L$1,"yyyy")),MATCH(TRIM($A28),PnL_Accounts,0))</f>
        <v>200194</v>
      </c>
      <c r="M28" s="76">
        <f t="array" ref="M28">INDEX(INDIRECT("PnL_"&amp;TEXT(M$1,"mmm")&amp;"_"&amp;TEXT(M$1,"yyyy")),MATCH(TRIM($A28),PnL_Accounts,0))</f>
        <v>200194</v>
      </c>
      <c r="N28" s="76">
        <f t="array" ref="N28">INDEX(INDIRECT("PnL_"&amp;TEXT(N$1,"mmm")&amp;"_"&amp;TEXT(N$1,"yyyy")),MATCH(TRIM($A28),PnL_Accounts,0))</f>
        <v>200194</v>
      </c>
      <c r="O28" s="76">
        <f t="array" ref="O28">INDEX(INDIRECT("PnL_"&amp;TEXT(O$1,"mmm")&amp;"_"&amp;TEXT(O$1,"yyyy")),MATCH(TRIM($A28),PnL_Accounts,0))</f>
        <v>210694</v>
      </c>
      <c r="P28" s="76">
        <f t="array" ref="P28">INDEX(INDIRECT("PnL_"&amp;TEXT(P$1,"mmm")&amp;"_"&amp;TEXT(P$1,"yyyy")),MATCH(TRIM($A28),PnL_Accounts,0))</f>
        <v>210694</v>
      </c>
      <c r="Q28" s="76">
        <f t="array" ref="Q28">INDEX(INDIRECT("PnL_"&amp;TEXT(Q$1,"mmm")&amp;"_"&amp;TEXT(Q$1,"yyyy")),MATCH(TRIM($A28),PnL_Accounts,0))</f>
        <v>210694</v>
      </c>
      <c r="R28" s="76">
        <f t="array" ref="R28">INDEX(INDIRECT("PnL_"&amp;TEXT(R$1,"mmm")&amp;"_"&amp;TEXT(R$1,"yyyy")),MATCH(TRIM($A28),PnL_Accounts,0))</f>
        <v>210694</v>
      </c>
      <c r="S28" s="76">
        <f t="array" ref="S28">INDEX(INDIRECT("PnL_"&amp;TEXT(S$1,"mmm")&amp;"_"&amp;TEXT(S$1,"yyyy")),MATCH(TRIM($A28),PnL_Accounts,0))</f>
        <v>210694</v>
      </c>
      <c r="T28" s="76">
        <f t="array" ref="T28">INDEX(INDIRECT("PnL_"&amp;TEXT(T$1,"mmm")&amp;"_"&amp;TEXT(T$1,"yyyy")),MATCH(TRIM($A28),PnL_Accounts,0))</f>
        <v>215694</v>
      </c>
      <c r="U28" s="76">
        <f t="array" ref="U28">INDEX(INDIRECT("PnL_"&amp;TEXT(U$1,"mmm")&amp;"_"&amp;TEXT(U$1,"yyyy")),MATCH(TRIM($A28),PnL_Accounts,0))</f>
        <v>215694</v>
      </c>
      <c r="V28" s="76">
        <f t="array" ref="V28">INDEX(INDIRECT("PnL_"&amp;TEXT(V$1,"mmm")&amp;"_"&amp;TEXT(V$1,"yyyy")),MATCH(TRIM($A28),PnL_Accounts,0))</f>
        <v>215694</v>
      </c>
      <c r="W28" s="76">
        <f t="array" ref="W28">INDEX(INDIRECT("PnL_"&amp;TEXT(W$1,"mmm")&amp;"_"&amp;TEXT(W$1,"yyyy")),MATCH(TRIM($A28),PnL_Accounts,0))</f>
        <v>215694</v>
      </c>
      <c r="X28" s="76">
        <f t="array" ref="X28">INDEX(INDIRECT("PnL_"&amp;TEXT(X$1,"mmm")&amp;"_"&amp;TEXT(X$1,"yyyy")),MATCH(TRIM($A28),PnL_Accounts,0))</f>
        <v>215694</v>
      </c>
      <c r="Y28" s="76">
        <f t="array" ref="Y28">INDEX(INDIRECT("PnL_"&amp;TEXT(Y$1,"mmm")&amp;"_"&amp;TEXT(Y$1,"yyyy")),MATCH(TRIM($A28),PnL_Accounts,0))</f>
        <v>225052</v>
      </c>
      <c r="Z28" s="76">
        <f t="array" ref="Z28">INDEX(INDIRECT("PnL_"&amp;TEXT(Z$1,"mmm")&amp;"_"&amp;TEXT(Z$1,"yyyy")),MATCH(TRIM($A28),PnL_Accounts,0))</f>
        <v>225052</v>
      </c>
      <c r="AA28" s="76">
        <f t="array" ref="AA28">INDEX(INDIRECT("PnL_"&amp;TEXT(AA$1,"mmm")&amp;"_"&amp;TEXT(AA$1,"yyyy")),MATCH(TRIM($A28),PnL_Accounts,0))</f>
        <v>225052</v>
      </c>
      <c r="AB28" s="76">
        <f t="array" ref="AB28">INDEX(INDIRECT("PnL_"&amp;TEXT(AB$1,"mmm")&amp;"_"&amp;TEXT(AB$1,"yyyy")),MATCH(TRIM($A28),PnL_Accounts,0))</f>
        <v>225052</v>
      </c>
      <c r="AC28" s="76">
        <f t="array" ref="AC28">INDEX(INDIRECT("PnL_"&amp;TEXT(AC$1,"mmm")&amp;"_"&amp;TEXT(AC$1,"yyyy")),MATCH(TRIM($A28),PnL_Accounts,0))</f>
        <v>225052</v>
      </c>
      <c r="AD28" s="76">
        <f t="array" ref="AD28">INDEX(INDIRECT("PnL_"&amp;TEXT(AD$1,"mmm")&amp;"_"&amp;TEXT(AD$1,"yyyy")),MATCH(TRIM($A28),PnL_Accounts,0))</f>
        <v>225052</v>
      </c>
      <c r="AE28" s="76">
        <f t="array" ref="AE28">INDEX(INDIRECT("PnL_"&amp;TEXT(AE$1,"mmm")&amp;"_"&amp;TEXT(AE$1,"yyyy")),MATCH(TRIM($A28),PnL_Accounts,0))</f>
        <v>225052</v>
      </c>
      <c r="AF28" s="39">
        <f t="array" ref="AF28">INDEX(Hiring_Plan_Salaries_Engineering,MATCH(AF$1,Hiring_Plan_Months,0))</f>
        <v>197250</v>
      </c>
      <c r="AG28" s="39">
        <f t="array" ref="AG28">INDEX(Hiring_Plan_Salaries_Engineering,MATCH(AG$1,Hiring_Plan_Months,0))</f>
        <v>197250</v>
      </c>
      <c r="AH28" s="39">
        <f t="array" ref="AH28">INDEX(Hiring_Plan_Salaries_Engineering,MATCH(AH$1,Hiring_Plan_Months,0))</f>
        <v>197250</v>
      </c>
      <c r="AI28" s="39">
        <f t="array" ref="AI28">INDEX(Hiring_Plan_Salaries_Engineering,MATCH(AI$1,Hiring_Plan_Months,0))</f>
        <v>197250</v>
      </c>
      <c r="AJ28" s="39">
        <f t="array" ref="AJ28">INDEX(Hiring_Plan_Salaries_Engineering,MATCH(AJ$1,Hiring_Plan_Months,0))</f>
        <v>197250</v>
      </c>
      <c r="AK28" s="39">
        <f t="array" ref="AK28">INDEX(Hiring_Plan_Salaries_Engineering,MATCH(AK$1,Hiring_Plan_Months,0))</f>
        <v>212666.6667</v>
      </c>
      <c r="AL28" s="39">
        <f t="array" ref="AL28">INDEX(Hiring_Plan_Salaries_Engineering,MATCH(AL$1,Hiring_Plan_Months,0))</f>
        <v>212666.6667</v>
      </c>
      <c r="AM28" s="39">
        <f t="array" ref="AM28">INDEX(Hiring_Plan_Salaries_Engineering,MATCH(AM$1,Hiring_Plan_Months,0))</f>
        <v>212666.6667</v>
      </c>
      <c r="AN28" s="39">
        <f t="array" ref="AN28">INDEX(Hiring_Plan_Salaries_Engineering,MATCH(AN$1,Hiring_Plan_Months,0))</f>
        <v>227250</v>
      </c>
      <c r="AO28" s="39">
        <f t="array" ref="AO28">INDEX(Hiring_Plan_Salaries_Engineering,MATCH(AO$1,Hiring_Plan_Months,0))</f>
        <v>227250</v>
      </c>
      <c r="AP28" s="39">
        <f t="array" ref="AP28">INDEX(Hiring_Plan_Salaries_Engineering,MATCH(AP$1,Hiring_Plan_Months,0))</f>
        <v>227250</v>
      </c>
      <c r="AQ28" s="39">
        <f t="array" ref="AQ28">INDEX(Hiring_Plan_Salaries_Engineering,MATCH(AQ$1,Hiring_Plan_Months,0))</f>
        <v>241833.3333</v>
      </c>
      <c r="AR28" s="39">
        <f t="array" ref="AR28">INDEX(Hiring_Plan_Salaries_Engineering,MATCH(AR$1,Hiring_Plan_Months,0))</f>
        <v>241833.3333</v>
      </c>
      <c r="AS28" s="39">
        <f t="array" ref="AS28">INDEX(Hiring_Plan_Salaries_Engineering,MATCH(AS$1,Hiring_Plan_Months,0))</f>
        <v>241833.3333</v>
      </c>
      <c r="AT28" s="39">
        <f t="array" ref="AT28">INDEX(Hiring_Plan_Salaries_Engineering,MATCH(AT$1,Hiring_Plan_Months,0))</f>
        <v>257000</v>
      </c>
      <c r="AU28" s="39">
        <f t="array" ref="AU28">INDEX(Hiring_Plan_Salaries_Engineering,MATCH(AU$1,Hiring_Plan_Months,0))</f>
        <v>257000</v>
      </c>
      <c r="AV28" s="39">
        <f t="array" ref="AV28">INDEX(Hiring_Plan_Salaries_Engineering,MATCH(AV$1,Hiring_Plan_Months,0))</f>
        <v>257000</v>
      </c>
      <c r="AW28" s="39">
        <f t="array" ref="AW28">INDEX(Hiring_Plan_Salaries_Engineering,MATCH(AW$1,Hiring_Plan_Months,0))</f>
        <v>270750</v>
      </c>
      <c r="AX28" s="39">
        <f t="array" ref="AX28">INDEX(Hiring_Plan_Salaries_Engineering,MATCH(AX$1,Hiring_Plan_Months,0))</f>
        <v>270750</v>
      </c>
      <c r="AY28" s="39">
        <f t="array" ref="AY28">INDEX(Hiring_Plan_Salaries_Engineering,MATCH(AY$1,Hiring_Plan_Months,0))</f>
        <v>270750</v>
      </c>
      <c r="AZ28" s="39">
        <f t="array" ref="AZ28">INDEX(Hiring_Plan_Salaries_Engineering,MATCH(AZ$1,Hiring_Plan_Months,0))</f>
        <v>284500</v>
      </c>
      <c r="BA28" s="39">
        <f t="array" ref="BA28">INDEX(Hiring_Plan_Salaries_Engineering,MATCH(BA$1,Hiring_Plan_Months,0))</f>
        <v>284500</v>
      </c>
      <c r="BB28" s="39">
        <f t="array" ref="BB28">INDEX(Hiring_Plan_Salaries_Engineering,MATCH(BB$1,Hiring_Plan_Months,0))</f>
        <v>284500</v>
      </c>
      <c r="BC28" s="39">
        <f t="array" ref="BC28">INDEX(Hiring_Plan_Salaries_Engineering,MATCH(BC$1,Hiring_Plan_Months,0))</f>
        <v>298250</v>
      </c>
      <c r="BD28" s="39">
        <f t="array" ref="BD28">INDEX(Hiring_Plan_Salaries_Engineering,MATCH(BD$1,Hiring_Plan_Months,0))</f>
        <v>298250</v>
      </c>
      <c r="BE28" s="39">
        <f t="array" ref="BE28">INDEX(Hiring_Plan_Salaries_Engineering,MATCH(BE$1,Hiring_Plan_Months,0))</f>
        <v>298250</v>
      </c>
      <c r="BF28" s="39">
        <f t="array" ref="BF28">INDEX(Hiring_Plan_Salaries_Engineering,MATCH(BF$1,Hiring_Plan_Months,0))</f>
        <v>312000</v>
      </c>
      <c r="BG28" s="39">
        <f t="array" ref="BG28">INDEX(Hiring_Plan_Salaries_Engineering,MATCH(BG$1,Hiring_Plan_Months,0))</f>
        <v>312000</v>
      </c>
      <c r="BH28" s="39">
        <f t="array" ref="BH28">INDEX(Hiring_Plan_Salaries_Engineering,MATCH(BH$1,Hiring_Plan_Months,0))</f>
        <v>312000</v>
      </c>
      <c r="BI28" s="39">
        <f t="array" ref="BI28">INDEX(Hiring_Plan_Salaries_Engineering,MATCH(BI$1,Hiring_Plan_Months,0))</f>
        <v>325750</v>
      </c>
      <c r="BJ28" s="39">
        <f t="array" ref="BJ28">INDEX(Hiring_Plan_Salaries_Engineering,MATCH(BJ$1,Hiring_Plan_Months,0))</f>
        <v>325750</v>
      </c>
      <c r="BK28" s="39">
        <f t="array" ref="BK28">INDEX(Hiring_Plan_Salaries_Engineering,MATCH(BK$1,Hiring_Plan_Months,0))</f>
        <v>325750</v>
      </c>
      <c r="BL28" s="39">
        <f t="array" ref="BL28">INDEX(Hiring_Plan_Salaries_Engineering,MATCH(BL$1,Hiring_Plan_Months,0))</f>
        <v>339500</v>
      </c>
      <c r="BM28" s="39">
        <f t="array" ref="BM28">INDEX(Hiring_Plan_Salaries_Engineering,MATCH(BM$1,Hiring_Plan_Months,0))</f>
        <v>339500</v>
      </c>
      <c r="BN28" s="39">
        <f t="array" ref="BN28">INDEX(Hiring_Plan_Salaries_Engineering,MATCH(BN$1,Hiring_Plan_Months,0))</f>
        <v>339500</v>
      </c>
      <c r="BO28" s="39">
        <f t="array" ref="BO28">INDEX(Hiring_Plan_Salaries_Engineering,MATCH(BO$1,Hiring_Plan_Months,0))</f>
        <v>353250</v>
      </c>
      <c r="BP28" s="39">
        <f t="array" ref="BP28">INDEX(Hiring_Plan_Salaries_Engineering,MATCH(BP$1,Hiring_Plan_Months,0))</f>
        <v>353250</v>
      </c>
      <c r="BQ28" s="39">
        <f t="array" ref="BQ28">INDEX(Hiring_Plan_Salaries_Engineering,MATCH(BQ$1,Hiring_Plan_Months,0))</f>
        <v>353250</v>
      </c>
      <c r="BR28" s="39">
        <f t="array" ref="BR28">INDEX(Hiring_Plan_Salaries_Engineering,MATCH(BR$1,Hiring_Plan_Months,0))</f>
        <v>367000</v>
      </c>
      <c r="BS28" s="39">
        <f t="array" ref="BS28">INDEX(Hiring_Plan_Salaries_Engineering,MATCH(BS$1,Hiring_Plan_Months,0))</f>
        <v>367000</v>
      </c>
      <c r="BT28" s="39">
        <f t="array" ref="BT28">INDEX(Hiring_Plan_Salaries_Engineering,MATCH(BT$1,Hiring_Plan_Months,0))</f>
        <v>367000</v>
      </c>
      <c r="BU28" s="39">
        <f t="array" ref="BU28">INDEX(Hiring_Plan_Salaries_Engineering,MATCH(BU$1,Hiring_Plan_Months,0))</f>
        <v>367000</v>
      </c>
      <c r="BV28" s="39">
        <f t="array" ref="BV28">INDEX(Hiring_Plan_Salaries_Engineering,MATCH(BV$1,Hiring_Plan_Months,0))</f>
        <v>367000</v>
      </c>
      <c r="BW28" s="39">
        <f t="array" ref="BW28">INDEX(Hiring_Plan_Salaries_Engineering,MATCH(BW$1,Hiring_Plan_Months,0))</f>
        <v>367000</v>
      </c>
    </row>
    <row r="29" ht="15.75" customHeight="1">
      <c r="A29" s="21" t="s">
        <v>264</v>
      </c>
      <c r="B29" s="163"/>
      <c r="C29" s="21"/>
      <c r="D29" s="157">
        <f t="shared" ref="D29:BW29" si="10">SUM(D25:D28)</f>
        <v>182816</v>
      </c>
      <c r="E29" s="157">
        <f t="shared" si="10"/>
        <v>192092</v>
      </c>
      <c r="F29" s="157">
        <f t="shared" si="10"/>
        <v>204096</v>
      </c>
      <c r="G29" s="157">
        <f t="shared" si="10"/>
        <v>204096</v>
      </c>
      <c r="H29" s="157">
        <f t="shared" si="10"/>
        <v>204096</v>
      </c>
      <c r="I29" s="157">
        <f t="shared" si="10"/>
        <v>216102</v>
      </c>
      <c r="J29" s="157">
        <f t="shared" si="10"/>
        <v>216102</v>
      </c>
      <c r="K29" s="157">
        <f t="shared" si="10"/>
        <v>216102</v>
      </c>
      <c r="L29" s="157">
        <f t="shared" si="10"/>
        <v>221967</v>
      </c>
      <c r="M29" s="157">
        <f t="shared" si="10"/>
        <v>221967</v>
      </c>
      <c r="N29" s="157">
        <f t="shared" si="10"/>
        <v>221967</v>
      </c>
      <c r="O29" s="157">
        <f t="shared" si="10"/>
        <v>233806</v>
      </c>
      <c r="P29" s="157">
        <f t="shared" si="10"/>
        <v>233806</v>
      </c>
      <c r="Q29" s="157">
        <f t="shared" si="10"/>
        <v>233806</v>
      </c>
      <c r="R29" s="157">
        <f t="shared" si="10"/>
        <v>233806</v>
      </c>
      <c r="S29" s="157">
        <f t="shared" si="10"/>
        <v>233806</v>
      </c>
      <c r="T29" s="157">
        <f t="shared" si="10"/>
        <v>239594</v>
      </c>
      <c r="U29" s="157">
        <f t="shared" si="10"/>
        <v>239594</v>
      </c>
      <c r="V29" s="157">
        <f t="shared" si="10"/>
        <v>239594</v>
      </c>
      <c r="W29" s="157">
        <f t="shared" si="10"/>
        <v>239594</v>
      </c>
      <c r="X29" s="157">
        <f t="shared" si="10"/>
        <v>239594</v>
      </c>
      <c r="Y29" s="157">
        <f t="shared" si="10"/>
        <v>248952</v>
      </c>
      <c r="Z29" s="157">
        <f t="shared" si="10"/>
        <v>248952</v>
      </c>
      <c r="AA29" s="157">
        <f t="shared" si="10"/>
        <v>248952</v>
      </c>
      <c r="AB29" s="157">
        <f t="shared" si="10"/>
        <v>248952</v>
      </c>
      <c r="AC29" s="157">
        <f t="shared" si="10"/>
        <v>248952</v>
      </c>
      <c r="AD29" s="157">
        <f t="shared" si="10"/>
        <v>248952</v>
      </c>
      <c r="AE29" s="157">
        <f t="shared" si="10"/>
        <v>248952</v>
      </c>
      <c r="AF29" s="157">
        <f t="shared" si="10"/>
        <v>229392.5</v>
      </c>
      <c r="AG29" s="157">
        <f t="shared" si="10"/>
        <v>229392.5</v>
      </c>
      <c r="AH29" s="157">
        <f t="shared" si="10"/>
        <v>229392.5</v>
      </c>
      <c r="AI29" s="157">
        <f t="shared" si="10"/>
        <v>229392.5</v>
      </c>
      <c r="AJ29" s="157">
        <f t="shared" si="10"/>
        <v>229392.5</v>
      </c>
      <c r="AK29" s="157">
        <f t="shared" si="10"/>
        <v>247313.3333</v>
      </c>
      <c r="AL29" s="157">
        <f t="shared" si="10"/>
        <v>247313.3333</v>
      </c>
      <c r="AM29" s="157">
        <f t="shared" si="10"/>
        <v>247313.3333</v>
      </c>
      <c r="AN29" s="157">
        <f t="shared" si="10"/>
        <v>264292.5</v>
      </c>
      <c r="AO29" s="157">
        <f t="shared" si="10"/>
        <v>264292.5</v>
      </c>
      <c r="AP29" s="157">
        <f t="shared" si="10"/>
        <v>264292.5</v>
      </c>
      <c r="AQ29" s="157">
        <f t="shared" si="10"/>
        <v>281271.6667</v>
      </c>
      <c r="AR29" s="157">
        <f t="shared" si="10"/>
        <v>281271.6667</v>
      </c>
      <c r="AS29" s="157">
        <f t="shared" si="10"/>
        <v>281271.6667</v>
      </c>
      <c r="AT29" s="157">
        <f t="shared" si="10"/>
        <v>298910</v>
      </c>
      <c r="AU29" s="157">
        <f t="shared" si="10"/>
        <v>298910</v>
      </c>
      <c r="AV29" s="157">
        <f t="shared" si="10"/>
        <v>298910</v>
      </c>
      <c r="AW29" s="157">
        <f t="shared" si="10"/>
        <v>314947.5</v>
      </c>
      <c r="AX29" s="157">
        <f t="shared" si="10"/>
        <v>314947.5</v>
      </c>
      <c r="AY29" s="157">
        <f t="shared" si="10"/>
        <v>314947.5</v>
      </c>
      <c r="AZ29" s="157">
        <f t="shared" si="10"/>
        <v>330985</v>
      </c>
      <c r="BA29" s="157">
        <f t="shared" si="10"/>
        <v>330985</v>
      </c>
      <c r="BB29" s="157">
        <f t="shared" si="10"/>
        <v>330985</v>
      </c>
      <c r="BC29" s="157">
        <f t="shared" si="10"/>
        <v>347022.5</v>
      </c>
      <c r="BD29" s="157">
        <f t="shared" si="10"/>
        <v>347022.5</v>
      </c>
      <c r="BE29" s="157">
        <f t="shared" si="10"/>
        <v>347022.5</v>
      </c>
      <c r="BF29" s="157">
        <f t="shared" si="10"/>
        <v>363060</v>
      </c>
      <c r="BG29" s="157">
        <f t="shared" si="10"/>
        <v>363060</v>
      </c>
      <c r="BH29" s="157">
        <f t="shared" si="10"/>
        <v>363060</v>
      </c>
      <c r="BI29" s="157">
        <f t="shared" si="10"/>
        <v>379097.5</v>
      </c>
      <c r="BJ29" s="157">
        <f t="shared" si="10"/>
        <v>379097.5</v>
      </c>
      <c r="BK29" s="157">
        <f t="shared" si="10"/>
        <v>379097.5</v>
      </c>
      <c r="BL29" s="157">
        <f t="shared" si="10"/>
        <v>395135</v>
      </c>
      <c r="BM29" s="157">
        <f t="shared" si="10"/>
        <v>395135</v>
      </c>
      <c r="BN29" s="157">
        <f t="shared" si="10"/>
        <v>395135</v>
      </c>
      <c r="BO29" s="157">
        <f t="shared" si="10"/>
        <v>411172.5</v>
      </c>
      <c r="BP29" s="157">
        <f t="shared" si="10"/>
        <v>411172.5</v>
      </c>
      <c r="BQ29" s="157">
        <f t="shared" si="10"/>
        <v>411172.5</v>
      </c>
      <c r="BR29" s="157">
        <f t="shared" si="10"/>
        <v>427210</v>
      </c>
      <c r="BS29" s="157">
        <f t="shared" si="10"/>
        <v>427210</v>
      </c>
      <c r="BT29" s="157">
        <f t="shared" si="10"/>
        <v>427210</v>
      </c>
      <c r="BU29" s="157">
        <f t="shared" si="10"/>
        <v>427210</v>
      </c>
      <c r="BV29" s="157">
        <f t="shared" si="10"/>
        <v>427210</v>
      </c>
      <c r="BW29" s="157">
        <f t="shared" si="10"/>
        <v>427210</v>
      </c>
    </row>
    <row r="30" ht="15.75" customHeight="1">
      <c r="A30" s="21" t="s">
        <v>265</v>
      </c>
      <c r="B30" s="163"/>
      <c r="C30" s="21"/>
      <c r="D30" s="157">
        <f t="shared" ref="D30:BW30" si="11">SUM(D29,D24)</f>
        <v>203616</v>
      </c>
      <c r="E30" s="157">
        <f t="shared" si="11"/>
        <v>213254</v>
      </c>
      <c r="F30" s="157">
        <f t="shared" si="11"/>
        <v>228112</v>
      </c>
      <c r="G30" s="157">
        <f t="shared" si="11"/>
        <v>228156</v>
      </c>
      <c r="H30" s="157">
        <f t="shared" si="11"/>
        <v>227917</v>
      </c>
      <c r="I30" s="157">
        <f t="shared" si="11"/>
        <v>239328</v>
      </c>
      <c r="J30" s="157">
        <f t="shared" si="11"/>
        <v>240162</v>
      </c>
      <c r="K30" s="157">
        <f t="shared" si="11"/>
        <v>242532</v>
      </c>
      <c r="L30" s="157">
        <f t="shared" si="11"/>
        <v>245467</v>
      </c>
      <c r="M30" s="157">
        <f t="shared" si="11"/>
        <v>249787</v>
      </c>
      <c r="N30" s="157">
        <f t="shared" si="11"/>
        <v>251307</v>
      </c>
      <c r="O30" s="157">
        <f t="shared" si="11"/>
        <v>261226</v>
      </c>
      <c r="P30" s="157">
        <f t="shared" si="11"/>
        <v>260726</v>
      </c>
      <c r="Q30" s="157">
        <f t="shared" si="11"/>
        <v>261699</v>
      </c>
      <c r="R30" s="157">
        <f t="shared" si="11"/>
        <v>261699</v>
      </c>
      <c r="S30" s="157">
        <f t="shared" si="11"/>
        <v>263687</v>
      </c>
      <c r="T30" s="157">
        <f t="shared" si="11"/>
        <v>268487</v>
      </c>
      <c r="U30" s="157">
        <f t="shared" si="11"/>
        <v>267252</v>
      </c>
      <c r="V30" s="157">
        <f t="shared" si="11"/>
        <v>266881</v>
      </c>
      <c r="W30" s="157">
        <f t="shared" si="11"/>
        <v>269416</v>
      </c>
      <c r="X30" s="157">
        <f t="shared" si="11"/>
        <v>269416</v>
      </c>
      <c r="Y30" s="157">
        <f t="shared" si="11"/>
        <v>278774</v>
      </c>
      <c r="Z30" s="157">
        <f t="shared" si="11"/>
        <v>278774</v>
      </c>
      <c r="AA30" s="157">
        <f t="shared" si="11"/>
        <v>278774</v>
      </c>
      <c r="AB30" s="157">
        <f t="shared" si="11"/>
        <v>278774</v>
      </c>
      <c r="AC30" s="157">
        <f t="shared" si="11"/>
        <v>284741</v>
      </c>
      <c r="AD30" s="157">
        <f t="shared" si="11"/>
        <v>280952</v>
      </c>
      <c r="AE30" s="157">
        <f t="shared" si="11"/>
        <v>278352</v>
      </c>
      <c r="AF30" s="157">
        <f t="shared" si="11"/>
        <v>229392.5</v>
      </c>
      <c r="AG30" s="157">
        <f t="shared" si="11"/>
        <v>229392.5</v>
      </c>
      <c r="AH30" s="157">
        <f t="shared" si="11"/>
        <v>229392.5</v>
      </c>
      <c r="AI30" s="157">
        <f t="shared" si="11"/>
        <v>229392.5</v>
      </c>
      <c r="AJ30" s="157">
        <f t="shared" si="11"/>
        <v>229392.5</v>
      </c>
      <c r="AK30" s="157">
        <f t="shared" si="11"/>
        <v>247313.3333</v>
      </c>
      <c r="AL30" s="157">
        <f t="shared" si="11"/>
        <v>247313.3333</v>
      </c>
      <c r="AM30" s="157">
        <f t="shared" si="11"/>
        <v>247313.3333</v>
      </c>
      <c r="AN30" s="157">
        <f t="shared" si="11"/>
        <v>264292.5</v>
      </c>
      <c r="AO30" s="157">
        <f t="shared" si="11"/>
        <v>264292.5</v>
      </c>
      <c r="AP30" s="157">
        <f t="shared" si="11"/>
        <v>264292.5</v>
      </c>
      <c r="AQ30" s="157">
        <f t="shared" si="11"/>
        <v>281271.6667</v>
      </c>
      <c r="AR30" s="157">
        <f t="shared" si="11"/>
        <v>281271.6667</v>
      </c>
      <c r="AS30" s="157">
        <f t="shared" si="11"/>
        <v>281271.6667</v>
      </c>
      <c r="AT30" s="157">
        <f t="shared" si="11"/>
        <v>298910</v>
      </c>
      <c r="AU30" s="157">
        <f t="shared" si="11"/>
        <v>298910</v>
      </c>
      <c r="AV30" s="157">
        <f t="shared" si="11"/>
        <v>298910</v>
      </c>
      <c r="AW30" s="157">
        <f t="shared" si="11"/>
        <v>314947.5</v>
      </c>
      <c r="AX30" s="157">
        <f t="shared" si="11"/>
        <v>314947.5</v>
      </c>
      <c r="AY30" s="157">
        <f t="shared" si="11"/>
        <v>314947.5</v>
      </c>
      <c r="AZ30" s="157">
        <f t="shared" si="11"/>
        <v>330985</v>
      </c>
      <c r="BA30" s="157">
        <f t="shared" si="11"/>
        <v>330985</v>
      </c>
      <c r="BB30" s="157">
        <f t="shared" si="11"/>
        <v>330985</v>
      </c>
      <c r="BC30" s="157">
        <f t="shared" si="11"/>
        <v>347022.5</v>
      </c>
      <c r="BD30" s="157">
        <f t="shared" si="11"/>
        <v>347022.5</v>
      </c>
      <c r="BE30" s="157">
        <f t="shared" si="11"/>
        <v>347022.5</v>
      </c>
      <c r="BF30" s="157">
        <f t="shared" si="11"/>
        <v>363060</v>
      </c>
      <c r="BG30" s="157">
        <f t="shared" si="11"/>
        <v>363060</v>
      </c>
      <c r="BH30" s="157">
        <f t="shared" si="11"/>
        <v>363060</v>
      </c>
      <c r="BI30" s="157">
        <f t="shared" si="11"/>
        <v>379097.5</v>
      </c>
      <c r="BJ30" s="157">
        <f t="shared" si="11"/>
        <v>379097.5</v>
      </c>
      <c r="BK30" s="157">
        <f t="shared" si="11"/>
        <v>379097.5</v>
      </c>
      <c r="BL30" s="157">
        <f t="shared" si="11"/>
        <v>395135</v>
      </c>
      <c r="BM30" s="157">
        <f t="shared" si="11"/>
        <v>395135</v>
      </c>
      <c r="BN30" s="157">
        <f t="shared" si="11"/>
        <v>395135</v>
      </c>
      <c r="BO30" s="157">
        <f t="shared" si="11"/>
        <v>411172.5</v>
      </c>
      <c r="BP30" s="157">
        <f t="shared" si="11"/>
        <v>411172.5</v>
      </c>
      <c r="BQ30" s="157">
        <f t="shared" si="11"/>
        <v>411172.5</v>
      </c>
      <c r="BR30" s="157">
        <f t="shared" si="11"/>
        <v>427210</v>
      </c>
      <c r="BS30" s="157">
        <f t="shared" si="11"/>
        <v>427210</v>
      </c>
      <c r="BT30" s="157">
        <f t="shared" si="11"/>
        <v>427210</v>
      </c>
      <c r="BU30" s="157">
        <f t="shared" si="11"/>
        <v>427210</v>
      </c>
      <c r="BV30" s="157">
        <f t="shared" si="11"/>
        <v>427210</v>
      </c>
      <c r="BW30" s="157">
        <f t="shared" si="11"/>
        <v>427210</v>
      </c>
    </row>
    <row r="31" ht="15.75" customHeight="1">
      <c r="A31" s="31" t="s">
        <v>244</v>
      </c>
      <c r="B31" s="159"/>
      <c r="D31" s="76">
        <f t="array" ref="D31">INDEX(INDIRECT("PnL_"&amp;TEXT(D$1,"mmm")&amp;"_"&amp;TEXT(D$1,"yyyy")),MATCH(TRIM($A30),PnL_Accounts,0))-D30</f>
        <v>0</v>
      </c>
      <c r="E31" s="76">
        <f t="array" ref="E31">INDEX(INDIRECT("PnL_"&amp;TEXT(E$1,"mmm")&amp;"_"&amp;TEXT(E$1,"yyyy")),MATCH(TRIM($A30),PnL_Accounts,0))-E30</f>
        <v>0</v>
      </c>
      <c r="F31" s="76">
        <f t="array" ref="F31">INDEX(INDIRECT("PnL_"&amp;TEXT(F$1,"mmm")&amp;"_"&amp;TEXT(F$1,"yyyy")),MATCH(TRIM($A30),PnL_Accounts,0))-F30</f>
        <v>0</v>
      </c>
      <c r="G31" s="76">
        <f t="array" ref="G31">INDEX(INDIRECT("PnL_"&amp;TEXT(G$1,"mmm")&amp;"_"&amp;TEXT(G$1,"yyyy")),MATCH(TRIM($A30),PnL_Accounts,0))-G30</f>
        <v>0</v>
      </c>
      <c r="H31" s="76">
        <f t="array" ref="H31">INDEX(INDIRECT("PnL_"&amp;TEXT(H$1,"mmm")&amp;"_"&amp;TEXT(H$1,"yyyy")),MATCH(TRIM($A30),PnL_Accounts,0))-H30</f>
        <v>0</v>
      </c>
      <c r="I31" s="76">
        <f t="array" ref="I31">INDEX(INDIRECT("PnL_"&amp;TEXT(I$1,"mmm")&amp;"_"&amp;TEXT(I$1,"yyyy")),MATCH(TRIM($A30),PnL_Accounts,0))-I30</f>
        <v>0</v>
      </c>
      <c r="J31" s="76">
        <f t="array" ref="J31">INDEX(INDIRECT("PnL_"&amp;TEXT(J$1,"mmm")&amp;"_"&amp;TEXT(J$1,"yyyy")),MATCH(TRIM($A30),PnL_Accounts,0))-J30</f>
        <v>0</v>
      </c>
      <c r="K31" s="76">
        <f t="array" ref="K31">INDEX(INDIRECT("PnL_"&amp;TEXT(K$1,"mmm")&amp;"_"&amp;TEXT(K$1,"yyyy")),MATCH(TRIM($A30),PnL_Accounts,0))-K30</f>
        <v>0</v>
      </c>
      <c r="L31" s="76">
        <f t="array" ref="L31">INDEX(INDIRECT("PnL_"&amp;TEXT(L$1,"mmm")&amp;"_"&amp;TEXT(L$1,"yyyy")),MATCH(TRIM($A30),PnL_Accounts,0))-L30</f>
        <v>0</v>
      </c>
      <c r="M31" s="76">
        <f t="array" ref="M31">INDEX(INDIRECT("PnL_"&amp;TEXT(M$1,"mmm")&amp;"_"&amp;TEXT(M$1,"yyyy")),MATCH(TRIM($A30),PnL_Accounts,0))-M30</f>
        <v>0</v>
      </c>
      <c r="N31" s="76">
        <f t="array" ref="N31">INDEX(INDIRECT("PnL_"&amp;TEXT(N$1,"mmm")&amp;"_"&amp;TEXT(N$1,"yyyy")),MATCH(TRIM($A30),PnL_Accounts,0))-N30</f>
        <v>0</v>
      </c>
      <c r="O31" s="76">
        <f t="array" ref="O31">INDEX(INDIRECT("PnL_"&amp;TEXT(O$1,"mmm")&amp;"_"&amp;TEXT(O$1,"yyyy")),MATCH(TRIM($A30),PnL_Accounts,0))-O30</f>
        <v>0</v>
      </c>
      <c r="P31" s="76">
        <f t="array" ref="P31">INDEX(INDIRECT("PnL_"&amp;TEXT(P$1,"mmm")&amp;"_"&amp;TEXT(P$1,"yyyy")),MATCH(TRIM($A30),PnL_Accounts,0))-P30</f>
        <v>0</v>
      </c>
      <c r="Q31" s="76">
        <f t="array" ref="Q31">INDEX(INDIRECT("PnL_"&amp;TEXT(Q$1,"mmm")&amp;"_"&amp;TEXT(Q$1,"yyyy")),MATCH(TRIM($A30),PnL_Accounts,0))-Q30</f>
        <v>0</v>
      </c>
      <c r="R31" s="76">
        <f t="array" ref="R31">INDEX(INDIRECT("PnL_"&amp;TEXT(R$1,"mmm")&amp;"_"&amp;TEXT(R$1,"yyyy")),MATCH(TRIM($A30),PnL_Accounts,0))-R30</f>
        <v>0</v>
      </c>
      <c r="S31" s="76">
        <f t="array" ref="S31">INDEX(INDIRECT("PnL_"&amp;TEXT(S$1,"mmm")&amp;"_"&amp;TEXT(S$1,"yyyy")),MATCH(TRIM($A30),PnL_Accounts,0))-S30</f>
        <v>0</v>
      </c>
      <c r="T31" s="76">
        <f t="array" ref="T31">INDEX(INDIRECT("PnL_"&amp;TEXT(T$1,"mmm")&amp;"_"&amp;TEXT(T$1,"yyyy")),MATCH(TRIM($A30),PnL_Accounts,0))-T30</f>
        <v>0</v>
      </c>
      <c r="U31" s="76">
        <f t="array" ref="U31">INDEX(INDIRECT("PnL_"&amp;TEXT(U$1,"mmm")&amp;"_"&amp;TEXT(U$1,"yyyy")),MATCH(TRIM($A30),PnL_Accounts,0))-U30</f>
        <v>0</v>
      </c>
      <c r="V31" s="76">
        <f t="array" ref="V31">INDEX(INDIRECT("PnL_"&amp;TEXT(V$1,"mmm")&amp;"_"&amp;TEXT(V$1,"yyyy")),MATCH(TRIM($A30),PnL_Accounts,0))-V30</f>
        <v>0</v>
      </c>
      <c r="W31" s="76">
        <f t="array" ref="W31">INDEX(INDIRECT("PnL_"&amp;TEXT(W$1,"mmm")&amp;"_"&amp;TEXT(W$1,"yyyy")),MATCH(TRIM($A30),PnL_Accounts,0))-W30</f>
        <v>0</v>
      </c>
      <c r="X31" s="76">
        <f t="array" ref="X31">INDEX(INDIRECT("PnL_"&amp;TEXT(X$1,"mmm")&amp;"_"&amp;TEXT(X$1,"yyyy")),MATCH(TRIM($A30),PnL_Accounts,0))-X30</f>
        <v>0</v>
      </c>
      <c r="Y31" s="76">
        <f t="array" ref="Y31">INDEX(INDIRECT("PnL_"&amp;TEXT(Y$1,"mmm")&amp;"_"&amp;TEXT(Y$1,"yyyy")),MATCH(TRIM($A30),PnL_Accounts,0))-Y30</f>
        <v>0</v>
      </c>
      <c r="Z31" s="76">
        <f t="array" ref="Z31">INDEX(INDIRECT("PnL_"&amp;TEXT(Z$1,"mmm")&amp;"_"&amp;TEXT(Z$1,"yyyy")),MATCH(TRIM($A30),PnL_Accounts,0))-Z30</f>
        <v>0</v>
      </c>
      <c r="AA31" s="76">
        <f t="array" ref="AA31">INDEX(INDIRECT("PnL_"&amp;TEXT(AA$1,"mmm")&amp;"_"&amp;TEXT(AA$1,"yyyy")),MATCH(TRIM($A30),PnL_Accounts,0))-AA30</f>
        <v>0</v>
      </c>
      <c r="AB31" s="76">
        <f t="array" ref="AB31">INDEX(INDIRECT("PnL_"&amp;TEXT(AB$1,"mmm")&amp;"_"&amp;TEXT(AB$1,"yyyy")),MATCH(TRIM($A30),PnL_Accounts,0))-AB30</f>
        <v>0</v>
      </c>
      <c r="AC31" s="76">
        <f t="array" ref="AC31">INDEX(INDIRECT("PnL_"&amp;TEXT(AC$1,"mmm")&amp;"_"&amp;TEXT(AC$1,"yyyy")),MATCH(TRIM($A30),PnL_Accounts,0))-AC30</f>
        <v>0</v>
      </c>
      <c r="AD31" s="76">
        <f t="array" ref="AD31">INDEX(INDIRECT("PnL_"&amp;TEXT(AD$1,"mmm")&amp;"_"&amp;TEXT(AD$1,"yyyy")),MATCH(TRIM($A30),PnL_Accounts,0))-AD30</f>
        <v>0</v>
      </c>
      <c r="AE31" s="76">
        <f t="array" ref="AE31">INDEX(INDIRECT("PnL_"&amp;TEXT(AE$1,"mmm")&amp;"_"&amp;TEXT(AE$1,"yyyy")),MATCH(TRIM($A30),PnL_Accounts,0))-AE30</f>
        <v>0</v>
      </c>
    </row>
    <row r="32" ht="15.75" customHeight="1">
      <c r="A32" s="1" t="s">
        <v>16</v>
      </c>
      <c r="B32" s="159"/>
    </row>
    <row r="33" ht="15.75" customHeight="1">
      <c r="A33" s="1" t="s">
        <v>266</v>
      </c>
      <c r="B33" s="160">
        <f>AVERAGEIFS(33:33,$1:$1,"&gt;="&amp;DATE(YEAR(Current_Month),MONTH(Current_Month)-2,DAY(Current_Month)),$1:$1,"&lt;="&amp;EOMONTH(Current_Month,0))</f>
        <v>119.6666667</v>
      </c>
      <c r="D33" s="76" t="str">
        <f t="array" ref="D33">INDEX(INDIRECT("PnL_"&amp;TEXT(D$1,"mmm")&amp;"_"&amp;TEXT(D$1,"yyyy")),MATCH(TRIM($A33),PnL_Accounts,0))</f>
        <v/>
      </c>
      <c r="E33" s="76" t="str">
        <f t="array" ref="E33">INDEX(INDIRECT("PnL_"&amp;TEXT(E$1,"mmm")&amp;"_"&amp;TEXT(E$1,"yyyy")),MATCH(TRIM($A33),PnL_Accounts,0))</f>
        <v/>
      </c>
      <c r="F33" s="76" t="str">
        <f t="array" ref="F33">INDEX(INDIRECT("PnL_"&amp;TEXT(F$1,"mmm")&amp;"_"&amp;TEXT(F$1,"yyyy")),MATCH(TRIM($A33),PnL_Accounts,0))</f>
        <v/>
      </c>
      <c r="G33" s="76" t="str">
        <f t="array" ref="G33">INDEX(INDIRECT("PnL_"&amp;TEXT(G$1,"mmm")&amp;"_"&amp;TEXT(G$1,"yyyy")),MATCH(TRIM($A33),PnL_Accounts,0))</f>
        <v/>
      </c>
      <c r="H33" s="76" t="str">
        <f t="array" ref="H33">INDEX(INDIRECT("PnL_"&amp;TEXT(H$1,"mmm")&amp;"_"&amp;TEXT(H$1,"yyyy")),MATCH(TRIM($A33),PnL_Accounts,0))</f>
        <v/>
      </c>
      <c r="I33" s="76" t="str">
        <f t="array" ref="I33">INDEX(INDIRECT("PnL_"&amp;TEXT(I$1,"mmm")&amp;"_"&amp;TEXT(I$1,"yyyy")),MATCH(TRIM($A33),PnL_Accounts,0))</f>
        <v/>
      </c>
      <c r="J33" s="76" t="str">
        <f t="array" ref="J33">INDEX(INDIRECT("PnL_"&amp;TEXT(J$1,"mmm")&amp;"_"&amp;TEXT(J$1,"yyyy")),MATCH(TRIM($A33),PnL_Accounts,0))</f>
        <v/>
      </c>
      <c r="K33" s="76" t="str">
        <f t="array" ref="K33">INDEX(INDIRECT("PnL_"&amp;TEXT(K$1,"mmm")&amp;"_"&amp;TEXT(K$1,"yyyy")),MATCH(TRIM($A33),PnL_Accounts,0))</f>
        <v/>
      </c>
      <c r="L33" s="76" t="str">
        <f t="array" ref="L33">INDEX(INDIRECT("PnL_"&amp;TEXT(L$1,"mmm")&amp;"_"&amp;TEXT(L$1,"yyyy")),MATCH(TRIM($A33),PnL_Accounts,0))</f>
        <v/>
      </c>
      <c r="M33" s="76" t="str">
        <f t="array" ref="M33">INDEX(INDIRECT("PnL_"&amp;TEXT(M$1,"mmm")&amp;"_"&amp;TEXT(M$1,"yyyy")),MATCH(TRIM($A33),PnL_Accounts,0))</f>
        <v/>
      </c>
      <c r="N33" s="76" t="str">
        <f t="array" ref="N33">INDEX(INDIRECT("PnL_"&amp;TEXT(N$1,"mmm")&amp;"_"&amp;TEXT(N$1,"yyyy")),MATCH(TRIM($A33),PnL_Accounts,0))</f>
        <v/>
      </c>
      <c r="O33" s="76" t="str">
        <f t="array" ref="O33">INDEX(INDIRECT("PnL_"&amp;TEXT(O$1,"mmm")&amp;"_"&amp;TEXT(O$1,"yyyy")),MATCH(TRIM($A33),PnL_Accounts,0))</f>
        <v/>
      </c>
      <c r="P33" s="76" t="str">
        <f t="array" ref="P33">INDEX(INDIRECT("PnL_"&amp;TEXT(P$1,"mmm")&amp;"_"&amp;TEXT(P$1,"yyyy")),MATCH(TRIM($A33),PnL_Accounts,0))</f>
        <v/>
      </c>
      <c r="Q33" s="76" t="str">
        <f t="array" ref="Q33">INDEX(INDIRECT("PnL_"&amp;TEXT(Q$1,"mmm")&amp;"_"&amp;TEXT(Q$1,"yyyy")),MATCH(TRIM($A33),PnL_Accounts,0))</f>
        <v/>
      </c>
      <c r="R33" s="76" t="str">
        <f t="array" ref="R33">INDEX(INDIRECT("PnL_"&amp;TEXT(R$1,"mmm")&amp;"_"&amp;TEXT(R$1,"yyyy")),MATCH(TRIM($A33),PnL_Accounts,0))</f>
        <v/>
      </c>
      <c r="S33" s="76" t="str">
        <f t="array" ref="S33">INDEX(INDIRECT("PnL_"&amp;TEXT(S$1,"mmm")&amp;"_"&amp;TEXT(S$1,"yyyy")),MATCH(TRIM($A33),PnL_Accounts,0))</f>
        <v/>
      </c>
      <c r="T33" s="76" t="str">
        <f t="array" ref="T33">INDEX(INDIRECT("PnL_"&amp;TEXT(T$1,"mmm")&amp;"_"&amp;TEXT(T$1,"yyyy")),MATCH(TRIM($A33),PnL_Accounts,0))</f>
        <v/>
      </c>
      <c r="U33" s="76" t="str">
        <f t="array" ref="U33">INDEX(INDIRECT("PnL_"&amp;TEXT(U$1,"mmm")&amp;"_"&amp;TEXT(U$1,"yyyy")),MATCH(TRIM($A33),PnL_Accounts,0))</f>
        <v/>
      </c>
      <c r="V33" s="76">
        <f t="array" ref="V33">INDEX(INDIRECT("PnL_"&amp;TEXT(V$1,"mmm")&amp;"_"&amp;TEXT(V$1,"yyyy")),MATCH(TRIM($A33),PnL_Accounts,0))</f>
        <v>154</v>
      </c>
      <c r="W33" s="76">
        <f t="array" ref="W33">INDEX(INDIRECT("PnL_"&amp;TEXT(W$1,"mmm")&amp;"_"&amp;TEXT(W$1,"yyyy")),MATCH(TRIM($A33),PnL_Accounts,0))</f>
        <v>143</v>
      </c>
      <c r="X33" s="76">
        <f t="array" ref="X33">INDEX(INDIRECT("PnL_"&amp;TEXT(X$1,"mmm")&amp;"_"&amp;TEXT(X$1,"yyyy")),MATCH(TRIM($A33),PnL_Accounts,0))</f>
        <v>195</v>
      </c>
      <c r="Y33" s="76">
        <f t="array" ref="Y33">INDEX(INDIRECT("PnL_"&amp;TEXT(Y$1,"mmm")&amp;"_"&amp;TEXT(Y$1,"yyyy")),MATCH(TRIM($A33),PnL_Accounts,0))</f>
        <v>123</v>
      </c>
      <c r="Z33" s="76">
        <f t="array" ref="Z33">INDEX(INDIRECT("PnL_"&amp;TEXT(Z$1,"mmm")&amp;"_"&amp;TEXT(Z$1,"yyyy")),MATCH(TRIM($A33),PnL_Accounts,0))</f>
        <v>164</v>
      </c>
      <c r="AA33" s="76">
        <f t="array" ref="AA33">INDEX(INDIRECT("PnL_"&amp;TEXT(AA$1,"mmm")&amp;"_"&amp;TEXT(AA$1,"yyyy")),MATCH(TRIM($A33),PnL_Accounts,0))</f>
        <v>153</v>
      </c>
      <c r="AB33" s="76">
        <f t="array" ref="AB33">INDEX(INDIRECT("PnL_"&amp;TEXT(AB$1,"mmm")&amp;"_"&amp;TEXT(AB$1,"yyyy")),MATCH(TRIM($A33),PnL_Accounts,0))</f>
        <v>149</v>
      </c>
      <c r="AC33" s="76">
        <f t="array" ref="AC33">INDEX(INDIRECT("PnL_"&amp;TEXT(AC$1,"mmm")&amp;"_"&amp;TEXT(AC$1,"yyyy")),MATCH(TRIM($A33),PnL_Accounts,0))</f>
        <v>124</v>
      </c>
      <c r="AD33" s="76">
        <f t="array" ref="AD33">INDEX(INDIRECT("PnL_"&amp;TEXT(AD$1,"mmm")&amp;"_"&amp;TEXT(AD$1,"yyyy")),MATCH(TRIM($A33),PnL_Accounts,0))</f>
        <v>124</v>
      </c>
      <c r="AE33" s="76">
        <f t="array" ref="AE33">INDEX(INDIRECT("PnL_"&amp;TEXT(AE$1,"mmm")&amp;"_"&amp;TEXT(AE$1,"yyyy")),MATCH(TRIM($A33),PnL_Accounts,0))</f>
        <v>111</v>
      </c>
      <c r="AF33" s="96">
        <f t="shared" ref="AF33:BW33" si="12">$B33</f>
        <v>119.6666667</v>
      </c>
      <c r="AG33" s="96">
        <f t="shared" si="12"/>
        <v>119.6666667</v>
      </c>
      <c r="AH33" s="96">
        <f t="shared" si="12"/>
        <v>119.6666667</v>
      </c>
      <c r="AI33" s="96">
        <f t="shared" si="12"/>
        <v>119.6666667</v>
      </c>
      <c r="AJ33" s="96">
        <f t="shared" si="12"/>
        <v>119.6666667</v>
      </c>
      <c r="AK33" s="96">
        <f t="shared" si="12"/>
        <v>119.6666667</v>
      </c>
      <c r="AL33" s="96">
        <f t="shared" si="12"/>
        <v>119.6666667</v>
      </c>
      <c r="AM33" s="96">
        <f t="shared" si="12"/>
        <v>119.6666667</v>
      </c>
      <c r="AN33" s="96">
        <f t="shared" si="12"/>
        <v>119.6666667</v>
      </c>
      <c r="AO33" s="96">
        <f t="shared" si="12"/>
        <v>119.6666667</v>
      </c>
      <c r="AP33" s="96">
        <f t="shared" si="12"/>
        <v>119.6666667</v>
      </c>
      <c r="AQ33" s="96">
        <f t="shared" si="12"/>
        <v>119.6666667</v>
      </c>
      <c r="AR33" s="96">
        <f t="shared" si="12"/>
        <v>119.6666667</v>
      </c>
      <c r="AS33" s="96">
        <f t="shared" si="12"/>
        <v>119.6666667</v>
      </c>
      <c r="AT33" s="96">
        <f t="shared" si="12"/>
        <v>119.6666667</v>
      </c>
      <c r="AU33" s="96">
        <f t="shared" si="12"/>
        <v>119.6666667</v>
      </c>
      <c r="AV33" s="96">
        <f t="shared" si="12"/>
        <v>119.6666667</v>
      </c>
      <c r="AW33" s="96">
        <f t="shared" si="12"/>
        <v>119.6666667</v>
      </c>
      <c r="AX33" s="96">
        <f t="shared" si="12"/>
        <v>119.6666667</v>
      </c>
      <c r="AY33" s="96">
        <f t="shared" si="12"/>
        <v>119.6666667</v>
      </c>
      <c r="AZ33" s="96">
        <f t="shared" si="12"/>
        <v>119.6666667</v>
      </c>
      <c r="BA33" s="96">
        <f t="shared" si="12"/>
        <v>119.6666667</v>
      </c>
      <c r="BB33" s="96">
        <f t="shared" si="12"/>
        <v>119.6666667</v>
      </c>
      <c r="BC33" s="96">
        <f t="shared" si="12"/>
        <v>119.6666667</v>
      </c>
      <c r="BD33" s="96">
        <f t="shared" si="12"/>
        <v>119.6666667</v>
      </c>
      <c r="BE33" s="96">
        <f t="shared" si="12"/>
        <v>119.6666667</v>
      </c>
      <c r="BF33" s="96">
        <f t="shared" si="12"/>
        <v>119.6666667</v>
      </c>
      <c r="BG33" s="96">
        <f t="shared" si="12"/>
        <v>119.6666667</v>
      </c>
      <c r="BH33" s="96">
        <f t="shared" si="12"/>
        <v>119.6666667</v>
      </c>
      <c r="BI33" s="96">
        <f t="shared" si="12"/>
        <v>119.6666667</v>
      </c>
      <c r="BJ33" s="96">
        <f t="shared" si="12"/>
        <v>119.6666667</v>
      </c>
      <c r="BK33" s="96">
        <f t="shared" si="12"/>
        <v>119.6666667</v>
      </c>
      <c r="BL33" s="96">
        <f t="shared" si="12"/>
        <v>119.6666667</v>
      </c>
      <c r="BM33" s="96">
        <f t="shared" si="12"/>
        <v>119.6666667</v>
      </c>
      <c r="BN33" s="96">
        <f t="shared" si="12"/>
        <v>119.6666667</v>
      </c>
      <c r="BO33" s="96">
        <f t="shared" si="12"/>
        <v>119.6666667</v>
      </c>
      <c r="BP33" s="96">
        <f t="shared" si="12"/>
        <v>119.6666667</v>
      </c>
      <c r="BQ33" s="96">
        <f t="shared" si="12"/>
        <v>119.6666667</v>
      </c>
      <c r="BR33" s="96">
        <f t="shared" si="12"/>
        <v>119.6666667</v>
      </c>
      <c r="BS33" s="96">
        <f t="shared" si="12"/>
        <v>119.6666667</v>
      </c>
      <c r="BT33" s="96">
        <f t="shared" si="12"/>
        <v>119.6666667</v>
      </c>
      <c r="BU33" s="96">
        <f t="shared" si="12"/>
        <v>119.6666667</v>
      </c>
      <c r="BV33" s="96">
        <f t="shared" si="12"/>
        <v>119.6666667</v>
      </c>
      <c r="BW33" s="96">
        <f t="shared" si="12"/>
        <v>119.6666667</v>
      </c>
    </row>
    <row r="34" ht="15.75" customHeight="1">
      <c r="A34" s="1" t="s">
        <v>267</v>
      </c>
      <c r="B34" s="160">
        <f>AVERAGEIFS(34:34,$1:$1,"&gt;="&amp;DATE(YEAR(Current_Month),MONTH(Current_Month)-2,DAY(Current_Month)),$1:$1,"&lt;="&amp;EOMONTH(Current_Month,0))</f>
        <v>8689.333333</v>
      </c>
      <c r="D34" s="76">
        <f t="array" ref="D34">INDEX(INDIRECT("PnL_"&amp;TEXT(D$1,"mmm")&amp;"_"&amp;TEXT(D$1,"yyyy")),MATCH(TRIM($A34),PnL_Accounts,0))</f>
        <v>770</v>
      </c>
      <c r="E34" s="76">
        <f t="array" ref="E34">INDEX(INDIRECT("PnL_"&amp;TEXT(E$1,"mmm")&amp;"_"&amp;TEXT(E$1,"yyyy")),MATCH(TRIM($A34),PnL_Accounts,0))</f>
        <v>947</v>
      </c>
      <c r="F34" s="76">
        <f t="array" ref="F34">INDEX(INDIRECT("PnL_"&amp;TEXT(F$1,"mmm")&amp;"_"&amp;TEXT(F$1,"yyyy")),MATCH(TRIM($A34),PnL_Accounts,0))</f>
        <v>574</v>
      </c>
      <c r="G34" s="76">
        <f t="array" ref="G34">INDEX(INDIRECT("PnL_"&amp;TEXT(G$1,"mmm")&amp;"_"&amp;TEXT(G$1,"yyyy")),MATCH(TRIM($A34),PnL_Accounts,0))</f>
        <v>761</v>
      </c>
      <c r="H34" s="76">
        <f t="array" ref="H34">INDEX(INDIRECT("PnL_"&amp;TEXT(H$1,"mmm")&amp;"_"&amp;TEXT(H$1,"yyyy")),MATCH(TRIM($A34),PnL_Accounts,0))</f>
        <v>823</v>
      </c>
      <c r="I34" s="76">
        <f t="array" ref="I34">INDEX(INDIRECT("PnL_"&amp;TEXT(I$1,"mmm")&amp;"_"&amp;TEXT(I$1,"yyyy")),MATCH(TRIM($A34),PnL_Accounts,0))</f>
        <v>712</v>
      </c>
      <c r="J34" s="76">
        <f t="array" ref="J34">INDEX(INDIRECT("PnL_"&amp;TEXT(J$1,"mmm")&amp;"_"&amp;TEXT(J$1,"yyyy")),MATCH(TRIM($A34),PnL_Accounts,0))</f>
        <v>788</v>
      </c>
      <c r="K34" s="76">
        <f t="array" ref="K34">INDEX(INDIRECT("PnL_"&amp;TEXT(K$1,"mmm")&amp;"_"&amp;TEXT(K$1,"yyyy")),MATCH(TRIM($A34),PnL_Accounts,0))</f>
        <v>830</v>
      </c>
      <c r="L34" s="76">
        <f t="array" ref="L34">INDEX(INDIRECT("PnL_"&amp;TEXT(L$1,"mmm")&amp;"_"&amp;TEXT(L$1,"yyyy")),MATCH(TRIM($A34),PnL_Accounts,0))</f>
        <v>893</v>
      </c>
      <c r="M34" s="76">
        <f t="array" ref="M34">INDEX(INDIRECT("PnL_"&amp;TEXT(M$1,"mmm")&amp;"_"&amp;TEXT(M$1,"yyyy")),MATCH(TRIM($A34),PnL_Accounts,0))</f>
        <v>840</v>
      </c>
      <c r="N34" s="76">
        <f t="array" ref="N34">INDEX(INDIRECT("PnL_"&amp;TEXT(N$1,"mmm")&amp;"_"&amp;TEXT(N$1,"yyyy")),MATCH(TRIM($A34),PnL_Accounts,0))</f>
        <v>815</v>
      </c>
      <c r="O34" s="76">
        <f t="array" ref="O34">INDEX(INDIRECT("PnL_"&amp;TEXT(O$1,"mmm")&amp;"_"&amp;TEXT(O$1,"yyyy")),MATCH(TRIM($A34),PnL_Accounts,0))</f>
        <v>924</v>
      </c>
      <c r="P34" s="76">
        <f t="array" ref="P34">INDEX(INDIRECT("PnL_"&amp;TEXT(P$1,"mmm")&amp;"_"&amp;TEXT(P$1,"yyyy")),MATCH(TRIM($A34),PnL_Accounts,0))</f>
        <v>871</v>
      </c>
      <c r="Q34" s="76">
        <f t="array" ref="Q34">INDEX(INDIRECT("PnL_"&amp;TEXT(Q$1,"mmm")&amp;"_"&amp;TEXT(Q$1,"yyyy")),MATCH(TRIM($A34),PnL_Accounts,0))</f>
        <v>445</v>
      </c>
      <c r="R34" s="76">
        <f t="array" ref="R34">INDEX(INDIRECT("PnL_"&amp;TEXT(R$1,"mmm")&amp;"_"&amp;TEXT(R$1,"yyyy")),MATCH(TRIM($A34),PnL_Accounts,0))</f>
        <v>755</v>
      </c>
      <c r="S34" s="76">
        <f t="array" ref="S34">INDEX(INDIRECT("PnL_"&amp;TEXT(S$1,"mmm")&amp;"_"&amp;TEXT(S$1,"yyyy")),MATCH(TRIM($A34),PnL_Accounts,0))</f>
        <v>730</v>
      </c>
      <c r="T34" s="76">
        <f t="array" ref="T34">INDEX(INDIRECT("PnL_"&amp;TEXT(T$1,"mmm")&amp;"_"&amp;TEXT(T$1,"yyyy")),MATCH(TRIM($A34),PnL_Accounts,0))</f>
        <v>655</v>
      </c>
      <c r="U34" s="76">
        <f t="array" ref="U34">INDEX(INDIRECT("PnL_"&amp;TEXT(U$1,"mmm")&amp;"_"&amp;TEXT(U$1,"yyyy")),MATCH(TRIM($A34),PnL_Accounts,0))</f>
        <v>680</v>
      </c>
      <c r="V34" s="76">
        <f t="array" ref="V34">INDEX(INDIRECT("PnL_"&amp;TEXT(V$1,"mmm")&amp;"_"&amp;TEXT(V$1,"yyyy")),MATCH(TRIM($A34),PnL_Accounts,0))</f>
        <v>709</v>
      </c>
      <c r="W34" s="76">
        <f t="array" ref="W34">INDEX(INDIRECT("PnL_"&amp;TEXT(W$1,"mmm")&amp;"_"&amp;TEXT(W$1,"yyyy")),MATCH(TRIM($A34),PnL_Accounts,0))</f>
        <v>731</v>
      </c>
      <c r="X34" s="76">
        <f t="array" ref="X34">INDEX(INDIRECT("PnL_"&amp;TEXT(X$1,"mmm")&amp;"_"&amp;TEXT(X$1,"yyyy")),MATCH(TRIM($A34),PnL_Accounts,0))</f>
        <v>755</v>
      </c>
      <c r="Y34" s="76">
        <f t="array" ref="Y34">INDEX(INDIRECT("PnL_"&amp;TEXT(Y$1,"mmm")&amp;"_"&amp;TEXT(Y$1,"yyyy")),MATCH(TRIM($A34),PnL_Accounts,0))</f>
        <v>756</v>
      </c>
      <c r="Z34" s="76">
        <f t="array" ref="Z34">INDEX(INDIRECT("PnL_"&amp;TEXT(Z$1,"mmm")&amp;"_"&amp;TEXT(Z$1,"yyyy")),MATCH(TRIM($A34),PnL_Accounts,0))</f>
        <v>842</v>
      </c>
      <c r="AA34" s="76">
        <f t="array" ref="AA34">INDEX(INDIRECT("PnL_"&amp;TEXT(AA$1,"mmm")&amp;"_"&amp;TEXT(AA$1,"yyyy")),MATCH(TRIM($A34),PnL_Accounts,0))</f>
        <v>764</v>
      </c>
      <c r="AB34" s="76">
        <f t="array" ref="AB34">INDEX(INDIRECT("PnL_"&amp;TEXT(AB$1,"mmm")&amp;"_"&amp;TEXT(AB$1,"yyyy")),MATCH(TRIM($A34),PnL_Accounts,0))</f>
        <v>877</v>
      </c>
      <c r="AC34" s="76">
        <f t="array" ref="AC34">INDEX(INDIRECT("PnL_"&amp;TEXT(AC$1,"mmm")&amp;"_"&amp;TEXT(AC$1,"yyyy")),MATCH(TRIM($A34),PnL_Accounts,0))</f>
        <v>9123</v>
      </c>
      <c r="AD34" s="76">
        <f t="array" ref="AD34">INDEX(INDIRECT("PnL_"&amp;TEXT(AD$1,"mmm")&amp;"_"&amp;TEXT(AD$1,"yyyy")),MATCH(TRIM($A34),PnL_Accounts,0))</f>
        <v>8700</v>
      </c>
      <c r="AE34" s="76">
        <f t="array" ref="AE34">INDEX(INDIRECT("PnL_"&amp;TEXT(AE$1,"mmm")&amp;"_"&amp;TEXT(AE$1,"yyyy")),MATCH(TRIM($A34),PnL_Accounts,0))</f>
        <v>8245</v>
      </c>
      <c r="AF34" s="96">
        <f t="shared" ref="AF34:BW34" si="13">$B34</f>
        <v>8689.333333</v>
      </c>
      <c r="AG34" s="96">
        <f t="shared" si="13"/>
        <v>8689.333333</v>
      </c>
      <c r="AH34" s="96">
        <f t="shared" si="13"/>
        <v>8689.333333</v>
      </c>
      <c r="AI34" s="96">
        <f t="shared" si="13"/>
        <v>8689.333333</v>
      </c>
      <c r="AJ34" s="96">
        <f t="shared" si="13"/>
        <v>8689.333333</v>
      </c>
      <c r="AK34" s="96">
        <f t="shared" si="13"/>
        <v>8689.333333</v>
      </c>
      <c r="AL34" s="96">
        <f t="shared" si="13"/>
        <v>8689.333333</v>
      </c>
      <c r="AM34" s="96">
        <f t="shared" si="13"/>
        <v>8689.333333</v>
      </c>
      <c r="AN34" s="96">
        <f t="shared" si="13"/>
        <v>8689.333333</v>
      </c>
      <c r="AO34" s="96">
        <f t="shared" si="13"/>
        <v>8689.333333</v>
      </c>
      <c r="AP34" s="96">
        <f t="shared" si="13"/>
        <v>8689.333333</v>
      </c>
      <c r="AQ34" s="96">
        <f t="shared" si="13"/>
        <v>8689.333333</v>
      </c>
      <c r="AR34" s="96">
        <f t="shared" si="13"/>
        <v>8689.333333</v>
      </c>
      <c r="AS34" s="96">
        <f t="shared" si="13"/>
        <v>8689.333333</v>
      </c>
      <c r="AT34" s="96">
        <f t="shared" si="13"/>
        <v>8689.333333</v>
      </c>
      <c r="AU34" s="96">
        <f t="shared" si="13"/>
        <v>8689.333333</v>
      </c>
      <c r="AV34" s="96">
        <f t="shared" si="13"/>
        <v>8689.333333</v>
      </c>
      <c r="AW34" s="96">
        <f t="shared" si="13"/>
        <v>8689.333333</v>
      </c>
      <c r="AX34" s="96">
        <f t="shared" si="13"/>
        <v>8689.333333</v>
      </c>
      <c r="AY34" s="96">
        <f t="shared" si="13"/>
        <v>8689.333333</v>
      </c>
      <c r="AZ34" s="96">
        <f t="shared" si="13"/>
        <v>8689.333333</v>
      </c>
      <c r="BA34" s="96">
        <f t="shared" si="13"/>
        <v>8689.333333</v>
      </c>
      <c r="BB34" s="96">
        <f t="shared" si="13"/>
        <v>8689.333333</v>
      </c>
      <c r="BC34" s="96">
        <f t="shared" si="13"/>
        <v>8689.333333</v>
      </c>
      <c r="BD34" s="96">
        <f t="shared" si="13"/>
        <v>8689.333333</v>
      </c>
      <c r="BE34" s="96">
        <f t="shared" si="13"/>
        <v>8689.333333</v>
      </c>
      <c r="BF34" s="96">
        <f t="shared" si="13"/>
        <v>8689.333333</v>
      </c>
      <c r="BG34" s="96">
        <f t="shared" si="13"/>
        <v>8689.333333</v>
      </c>
      <c r="BH34" s="96">
        <f t="shared" si="13"/>
        <v>8689.333333</v>
      </c>
      <c r="BI34" s="96">
        <f t="shared" si="13"/>
        <v>8689.333333</v>
      </c>
      <c r="BJ34" s="96">
        <f t="shared" si="13"/>
        <v>8689.333333</v>
      </c>
      <c r="BK34" s="96">
        <f t="shared" si="13"/>
        <v>8689.333333</v>
      </c>
      <c r="BL34" s="96">
        <f t="shared" si="13"/>
        <v>8689.333333</v>
      </c>
      <c r="BM34" s="96">
        <f t="shared" si="13"/>
        <v>8689.333333</v>
      </c>
      <c r="BN34" s="96">
        <f t="shared" si="13"/>
        <v>8689.333333</v>
      </c>
      <c r="BO34" s="96">
        <f t="shared" si="13"/>
        <v>8689.333333</v>
      </c>
      <c r="BP34" s="96">
        <f t="shared" si="13"/>
        <v>8689.333333</v>
      </c>
      <c r="BQ34" s="96">
        <f t="shared" si="13"/>
        <v>8689.333333</v>
      </c>
      <c r="BR34" s="96">
        <f t="shared" si="13"/>
        <v>8689.333333</v>
      </c>
      <c r="BS34" s="96">
        <f t="shared" si="13"/>
        <v>8689.333333</v>
      </c>
      <c r="BT34" s="96">
        <f t="shared" si="13"/>
        <v>8689.333333</v>
      </c>
      <c r="BU34" s="96">
        <f t="shared" si="13"/>
        <v>8689.333333</v>
      </c>
      <c r="BV34" s="96">
        <f t="shared" si="13"/>
        <v>8689.333333</v>
      </c>
      <c r="BW34" s="96">
        <f t="shared" si="13"/>
        <v>8689.333333</v>
      </c>
    </row>
    <row r="35" ht="15.75" customHeight="1">
      <c r="A35" s="1" t="s">
        <v>268</v>
      </c>
      <c r="B35" s="160">
        <f>AVERAGEIFS(35:35,$1:$1,"&gt;="&amp;DATE(YEAR(Current_Month),MONTH(Current_Month)-2,DAY(Current_Month)),$1:$1,"&lt;="&amp;EOMONTH(Current_Month,0))</f>
        <v>3559.666667</v>
      </c>
      <c r="D35" s="76">
        <f t="array" ref="D35">INDEX(INDIRECT("PnL_"&amp;TEXT(D$1,"mmm")&amp;"_"&amp;TEXT(D$1,"yyyy")),MATCH(TRIM($A35),PnL_Accounts,0))</f>
        <v>1774</v>
      </c>
      <c r="E35" s="76">
        <f t="array" ref="E35">INDEX(INDIRECT("PnL_"&amp;TEXT(E$1,"mmm")&amp;"_"&amp;TEXT(E$1,"yyyy")),MATCH(TRIM($A35),PnL_Accounts,0))</f>
        <v>1642</v>
      </c>
      <c r="F35" s="76">
        <f t="array" ref="F35">INDEX(INDIRECT("PnL_"&amp;TEXT(F$1,"mmm")&amp;"_"&amp;TEXT(F$1,"yyyy")),MATCH(TRIM($A35),PnL_Accounts,0))</f>
        <v>1544</v>
      </c>
      <c r="G35" s="76">
        <f t="array" ref="G35">INDEX(INDIRECT("PnL_"&amp;TEXT(G$1,"mmm")&amp;"_"&amp;TEXT(G$1,"yyyy")),MATCH(TRIM($A35),PnL_Accounts,0))</f>
        <v>1737</v>
      </c>
      <c r="H35" s="76">
        <f t="array" ref="H35">INDEX(INDIRECT("PnL_"&amp;TEXT(H$1,"mmm")&amp;"_"&amp;TEXT(H$1,"yyyy")),MATCH(TRIM($A35),PnL_Accounts,0))</f>
        <v>1912</v>
      </c>
      <c r="I35" s="76">
        <f t="array" ref="I35">INDEX(INDIRECT("PnL_"&amp;TEXT(I$1,"mmm")&amp;"_"&amp;TEXT(I$1,"yyyy")),MATCH(TRIM($A35),PnL_Accounts,0))</f>
        <v>1989</v>
      </c>
      <c r="J35" s="76">
        <f t="array" ref="J35">INDEX(INDIRECT("PnL_"&amp;TEXT(J$1,"mmm")&amp;"_"&amp;TEXT(J$1,"yyyy")),MATCH(TRIM($A35),PnL_Accounts,0))</f>
        <v>2153</v>
      </c>
      <c r="K35" s="76">
        <f t="array" ref="K35">INDEX(INDIRECT("PnL_"&amp;TEXT(K$1,"mmm")&amp;"_"&amp;TEXT(K$1,"yyyy")),MATCH(TRIM($A35),PnL_Accounts,0))</f>
        <v>1890</v>
      </c>
      <c r="L35" s="76">
        <f t="array" ref="L35">INDEX(INDIRECT("PnL_"&amp;TEXT(L$1,"mmm")&amp;"_"&amp;TEXT(L$1,"yyyy")),MATCH(TRIM($A35),PnL_Accounts,0))</f>
        <v>2040</v>
      </c>
      <c r="M35" s="76">
        <f t="array" ref="M35">INDEX(INDIRECT("PnL_"&amp;TEXT(M$1,"mmm")&amp;"_"&amp;TEXT(M$1,"yyyy")),MATCH(TRIM($A35),PnL_Accounts,0))</f>
        <v>2285</v>
      </c>
      <c r="N35" s="76">
        <f t="array" ref="N35">INDEX(INDIRECT("PnL_"&amp;TEXT(N$1,"mmm")&amp;"_"&amp;TEXT(N$1,"yyyy")),MATCH(TRIM($A35),PnL_Accounts,0))</f>
        <v>2327</v>
      </c>
      <c r="O35" s="76">
        <f t="array" ref="O35">INDEX(INDIRECT("PnL_"&amp;TEXT(O$1,"mmm")&amp;"_"&amp;TEXT(O$1,"yyyy")),MATCH(TRIM($A35),PnL_Accounts,0))</f>
        <v>2358</v>
      </c>
      <c r="P35" s="76">
        <f t="array" ref="P35">INDEX(INDIRECT("PnL_"&amp;TEXT(P$1,"mmm")&amp;"_"&amp;TEXT(P$1,"yyyy")),MATCH(TRIM($A35),PnL_Accounts,0))</f>
        <v>2288</v>
      </c>
      <c r="Q35" s="76">
        <f t="array" ref="Q35">INDEX(INDIRECT("PnL_"&amp;TEXT(Q$1,"mmm")&amp;"_"&amp;TEXT(Q$1,"yyyy")),MATCH(TRIM($A35),PnL_Accounts,0))</f>
        <v>3455</v>
      </c>
      <c r="R35" s="76">
        <f t="array" ref="R35">INDEX(INDIRECT("PnL_"&amp;TEXT(R$1,"mmm")&amp;"_"&amp;TEXT(R$1,"yyyy")),MATCH(TRIM($A35),PnL_Accounts,0))</f>
        <v>3571</v>
      </c>
      <c r="S35" s="76">
        <f t="array" ref="S35">INDEX(INDIRECT("PnL_"&amp;TEXT(S$1,"mmm")&amp;"_"&amp;TEXT(S$1,"yyyy")),MATCH(TRIM($A35),PnL_Accounts,0))</f>
        <v>3571</v>
      </c>
      <c r="T35" s="76">
        <f t="array" ref="T35">INDEX(INDIRECT("PnL_"&amp;TEXT(T$1,"mmm")&amp;"_"&amp;TEXT(T$1,"yyyy")),MATCH(TRIM($A35),PnL_Accounts,0))</f>
        <v>2910</v>
      </c>
      <c r="U35" s="76">
        <f t="array" ref="U35">INDEX(INDIRECT("PnL_"&amp;TEXT(U$1,"mmm")&amp;"_"&amp;TEXT(U$1,"yyyy")),MATCH(TRIM($A35),PnL_Accounts,0))</f>
        <v>3387</v>
      </c>
      <c r="V35" s="76">
        <f t="array" ref="V35">INDEX(INDIRECT("PnL_"&amp;TEXT(V$1,"mmm")&amp;"_"&amp;TEXT(V$1,"yyyy")),MATCH(TRIM($A35),PnL_Accounts,0))</f>
        <v>3266</v>
      </c>
      <c r="W35" s="76">
        <f t="array" ref="W35">INDEX(INDIRECT("PnL_"&amp;TEXT(W$1,"mmm")&amp;"_"&amp;TEXT(W$1,"yyyy")),MATCH(TRIM($A35),PnL_Accounts,0))</f>
        <v>3197</v>
      </c>
      <c r="X35" s="76">
        <f t="array" ref="X35">INDEX(INDIRECT("PnL_"&amp;TEXT(X$1,"mmm")&amp;"_"&amp;TEXT(X$1,"yyyy")),MATCH(TRIM($A35),PnL_Accounts,0))</f>
        <v>2907</v>
      </c>
      <c r="Y35" s="76">
        <f t="array" ref="Y35">INDEX(INDIRECT("PnL_"&amp;TEXT(Y$1,"mmm")&amp;"_"&amp;TEXT(Y$1,"yyyy")),MATCH(TRIM($A35),PnL_Accounts,0))</f>
        <v>2467</v>
      </c>
      <c r="Z35" s="76">
        <f t="array" ref="Z35">INDEX(INDIRECT("PnL_"&amp;TEXT(Z$1,"mmm")&amp;"_"&amp;TEXT(Z$1,"yyyy")),MATCH(TRIM($A35),PnL_Accounts,0))</f>
        <v>2463</v>
      </c>
      <c r="AA35" s="76">
        <f t="array" ref="AA35">INDEX(INDIRECT("PnL_"&amp;TEXT(AA$1,"mmm")&amp;"_"&amp;TEXT(AA$1,"yyyy")),MATCH(TRIM($A35),PnL_Accounts,0))</f>
        <v>3759</v>
      </c>
      <c r="AB35" s="76">
        <f t="array" ref="AB35">INDEX(INDIRECT("PnL_"&amp;TEXT(AB$1,"mmm")&amp;"_"&amp;TEXT(AB$1,"yyyy")),MATCH(TRIM($A35),PnL_Accounts,0))</f>
        <v>4212</v>
      </c>
      <c r="AC35" s="76">
        <f t="array" ref="AC35">INDEX(INDIRECT("PnL_"&amp;TEXT(AC$1,"mmm")&amp;"_"&amp;TEXT(AC$1,"yyyy")),MATCH(TRIM($A35),PnL_Accounts,0))</f>
        <v>3795</v>
      </c>
      <c r="AD35" s="76">
        <f t="array" ref="AD35">INDEX(INDIRECT("PnL_"&amp;TEXT(AD$1,"mmm")&amp;"_"&amp;TEXT(AD$1,"yyyy")),MATCH(TRIM($A35),PnL_Accounts,0))</f>
        <v>3674</v>
      </c>
      <c r="AE35" s="76">
        <f t="array" ref="AE35">INDEX(INDIRECT("PnL_"&amp;TEXT(AE$1,"mmm")&amp;"_"&amp;TEXT(AE$1,"yyyy")),MATCH(TRIM($A35),PnL_Accounts,0))</f>
        <v>3210</v>
      </c>
      <c r="AF35" s="96">
        <f t="shared" ref="AF35:BW35" si="14">$B35</f>
        <v>3559.666667</v>
      </c>
      <c r="AG35" s="96">
        <f t="shared" si="14"/>
        <v>3559.666667</v>
      </c>
      <c r="AH35" s="96">
        <f t="shared" si="14"/>
        <v>3559.666667</v>
      </c>
      <c r="AI35" s="96">
        <f t="shared" si="14"/>
        <v>3559.666667</v>
      </c>
      <c r="AJ35" s="96">
        <f t="shared" si="14"/>
        <v>3559.666667</v>
      </c>
      <c r="AK35" s="96">
        <f t="shared" si="14"/>
        <v>3559.666667</v>
      </c>
      <c r="AL35" s="96">
        <f t="shared" si="14"/>
        <v>3559.666667</v>
      </c>
      <c r="AM35" s="96">
        <f t="shared" si="14"/>
        <v>3559.666667</v>
      </c>
      <c r="AN35" s="96">
        <f t="shared" si="14"/>
        <v>3559.666667</v>
      </c>
      <c r="AO35" s="96">
        <f t="shared" si="14"/>
        <v>3559.666667</v>
      </c>
      <c r="AP35" s="96">
        <f t="shared" si="14"/>
        <v>3559.666667</v>
      </c>
      <c r="AQ35" s="96">
        <f t="shared" si="14"/>
        <v>3559.666667</v>
      </c>
      <c r="AR35" s="96">
        <f t="shared" si="14"/>
        <v>3559.666667</v>
      </c>
      <c r="AS35" s="96">
        <f t="shared" si="14"/>
        <v>3559.666667</v>
      </c>
      <c r="AT35" s="96">
        <f t="shared" si="14"/>
        <v>3559.666667</v>
      </c>
      <c r="AU35" s="96">
        <f t="shared" si="14"/>
        <v>3559.666667</v>
      </c>
      <c r="AV35" s="96">
        <f t="shared" si="14"/>
        <v>3559.666667</v>
      </c>
      <c r="AW35" s="96">
        <f t="shared" si="14"/>
        <v>3559.666667</v>
      </c>
      <c r="AX35" s="96">
        <f t="shared" si="14"/>
        <v>3559.666667</v>
      </c>
      <c r="AY35" s="96">
        <f t="shared" si="14"/>
        <v>3559.666667</v>
      </c>
      <c r="AZ35" s="96">
        <f t="shared" si="14"/>
        <v>3559.666667</v>
      </c>
      <c r="BA35" s="96">
        <f t="shared" si="14"/>
        <v>3559.666667</v>
      </c>
      <c r="BB35" s="96">
        <f t="shared" si="14"/>
        <v>3559.666667</v>
      </c>
      <c r="BC35" s="96">
        <f t="shared" si="14"/>
        <v>3559.666667</v>
      </c>
      <c r="BD35" s="96">
        <f t="shared" si="14"/>
        <v>3559.666667</v>
      </c>
      <c r="BE35" s="96">
        <f t="shared" si="14"/>
        <v>3559.666667</v>
      </c>
      <c r="BF35" s="96">
        <f t="shared" si="14"/>
        <v>3559.666667</v>
      </c>
      <c r="BG35" s="96">
        <f t="shared" si="14"/>
        <v>3559.666667</v>
      </c>
      <c r="BH35" s="96">
        <f t="shared" si="14"/>
        <v>3559.666667</v>
      </c>
      <c r="BI35" s="96">
        <f t="shared" si="14"/>
        <v>3559.666667</v>
      </c>
      <c r="BJ35" s="96">
        <f t="shared" si="14"/>
        <v>3559.666667</v>
      </c>
      <c r="BK35" s="96">
        <f t="shared" si="14"/>
        <v>3559.666667</v>
      </c>
      <c r="BL35" s="96">
        <f t="shared" si="14"/>
        <v>3559.666667</v>
      </c>
      <c r="BM35" s="96">
        <f t="shared" si="14"/>
        <v>3559.666667</v>
      </c>
      <c r="BN35" s="96">
        <f t="shared" si="14"/>
        <v>3559.666667</v>
      </c>
      <c r="BO35" s="96">
        <f t="shared" si="14"/>
        <v>3559.666667</v>
      </c>
      <c r="BP35" s="96">
        <f t="shared" si="14"/>
        <v>3559.666667</v>
      </c>
      <c r="BQ35" s="96">
        <f t="shared" si="14"/>
        <v>3559.666667</v>
      </c>
      <c r="BR35" s="96">
        <f t="shared" si="14"/>
        <v>3559.666667</v>
      </c>
      <c r="BS35" s="96">
        <f t="shared" si="14"/>
        <v>3559.666667</v>
      </c>
      <c r="BT35" s="96">
        <f t="shared" si="14"/>
        <v>3559.666667</v>
      </c>
      <c r="BU35" s="96">
        <f t="shared" si="14"/>
        <v>3559.666667</v>
      </c>
      <c r="BV35" s="96">
        <f t="shared" si="14"/>
        <v>3559.666667</v>
      </c>
      <c r="BW35" s="96">
        <f t="shared" si="14"/>
        <v>3559.666667</v>
      </c>
    </row>
    <row r="36" ht="15.75" customHeight="1">
      <c r="A36" s="1" t="s">
        <v>269</v>
      </c>
      <c r="B36" s="160">
        <f>AVERAGEIFS(36:36,$1:$1,"&gt;="&amp;DATE(YEAR(Current_Month),MONTH(Current_Month)-2,DAY(Current_Month)),$1:$1,"&lt;="&amp;EOMONTH(Current_Month,0))</f>
        <v>800</v>
      </c>
      <c r="D36" s="76">
        <f t="array" ref="D36">INDEX(INDIRECT("PnL_"&amp;TEXT(D$1,"mmm")&amp;"_"&amp;TEXT(D$1,"yyyy")),MATCH(TRIM($A36),PnL_Accounts,0))</f>
        <v>663</v>
      </c>
      <c r="E36" s="76">
        <f t="array" ref="E36">INDEX(INDIRECT("PnL_"&amp;TEXT(E$1,"mmm")&amp;"_"&amp;TEXT(E$1,"yyyy")),MATCH(TRIM($A36),PnL_Accounts,0))</f>
        <v>663</v>
      </c>
      <c r="F36" s="76">
        <f t="array" ref="F36">INDEX(INDIRECT("PnL_"&amp;TEXT(F$1,"mmm")&amp;"_"&amp;TEXT(F$1,"yyyy")),MATCH(TRIM($A36),PnL_Accounts,0))</f>
        <v>663</v>
      </c>
      <c r="G36" s="76">
        <f t="array" ref="G36">INDEX(INDIRECT("PnL_"&amp;TEXT(G$1,"mmm")&amp;"_"&amp;TEXT(G$1,"yyyy")),MATCH(TRIM($A36),PnL_Accounts,0))</f>
        <v>663</v>
      </c>
      <c r="H36" s="76">
        <f t="array" ref="H36">INDEX(INDIRECT("PnL_"&amp;TEXT(H$1,"mmm")&amp;"_"&amp;TEXT(H$1,"yyyy")),MATCH(TRIM($A36),PnL_Accounts,0))</f>
        <v>663</v>
      </c>
      <c r="I36" s="76">
        <f t="array" ref="I36">INDEX(INDIRECT("PnL_"&amp;TEXT(I$1,"mmm")&amp;"_"&amp;TEXT(I$1,"yyyy")),MATCH(TRIM($A36),PnL_Accounts,0))</f>
        <v>663</v>
      </c>
      <c r="J36" s="76">
        <f t="array" ref="J36">INDEX(INDIRECT("PnL_"&amp;TEXT(J$1,"mmm")&amp;"_"&amp;TEXT(J$1,"yyyy")),MATCH(TRIM($A36),PnL_Accounts,0))</f>
        <v>663</v>
      </c>
      <c r="K36" s="76">
        <f t="array" ref="K36">INDEX(INDIRECT("PnL_"&amp;TEXT(K$1,"mmm")&amp;"_"&amp;TEXT(K$1,"yyyy")),MATCH(TRIM($A36),PnL_Accounts,0))</f>
        <v>700</v>
      </c>
      <c r="L36" s="76">
        <f t="array" ref="L36">INDEX(INDIRECT("PnL_"&amp;TEXT(L$1,"mmm")&amp;"_"&amp;TEXT(L$1,"yyyy")),MATCH(TRIM($A36),PnL_Accounts,0))</f>
        <v>700</v>
      </c>
      <c r="M36" s="76">
        <f t="array" ref="M36">INDEX(INDIRECT("PnL_"&amp;TEXT(M$1,"mmm")&amp;"_"&amp;TEXT(M$1,"yyyy")),MATCH(TRIM($A36),PnL_Accounts,0))</f>
        <v>700</v>
      </c>
      <c r="N36" s="76">
        <f t="array" ref="N36">INDEX(INDIRECT("PnL_"&amp;TEXT(N$1,"mmm")&amp;"_"&amp;TEXT(N$1,"yyyy")),MATCH(TRIM($A36),PnL_Accounts,0))</f>
        <v>700</v>
      </c>
      <c r="O36" s="76">
        <f t="array" ref="O36">INDEX(INDIRECT("PnL_"&amp;TEXT(O$1,"mmm")&amp;"_"&amp;TEXT(O$1,"yyyy")),MATCH(TRIM($A36),PnL_Accounts,0))</f>
        <v>700</v>
      </c>
      <c r="P36" s="76">
        <f t="array" ref="P36">INDEX(INDIRECT("PnL_"&amp;TEXT(P$1,"mmm")&amp;"_"&amp;TEXT(P$1,"yyyy")),MATCH(TRIM($A36),PnL_Accounts,0))</f>
        <v>750</v>
      </c>
      <c r="Q36" s="76">
        <f t="array" ref="Q36">INDEX(INDIRECT("PnL_"&amp;TEXT(Q$1,"mmm")&amp;"_"&amp;TEXT(Q$1,"yyyy")),MATCH(TRIM($A36),PnL_Accounts,0))</f>
        <v>750</v>
      </c>
      <c r="R36" s="76">
        <f t="array" ref="R36">INDEX(INDIRECT("PnL_"&amp;TEXT(R$1,"mmm")&amp;"_"&amp;TEXT(R$1,"yyyy")),MATCH(TRIM($A36),PnL_Accounts,0))</f>
        <v>750</v>
      </c>
      <c r="S36" s="76">
        <f t="array" ref="S36">INDEX(INDIRECT("PnL_"&amp;TEXT(S$1,"mmm")&amp;"_"&amp;TEXT(S$1,"yyyy")),MATCH(TRIM($A36),PnL_Accounts,0))</f>
        <v>750</v>
      </c>
      <c r="T36" s="76">
        <f t="array" ref="T36">INDEX(INDIRECT("PnL_"&amp;TEXT(T$1,"mmm")&amp;"_"&amp;TEXT(T$1,"yyyy")),MATCH(TRIM($A36),PnL_Accounts,0))</f>
        <v>750</v>
      </c>
      <c r="U36" s="76">
        <f t="array" ref="U36">INDEX(INDIRECT("PnL_"&amp;TEXT(U$1,"mmm")&amp;"_"&amp;TEXT(U$1,"yyyy")),MATCH(TRIM($A36),PnL_Accounts,0))</f>
        <v>750</v>
      </c>
      <c r="V36" s="76">
        <f t="array" ref="V36">INDEX(INDIRECT("PnL_"&amp;TEXT(V$1,"mmm")&amp;"_"&amp;TEXT(V$1,"yyyy")),MATCH(TRIM($A36),PnL_Accounts,0))</f>
        <v>750</v>
      </c>
      <c r="W36" s="76">
        <f t="array" ref="W36">INDEX(INDIRECT("PnL_"&amp;TEXT(W$1,"mmm")&amp;"_"&amp;TEXT(W$1,"yyyy")),MATCH(TRIM($A36),PnL_Accounts,0))</f>
        <v>800</v>
      </c>
      <c r="X36" s="76">
        <f t="array" ref="X36">INDEX(INDIRECT("PnL_"&amp;TEXT(X$1,"mmm")&amp;"_"&amp;TEXT(X$1,"yyyy")),MATCH(TRIM($A36),PnL_Accounts,0))</f>
        <v>800</v>
      </c>
      <c r="Y36" s="76">
        <f t="array" ref="Y36">INDEX(INDIRECT("PnL_"&amp;TEXT(Y$1,"mmm")&amp;"_"&amp;TEXT(Y$1,"yyyy")),MATCH(TRIM($A36),PnL_Accounts,0))</f>
        <v>800</v>
      </c>
      <c r="Z36" s="76">
        <f t="array" ref="Z36">INDEX(INDIRECT("PnL_"&amp;TEXT(Z$1,"mmm")&amp;"_"&amp;TEXT(Z$1,"yyyy")),MATCH(TRIM($A36),PnL_Accounts,0))</f>
        <v>800</v>
      </c>
      <c r="AA36" s="76">
        <f t="array" ref="AA36">INDEX(INDIRECT("PnL_"&amp;TEXT(AA$1,"mmm")&amp;"_"&amp;TEXT(AA$1,"yyyy")),MATCH(TRIM($A36),PnL_Accounts,0))</f>
        <v>800</v>
      </c>
      <c r="AB36" s="76">
        <f t="array" ref="AB36">INDEX(INDIRECT("PnL_"&amp;TEXT(AB$1,"mmm")&amp;"_"&amp;TEXT(AB$1,"yyyy")),MATCH(TRIM($A36),PnL_Accounts,0))</f>
        <v>800</v>
      </c>
      <c r="AC36" s="76">
        <f t="array" ref="AC36">INDEX(INDIRECT("PnL_"&amp;TEXT(AC$1,"mmm")&amp;"_"&amp;TEXT(AC$1,"yyyy")),MATCH(TRIM($A36),PnL_Accounts,0))</f>
        <v>800</v>
      </c>
      <c r="AD36" s="76">
        <f t="array" ref="AD36">INDEX(INDIRECT("PnL_"&amp;TEXT(AD$1,"mmm")&amp;"_"&amp;TEXT(AD$1,"yyyy")),MATCH(TRIM($A36),PnL_Accounts,0))</f>
        <v>800</v>
      </c>
      <c r="AE36" s="76">
        <f t="array" ref="AE36">INDEX(INDIRECT("PnL_"&amp;TEXT(AE$1,"mmm")&amp;"_"&amp;TEXT(AE$1,"yyyy")),MATCH(TRIM($A36),PnL_Accounts,0))</f>
        <v>800</v>
      </c>
      <c r="AF36" s="96">
        <f t="shared" ref="AF36:BW36" si="15">$B36</f>
        <v>800</v>
      </c>
      <c r="AG36" s="96">
        <f t="shared" si="15"/>
        <v>800</v>
      </c>
      <c r="AH36" s="96">
        <f t="shared" si="15"/>
        <v>800</v>
      </c>
      <c r="AI36" s="96">
        <f t="shared" si="15"/>
        <v>800</v>
      </c>
      <c r="AJ36" s="96">
        <f t="shared" si="15"/>
        <v>800</v>
      </c>
      <c r="AK36" s="96">
        <f t="shared" si="15"/>
        <v>800</v>
      </c>
      <c r="AL36" s="96">
        <f t="shared" si="15"/>
        <v>800</v>
      </c>
      <c r="AM36" s="96">
        <f t="shared" si="15"/>
        <v>800</v>
      </c>
      <c r="AN36" s="96">
        <f t="shared" si="15"/>
        <v>800</v>
      </c>
      <c r="AO36" s="96">
        <f t="shared" si="15"/>
        <v>800</v>
      </c>
      <c r="AP36" s="96">
        <f t="shared" si="15"/>
        <v>800</v>
      </c>
      <c r="AQ36" s="96">
        <f t="shared" si="15"/>
        <v>800</v>
      </c>
      <c r="AR36" s="96">
        <f t="shared" si="15"/>
        <v>800</v>
      </c>
      <c r="AS36" s="96">
        <f t="shared" si="15"/>
        <v>800</v>
      </c>
      <c r="AT36" s="96">
        <f t="shared" si="15"/>
        <v>800</v>
      </c>
      <c r="AU36" s="96">
        <f t="shared" si="15"/>
        <v>800</v>
      </c>
      <c r="AV36" s="96">
        <f t="shared" si="15"/>
        <v>800</v>
      </c>
      <c r="AW36" s="96">
        <f t="shared" si="15"/>
        <v>800</v>
      </c>
      <c r="AX36" s="96">
        <f t="shared" si="15"/>
        <v>800</v>
      </c>
      <c r="AY36" s="96">
        <f t="shared" si="15"/>
        <v>800</v>
      </c>
      <c r="AZ36" s="96">
        <f t="shared" si="15"/>
        <v>800</v>
      </c>
      <c r="BA36" s="96">
        <f t="shared" si="15"/>
        <v>800</v>
      </c>
      <c r="BB36" s="96">
        <f t="shared" si="15"/>
        <v>800</v>
      </c>
      <c r="BC36" s="96">
        <f t="shared" si="15"/>
        <v>800</v>
      </c>
      <c r="BD36" s="96">
        <f t="shared" si="15"/>
        <v>800</v>
      </c>
      <c r="BE36" s="96">
        <f t="shared" si="15"/>
        <v>800</v>
      </c>
      <c r="BF36" s="96">
        <f t="shared" si="15"/>
        <v>800</v>
      </c>
      <c r="BG36" s="96">
        <f t="shared" si="15"/>
        <v>800</v>
      </c>
      <c r="BH36" s="96">
        <f t="shared" si="15"/>
        <v>800</v>
      </c>
      <c r="BI36" s="96">
        <f t="shared" si="15"/>
        <v>800</v>
      </c>
      <c r="BJ36" s="96">
        <f t="shared" si="15"/>
        <v>800</v>
      </c>
      <c r="BK36" s="96">
        <f t="shared" si="15"/>
        <v>800</v>
      </c>
      <c r="BL36" s="96">
        <f t="shared" si="15"/>
        <v>800</v>
      </c>
      <c r="BM36" s="96">
        <f t="shared" si="15"/>
        <v>800</v>
      </c>
      <c r="BN36" s="96">
        <f t="shared" si="15"/>
        <v>800</v>
      </c>
      <c r="BO36" s="96">
        <f t="shared" si="15"/>
        <v>800</v>
      </c>
      <c r="BP36" s="96">
        <f t="shared" si="15"/>
        <v>800</v>
      </c>
      <c r="BQ36" s="96">
        <f t="shared" si="15"/>
        <v>800</v>
      </c>
      <c r="BR36" s="96">
        <f t="shared" si="15"/>
        <v>800</v>
      </c>
      <c r="BS36" s="96">
        <f t="shared" si="15"/>
        <v>800</v>
      </c>
      <c r="BT36" s="96">
        <f t="shared" si="15"/>
        <v>800</v>
      </c>
      <c r="BU36" s="96">
        <f t="shared" si="15"/>
        <v>800</v>
      </c>
      <c r="BV36" s="96">
        <f t="shared" si="15"/>
        <v>800</v>
      </c>
      <c r="BW36" s="96">
        <f t="shared" si="15"/>
        <v>800</v>
      </c>
    </row>
    <row r="37" ht="15.75" customHeight="1">
      <c r="A37" s="1" t="s">
        <v>270</v>
      </c>
      <c r="B37" s="159"/>
      <c r="D37" s="76" t="str">
        <f t="array" ref="D37">INDEX(INDIRECT("PnL_"&amp;TEXT(D$1,"mmm")&amp;"_"&amp;TEXT(D$1,"yyyy")),MATCH(TRIM($A37),PnL_Accounts,0))</f>
        <v/>
      </c>
      <c r="E37" s="76" t="str">
        <f t="array" ref="E37">INDEX(INDIRECT("PnL_"&amp;TEXT(E$1,"mmm")&amp;"_"&amp;TEXT(E$1,"yyyy")),MATCH(TRIM($A37),PnL_Accounts,0))</f>
        <v/>
      </c>
      <c r="F37" s="76" t="str">
        <f t="array" ref="F37">INDEX(INDIRECT("PnL_"&amp;TEXT(F$1,"mmm")&amp;"_"&amp;TEXT(F$1,"yyyy")),MATCH(TRIM($A37),PnL_Accounts,0))</f>
        <v/>
      </c>
      <c r="G37" s="76" t="str">
        <f t="array" ref="G37">INDEX(INDIRECT("PnL_"&amp;TEXT(G$1,"mmm")&amp;"_"&amp;TEXT(G$1,"yyyy")),MATCH(TRIM($A37),PnL_Accounts,0))</f>
        <v/>
      </c>
      <c r="H37" s="76" t="str">
        <f t="array" ref="H37">INDEX(INDIRECT("PnL_"&amp;TEXT(H$1,"mmm")&amp;"_"&amp;TEXT(H$1,"yyyy")),MATCH(TRIM($A37),PnL_Accounts,0))</f>
        <v/>
      </c>
      <c r="I37" s="76" t="str">
        <f t="array" ref="I37">INDEX(INDIRECT("PnL_"&amp;TEXT(I$1,"mmm")&amp;"_"&amp;TEXT(I$1,"yyyy")),MATCH(TRIM($A37),PnL_Accounts,0))</f>
        <v/>
      </c>
      <c r="J37" s="76" t="str">
        <f t="array" ref="J37">INDEX(INDIRECT("PnL_"&amp;TEXT(J$1,"mmm")&amp;"_"&amp;TEXT(J$1,"yyyy")),MATCH(TRIM($A37),PnL_Accounts,0))</f>
        <v/>
      </c>
      <c r="K37" s="76" t="str">
        <f t="array" ref="K37">INDEX(INDIRECT("PnL_"&amp;TEXT(K$1,"mmm")&amp;"_"&amp;TEXT(K$1,"yyyy")),MATCH(TRIM($A37),PnL_Accounts,0))</f>
        <v/>
      </c>
      <c r="L37" s="76" t="str">
        <f t="array" ref="L37">INDEX(INDIRECT("PnL_"&amp;TEXT(L$1,"mmm")&amp;"_"&amp;TEXT(L$1,"yyyy")),MATCH(TRIM($A37),PnL_Accounts,0))</f>
        <v/>
      </c>
      <c r="M37" s="76" t="str">
        <f t="array" ref="M37">INDEX(INDIRECT("PnL_"&amp;TEXT(M$1,"mmm")&amp;"_"&amp;TEXT(M$1,"yyyy")),MATCH(TRIM($A37),PnL_Accounts,0))</f>
        <v/>
      </c>
      <c r="N37" s="76" t="str">
        <f t="array" ref="N37">INDEX(INDIRECT("PnL_"&amp;TEXT(N$1,"mmm")&amp;"_"&amp;TEXT(N$1,"yyyy")),MATCH(TRIM($A37),PnL_Accounts,0))</f>
        <v/>
      </c>
      <c r="O37" s="76" t="str">
        <f t="array" ref="O37">INDEX(INDIRECT("PnL_"&amp;TEXT(O$1,"mmm")&amp;"_"&amp;TEXT(O$1,"yyyy")),MATCH(TRIM($A37),PnL_Accounts,0))</f>
        <v/>
      </c>
      <c r="P37" s="76" t="str">
        <f t="array" ref="P37">INDEX(INDIRECT("PnL_"&amp;TEXT(P$1,"mmm")&amp;"_"&amp;TEXT(P$1,"yyyy")),MATCH(TRIM($A37),PnL_Accounts,0))</f>
        <v/>
      </c>
      <c r="Q37" s="76" t="str">
        <f t="array" ref="Q37">INDEX(INDIRECT("PnL_"&amp;TEXT(Q$1,"mmm")&amp;"_"&amp;TEXT(Q$1,"yyyy")),MATCH(TRIM($A37),PnL_Accounts,0))</f>
        <v/>
      </c>
      <c r="R37" s="76" t="str">
        <f t="array" ref="R37">INDEX(INDIRECT("PnL_"&amp;TEXT(R$1,"mmm")&amp;"_"&amp;TEXT(R$1,"yyyy")),MATCH(TRIM($A37),PnL_Accounts,0))</f>
        <v/>
      </c>
      <c r="S37" s="76" t="str">
        <f t="array" ref="S37">INDEX(INDIRECT("PnL_"&amp;TEXT(S$1,"mmm")&amp;"_"&amp;TEXT(S$1,"yyyy")),MATCH(TRIM($A37),PnL_Accounts,0))</f>
        <v/>
      </c>
      <c r="T37" s="76" t="str">
        <f t="array" ref="T37">INDEX(INDIRECT("PnL_"&amp;TEXT(T$1,"mmm")&amp;"_"&amp;TEXT(T$1,"yyyy")),MATCH(TRIM($A37),PnL_Accounts,0))</f>
        <v/>
      </c>
      <c r="U37" s="76" t="str">
        <f t="array" ref="U37">INDEX(INDIRECT("PnL_"&amp;TEXT(U$1,"mmm")&amp;"_"&amp;TEXT(U$1,"yyyy")),MATCH(TRIM($A37),PnL_Accounts,0))</f>
        <v/>
      </c>
      <c r="V37" s="76" t="str">
        <f t="array" ref="V37">INDEX(INDIRECT("PnL_"&amp;TEXT(V$1,"mmm")&amp;"_"&amp;TEXT(V$1,"yyyy")),MATCH(TRIM($A37),PnL_Accounts,0))</f>
        <v/>
      </c>
      <c r="W37" s="76" t="str">
        <f t="array" ref="W37">INDEX(INDIRECT("PnL_"&amp;TEXT(W$1,"mmm")&amp;"_"&amp;TEXT(W$1,"yyyy")),MATCH(TRIM($A37),PnL_Accounts,0))</f>
        <v/>
      </c>
      <c r="X37" s="76" t="str">
        <f t="array" ref="X37">INDEX(INDIRECT("PnL_"&amp;TEXT(X$1,"mmm")&amp;"_"&amp;TEXT(X$1,"yyyy")),MATCH(TRIM($A37),PnL_Accounts,0))</f>
        <v/>
      </c>
      <c r="Y37" s="76" t="str">
        <f t="array" ref="Y37">INDEX(INDIRECT("PnL_"&amp;TEXT(Y$1,"mmm")&amp;"_"&amp;TEXT(Y$1,"yyyy")),MATCH(TRIM($A37),PnL_Accounts,0))</f>
        <v/>
      </c>
      <c r="Z37" s="76" t="str">
        <f t="array" ref="Z37">INDEX(INDIRECT("PnL_"&amp;TEXT(Z$1,"mmm")&amp;"_"&amp;TEXT(Z$1,"yyyy")),MATCH(TRIM($A37),PnL_Accounts,0))</f>
        <v/>
      </c>
      <c r="AA37" s="76" t="str">
        <f t="array" ref="AA37">INDEX(INDIRECT("PnL_"&amp;TEXT(AA$1,"mmm")&amp;"_"&amp;TEXT(AA$1,"yyyy")),MATCH(TRIM($A37),PnL_Accounts,0))</f>
        <v/>
      </c>
      <c r="AB37" s="76" t="str">
        <f t="array" ref="AB37">INDEX(INDIRECT("PnL_"&amp;TEXT(AB$1,"mmm")&amp;"_"&amp;TEXT(AB$1,"yyyy")),MATCH(TRIM($A37),PnL_Accounts,0))</f>
        <v/>
      </c>
      <c r="AC37" s="76" t="str">
        <f t="array" ref="AC37">INDEX(INDIRECT("PnL_"&amp;TEXT(AC$1,"mmm")&amp;"_"&amp;TEXT(AC$1,"yyyy")),MATCH(TRIM($A37),PnL_Accounts,0))</f>
        <v/>
      </c>
      <c r="AD37" s="76" t="str">
        <f t="array" ref="AD37">INDEX(INDIRECT("PnL_"&amp;TEXT(AD$1,"mmm")&amp;"_"&amp;TEXT(AD$1,"yyyy")),MATCH(TRIM($A37),PnL_Accounts,0))</f>
        <v/>
      </c>
      <c r="AE37" s="76" t="str">
        <f t="array" ref="AE37">INDEX(INDIRECT("PnL_"&amp;TEXT(AE$1,"mmm")&amp;"_"&amp;TEXT(AE$1,"yyyy")),MATCH(TRIM($A37),PnL_Accounts,0))</f>
        <v/>
      </c>
    </row>
    <row r="38" ht="15.75" customHeight="1">
      <c r="A38" s="1" t="s">
        <v>271</v>
      </c>
      <c r="B38" s="160">
        <f>AVERAGEIFS(38:38,$1:$1,"&gt;="&amp;DATE(YEAR(Current_Month),MONTH(Current_Month)-2,DAY(Current_Month)),$1:$1,"&lt;="&amp;EOMONTH(Current_Month,0))</f>
        <v>8133.333333</v>
      </c>
      <c r="D38" s="76">
        <f t="array" ref="D38">INDEX(INDIRECT("PnL_"&amp;TEXT(D$1,"mmm")&amp;"_"&amp;TEXT(D$1,"yyyy")),MATCH(TRIM($A38),PnL_Accounts,0))</f>
        <v>2250</v>
      </c>
      <c r="E38" s="76">
        <f t="array" ref="E38">INDEX(INDIRECT("PnL_"&amp;TEXT(E$1,"mmm")&amp;"_"&amp;TEXT(E$1,"yyyy")),MATCH(TRIM($A38),PnL_Accounts,0))</f>
        <v>2346</v>
      </c>
      <c r="F38" s="76">
        <f t="array" ref="F38">INDEX(INDIRECT("PnL_"&amp;TEXT(F$1,"mmm")&amp;"_"&amp;TEXT(F$1,"yyyy")),MATCH(TRIM($A38),PnL_Accounts,0))</f>
        <v>2806</v>
      </c>
      <c r="G38" s="76">
        <f t="array" ref="G38">INDEX(INDIRECT("PnL_"&amp;TEXT(G$1,"mmm")&amp;"_"&amp;TEXT(G$1,"yyyy")),MATCH(TRIM($A38),PnL_Accounts,0))</f>
        <v>3195</v>
      </c>
      <c r="H38" s="76">
        <f t="array" ref="H38">INDEX(INDIRECT("PnL_"&amp;TEXT(H$1,"mmm")&amp;"_"&amp;TEXT(H$1,"yyyy")),MATCH(TRIM($A38),PnL_Accounts,0))</f>
        <v>3233</v>
      </c>
      <c r="I38" s="76">
        <f t="array" ref="I38">INDEX(INDIRECT("PnL_"&amp;TEXT(I$1,"mmm")&amp;"_"&amp;TEXT(I$1,"yyyy")),MATCH(TRIM($A38),PnL_Accounts,0))</f>
        <v>3592</v>
      </c>
      <c r="J38" s="76">
        <f t="array" ref="J38">INDEX(INDIRECT("PnL_"&amp;TEXT(J$1,"mmm")&amp;"_"&amp;TEXT(J$1,"yyyy")),MATCH(TRIM($A38),PnL_Accounts,0))</f>
        <v>3621</v>
      </c>
      <c r="K38" s="76">
        <f t="array" ref="K38">INDEX(INDIRECT("PnL_"&amp;TEXT(K$1,"mmm")&amp;"_"&amp;TEXT(K$1,"yyyy")),MATCH(TRIM($A38),PnL_Accounts,0))</f>
        <v>3689</v>
      </c>
      <c r="L38" s="76">
        <f t="array" ref="L38">INDEX(INDIRECT("PnL_"&amp;TEXT(L$1,"mmm")&amp;"_"&amp;TEXT(L$1,"yyyy")),MATCH(TRIM($A38),PnL_Accounts,0))</f>
        <v>3772</v>
      </c>
      <c r="M38" s="76">
        <f t="array" ref="M38">INDEX(INDIRECT("PnL_"&amp;TEXT(M$1,"mmm")&amp;"_"&amp;TEXT(M$1,"yyyy")),MATCH(TRIM($A38),PnL_Accounts,0))</f>
        <v>4011</v>
      </c>
      <c r="N38" s="76">
        <f t="array" ref="N38">INDEX(INDIRECT("PnL_"&amp;TEXT(N$1,"mmm")&amp;"_"&amp;TEXT(N$1,"yyyy")),MATCH(TRIM($A38),PnL_Accounts,0))</f>
        <v>3922</v>
      </c>
      <c r="O38" s="76">
        <f t="array" ref="O38">INDEX(INDIRECT("PnL_"&amp;TEXT(O$1,"mmm")&amp;"_"&amp;TEXT(O$1,"yyyy")),MATCH(TRIM($A38),PnL_Accounts,0))</f>
        <v>4271</v>
      </c>
      <c r="P38" s="76">
        <f t="array" ref="P38">INDEX(INDIRECT("PnL_"&amp;TEXT(P$1,"mmm")&amp;"_"&amp;TEXT(P$1,"yyyy")),MATCH(TRIM($A38),PnL_Accounts,0))</f>
        <v>4129</v>
      </c>
      <c r="Q38" s="76">
        <f t="array" ref="Q38">INDEX(INDIRECT("PnL_"&amp;TEXT(Q$1,"mmm")&amp;"_"&amp;TEXT(Q$1,"yyyy")),MATCH(TRIM($A38),PnL_Accounts,0))</f>
        <v>4500</v>
      </c>
      <c r="R38" s="76">
        <f t="array" ref="R38">INDEX(INDIRECT("PnL_"&amp;TEXT(R$1,"mmm")&amp;"_"&amp;TEXT(R$1,"yyyy")),MATCH(TRIM($A38),PnL_Accounts,0))</f>
        <v>5667</v>
      </c>
      <c r="S38" s="76">
        <f t="array" ref="S38">INDEX(INDIRECT("PnL_"&amp;TEXT(S$1,"mmm")&amp;"_"&amp;TEXT(S$1,"yyyy")),MATCH(TRIM($A38),PnL_Accounts,0))</f>
        <v>5667</v>
      </c>
      <c r="T38" s="76">
        <f t="array" ref="T38">INDEX(INDIRECT("PnL_"&amp;TEXT(T$1,"mmm")&amp;"_"&amp;TEXT(T$1,"yyyy")),MATCH(TRIM($A38),PnL_Accounts,0))</f>
        <v>6500</v>
      </c>
      <c r="U38" s="76">
        <f t="array" ref="U38">INDEX(INDIRECT("PnL_"&amp;TEXT(U$1,"mmm")&amp;"_"&amp;TEXT(U$1,"yyyy")),MATCH(TRIM($A38),PnL_Accounts,0))</f>
        <v>6738</v>
      </c>
      <c r="V38" s="76">
        <f t="array" ref="V38">INDEX(INDIRECT("PnL_"&amp;TEXT(V$1,"mmm")&amp;"_"&amp;TEXT(V$1,"yyyy")),MATCH(TRIM($A38),PnL_Accounts,0))</f>
        <v>6481</v>
      </c>
      <c r="W38" s="76">
        <f t="array" ref="W38">INDEX(INDIRECT("PnL_"&amp;TEXT(W$1,"mmm")&amp;"_"&amp;TEXT(W$1,"yyyy")),MATCH(TRIM($A38),PnL_Accounts,0))</f>
        <v>6576</v>
      </c>
      <c r="X38" s="76">
        <f t="array" ref="X38">INDEX(INDIRECT("PnL_"&amp;TEXT(X$1,"mmm")&amp;"_"&amp;TEXT(X$1,"yyyy")),MATCH(TRIM($A38),PnL_Accounts,0))</f>
        <v>7577</v>
      </c>
      <c r="Y38" s="76">
        <f t="array" ref="Y38">INDEX(INDIRECT("PnL_"&amp;TEXT(Y$1,"mmm")&amp;"_"&amp;TEXT(Y$1,"yyyy")),MATCH(TRIM($A38),PnL_Accounts,0))</f>
        <v>6754</v>
      </c>
      <c r="Z38" s="76">
        <f t="array" ref="Z38">INDEX(INDIRECT("PnL_"&amp;TEXT(Z$1,"mmm")&amp;"_"&amp;TEXT(Z$1,"yyyy")),MATCH(TRIM($A38),PnL_Accounts,0))</f>
        <v>6978</v>
      </c>
      <c r="AA38" s="76">
        <f t="array" ref="AA38">INDEX(INDIRECT("PnL_"&amp;TEXT(AA$1,"mmm")&amp;"_"&amp;TEXT(AA$1,"yyyy")),MATCH(TRIM($A38),PnL_Accounts,0))</f>
        <v>7485</v>
      </c>
      <c r="AB38" s="76">
        <f t="array" ref="AB38">INDEX(INDIRECT("PnL_"&amp;TEXT(AB$1,"mmm")&amp;"_"&amp;TEXT(AB$1,"yyyy")),MATCH(TRIM($A38),PnL_Accounts,0))</f>
        <v>8400</v>
      </c>
      <c r="AC38" s="76">
        <f t="array" ref="AC38">INDEX(INDIRECT("PnL_"&amp;TEXT(AC$1,"mmm")&amp;"_"&amp;TEXT(AC$1,"yyyy")),MATCH(TRIM($A38),PnL_Accounts,0))</f>
        <v>8400</v>
      </c>
      <c r="AD38" s="76">
        <f t="array" ref="AD38">INDEX(INDIRECT("PnL_"&amp;TEXT(AD$1,"mmm")&amp;"_"&amp;TEXT(AD$1,"yyyy")),MATCH(TRIM($A38),PnL_Accounts,0))</f>
        <v>8400</v>
      </c>
      <c r="AE38" s="76">
        <f t="array" ref="AE38">INDEX(INDIRECT("PnL_"&amp;TEXT(AE$1,"mmm")&amp;"_"&amp;TEXT(AE$1,"yyyy")),MATCH(TRIM($A38),PnL_Accounts,0))</f>
        <v>7600</v>
      </c>
      <c r="AF38" s="96">
        <f t="shared" ref="AF38:BW38" si="16">$B38</f>
        <v>8133.333333</v>
      </c>
      <c r="AG38" s="96">
        <f t="shared" si="16"/>
        <v>8133.333333</v>
      </c>
      <c r="AH38" s="96">
        <f t="shared" si="16"/>
        <v>8133.333333</v>
      </c>
      <c r="AI38" s="96">
        <f t="shared" si="16"/>
        <v>8133.333333</v>
      </c>
      <c r="AJ38" s="96">
        <f t="shared" si="16"/>
        <v>8133.333333</v>
      </c>
      <c r="AK38" s="96">
        <f t="shared" si="16"/>
        <v>8133.333333</v>
      </c>
      <c r="AL38" s="96">
        <f t="shared" si="16"/>
        <v>8133.333333</v>
      </c>
      <c r="AM38" s="96">
        <f t="shared" si="16"/>
        <v>8133.333333</v>
      </c>
      <c r="AN38" s="96">
        <f t="shared" si="16"/>
        <v>8133.333333</v>
      </c>
      <c r="AO38" s="96">
        <f t="shared" si="16"/>
        <v>8133.333333</v>
      </c>
      <c r="AP38" s="96">
        <f t="shared" si="16"/>
        <v>8133.333333</v>
      </c>
      <c r="AQ38" s="96">
        <f t="shared" si="16"/>
        <v>8133.333333</v>
      </c>
      <c r="AR38" s="96">
        <f t="shared" si="16"/>
        <v>8133.333333</v>
      </c>
      <c r="AS38" s="96">
        <f t="shared" si="16"/>
        <v>8133.333333</v>
      </c>
      <c r="AT38" s="96">
        <f t="shared" si="16"/>
        <v>8133.333333</v>
      </c>
      <c r="AU38" s="96">
        <f t="shared" si="16"/>
        <v>8133.333333</v>
      </c>
      <c r="AV38" s="96">
        <f t="shared" si="16"/>
        <v>8133.333333</v>
      </c>
      <c r="AW38" s="96">
        <f t="shared" si="16"/>
        <v>8133.333333</v>
      </c>
      <c r="AX38" s="96">
        <f t="shared" si="16"/>
        <v>8133.333333</v>
      </c>
      <c r="AY38" s="96">
        <f t="shared" si="16"/>
        <v>8133.333333</v>
      </c>
      <c r="AZ38" s="96">
        <f t="shared" si="16"/>
        <v>8133.333333</v>
      </c>
      <c r="BA38" s="96">
        <f t="shared" si="16"/>
        <v>8133.333333</v>
      </c>
      <c r="BB38" s="96">
        <f t="shared" si="16"/>
        <v>8133.333333</v>
      </c>
      <c r="BC38" s="96">
        <f t="shared" si="16"/>
        <v>8133.333333</v>
      </c>
      <c r="BD38" s="96">
        <f t="shared" si="16"/>
        <v>8133.333333</v>
      </c>
      <c r="BE38" s="96">
        <f t="shared" si="16"/>
        <v>8133.333333</v>
      </c>
      <c r="BF38" s="96">
        <f t="shared" si="16"/>
        <v>8133.333333</v>
      </c>
      <c r="BG38" s="96">
        <f t="shared" si="16"/>
        <v>8133.333333</v>
      </c>
      <c r="BH38" s="96">
        <f t="shared" si="16"/>
        <v>8133.333333</v>
      </c>
      <c r="BI38" s="96">
        <f t="shared" si="16"/>
        <v>8133.333333</v>
      </c>
      <c r="BJ38" s="96">
        <f t="shared" si="16"/>
        <v>8133.333333</v>
      </c>
      <c r="BK38" s="96">
        <f t="shared" si="16"/>
        <v>8133.333333</v>
      </c>
      <c r="BL38" s="96">
        <f t="shared" si="16"/>
        <v>8133.333333</v>
      </c>
      <c r="BM38" s="96">
        <f t="shared" si="16"/>
        <v>8133.333333</v>
      </c>
      <c r="BN38" s="96">
        <f t="shared" si="16"/>
        <v>8133.333333</v>
      </c>
      <c r="BO38" s="96">
        <f t="shared" si="16"/>
        <v>8133.333333</v>
      </c>
      <c r="BP38" s="96">
        <f t="shared" si="16"/>
        <v>8133.333333</v>
      </c>
      <c r="BQ38" s="96">
        <f t="shared" si="16"/>
        <v>8133.333333</v>
      </c>
      <c r="BR38" s="96">
        <f t="shared" si="16"/>
        <v>8133.333333</v>
      </c>
      <c r="BS38" s="96">
        <f t="shared" si="16"/>
        <v>8133.333333</v>
      </c>
      <c r="BT38" s="96">
        <f t="shared" si="16"/>
        <v>8133.333333</v>
      </c>
      <c r="BU38" s="96">
        <f t="shared" si="16"/>
        <v>8133.333333</v>
      </c>
      <c r="BV38" s="96">
        <f t="shared" si="16"/>
        <v>8133.333333</v>
      </c>
      <c r="BW38" s="96">
        <f t="shared" si="16"/>
        <v>8133.333333</v>
      </c>
    </row>
    <row r="39" ht="15.75" customHeight="1">
      <c r="A39" s="21" t="s">
        <v>272</v>
      </c>
      <c r="B39" s="163"/>
      <c r="C39" s="21"/>
      <c r="D39" s="157">
        <f t="shared" ref="D39:BW39" si="17">SUM(D37:D38)</f>
        <v>2250</v>
      </c>
      <c r="E39" s="157">
        <f t="shared" si="17"/>
        <v>2346</v>
      </c>
      <c r="F39" s="157">
        <f t="shared" si="17"/>
        <v>2806</v>
      </c>
      <c r="G39" s="157">
        <f t="shared" si="17"/>
        <v>3195</v>
      </c>
      <c r="H39" s="157">
        <f t="shared" si="17"/>
        <v>3233</v>
      </c>
      <c r="I39" s="157">
        <f t="shared" si="17"/>
        <v>3592</v>
      </c>
      <c r="J39" s="157">
        <f t="shared" si="17"/>
        <v>3621</v>
      </c>
      <c r="K39" s="157">
        <f t="shared" si="17"/>
        <v>3689</v>
      </c>
      <c r="L39" s="157">
        <f t="shared" si="17"/>
        <v>3772</v>
      </c>
      <c r="M39" s="157">
        <f t="shared" si="17"/>
        <v>4011</v>
      </c>
      <c r="N39" s="157">
        <f t="shared" si="17"/>
        <v>3922</v>
      </c>
      <c r="O39" s="157">
        <f t="shared" si="17"/>
        <v>4271</v>
      </c>
      <c r="P39" s="157">
        <f t="shared" si="17"/>
        <v>4129</v>
      </c>
      <c r="Q39" s="157">
        <f t="shared" si="17"/>
        <v>4500</v>
      </c>
      <c r="R39" s="157">
        <f t="shared" si="17"/>
        <v>5667</v>
      </c>
      <c r="S39" s="157">
        <f t="shared" si="17"/>
        <v>5667</v>
      </c>
      <c r="T39" s="157">
        <f t="shared" si="17"/>
        <v>6500</v>
      </c>
      <c r="U39" s="157">
        <f t="shared" si="17"/>
        <v>6738</v>
      </c>
      <c r="V39" s="157">
        <f t="shared" si="17"/>
        <v>6481</v>
      </c>
      <c r="W39" s="157">
        <f t="shared" si="17"/>
        <v>6576</v>
      </c>
      <c r="X39" s="157">
        <f t="shared" si="17"/>
        <v>7577</v>
      </c>
      <c r="Y39" s="157">
        <f t="shared" si="17"/>
        <v>6754</v>
      </c>
      <c r="Z39" s="157">
        <f t="shared" si="17"/>
        <v>6978</v>
      </c>
      <c r="AA39" s="157">
        <f t="shared" si="17"/>
        <v>7485</v>
      </c>
      <c r="AB39" s="157">
        <f t="shared" si="17"/>
        <v>8400</v>
      </c>
      <c r="AC39" s="157">
        <f t="shared" si="17"/>
        <v>8400</v>
      </c>
      <c r="AD39" s="157">
        <f t="shared" si="17"/>
        <v>8400</v>
      </c>
      <c r="AE39" s="157">
        <f t="shared" si="17"/>
        <v>7600</v>
      </c>
      <c r="AF39" s="157">
        <f t="shared" si="17"/>
        <v>8133.333333</v>
      </c>
      <c r="AG39" s="157">
        <f t="shared" si="17"/>
        <v>8133.333333</v>
      </c>
      <c r="AH39" s="157">
        <f t="shared" si="17"/>
        <v>8133.333333</v>
      </c>
      <c r="AI39" s="157">
        <f t="shared" si="17"/>
        <v>8133.333333</v>
      </c>
      <c r="AJ39" s="157">
        <f t="shared" si="17"/>
        <v>8133.333333</v>
      </c>
      <c r="AK39" s="157">
        <f t="shared" si="17"/>
        <v>8133.333333</v>
      </c>
      <c r="AL39" s="157">
        <f t="shared" si="17"/>
        <v>8133.333333</v>
      </c>
      <c r="AM39" s="157">
        <f t="shared" si="17"/>
        <v>8133.333333</v>
      </c>
      <c r="AN39" s="157">
        <f t="shared" si="17"/>
        <v>8133.333333</v>
      </c>
      <c r="AO39" s="157">
        <f t="shared" si="17"/>
        <v>8133.333333</v>
      </c>
      <c r="AP39" s="157">
        <f t="shared" si="17"/>
        <v>8133.333333</v>
      </c>
      <c r="AQ39" s="157">
        <f t="shared" si="17"/>
        <v>8133.333333</v>
      </c>
      <c r="AR39" s="157">
        <f t="shared" si="17"/>
        <v>8133.333333</v>
      </c>
      <c r="AS39" s="157">
        <f t="shared" si="17"/>
        <v>8133.333333</v>
      </c>
      <c r="AT39" s="157">
        <f t="shared" si="17"/>
        <v>8133.333333</v>
      </c>
      <c r="AU39" s="157">
        <f t="shared" si="17"/>
        <v>8133.333333</v>
      </c>
      <c r="AV39" s="157">
        <f t="shared" si="17"/>
        <v>8133.333333</v>
      </c>
      <c r="AW39" s="157">
        <f t="shared" si="17"/>
        <v>8133.333333</v>
      </c>
      <c r="AX39" s="157">
        <f t="shared" si="17"/>
        <v>8133.333333</v>
      </c>
      <c r="AY39" s="157">
        <f t="shared" si="17"/>
        <v>8133.333333</v>
      </c>
      <c r="AZ39" s="157">
        <f t="shared" si="17"/>
        <v>8133.333333</v>
      </c>
      <c r="BA39" s="157">
        <f t="shared" si="17"/>
        <v>8133.333333</v>
      </c>
      <c r="BB39" s="157">
        <f t="shared" si="17"/>
        <v>8133.333333</v>
      </c>
      <c r="BC39" s="157">
        <f t="shared" si="17"/>
        <v>8133.333333</v>
      </c>
      <c r="BD39" s="157">
        <f t="shared" si="17"/>
        <v>8133.333333</v>
      </c>
      <c r="BE39" s="157">
        <f t="shared" si="17"/>
        <v>8133.333333</v>
      </c>
      <c r="BF39" s="157">
        <f t="shared" si="17"/>
        <v>8133.333333</v>
      </c>
      <c r="BG39" s="157">
        <f t="shared" si="17"/>
        <v>8133.333333</v>
      </c>
      <c r="BH39" s="157">
        <f t="shared" si="17"/>
        <v>8133.333333</v>
      </c>
      <c r="BI39" s="157">
        <f t="shared" si="17"/>
        <v>8133.333333</v>
      </c>
      <c r="BJ39" s="157">
        <f t="shared" si="17"/>
        <v>8133.333333</v>
      </c>
      <c r="BK39" s="157">
        <f t="shared" si="17"/>
        <v>8133.333333</v>
      </c>
      <c r="BL39" s="157">
        <f t="shared" si="17"/>
        <v>8133.333333</v>
      </c>
      <c r="BM39" s="157">
        <f t="shared" si="17"/>
        <v>8133.333333</v>
      </c>
      <c r="BN39" s="157">
        <f t="shared" si="17"/>
        <v>8133.333333</v>
      </c>
      <c r="BO39" s="157">
        <f t="shared" si="17"/>
        <v>8133.333333</v>
      </c>
      <c r="BP39" s="157">
        <f t="shared" si="17"/>
        <v>8133.333333</v>
      </c>
      <c r="BQ39" s="157">
        <f t="shared" si="17"/>
        <v>8133.333333</v>
      </c>
      <c r="BR39" s="157">
        <f t="shared" si="17"/>
        <v>8133.333333</v>
      </c>
      <c r="BS39" s="157">
        <f t="shared" si="17"/>
        <v>8133.333333</v>
      </c>
      <c r="BT39" s="157">
        <f t="shared" si="17"/>
        <v>8133.333333</v>
      </c>
      <c r="BU39" s="157">
        <f t="shared" si="17"/>
        <v>8133.333333</v>
      </c>
      <c r="BV39" s="157">
        <f t="shared" si="17"/>
        <v>8133.333333</v>
      </c>
      <c r="BW39" s="157">
        <f t="shared" si="17"/>
        <v>8133.333333</v>
      </c>
    </row>
    <row r="40" ht="15.75" customHeight="1">
      <c r="A40" s="1" t="s">
        <v>273</v>
      </c>
      <c r="B40" s="159"/>
      <c r="D40" s="76" t="str">
        <f t="array" ref="D40">INDEX(INDIRECT("PnL_"&amp;TEXT(D$1,"mmm")&amp;"_"&amp;TEXT(D$1,"yyyy")),MATCH(TRIM($A40),PnL_Accounts,0))</f>
        <v/>
      </c>
      <c r="E40" s="76" t="str">
        <f t="array" ref="E40">INDEX(INDIRECT("PnL_"&amp;TEXT(E$1,"mmm")&amp;"_"&amp;TEXT(E$1,"yyyy")),MATCH(TRIM($A40),PnL_Accounts,0))</f>
        <v/>
      </c>
      <c r="F40" s="76" t="str">
        <f t="array" ref="F40">INDEX(INDIRECT("PnL_"&amp;TEXT(F$1,"mmm")&amp;"_"&amp;TEXT(F$1,"yyyy")),MATCH(TRIM($A40),PnL_Accounts,0))</f>
        <v/>
      </c>
      <c r="G40" s="76" t="str">
        <f t="array" ref="G40">INDEX(INDIRECT("PnL_"&amp;TEXT(G$1,"mmm")&amp;"_"&amp;TEXT(G$1,"yyyy")),MATCH(TRIM($A40),PnL_Accounts,0))</f>
        <v/>
      </c>
      <c r="H40" s="76" t="str">
        <f t="array" ref="H40">INDEX(INDIRECT("PnL_"&amp;TEXT(H$1,"mmm")&amp;"_"&amp;TEXT(H$1,"yyyy")),MATCH(TRIM($A40),PnL_Accounts,0))</f>
        <v/>
      </c>
      <c r="I40" s="76" t="str">
        <f t="array" ref="I40">INDEX(INDIRECT("PnL_"&amp;TEXT(I$1,"mmm")&amp;"_"&amp;TEXT(I$1,"yyyy")),MATCH(TRIM($A40),PnL_Accounts,0))</f>
        <v/>
      </c>
      <c r="J40" s="76" t="str">
        <f t="array" ref="J40">INDEX(INDIRECT("PnL_"&amp;TEXT(J$1,"mmm")&amp;"_"&amp;TEXT(J$1,"yyyy")),MATCH(TRIM($A40),PnL_Accounts,0))</f>
        <v/>
      </c>
      <c r="K40" s="76" t="str">
        <f t="array" ref="K40">INDEX(INDIRECT("PnL_"&amp;TEXT(K$1,"mmm")&amp;"_"&amp;TEXT(K$1,"yyyy")),MATCH(TRIM($A40),PnL_Accounts,0))</f>
        <v/>
      </c>
      <c r="L40" s="76" t="str">
        <f t="array" ref="L40">INDEX(INDIRECT("PnL_"&amp;TEXT(L$1,"mmm")&amp;"_"&amp;TEXT(L$1,"yyyy")),MATCH(TRIM($A40),PnL_Accounts,0))</f>
        <v/>
      </c>
      <c r="M40" s="76" t="str">
        <f t="array" ref="M40">INDEX(INDIRECT("PnL_"&amp;TEXT(M$1,"mmm")&amp;"_"&amp;TEXT(M$1,"yyyy")),MATCH(TRIM($A40),PnL_Accounts,0))</f>
        <v/>
      </c>
      <c r="N40" s="76" t="str">
        <f t="array" ref="N40">INDEX(INDIRECT("PnL_"&amp;TEXT(N$1,"mmm")&amp;"_"&amp;TEXT(N$1,"yyyy")),MATCH(TRIM($A40),PnL_Accounts,0))</f>
        <v/>
      </c>
      <c r="O40" s="76" t="str">
        <f t="array" ref="O40">INDEX(INDIRECT("PnL_"&amp;TEXT(O$1,"mmm")&amp;"_"&amp;TEXT(O$1,"yyyy")),MATCH(TRIM($A40),PnL_Accounts,0))</f>
        <v/>
      </c>
      <c r="P40" s="76" t="str">
        <f t="array" ref="P40">INDEX(INDIRECT("PnL_"&amp;TEXT(P$1,"mmm")&amp;"_"&amp;TEXT(P$1,"yyyy")),MATCH(TRIM($A40),PnL_Accounts,0))</f>
        <v/>
      </c>
      <c r="Q40" s="76" t="str">
        <f t="array" ref="Q40">INDEX(INDIRECT("PnL_"&amp;TEXT(Q$1,"mmm")&amp;"_"&amp;TEXT(Q$1,"yyyy")),MATCH(TRIM($A40),PnL_Accounts,0))</f>
        <v/>
      </c>
      <c r="R40" s="76" t="str">
        <f t="array" ref="R40">INDEX(INDIRECT("PnL_"&amp;TEXT(R$1,"mmm")&amp;"_"&amp;TEXT(R$1,"yyyy")),MATCH(TRIM($A40),PnL_Accounts,0))</f>
        <v/>
      </c>
      <c r="S40" s="76" t="str">
        <f t="array" ref="S40">INDEX(INDIRECT("PnL_"&amp;TEXT(S$1,"mmm")&amp;"_"&amp;TEXT(S$1,"yyyy")),MATCH(TRIM($A40),PnL_Accounts,0))</f>
        <v/>
      </c>
      <c r="T40" s="76" t="str">
        <f t="array" ref="T40">INDEX(INDIRECT("PnL_"&amp;TEXT(T$1,"mmm")&amp;"_"&amp;TEXT(T$1,"yyyy")),MATCH(TRIM($A40),PnL_Accounts,0))</f>
        <v/>
      </c>
      <c r="U40" s="76" t="str">
        <f t="array" ref="U40">INDEX(INDIRECT("PnL_"&amp;TEXT(U$1,"mmm")&amp;"_"&amp;TEXT(U$1,"yyyy")),MATCH(TRIM($A40),PnL_Accounts,0))</f>
        <v/>
      </c>
      <c r="V40" s="76" t="str">
        <f t="array" ref="V40">INDEX(INDIRECT("PnL_"&amp;TEXT(V$1,"mmm")&amp;"_"&amp;TEXT(V$1,"yyyy")),MATCH(TRIM($A40),PnL_Accounts,0))</f>
        <v/>
      </c>
      <c r="W40" s="76" t="str">
        <f t="array" ref="W40">INDEX(INDIRECT("PnL_"&amp;TEXT(W$1,"mmm")&amp;"_"&amp;TEXT(W$1,"yyyy")),MATCH(TRIM($A40),PnL_Accounts,0))</f>
        <v/>
      </c>
      <c r="X40" s="76" t="str">
        <f t="array" ref="X40">INDEX(INDIRECT("PnL_"&amp;TEXT(X$1,"mmm")&amp;"_"&amp;TEXT(X$1,"yyyy")),MATCH(TRIM($A40),PnL_Accounts,0))</f>
        <v/>
      </c>
      <c r="Y40" s="76" t="str">
        <f t="array" ref="Y40">INDEX(INDIRECT("PnL_"&amp;TEXT(Y$1,"mmm")&amp;"_"&amp;TEXT(Y$1,"yyyy")),MATCH(TRIM($A40),PnL_Accounts,0))</f>
        <v/>
      </c>
      <c r="Z40" s="76" t="str">
        <f t="array" ref="Z40">INDEX(INDIRECT("PnL_"&amp;TEXT(Z$1,"mmm")&amp;"_"&amp;TEXT(Z$1,"yyyy")),MATCH(TRIM($A40),PnL_Accounts,0))</f>
        <v/>
      </c>
      <c r="AA40" s="76" t="str">
        <f t="array" ref="AA40">INDEX(INDIRECT("PnL_"&amp;TEXT(AA$1,"mmm")&amp;"_"&amp;TEXT(AA$1,"yyyy")),MATCH(TRIM($A40),PnL_Accounts,0))</f>
        <v/>
      </c>
      <c r="AB40" s="76" t="str">
        <f t="array" ref="AB40">INDEX(INDIRECT("PnL_"&amp;TEXT(AB$1,"mmm")&amp;"_"&amp;TEXT(AB$1,"yyyy")),MATCH(TRIM($A40),PnL_Accounts,0))</f>
        <v/>
      </c>
      <c r="AC40" s="76" t="str">
        <f t="array" ref="AC40">INDEX(INDIRECT("PnL_"&amp;TEXT(AC$1,"mmm")&amp;"_"&amp;TEXT(AC$1,"yyyy")),MATCH(TRIM($A40),PnL_Accounts,0))</f>
        <v/>
      </c>
      <c r="AD40" s="76" t="str">
        <f t="array" ref="AD40">INDEX(INDIRECT("PnL_"&amp;TEXT(AD$1,"mmm")&amp;"_"&amp;TEXT(AD$1,"yyyy")),MATCH(TRIM($A40),PnL_Accounts,0))</f>
        <v/>
      </c>
      <c r="AE40" s="76" t="str">
        <f t="array" ref="AE40">INDEX(INDIRECT("PnL_"&amp;TEXT(AE$1,"mmm")&amp;"_"&amp;TEXT(AE$1,"yyyy")),MATCH(TRIM($A40),PnL_Accounts,0))</f>
        <v/>
      </c>
    </row>
    <row r="41" ht="15.75" customHeight="1">
      <c r="A41" s="1" t="s">
        <v>274</v>
      </c>
      <c r="B41" s="160">
        <f>AVERAGEIFS(41:41,$1:$1,"&gt;="&amp;DATE(YEAR(Current_Month),MONTH(Current_Month)-2,DAY(Current_Month)),$1:$1,"&lt;="&amp;EOMONTH(Current_Month,0))</f>
        <v>4066</v>
      </c>
      <c r="D41" s="76">
        <f t="array" ref="D41">INDEX(INDIRECT("PnL_"&amp;TEXT(D$1,"mmm")&amp;"_"&amp;TEXT(D$1,"yyyy")),MATCH(TRIM($A41),PnL_Accounts,0))</f>
        <v>5751</v>
      </c>
      <c r="E41" s="76">
        <f t="array" ref="E41">INDEX(INDIRECT("PnL_"&amp;TEXT(E$1,"mmm")&amp;"_"&amp;TEXT(E$1,"yyyy")),MATCH(TRIM($A41),PnL_Accounts,0))</f>
        <v>6018</v>
      </c>
      <c r="F41" s="76">
        <f t="array" ref="F41">INDEX(INDIRECT("PnL_"&amp;TEXT(F$1,"mmm")&amp;"_"&amp;TEXT(F$1,"yyyy")),MATCH(TRIM($A41),PnL_Accounts,0))</f>
        <v>6036</v>
      </c>
      <c r="G41" s="76">
        <f t="array" ref="G41">INDEX(INDIRECT("PnL_"&amp;TEXT(G$1,"mmm")&amp;"_"&amp;TEXT(G$1,"yyyy")),MATCH(TRIM($A41),PnL_Accounts,0))</f>
        <v>5888</v>
      </c>
      <c r="H41" s="76">
        <f t="array" ref="H41">INDEX(INDIRECT("PnL_"&amp;TEXT(H$1,"mmm")&amp;"_"&amp;TEXT(H$1,"yyyy")),MATCH(TRIM($A41),PnL_Accounts,0))</f>
        <v>6181</v>
      </c>
      <c r="I41" s="76">
        <f t="array" ref="I41">INDEX(INDIRECT("PnL_"&amp;TEXT(I$1,"mmm")&amp;"_"&amp;TEXT(I$1,"yyyy")),MATCH(TRIM($A41),PnL_Accounts,0))</f>
        <v>6414</v>
      </c>
      <c r="J41" s="76">
        <f t="array" ref="J41">INDEX(INDIRECT("PnL_"&amp;TEXT(J$1,"mmm")&amp;"_"&amp;TEXT(J$1,"yyyy")),MATCH(TRIM($A41),PnL_Accounts,0))</f>
        <v>6719</v>
      </c>
      <c r="K41" s="76">
        <f t="array" ref="K41">INDEX(INDIRECT("PnL_"&amp;TEXT(K$1,"mmm")&amp;"_"&amp;TEXT(K$1,"yyyy")),MATCH(TRIM($A41),PnL_Accounts,0))</f>
        <v>6191</v>
      </c>
      <c r="L41" s="76">
        <f t="array" ref="L41">INDEX(INDIRECT("PnL_"&amp;TEXT(L$1,"mmm")&amp;"_"&amp;TEXT(L$1,"yyyy")),MATCH(TRIM($A41),PnL_Accounts,0))</f>
        <v>6563</v>
      </c>
      <c r="M41" s="76">
        <f t="array" ref="M41">INDEX(INDIRECT("PnL_"&amp;TEXT(M$1,"mmm")&amp;"_"&amp;TEXT(M$1,"yyyy")),MATCH(TRIM($A41),PnL_Accounts,0))</f>
        <v>6897</v>
      </c>
      <c r="N41" s="76">
        <f t="array" ref="N41">INDEX(INDIRECT("PnL_"&amp;TEXT(N$1,"mmm")&amp;"_"&amp;TEXT(N$1,"yyyy")),MATCH(TRIM($A41),PnL_Accounts,0))</f>
        <v>6459</v>
      </c>
      <c r="O41" s="76">
        <f t="array" ref="O41">INDEX(INDIRECT("PnL_"&amp;TEXT(O$1,"mmm")&amp;"_"&amp;TEXT(O$1,"yyyy")),MATCH(TRIM($A41),PnL_Accounts,0))</f>
        <v>6719</v>
      </c>
      <c r="P41" s="76">
        <f t="array" ref="P41">INDEX(INDIRECT("PnL_"&amp;TEXT(P$1,"mmm")&amp;"_"&amp;TEXT(P$1,"yyyy")),MATCH(TRIM($A41),PnL_Accounts,0))</f>
        <v>6691</v>
      </c>
      <c r="Q41" s="76">
        <f t="array" ref="Q41">INDEX(INDIRECT("PnL_"&amp;TEXT(Q$1,"mmm")&amp;"_"&amp;TEXT(Q$1,"yyyy")),MATCH(TRIM($A41),PnL_Accounts,0))</f>
        <v>4245</v>
      </c>
      <c r="R41" s="76">
        <f t="array" ref="R41">INDEX(INDIRECT("PnL_"&amp;TEXT(R$1,"mmm")&amp;"_"&amp;TEXT(R$1,"yyyy")),MATCH(TRIM($A41),PnL_Accounts,0))</f>
        <v>5237</v>
      </c>
      <c r="S41" s="76">
        <f t="array" ref="S41">INDEX(INDIRECT("PnL_"&amp;TEXT(S$1,"mmm")&amp;"_"&amp;TEXT(S$1,"yyyy")),MATCH(TRIM($A41),PnL_Accounts,0))</f>
        <v>4988</v>
      </c>
      <c r="T41" s="76">
        <f t="array" ref="T41">INDEX(INDIRECT("PnL_"&amp;TEXT(T$1,"mmm")&amp;"_"&amp;TEXT(T$1,"yyyy")),MATCH(TRIM($A41),PnL_Accounts,0))</f>
        <v>5237</v>
      </c>
      <c r="U41" s="76">
        <f t="array" ref="U41">INDEX(INDIRECT("PnL_"&amp;TEXT(U$1,"mmm")&amp;"_"&amp;TEXT(U$1,"yyyy")),MATCH(TRIM($A41),PnL_Accounts,0))</f>
        <v>5471</v>
      </c>
      <c r="V41" s="76">
        <f t="array" ref="V41">INDEX(INDIRECT("PnL_"&amp;TEXT(V$1,"mmm")&amp;"_"&amp;TEXT(V$1,"yyyy")),MATCH(TRIM($A41),PnL_Accounts,0))</f>
        <v>5388</v>
      </c>
      <c r="W41" s="76">
        <f t="array" ref="W41">INDEX(INDIRECT("PnL_"&amp;TEXT(W$1,"mmm")&amp;"_"&amp;TEXT(W$1,"yyyy")),MATCH(TRIM($A41),PnL_Accounts,0))</f>
        <v>5477</v>
      </c>
      <c r="X41" s="76">
        <f t="array" ref="X41">INDEX(INDIRECT("PnL_"&amp;TEXT(X$1,"mmm")&amp;"_"&amp;TEXT(X$1,"yyyy")),MATCH(TRIM($A41),PnL_Accounts,0))</f>
        <v>4699</v>
      </c>
      <c r="Y41" s="76">
        <f t="array" ref="Y41">INDEX(INDIRECT("PnL_"&amp;TEXT(Y$1,"mmm")&amp;"_"&amp;TEXT(Y$1,"yyyy")),MATCH(TRIM($A41),PnL_Accounts,0))</f>
        <v>7456</v>
      </c>
      <c r="Z41" s="76">
        <f t="array" ref="Z41">INDEX(INDIRECT("PnL_"&amp;TEXT(Z$1,"mmm")&amp;"_"&amp;TEXT(Z$1,"yyyy")),MATCH(TRIM($A41),PnL_Accounts,0))</f>
        <v>8127</v>
      </c>
      <c r="AA41" s="76">
        <f t="array" ref="AA41">INDEX(INDIRECT("PnL_"&amp;TEXT(AA$1,"mmm")&amp;"_"&amp;TEXT(AA$1,"yyyy")),MATCH(TRIM($A41),PnL_Accounts,0))</f>
        <v>5971</v>
      </c>
      <c r="AB41" s="76">
        <f t="array" ref="AB41">INDEX(INDIRECT("PnL_"&amp;TEXT(AB$1,"mmm")&amp;"_"&amp;TEXT(AB$1,"yyyy")),MATCH(TRIM($A41),PnL_Accounts,0))</f>
        <v>5400</v>
      </c>
      <c r="AC41" s="76">
        <f t="array" ref="AC41">INDEX(INDIRECT("PnL_"&amp;TEXT(AC$1,"mmm")&amp;"_"&amp;TEXT(AC$1,"yyyy")),MATCH(TRIM($A41),PnL_Accounts,0))</f>
        <v>4899</v>
      </c>
      <c r="AD41" s="76">
        <f t="array" ref="AD41">INDEX(INDIRECT("PnL_"&amp;TEXT(AD$1,"mmm")&amp;"_"&amp;TEXT(AD$1,"yyyy")),MATCH(TRIM($A41),PnL_Accounts,0))</f>
        <v>4899</v>
      </c>
      <c r="AE41" s="76">
        <f t="array" ref="AE41">INDEX(INDIRECT("PnL_"&amp;TEXT(AE$1,"mmm")&amp;"_"&amp;TEXT(AE$1,"yyyy")),MATCH(TRIM($A41),PnL_Accounts,0))</f>
        <v>2400</v>
      </c>
      <c r="AF41" s="96">
        <f t="shared" ref="AF41:BW41" si="18">$B41</f>
        <v>4066</v>
      </c>
      <c r="AG41" s="96">
        <f t="shared" si="18"/>
        <v>4066</v>
      </c>
      <c r="AH41" s="96">
        <f t="shared" si="18"/>
        <v>4066</v>
      </c>
      <c r="AI41" s="96">
        <f t="shared" si="18"/>
        <v>4066</v>
      </c>
      <c r="AJ41" s="96">
        <f t="shared" si="18"/>
        <v>4066</v>
      </c>
      <c r="AK41" s="96">
        <f t="shared" si="18"/>
        <v>4066</v>
      </c>
      <c r="AL41" s="96">
        <f t="shared" si="18"/>
        <v>4066</v>
      </c>
      <c r="AM41" s="96">
        <f t="shared" si="18"/>
        <v>4066</v>
      </c>
      <c r="AN41" s="96">
        <f t="shared" si="18"/>
        <v>4066</v>
      </c>
      <c r="AO41" s="96">
        <f t="shared" si="18"/>
        <v>4066</v>
      </c>
      <c r="AP41" s="96">
        <f t="shared" si="18"/>
        <v>4066</v>
      </c>
      <c r="AQ41" s="96">
        <f t="shared" si="18"/>
        <v>4066</v>
      </c>
      <c r="AR41" s="96">
        <f t="shared" si="18"/>
        <v>4066</v>
      </c>
      <c r="AS41" s="96">
        <f t="shared" si="18"/>
        <v>4066</v>
      </c>
      <c r="AT41" s="96">
        <f t="shared" si="18"/>
        <v>4066</v>
      </c>
      <c r="AU41" s="96">
        <f t="shared" si="18"/>
        <v>4066</v>
      </c>
      <c r="AV41" s="96">
        <f t="shared" si="18"/>
        <v>4066</v>
      </c>
      <c r="AW41" s="96">
        <f t="shared" si="18"/>
        <v>4066</v>
      </c>
      <c r="AX41" s="96">
        <f t="shared" si="18"/>
        <v>4066</v>
      </c>
      <c r="AY41" s="96">
        <f t="shared" si="18"/>
        <v>4066</v>
      </c>
      <c r="AZ41" s="96">
        <f t="shared" si="18"/>
        <v>4066</v>
      </c>
      <c r="BA41" s="96">
        <f t="shared" si="18"/>
        <v>4066</v>
      </c>
      <c r="BB41" s="96">
        <f t="shared" si="18"/>
        <v>4066</v>
      </c>
      <c r="BC41" s="96">
        <f t="shared" si="18"/>
        <v>4066</v>
      </c>
      <c r="BD41" s="96">
        <f t="shared" si="18"/>
        <v>4066</v>
      </c>
      <c r="BE41" s="96">
        <f t="shared" si="18"/>
        <v>4066</v>
      </c>
      <c r="BF41" s="96">
        <f t="shared" si="18"/>
        <v>4066</v>
      </c>
      <c r="BG41" s="96">
        <f t="shared" si="18"/>
        <v>4066</v>
      </c>
      <c r="BH41" s="96">
        <f t="shared" si="18"/>
        <v>4066</v>
      </c>
      <c r="BI41" s="96">
        <f t="shared" si="18"/>
        <v>4066</v>
      </c>
      <c r="BJ41" s="96">
        <f t="shared" si="18"/>
        <v>4066</v>
      </c>
      <c r="BK41" s="96">
        <f t="shared" si="18"/>
        <v>4066</v>
      </c>
      <c r="BL41" s="96">
        <f t="shared" si="18"/>
        <v>4066</v>
      </c>
      <c r="BM41" s="96">
        <f t="shared" si="18"/>
        <v>4066</v>
      </c>
      <c r="BN41" s="96">
        <f t="shared" si="18"/>
        <v>4066</v>
      </c>
      <c r="BO41" s="96">
        <f t="shared" si="18"/>
        <v>4066</v>
      </c>
      <c r="BP41" s="96">
        <f t="shared" si="18"/>
        <v>4066</v>
      </c>
      <c r="BQ41" s="96">
        <f t="shared" si="18"/>
        <v>4066</v>
      </c>
      <c r="BR41" s="96">
        <f t="shared" si="18"/>
        <v>4066</v>
      </c>
      <c r="BS41" s="96">
        <f t="shared" si="18"/>
        <v>4066</v>
      </c>
      <c r="BT41" s="96">
        <f t="shared" si="18"/>
        <v>4066</v>
      </c>
      <c r="BU41" s="96">
        <f t="shared" si="18"/>
        <v>4066</v>
      </c>
      <c r="BV41" s="96">
        <f t="shared" si="18"/>
        <v>4066</v>
      </c>
      <c r="BW41" s="96">
        <f t="shared" si="18"/>
        <v>4066</v>
      </c>
    </row>
    <row r="42" ht="15.75" customHeight="1">
      <c r="A42" s="21" t="s">
        <v>275</v>
      </c>
      <c r="B42" s="163"/>
      <c r="C42" s="21"/>
      <c r="D42" s="157">
        <f t="shared" ref="D42:BW42" si="19">SUM(D40:D41)</f>
        <v>5751</v>
      </c>
      <c r="E42" s="157">
        <f t="shared" si="19"/>
        <v>6018</v>
      </c>
      <c r="F42" s="157">
        <f t="shared" si="19"/>
        <v>6036</v>
      </c>
      <c r="G42" s="157">
        <f t="shared" si="19"/>
        <v>5888</v>
      </c>
      <c r="H42" s="157">
        <f t="shared" si="19"/>
        <v>6181</v>
      </c>
      <c r="I42" s="157">
        <f t="shared" si="19"/>
        <v>6414</v>
      </c>
      <c r="J42" s="157">
        <f t="shared" si="19"/>
        <v>6719</v>
      </c>
      <c r="K42" s="157">
        <f t="shared" si="19"/>
        <v>6191</v>
      </c>
      <c r="L42" s="157">
        <f t="shared" si="19"/>
        <v>6563</v>
      </c>
      <c r="M42" s="157">
        <f t="shared" si="19"/>
        <v>6897</v>
      </c>
      <c r="N42" s="157">
        <f t="shared" si="19"/>
        <v>6459</v>
      </c>
      <c r="O42" s="157">
        <f t="shared" si="19"/>
        <v>6719</v>
      </c>
      <c r="P42" s="157">
        <f t="shared" si="19"/>
        <v>6691</v>
      </c>
      <c r="Q42" s="157">
        <f t="shared" si="19"/>
        <v>4245</v>
      </c>
      <c r="R42" s="157">
        <f t="shared" si="19"/>
        <v>5237</v>
      </c>
      <c r="S42" s="157">
        <f t="shared" si="19"/>
        <v>4988</v>
      </c>
      <c r="T42" s="157">
        <f t="shared" si="19"/>
        <v>5237</v>
      </c>
      <c r="U42" s="157">
        <f t="shared" si="19"/>
        <v>5471</v>
      </c>
      <c r="V42" s="157">
        <f t="shared" si="19"/>
        <v>5388</v>
      </c>
      <c r="W42" s="157">
        <f t="shared" si="19"/>
        <v>5477</v>
      </c>
      <c r="X42" s="157">
        <f t="shared" si="19"/>
        <v>4699</v>
      </c>
      <c r="Y42" s="157">
        <f t="shared" si="19"/>
        <v>7456</v>
      </c>
      <c r="Z42" s="157">
        <f t="shared" si="19"/>
        <v>8127</v>
      </c>
      <c r="AA42" s="157">
        <f t="shared" si="19"/>
        <v>5971</v>
      </c>
      <c r="AB42" s="157">
        <f t="shared" si="19"/>
        <v>5400</v>
      </c>
      <c r="AC42" s="157">
        <f t="shared" si="19"/>
        <v>4899</v>
      </c>
      <c r="AD42" s="157">
        <f t="shared" si="19"/>
        <v>4899</v>
      </c>
      <c r="AE42" s="157">
        <f t="shared" si="19"/>
        <v>2400</v>
      </c>
      <c r="AF42" s="157">
        <f t="shared" si="19"/>
        <v>4066</v>
      </c>
      <c r="AG42" s="157">
        <f t="shared" si="19"/>
        <v>4066</v>
      </c>
      <c r="AH42" s="157">
        <f t="shared" si="19"/>
        <v>4066</v>
      </c>
      <c r="AI42" s="157">
        <f t="shared" si="19"/>
        <v>4066</v>
      </c>
      <c r="AJ42" s="157">
        <f t="shared" si="19"/>
        <v>4066</v>
      </c>
      <c r="AK42" s="157">
        <f t="shared" si="19"/>
        <v>4066</v>
      </c>
      <c r="AL42" s="157">
        <f t="shared" si="19"/>
        <v>4066</v>
      </c>
      <c r="AM42" s="157">
        <f t="shared" si="19"/>
        <v>4066</v>
      </c>
      <c r="AN42" s="157">
        <f t="shared" si="19"/>
        <v>4066</v>
      </c>
      <c r="AO42" s="157">
        <f t="shared" si="19"/>
        <v>4066</v>
      </c>
      <c r="AP42" s="157">
        <f t="shared" si="19"/>
        <v>4066</v>
      </c>
      <c r="AQ42" s="157">
        <f t="shared" si="19"/>
        <v>4066</v>
      </c>
      <c r="AR42" s="157">
        <f t="shared" si="19"/>
        <v>4066</v>
      </c>
      <c r="AS42" s="157">
        <f t="shared" si="19"/>
        <v>4066</v>
      </c>
      <c r="AT42" s="157">
        <f t="shared" si="19"/>
        <v>4066</v>
      </c>
      <c r="AU42" s="157">
        <f t="shared" si="19"/>
        <v>4066</v>
      </c>
      <c r="AV42" s="157">
        <f t="shared" si="19"/>
        <v>4066</v>
      </c>
      <c r="AW42" s="157">
        <f t="shared" si="19"/>
        <v>4066</v>
      </c>
      <c r="AX42" s="157">
        <f t="shared" si="19"/>
        <v>4066</v>
      </c>
      <c r="AY42" s="157">
        <f t="shared" si="19"/>
        <v>4066</v>
      </c>
      <c r="AZ42" s="157">
        <f t="shared" si="19"/>
        <v>4066</v>
      </c>
      <c r="BA42" s="157">
        <f t="shared" si="19"/>
        <v>4066</v>
      </c>
      <c r="BB42" s="157">
        <f t="shared" si="19"/>
        <v>4066</v>
      </c>
      <c r="BC42" s="157">
        <f t="shared" si="19"/>
        <v>4066</v>
      </c>
      <c r="BD42" s="157">
        <f t="shared" si="19"/>
        <v>4066</v>
      </c>
      <c r="BE42" s="157">
        <f t="shared" si="19"/>
        <v>4066</v>
      </c>
      <c r="BF42" s="157">
        <f t="shared" si="19"/>
        <v>4066</v>
      </c>
      <c r="BG42" s="157">
        <f t="shared" si="19"/>
        <v>4066</v>
      </c>
      <c r="BH42" s="157">
        <f t="shared" si="19"/>
        <v>4066</v>
      </c>
      <c r="BI42" s="157">
        <f t="shared" si="19"/>
        <v>4066</v>
      </c>
      <c r="BJ42" s="157">
        <f t="shared" si="19"/>
        <v>4066</v>
      </c>
      <c r="BK42" s="157">
        <f t="shared" si="19"/>
        <v>4066</v>
      </c>
      <c r="BL42" s="157">
        <f t="shared" si="19"/>
        <v>4066</v>
      </c>
      <c r="BM42" s="157">
        <f t="shared" si="19"/>
        <v>4066</v>
      </c>
      <c r="BN42" s="157">
        <f t="shared" si="19"/>
        <v>4066</v>
      </c>
      <c r="BO42" s="157">
        <f t="shared" si="19"/>
        <v>4066</v>
      </c>
      <c r="BP42" s="157">
        <f t="shared" si="19"/>
        <v>4066</v>
      </c>
      <c r="BQ42" s="157">
        <f t="shared" si="19"/>
        <v>4066</v>
      </c>
      <c r="BR42" s="157">
        <f t="shared" si="19"/>
        <v>4066</v>
      </c>
      <c r="BS42" s="157">
        <f t="shared" si="19"/>
        <v>4066</v>
      </c>
      <c r="BT42" s="157">
        <f t="shared" si="19"/>
        <v>4066</v>
      </c>
      <c r="BU42" s="157">
        <f t="shared" si="19"/>
        <v>4066</v>
      </c>
      <c r="BV42" s="157">
        <f t="shared" si="19"/>
        <v>4066</v>
      </c>
      <c r="BW42" s="157">
        <f t="shared" si="19"/>
        <v>4066</v>
      </c>
    </row>
    <row r="43" ht="15.75" customHeight="1">
      <c r="A43" s="1" t="s">
        <v>276</v>
      </c>
      <c r="B43" s="159"/>
      <c r="D43" s="76" t="str">
        <f t="array" ref="D43">INDEX(INDIRECT("PnL_"&amp;TEXT(D$1,"mmm")&amp;"_"&amp;TEXT(D$1,"yyyy")),MATCH(TRIM($A43),PnL_Accounts,0))</f>
        <v/>
      </c>
      <c r="E43" s="76" t="str">
        <f t="array" ref="E43">INDEX(INDIRECT("PnL_"&amp;TEXT(E$1,"mmm")&amp;"_"&amp;TEXT(E$1,"yyyy")),MATCH(TRIM($A43),PnL_Accounts,0))</f>
        <v/>
      </c>
      <c r="F43" s="76" t="str">
        <f t="array" ref="F43">INDEX(INDIRECT("PnL_"&amp;TEXT(F$1,"mmm")&amp;"_"&amp;TEXT(F$1,"yyyy")),MATCH(TRIM($A43),PnL_Accounts,0))</f>
        <v/>
      </c>
      <c r="G43" s="76" t="str">
        <f t="array" ref="G43">INDEX(INDIRECT("PnL_"&amp;TEXT(G$1,"mmm")&amp;"_"&amp;TEXT(G$1,"yyyy")),MATCH(TRIM($A43),PnL_Accounts,0))</f>
        <v/>
      </c>
      <c r="H43" s="76" t="str">
        <f t="array" ref="H43">INDEX(INDIRECT("PnL_"&amp;TEXT(H$1,"mmm")&amp;"_"&amp;TEXT(H$1,"yyyy")),MATCH(TRIM($A43),PnL_Accounts,0))</f>
        <v/>
      </c>
      <c r="I43" s="76" t="str">
        <f t="array" ref="I43">INDEX(INDIRECT("PnL_"&amp;TEXT(I$1,"mmm")&amp;"_"&amp;TEXT(I$1,"yyyy")),MATCH(TRIM($A43),PnL_Accounts,0))</f>
        <v/>
      </c>
      <c r="J43" s="76" t="str">
        <f t="array" ref="J43">INDEX(INDIRECT("PnL_"&amp;TEXT(J$1,"mmm")&amp;"_"&amp;TEXT(J$1,"yyyy")),MATCH(TRIM($A43),PnL_Accounts,0))</f>
        <v/>
      </c>
      <c r="K43" s="76" t="str">
        <f t="array" ref="K43">INDEX(INDIRECT("PnL_"&amp;TEXT(K$1,"mmm")&amp;"_"&amp;TEXT(K$1,"yyyy")),MATCH(TRIM($A43),PnL_Accounts,0))</f>
        <v/>
      </c>
      <c r="L43" s="76" t="str">
        <f t="array" ref="L43">INDEX(INDIRECT("PnL_"&amp;TEXT(L$1,"mmm")&amp;"_"&amp;TEXT(L$1,"yyyy")),MATCH(TRIM($A43),PnL_Accounts,0))</f>
        <v/>
      </c>
      <c r="M43" s="76" t="str">
        <f t="array" ref="M43">INDEX(INDIRECT("PnL_"&amp;TEXT(M$1,"mmm")&amp;"_"&amp;TEXT(M$1,"yyyy")),MATCH(TRIM($A43),PnL_Accounts,0))</f>
        <v/>
      </c>
      <c r="N43" s="76" t="str">
        <f t="array" ref="N43">INDEX(INDIRECT("PnL_"&amp;TEXT(N$1,"mmm")&amp;"_"&amp;TEXT(N$1,"yyyy")),MATCH(TRIM($A43),PnL_Accounts,0))</f>
        <v/>
      </c>
      <c r="O43" s="76" t="str">
        <f t="array" ref="O43">INDEX(INDIRECT("PnL_"&amp;TEXT(O$1,"mmm")&amp;"_"&amp;TEXT(O$1,"yyyy")),MATCH(TRIM($A43),PnL_Accounts,0))</f>
        <v/>
      </c>
      <c r="P43" s="76" t="str">
        <f t="array" ref="P43">INDEX(INDIRECT("PnL_"&amp;TEXT(P$1,"mmm")&amp;"_"&amp;TEXT(P$1,"yyyy")),MATCH(TRIM($A43),PnL_Accounts,0))</f>
        <v/>
      </c>
      <c r="Q43" s="76" t="str">
        <f t="array" ref="Q43">INDEX(INDIRECT("PnL_"&amp;TEXT(Q$1,"mmm")&amp;"_"&amp;TEXT(Q$1,"yyyy")),MATCH(TRIM($A43),PnL_Accounts,0))</f>
        <v/>
      </c>
      <c r="R43" s="76" t="str">
        <f t="array" ref="R43">INDEX(INDIRECT("PnL_"&amp;TEXT(R$1,"mmm")&amp;"_"&amp;TEXT(R$1,"yyyy")),MATCH(TRIM($A43),PnL_Accounts,0))</f>
        <v/>
      </c>
      <c r="S43" s="76" t="str">
        <f t="array" ref="S43">INDEX(INDIRECT("PnL_"&amp;TEXT(S$1,"mmm")&amp;"_"&amp;TEXT(S$1,"yyyy")),MATCH(TRIM($A43),PnL_Accounts,0))</f>
        <v/>
      </c>
      <c r="T43" s="76" t="str">
        <f t="array" ref="T43">INDEX(INDIRECT("PnL_"&amp;TEXT(T$1,"mmm")&amp;"_"&amp;TEXT(T$1,"yyyy")),MATCH(TRIM($A43),PnL_Accounts,0))</f>
        <v/>
      </c>
      <c r="U43" s="76" t="str">
        <f t="array" ref="U43">INDEX(INDIRECT("PnL_"&amp;TEXT(U$1,"mmm")&amp;"_"&amp;TEXT(U$1,"yyyy")),MATCH(TRIM($A43),PnL_Accounts,0))</f>
        <v/>
      </c>
      <c r="V43" s="76" t="str">
        <f t="array" ref="V43">INDEX(INDIRECT("PnL_"&amp;TEXT(V$1,"mmm")&amp;"_"&amp;TEXT(V$1,"yyyy")),MATCH(TRIM($A43),PnL_Accounts,0))</f>
        <v/>
      </c>
      <c r="W43" s="76" t="str">
        <f t="array" ref="W43">INDEX(INDIRECT("PnL_"&amp;TEXT(W$1,"mmm")&amp;"_"&amp;TEXT(W$1,"yyyy")),MATCH(TRIM($A43),PnL_Accounts,0))</f>
        <v/>
      </c>
      <c r="X43" s="76" t="str">
        <f t="array" ref="X43">INDEX(INDIRECT("PnL_"&amp;TEXT(X$1,"mmm")&amp;"_"&amp;TEXT(X$1,"yyyy")),MATCH(TRIM($A43),PnL_Accounts,0))</f>
        <v/>
      </c>
      <c r="Y43" s="76" t="str">
        <f t="array" ref="Y43">INDEX(INDIRECT("PnL_"&amp;TEXT(Y$1,"mmm")&amp;"_"&amp;TEXT(Y$1,"yyyy")),MATCH(TRIM($A43),PnL_Accounts,0))</f>
        <v/>
      </c>
      <c r="Z43" s="76" t="str">
        <f t="array" ref="Z43">INDEX(INDIRECT("PnL_"&amp;TEXT(Z$1,"mmm")&amp;"_"&amp;TEXT(Z$1,"yyyy")),MATCH(TRIM($A43),PnL_Accounts,0))</f>
        <v/>
      </c>
      <c r="AA43" s="76" t="str">
        <f t="array" ref="AA43">INDEX(INDIRECT("PnL_"&amp;TEXT(AA$1,"mmm")&amp;"_"&amp;TEXT(AA$1,"yyyy")),MATCH(TRIM($A43),PnL_Accounts,0))</f>
        <v/>
      </c>
      <c r="AB43" s="76" t="str">
        <f t="array" ref="AB43">INDEX(INDIRECT("PnL_"&amp;TEXT(AB$1,"mmm")&amp;"_"&amp;TEXT(AB$1,"yyyy")),MATCH(TRIM($A43),PnL_Accounts,0))</f>
        <v/>
      </c>
      <c r="AC43" s="76" t="str">
        <f t="array" ref="AC43">INDEX(INDIRECT("PnL_"&amp;TEXT(AC$1,"mmm")&amp;"_"&amp;TEXT(AC$1,"yyyy")),MATCH(TRIM($A43),PnL_Accounts,0))</f>
        <v/>
      </c>
      <c r="AD43" s="76" t="str">
        <f t="array" ref="AD43">INDEX(INDIRECT("PnL_"&amp;TEXT(AD$1,"mmm")&amp;"_"&amp;TEXT(AD$1,"yyyy")),MATCH(TRIM($A43),PnL_Accounts,0))</f>
        <v/>
      </c>
      <c r="AE43" s="76" t="str">
        <f t="array" ref="AE43">INDEX(INDIRECT("PnL_"&amp;TEXT(AE$1,"mmm")&amp;"_"&amp;TEXT(AE$1,"yyyy")),MATCH(TRIM($A43),PnL_Accounts,0))</f>
        <v/>
      </c>
    </row>
    <row r="44" ht="15.75" customHeight="1">
      <c r="A44" s="1" t="s">
        <v>277</v>
      </c>
      <c r="B44" s="160">
        <f>AVERAGEIFS(44:44,$1:$1,"&gt;="&amp;DATE(YEAR(Current_Month),MONTH(Current_Month)-2,DAY(Current_Month)),$1:$1,"&lt;="&amp;EOMONTH(Current_Month,0))</f>
        <v>5833.333333</v>
      </c>
      <c r="D44" s="76">
        <f t="array" ref="D44">INDEX(INDIRECT("PnL_"&amp;TEXT(D$1,"mmm")&amp;"_"&amp;TEXT(D$1,"yyyy")),MATCH(TRIM($A44),PnL_Accounts,0))</f>
        <v>2500</v>
      </c>
      <c r="E44" s="76">
        <f t="array" ref="E44">INDEX(INDIRECT("PnL_"&amp;TEXT(E$1,"mmm")&amp;"_"&amp;TEXT(E$1,"yyyy")),MATCH(TRIM($A44),PnL_Accounts,0))</f>
        <v>2500</v>
      </c>
      <c r="F44" s="76">
        <f t="array" ref="F44">INDEX(INDIRECT("PnL_"&amp;TEXT(F$1,"mmm")&amp;"_"&amp;TEXT(F$1,"yyyy")),MATCH(TRIM($A44),PnL_Accounts,0))</f>
        <v>2500</v>
      </c>
      <c r="G44" s="76">
        <f t="array" ref="G44">INDEX(INDIRECT("PnL_"&amp;TEXT(G$1,"mmm")&amp;"_"&amp;TEXT(G$1,"yyyy")),MATCH(TRIM($A44),PnL_Accounts,0))</f>
        <v>2500</v>
      </c>
      <c r="H44" s="76">
        <f t="array" ref="H44">INDEX(INDIRECT("PnL_"&amp;TEXT(H$1,"mmm")&amp;"_"&amp;TEXT(H$1,"yyyy")),MATCH(TRIM($A44),PnL_Accounts,0))</f>
        <v>3400</v>
      </c>
      <c r="I44" s="76">
        <f t="array" ref="I44">INDEX(INDIRECT("PnL_"&amp;TEXT(I$1,"mmm")&amp;"_"&amp;TEXT(I$1,"yyyy")),MATCH(TRIM($A44),PnL_Accounts,0))</f>
        <v>5000</v>
      </c>
      <c r="J44" s="76">
        <f t="array" ref="J44">INDEX(INDIRECT("PnL_"&amp;TEXT(J$1,"mmm")&amp;"_"&amp;TEXT(J$1,"yyyy")),MATCH(TRIM($A44),PnL_Accounts,0))</f>
        <v>6500</v>
      </c>
      <c r="K44" s="76">
        <f t="array" ref="K44">INDEX(INDIRECT("PnL_"&amp;TEXT(K$1,"mmm")&amp;"_"&amp;TEXT(K$1,"yyyy")),MATCH(TRIM($A44),PnL_Accounts,0))</f>
        <v>6300</v>
      </c>
      <c r="L44" s="76">
        <f t="array" ref="L44">INDEX(INDIRECT("PnL_"&amp;TEXT(L$1,"mmm")&amp;"_"&amp;TEXT(L$1,"yyyy")),MATCH(TRIM($A44),PnL_Accounts,0))</f>
        <v>6700</v>
      </c>
      <c r="M44" s="76">
        <f t="array" ref="M44">INDEX(INDIRECT("PnL_"&amp;TEXT(M$1,"mmm")&amp;"_"&amp;TEXT(M$1,"yyyy")),MATCH(TRIM($A44),PnL_Accounts,0))</f>
        <v>6200</v>
      </c>
      <c r="N44" s="76">
        <f t="array" ref="N44">INDEX(INDIRECT("PnL_"&amp;TEXT(N$1,"mmm")&amp;"_"&amp;TEXT(N$1,"yyyy")),MATCH(TRIM($A44),PnL_Accounts,0))</f>
        <v>6300</v>
      </c>
      <c r="O44" s="76">
        <f t="array" ref="O44">INDEX(INDIRECT("PnL_"&amp;TEXT(O$1,"mmm")&amp;"_"&amp;TEXT(O$1,"yyyy")),MATCH(TRIM($A44),PnL_Accounts,0))</f>
        <v>6600</v>
      </c>
      <c r="P44" s="76">
        <f t="array" ref="P44">INDEX(INDIRECT("PnL_"&amp;TEXT(P$1,"mmm")&amp;"_"&amp;TEXT(P$1,"yyyy")),MATCH(TRIM($A44),PnL_Accounts,0))</f>
        <v>6800</v>
      </c>
      <c r="Q44" s="76">
        <f t="array" ref="Q44">INDEX(INDIRECT("PnL_"&amp;TEXT(Q$1,"mmm")&amp;"_"&amp;TEXT(Q$1,"yyyy")),MATCH(TRIM($A44),PnL_Accounts,0))</f>
        <v>4100</v>
      </c>
      <c r="R44" s="76">
        <f t="array" ref="R44">INDEX(INDIRECT("PnL_"&amp;TEXT(R$1,"mmm")&amp;"_"&amp;TEXT(R$1,"yyyy")),MATCH(TRIM($A44),PnL_Accounts,0))</f>
        <v>5800</v>
      </c>
      <c r="S44" s="76">
        <f t="array" ref="S44">INDEX(INDIRECT("PnL_"&amp;TEXT(S$1,"mmm")&amp;"_"&amp;TEXT(S$1,"yyyy")),MATCH(TRIM($A44),PnL_Accounts,0))</f>
        <v>5376</v>
      </c>
      <c r="T44" s="76">
        <f t="array" ref="T44">INDEX(INDIRECT("PnL_"&amp;TEXT(T$1,"mmm")&amp;"_"&amp;TEXT(T$1,"yyyy")),MATCH(TRIM($A44),PnL_Accounts,0))</f>
        <v>4831</v>
      </c>
      <c r="U44" s="76">
        <f t="array" ref="U44">INDEX(INDIRECT("PnL_"&amp;TEXT(U$1,"mmm")&amp;"_"&amp;TEXT(U$1,"yyyy")),MATCH(TRIM($A44),PnL_Accounts,0))</f>
        <v>5229</v>
      </c>
      <c r="V44" s="76">
        <f t="array" ref="V44">INDEX(INDIRECT("PnL_"&amp;TEXT(V$1,"mmm")&amp;"_"&amp;TEXT(V$1,"yyyy")),MATCH(TRIM($A44),PnL_Accounts,0))</f>
        <v>5462</v>
      </c>
      <c r="W44" s="76">
        <f t="array" ref="W44">INDEX(INDIRECT("PnL_"&amp;TEXT(W$1,"mmm")&amp;"_"&amp;TEXT(W$1,"yyyy")),MATCH(TRIM($A44),PnL_Accounts,0))</f>
        <v>5519</v>
      </c>
      <c r="X44" s="76">
        <f t="array" ref="X44">INDEX(INDIRECT("PnL_"&amp;TEXT(X$1,"mmm")&amp;"_"&amp;TEXT(X$1,"yyyy")),MATCH(TRIM($A44),PnL_Accounts,0))</f>
        <v>4575</v>
      </c>
      <c r="Y44" s="76">
        <f t="array" ref="Y44">INDEX(INDIRECT("PnL_"&amp;TEXT(Y$1,"mmm")&amp;"_"&amp;TEXT(Y$1,"yyyy")),MATCH(TRIM($A44),PnL_Accounts,0))</f>
        <v>1023</v>
      </c>
      <c r="Z44" s="76">
        <f t="array" ref="Z44">INDEX(INDIRECT("PnL_"&amp;TEXT(Z$1,"mmm")&amp;"_"&amp;TEXT(Z$1,"yyyy")),MATCH(TRIM($A44),PnL_Accounts,0))</f>
        <v>1597</v>
      </c>
      <c r="AA44" s="76">
        <f t="array" ref="AA44">INDEX(INDIRECT("PnL_"&amp;TEXT(AA$1,"mmm")&amp;"_"&amp;TEXT(AA$1,"yyyy")),MATCH(TRIM($A44),PnL_Accounts,0))</f>
        <v>1254</v>
      </c>
      <c r="AB44" s="76">
        <f t="array" ref="AB44">INDEX(INDIRECT("PnL_"&amp;TEXT(AB$1,"mmm")&amp;"_"&amp;TEXT(AB$1,"yyyy")),MATCH(TRIM($A44),PnL_Accounts,0))</f>
        <v>1999</v>
      </c>
      <c r="AC44" s="76">
        <f t="array" ref="AC44">INDEX(INDIRECT("PnL_"&amp;TEXT(AC$1,"mmm")&amp;"_"&amp;TEXT(AC$1,"yyyy")),MATCH(TRIM($A44),PnL_Accounts,0))</f>
        <v>2500</v>
      </c>
      <c r="AD44" s="76">
        <f t="array" ref="AD44">INDEX(INDIRECT("PnL_"&amp;TEXT(AD$1,"mmm")&amp;"_"&amp;TEXT(AD$1,"yyyy")),MATCH(TRIM($A44),PnL_Accounts,0))</f>
        <v>2500</v>
      </c>
      <c r="AE44" s="76">
        <f t="array" ref="AE44">INDEX(INDIRECT("PnL_"&amp;TEXT(AE$1,"mmm")&amp;"_"&amp;TEXT(AE$1,"yyyy")),MATCH(TRIM($A44),PnL_Accounts,0))</f>
        <v>12500</v>
      </c>
      <c r="AF44" s="96">
        <f t="shared" ref="AF44:BW44" si="20">$B44</f>
        <v>5833.333333</v>
      </c>
      <c r="AG44" s="96">
        <f t="shared" si="20"/>
        <v>5833.333333</v>
      </c>
      <c r="AH44" s="96">
        <f t="shared" si="20"/>
        <v>5833.333333</v>
      </c>
      <c r="AI44" s="96">
        <f t="shared" si="20"/>
        <v>5833.333333</v>
      </c>
      <c r="AJ44" s="96">
        <f t="shared" si="20"/>
        <v>5833.333333</v>
      </c>
      <c r="AK44" s="96">
        <f t="shared" si="20"/>
        <v>5833.333333</v>
      </c>
      <c r="AL44" s="96">
        <f t="shared" si="20"/>
        <v>5833.333333</v>
      </c>
      <c r="AM44" s="96">
        <f t="shared" si="20"/>
        <v>5833.333333</v>
      </c>
      <c r="AN44" s="96">
        <f t="shared" si="20"/>
        <v>5833.333333</v>
      </c>
      <c r="AO44" s="96">
        <f t="shared" si="20"/>
        <v>5833.333333</v>
      </c>
      <c r="AP44" s="96">
        <f t="shared" si="20"/>
        <v>5833.333333</v>
      </c>
      <c r="AQ44" s="96">
        <f t="shared" si="20"/>
        <v>5833.333333</v>
      </c>
      <c r="AR44" s="96">
        <f t="shared" si="20"/>
        <v>5833.333333</v>
      </c>
      <c r="AS44" s="96">
        <f t="shared" si="20"/>
        <v>5833.333333</v>
      </c>
      <c r="AT44" s="96">
        <f t="shared" si="20"/>
        <v>5833.333333</v>
      </c>
      <c r="AU44" s="96">
        <f t="shared" si="20"/>
        <v>5833.333333</v>
      </c>
      <c r="AV44" s="96">
        <f t="shared" si="20"/>
        <v>5833.333333</v>
      </c>
      <c r="AW44" s="96">
        <f t="shared" si="20"/>
        <v>5833.333333</v>
      </c>
      <c r="AX44" s="96">
        <f t="shared" si="20"/>
        <v>5833.333333</v>
      </c>
      <c r="AY44" s="96">
        <f t="shared" si="20"/>
        <v>5833.333333</v>
      </c>
      <c r="AZ44" s="96">
        <f t="shared" si="20"/>
        <v>5833.333333</v>
      </c>
      <c r="BA44" s="96">
        <f t="shared" si="20"/>
        <v>5833.333333</v>
      </c>
      <c r="BB44" s="96">
        <f t="shared" si="20"/>
        <v>5833.333333</v>
      </c>
      <c r="BC44" s="96">
        <f t="shared" si="20"/>
        <v>5833.333333</v>
      </c>
      <c r="BD44" s="96">
        <f t="shared" si="20"/>
        <v>5833.333333</v>
      </c>
      <c r="BE44" s="96">
        <f t="shared" si="20"/>
        <v>5833.333333</v>
      </c>
      <c r="BF44" s="96">
        <f t="shared" si="20"/>
        <v>5833.333333</v>
      </c>
      <c r="BG44" s="96">
        <f t="shared" si="20"/>
        <v>5833.333333</v>
      </c>
      <c r="BH44" s="96">
        <f t="shared" si="20"/>
        <v>5833.333333</v>
      </c>
      <c r="BI44" s="96">
        <f t="shared" si="20"/>
        <v>5833.333333</v>
      </c>
      <c r="BJ44" s="96">
        <f t="shared" si="20"/>
        <v>5833.333333</v>
      </c>
      <c r="BK44" s="96">
        <f t="shared" si="20"/>
        <v>5833.333333</v>
      </c>
      <c r="BL44" s="96">
        <f t="shared" si="20"/>
        <v>5833.333333</v>
      </c>
      <c r="BM44" s="96">
        <f t="shared" si="20"/>
        <v>5833.333333</v>
      </c>
      <c r="BN44" s="96">
        <f t="shared" si="20"/>
        <v>5833.333333</v>
      </c>
      <c r="BO44" s="96">
        <f t="shared" si="20"/>
        <v>5833.333333</v>
      </c>
      <c r="BP44" s="96">
        <f t="shared" si="20"/>
        <v>5833.333333</v>
      </c>
      <c r="BQ44" s="96">
        <f t="shared" si="20"/>
        <v>5833.333333</v>
      </c>
      <c r="BR44" s="96">
        <f t="shared" si="20"/>
        <v>5833.333333</v>
      </c>
      <c r="BS44" s="96">
        <f t="shared" si="20"/>
        <v>5833.333333</v>
      </c>
      <c r="BT44" s="96">
        <f t="shared" si="20"/>
        <v>5833.333333</v>
      </c>
      <c r="BU44" s="96">
        <f t="shared" si="20"/>
        <v>5833.333333</v>
      </c>
      <c r="BV44" s="96">
        <f t="shared" si="20"/>
        <v>5833.333333</v>
      </c>
      <c r="BW44" s="96">
        <f t="shared" si="20"/>
        <v>5833.333333</v>
      </c>
    </row>
    <row r="45" ht="15.75" customHeight="1">
      <c r="A45" s="1" t="s">
        <v>278</v>
      </c>
      <c r="B45" s="160">
        <f>AVERAGEIFS(45:45,$1:$1,"&gt;="&amp;DATE(YEAR(Current_Month),MONTH(Current_Month)-2,DAY(Current_Month)),$1:$1,"&lt;="&amp;EOMONTH(Current_Month,0))</f>
        <v>1385.333333</v>
      </c>
      <c r="D45" s="76">
        <f t="array" ref="D45">INDEX(INDIRECT("PnL_"&amp;TEXT(D$1,"mmm")&amp;"_"&amp;TEXT(D$1,"yyyy")),MATCH(TRIM($A45),PnL_Accounts,0))</f>
        <v>1323</v>
      </c>
      <c r="E45" s="76">
        <f t="array" ref="E45">INDEX(INDIRECT("PnL_"&amp;TEXT(E$1,"mmm")&amp;"_"&amp;TEXT(E$1,"yyyy")),MATCH(TRIM($A45),PnL_Accounts,0))</f>
        <v>1581</v>
      </c>
      <c r="F45" s="76">
        <f t="array" ref="F45">INDEX(INDIRECT("PnL_"&amp;TEXT(F$1,"mmm")&amp;"_"&amp;TEXT(F$1,"yyyy")),MATCH(TRIM($A45),PnL_Accounts,0))</f>
        <v>1755</v>
      </c>
      <c r="G45" s="76">
        <f t="array" ref="G45">INDEX(INDIRECT("PnL_"&amp;TEXT(G$1,"mmm")&amp;"_"&amp;TEXT(G$1,"yyyy")),MATCH(TRIM($A45),PnL_Accounts,0))</f>
        <v>1781</v>
      </c>
      <c r="H45" s="76">
        <f t="array" ref="H45">INDEX(INDIRECT("PnL_"&amp;TEXT(H$1,"mmm")&amp;"_"&amp;TEXT(H$1,"yyyy")),MATCH(TRIM($A45),PnL_Accounts,0))</f>
        <v>1869</v>
      </c>
      <c r="I45" s="76">
        <f t="array" ref="I45">INDEX(INDIRECT("PnL_"&amp;TEXT(I$1,"mmm")&amp;"_"&amp;TEXT(I$1,"yyyy")),MATCH(TRIM($A45),PnL_Accounts,0))</f>
        <v>2253</v>
      </c>
      <c r="J45" s="76">
        <f t="array" ref="J45">INDEX(INDIRECT("PnL_"&amp;TEXT(J$1,"mmm")&amp;"_"&amp;TEXT(J$1,"yyyy")),MATCH(TRIM($A45),PnL_Accounts,0))</f>
        <v>2374</v>
      </c>
      <c r="K45" s="76">
        <f t="array" ref="K45">INDEX(INDIRECT("PnL_"&amp;TEXT(K$1,"mmm")&amp;"_"&amp;TEXT(K$1,"yyyy")),MATCH(TRIM($A45),PnL_Accounts,0))</f>
        <v>2542</v>
      </c>
      <c r="L45" s="76">
        <f t="array" ref="L45">INDEX(INDIRECT("PnL_"&amp;TEXT(L$1,"mmm")&amp;"_"&amp;TEXT(L$1,"yyyy")),MATCH(TRIM($A45),PnL_Accounts,0))</f>
        <v>2621</v>
      </c>
      <c r="M45" s="76">
        <f t="array" ref="M45">INDEX(INDIRECT("PnL_"&amp;TEXT(M$1,"mmm")&amp;"_"&amp;TEXT(M$1,"yyyy")),MATCH(TRIM($A45),PnL_Accounts,0))</f>
        <v>2877</v>
      </c>
      <c r="N45" s="76">
        <f t="array" ref="N45">INDEX(INDIRECT("PnL_"&amp;TEXT(N$1,"mmm")&amp;"_"&amp;TEXT(N$1,"yyyy")),MATCH(TRIM($A45),PnL_Accounts,0))</f>
        <v>2951</v>
      </c>
      <c r="O45" s="76">
        <f t="array" ref="O45">INDEX(INDIRECT("PnL_"&amp;TEXT(O$1,"mmm")&amp;"_"&amp;TEXT(O$1,"yyyy")),MATCH(TRIM($A45),PnL_Accounts,0))</f>
        <v>3241</v>
      </c>
      <c r="P45" s="76">
        <f t="array" ref="P45">INDEX(INDIRECT("PnL_"&amp;TEXT(P$1,"mmm")&amp;"_"&amp;TEXT(P$1,"yyyy")),MATCH(TRIM($A45),PnL_Accounts,0))</f>
        <v>3050</v>
      </c>
      <c r="Q45" s="76">
        <f t="array" ref="Q45">INDEX(INDIRECT("PnL_"&amp;TEXT(Q$1,"mmm")&amp;"_"&amp;TEXT(Q$1,"yyyy")),MATCH(TRIM($A45),PnL_Accounts,0))</f>
        <v>3457</v>
      </c>
      <c r="R45" s="76">
        <f t="array" ref="R45">INDEX(INDIRECT("PnL_"&amp;TEXT(R$1,"mmm")&amp;"_"&amp;TEXT(R$1,"yyyy")),MATCH(TRIM($A45),PnL_Accounts,0))</f>
        <v>3492</v>
      </c>
      <c r="S45" s="76">
        <f t="array" ref="S45">INDEX(INDIRECT("PnL_"&amp;TEXT(S$1,"mmm")&amp;"_"&amp;TEXT(S$1,"yyyy")),MATCH(TRIM($A45),PnL_Accounts,0))</f>
        <v>3781</v>
      </c>
      <c r="T45" s="76">
        <f t="array" ref="T45">INDEX(INDIRECT("PnL_"&amp;TEXT(T$1,"mmm")&amp;"_"&amp;TEXT(T$1,"yyyy")),MATCH(TRIM($A45),PnL_Accounts,0))</f>
        <v>2492</v>
      </c>
      <c r="U45" s="76">
        <f t="array" ref="U45">INDEX(INDIRECT("PnL_"&amp;TEXT(U$1,"mmm")&amp;"_"&amp;TEXT(U$1,"yyyy")),MATCH(TRIM($A45),PnL_Accounts,0))</f>
        <v>2632</v>
      </c>
      <c r="V45" s="76">
        <f t="array" ref="V45">INDEX(INDIRECT("PnL_"&amp;TEXT(V$1,"mmm")&amp;"_"&amp;TEXT(V$1,"yyyy")),MATCH(TRIM($A45),PnL_Accounts,0))</f>
        <v>2717</v>
      </c>
      <c r="W45" s="76">
        <f t="array" ref="W45">INDEX(INDIRECT("PnL_"&amp;TEXT(W$1,"mmm")&amp;"_"&amp;TEXT(W$1,"yyyy")),MATCH(TRIM($A45),PnL_Accounts,0))</f>
        <v>2782</v>
      </c>
      <c r="X45" s="76">
        <f t="array" ref="X45">INDEX(INDIRECT("PnL_"&amp;TEXT(X$1,"mmm")&amp;"_"&amp;TEXT(X$1,"yyyy")),MATCH(TRIM($A45),PnL_Accounts,0))</f>
        <v>3780</v>
      </c>
      <c r="Y45" s="76">
        <f t="array" ref="Y45">INDEX(INDIRECT("PnL_"&amp;TEXT(Y$1,"mmm")&amp;"_"&amp;TEXT(Y$1,"yyyy")),MATCH(TRIM($A45),PnL_Accounts,0))</f>
        <v>1247</v>
      </c>
      <c r="Z45" s="76">
        <f t="array" ref="Z45">INDEX(INDIRECT("PnL_"&amp;TEXT(Z$1,"mmm")&amp;"_"&amp;TEXT(Z$1,"yyyy")),MATCH(TRIM($A45),PnL_Accounts,0))</f>
        <v>1673</v>
      </c>
      <c r="AA45" s="76">
        <f t="array" ref="AA45">INDEX(INDIRECT("PnL_"&amp;TEXT(AA$1,"mmm")&amp;"_"&amp;TEXT(AA$1,"yyyy")),MATCH(TRIM($A45),PnL_Accounts,0))</f>
        <v>1374</v>
      </c>
      <c r="AB45" s="76">
        <f t="array" ref="AB45">INDEX(INDIRECT("PnL_"&amp;TEXT(AB$1,"mmm")&amp;"_"&amp;TEXT(AB$1,"yyyy")),MATCH(TRIM($A45),PnL_Accounts,0))</f>
        <v>1736</v>
      </c>
      <c r="AC45" s="76">
        <f t="array" ref="AC45">INDEX(INDIRECT("PnL_"&amp;TEXT(AC$1,"mmm")&amp;"_"&amp;TEXT(AC$1,"yyyy")),MATCH(TRIM($A45),PnL_Accounts,0))</f>
        <v>1978</v>
      </c>
      <c r="AD45" s="76">
        <f t="array" ref="AD45">INDEX(INDIRECT("PnL_"&amp;TEXT(AD$1,"mmm")&amp;"_"&amp;TEXT(AD$1,"yyyy")),MATCH(TRIM($A45),PnL_Accounts,0))</f>
        <v>1978</v>
      </c>
      <c r="AE45" s="76">
        <f t="array" ref="AE45">INDEX(INDIRECT("PnL_"&amp;TEXT(AE$1,"mmm")&amp;"_"&amp;TEXT(AE$1,"yyyy")),MATCH(TRIM($A45),PnL_Accounts,0))</f>
        <v>200</v>
      </c>
      <c r="AF45" s="96">
        <f t="shared" ref="AF45:BW45" si="21">$B45</f>
        <v>1385.333333</v>
      </c>
      <c r="AG45" s="96">
        <f t="shared" si="21"/>
        <v>1385.333333</v>
      </c>
      <c r="AH45" s="96">
        <f t="shared" si="21"/>
        <v>1385.333333</v>
      </c>
      <c r="AI45" s="96">
        <f t="shared" si="21"/>
        <v>1385.333333</v>
      </c>
      <c r="AJ45" s="96">
        <f t="shared" si="21"/>
        <v>1385.333333</v>
      </c>
      <c r="AK45" s="96">
        <f t="shared" si="21"/>
        <v>1385.333333</v>
      </c>
      <c r="AL45" s="96">
        <f t="shared" si="21"/>
        <v>1385.333333</v>
      </c>
      <c r="AM45" s="96">
        <f t="shared" si="21"/>
        <v>1385.333333</v>
      </c>
      <c r="AN45" s="96">
        <f t="shared" si="21"/>
        <v>1385.333333</v>
      </c>
      <c r="AO45" s="96">
        <f t="shared" si="21"/>
        <v>1385.333333</v>
      </c>
      <c r="AP45" s="96">
        <f t="shared" si="21"/>
        <v>1385.333333</v>
      </c>
      <c r="AQ45" s="96">
        <f t="shared" si="21"/>
        <v>1385.333333</v>
      </c>
      <c r="AR45" s="96">
        <f t="shared" si="21"/>
        <v>1385.333333</v>
      </c>
      <c r="AS45" s="96">
        <f t="shared" si="21"/>
        <v>1385.333333</v>
      </c>
      <c r="AT45" s="96">
        <f t="shared" si="21"/>
        <v>1385.333333</v>
      </c>
      <c r="AU45" s="96">
        <f t="shared" si="21"/>
        <v>1385.333333</v>
      </c>
      <c r="AV45" s="96">
        <f t="shared" si="21"/>
        <v>1385.333333</v>
      </c>
      <c r="AW45" s="96">
        <f t="shared" si="21"/>
        <v>1385.333333</v>
      </c>
      <c r="AX45" s="96">
        <f t="shared" si="21"/>
        <v>1385.333333</v>
      </c>
      <c r="AY45" s="96">
        <f t="shared" si="21"/>
        <v>1385.333333</v>
      </c>
      <c r="AZ45" s="96">
        <f t="shared" si="21"/>
        <v>1385.333333</v>
      </c>
      <c r="BA45" s="96">
        <f t="shared" si="21"/>
        <v>1385.333333</v>
      </c>
      <c r="BB45" s="96">
        <f t="shared" si="21"/>
        <v>1385.333333</v>
      </c>
      <c r="BC45" s="96">
        <f t="shared" si="21"/>
        <v>1385.333333</v>
      </c>
      <c r="BD45" s="96">
        <f t="shared" si="21"/>
        <v>1385.333333</v>
      </c>
      <c r="BE45" s="96">
        <f t="shared" si="21"/>
        <v>1385.333333</v>
      </c>
      <c r="BF45" s="96">
        <f t="shared" si="21"/>
        <v>1385.333333</v>
      </c>
      <c r="BG45" s="96">
        <f t="shared" si="21"/>
        <v>1385.333333</v>
      </c>
      <c r="BH45" s="96">
        <f t="shared" si="21"/>
        <v>1385.333333</v>
      </c>
      <c r="BI45" s="96">
        <f t="shared" si="21"/>
        <v>1385.333333</v>
      </c>
      <c r="BJ45" s="96">
        <f t="shared" si="21"/>
        <v>1385.333333</v>
      </c>
      <c r="BK45" s="96">
        <f t="shared" si="21"/>
        <v>1385.333333</v>
      </c>
      <c r="BL45" s="96">
        <f t="shared" si="21"/>
        <v>1385.333333</v>
      </c>
      <c r="BM45" s="96">
        <f t="shared" si="21"/>
        <v>1385.333333</v>
      </c>
      <c r="BN45" s="96">
        <f t="shared" si="21"/>
        <v>1385.333333</v>
      </c>
      <c r="BO45" s="96">
        <f t="shared" si="21"/>
        <v>1385.333333</v>
      </c>
      <c r="BP45" s="96">
        <f t="shared" si="21"/>
        <v>1385.333333</v>
      </c>
      <c r="BQ45" s="96">
        <f t="shared" si="21"/>
        <v>1385.333333</v>
      </c>
      <c r="BR45" s="96">
        <f t="shared" si="21"/>
        <v>1385.333333</v>
      </c>
      <c r="BS45" s="96">
        <f t="shared" si="21"/>
        <v>1385.333333</v>
      </c>
      <c r="BT45" s="96">
        <f t="shared" si="21"/>
        <v>1385.333333</v>
      </c>
      <c r="BU45" s="96">
        <f t="shared" si="21"/>
        <v>1385.333333</v>
      </c>
      <c r="BV45" s="96">
        <f t="shared" si="21"/>
        <v>1385.333333</v>
      </c>
      <c r="BW45" s="96">
        <f t="shared" si="21"/>
        <v>1385.333333</v>
      </c>
    </row>
    <row r="46" ht="15.75" customHeight="1">
      <c r="A46" s="21" t="s">
        <v>279</v>
      </c>
      <c r="B46" s="163"/>
      <c r="C46" s="21"/>
      <c r="D46" s="157">
        <f t="shared" ref="D46:BW46" si="22">SUM(D43:D45)</f>
        <v>3823</v>
      </c>
      <c r="E46" s="157">
        <f t="shared" si="22"/>
        <v>4081</v>
      </c>
      <c r="F46" s="157">
        <f t="shared" si="22"/>
        <v>4255</v>
      </c>
      <c r="G46" s="157">
        <f t="shared" si="22"/>
        <v>4281</v>
      </c>
      <c r="H46" s="157">
        <f t="shared" si="22"/>
        <v>5269</v>
      </c>
      <c r="I46" s="157">
        <f t="shared" si="22"/>
        <v>7253</v>
      </c>
      <c r="J46" s="157">
        <f t="shared" si="22"/>
        <v>8874</v>
      </c>
      <c r="K46" s="157">
        <f t="shared" si="22"/>
        <v>8842</v>
      </c>
      <c r="L46" s="157">
        <f t="shared" si="22"/>
        <v>9321</v>
      </c>
      <c r="M46" s="157">
        <f t="shared" si="22"/>
        <v>9077</v>
      </c>
      <c r="N46" s="157">
        <f t="shared" si="22"/>
        <v>9251</v>
      </c>
      <c r="O46" s="157">
        <f t="shared" si="22"/>
        <v>9841</v>
      </c>
      <c r="P46" s="157">
        <f t="shared" si="22"/>
        <v>9850</v>
      </c>
      <c r="Q46" s="157">
        <f t="shared" si="22"/>
        <v>7557</v>
      </c>
      <c r="R46" s="157">
        <f t="shared" si="22"/>
        <v>9292</v>
      </c>
      <c r="S46" s="157">
        <f t="shared" si="22"/>
        <v>9157</v>
      </c>
      <c r="T46" s="157">
        <f t="shared" si="22"/>
        <v>7323</v>
      </c>
      <c r="U46" s="157">
        <f t="shared" si="22"/>
        <v>7861</v>
      </c>
      <c r="V46" s="157">
        <f t="shared" si="22"/>
        <v>8179</v>
      </c>
      <c r="W46" s="157">
        <f t="shared" si="22"/>
        <v>8301</v>
      </c>
      <c r="X46" s="157">
        <f t="shared" si="22"/>
        <v>8355</v>
      </c>
      <c r="Y46" s="157">
        <f t="shared" si="22"/>
        <v>2270</v>
      </c>
      <c r="Z46" s="157">
        <f t="shared" si="22"/>
        <v>3270</v>
      </c>
      <c r="AA46" s="157">
        <f t="shared" si="22"/>
        <v>2628</v>
      </c>
      <c r="AB46" s="157">
        <f t="shared" si="22"/>
        <v>3735</v>
      </c>
      <c r="AC46" s="157">
        <f t="shared" si="22"/>
        <v>4478</v>
      </c>
      <c r="AD46" s="157">
        <f t="shared" si="22"/>
        <v>4478</v>
      </c>
      <c r="AE46" s="157">
        <f t="shared" si="22"/>
        <v>12700</v>
      </c>
      <c r="AF46" s="157">
        <f t="shared" si="22"/>
        <v>7218.666667</v>
      </c>
      <c r="AG46" s="157">
        <f t="shared" si="22"/>
        <v>7218.666667</v>
      </c>
      <c r="AH46" s="157">
        <f t="shared" si="22"/>
        <v>7218.666667</v>
      </c>
      <c r="AI46" s="157">
        <f t="shared" si="22"/>
        <v>7218.666667</v>
      </c>
      <c r="AJ46" s="157">
        <f t="shared" si="22"/>
        <v>7218.666667</v>
      </c>
      <c r="AK46" s="157">
        <f t="shared" si="22"/>
        <v>7218.666667</v>
      </c>
      <c r="AL46" s="157">
        <f t="shared" si="22"/>
        <v>7218.666667</v>
      </c>
      <c r="AM46" s="157">
        <f t="shared" si="22"/>
        <v>7218.666667</v>
      </c>
      <c r="AN46" s="157">
        <f t="shared" si="22"/>
        <v>7218.666667</v>
      </c>
      <c r="AO46" s="157">
        <f t="shared" si="22"/>
        <v>7218.666667</v>
      </c>
      <c r="AP46" s="157">
        <f t="shared" si="22"/>
        <v>7218.666667</v>
      </c>
      <c r="AQ46" s="157">
        <f t="shared" si="22"/>
        <v>7218.666667</v>
      </c>
      <c r="AR46" s="157">
        <f t="shared" si="22"/>
        <v>7218.666667</v>
      </c>
      <c r="AS46" s="157">
        <f t="shared" si="22"/>
        <v>7218.666667</v>
      </c>
      <c r="AT46" s="157">
        <f t="shared" si="22"/>
        <v>7218.666667</v>
      </c>
      <c r="AU46" s="157">
        <f t="shared" si="22"/>
        <v>7218.666667</v>
      </c>
      <c r="AV46" s="157">
        <f t="shared" si="22"/>
        <v>7218.666667</v>
      </c>
      <c r="AW46" s="157">
        <f t="shared" si="22"/>
        <v>7218.666667</v>
      </c>
      <c r="AX46" s="157">
        <f t="shared" si="22"/>
        <v>7218.666667</v>
      </c>
      <c r="AY46" s="157">
        <f t="shared" si="22"/>
        <v>7218.666667</v>
      </c>
      <c r="AZ46" s="157">
        <f t="shared" si="22"/>
        <v>7218.666667</v>
      </c>
      <c r="BA46" s="157">
        <f t="shared" si="22"/>
        <v>7218.666667</v>
      </c>
      <c r="BB46" s="157">
        <f t="shared" si="22"/>
        <v>7218.666667</v>
      </c>
      <c r="BC46" s="157">
        <f t="shared" si="22"/>
        <v>7218.666667</v>
      </c>
      <c r="BD46" s="157">
        <f t="shared" si="22"/>
        <v>7218.666667</v>
      </c>
      <c r="BE46" s="157">
        <f t="shared" si="22"/>
        <v>7218.666667</v>
      </c>
      <c r="BF46" s="157">
        <f t="shared" si="22"/>
        <v>7218.666667</v>
      </c>
      <c r="BG46" s="157">
        <f t="shared" si="22"/>
        <v>7218.666667</v>
      </c>
      <c r="BH46" s="157">
        <f t="shared" si="22"/>
        <v>7218.666667</v>
      </c>
      <c r="BI46" s="157">
        <f t="shared" si="22"/>
        <v>7218.666667</v>
      </c>
      <c r="BJ46" s="157">
        <f t="shared" si="22"/>
        <v>7218.666667</v>
      </c>
      <c r="BK46" s="157">
        <f t="shared" si="22"/>
        <v>7218.666667</v>
      </c>
      <c r="BL46" s="157">
        <f t="shared" si="22"/>
        <v>7218.666667</v>
      </c>
      <c r="BM46" s="157">
        <f t="shared" si="22"/>
        <v>7218.666667</v>
      </c>
      <c r="BN46" s="157">
        <f t="shared" si="22"/>
        <v>7218.666667</v>
      </c>
      <c r="BO46" s="157">
        <f t="shared" si="22"/>
        <v>7218.666667</v>
      </c>
      <c r="BP46" s="157">
        <f t="shared" si="22"/>
        <v>7218.666667</v>
      </c>
      <c r="BQ46" s="157">
        <f t="shared" si="22"/>
        <v>7218.666667</v>
      </c>
      <c r="BR46" s="157">
        <f t="shared" si="22"/>
        <v>7218.666667</v>
      </c>
      <c r="BS46" s="157">
        <f t="shared" si="22"/>
        <v>7218.666667</v>
      </c>
      <c r="BT46" s="157">
        <f t="shared" si="22"/>
        <v>7218.666667</v>
      </c>
      <c r="BU46" s="157">
        <f t="shared" si="22"/>
        <v>7218.666667</v>
      </c>
      <c r="BV46" s="157">
        <f t="shared" si="22"/>
        <v>7218.666667</v>
      </c>
      <c r="BW46" s="157">
        <f t="shared" si="22"/>
        <v>7218.666667</v>
      </c>
    </row>
    <row r="47" ht="15.75" customHeight="1">
      <c r="A47" s="1" t="s">
        <v>280</v>
      </c>
      <c r="B47" s="159"/>
      <c r="D47" s="76" t="str">
        <f t="array" ref="D47">INDEX(INDIRECT("PnL_"&amp;TEXT(D$1,"mmm")&amp;"_"&amp;TEXT(D$1,"yyyy")),MATCH(TRIM($A47),PnL_Accounts,0))</f>
        <v/>
      </c>
      <c r="E47" s="76" t="str">
        <f t="array" ref="E47">INDEX(INDIRECT("PnL_"&amp;TEXT(E$1,"mmm")&amp;"_"&amp;TEXT(E$1,"yyyy")),MATCH(TRIM($A47),PnL_Accounts,0))</f>
        <v/>
      </c>
      <c r="F47" s="76" t="str">
        <f t="array" ref="F47">INDEX(INDIRECT("PnL_"&amp;TEXT(F$1,"mmm")&amp;"_"&amp;TEXT(F$1,"yyyy")),MATCH(TRIM($A47),PnL_Accounts,0))</f>
        <v/>
      </c>
      <c r="G47" s="76" t="str">
        <f t="array" ref="G47">INDEX(INDIRECT("PnL_"&amp;TEXT(G$1,"mmm")&amp;"_"&amp;TEXT(G$1,"yyyy")),MATCH(TRIM($A47),PnL_Accounts,0))</f>
        <v/>
      </c>
      <c r="H47" s="76" t="str">
        <f t="array" ref="H47">INDEX(INDIRECT("PnL_"&amp;TEXT(H$1,"mmm")&amp;"_"&amp;TEXT(H$1,"yyyy")),MATCH(TRIM($A47),PnL_Accounts,0))</f>
        <v/>
      </c>
      <c r="I47" s="76" t="str">
        <f t="array" ref="I47">INDEX(INDIRECT("PnL_"&amp;TEXT(I$1,"mmm")&amp;"_"&amp;TEXT(I$1,"yyyy")),MATCH(TRIM($A47),PnL_Accounts,0))</f>
        <v/>
      </c>
      <c r="J47" s="76" t="str">
        <f t="array" ref="J47">INDEX(INDIRECT("PnL_"&amp;TEXT(J$1,"mmm")&amp;"_"&amp;TEXT(J$1,"yyyy")),MATCH(TRIM($A47),PnL_Accounts,0))</f>
        <v/>
      </c>
      <c r="K47" s="76" t="str">
        <f t="array" ref="K47">INDEX(INDIRECT("PnL_"&amp;TEXT(K$1,"mmm")&amp;"_"&amp;TEXT(K$1,"yyyy")),MATCH(TRIM($A47),PnL_Accounts,0))</f>
        <v/>
      </c>
      <c r="L47" s="76" t="str">
        <f t="array" ref="L47">INDEX(INDIRECT("PnL_"&amp;TEXT(L$1,"mmm")&amp;"_"&amp;TEXT(L$1,"yyyy")),MATCH(TRIM($A47),PnL_Accounts,0))</f>
        <v/>
      </c>
      <c r="M47" s="76" t="str">
        <f t="array" ref="M47">INDEX(INDIRECT("PnL_"&amp;TEXT(M$1,"mmm")&amp;"_"&amp;TEXT(M$1,"yyyy")),MATCH(TRIM($A47),PnL_Accounts,0))</f>
        <v/>
      </c>
      <c r="N47" s="76" t="str">
        <f t="array" ref="N47">INDEX(INDIRECT("PnL_"&amp;TEXT(N$1,"mmm")&amp;"_"&amp;TEXT(N$1,"yyyy")),MATCH(TRIM($A47),PnL_Accounts,0))</f>
        <v/>
      </c>
      <c r="O47" s="76" t="str">
        <f t="array" ref="O47">INDEX(INDIRECT("PnL_"&amp;TEXT(O$1,"mmm")&amp;"_"&amp;TEXT(O$1,"yyyy")),MATCH(TRIM($A47),PnL_Accounts,0))</f>
        <v/>
      </c>
      <c r="P47" s="76" t="str">
        <f t="array" ref="P47">INDEX(INDIRECT("PnL_"&amp;TEXT(P$1,"mmm")&amp;"_"&amp;TEXT(P$1,"yyyy")),MATCH(TRIM($A47),PnL_Accounts,0))</f>
        <v/>
      </c>
      <c r="Q47" s="76" t="str">
        <f t="array" ref="Q47">INDEX(INDIRECT("PnL_"&amp;TEXT(Q$1,"mmm")&amp;"_"&amp;TEXT(Q$1,"yyyy")),MATCH(TRIM($A47),PnL_Accounts,0))</f>
        <v/>
      </c>
      <c r="R47" s="76" t="str">
        <f t="array" ref="R47">INDEX(INDIRECT("PnL_"&amp;TEXT(R$1,"mmm")&amp;"_"&amp;TEXT(R$1,"yyyy")),MATCH(TRIM($A47),PnL_Accounts,0))</f>
        <v/>
      </c>
      <c r="S47" s="76" t="str">
        <f t="array" ref="S47">INDEX(INDIRECT("PnL_"&amp;TEXT(S$1,"mmm")&amp;"_"&amp;TEXT(S$1,"yyyy")),MATCH(TRIM($A47),PnL_Accounts,0))</f>
        <v/>
      </c>
      <c r="T47" s="76" t="str">
        <f t="array" ref="T47">INDEX(INDIRECT("PnL_"&amp;TEXT(T$1,"mmm")&amp;"_"&amp;TEXT(T$1,"yyyy")),MATCH(TRIM($A47),PnL_Accounts,0))</f>
        <v/>
      </c>
      <c r="U47" s="76" t="str">
        <f t="array" ref="U47">INDEX(INDIRECT("PnL_"&amp;TEXT(U$1,"mmm")&amp;"_"&amp;TEXT(U$1,"yyyy")),MATCH(TRIM($A47),PnL_Accounts,0))</f>
        <v/>
      </c>
      <c r="V47" s="76" t="str">
        <f t="array" ref="V47">INDEX(INDIRECT("PnL_"&amp;TEXT(V$1,"mmm")&amp;"_"&amp;TEXT(V$1,"yyyy")),MATCH(TRIM($A47),PnL_Accounts,0))</f>
        <v/>
      </c>
      <c r="W47" s="76" t="str">
        <f t="array" ref="W47">INDEX(INDIRECT("PnL_"&amp;TEXT(W$1,"mmm")&amp;"_"&amp;TEXT(W$1,"yyyy")),MATCH(TRIM($A47),PnL_Accounts,0))</f>
        <v/>
      </c>
      <c r="X47" s="76" t="str">
        <f t="array" ref="X47">INDEX(INDIRECT("PnL_"&amp;TEXT(X$1,"mmm")&amp;"_"&amp;TEXT(X$1,"yyyy")),MATCH(TRIM($A47),PnL_Accounts,0))</f>
        <v/>
      </c>
      <c r="Y47" s="76" t="str">
        <f t="array" ref="Y47">INDEX(INDIRECT("PnL_"&amp;TEXT(Y$1,"mmm")&amp;"_"&amp;TEXT(Y$1,"yyyy")),MATCH(TRIM($A47),PnL_Accounts,0))</f>
        <v/>
      </c>
      <c r="Z47" s="76" t="str">
        <f t="array" ref="Z47">INDEX(INDIRECT("PnL_"&amp;TEXT(Z$1,"mmm")&amp;"_"&amp;TEXT(Z$1,"yyyy")),MATCH(TRIM($A47),PnL_Accounts,0))</f>
        <v/>
      </c>
      <c r="AA47" s="76" t="str">
        <f t="array" ref="AA47">INDEX(INDIRECT("PnL_"&amp;TEXT(AA$1,"mmm")&amp;"_"&amp;TEXT(AA$1,"yyyy")),MATCH(TRIM($A47),PnL_Accounts,0))</f>
        <v/>
      </c>
      <c r="AB47" s="76" t="str">
        <f t="array" ref="AB47">INDEX(INDIRECT("PnL_"&amp;TEXT(AB$1,"mmm")&amp;"_"&amp;TEXT(AB$1,"yyyy")),MATCH(TRIM($A47),PnL_Accounts,0))</f>
        <v/>
      </c>
      <c r="AC47" s="76" t="str">
        <f t="array" ref="AC47">INDEX(INDIRECT("PnL_"&amp;TEXT(AC$1,"mmm")&amp;"_"&amp;TEXT(AC$1,"yyyy")),MATCH(TRIM($A47),PnL_Accounts,0))</f>
        <v/>
      </c>
      <c r="AD47" s="76" t="str">
        <f t="array" ref="AD47">INDEX(INDIRECT("PnL_"&amp;TEXT(AD$1,"mmm")&amp;"_"&amp;TEXT(AD$1,"yyyy")),MATCH(TRIM($A47),PnL_Accounts,0))</f>
        <v/>
      </c>
      <c r="AE47" s="76" t="str">
        <f t="array" ref="AE47">INDEX(INDIRECT("PnL_"&amp;TEXT(AE$1,"mmm")&amp;"_"&amp;TEXT(AE$1,"yyyy")),MATCH(TRIM($A47),PnL_Accounts,0))</f>
        <v/>
      </c>
    </row>
    <row r="48" ht="15.75" customHeight="1">
      <c r="A48" s="1" t="s">
        <v>281</v>
      </c>
      <c r="B48" s="160">
        <f>AVERAGEIFS(48:48,$1:$1,"&gt;="&amp;DATE(YEAR(Current_Month),MONTH(Current_Month)-2,DAY(Current_Month)),$1:$1,"&lt;="&amp;EOMONTH(Current_Month,0))</f>
        <v>1994</v>
      </c>
      <c r="D48" s="76">
        <f t="array" ref="D48">INDEX(INDIRECT("PnL_"&amp;TEXT(D$1,"mmm")&amp;"_"&amp;TEXT(D$1,"yyyy")),MATCH(TRIM($A48),PnL_Accounts,0))</f>
        <v>900</v>
      </c>
      <c r="E48" s="76">
        <f t="array" ref="E48">INDEX(INDIRECT("PnL_"&amp;TEXT(E$1,"mmm")&amp;"_"&amp;TEXT(E$1,"yyyy")),MATCH(TRIM($A48),PnL_Accounts,0))</f>
        <v>900</v>
      </c>
      <c r="F48" s="76">
        <f t="array" ref="F48">INDEX(INDIRECT("PnL_"&amp;TEXT(F$1,"mmm")&amp;"_"&amp;TEXT(F$1,"yyyy")),MATCH(TRIM($A48),PnL_Accounts,0))</f>
        <v>900</v>
      </c>
      <c r="G48" s="76">
        <f t="array" ref="G48">INDEX(INDIRECT("PnL_"&amp;TEXT(G$1,"mmm")&amp;"_"&amp;TEXT(G$1,"yyyy")),MATCH(TRIM($A48),PnL_Accounts,0))</f>
        <v>900</v>
      </c>
      <c r="H48" s="76">
        <f t="array" ref="H48">INDEX(INDIRECT("PnL_"&amp;TEXT(H$1,"mmm")&amp;"_"&amp;TEXT(H$1,"yyyy")),MATCH(TRIM($A48),PnL_Accounts,0))</f>
        <v>900</v>
      </c>
      <c r="I48" s="76">
        <f t="array" ref="I48">INDEX(INDIRECT("PnL_"&amp;TEXT(I$1,"mmm")&amp;"_"&amp;TEXT(I$1,"yyyy")),MATCH(TRIM($A48),PnL_Accounts,0))</f>
        <v>900</v>
      </c>
      <c r="J48" s="76">
        <f t="array" ref="J48">INDEX(INDIRECT("PnL_"&amp;TEXT(J$1,"mmm")&amp;"_"&amp;TEXT(J$1,"yyyy")),MATCH(TRIM($A48),PnL_Accounts,0))</f>
        <v>900</v>
      </c>
      <c r="K48" s="76">
        <f t="array" ref="K48">INDEX(INDIRECT("PnL_"&amp;TEXT(K$1,"mmm")&amp;"_"&amp;TEXT(K$1,"yyyy")),MATCH(TRIM($A48),PnL_Accounts,0))</f>
        <v>900</v>
      </c>
      <c r="L48" s="76">
        <f t="array" ref="L48">INDEX(INDIRECT("PnL_"&amp;TEXT(L$1,"mmm")&amp;"_"&amp;TEXT(L$1,"yyyy")),MATCH(TRIM($A48),PnL_Accounts,0))</f>
        <v>1097</v>
      </c>
      <c r="M48" s="76">
        <f t="array" ref="M48">INDEX(INDIRECT("PnL_"&amp;TEXT(M$1,"mmm")&amp;"_"&amp;TEXT(M$1,"yyyy")),MATCH(TRIM($A48),PnL_Accounts,0))</f>
        <v>1097</v>
      </c>
      <c r="N48" s="76">
        <f t="array" ref="N48">INDEX(INDIRECT("PnL_"&amp;TEXT(N$1,"mmm")&amp;"_"&amp;TEXT(N$1,"yyyy")),MATCH(TRIM($A48),PnL_Accounts,0))</f>
        <v>1097</v>
      </c>
      <c r="O48" s="76">
        <f t="array" ref="O48">INDEX(INDIRECT("PnL_"&amp;TEXT(O$1,"mmm")&amp;"_"&amp;TEXT(O$1,"yyyy")),MATCH(TRIM($A48),PnL_Accounts,0))</f>
        <v>1097</v>
      </c>
      <c r="P48" s="76">
        <f t="array" ref="P48">INDEX(INDIRECT("PnL_"&amp;TEXT(P$1,"mmm")&amp;"_"&amp;TEXT(P$1,"yyyy")),MATCH(TRIM($A48),PnL_Accounts,0))</f>
        <v>1097</v>
      </c>
      <c r="Q48" s="76">
        <f t="array" ref="Q48">INDEX(INDIRECT("PnL_"&amp;TEXT(Q$1,"mmm")&amp;"_"&amp;TEXT(Q$1,"yyyy")),MATCH(TRIM($A48),PnL_Accounts,0))</f>
        <v>1294</v>
      </c>
      <c r="R48" s="76">
        <f t="array" ref="R48">INDEX(INDIRECT("PnL_"&amp;TEXT(R$1,"mmm")&amp;"_"&amp;TEXT(R$1,"yyyy")),MATCH(TRIM($A48),PnL_Accounts,0))</f>
        <v>1294</v>
      </c>
      <c r="S48" s="76">
        <f t="array" ref="S48">INDEX(INDIRECT("PnL_"&amp;TEXT(S$1,"mmm")&amp;"_"&amp;TEXT(S$1,"yyyy")),MATCH(TRIM($A48),PnL_Accounts,0))</f>
        <v>1294</v>
      </c>
      <c r="T48" s="76">
        <f t="array" ref="T48">INDEX(INDIRECT("PnL_"&amp;TEXT(T$1,"mmm")&amp;"_"&amp;TEXT(T$1,"yyyy")),MATCH(TRIM($A48),PnL_Accounts,0))</f>
        <v>1794</v>
      </c>
      <c r="U48" s="76">
        <f t="array" ref="U48">INDEX(INDIRECT("PnL_"&amp;TEXT(U$1,"mmm")&amp;"_"&amp;TEXT(U$1,"yyyy")),MATCH(TRIM($A48),PnL_Accounts,0))</f>
        <v>1794</v>
      </c>
      <c r="V48" s="76">
        <f t="array" ref="V48">INDEX(INDIRECT("PnL_"&amp;TEXT(V$1,"mmm")&amp;"_"&amp;TEXT(V$1,"yyyy")),MATCH(TRIM($A48),PnL_Accounts,0))</f>
        <v>1794</v>
      </c>
      <c r="W48" s="76">
        <f t="array" ref="W48">INDEX(INDIRECT("PnL_"&amp;TEXT(W$1,"mmm")&amp;"_"&amp;TEXT(W$1,"yyyy")),MATCH(TRIM($A48),PnL_Accounts,0))</f>
        <v>1794</v>
      </c>
      <c r="X48" s="76">
        <f t="array" ref="X48">INDEX(INDIRECT("PnL_"&amp;TEXT(X$1,"mmm")&amp;"_"&amp;TEXT(X$1,"yyyy")),MATCH(TRIM($A48),PnL_Accounts,0))</f>
        <v>1794</v>
      </c>
      <c r="Y48" s="76">
        <f t="array" ref="Y48">INDEX(INDIRECT("PnL_"&amp;TEXT(Y$1,"mmm")&amp;"_"&amp;TEXT(Y$1,"yyyy")),MATCH(TRIM($A48),PnL_Accounts,0))</f>
        <v>1794</v>
      </c>
      <c r="Z48" s="76">
        <f t="array" ref="Z48">INDEX(INDIRECT("PnL_"&amp;TEXT(Z$1,"mmm")&amp;"_"&amp;TEXT(Z$1,"yyyy")),MATCH(TRIM($A48),PnL_Accounts,0))</f>
        <v>1978</v>
      </c>
      <c r="AA48" s="76">
        <f t="array" ref="AA48">INDEX(INDIRECT("PnL_"&amp;TEXT(AA$1,"mmm")&amp;"_"&amp;TEXT(AA$1,"yyyy")),MATCH(TRIM($A48),PnL_Accounts,0))</f>
        <v>1994</v>
      </c>
      <c r="AB48" s="76">
        <f t="array" ref="AB48">INDEX(INDIRECT("PnL_"&amp;TEXT(AB$1,"mmm")&amp;"_"&amp;TEXT(AB$1,"yyyy")),MATCH(TRIM($A48),PnL_Accounts,0))</f>
        <v>1994</v>
      </c>
      <c r="AC48" s="76">
        <f t="array" ref="AC48">INDEX(INDIRECT("PnL_"&amp;TEXT(AC$1,"mmm")&amp;"_"&amp;TEXT(AC$1,"yyyy")),MATCH(TRIM($A48),PnL_Accounts,0))</f>
        <v>1994</v>
      </c>
      <c r="AD48" s="76">
        <f t="array" ref="AD48">INDEX(INDIRECT("PnL_"&amp;TEXT(AD$1,"mmm")&amp;"_"&amp;TEXT(AD$1,"yyyy")),MATCH(TRIM($A48),PnL_Accounts,0))</f>
        <v>1994</v>
      </c>
      <c r="AE48" s="76">
        <f t="array" ref="AE48">INDEX(INDIRECT("PnL_"&amp;TEXT(AE$1,"mmm")&amp;"_"&amp;TEXT(AE$1,"yyyy")),MATCH(TRIM($A48),PnL_Accounts,0))</f>
        <v>1994</v>
      </c>
      <c r="AF48" s="39">
        <f t="array" ref="AF48">INDEX(Hiring_Plan_Benefits_General,MATCH(AF$1,Hiring_Plan_Months,0))</f>
        <v>1900</v>
      </c>
      <c r="AG48" s="39">
        <f t="array" ref="AG48">INDEX(Hiring_Plan_Benefits_General,MATCH(AG$1,Hiring_Plan_Months,0))</f>
        <v>1900</v>
      </c>
      <c r="AH48" s="39">
        <f t="array" ref="AH48">INDEX(Hiring_Plan_Benefits_General,MATCH(AH$1,Hiring_Plan_Months,0))</f>
        <v>1900</v>
      </c>
      <c r="AI48" s="39">
        <f t="array" ref="AI48">INDEX(Hiring_Plan_Benefits_General,MATCH(AI$1,Hiring_Plan_Months,0))</f>
        <v>1900</v>
      </c>
      <c r="AJ48" s="39">
        <f t="array" ref="AJ48">INDEX(Hiring_Plan_Benefits_General,MATCH(AJ$1,Hiring_Plan_Months,0))</f>
        <v>1900</v>
      </c>
      <c r="AK48" s="39">
        <f t="array" ref="AK48">INDEX(Hiring_Plan_Benefits_General,MATCH(AK$1,Hiring_Plan_Months,0))</f>
        <v>1900</v>
      </c>
      <c r="AL48" s="39">
        <f t="array" ref="AL48">INDEX(Hiring_Plan_Benefits_General,MATCH(AL$1,Hiring_Plan_Months,0))</f>
        <v>1900</v>
      </c>
      <c r="AM48" s="39">
        <f t="array" ref="AM48">INDEX(Hiring_Plan_Benefits_General,MATCH(AM$1,Hiring_Plan_Months,0))</f>
        <v>1900</v>
      </c>
      <c r="AN48" s="39">
        <f t="array" ref="AN48">INDEX(Hiring_Plan_Benefits_General,MATCH(AN$1,Hiring_Plan_Months,0))</f>
        <v>1900</v>
      </c>
      <c r="AO48" s="39">
        <f t="array" ref="AO48">INDEX(Hiring_Plan_Benefits_General,MATCH(AO$1,Hiring_Plan_Months,0))</f>
        <v>1900</v>
      </c>
      <c r="AP48" s="39">
        <f t="array" ref="AP48">INDEX(Hiring_Plan_Benefits_General,MATCH(AP$1,Hiring_Plan_Months,0))</f>
        <v>1900</v>
      </c>
      <c r="AQ48" s="39">
        <f t="array" ref="AQ48">INDEX(Hiring_Plan_Benefits_General,MATCH(AQ$1,Hiring_Plan_Months,0))</f>
        <v>1900</v>
      </c>
      <c r="AR48" s="39">
        <f t="array" ref="AR48">INDEX(Hiring_Plan_Benefits_General,MATCH(AR$1,Hiring_Plan_Months,0))</f>
        <v>1900</v>
      </c>
      <c r="AS48" s="39">
        <f t="array" ref="AS48">INDEX(Hiring_Plan_Benefits_General,MATCH(AS$1,Hiring_Plan_Months,0))</f>
        <v>1900</v>
      </c>
      <c r="AT48" s="39">
        <f t="array" ref="AT48">INDEX(Hiring_Plan_Benefits_General,MATCH(AT$1,Hiring_Plan_Months,0))</f>
        <v>1900</v>
      </c>
      <c r="AU48" s="39">
        <f t="array" ref="AU48">INDEX(Hiring_Plan_Benefits_General,MATCH(AU$1,Hiring_Plan_Months,0))</f>
        <v>1900</v>
      </c>
      <c r="AV48" s="39">
        <f t="array" ref="AV48">INDEX(Hiring_Plan_Benefits_General,MATCH(AV$1,Hiring_Plan_Months,0))</f>
        <v>1900</v>
      </c>
      <c r="AW48" s="39">
        <f t="array" ref="AW48">INDEX(Hiring_Plan_Benefits_General,MATCH(AW$1,Hiring_Plan_Months,0))</f>
        <v>1900</v>
      </c>
      <c r="AX48" s="39">
        <f t="array" ref="AX48">INDEX(Hiring_Plan_Benefits_General,MATCH(AX$1,Hiring_Plan_Months,0))</f>
        <v>1900</v>
      </c>
      <c r="AY48" s="39">
        <f t="array" ref="AY48">INDEX(Hiring_Plan_Benefits_General,MATCH(AY$1,Hiring_Plan_Months,0))</f>
        <v>1900</v>
      </c>
      <c r="AZ48" s="39">
        <f t="array" ref="AZ48">INDEX(Hiring_Plan_Benefits_General,MATCH(AZ$1,Hiring_Plan_Months,0))</f>
        <v>1900</v>
      </c>
      <c r="BA48" s="39">
        <f t="array" ref="BA48">INDEX(Hiring_Plan_Benefits_General,MATCH(BA$1,Hiring_Plan_Months,0))</f>
        <v>1900</v>
      </c>
      <c r="BB48" s="39">
        <f t="array" ref="BB48">INDEX(Hiring_Plan_Benefits_General,MATCH(BB$1,Hiring_Plan_Months,0))</f>
        <v>1900</v>
      </c>
      <c r="BC48" s="39">
        <f t="array" ref="BC48">INDEX(Hiring_Plan_Benefits_General,MATCH(BC$1,Hiring_Plan_Months,0))</f>
        <v>1900</v>
      </c>
      <c r="BD48" s="39">
        <f t="array" ref="BD48">INDEX(Hiring_Plan_Benefits_General,MATCH(BD$1,Hiring_Plan_Months,0))</f>
        <v>1900</v>
      </c>
      <c r="BE48" s="39">
        <f t="array" ref="BE48">INDEX(Hiring_Plan_Benefits_General,MATCH(BE$1,Hiring_Plan_Months,0))</f>
        <v>1900</v>
      </c>
      <c r="BF48" s="39">
        <f t="array" ref="BF48">INDEX(Hiring_Plan_Benefits_General,MATCH(BF$1,Hiring_Plan_Months,0))</f>
        <v>1900</v>
      </c>
      <c r="BG48" s="39">
        <f t="array" ref="BG48">INDEX(Hiring_Plan_Benefits_General,MATCH(BG$1,Hiring_Plan_Months,0))</f>
        <v>1900</v>
      </c>
      <c r="BH48" s="39">
        <f t="array" ref="BH48">INDEX(Hiring_Plan_Benefits_General,MATCH(BH$1,Hiring_Plan_Months,0))</f>
        <v>1900</v>
      </c>
      <c r="BI48" s="39">
        <f t="array" ref="BI48">INDEX(Hiring_Plan_Benefits_General,MATCH(BI$1,Hiring_Plan_Months,0))</f>
        <v>1900</v>
      </c>
      <c r="BJ48" s="39">
        <f t="array" ref="BJ48">INDEX(Hiring_Plan_Benefits_General,MATCH(BJ$1,Hiring_Plan_Months,0))</f>
        <v>1900</v>
      </c>
      <c r="BK48" s="39">
        <f t="array" ref="BK48">INDEX(Hiring_Plan_Benefits_General,MATCH(BK$1,Hiring_Plan_Months,0))</f>
        <v>1900</v>
      </c>
      <c r="BL48" s="39">
        <f t="array" ref="BL48">INDEX(Hiring_Plan_Benefits_General,MATCH(BL$1,Hiring_Plan_Months,0))</f>
        <v>1900</v>
      </c>
      <c r="BM48" s="39">
        <f t="array" ref="BM48">INDEX(Hiring_Plan_Benefits_General,MATCH(BM$1,Hiring_Plan_Months,0))</f>
        <v>1900</v>
      </c>
      <c r="BN48" s="39">
        <f t="array" ref="BN48">INDEX(Hiring_Plan_Benefits_General,MATCH(BN$1,Hiring_Plan_Months,0))</f>
        <v>1900</v>
      </c>
      <c r="BO48" s="39">
        <f t="array" ref="BO48">INDEX(Hiring_Plan_Benefits_General,MATCH(BO$1,Hiring_Plan_Months,0))</f>
        <v>1900</v>
      </c>
      <c r="BP48" s="39">
        <f t="array" ref="BP48">INDEX(Hiring_Plan_Benefits_General,MATCH(BP$1,Hiring_Plan_Months,0))</f>
        <v>1900</v>
      </c>
      <c r="BQ48" s="39">
        <f t="array" ref="BQ48">INDEX(Hiring_Plan_Benefits_General,MATCH(BQ$1,Hiring_Plan_Months,0))</f>
        <v>1900</v>
      </c>
      <c r="BR48" s="39">
        <f t="array" ref="BR48">INDEX(Hiring_Plan_Benefits_General,MATCH(BR$1,Hiring_Plan_Months,0))</f>
        <v>1900</v>
      </c>
      <c r="BS48" s="39">
        <f t="array" ref="BS48">INDEX(Hiring_Plan_Benefits_General,MATCH(BS$1,Hiring_Plan_Months,0))</f>
        <v>1900</v>
      </c>
      <c r="BT48" s="39">
        <f t="array" ref="BT48">INDEX(Hiring_Plan_Benefits_General,MATCH(BT$1,Hiring_Plan_Months,0))</f>
        <v>1900</v>
      </c>
      <c r="BU48" s="39">
        <f t="array" ref="BU48">INDEX(Hiring_Plan_Benefits_General,MATCH(BU$1,Hiring_Plan_Months,0))</f>
        <v>1900</v>
      </c>
      <c r="BV48" s="39">
        <f t="array" ref="BV48">INDEX(Hiring_Plan_Benefits_General,MATCH(BV$1,Hiring_Plan_Months,0))</f>
        <v>1900</v>
      </c>
      <c r="BW48" s="39">
        <f t="array" ref="BW48">INDEX(Hiring_Plan_Benefits_General,MATCH(BW$1,Hiring_Plan_Months,0))</f>
        <v>1900</v>
      </c>
    </row>
    <row r="49" ht="15.75" customHeight="1">
      <c r="A49" s="1" t="s">
        <v>282</v>
      </c>
      <c r="B49" s="160">
        <f>AVERAGEIFS(49:49,$1:$1,"&gt;="&amp;DATE(YEAR(Current_Month),MONTH(Current_Month)-2,DAY(Current_Month)),$1:$1,"&lt;="&amp;EOMONTH(Current_Month,0))</f>
        <v>2383</v>
      </c>
      <c r="D49" s="76">
        <f t="array" ref="D49">INDEX(INDIRECT("PnL_"&amp;TEXT(D$1,"mmm")&amp;"_"&amp;TEXT(D$1,"yyyy")),MATCH(TRIM($A49),PnL_Accounts,0))</f>
        <v>1500</v>
      </c>
      <c r="E49" s="76">
        <f t="array" ref="E49">INDEX(INDIRECT("PnL_"&amp;TEXT(E$1,"mmm")&amp;"_"&amp;TEXT(E$1,"yyyy")),MATCH(TRIM($A49),PnL_Accounts,0))</f>
        <v>1500</v>
      </c>
      <c r="F49" s="76">
        <f t="array" ref="F49">INDEX(INDIRECT("PnL_"&amp;TEXT(F$1,"mmm")&amp;"_"&amp;TEXT(F$1,"yyyy")),MATCH(TRIM($A49),PnL_Accounts,0))</f>
        <v>1500</v>
      </c>
      <c r="G49" s="76">
        <f t="array" ref="G49">INDEX(INDIRECT("PnL_"&amp;TEXT(G$1,"mmm")&amp;"_"&amp;TEXT(G$1,"yyyy")),MATCH(TRIM($A49),PnL_Accounts,0))</f>
        <v>1500</v>
      </c>
      <c r="H49" s="76">
        <f t="array" ref="H49">INDEX(INDIRECT("PnL_"&amp;TEXT(H$1,"mmm")&amp;"_"&amp;TEXT(H$1,"yyyy")),MATCH(TRIM($A49),PnL_Accounts,0))</f>
        <v>1500</v>
      </c>
      <c r="I49" s="76">
        <f t="array" ref="I49">INDEX(INDIRECT("PnL_"&amp;TEXT(I$1,"mmm")&amp;"_"&amp;TEXT(I$1,"yyyy")),MATCH(TRIM($A49),PnL_Accounts,0))</f>
        <v>1500</v>
      </c>
      <c r="J49" s="76">
        <f t="array" ref="J49">INDEX(INDIRECT("PnL_"&amp;TEXT(J$1,"mmm")&amp;"_"&amp;TEXT(J$1,"yyyy")),MATCH(TRIM($A49),PnL_Accounts,0))</f>
        <v>1500</v>
      </c>
      <c r="K49" s="76">
        <f t="array" ref="K49">INDEX(INDIRECT("PnL_"&amp;TEXT(K$1,"mmm")&amp;"_"&amp;TEXT(K$1,"yyyy")),MATCH(TRIM($A49),PnL_Accounts,0))</f>
        <v>1500</v>
      </c>
      <c r="L49" s="76">
        <f t="array" ref="L49">INDEX(INDIRECT("PnL_"&amp;TEXT(L$1,"mmm")&amp;"_"&amp;TEXT(L$1,"yyyy")),MATCH(TRIM($A49),PnL_Accounts,0))</f>
        <v>1908</v>
      </c>
      <c r="M49" s="76">
        <f t="array" ref="M49">INDEX(INDIRECT("PnL_"&amp;TEXT(M$1,"mmm")&amp;"_"&amp;TEXT(M$1,"yyyy")),MATCH(TRIM($A49),PnL_Accounts,0))</f>
        <v>1908</v>
      </c>
      <c r="N49" s="76">
        <f t="array" ref="N49">INDEX(INDIRECT("PnL_"&amp;TEXT(N$1,"mmm")&amp;"_"&amp;TEXT(N$1,"yyyy")),MATCH(TRIM($A49),PnL_Accounts,0))</f>
        <v>1908</v>
      </c>
      <c r="O49" s="76">
        <f t="array" ref="O49">INDEX(INDIRECT("PnL_"&amp;TEXT(O$1,"mmm")&amp;"_"&amp;TEXT(O$1,"yyyy")),MATCH(TRIM($A49),PnL_Accounts,0))</f>
        <v>1908</v>
      </c>
      <c r="P49" s="76">
        <f t="array" ref="P49">INDEX(INDIRECT("PnL_"&amp;TEXT(P$1,"mmm")&amp;"_"&amp;TEXT(P$1,"yyyy")),MATCH(TRIM($A49),PnL_Accounts,0))</f>
        <v>1908</v>
      </c>
      <c r="Q49" s="76">
        <f t="array" ref="Q49">INDEX(INDIRECT("PnL_"&amp;TEXT(Q$1,"mmm")&amp;"_"&amp;TEXT(Q$1,"yyyy")),MATCH(TRIM($A49),PnL_Accounts,0))</f>
        <v>2313</v>
      </c>
      <c r="R49" s="76">
        <f t="array" ref="R49">INDEX(INDIRECT("PnL_"&amp;TEXT(R$1,"mmm")&amp;"_"&amp;TEXT(R$1,"yyyy")),MATCH(TRIM($A49),PnL_Accounts,0))</f>
        <v>2313</v>
      </c>
      <c r="S49" s="76">
        <f t="array" ref="S49">INDEX(INDIRECT("PnL_"&amp;TEXT(S$1,"mmm")&amp;"_"&amp;TEXT(S$1,"yyyy")),MATCH(TRIM($A49),PnL_Accounts,0))</f>
        <v>2313</v>
      </c>
      <c r="T49" s="76">
        <f t="array" ref="T49">INDEX(INDIRECT("PnL_"&amp;TEXT(T$1,"mmm")&amp;"_"&amp;TEXT(T$1,"yyyy")),MATCH(TRIM($A49),PnL_Accounts,0))</f>
        <v>2383</v>
      </c>
      <c r="U49" s="76">
        <f t="array" ref="U49">INDEX(INDIRECT("PnL_"&amp;TEXT(U$1,"mmm")&amp;"_"&amp;TEXT(U$1,"yyyy")),MATCH(TRIM($A49),PnL_Accounts,0))</f>
        <v>2383</v>
      </c>
      <c r="V49" s="76">
        <f t="array" ref="V49">INDEX(INDIRECT("PnL_"&amp;TEXT(V$1,"mmm")&amp;"_"&amp;TEXT(V$1,"yyyy")),MATCH(TRIM($A49),PnL_Accounts,0))</f>
        <v>2383</v>
      </c>
      <c r="W49" s="76">
        <f t="array" ref="W49">INDEX(INDIRECT("PnL_"&amp;TEXT(W$1,"mmm")&amp;"_"&amp;TEXT(W$1,"yyyy")),MATCH(TRIM($A49),PnL_Accounts,0))</f>
        <v>2383</v>
      </c>
      <c r="X49" s="76">
        <f t="array" ref="X49">INDEX(INDIRECT("PnL_"&amp;TEXT(X$1,"mmm")&amp;"_"&amp;TEXT(X$1,"yyyy")),MATCH(TRIM($A49),PnL_Accounts,0))</f>
        <v>2383</v>
      </c>
      <c r="Y49" s="76">
        <f t="array" ref="Y49">INDEX(INDIRECT("PnL_"&amp;TEXT(Y$1,"mmm")&amp;"_"&amp;TEXT(Y$1,"yyyy")),MATCH(TRIM($A49),PnL_Accounts,0))</f>
        <v>2383</v>
      </c>
      <c r="Z49" s="76">
        <f t="array" ref="Z49">INDEX(INDIRECT("PnL_"&amp;TEXT(Z$1,"mmm")&amp;"_"&amp;TEXT(Z$1,"yyyy")),MATCH(TRIM($A49),PnL_Accounts,0))</f>
        <v>2383</v>
      </c>
      <c r="AA49" s="76">
        <f t="array" ref="AA49">INDEX(INDIRECT("PnL_"&amp;TEXT(AA$1,"mmm")&amp;"_"&amp;TEXT(AA$1,"yyyy")),MATCH(TRIM($A49),PnL_Accounts,0))</f>
        <v>2383</v>
      </c>
      <c r="AB49" s="76">
        <f t="array" ref="AB49">INDEX(INDIRECT("PnL_"&amp;TEXT(AB$1,"mmm")&amp;"_"&amp;TEXT(AB$1,"yyyy")),MATCH(TRIM($A49),PnL_Accounts,0))</f>
        <v>2383</v>
      </c>
      <c r="AC49" s="76">
        <f t="array" ref="AC49">INDEX(INDIRECT("PnL_"&amp;TEXT(AC$1,"mmm")&amp;"_"&amp;TEXT(AC$1,"yyyy")),MATCH(TRIM($A49),PnL_Accounts,0))</f>
        <v>2383</v>
      </c>
      <c r="AD49" s="76">
        <f t="array" ref="AD49">INDEX(INDIRECT("PnL_"&amp;TEXT(AD$1,"mmm")&amp;"_"&amp;TEXT(AD$1,"yyyy")),MATCH(TRIM($A49),PnL_Accounts,0))</f>
        <v>2383</v>
      </c>
      <c r="AE49" s="76">
        <f t="array" ref="AE49">INDEX(INDIRECT("PnL_"&amp;TEXT(AE$1,"mmm")&amp;"_"&amp;TEXT(AE$1,"yyyy")),MATCH(TRIM($A49),PnL_Accounts,0))</f>
        <v>2383</v>
      </c>
      <c r="AF49" s="39">
        <f t="array" ref="AF49">INDEX(Hiring_Plan_Payroll_Taxes_General,MATCH(AF$1,Hiring_Plan_Months,0))</f>
        <v>2025</v>
      </c>
      <c r="AG49" s="39">
        <f t="array" ref="AG49">INDEX(Hiring_Plan_Payroll_Taxes_General,MATCH(AG$1,Hiring_Plan_Months,0))</f>
        <v>2025</v>
      </c>
      <c r="AH49" s="39">
        <f t="array" ref="AH49">INDEX(Hiring_Plan_Payroll_Taxes_General,MATCH(AH$1,Hiring_Plan_Months,0))</f>
        <v>2025</v>
      </c>
      <c r="AI49" s="39">
        <f t="array" ref="AI49">INDEX(Hiring_Plan_Payroll_Taxes_General,MATCH(AI$1,Hiring_Plan_Months,0))</f>
        <v>2025</v>
      </c>
      <c r="AJ49" s="39">
        <f t="array" ref="AJ49">INDEX(Hiring_Plan_Payroll_Taxes_General,MATCH(AJ$1,Hiring_Plan_Months,0))</f>
        <v>2025</v>
      </c>
      <c r="AK49" s="39">
        <f t="array" ref="AK49">INDEX(Hiring_Plan_Payroll_Taxes_General,MATCH(AK$1,Hiring_Plan_Months,0))</f>
        <v>2025</v>
      </c>
      <c r="AL49" s="39">
        <f t="array" ref="AL49">INDEX(Hiring_Plan_Payroll_Taxes_General,MATCH(AL$1,Hiring_Plan_Months,0))</f>
        <v>2025</v>
      </c>
      <c r="AM49" s="39">
        <f t="array" ref="AM49">INDEX(Hiring_Plan_Payroll_Taxes_General,MATCH(AM$1,Hiring_Plan_Months,0))</f>
        <v>2025</v>
      </c>
      <c r="AN49" s="39">
        <f t="array" ref="AN49">INDEX(Hiring_Plan_Payroll_Taxes_General,MATCH(AN$1,Hiring_Plan_Months,0))</f>
        <v>2025</v>
      </c>
      <c r="AO49" s="39">
        <f t="array" ref="AO49">INDEX(Hiring_Plan_Payroll_Taxes_General,MATCH(AO$1,Hiring_Plan_Months,0))</f>
        <v>2025</v>
      </c>
      <c r="AP49" s="39">
        <f t="array" ref="AP49">INDEX(Hiring_Plan_Payroll_Taxes_General,MATCH(AP$1,Hiring_Plan_Months,0))</f>
        <v>2025</v>
      </c>
      <c r="AQ49" s="39">
        <f t="array" ref="AQ49">INDEX(Hiring_Plan_Payroll_Taxes_General,MATCH(AQ$1,Hiring_Plan_Months,0))</f>
        <v>2025</v>
      </c>
      <c r="AR49" s="39">
        <f t="array" ref="AR49">INDEX(Hiring_Plan_Payroll_Taxes_General,MATCH(AR$1,Hiring_Plan_Months,0))</f>
        <v>2025</v>
      </c>
      <c r="AS49" s="39">
        <f t="array" ref="AS49">INDEX(Hiring_Plan_Payroll_Taxes_General,MATCH(AS$1,Hiring_Plan_Months,0))</f>
        <v>2025</v>
      </c>
      <c r="AT49" s="39">
        <f t="array" ref="AT49">INDEX(Hiring_Plan_Payroll_Taxes_General,MATCH(AT$1,Hiring_Plan_Months,0))</f>
        <v>2025</v>
      </c>
      <c r="AU49" s="39">
        <f t="array" ref="AU49">INDEX(Hiring_Plan_Payroll_Taxes_General,MATCH(AU$1,Hiring_Plan_Months,0))</f>
        <v>2025</v>
      </c>
      <c r="AV49" s="39">
        <f t="array" ref="AV49">INDEX(Hiring_Plan_Payroll_Taxes_General,MATCH(AV$1,Hiring_Plan_Months,0))</f>
        <v>2025</v>
      </c>
      <c r="AW49" s="39">
        <f t="array" ref="AW49">INDEX(Hiring_Plan_Payroll_Taxes_General,MATCH(AW$1,Hiring_Plan_Months,0))</f>
        <v>2025</v>
      </c>
      <c r="AX49" s="39">
        <f t="array" ref="AX49">INDEX(Hiring_Plan_Payroll_Taxes_General,MATCH(AX$1,Hiring_Plan_Months,0))</f>
        <v>2025</v>
      </c>
      <c r="AY49" s="39">
        <f t="array" ref="AY49">INDEX(Hiring_Plan_Payroll_Taxes_General,MATCH(AY$1,Hiring_Plan_Months,0))</f>
        <v>2025</v>
      </c>
      <c r="AZ49" s="39">
        <f t="array" ref="AZ49">INDEX(Hiring_Plan_Payroll_Taxes_General,MATCH(AZ$1,Hiring_Plan_Months,0))</f>
        <v>2025</v>
      </c>
      <c r="BA49" s="39">
        <f t="array" ref="BA49">INDEX(Hiring_Plan_Payroll_Taxes_General,MATCH(BA$1,Hiring_Plan_Months,0))</f>
        <v>2025</v>
      </c>
      <c r="BB49" s="39">
        <f t="array" ref="BB49">INDEX(Hiring_Plan_Payroll_Taxes_General,MATCH(BB$1,Hiring_Plan_Months,0))</f>
        <v>2025</v>
      </c>
      <c r="BC49" s="39">
        <f t="array" ref="BC49">INDEX(Hiring_Plan_Payroll_Taxes_General,MATCH(BC$1,Hiring_Plan_Months,0))</f>
        <v>2025</v>
      </c>
      <c r="BD49" s="39">
        <f t="array" ref="BD49">INDEX(Hiring_Plan_Payroll_Taxes_General,MATCH(BD$1,Hiring_Plan_Months,0))</f>
        <v>2025</v>
      </c>
      <c r="BE49" s="39">
        <f t="array" ref="BE49">INDEX(Hiring_Plan_Payroll_Taxes_General,MATCH(BE$1,Hiring_Plan_Months,0))</f>
        <v>2025</v>
      </c>
      <c r="BF49" s="39">
        <f t="array" ref="BF49">INDEX(Hiring_Plan_Payroll_Taxes_General,MATCH(BF$1,Hiring_Plan_Months,0))</f>
        <v>2025</v>
      </c>
      <c r="BG49" s="39">
        <f t="array" ref="BG49">INDEX(Hiring_Plan_Payroll_Taxes_General,MATCH(BG$1,Hiring_Plan_Months,0))</f>
        <v>2025</v>
      </c>
      <c r="BH49" s="39">
        <f t="array" ref="BH49">INDEX(Hiring_Plan_Payroll_Taxes_General,MATCH(BH$1,Hiring_Plan_Months,0))</f>
        <v>2025</v>
      </c>
      <c r="BI49" s="39">
        <f t="array" ref="BI49">INDEX(Hiring_Plan_Payroll_Taxes_General,MATCH(BI$1,Hiring_Plan_Months,0))</f>
        <v>2025</v>
      </c>
      <c r="BJ49" s="39">
        <f t="array" ref="BJ49">INDEX(Hiring_Plan_Payroll_Taxes_General,MATCH(BJ$1,Hiring_Plan_Months,0))</f>
        <v>2025</v>
      </c>
      <c r="BK49" s="39">
        <f t="array" ref="BK49">INDEX(Hiring_Plan_Payroll_Taxes_General,MATCH(BK$1,Hiring_Plan_Months,0))</f>
        <v>2025</v>
      </c>
      <c r="BL49" s="39">
        <f t="array" ref="BL49">INDEX(Hiring_Plan_Payroll_Taxes_General,MATCH(BL$1,Hiring_Plan_Months,0))</f>
        <v>2025</v>
      </c>
      <c r="BM49" s="39">
        <f t="array" ref="BM49">INDEX(Hiring_Plan_Payroll_Taxes_General,MATCH(BM$1,Hiring_Plan_Months,0))</f>
        <v>2025</v>
      </c>
      <c r="BN49" s="39">
        <f t="array" ref="BN49">INDEX(Hiring_Plan_Payroll_Taxes_General,MATCH(BN$1,Hiring_Plan_Months,0))</f>
        <v>2025</v>
      </c>
      <c r="BO49" s="39">
        <f t="array" ref="BO49">INDEX(Hiring_Plan_Payroll_Taxes_General,MATCH(BO$1,Hiring_Plan_Months,0))</f>
        <v>2025</v>
      </c>
      <c r="BP49" s="39">
        <f t="array" ref="BP49">INDEX(Hiring_Plan_Payroll_Taxes_General,MATCH(BP$1,Hiring_Plan_Months,0))</f>
        <v>2025</v>
      </c>
      <c r="BQ49" s="39">
        <f t="array" ref="BQ49">INDEX(Hiring_Plan_Payroll_Taxes_General,MATCH(BQ$1,Hiring_Plan_Months,0))</f>
        <v>2025</v>
      </c>
      <c r="BR49" s="39">
        <f t="array" ref="BR49">INDEX(Hiring_Plan_Payroll_Taxes_General,MATCH(BR$1,Hiring_Plan_Months,0))</f>
        <v>2025</v>
      </c>
      <c r="BS49" s="39">
        <f t="array" ref="BS49">INDEX(Hiring_Plan_Payroll_Taxes_General,MATCH(BS$1,Hiring_Plan_Months,0))</f>
        <v>2025</v>
      </c>
      <c r="BT49" s="39">
        <f t="array" ref="BT49">INDEX(Hiring_Plan_Payroll_Taxes_General,MATCH(BT$1,Hiring_Plan_Months,0))</f>
        <v>2025</v>
      </c>
      <c r="BU49" s="39">
        <f t="array" ref="BU49">INDEX(Hiring_Plan_Payroll_Taxes_General,MATCH(BU$1,Hiring_Plan_Months,0))</f>
        <v>2025</v>
      </c>
      <c r="BV49" s="39">
        <f t="array" ref="BV49">INDEX(Hiring_Plan_Payroll_Taxes_General,MATCH(BV$1,Hiring_Plan_Months,0))</f>
        <v>2025</v>
      </c>
      <c r="BW49" s="39">
        <f t="array" ref="BW49">INDEX(Hiring_Plan_Payroll_Taxes_General,MATCH(BW$1,Hiring_Plan_Months,0))</f>
        <v>2025</v>
      </c>
    </row>
    <row r="50" ht="15.75" customHeight="1">
      <c r="A50" s="1" t="s">
        <v>283</v>
      </c>
      <c r="B50" s="160">
        <f>AVERAGEIFS(50:50,$1:$1,"&gt;="&amp;DATE(YEAR(Current_Month),MONTH(Current_Month)-2,DAY(Current_Month)),$1:$1,"&lt;="&amp;EOMONTH(Current_Month,0))</f>
        <v>28700</v>
      </c>
      <c r="D50" s="76">
        <f t="array" ref="D50">INDEX(INDIRECT("PnL_"&amp;TEXT(D$1,"mmm")&amp;"_"&amp;TEXT(D$1,"yyyy")),MATCH(TRIM($A50),PnL_Accounts,0))</f>
        <v>16666</v>
      </c>
      <c r="E50" s="76">
        <f t="array" ref="E50">INDEX(INDIRECT("PnL_"&amp;TEXT(E$1,"mmm")&amp;"_"&amp;TEXT(E$1,"yyyy")),MATCH(TRIM($A50),PnL_Accounts,0))</f>
        <v>16666</v>
      </c>
      <c r="F50" s="76">
        <f t="array" ref="F50">INDEX(INDIRECT("PnL_"&amp;TEXT(F$1,"mmm")&amp;"_"&amp;TEXT(F$1,"yyyy")),MATCH(TRIM($A50),PnL_Accounts,0))</f>
        <v>16666</v>
      </c>
      <c r="G50" s="76">
        <f t="array" ref="G50">INDEX(INDIRECT("PnL_"&amp;TEXT(G$1,"mmm")&amp;"_"&amp;TEXT(G$1,"yyyy")),MATCH(TRIM($A50),PnL_Accounts,0))</f>
        <v>16666</v>
      </c>
      <c r="H50" s="76">
        <f t="array" ref="H50">INDEX(INDIRECT("PnL_"&amp;TEXT(H$1,"mmm")&amp;"_"&amp;TEXT(H$1,"yyyy")),MATCH(TRIM($A50),PnL_Accounts,0))</f>
        <v>16666</v>
      </c>
      <c r="I50" s="76">
        <f t="array" ref="I50">INDEX(INDIRECT("PnL_"&amp;TEXT(I$1,"mmm")&amp;"_"&amp;TEXT(I$1,"yyyy")),MATCH(TRIM($A50),PnL_Accounts,0))</f>
        <v>16666</v>
      </c>
      <c r="J50" s="76">
        <f t="array" ref="J50">INDEX(INDIRECT("PnL_"&amp;TEXT(J$1,"mmm")&amp;"_"&amp;TEXT(J$1,"yyyy")),MATCH(TRIM($A50),PnL_Accounts,0))</f>
        <v>16666</v>
      </c>
      <c r="K50" s="76">
        <f t="array" ref="K50">INDEX(INDIRECT("PnL_"&amp;TEXT(K$1,"mmm")&amp;"_"&amp;TEXT(K$1,"yyyy")),MATCH(TRIM($A50),PnL_Accounts,0))</f>
        <v>16666</v>
      </c>
      <c r="L50" s="76">
        <f t="array" ref="L50">INDEX(INDIRECT("PnL_"&amp;TEXT(L$1,"mmm")&amp;"_"&amp;TEXT(L$1,"yyyy")),MATCH(TRIM($A50),PnL_Accounts,0))</f>
        <v>21200</v>
      </c>
      <c r="M50" s="76">
        <f t="array" ref="M50">INDEX(INDIRECT("PnL_"&amp;TEXT(M$1,"mmm")&amp;"_"&amp;TEXT(M$1,"yyyy")),MATCH(TRIM($A50),PnL_Accounts,0))</f>
        <v>21200</v>
      </c>
      <c r="N50" s="76">
        <f t="array" ref="N50">INDEX(INDIRECT("PnL_"&amp;TEXT(N$1,"mmm")&amp;"_"&amp;TEXT(N$1,"yyyy")),MATCH(TRIM($A50),PnL_Accounts,0))</f>
        <v>21200</v>
      </c>
      <c r="O50" s="76">
        <f t="array" ref="O50">INDEX(INDIRECT("PnL_"&amp;TEXT(O$1,"mmm")&amp;"_"&amp;TEXT(O$1,"yyyy")),MATCH(TRIM($A50),PnL_Accounts,0))</f>
        <v>21200</v>
      </c>
      <c r="P50" s="76">
        <f t="array" ref="P50">INDEX(INDIRECT("PnL_"&amp;TEXT(P$1,"mmm")&amp;"_"&amp;TEXT(P$1,"yyyy")),MATCH(TRIM($A50),PnL_Accounts,0))</f>
        <v>21200</v>
      </c>
      <c r="Q50" s="76">
        <f t="array" ref="Q50">INDEX(INDIRECT("PnL_"&amp;TEXT(Q$1,"mmm")&amp;"_"&amp;TEXT(Q$1,"yyyy")),MATCH(TRIM($A50),PnL_Accounts,0))</f>
        <v>25700</v>
      </c>
      <c r="R50" s="76">
        <f t="array" ref="R50">INDEX(INDIRECT("PnL_"&amp;TEXT(R$1,"mmm")&amp;"_"&amp;TEXT(R$1,"yyyy")),MATCH(TRIM($A50),PnL_Accounts,0))</f>
        <v>25700</v>
      </c>
      <c r="S50" s="76">
        <f t="array" ref="S50">INDEX(INDIRECT("PnL_"&amp;TEXT(S$1,"mmm")&amp;"_"&amp;TEXT(S$1,"yyyy")),MATCH(TRIM($A50),PnL_Accounts,0))</f>
        <v>25700</v>
      </c>
      <c r="T50" s="76">
        <f t="array" ref="T50">INDEX(INDIRECT("PnL_"&amp;TEXT(T$1,"mmm")&amp;"_"&amp;TEXT(T$1,"yyyy")),MATCH(TRIM($A50),PnL_Accounts,0))</f>
        <v>28700</v>
      </c>
      <c r="U50" s="76">
        <f t="array" ref="U50">INDEX(INDIRECT("PnL_"&amp;TEXT(U$1,"mmm")&amp;"_"&amp;TEXT(U$1,"yyyy")),MATCH(TRIM($A50),PnL_Accounts,0))</f>
        <v>28700</v>
      </c>
      <c r="V50" s="76">
        <f t="array" ref="V50">INDEX(INDIRECT("PnL_"&amp;TEXT(V$1,"mmm")&amp;"_"&amp;TEXT(V$1,"yyyy")),MATCH(TRIM($A50),PnL_Accounts,0))</f>
        <v>28700</v>
      </c>
      <c r="W50" s="76">
        <f t="array" ref="W50">INDEX(INDIRECT("PnL_"&amp;TEXT(W$1,"mmm")&amp;"_"&amp;TEXT(W$1,"yyyy")),MATCH(TRIM($A50),PnL_Accounts,0))</f>
        <v>28700</v>
      </c>
      <c r="X50" s="76">
        <f t="array" ref="X50">INDEX(INDIRECT("PnL_"&amp;TEXT(X$1,"mmm")&amp;"_"&amp;TEXT(X$1,"yyyy")),MATCH(TRIM($A50),PnL_Accounts,0))</f>
        <v>28700</v>
      </c>
      <c r="Y50" s="76">
        <f t="array" ref="Y50">INDEX(INDIRECT("PnL_"&amp;TEXT(Y$1,"mmm")&amp;"_"&amp;TEXT(Y$1,"yyyy")),MATCH(TRIM($A50),PnL_Accounts,0))</f>
        <v>28700</v>
      </c>
      <c r="Z50" s="76">
        <f t="array" ref="Z50">INDEX(INDIRECT("PnL_"&amp;TEXT(Z$1,"mmm")&amp;"_"&amp;TEXT(Z$1,"yyyy")),MATCH(TRIM($A50),PnL_Accounts,0))</f>
        <v>28700</v>
      </c>
      <c r="AA50" s="76">
        <f t="array" ref="AA50">INDEX(INDIRECT("PnL_"&amp;TEXT(AA$1,"mmm")&amp;"_"&amp;TEXT(AA$1,"yyyy")),MATCH(TRIM($A50),PnL_Accounts,0))</f>
        <v>28700</v>
      </c>
      <c r="AB50" s="76">
        <f t="array" ref="AB50">INDEX(INDIRECT("PnL_"&amp;TEXT(AB$1,"mmm")&amp;"_"&amp;TEXT(AB$1,"yyyy")),MATCH(TRIM($A50),PnL_Accounts,0))</f>
        <v>28700</v>
      </c>
      <c r="AC50" s="76">
        <f t="array" ref="AC50">INDEX(INDIRECT("PnL_"&amp;TEXT(AC$1,"mmm")&amp;"_"&amp;TEXT(AC$1,"yyyy")),MATCH(TRIM($A50),PnL_Accounts,0))</f>
        <v>28700</v>
      </c>
      <c r="AD50" s="76">
        <f t="array" ref="AD50">INDEX(INDIRECT("PnL_"&amp;TEXT(AD$1,"mmm")&amp;"_"&amp;TEXT(AD$1,"yyyy")),MATCH(TRIM($A50),PnL_Accounts,0))</f>
        <v>28700</v>
      </c>
      <c r="AE50" s="76">
        <f t="array" ref="AE50">INDEX(INDIRECT("PnL_"&amp;TEXT(AE$1,"mmm")&amp;"_"&amp;TEXT(AE$1,"yyyy")),MATCH(TRIM($A50),PnL_Accounts,0))</f>
        <v>28700</v>
      </c>
      <c r="AF50" s="39">
        <f t="array" ref="AF50">INDEX(Hiring_Plan_Salaries_General,MATCH(AF$1,Hiring_Plan_Months,0))</f>
        <v>22500</v>
      </c>
      <c r="AG50" s="39">
        <f t="array" ref="AG50">INDEX(Hiring_Plan_Salaries_General,MATCH(AG$1,Hiring_Plan_Months,0))</f>
        <v>22500</v>
      </c>
      <c r="AH50" s="39">
        <f t="array" ref="AH50">INDEX(Hiring_Plan_Salaries_General,MATCH(AH$1,Hiring_Plan_Months,0))</f>
        <v>22500</v>
      </c>
      <c r="AI50" s="39">
        <f t="array" ref="AI50">INDEX(Hiring_Plan_Salaries_General,MATCH(AI$1,Hiring_Plan_Months,0))</f>
        <v>22500</v>
      </c>
      <c r="AJ50" s="39">
        <f t="array" ref="AJ50">INDEX(Hiring_Plan_Salaries_General,MATCH(AJ$1,Hiring_Plan_Months,0))</f>
        <v>22500</v>
      </c>
      <c r="AK50" s="39">
        <f t="array" ref="AK50">INDEX(Hiring_Plan_Salaries_General,MATCH(AK$1,Hiring_Plan_Months,0))</f>
        <v>22500</v>
      </c>
      <c r="AL50" s="39">
        <f t="array" ref="AL50">INDEX(Hiring_Plan_Salaries_General,MATCH(AL$1,Hiring_Plan_Months,0))</f>
        <v>22500</v>
      </c>
      <c r="AM50" s="39">
        <f t="array" ref="AM50">INDEX(Hiring_Plan_Salaries_General,MATCH(AM$1,Hiring_Plan_Months,0))</f>
        <v>22500</v>
      </c>
      <c r="AN50" s="39">
        <f t="array" ref="AN50">INDEX(Hiring_Plan_Salaries_General,MATCH(AN$1,Hiring_Plan_Months,0))</f>
        <v>22500</v>
      </c>
      <c r="AO50" s="39">
        <f t="array" ref="AO50">INDEX(Hiring_Plan_Salaries_General,MATCH(AO$1,Hiring_Plan_Months,0))</f>
        <v>22500</v>
      </c>
      <c r="AP50" s="39">
        <f t="array" ref="AP50">INDEX(Hiring_Plan_Salaries_General,MATCH(AP$1,Hiring_Plan_Months,0))</f>
        <v>22500</v>
      </c>
      <c r="AQ50" s="39">
        <f t="array" ref="AQ50">INDEX(Hiring_Plan_Salaries_General,MATCH(AQ$1,Hiring_Plan_Months,0))</f>
        <v>22500</v>
      </c>
      <c r="AR50" s="39">
        <f t="array" ref="AR50">INDEX(Hiring_Plan_Salaries_General,MATCH(AR$1,Hiring_Plan_Months,0))</f>
        <v>22500</v>
      </c>
      <c r="AS50" s="39">
        <f t="array" ref="AS50">INDEX(Hiring_Plan_Salaries_General,MATCH(AS$1,Hiring_Plan_Months,0))</f>
        <v>22500</v>
      </c>
      <c r="AT50" s="39">
        <f t="array" ref="AT50">INDEX(Hiring_Plan_Salaries_General,MATCH(AT$1,Hiring_Plan_Months,0))</f>
        <v>22500</v>
      </c>
      <c r="AU50" s="39">
        <f t="array" ref="AU50">INDEX(Hiring_Plan_Salaries_General,MATCH(AU$1,Hiring_Plan_Months,0))</f>
        <v>22500</v>
      </c>
      <c r="AV50" s="39">
        <f t="array" ref="AV50">INDEX(Hiring_Plan_Salaries_General,MATCH(AV$1,Hiring_Plan_Months,0))</f>
        <v>22500</v>
      </c>
      <c r="AW50" s="39">
        <f t="array" ref="AW50">INDEX(Hiring_Plan_Salaries_General,MATCH(AW$1,Hiring_Plan_Months,0))</f>
        <v>22500</v>
      </c>
      <c r="AX50" s="39">
        <f t="array" ref="AX50">INDEX(Hiring_Plan_Salaries_General,MATCH(AX$1,Hiring_Plan_Months,0))</f>
        <v>22500</v>
      </c>
      <c r="AY50" s="39">
        <f t="array" ref="AY50">INDEX(Hiring_Plan_Salaries_General,MATCH(AY$1,Hiring_Plan_Months,0))</f>
        <v>22500</v>
      </c>
      <c r="AZ50" s="39">
        <f t="array" ref="AZ50">INDEX(Hiring_Plan_Salaries_General,MATCH(AZ$1,Hiring_Plan_Months,0))</f>
        <v>22500</v>
      </c>
      <c r="BA50" s="39">
        <f t="array" ref="BA50">INDEX(Hiring_Plan_Salaries_General,MATCH(BA$1,Hiring_Plan_Months,0))</f>
        <v>22500</v>
      </c>
      <c r="BB50" s="39">
        <f t="array" ref="BB50">INDEX(Hiring_Plan_Salaries_General,MATCH(BB$1,Hiring_Plan_Months,0))</f>
        <v>22500</v>
      </c>
      <c r="BC50" s="39">
        <f t="array" ref="BC50">INDEX(Hiring_Plan_Salaries_General,MATCH(BC$1,Hiring_Plan_Months,0))</f>
        <v>22500</v>
      </c>
      <c r="BD50" s="39">
        <f t="array" ref="BD50">INDEX(Hiring_Plan_Salaries_General,MATCH(BD$1,Hiring_Plan_Months,0))</f>
        <v>22500</v>
      </c>
      <c r="BE50" s="39">
        <f t="array" ref="BE50">INDEX(Hiring_Plan_Salaries_General,MATCH(BE$1,Hiring_Plan_Months,0))</f>
        <v>22500</v>
      </c>
      <c r="BF50" s="39">
        <f t="array" ref="BF50">INDEX(Hiring_Plan_Salaries_General,MATCH(BF$1,Hiring_Plan_Months,0))</f>
        <v>22500</v>
      </c>
      <c r="BG50" s="39">
        <f t="array" ref="BG50">INDEX(Hiring_Plan_Salaries_General,MATCH(BG$1,Hiring_Plan_Months,0))</f>
        <v>22500</v>
      </c>
      <c r="BH50" s="39">
        <f t="array" ref="BH50">INDEX(Hiring_Plan_Salaries_General,MATCH(BH$1,Hiring_Plan_Months,0))</f>
        <v>22500</v>
      </c>
      <c r="BI50" s="39">
        <f t="array" ref="BI50">INDEX(Hiring_Plan_Salaries_General,MATCH(BI$1,Hiring_Plan_Months,0))</f>
        <v>22500</v>
      </c>
      <c r="BJ50" s="39">
        <f t="array" ref="BJ50">INDEX(Hiring_Plan_Salaries_General,MATCH(BJ$1,Hiring_Plan_Months,0))</f>
        <v>22500</v>
      </c>
      <c r="BK50" s="39">
        <f t="array" ref="BK50">INDEX(Hiring_Plan_Salaries_General,MATCH(BK$1,Hiring_Plan_Months,0))</f>
        <v>22500</v>
      </c>
      <c r="BL50" s="39">
        <f t="array" ref="BL50">INDEX(Hiring_Plan_Salaries_General,MATCH(BL$1,Hiring_Plan_Months,0))</f>
        <v>22500</v>
      </c>
      <c r="BM50" s="39">
        <f t="array" ref="BM50">INDEX(Hiring_Plan_Salaries_General,MATCH(BM$1,Hiring_Plan_Months,0))</f>
        <v>22500</v>
      </c>
      <c r="BN50" s="39">
        <f t="array" ref="BN50">INDEX(Hiring_Plan_Salaries_General,MATCH(BN$1,Hiring_Plan_Months,0))</f>
        <v>22500</v>
      </c>
      <c r="BO50" s="39">
        <f t="array" ref="BO50">INDEX(Hiring_Plan_Salaries_General,MATCH(BO$1,Hiring_Plan_Months,0))</f>
        <v>22500</v>
      </c>
      <c r="BP50" s="39">
        <f t="array" ref="BP50">INDEX(Hiring_Plan_Salaries_General,MATCH(BP$1,Hiring_Plan_Months,0))</f>
        <v>22500</v>
      </c>
      <c r="BQ50" s="39">
        <f t="array" ref="BQ50">INDEX(Hiring_Plan_Salaries_General,MATCH(BQ$1,Hiring_Plan_Months,0))</f>
        <v>22500</v>
      </c>
      <c r="BR50" s="39">
        <f t="array" ref="BR50">INDEX(Hiring_Plan_Salaries_General,MATCH(BR$1,Hiring_Plan_Months,0))</f>
        <v>22500</v>
      </c>
      <c r="BS50" s="39">
        <f t="array" ref="BS50">INDEX(Hiring_Plan_Salaries_General,MATCH(BS$1,Hiring_Plan_Months,0))</f>
        <v>22500</v>
      </c>
      <c r="BT50" s="39">
        <f t="array" ref="BT50">INDEX(Hiring_Plan_Salaries_General,MATCH(BT$1,Hiring_Plan_Months,0))</f>
        <v>22500</v>
      </c>
      <c r="BU50" s="39">
        <f t="array" ref="BU50">INDEX(Hiring_Plan_Salaries_General,MATCH(BU$1,Hiring_Plan_Months,0))</f>
        <v>22500</v>
      </c>
      <c r="BV50" s="39">
        <f t="array" ref="BV50">INDEX(Hiring_Plan_Salaries_General,MATCH(BV$1,Hiring_Plan_Months,0))</f>
        <v>22500</v>
      </c>
      <c r="BW50" s="39">
        <f t="array" ref="BW50">INDEX(Hiring_Plan_Salaries_General,MATCH(BW$1,Hiring_Plan_Months,0))</f>
        <v>22500</v>
      </c>
    </row>
    <row r="51" ht="15.75" customHeight="1">
      <c r="A51" s="21" t="s">
        <v>284</v>
      </c>
      <c r="B51" s="163"/>
      <c r="C51" s="21"/>
      <c r="D51" s="157">
        <f t="shared" ref="D51:BW51" si="23">SUM(D47:D50)</f>
        <v>19066</v>
      </c>
      <c r="E51" s="157">
        <f t="shared" si="23"/>
        <v>19066</v>
      </c>
      <c r="F51" s="157">
        <f t="shared" si="23"/>
        <v>19066</v>
      </c>
      <c r="G51" s="157">
        <f t="shared" si="23"/>
        <v>19066</v>
      </c>
      <c r="H51" s="157">
        <f t="shared" si="23"/>
        <v>19066</v>
      </c>
      <c r="I51" s="157">
        <f t="shared" si="23"/>
        <v>19066</v>
      </c>
      <c r="J51" s="157">
        <f t="shared" si="23"/>
        <v>19066</v>
      </c>
      <c r="K51" s="157">
        <f t="shared" si="23"/>
        <v>19066</v>
      </c>
      <c r="L51" s="157">
        <f t="shared" si="23"/>
        <v>24205</v>
      </c>
      <c r="M51" s="157">
        <f t="shared" si="23"/>
        <v>24205</v>
      </c>
      <c r="N51" s="157">
        <f t="shared" si="23"/>
        <v>24205</v>
      </c>
      <c r="O51" s="157">
        <f t="shared" si="23"/>
        <v>24205</v>
      </c>
      <c r="P51" s="157">
        <f t="shared" si="23"/>
        <v>24205</v>
      </c>
      <c r="Q51" s="157">
        <f t="shared" si="23"/>
        <v>29307</v>
      </c>
      <c r="R51" s="157">
        <f t="shared" si="23"/>
        <v>29307</v>
      </c>
      <c r="S51" s="157">
        <f t="shared" si="23"/>
        <v>29307</v>
      </c>
      <c r="T51" s="157">
        <f t="shared" si="23"/>
        <v>32877</v>
      </c>
      <c r="U51" s="157">
        <f t="shared" si="23"/>
        <v>32877</v>
      </c>
      <c r="V51" s="157">
        <f t="shared" si="23"/>
        <v>32877</v>
      </c>
      <c r="W51" s="157">
        <f t="shared" si="23"/>
        <v>32877</v>
      </c>
      <c r="X51" s="157">
        <f t="shared" si="23"/>
        <v>32877</v>
      </c>
      <c r="Y51" s="157">
        <f t="shared" si="23"/>
        <v>32877</v>
      </c>
      <c r="Z51" s="157">
        <f t="shared" si="23"/>
        <v>33061</v>
      </c>
      <c r="AA51" s="157">
        <f t="shared" si="23"/>
        <v>33077</v>
      </c>
      <c r="AB51" s="157">
        <f t="shared" si="23"/>
        <v>33077</v>
      </c>
      <c r="AC51" s="157">
        <f t="shared" si="23"/>
        <v>33077</v>
      </c>
      <c r="AD51" s="157">
        <f t="shared" si="23"/>
        <v>33077</v>
      </c>
      <c r="AE51" s="157">
        <f t="shared" si="23"/>
        <v>33077</v>
      </c>
      <c r="AF51" s="157">
        <f t="shared" si="23"/>
        <v>26425</v>
      </c>
      <c r="AG51" s="157">
        <f t="shared" si="23"/>
        <v>26425</v>
      </c>
      <c r="AH51" s="157">
        <f t="shared" si="23"/>
        <v>26425</v>
      </c>
      <c r="AI51" s="157">
        <f t="shared" si="23"/>
        <v>26425</v>
      </c>
      <c r="AJ51" s="157">
        <f t="shared" si="23"/>
        <v>26425</v>
      </c>
      <c r="AK51" s="157">
        <f t="shared" si="23"/>
        <v>26425</v>
      </c>
      <c r="AL51" s="157">
        <f t="shared" si="23"/>
        <v>26425</v>
      </c>
      <c r="AM51" s="157">
        <f t="shared" si="23"/>
        <v>26425</v>
      </c>
      <c r="AN51" s="157">
        <f t="shared" si="23"/>
        <v>26425</v>
      </c>
      <c r="AO51" s="157">
        <f t="shared" si="23"/>
        <v>26425</v>
      </c>
      <c r="AP51" s="157">
        <f t="shared" si="23"/>
        <v>26425</v>
      </c>
      <c r="AQ51" s="157">
        <f t="shared" si="23"/>
        <v>26425</v>
      </c>
      <c r="AR51" s="157">
        <f t="shared" si="23"/>
        <v>26425</v>
      </c>
      <c r="AS51" s="157">
        <f t="shared" si="23"/>
        <v>26425</v>
      </c>
      <c r="AT51" s="157">
        <f t="shared" si="23"/>
        <v>26425</v>
      </c>
      <c r="AU51" s="157">
        <f t="shared" si="23"/>
        <v>26425</v>
      </c>
      <c r="AV51" s="157">
        <f t="shared" si="23"/>
        <v>26425</v>
      </c>
      <c r="AW51" s="157">
        <f t="shared" si="23"/>
        <v>26425</v>
      </c>
      <c r="AX51" s="157">
        <f t="shared" si="23"/>
        <v>26425</v>
      </c>
      <c r="AY51" s="157">
        <f t="shared" si="23"/>
        <v>26425</v>
      </c>
      <c r="AZ51" s="157">
        <f t="shared" si="23"/>
        <v>26425</v>
      </c>
      <c r="BA51" s="157">
        <f t="shared" si="23"/>
        <v>26425</v>
      </c>
      <c r="BB51" s="157">
        <f t="shared" si="23"/>
        <v>26425</v>
      </c>
      <c r="BC51" s="157">
        <f t="shared" si="23"/>
        <v>26425</v>
      </c>
      <c r="BD51" s="157">
        <f t="shared" si="23"/>
        <v>26425</v>
      </c>
      <c r="BE51" s="157">
        <f t="shared" si="23"/>
        <v>26425</v>
      </c>
      <c r="BF51" s="157">
        <f t="shared" si="23"/>
        <v>26425</v>
      </c>
      <c r="BG51" s="157">
        <f t="shared" si="23"/>
        <v>26425</v>
      </c>
      <c r="BH51" s="157">
        <f t="shared" si="23"/>
        <v>26425</v>
      </c>
      <c r="BI51" s="157">
        <f t="shared" si="23"/>
        <v>26425</v>
      </c>
      <c r="BJ51" s="157">
        <f t="shared" si="23"/>
        <v>26425</v>
      </c>
      <c r="BK51" s="157">
        <f t="shared" si="23"/>
        <v>26425</v>
      </c>
      <c r="BL51" s="157">
        <f t="shared" si="23"/>
        <v>26425</v>
      </c>
      <c r="BM51" s="157">
        <f t="shared" si="23"/>
        <v>26425</v>
      </c>
      <c r="BN51" s="157">
        <f t="shared" si="23"/>
        <v>26425</v>
      </c>
      <c r="BO51" s="157">
        <f t="shared" si="23"/>
        <v>26425</v>
      </c>
      <c r="BP51" s="157">
        <f t="shared" si="23"/>
        <v>26425</v>
      </c>
      <c r="BQ51" s="157">
        <f t="shared" si="23"/>
        <v>26425</v>
      </c>
      <c r="BR51" s="157">
        <f t="shared" si="23"/>
        <v>26425</v>
      </c>
      <c r="BS51" s="157">
        <f t="shared" si="23"/>
        <v>26425</v>
      </c>
      <c r="BT51" s="157">
        <f t="shared" si="23"/>
        <v>26425</v>
      </c>
      <c r="BU51" s="157">
        <f t="shared" si="23"/>
        <v>26425</v>
      </c>
      <c r="BV51" s="157">
        <f t="shared" si="23"/>
        <v>26425</v>
      </c>
      <c r="BW51" s="157">
        <f t="shared" si="23"/>
        <v>26425</v>
      </c>
    </row>
    <row r="52" ht="15.75" customHeight="1">
      <c r="A52" s="1" t="s">
        <v>285</v>
      </c>
      <c r="B52" s="160">
        <f>AVERAGEIFS(52:52,$1:$1,"&gt;="&amp;DATE(YEAR(Current_Month),MONTH(Current_Month)-2,DAY(Current_Month)),$1:$1,"&lt;="&amp;EOMONTH(Current_Month,0))</f>
        <v>7319</v>
      </c>
      <c r="D52" s="76">
        <f t="array" ref="D52">INDEX(INDIRECT("PnL_"&amp;TEXT(D$1,"mmm")&amp;"_"&amp;TEXT(D$1,"yyyy")),MATCH(TRIM($A52),PnL_Accounts,0))</f>
        <v>6790</v>
      </c>
      <c r="E52" s="76">
        <f t="array" ref="E52">INDEX(INDIRECT("PnL_"&amp;TEXT(E$1,"mmm")&amp;"_"&amp;TEXT(E$1,"yyyy")),MATCH(TRIM($A52),PnL_Accounts,0))</f>
        <v>6790</v>
      </c>
      <c r="F52" s="76">
        <f t="array" ref="F52">INDEX(INDIRECT("PnL_"&amp;TEXT(F$1,"mmm")&amp;"_"&amp;TEXT(F$1,"yyyy")),MATCH(TRIM($A52),PnL_Accounts,0))</f>
        <v>6790</v>
      </c>
      <c r="G52" s="76">
        <f t="array" ref="G52">INDEX(INDIRECT("PnL_"&amp;TEXT(G$1,"mmm")&amp;"_"&amp;TEXT(G$1,"yyyy")),MATCH(TRIM($A52),PnL_Accounts,0))</f>
        <v>6790</v>
      </c>
      <c r="H52" s="76">
        <f t="array" ref="H52">INDEX(INDIRECT("PnL_"&amp;TEXT(H$1,"mmm")&amp;"_"&amp;TEXT(H$1,"yyyy")),MATCH(TRIM($A52),PnL_Accounts,0))</f>
        <v>6790</v>
      </c>
      <c r="I52" s="76">
        <f t="array" ref="I52">INDEX(INDIRECT("PnL_"&amp;TEXT(I$1,"mmm")&amp;"_"&amp;TEXT(I$1,"yyyy")),MATCH(TRIM($A52),PnL_Accounts,0))</f>
        <v>6790</v>
      </c>
      <c r="J52" s="76">
        <f t="array" ref="J52">INDEX(INDIRECT("PnL_"&amp;TEXT(J$1,"mmm")&amp;"_"&amp;TEXT(J$1,"yyyy")),MATCH(TRIM($A52),PnL_Accounts,0))</f>
        <v>6790</v>
      </c>
      <c r="K52" s="76">
        <f t="array" ref="K52">INDEX(INDIRECT("PnL_"&amp;TEXT(K$1,"mmm")&amp;"_"&amp;TEXT(K$1,"yyyy")),MATCH(TRIM($A52),PnL_Accounts,0))</f>
        <v>6930</v>
      </c>
      <c r="L52" s="76">
        <f t="array" ref="L52">INDEX(INDIRECT("PnL_"&amp;TEXT(L$1,"mmm")&amp;"_"&amp;TEXT(L$1,"yyyy")),MATCH(TRIM($A52),PnL_Accounts,0))</f>
        <v>6930</v>
      </c>
      <c r="M52" s="76">
        <f t="array" ref="M52">INDEX(INDIRECT("PnL_"&amp;TEXT(M$1,"mmm")&amp;"_"&amp;TEXT(M$1,"yyyy")),MATCH(TRIM($A52),PnL_Accounts,0))</f>
        <v>7380</v>
      </c>
      <c r="N52" s="76">
        <f t="array" ref="N52">INDEX(INDIRECT("PnL_"&amp;TEXT(N$1,"mmm")&amp;"_"&amp;TEXT(N$1,"yyyy")),MATCH(TRIM($A52),PnL_Accounts,0))</f>
        <v>7236</v>
      </c>
      <c r="O52" s="76">
        <f t="array" ref="O52">INDEX(INDIRECT("PnL_"&amp;TEXT(O$1,"mmm")&amp;"_"&amp;TEXT(O$1,"yyyy")),MATCH(TRIM($A52),PnL_Accounts,0))</f>
        <v>7563</v>
      </c>
      <c r="P52" s="76">
        <f t="array" ref="P52">INDEX(INDIRECT("PnL_"&amp;TEXT(P$1,"mmm")&amp;"_"&amp;TEXT(P$1,"yyyy")),MATCH(TRIM($A52),PnL_Accounts,0))</f>
        <v>7255</v>
      </c>
      <c r="Q52" s="76">
        <f t="array" ref="Q52">INDEX(INDIRECT("PnL_"&amp;TEXT(Q$1,"mmm")&amp;"_"&amp;TEXT(Q$1,"yyyy")),MATCH(TRIM($A52),PnL_Accounts,0))</f>
        <v>7188</v>
      </c>
      <c r="R52" s="76">
        <f t="array" ref="R52">INDEX(INDIRECT("PnL_"&amp;TEXT(R$1,"mmm")&amp;"_"&amp;TEXT(R$1,"yyyy")),MATCH(TRIM($A52),PnL_Accounts,0))</f>
        <v>7188</v>
      </c>
      <c r="S52" s="76">
        <f t="array" ref="S52">INDEX(INDIRECT("PnL_"&amp;TEXT(S$1,"mmm")&amp;"_"&amp;TEXT(S$1,"yyyy")),MATCH(TRIM($A52),PnL_Accounts,0))</f>
        <v>7188</v>
      </c>
      <c r="T52" s="76">
        <f t="array" ref="T52">INDEX(INDIRECT("PnL_"&amp;TEXT(T$1,"mmm")&amp;"_"&amp;TEXT(T$1,"yyyy")),MATCH(TRIM($A52),PnL_Accounts,0))</f>
        <v>6919</v>
      </c>
      <c r="U52" s="76">
        <f t="array" ref="U52">INDEX(INDIRECT("PnL_"&amp;TEXT(U$1,"mmm")&amp;"_"&amp;TEXT(U$1,"yyyy")),MATCH(TRIM($A52),PnL_Accounts,0))</f>
        <v>7340</v>
      </c>
      <c r="V52" s="76">
        <f t="array" ref="V52">INDEX(INDIRECT("PnL_"&amp;TEXT(V$1,"mmm")&amp;"_"&amp;TEXT(V$1,"yyyy")),MATCH(TRIM($A52),PnL_Accounts,0))</f>
        <v>7282</v>
      </c>
      <c r="W52" s="76">
        <f t="array" ref="W52">INDEX(INDIRECT("PnL_"&amp;TEXT(W$1,"mmm")&amp;"_"&amp;TEXT(W$1,"yyyy")),MATCH(TRIM($A52),PnL_Accounts,0))</f>
        <v>7319</v>
      </c>
      <c r="X52" s="76">
        <f t="array" ref="X52">INDEX(INDIRECT("PnL_"&amp;TEXT(X$1,"mmm")&amp;"_"&amp;TEXT(X$1,"yyyy")),MATCH(TRIM($A52),PnL_Accounts,0))</f>
        <v>7319</v>
      </c>
      <c r="Y52" s="76">
        <f t="array" ref="Y52">INDEX(INDIRECT("PnL_"&amp;TEXT(Y$1,"mmm")&amp;"_"&amp;TEXT(Y$1,"yyyy")),MATCH(TRIM($A52),PnL_Accounts,0))</f>
        <v>7319</v>
      </c>
      <c r="Z52" s="76">
        <f t="array" ref="Z52">INDEX(INDIRECT("PnL_"&amp;TEXT(Z$1,"mmm")&amp;"_"&amp;TEXT(Z$1,"yyyy")),MATCH(TRIM($A52),PnL_Accounts,0))</f>
        <v>7319</v>
      </c>
      <c r="AA52" s="76">
        <f t="array" ref="AA52">INDEX(INDIRECT("PnL_"&amp;TEXT(AA$1,"mmm")&amp;"_"&amp;TEXT(AA$1,"yyyy")),MATCH(TRIM($A52),PnL_Accounts,0))</f>
        <v>7319</v>
      </c>
      <c r="AB52" s="76">
        <f t="array" ref="AB52">INDEX(INDIRECT("PnL_"&amp;TEXT(AB$1,"mmm")&amp;"_"&amp;TEXT(AB$1,"yyyy")),MATCH(TRIM($A52),PnL_Accounts,0))</f>
        <v>7319</v>
      </c>
      <c r="AC52" s="76">
        <f t="array" ref="AC52">INDEX(INDIRECT("PnL_"&amp;TEXT(AC$1,"mmm")&amp;"_"&amp;TEXT(AC$1,"yyyy")),MATCH(TRIM($A52),PnL_Accounts,0))</f>
        <v>7319</v>
      </c>
      <c r="AD52" s="76">
        <f t="array" ref="AD52">INDEX(INDIRECT("PnL_"&amp;TEXT(AD$1,"mmm")&amp;"_"&amp;TEXT(AD$1,"yyyy")),MATCH(TRIM($A52),PnL_Accounts,0))</f>
        <v>7319</v>
      </c>
      <c r="AE52" s="76">
        <f t="array" ref="AE52">INDEX(INDIRECT("PnL_"&amp;TEXT(AE$1,"mmm")&amp;"_"&amp;TEXT(AE$1,"yyyy")),MATCH(TRIM($A52),PnL_Accounts,0))</f>
        <v>7319</v>
      </c>
      <c r="AF52" s="96">
        <f t="shared" ref="AF52:BW52" si="24">$B52</f>
        <v>7319</v>
      </c>
      <c r="AG52" s="96">
        <f t="shared" si="24"/>
        <v>7319</v>
      </c>
      <c r="AH52" s="96">
        <f t="shared" si="24"/>
        <v>7319</v>
      </c>
      <c r="AI52" s="96">
        <f t="shared" si="24"/>
        <v>7319</v>
      </c>
      <c r="AJ52" s="96">
        <f t="shared" si="24"/>
        <v>7319</v>
      </c>
      <c r="AK52" s="96">
        <f t="shared" si="24"/>
        <v>7319</v>
      </c>
      <c r="AL52" s="96">
        <f t="shared" si="24"/>
        <v>7319</v>
      </c>
      <c r="AM52" s="96">
        <f t="shared" si="24"/>
        <v>7319</v>
      </c>
      <c r="AN52" s="96">
        <f t="shared" si="24"/>
        <v>7319</v>
      </c>
      <c r="AO52" s="96">
        <f t="shared" si="24"/>
        <v>7319</v>
      </c>
      <c r="AP52" s="96">
        <f t="shared" si="24"/>
        <v>7319</v>
      </c>
      <c r="AQ52" s="96">
        <f t="shared" si="24"/>
        <v>7319</v>
      </c>
      <c r="AR52" s="96">
        <f t="shared" si="24"/>
        <v>7319</v>
      </c>
      <c r="AS52" s="96">
        <f t="shared" si="24"/>
        <v>7319</v>
      </c>
      <c r="AT52" s="96">
        <f t="shared" si="24"/>
        <v>7319</v>
      </c>
      <c r="AU52" s="96">
        <f t="shared" si="24"/>
        <v>7319</v>
      </c>
      <c r="AV52" s="96">
        <f t="shared" si="24"/>
        <v>7319</v>
      </c>
      <c r="AW52" s="96">
        <f t="shared" si="24"/>
        <v>7319</v>
      </c>
      <c r="AX52" s="96">
        <f t="shared" si="24"/>
        <v>7319</v>
      </c>
      <c r="AY52" s="96">
        <f t="shared" si="24"/>
        <v>7319</v>
      </c>
      <c r="AZ52" s="96">
        <f t="shared" si="24"/>
        <v>7319</v>
      </c>
      <c r="BA52" s="96">
        <f t="shared" si="24"/>
        <v>7319</v>
      </c>
      <c r="BB52" s="96">
        <f t="shared" si="24"/>
        <v>7319</v>
      </c>
      <c r="BC52" s="96">
        <f t="shared" si="24"/>
        <v>7319</v>
      </c>
      <c r="BD52" s="96">
        <f t="shared" si="24"/>
        <v>7319</v>
      </c>
      <c r="BE52" s="96">
        <f t="shared" si="24"/>
        <v>7319</v>
      </c>
      <c r="BF52" s="96">
        <f t="shared" si="24"/>
        <v>7319</v>
      </c>
      <c r="BG52" s="96">
        <f t="shared" si="24"/>
        <v>7319</v>
      </c>
      <c r="BH52" s="96">
        <f t="shared" si="24"/>
        <v>7319</v>
      </c>
      <c r="BI52" s="96">
        <f t="shared" si="24"/>
        <v>7319</v>
      </c>
      <c r="BJ52" s="96">
        <f t="shared" si="24"/>
        <v>7319</v>
      </c>
      <c r="BK52" s="96">
        <f t="shared" si="24"/>
        <v>7319</v>
      </c>
      <c r="BL52" s="96">
        <f t="shared" si="24"/>
        <v>7319</v>
      </c>
      <c r="BM52" s="96">
        <f t="shared" si="24"/>
        <v>7319</v>
      </c>
      <c r="BN52" s="96">
        <f t="shared" si="24"/>
        <v>7319</v>
      </c>
      <c r="BO52" s="96">
        <f t="shared" si="24"/>
        <v>7319</v>
      </c>
      <c r="BP52" s="96">
        <f t="shared" si="24"/>
        <v>7319</v>
      </c>
      <c r="BQ52" s="96">
        <f t="shared" si="24"/>
        <v>7319</v>
      </c>
      <c r="BR52" s="96">
        <f t="shared" si="24"/>
        <v>7319</v>
      </c>
      <c r="BS52" s="96">
        <f t="shared" si="24"/>
        <v>7319</v>
      </c>
      <c r="BT52" s="96">
        <f t="shared" si="24"/>
        <v>7319</v>
      </c>
      <c r="BU52" s="96">
        <f t="shared" si="24"/>
        <v>7319</v>
      </c>
      <c r="BV52" s="96">
        <f t="shared" si="24"/>
        <v>7319</v>
      </c>
      <c r="BW52" s="96">
        <f t="shared" si="24"/>
        <v>7319</v>
      </c>
    </row>
    <row r="53" ht="15.75" customHeight="1">
      <c r="A53" s="1" t="s">
        <v>286</v>
      </c>
      <c r="B53" s="160">
        <f>AVERAGEIFS(53:53,$1:$1,"&gt;="&amp;DATE(YEAR(Current_Month),MONTH(Current_Month)-2,DAY(Current_Month)),$1:$1,"&lt;="&amp;EOMONTH(Current_Month,0))</f>
        <v>7941</v>
      </c>
      <c r="D53" s="76">
        <f t="array" ref="D53">INDEX(INDIRECT("PnL_"&amp;TEXT(D$1,"mmm")&amp;"_"&amp;TEXT(D$1,"yyyy")),MATCH(TRIM($A53),PnL_Accounts,0))</f>
        <v>1158</v>
      </c>
      <c r="E53" s="76" t="str">
        <f t="array" ref="E53">INDEX(INDIRECT("PnL_"&amp;TEXT(E$1,"mmm")&amp;"_"&amp;TEXT(E$1,"yyyy")),MATCH(TRIM($A53),PnL_Accounts,0))</f>
        <v/>
      </c>
      <c r="F53" s="76" t="str">
        <f t="array" ref="F53">INDEX(INDIRECT("PnL_"&amp;TEXT(F$1,"mmm")&amp;"_"&amp;TEXT(F$1,"yyyy")),MATCH(TRIM($A53),PnL_Accounts,0))</f>
        <v/>
      </c>
      <c r="G53" s="76" t="str">
        <f t="array" ref="G53">INDEX(INDIRECT("PnL_"&amp;TEXT(G$1,"mmm")&amp;"_"&amp;TEXT(G$1,"yyyy")),MATCH(TRIM($A53),PnL_Accounts,0))</f>
        <v/>
      </c>
      <c r="H53" s="76" t="str">
        <f t="array" ref="H53">INDEX(INDIRECT("PnL_"&amp;TEXT(H$1,"mmm")&amp;"_"&amp;TEXT(H$1,"yyyy")),MATCH(TRIM($A53),PnL_Accounts,0))</f>
        <v/>
      </c>
      <c r="I53" s="76" t="str">
        <f t="array" ref="I53">INDEX(INDIRECT("PnL_"&amp;TEXT(I$1,"mmm")&amp;"_"&amp;TEXT(I$1,"yyyy")),MATCH(TRIM($A53),PnL_Accounts,0))</f>
        <v/>
      </c>
      <c r="J53" s="76" t="str">
        <f t="array" ref="J53">INDEX(INDIRECT("PnL_"&amp;TEXT(J$1,"mmm")&amp;"_"&amp;TEXT(J$1,"yyyy")),MATCH(TRIM($A53),PnL_Accounts,0))</f>
        <v/>
      </c>
      <c r="K53" s="76" t="str">
        <f t="array" ref="K53">INDEX(INDIRECT("PnL_"&amp;TEXT(K$1,"mmm")&amp;"_"&amp;TEXT(K$1,"yyyy")),MATCH(TRIM($A53),PnL_Accounts,0))</f>
        <v/>
      </c>
      <c r="L53" s="76" t="str">
        <f t="array" ref="L53">INDEX(INDIRECT("PnL_"&amp;TEXT(L$1,"mmm")&amp;"_"&amp;TEXT(L$1,"yyyy")),MATCH(TRIM($A53),PnL_Accounts,0))</f>
        <v/>
      </c>
      <c r="M53" s="76" t="str">
        <f t="array" ref="M53">INDEX(INDIRECT("PnL_"&amp;TEXT(M$1,"mmm")&amp;"_"&amp;TEXT(M$1,"yyyy")),MATCH(TRIM($A53),PnL_Accounts,0))</f>
        <v/>
      </c>
      <c r="N53" s="76" t="str">
        <f t="array" ref="N53">INDEX(INDIRECT("PnL_"&amp;TEXT(N$1,"mmm")&amp;"_"&amp;TEXT(N$1,"yyyy")),MATCH(TRIM($A53),PnL_Accounts,0))</f>
        <v/>
      </c>
      <c r="O53" s="76" t="str">
        <f t="array" ref="O53">INDEX(INDIRECT("PnL_"&amp;TEXT(O$1,"mmm")&amp;"_"&amp;TEXT(O$1,"yyyy")),MATCH(TRIM($A53),PnL_Accounts,0))</f>
        <v/>
      </c>
      <c r="P53" s="76">
        <f t="array" ref="P53">INDEX(INDIRECT("PnL_"&amp;TEXT(P$1,"mmm")&amp;"_"&amp;TEXT(P$1,"yyyy")),MATCH(TRIM($A53),PnL_Accounts,0))</f>
        <v>3476</v>
      </c>
      <c r="Q53" s="76">
        <f t="array" ref="Q53">INDEX(INDIRECT("PnL_"&amp;TEXT(Q$1,"mmm")&amp;"_"&amp;TEXT(Q$1,"yyyy")),MATCH(TRIM($A53),PnL_Accounts,0))</f>
        <v>3750</v>
      </c>
      <c r="R53" s="76">
        <f t="array" ref="R53">INDEX(INDIRECT("PnL_"&amp;TEXT(R$1,"mmm")&amp;"_"&amp;TEXT(R$1,"yyyy")),MATCH(TRIM($A53),PnL_Accounts,0))</f>
        <v>3861</v>
      </c>
      <c r="S53" s="76">
        <f t="array" ref="S53">INDEX(INDIRECT("PnL_"&amp;TEXT(S$1,"mmm")&amp;"_"&amp;TEXT(S$1,"yyyy")),MATCH(TRIM($A53),PnL_Accounts,0))</f>
        <v>3996</v>
      </c>
      <c r="T53" s="76">
        <f t="array" ref="T53">INDEX(INDIRECT("PnL_"&amp;TEXT(T$1,"mmm")&amp;"_"&amp;TEXT(T$1,"yyyy")),MATCH(TRIM($A53),PnL_Accounts,0))</f>
        <v>4147</v>
      </c>
      <c r="U53" s="76">
        <f t="array" ref="U53">INDEX(INDIRECT("PnL_"&amp;TEXT(U$1,"mmm")&amp;"_"&amp;TEXT(U$1,"yyyy")),MATCH(TRIM($A53),PnL_Accounts,0))</f>
        <v>4334</v>
      </c>
      <c r="V53" s="76">
        <f t="array" ref="V53">INDEX(INDIRECT("PnL_"&amp;TEXT(V$1,"mmm")&amp;"_"&amp;TEXT(V$1,"yyyy")),MATCH(TRIM($A53),PnL_Accounts,0))</f>
        <v>4567</v>
      </c>
      <c r="W53" s="76">
        <f t="array" ref="W53">INDEX(INDIRECT("PnL_"&amp;TEXT(W$1,"mmm")&amp;"_"&amp;TEXT(W$1,"yyyy")),MATCH(TRIM($A53),PnL_Accounts,0))</f>
        <v>4720</v>
      </c>
      <c r="X53" s="76">
        <f t="array" ref="X53">INDEX(INDIRECT("PnL_"&amp;TEXT(X$1,"mmm")&amp;"_"&amp;TEXT(X$1,"yyyy")),MATCH(TRIM($A53),PnL_Accounts,0))</f>
        <v>5007</v>
      </c>
      <c r="Y53" s="76">
        <f t="array" ref="Y53">INDEX(INDIRECT("PnL_"&amp;TEXT(Y$1,"mmm")&amp;"_"&amp;TEXT(Y$1,"yyyy")),MATCH(TRIM($A53),PnL_Accounts,0))</f>
        <v>5118</v>
      </c>
      <c r="Z53" s="76">
        <f t="array" ref="Z53">INDEX(INDIRECT("PnL_"&amp;TEXT(Z$1,"mmm")&amp;"_"&amp;TEXT(Z$1,"yyyy")),MATCH(TRIM($A53),PnL_Accounts,0))</f>
        <v>5666</v>
      </c>
      <c r="AA53" s="76">
        <f t="array" ref="AA53">INDEX(INDIRECT("PnL_"&amp;TEXT(AA$1,"mmm")&amp;"_"&amp;TEXT(AA$1,"yyyy")),MATCH(TRIM($A53),PnL_Accounts,0))</f>
        <v>5976</v>
      </c>
      <c r="AB53" s="76">
        <f t="array" ref="AB53">INDEX(INDIRECT("PnL_"&amp;TEXT(AB$1,"mmm")&amp;"_"&amp;TEXT(AB$1,"yyyy")),MATCH(TRIM($A53),PnL_Accounts,0))</f>
        <v>6225</v>
      </c>
      <c r="AC53" s="76">
        <f t="array" ref="AC53">INDEX(INDIRECT("PnL_"&amp;TEXT(AC$1,"mmm")&amp;"_"&amp;TEXT(AC$1,"yyyy")),MATCH(TRIM($A53),PnL_Accounts,0))</f>
        <v>7523</v>
      </c>
      <c r="AD53" s="76">
        <f t="array" ref="AD53">INDEX(INDIRECT("PnL_"&amp;TEXT(AD$1,"mmm")&amp;"_"&amp;TEXT(AD$1,"yyyy")),MATCH(TRIM($A53),PnL_Accounts,0))</f>
        <v>7536</v>
      </c>
      <c r="AE53" s="76">
        <f t="array" ref="AE53">INDEX(INDIRECT("PnL_"&amp;TEXT(AE$1,"mmm")&amp;"_"&amp;TEXT(AE$1,"yyyy")),MATCH(TRIM($A53),PnL_Accounts,0))</f>
        <v>8764</v>
      </c>
      <c r="AF53" s="96">
        <f t="shared" ref="AF53:BW53" si="25">$B53</f>
        <v>7941</v>
      </c>
      <c r="AG53" s="96">
        <f t="shared" si="25"/>
        <v>7941</v>
      </c>
      <c r="AH53" s="96">
        <f t="shared" si="25"/>
        <v>7941</v>
      </c>
      <c r="AI53" s="96">
        <f t="shared" si="25"/>
        <v>7941</v>
      </c>
      <c r="AJ53" s="96">
        <f t="shared" si="25"/>
        <v>7941</v>
      </c>
      <c r="AK53" s="96">
        <f t="shared" si="25"/>
        <v>7941</v>
      </c>
      <c r="AL53" s="96">
        <f t="shared" si="25"/>
        <v>7941</v>
      </c>
      <c r="AM53" s="96">
        <f t="shared" si="25"/>
        <v>7941</v>
      </c>
      <c r="AN53" s="96">
        <f t="shared" si="25"/>
        <v>7941</v>
      </c>
      <c r="AO53" s="96">
        <f t="shared" si="25"/>
        <v>7941</v>
      </c>
      <c r="AP53" s="96">
        <f t="shared" si="25"/>
        <v>7941</v>
      </c>
      <c r="AQ53" s="96">
        <f t="shared" si="25"/>
        <v>7941</v>
      </c>
      <c r="AR53" s="96">
        <f t="shared" si="25"/>
        <v>7941</v>
      </c>
      <c r="AS53" s="96">
        <f t="shared" si="25"/>
        <v>7941</v>
      </c>
      <c r="AT53" s="96">
        <f t="shared" si="25"/>
        <v>7941</v>
      </c>
      <c r="AU53" s="96">
        <f t="shared" si="25"/>
        <v>7941</v>
      </c>
      <c r="AV53" s="96">
        <f t="shared" si="25"/>
        <v>7941</v>
      </c>
      <c r="AW53" s="96">
        <f t="shared" si="25"/>
        <v>7941</v>
      </c>
      <c r="AX53" s="96">
        <f t="shared" si="25"/>
        <v>7941</v>
      </c>
      <c r="AY53" s="96">
        <f t="shared" si="25"/>
        <v>7941</v>
      </c>
      <c r="AZ53" s="96">
        <f t="shared" si="25"/>
        <v>7941</v>
      </c>
      <c r="BA53" s="96">
        <f t="shared" si="25"/>
        <v>7941</v>
      </c>
      <c r="BB53" s="96">
        <f t="shared" si="25"/>
        <v>7941</v>
      </c>
      <c r="BC53" s="96">
        <f t="shared" si="25"/>
        <v>7941</v>
      </c>
      <c r="BD53" s="96">
        <f t="shared" si="25"/>
        <v>7941</v>
      </c>
      <c r="BE53" s="96">
        <f t="shared" si="25"/>
        <v>7941</v>
      </c>
      <c r="BF53" s="96">
        <f t="shared" si="25"/>
        <v>7941</v>
      </c>
      <c r="BG53" s="96">
        <f t="shared" si="25"/>
        <v>7941</v>
      </c>
      <c r="BH53" s="96">
        <f t="shared" si="25"/>
        <v>7941</v>
      </c>
      <c r="BI53" s="96">
        <f t="shared" si="25"/>
        <v>7941</v>
      </c>
      <c r="BJ53" s="96">
        <f t="shared" si="25"/>
        <v>7941</v>
      </c>
      <c r="BK53" s="96">
        <f t="shared" si="25"/>
        <v>7941</v>
      </c>
      <c r="BL53" s="96">
        <f t="shared" si="25"/>
        <v>7941</v>
      </c>
      <c r="BM53" s="96">
        <f t="shared" si="25"/>
        <v>7941</v>
      </c>
      <c r="BN53" s="96">
        <f t="shared" si="25"/>
        <v>7941</v>
      </c>
      <c r="BO53" s="96">
        <f t="shared" si="25"/>
        <v>7941</v>
      </c>
      <c r="BP53" s="96">
        <f t="shared" si="25"/>
        <v>7941</v>
      </c>
      <c r="BQ53" s="96">
        <f t="shared" si="25"/>
        <v>7941</v>
      </c>
      <c r="BR53" s="96">
        <f t="shared" si="25"/>
        <v>7941</v>
      </c>
      <c r="BS53" s="96">
        <f t="shared" si="25"/>
        <v>7941</v>
      </c>
      <c r="BT53" s="96">
        <f t="shared" si="25"/>
        <v>7941</v>
      </c>
      <c r="BU53" s="96">
        <f t="shared" si="25"/>
        <v>7941</v>
      </c>
      <c r="BV53" s="96">
        <f t="shared" si="25"/>
        <v>7941</v>
      </c>
      <c r="BW53" s="96">
        <f t="shared" si="25"/>
        <v>7941</v>
      </c>
    </row>
    <row r="54" ht="15.75" customHeight="1">
      <c r="A54" s="1" t="s">
        <v>287</v>
      </c>
      <c r="B54" s="160">
        <f>AVERAGEIFS(54:54,$1:$1,"&gt;="&amp;DATE(YEAR(Current_Month),MONTH(Current_Month)-2,DAY(Current_Month)),$1:$1,"&lt;="&amp;EOMONTH(Current_Month,0))</f>
        <v>800</v>
      </c>
      <c r="D54" s="76">
        <f t="array" ref="D54">INDEX(INDIRECT("PnL_"&amp;TEXT(D$1,"mmm")&amp;"_"&amp;TEXT(D$1,"yyyy")),MATCH(TRIM($A54),PnL_Accounts,0))</f>
        <v>0</v>
      </c>
      <c r="E54" s="76">
        <f t="array" ref="E54">INDEX(INDIRECT("PnL_"&amp;TEXT(E$1,"mmm")&amp;"_"&amp;TEXT(E$1,"yyyy")),MATCH(TRIM($A54),PnL_Accounts,0))</f>
        <v>0</v>
      </c>
      <c r="F54" s="76">
        <f t="array" ref="F54">INDEX(INDIRECT("PnL_"&amp;TEXT(F$1,"mmm")&amp;"_"&amp;TEXT(F$1,"yyyy")),MATCH(TRIM($A54),PnL_Accounts,0))</f>
        <v>0</v>
      </c>
      <c r="G54" s="76">
        <f t="array" ref="G54">INDEX(INDIRECT("PnL_"&amp;TEXT(G$1,"mmm")&amp;"_"&amp;TEXT(G$1,"yyyy")),MATCH(TRIM($A54),PnL_Accounts,0))</f>
        <v>0</v>
      </c>
      <c r="H54" s="76">
        <f t="array" ref="H54">INDEX(INDIRECT("PnL_"&amp;TEXT(H$1,"mmm")&amp;"_"&amp;TEXT(H$1,"yyyy")),MATCH(TRIM($A54),PnL_Accounts,0))</f>
        <v>0</v>
      </c>
      <c r="I54" s="76">
        <f t="array" ref="I54">INDEX(INDIRECT("PnL_"&amp;TEXT(I$1,"mmm")&amp;"_"&amp;TEXT(I$1,"yyyy")),MATCH(TRIM($A54),PnL_Accounts,0))</f>
        <v>0</v>
      </c>
      <c r="J54" s="76">
        <f t="array" ref="J54">INDEX(INDIRECT("PnL_"&amp;TEXT(J$1,"mmm")&amp;"_"&amp;TEXT(J$1,"yyyy")),MATCH(TRIM($A54),PnL_Accounts,0))</f>
        <v>0</v>
      </c>
      <c r="K54" s="76">
        <f t="array" ref="K54">INDEX(INDIRECT("PnL_"&amp;TEXT(K$1,"mmm")&amp;"_"&amp;TEXT(K$1,"yyyy")),MATCH(TRIM($A54),PnL_Accounts,0))</f>
        <v>0</v>
      </c>
      <c r="L54" s="76">
        <f t="array" ref="L54">INDEX(INDIRECT("PnL_"&amp;TEXT(L$1,"mmm")&amp;"_"&amp;TEXT(L$1,"yyyy")),MATCH(TRIM($A54),PnL_Accounts,0))</f>
        <v>0</v>
      </c>
      <c r="M54" s="76">
        <f t="array" ref="M54">INDEX(INDIRECT("PnL_"&amp;TEXT(M$1,"mmm")&amp;"_"&amp;TEXT(M$1,"yyyy")),MATCH(TRIM($A54),PnL_Accounts,0))</f>
        <v>0</v>
      </c>
      <c r="N54" s="76">
        <f t="array" ref="N54">INDEX(INDIRECT("PnL_"&amp;TEXT(N$1,"mmm")&amp;"_"&amp;TEXT(N$1,"yyyy")),MATCH(TRIM($A54),PnL_Accounts,0))</f>
        <v>0</v>
      </c>
      <c r="O54" s="76">
        <f t="array" ref="O54">INDEX(INDIRECT("PnL_"&amp;TEXT(O$1,"mmm")&amp;"_"&amp;TEXT(O$1,"yyyy")),MATCH(TRIM($A54),PnL_Accounts,0))</f>
        <v>0</v>
      </c>
      <c r="P54" s="76">
        <f t="array" ref="P54">INDEX(INDIRECT("PnL_"&amp;TEXT(P$1,"mmm")&amp;"_"&amp;TEXT(P$1,"yyyy")),MATCH(TRIM($A54),PnL_Accounts,0))</f>
        <v>0</v>
      </c>
      <c r="Q54" s="76">
        <f t="array" ref="Q54">INDEX(INDIRECT("PnL_"&amp;TEXT(Q$1,"mmm")&amp;"_"&amp;TEXT(Q$1,"yyyy")),MATCH(TRIM($A54),PnL_Accounts,0))</f>
        <v>0</v>
      </c>
      <c r="R54" s="76">
        <f t="array" ref="R54">INDEX(INDIRECT("PnL_"&amp;TEXT(R$1,"mmm")&amp;"_"&amp;TEXT(R$1,"yyyy")),MATCH(TRIM($A54),PnL_Accounts,0))</f>
        <v>0</v>
      </c>
      <c r="S54" s="76">
        <f t="array" ref="S54">INDEX(INDIRECT("PnL_"&amp;TEXT(S$1,"mmm")&amp;"_"&amp;TEXT(S$1,"yyyy")),MATCH(TRIM($A54),PnL_Accounts,0))</f>
        <v>0</v>
      </c>
      <c r="T54" s="76">
        <f t="array" ref="T54">INDEX(INDIRECT("PnL_"&amp;TEXT(T$1,"mmm")&amp;"_"&amp;TEXT(T$1,"yyyy")),MATCH(TRIM($A54),PnL_Accounts,0))</f>
        <v>0</v>
      </c>
      <c r="U54" s="76">
        <f t="array" ref="U54">INDEX(INDIRECT("PnL_"&amp;TEXT(U$1,"mmm")&amp;"_"&amp;TEXT(U$1,"yyyy")),MATCH(TRIM($A54),PnL_Accounts,0))</f>
        <v>0</v>
      </c>
      <c r="V54" s="76">
        <f t="array" ref="V54">INDEX(INDIRECT("PnL_"&amp;TEXT(V$1,"mmm")&amp;"_"&amp;TEXT(V$1,"yyyy")),MATCH(TRIM($A54),PnL_Accounts,0))</f>
        <v>0</v>
      </c>
      <c r="W54" s="76">
        <f t="array" ref="W54">INDEX(INDIRECT("PnL_"&amp;TEXT(W$1,"mmm")&amp;"_"&amp;TEXT(W$1,"yyyy")),MATCH(TRIM($A54),PnL_Accounts,0))</f>
        <v>0</v>
      </c>
      <c r="X54" s="76">
        <f t="array" ref="X54">INDEX(INDIRECT("PnL_"&amp;TEXT(X$1,"mmm")&amp;"_"&amp;TEXT(X$1,"yyyy")),MATCH(TRIM($A54),PnL_Accounts,0))</f>
        <v>800</v>
      </c>
      <c r="Y54" s="76">
        <f t="array" ref="Y54">INDEX(INDIRECT("PnL_"&amp;TEXT(Y$1,"mmm")&amp;"_"&amp;TEXT(Y$1,"yyyy")),MATCH(TRIM($A54),PnL_Accounts,0))</f>
        <v>800</v>
      </c>
      <c r="Z54" s="76">
        <f t="array" ref="Z54">INDEX(INDIRECT("PnL_"&amp;TEXT(Z$1,"mmm")&amp;"_"&amp;TEXT(Z$1,"yyyy")),MATCH(TRIM($A54),PnL_Accounts,0))</f>
        <v>800</v>
      </c>
      <c r="AA54" s="76">
        <f t="array" ref="AA54">INDEX(INDIRECT("PnL_"&amp;TEXT(AA$1,"mmm")&amp;"_"&amp;TEXT(AA$1,"yyyy")),MATCH(TRIM($A54),PnL_Accounts,0))</f>
        <v>800</v>
      </c>
      <c r="AB54" s="76">
        <f t="array" ref="AB54">INDEX(INDIRECT("PnL_"&amp;TEXT(AB$1,"mmm")&amp;"_"&amp;TEXT(AB$1,"yyyy")),MATCH(TRIM($A54),PnL_Accounts,0))</f>
        <v>800</v>
      </c>
      <c r="AC54" s="76">
        <f t="array" ref="AC54">INDEX(INDIRECT("PnL_"&amp;TEXT(AC$1,"mmm")&amp;"_"&amp;TEXT(AC$1,"yyyy")),MATCH(TRIM($A54),PnL_Accounts,0))</f>
        <v>800</v>
      </c>
      <c r="AD54" s="76">
        <f t="array" ref="AD54">INDEX(INDIRECT("PnL_"&amp;TEXT(AD$1,"mmm")&amp;"_"&amp;TEXT(AD$1,"yyyy")),MATCH(TRIM($A54),PnL_Accounts,0))</f>
        <v>800</v>
      </c>
      <c r="AE54" s="76">
        <f t="array" ref="AE54">INDEX(INDIRECT("PnL_"&amp;TEXT(AE$1,"mmm")&amp;"_"&amp;TEXT(AE$1,"yyyy")),MATCH(TRIM($A54),PnL_Accounts,0))</f>
        <v>800</v>
      </c>
      <c r="AF54" s="96">
        <f t="shared" ref="AF54:BW54" si="26">$B54</f>
        <v>800</v>
      </c>
      <c r="AG54" s="96">
        <f t="shared" si="26"/>
        <v>800</v>
      </c>
      <c r="AH54" s="96">
        <f t="shared" si="26"/>
        <v>800</v>
      </c>
      <c r="AI54" s="96">
        <f t="shared" si="26"/>
        <v>800</v>
      </c>
      <c r="AJ54" s="96">
        <f t="shared" si="26"/>
        <v>800</v>
      </c>
      <c r="AK54" s="96">
        <f t="shared" si="26"/>
        <v>800</v>
      </c>
      <c r="AL54" s="96">
        <f t="shared" si="26"/>
        <v>800</v>
      </c>
      <c r="AM54" s="96">
        <f t="shared" si="26"/>
        <v>800</v>
      </c>
      <c r="AN54" s="96">
        <f t="shared" si="26"/>
        <v>800</v>
      </c>
      <c r="AO54" s="96">
        <f t="shared" si="26"/>
        <v>800</v>
      </c>
      <c r="AP54" s="96">
        <f t="shared" si="26"/>
        <v>800</v>
      </c>
      <c r="AQ54" s="96">
        <f t="shared" si="26"/>
        <v>800</v>
      </c>
      <c r="AR54" s="96">
        <f t="shared" si="26"/>
        <v>800</v>
      </c>
      <c r="AS54" s="96">
        <f t="shared" si="26"/>
        <v>800</v>
      </c>
      <c r="AT54" s="96">
        <f t="shared" si="26"/>
        <v>800</v>
      </c>
      <c r="AU54" s="96">
        <f t="shared" si="26"/>
        <v>800</v>
      </c>
      <c r="AV54" s="96">
        <f t="shared" si="26"/>
        <v>800</v>
      </c>
      <c r="AW54" s="96">
        <f t="shared" si="26"/>
        <v>800</v>
      </c>
      <c r="AX54" s="96">
        <f t="shared" si="26"/>
        <v>800</v>
      </c>
      <c r="AY54" s="96">
        <f t="shared" si="26"/>
        <v>800</v>
      </c>
      <c r="AZ54" s="96">
        <f t="shared" si="26"/>
        <v>800</v>
      </c>
      <c r="BA54" s="96">
        <f t="shared" si="26"/>
        <v>800</v>
      </c>
      <c r="BB54" s="96">
        <f t="shared" si="26"/>
        <v>800</v>
      </c>
      <c r="BC54" s="96">
        <f t="shared" si="26"/>
        <v>800</v>
      </c>
      <c r="BD54" s="96">
        <f t="shared" si="26"/>
        <v>800</v>
      </c>
      <c r="BE54" s="96">
        <f t="shared" si="26"/>
        <v>800</v>
      </c>
      <c r="BF54" s="96">
        <f t="shared" si="26"/>
        <v>800</v>
      </c>
      <c r="BG54" s="96">
        <f t="shared" si="26"/>
        <v>800</v>
      </c>
      <c r="BH54" s="96">
        <f t="shared" si="26"/>
        <v>800</v>
      </c>
      <c r="BI54" s="96">
        <f t="shared" si="26"/>
        <v>800</v>
      </c>
      <c r="BJ54" s="96">
        <f t="shared" si="26"/>
        <v>800</v>
      </c>
      <c r="BK54" s="96">
        <f t="shared" si="26"/>
        <v>800</v>
      </c>
      <c r="BL54" s="96">
        <f t="shared" si="26"/>
        <v>800</v>
      </c>
      <c r="BM54" s="96">
        <f t="shared" si="26"/>
        <v>800</v>
      </c>
      <c r="BN54" s="96">
        <f t="shared" si="26"/>
        <v>800</v>
      </c>
      <c r="BO54" s="96">
        <f t="shared" si="26"/>
        <v>800</v>
      </c>
      <c r="BP54" s="96">
        <f t="shared" si="26"/>
        <v>800</v>
      </c>
      <c r="BQ54" s="96">
        <f t="shared" si="26"/>
        <v>800</v>
      </c>
      <c r="BR54" s="96">
        <f t="shared" si="26"/>
        <v>800</v>
      </c>
      <c r="BS54" s="96">
        <f t="shared" si="26"/>
        <v>800</v>
      </c>
      <c r="BT54" s="96">
        <f t="shared" si="26"/>
        <v>800</v>
      </c>
      <c r="BU54" s="96">
        <f t="shared" si="26"/>
        <v>800</v>
      </c>
      <c r="BV54" s="96">
        <f t="shared" si="26"/>
        <v>800</v>
      </c>
      <c r="BW54" s="96">
        <f t="shared" si="26"/>
        <v>800</v>
      </c>
    </row>
    <row r="55" ht="15.75" customHeight="1">
      <c r="A55" s="1" t="s">
        <v>288</v>
      </c>
      <c r="B55" s="160">
        <f>AVERAGEIFS(55:55,$1:$1,"&gt;="&amp;DATE(YEAR(Current_Month),MONTH(Current_Month)-2,DAY(Current_Month)),$1:$1,"&lt;="&amp;EOMONTH(Current_Month,0))</f>
        <v>3084</v>
      </c>
      <c r="D55" s="76">
        <f t="array" ref="D55">INDEX(INDIRECT("PnL_"&amp;TEXT(D$1,"mmm")&amp;"_"&amp;TEXT(D$1,"yyyy")),MATCH(TRIM($A55),PnL_Accounts,0))</f>
        <v>1356</v>
      </c>
      <c r="E55" s="76">
        <f t="array" ref="E55">INDEX(INDIRECT("PnL_"&amp;TEXT(E$1,"mmm")&amp;"_"&amp;TEXT(E$1,"yyyy")),MATCH(TRIM($A55),PnL_Accounts,0))</f>
        <v>1406</v>
      </c>
      <c r="F55" s="76">
        <f t="array" ref="F55">INDEX(INDIRECT("PnL_"&amp;TEXT(F$1,"mmm")&amp;"_"&amp;TEXT(F$1,"yyyy")),MATCH(TRIM($A55),PnL_Accounts,0))</f>
        <v>1406</v>
      </c>
      <c r="G55" s="76">
        <f t="array" ref="G55">INDEX(INDIRECT("PnL_"&amp;TEXT(G$1,"mmm")&amp;"_"&amp;TEXT(G$1,"yyyy")),MATCH(TRIM($A55),PnL_Accounts,0))</f>
        <v>1406</v>
      </c>
      <c r="H55" s="76">
        <f t="array" ref="H55">INDEX(INDIRECT("PnL_"&amp;TEXT(H$1,"mmm")&amp;"_"&amp;TEXT(H$1,"yyyy")),MATCH(TRIM($A55),PnL_Accounts,0))</f>
        <v>1506</v>
      </c>
      <c r="I55" s="76">
        <f t="array" ref="I55">INDEX(INDIRECT("PnL_"&amp;TEXT(I$1,"mmm")&amp;"_"&amp;TEXT(I$1,"yyyy")),MATCH(TRIM($A55),PnL_Accounts,0))</f>
        <v>1506</v>
      </c>
      <c r="J55" s="76">
        <f t="array" ref="J55">INDEX(INDIRECT("PnL_"&amp;TEXT(J$1,"mmm")&amp;"_"&amp;TEXT(J$1,"yyyy")),MATCH(TRIM($A55),PnL_Accounts,0))</f>
        <v>1506</v>
      </c>
      <c r="K55" s="76">
        <f t="array" ref="K55">INDEX(INDIRECT("PnL_"&amp;TEXT(K$1,"mmm")&amp;"_"&amp;TEXT(K$1,"yyyy")),MATCH(TRIM($A55),PnL_Accounts,0))</f>
        <v>1556</v>
      </c>
      <c r="L55" s="76">
        <f t="array" ref="L55">INDEX(INDIRECT("PnL_"&amp;TEXT(L$1,"mmm")&amp;"_"&amp;TEXT(L$1,"yyyy")),MATCH(TRIM($A55),PnL_Accounts,0))</f>
        <v>1683</v>
      </c>
      <c r="M55" s="76">
        <f t="array" ref="M55">INDEX(INDIRECT("PnL_"&amp;TEXT(M$1,"mmm")&amp;"_"&amp;TEXT(M$1,"yyyy")),MATCH(TRIM($A55),PnL_Accounts,0))</f>
        <v>1683</v>
      </c>
      <c r="N55" s="76">
        <f t="array" ref="N55">INDEX(INDIRECT("PnL_"&amp;TEXT(N$1,"mmm")&amp;"_"&amp;TEXT(N$1,"yyyy")),MATCH(TRIM($A55),PnL_Accounts,0))</f>
        <v>1750</v>
      </c>
      <c r="O55" s="76">
        <f t="array" ref="O55">INDEX(INDIRECT("PnL_"&amp;TEXT(O$1,"mmm")&amp;"_"&amp;TEXT(O$1,"yyyy")),MATCH(TRIM($A55),PnL_Accounts,0))</f>
        <v>1892</v>
      </c>
      <c r="P55" s="76">
        <f t="array" ref="P55">INDEX(INDIRECT("PnL_"&amp;TEXT(P$1,"mmm")&amp;"_"&amp;TEXT(P$1,"yyyy")),MATCH(TRIM($A55),PnL_Accounts,0))</f>
        <v>1931</v>
      </c>
      <c r="Q55" s="76">
        <f t="array" ref="Q55">INDEX(INDIRECT("PnL_"&amp;TEXT(Q$1,"mmm")&amp;"_"&amp;TEXT(Q$1,"yyyy")),MATCH(TRIM($A55),PnL_Accounts,0))</f>
        <v>1907</v>
      </c>
      <c r="R55" s="76">
        <f t="array" ref="R55">INDEX(INDIRECT("PnL_"&amp;TEXT(R$1,"mmm")&amp;"_"&amp;TEXT(R$1,"yyyy")),MATCH(TRIM($A55),PnL_Accounts,0))</f>
        <v>2007</v>
      </c>
      <c r="S55" s="76">
        <f t="array" ref="S55">INDEX(INDIRECT("PnL_"&amp;TEXT(S$1,"mmm")&amp;"_"&amp;TEXT(S$1,"yyyy")),MATCH(TRIM($A55),PnL_Accounts,0))</f>
        <v>2276</v>
      </c>
      <c r="T55" s="76">
        <f t="array" ref="T55">INDEX(INDIRECT("PnL_"&amp;TEXT(T$1,"mmm")&amp;"_"&amp;TEXT(T$1,"yyyy")),MATCH(TRIM($A55),PnL_Accounts,0))</f>
        <v>1983</v>
      </c>
      <c r="U55" s="76">
        <f t="array" ref="U55">INDEX(INDIRECT("PnL_"&amp;TEXT(U$1,"mmm")&amp;"_"&amp;TEXT(U$1,"yyyy")),MATCH(TRIM($A55),PnL_Accounts,0))</f>
        <v>2451</v>
      </c>
      <c r="V55" s="76">
        <f t="array" ref="V55">INDEX(INDIRECT("PnL_"&amp;TEXT(V$1,"mmm")&amp;"_"&amp;TEXT(V$1,"yyyy")),MATCH(TRIM($A55),PnL_Accounts,0))</f>
        <v>2550</v>
      </c>
      <c r="W55" s="76">
        <f t="array" ref="W55">INDEX(INDIRECT("PnL_"&amp;TEXT(W$1,"mmm")&amp;"_"&amp;TEXT(W$1,"yyyy")),MATCH(TRIM($A55),PnL_Accounts,0))</f>
        <v>2621</v>
      </c>
      <c r="X55" s="76">
        <f t="array" ref="X55">INDEX(INDIRECT("PnL_"&amp;TEXT(X$1,"mmm")&amp;"_"&amp;TEXT(X$1,"yyyy")),MATCH(TRIM($A55),PnL_Accounts,0))</f>
        <v>2621</v>
      </c>
      <c r="Y55" s="76">
        <f t="array" ref="Y55">INDEX(INDIRECT("PnL_"&amp;TEXT(Y$1,"mmm")&amp;"_"&amp;TEXT(Y$1,"yyyy")),MATCH(TRIM($A55),PnL_Accounts,0))</f>
        <v>2437</v>
      </c>
      <c r="Z55" s="76">
        <f t="array" ref="Z55">INDEX(INDIRECT("PnL_"&amp;TEXT(Z$1,"mmm")&amp;"_"&amp;TEXT(Z$1,"yyyy")),MATCH(TRIM($A55),PnL_Accounts,0))</f>
        <v>2973</v>
      </c>
      <c r="AA55" s="76">
        <f t="array" ref="AA55">INDEX(INDIRECT("PnL_"&amp;TEXT(AA$1,"mmm")&amp;"_"&amp;TEXT(AA$1,"yyyy")),MATCH(TRIM($A55),PnL_Accounts,0))</f>
        <v>2736</v>
      </c>
      <c r="AB55" s="76">
        <f t="array" ref="AB55">INDEX(INDIRECT("PnL_"&amp;TEXT(AB$1,"mmm")&amp;"_"&amp;TEXT(AB$1,"yyyy")),MATCH(TRIM($A55),PnL_Accounts,0))</f>
        <v>2978</v>
      </c>
      <c r="AC55" s="76">
        <f t="array" ref="AC55">INDEX(INDIRECT("PnL_"&amp;TEXT(AC$1,"mmm")&amp;"_"&amp;TEXT(AC$1,"yyyy")),MATCH(TRIM($A55),PnL_Accounts,0))</f>
        <v>3241</v>
      </c>
      <c r="AD55" s="76">
        <f t="array" ref="AD55">INDEX(INDIRECT("PnL_"&amp;TEXT(AD$1,"mmm")&amp;"_"&amp;TEXT(AD$1,"yyyy")),MATCH(TRIM($A55),PnL_Accounts,0))</f>
        <v>3111</v>
      </c>
      <c r="AE55" s="76">
        <f t="array" ref="AE55">INDEX(INDIRECT("PnL_"&amp;TEXT(AE$1,"mmm")&amp;"_"&amp;TEXT(AE$1,"yyyy")),MATCH(TRIM($A55),PnL_Accounts,0))</f>
        <v>2900</v>
      </c>
      <c r="AF55" s="96">
        <f t="shared" ref="AF55:BW55" si="27">$B55</f>
        <v>3084</v>
      </c>
      <c r="AG55" s="96">
        <f t="shared" si="27"/>
        <v>3084</v>
      </c>
      <c r="AH55" s="96">
        <f t="shared" si="27"/>
        <v>3084</v>
      </c>
      <c r="AI55" s="96">
        <f t="shared" si="27"/>
        <v>3084</v>
      </c>
      <c r="AJ55" s="96">
        <f t="shared" si="27"/>
        <v>3084</v>
      </c>
      <c r="AK55" s="96">
        <f t="shared" si="27"/>
        <v>3084</v>
      </c>
      <c r="AL55" s="96">
        <f t="shared" si="27"/>
        <v>3084</v>
      </c>
      <c r="AM55" s="96">
        <f t="shared" si="27"/>
        <v>3084</v>
      </c>
      <c r="AN55" s="96">
        <f t="shared" si="27"/>
        <v>3084</v>
      </c>
      <c r="AO55" s="96">
        <f t="shared" si="27"/>
        <v>3084</v>
      </c>
      <c r="AP55" s="96">
        <f t="shared" si="27"/>
        <v>3084</v>
      </c>
      <c r="AQ55" s="96">
        <f t="shared" si="27"/>
        <v>3084</v>
      </c>
      <c r="AR55" s="96">
        <f t="shared" si="27"/>
        <v>3084</v>
      </c>
      <c r="AS55" s="96">
        <f t="shared" si="27"/>
        <v>3084</v>
      </c>
      <c r="AT55" s="96">
        <f t="shared" si="27"/>
        <v>3084</v>
      </c>
      <c r="AU55" s="96">
        <f t="shared" si="27"/>
        <v>3084</v>
      </c>
      <c r="AV55" s="96">
        <f t="shared" si="27"/>
        <v>3084</v>
      </c>
      <c r="AW55" s="96">
        <f t="shared" si="27"/>
        <v>3084</v>
      </c>
      <c r="AX55" s="96">
        <f t="shared" si="27"/>
        <v>3084</v>
      </c>
      <c r="AY55" s="96">
        <f t="shared" si="27"/>
        <v>3084</v>
      </c>
      <c r="AZ55" s="96">
        <f t="shared" si="27"/>
        <v>3084</v>
      </c>
      <c r="BA55" s="96">
        <f t="shared" si="27"/>
        <v>3084</v>
      </c>
      <c r="BB55" s="96">
        <f t="shared" si="27"/>
        <v>3084</v>
      </c>
      <c r="BC55" s="96">
        <f t="shared" si="27"/>
        <v>3084</v>
      </c>
      <c r="BD55" s="96">
        <f t="shared" si="27"/>
        <v>3084</v>
      </c>
      <c r="BE55" s="96">
        <f t="shared" si="27"/>
        <v>3084</v>
      </c>
      <c r="BF55" s="96">
        <f t="shared" si="27"/>
        <v>3084</v>
      </c>
      <c r="BG55" s="96">
        <f t="shared" si="27"/>
        <v>3084</v>
      </c>
      <c r="BH55" s="96">
        <f t="shared" si="27"/>
        <v>3084</v>
      </c>
      <c r="BI55" s="96">
        <f t="shared" si="27"/>
        <v>3084</v>
      </c>
      <c r="BJ55" s="96">
        <f t="shared" si="27"/>
        <v>3084</v>
      </c>
      <c r="BK55" s="96">
        <f t="shared" si="27"/>
        <v>3084</v>
      </c>
      <c r="BL55" s="96">
        <f t="shared" si="27"/>
        <v>3084</v>
      </c>
      <c r="BM55" s="96">
        <f t="shared" si="27"/>
        <v>3084</v>
      </c>
      <c r="BN55" s="96">
        <f t="shared" si="27"/>
        <v>3084</v>
      </c>
      <c r="BO55" s="96">
        <f t="shared" si="27"/>
        <v>3084</v>
      </c>
      <c r="BP55" s="96">
        <f t="shared" si="27"/>
        <v>3084</v>
      </c>
      <c r="BQ55" s="96">
        <f t="shared" si="27"/>
        <v>3084</v>
      </c>
      <c r="BR55" s="96">
        <f t="shared" si="27"/>
        <v>3084</v>
      </c>
      <c r="BS55" s="96">
        <f t="shared" si="27"/>
        <v>3084</v>
      </c>
      <c r="BT55" s="96">
        <f t="shared" si="27"/>
        <v>3084</v>
      </c>
      <c r="BU55" s="96">
        <f t="shared" si="27"/>
        <v>3084</v>
      </c>
      <c r="BV55" s="96">
        <f t="shared" si="27"/>
        <v>3084</v>
      </c>
      <c r="BW55" s="96">
        <f t="shared" si="27"/>
        <v>3084</v>
      </c>
    </row>
    <row r="56" ht="15.75" customHeight="1">
      <c r="A56" s="1" t="s">
        <v>289</v>
      </c>
      <c r="B56" s="159"/>
      <c r="D56" s="76" t="str">
        <f t="array" ref="D56">INDEX(INDIRECT("PnL_"&amp;TEXT(D$1,"mmm")&amp;"_"&amp;TEXT(D$1,"yyyy")),MATCH(TRIM($A56),PnL_Accounts,0))</f>
        <v/>
      </c>
      <c r="E56" s="76" t="str">
        <f t="array" ref="E56">INDEX(INDIRECT("PnL_"&amp;TEXT(E$1,"mmm")&amp;"_"&amp;TEXT(E$1,"yyyy")),MATCH(TRIM($A56),PnL_Accounts,0))</f>
        <v/>
      </c>
      <c r="F56" s="76" t="str">
        <f t="array" ref="F56">INDEX(INDIRECT("PnL_"&amp;TEXT(F$1,"mmm")&amp;"_"&amp;TEXT(F$1,"yyyy")),MATCH(TRIM($A56),PnL_Accounts,0))</f>
        <v/>
      </c>
      <c r="G56" s="76" t="str">
        <f t="array" ref="G56">INDEX(INDIRECT("PnL_"&amp;TEXT(G$1,"mmm")&amp;"_"&amp;TEXT(G$1,"yyyy")),MATCH(TRIM($A56),PnL_Accounts,0))</f>
        <v/>
      </c>
      <c r="H56" s="76" t="str">
        <f t="array" ref="H56">INDEX(INDIRECT("PnL_"&amp;TEXT(H$1,"mmm")&amp;"_"&amp;TEXT(H$1,"yyyy")),MATCH(TRIM($A56),PnL_Accounts,0))</f>
        <v/>
      </c>
      <c r="I56" s="76" t="str">
        <f t="array" ref="I56">INDEX(INDIRECT("PnL_"&amp;TEXT(I$1,"mmm")&amp;"_"&amp;TEXT(I$1,"yyyy")),MATCH(TRIM($A56),PnL_Accounts,0))</f>
        <v/>
      </c>
      <c r="J56" s="76" t="str">
        <f t="array" ref="J56">INDEX(INDIRECT("PnL_"&amp;TEXT(J$1,"mmm")&amp;"_"&amp;TEXT(J$1,"yyyy")),MATCH(TRIM($A56),PnL_Accounts,0))</f>
        <v/>
      </c>
      <c r="K56" s="76" t="str">
        <f t="array" ref="K56">INDEX(INDIRECT("PnL_"&amp;TEXT(K$1,"mmm")&amp;"_"&amp;TEXT(K$1,"yyyy")),MATCH(TRIM($A56),PnL_Accounts,0))</f>
        <v/>
      </c>
      <c r="L56" s="76" t="str">
        <f t="array" ref="L56">INDEX(INDIRECT("PnL_"&amp;TEXT(L$1,"mmm")&amp;"_"&amp;TEXT(L$1,"yyyy")),MATCH(TRIM($A56),PnL_Accounts,0))</f>
        <v/>
      </c>
      <c r="M56" s="76" t="str">
        <f t="array" ref="M56">INDEX(INDIRECT("PnL_"&amp;TEXT(M$1,"mmm")&amp;"_"&amp;TEXT(M$1,"yyyy")),MATCH(TRIM($A56),PnL_Accounts,0))</f>
        <v/>
      </c>
      <c r="N56" s="76" t="str">
        <f t="array" ref="N56">INDEX(INDIRECT("PnL_"&amp;TEXT(N$1,"mmm")&amp;"_"&amp;TEXT(N$1,"yyyy")),MATCH(TRIM($A56),PnL_Accounts,0))</f>
        <v/>
      </c>
      <c r="O56" s="76" t="str">
        <f t="array" ref="O56">INDEX(INDIRECT("PnL_"&amp;TEXT(O$1,"mmm")&amp;"_"&amp;TEXT(O$1,"yyyy")),MATCH(TRIM($A56),PnL_Accounts,0))</f>
        <v/>
      </c>
      <c r="P56" s="76" t="str">
        <f t="array" ref="P56">INDEX(INDIRECT("PnL_"&amp;TEXT(P$1,"mmm")&amp;"_"&amp;TEXT(P$1,"yyyy")),MATCH(TRIM($A56),PnL_Accounts,0))</f>
        <v/>
      </c>
      <c r="Q56" s="76" t="str">
        <f t="array" ref="Q56">INDEX(INDIRECT("PnL_"&amp;TEXT(Q$1,"mmm")&amp;"_"&amp;TEXT(Q$1,"yyyy")),MATCH(TRIM($A56),PnL_Accounts,0))</f>
        <v/>
      </c>
      <c r="R56" s="76" t="str">
        <f t="array" ref="R56">INDEX(INDIRECT("PnL_"&amp;TEXT(R$1,"mmm")&amp;"_"&amp;TEXT(R$1,"yyyy")),MATCH(TRIM($A56),PnL_Accounts,0))</f>
        <v/>
      </c>
      <c r="S56" s="76" t="str">
        <f t="array" ref="S56">INDEX(INDIRECT("PnL_"&amp;TEXT(S$1,"mmm")&amp;"_"&amp;TEXT(S$1,"yyyy")),MATCH(TRIM($A56),PnL_Accounts,0))</f>
        <v/>
      </c>
      <c r="T56" s="76" t="str">
        <f t="array" ref="T56">INDEX(INDIRECT("PnL_"&amp;TEXT(T$1,"mmm")&amp;"_"&amp;TEXT(T$1,"yyyy")),MATCH(TRIM($A56),PnL_Accounts,0))</f>
        <v/>
      </c>
      <c r="U56" s="76" t="str">
        <f t="array" ref="U56">INDEX(INDIRECT("PnL_"&amp;TEXT(U$1,"mmm")&amp;"_"&amp;TEXT(U$1,"yyyy")),MATCH(TRIM($A56),PnL_Accounts,0))</f>
        <v/>
      </c>
      <c r="V56" s="76" t="str">
        <f t="array" ref="V56">INDEX(INDIRECT("PnL_"&amp;TEXT(V$1,"mmm")&amp;"_"&amp;TEXT(V$1,"yyyy")),MATCH(TRIM($A56),PnL_Accounts,0))</f>
        <v/>
      </c>
      <c r="W56" s="76" t="str">
        <f t="array" ref="W56">INDEX(INDIRECT("PnL_"&amp;TEXT(W$1,"mmm")&amp;"_"&amp;TEXT(W$1,"yyyy")),MATCH(TRIM($A56),PnL_Accounts,0))</f>
        <v/>
      </c>
      <c r="X56" s="76" t="str">
        <f t="array" ref="X56">INDEX(INDIRECT("PnL_"&amp;TEXT(X$1,"mmm")&amp;"_"&amp;TEXT(X$1,"yyyy")),MATCH(TRIM($A56),PnL_Accounts,0))</f>
        <v/>
      </c>
      <c r="Y56" s="76" t="str">
        <f t="array" ref="Y56">INDEX(INDIRECT("PnL_"&amp;TEXT(Y$1,"mmm")&amp;"_"&amp;TEXT(Y$1,"yyyy")),MATCH(TRIM($A56),PnL_Accounts,0))</f>
        <v/>
      </c>
      <c r="Z56" s="76" t="str">
        <f t="array" ref="Z56">INDEX(INDIRECT("PnL_"&amp;TEXT(Z$1,"mmm")&amp;"_"&amp;TEXT(Z$1,"yyyy")),MATCH(TRIM($A56),PnL_Accounts,0))</f>
        <v/>
      </c>
      <c r="AA56" s="76" t="str">
        <f t="array" ref="AA56">INDEX(INDIRECT("PnL_"&amp;TEXT(AA$1,"mmm")&amp;"_"&amp;TEXT(AA$1,"yyyy")),MATCH(TRIM($A56),PnL_Accounts,0))</f>
        <v/>
      </c>
      <c r="AB56" s="76" t="str">
        <f t="array" ref="AB56">INDEX(INDIRECT("PnL_"&amp;TEXT(AB$1,"mmm")&amp;"_"&amp;TEXT(AB$1,"yyyy")),MATCH(TRIM($A56),PnL_Accounts,0))</f>
        <v/>
      </c>
      <c r="AC56" s="76" t="str">
        <f t="array" ref="AC56">INDEX(INDIRECT("PnL_"&amp;TEXT(AC$1,"mmm")&amp;"_"&amp;TEXT(AC$1,"yyyy")),MATCH(TRIM($A56),PnL_Accounts,0))</f>
        <v/>
      </c>
      <c r="AD56" s="76" t="str">
        <f t="array" ref="AD56">INDEX(INDIRECT("PnL_"&amp;TEXT(AD$1,"mmm")&amp;"_"&amp;TEXT(AD$1,"yyyy")),MATCH(TRIM($A56),PnL_Accounts,0))</f>
        <v/>
      </c>
      <c r="AE56" s="76" t="str">
        <f t="array" ref="AE56">INDEX(INDIRECT("PnL_"&amp;TEXT(AE$1,"mmm")&amp;"_"&amp;TEXT(AE$1,"yyyy")),MATCH(TRIM($A56),PnL_Accounts,0))</f>
        <v/>
      </c>
    </row>
    <row r="57" ht="15.75" customHeight="1">
      <c r="A57" s="1" t="s">
        <v>290</v>
      </c>
      <c r="B57" s="160">
        <f>AVERAGEIFS(57:57,$1:$1,"&gt;="&amp;DATE(YEAR(Current_Month),MONTH(Current_Month)-2,DAY(Current_Month)),$1:$1,"&lt;="&amp;EOMONTH(Current_Month,0))</f>
        <v>3358.333333</v>
      </c>
      <c r="D57" s="76">
        <f t="array" ref="D57">INDEX(INDIRECT("PnL_"&amp;TEXT(D$1,"mmm")&amp;"_"&amp;TEXT(D$1,"yyyy")),MATCH(TRIM($A57),PnL_Accounts,0))</f>
        <v>3404</v>
      </c>
      <c r="E57" s="76">
        <f t="array" ref="E57">INDEX(INDIRECT("PnL_"&amp;TEXT(E$1,"mmm")&amp;"_"&amp;TEXT(E$1,"yyyy")),MATCH(TRIM($A57),PnL_Accounts,0))</f>
        <v>3380</v>
      </c>
      <c r="F57" s="76">
        <f t="array" ref="F57">INDEX(INDIRECT("PnL_"&amp;TEXT(F$1,"mmm")&amp;"_"&amp;TEXT(F$1,"yyyy")),MATCH(TRIM($A57),PnL_Accounts,0))</f>
        <v>3666</v>
      </c>
      <c r="G57" s="76">
        <f t="array" ref="G57">INDEX(INDIRECT("PnL_"&amp;TEXT(G$1,"mmm")&amp;"_"&amp;TEXT(G$1,"yyyy")),MATCH(TRIM($A57),PnL_Accounts,0))</f>
        <v>3752</v>
      </c>
      <c r="H57" s="76">
        <f t="array" ref="H57">INDEX(INDIRECT("PnL_"&amp;TEXT(H$1,"mmm")&amp;"_"&amp;TEXT(H$1,"yyyy")),MATCH(TRIM($A57),PnL_Accounts,0))</f>
        <v>3906</v>
      </c>
      <c r="I57" s="76">
        <f t="array" ref="I57">INDEX(INDIRECT("PnL_"&amp;TEXT(I$1,"mmm")&amp;"_"&amp;TEXT(I$1,"yyyy")),MATCH(TRIM($A57),PnL_Accounts,0))</f>
        <v>4023</v>
      </c>
      <c r="J57" s="76">
        <f t="array" ref="J57">INDEX(INDIRECT("PnL_"&amp;TEXT(J$1,"mmm")&amp;"_"&amp;TEXT(J$1,"yyyy")),MATCH(TRIM($A57),PnL_Accounts,0))</f>
        <v>4190</v>
      </c>
      <c r="K57" s="76">
        <f t="array" ref="K57">INDEX(INDIRECT("PnL_"&amp;TEXT(K$1,"mmm")&amp;"_"&amp;TEXT(K$1,"yyyy")),MATCH(TRIM($A57),PnL_Accounts,0))</f>
        <v>4130</v>
      </c>
      <c r="L57" s="76">
        <f t="array" ref="L57">INDEX(INDIRECT("PnL_"&amp;TEXT(L$1,"mmm")&amp;"_"&amp;TEXT(L$1,"yyyy")),MATCH(TRIM($A57),PnL_Accounts,0))</f>
        <v>4250</v>
      </c>
      <c r="M57" s="76">
        <f t="array" ref="M57">INDEX(INDIRECT("PnL_"&amp;TEXT(M$1,"mmm")&amp;"_"&amp;TEXT(M$1,"yyyy")),MATCH(TRIM($A57),PnL_Accounts,0))</f>
        <v>3959</v>
      </c>
      <c r="N57" s="76">
        <f t="array" ref="N57">INDEX(INDIRECT("PnL_"&amp;TEXT(N$1,"mmm")&amp;"_"&amp;TEXT(N$1,"yyyy")),MATCH(TRIM($A57),PnL_Accounts,0))</f>
        <v>4198</v>
      </c>
      <c r="O57" s="76">
        <f t="array" ref="O57">INDEX(INDIRECT("PnL_"&amp;TEXT(O$1,"mmm")&amp;"_"&amp;TEXT(O$1,"yyyy")),MATCH(TRIM($A57),PnL_Accounts,0))</f>
        <v>4432</v>
      </c>
      <c r="P57" s="76">
        <f t="array" ref="P57">INDEX(INDIRECT("PnL_"&amp;TEXT(P$1,"mmm")&amp;"_"&amp;TEXT(P$1,"yyyy")),MATCH(TRIM($A57),PnL_Accounts,0))</f>
        <v>4377</v>
      </c>
      <c r="Q57" s="76">
        <f t="array" ref="Q57">INDEX(INDIRECT("PnL_"&amp;TEXT(Q$1,"mmm")&amp;"_"&amp;TEXT(Q$1,"yyyy")),MATCH(TRIM($A57),PnL_Accounts,0))</f>
        <v>4577</v>
      </c>
      <c r="R57" s="76">
        <f t="array" ref="R57">INDEX(INDIRECT("PnL_"&amp;TEXT(R$1,"mmm")&amp;"_"&amp;TEXT(R$1,"yyyy")),MATCH(TRIM($A57),PnL_Accounts,0))</f>
        <v>5005</v>
      </c>
      <c r="S57" s="76">
        <f t="array" ref="S57">INDEX(INDIRECT("PnL_"&amp;TEXT(S$1,"mmm")&amp;"_"&amp;TEXT(S$1,"yyyy")),MATCH(TRIM($A57),PnL_Accounts,0))</f>
        <v>5233</v>
      </c>
      <c r="T57" s="76">
        <f t="array" ref="T57">INDEX(INDIRECT("PnL_"&amp;TEXT(T$1,"mmm")&amp;"_"&amp;TEXT(T$1,"yyyy")),MATCH(TRIM($A57),PnL_Accounts,0))</f>
        <v>4572</v>
      </c>
      <c r="U57" s="76">
        <f t="array" ref="U57">INDEX(INDIRECT("PnL_"&amp;TEXT(U$1,"mmm")&amp;"_"&amp;TEXT(U$1,"yyyy")),MATCH(TRIM($A57),PnL_Accounts,0))</f>
        <v>4871</v>
      </c>
      <c r="V57" s="76">
        <f t="array" ref="V57">INDEX(INDIRECT("PnL_"&amp;TEXT(V$1,"mmm")&amp;"_"&amp;TEXT(V$1,"yyyy")),MATCH(TRIM($A57),PnL_Accounts,0))</f>
        <v>4938</v>
      </c>
      <c r="W57" s="76">
        <f t="array" ref="W57">INDEX(INDIRECT("PnL_"&amp;TEXT(W$1,"mmm")&amp;"_"&amp;TEXT(W$1,"yyyy")),MATCH(TRIM($A57),PnL_Accounts,0))</f>
        <v>5121</v>
      </c>
      <c r="X57" s="76">
        <f t="array" ref="X57">INDEX(INDIRECT("PnL_"&amp;TEXT(X$1,"mmm")&amp;"_"&amp;TEXT(X$1,"yyyy")),MATCH(TRIM($A57),PnL_Accounts,0))</f>
        <v>7552</v>
      </c>
      <c r="Y57" s="76">
        <f t="array" ref="Y57">INDEX(INDIRECT("PnL_"&amp;TEXT(Y$1,"mmm")&amp;"_"&amp;TEXT(Y$1,"yyyy")),MATCH(TRIM($A57),PnL_Accounts,0))</f>
        <v>8503</v>
      </c>
      <c r="Z57" s="76">
        <f t="array" ref="Z57">INDEX(INDIRECT("PnL_"&amp;TEXT(Z$1,"mmm")&amp;"_"&amp;TEXT(Z$1,"yyyy")),MATCH(TRIM($A57),PnL_Accounts,0))</f>
        <v>9078</v>
      </c>
      <c r="AA57" s="76">
        <f t="array" ref="AA57">INDEX(INDIRECT("PnL_"&amp;TEXT(AA$1,"mmm")&amp;"_"&amp;TEXT(AA$1,"yyyy")),MATCH(TRIM($A57),PnL_Accounts,0))</f>
        <v>9076</v>
      </c>
      <c r="AB57" s="76">
        <f t="array" ref="AB57">INDEX(INDIRECT("PnL_"&amp;TEXT(AB$1,"mmm")&amp;"_"&amp;TEXT(AB$1,"yyyy")),MATCH(TRIM($A57),PnL_Accounts,0))</f>
        <v>9257</v>
      </c>
      <c r="AC57" s="76">
        <f t="array" ref="AC57">INDEX(INDIRECT("PnL_"&amp;TEXT(AC$1,"mmm")&amp;"_"&amp;TEXT(AC$1,"yyyy")),MATCH(TRIM($A57),PnL_Accounts,0))</f>
        <v>8975</v>
      </c>
      <c r="AD57" s="76">
        <f t="array" ref="AD57">INDEX(INDIRECT("PnL_"&amp;TEXT(AD$1,"mmm")&amp;"_"&amp;TEXT(AD$1,"yyyy")),MATCH(TRIM($A57),PnL_Accounts,0))</f>
        <v>1100</v>
      </c>
      <c r="AE57" s="76">
        <f t="array" ref="AE57">INDEX(INDIRECT("PnL_"&amp;TEXT(AE$1,"mmm")&amp;"_"&amp;TEXT(AE$1,"yyyy")),MATCH(TRIM($A57),PnL_Accounts,0))</f>
        <v>0</v>
      </c>
      <c r="AF57" s="121">
        <v>0.0</v>
      </c>
      <c r="AG57" s="121">
        <v>0.0</v>
      </c>
      <c r="AH57" s="121">
        <v>0.0</v>
      </c>
      <c r="AI57" s="121">
        <f t="shared" ref="AI57:AJ57" si="28">$B57/2</f>
        <v>1679.166667</v>
      </c>
      <c r="AJ57" s="121">
        <f t="shared" si="28"/>
        <v>1679.166667</v>
      </c>
      <c r="AK57" s="96">
        <f t="shared" ref="AK57:BW57" si="29">$B57</f>
        <v>3358.333333</v>
      </c>
      <c r="AL57" s="96">
        <f t="shared" si="29"/>
        <v>3358.333333</v>
      </c>
      <c r="AM57" s="96">
        <f t="shared" si="29"/>
        <v>3358.333333</v>
      </c>
      <c r="AN57" s="96">
        <f t="shared" si="29"/>
        <v>3358.333333</v>
      </c>
      <c r="AO57" s="96">
        <f t="shared" si="29"/>
        <v>3358.333333</v>
      </c>
      <c r="AP57" s="96">
        <f t="shared" si="29"/>
        <v>3358.333333</v>
      </c>
      <c r="AQ57" s="96">
        <f t="shared" si="29"/>
        <v>3358.333333</v>
      </c>
      <c r="AR57" s="96">
        <f t="shared" si="29"/>
        <v>3358.333333</v>
      </c>
      <c r="AS57" s="96">
        <f t="shared" si="29"/>
        <v>3358.333333</v>
      </c>
      <c r="AT57" s="96">
        <f t="shared" si="29"/>
        <v>3358.333333</v>
      </c>
      <c r="AU57" s="96">
        <f t="shared" si="29"/>
        <v>3358.333333</v>
      </c>
      <c r="AV57" s="96">
        <f t="shared" si="29"/>
        <v>3358.333333</v>
      </c>
      <c r="AW57" s="96">
        <f t="shared" si="29"/>
        <v>3358.333333</v>
      </c>
      <c r="AX57" s="96">
        <f t="shared" si="29"/>
        <v>3358.333333</v>
      </c>
      <c r="AY57" s="96">
        <f t="shared" si="29"/>
        <v>3358.333333</v>
      </c>
      <c r="AZ57" s="96">
        <f t="shared" si="29"/>
        <v>3358.333333</v>
      </c>
      <c r="BA57" s="96">
        <f t="shared" si="29"/>
        <v>3358.333333</v>
      </c>
      <c r="BB57" s="96">
        <f t="shared" si="29"/>
        <v>3358.333333</v>
      </c>
      <c r="BC57" s="96">
        <f t="shared" si="29"/>
        <v>3358.333333</v>
      </c>
      <c r="BD57" s="96">
        <f t="shared" si="29"/>
        <v>3358.333333</v>
      </c>
      <c r="BE57" s="96">
        <f t="shared" si="29"/>
        <v>3358.333333</v>
      </c>
      <c r="BF57" s="96">
        <f t="shared" si="29"/>
        <v>3358.333333</v>
      </c>
      <c r="BG57" s="96">
        <f t="shared" si="29"/>
        <v>3358.333333</v>
      </c>
      <c r="BH57" s="96">
        <f t="shared" si="29"/>
        <v>3358.333333</v>
      </c>
      <c r="BI57" s="96">
        <f t="shared" si="29"/>
        <v>3358.333333</v>
      </c>
      <c r="BJ57" s="96">
        <f t="shared" si="29"/>
        <v>3358.333333</v>
      </c>
      <c r="BK57" s="96">
        <f t="shared" si="29"/>
        <v>3358.333333</v>
      </c>
      <c r="BL57" s="96">
        <f t="shared" si="29"/>
        <v>3358.333333</v>
      </c>
      <c r="BM57" s="96">
        <f t="shared" si="29"/>
        <v>3358.333333</v>
      </c>
      <c r="BN57" s="96">
        <f t="shared" si="29"/>
        <v>3358.333333</v>
      </c>
      <c r="BO57" s="96">
        <f t="shared" si="29"/>
        <v>3358.333333</v>
      </c>
      <c r="BP57" s="96">
        <f t="shared" si="29"/>
        <v>3358.333333</v>
      </c>
      <c r="BQ57" s="96">
        <f t="shared" si="29"/>
        <v>3358.333333</v>
      </c>
      <c r="BR57" s="96">
        <f t="shared" si="29"/>
        <v>3358.333333</v>
      </c>
      <c r="BS57" s="96">
        <f t="shared" si="29"/>
        <v>3358.333333</v>
      </c>
      <c r="BT57" s="96">
        <f t="shared" si="29"/>
        <v>3358.333333</v>
      </c>
      <c r="BU57" s="96">
        <f t="shared" si="29"/>
        <v>3358.333333</v>
      </c>
      <c r="BV57" s="96">
        <f t="shared" si="29"/>
        <v>3358.333333</v>
      </c>
      <c r="BW57" s="96">
        <f t="shared" si="29"/>
        <v>3358.333333</v>
      </c>
    </row>
    <row r="58" ht="15.75" customHeight="1">
      <c r="A58" s="1" t="s">
        <v>291</v>
      </c>
      <c r="B58" s="160">
        <f>AVERAGEIFS(58:58,$1:$1,"&gt;="&amp;DATE(YEAR(Current_Month),MONTH(Current_Month)-2,DAY(Current_Month)),$1:$1,"&lt;="&amp;EOMONTH(Current_Month,0))</f>
        <v>3360</v>
      </c>
      <c r="D58" s="76">
        <f t="array" ref="D58">INDEX(INDIRECT("PnL_"&amp;TEXT(D$1,"mmm")&amp;"_"&amp;TEXT(D$1,"yyyy")),MATCH(TRIM($A58),PnL_Accounts,0))</f>
        <v>2487</v>
      </c>
      <c r="E58" s="76">
        <f t="array" ref="E58">INDEX(INDIRECT("PnL_"&amp;TEXT(E$1,"mmm")&amp;"_"&amp;TEXT(E$1,"yyyy")),MATCH(TRIM($A58),PnL_Accounts,0))</f>
        <v>2849</v>
      </c>
      <c r="F58" s="76">
        <f t="array" ref="F58">INDEX(INDIRECT("PnL_"&amp;TEXT(F$1,"mmm")&amp;"_"&amp;TEXT(F$1,"yyyy")),MATCH(TRIM($A58),PnL_Accounts,0))</f>
        <v>3138</v>
      </c>
      <c r="G58" s="76">
        <f t="array" ref="G58">INDEX(INDIRECT("PnL_"&amp;TEXT(G$1,"mmm")&amp;"_"&amp;TEXT(G$1,"yyyy")),MATCH(TRIM($A58),PnL_Accounts,0))</f>
        <v>3532</v>
      </c>
      <c r="H58" s="76">
        <f t="array" ref="H58">INDEX(INDIRECT("PnL_"&amp;TEXT(H$1,"mmm")&amp;"_"&amp;TEXT(H$1,"yyyy")),MATCH(TRIM($A58),PnL_Accounts,0))</f>
        <v>3337</v>
      </c>
      <c r="I58" s="76">
        <f t="array" ref="I58">INDEX(INDIRECT("PnL_"&amp;TEXT(I$1,"mmm")&amp;"_"&amp;TEXT(I$1,"yyyy")),MATCH(TRIM($A58),PnL_Accounts,0))</f>
        <v>3267</v>
      </c>
      <c r="J58" s="76">
        <f t="array" ref="J58">INDEX(INDIRECT("PnL_"&amp;TEXT(J$1,"mmm")&amp;"_"&amp;TEXT(J$1,"yyyy")),MATCH(TRIM($A58),PnL_Accounts,0))</f>
        <v>3451</v>
      </c>
      <c r="K58" s="76">
        <f t="array" ref="K58">INDEX(INDIRECT("PnL_"&amp;TEXT(K$1,"mmm")&amp;"_"&amp;TEXT(K$1,"yyyy")),MATCH(TRIM($A58),PnL_Accounts,0))</f>
        <v>3510</v>
      </c>
      <c r="L58" s="76">
        <f t="array" ref="L58">INDEX(INDIRECT("PnL_"&amp;TEXT(L$1,"mmm")&amp;"_"&amp;TEXT(L$1,"yyyy")),MATCH(TRIM($A58),PnL_Accounts,0))</f>
        <v>3714</v>
      </c>
      <c r="M58" s="76">
        <f t="array" ref="M58">INDEX(INDIRECT("PnL_"&amp;TEXT(M$1,"mmm")&amp;"_"&amp;TEXT(M$1,"yyyy")),MATCH(TRIM($A58),PnL_Accounts,0))</f>
        <v>3628</v>
      </c>
      <c r="N58" s="76">
        <f t="array" ref="N58">INDEX(INDIRECT("PnL_"&amp;TEXT(N$1,"mmm")&amp;"_"&amp;TEXT(N$1,"yyyy")),MATCH(TRIM($A58),PnL_Accounts,0))</f>
        <v>3766</v>
      </c>
      <c r="O58" s="76">
        <f t="array" ref="O58">INDEX(INDIRECT("PnL_"&amp;TEXT(O$1,"mmm")&amp;"_"&amp;TEXT(O$1,"yyyy")),MATCH(TRIM($A58),PnL_Accounts,0))</f>
        <v>3916</v>
      </c>
      <c r="P58" s="76">
        <f t="array" ref="P58">INDEX(INDIRECT("PnL_"&amp;TEXT(P$1,"mmm")&amp;"_"&amp;TEXT(P$1,"yyyy")),MATCH(TRIM($A58),PnL_Accounts,0))</f>
        <v>3839</v>
      </c>
      <c r="Q58" s="76">
        <f t="array" ref="Q58">INDEX(INDIRECT("PnL_"&amp;TEXT(Q$1,"mmm")&amp;"_"&amp;TEXT(Q$1,"yyyy")),MATCH(TRIM($A58),PnL_Accounts,0))</f>
        <v>4341</v>
      </c>
      <c r="R58" s="76">
        <f t="array" ref="R58">INDEX(INDIRECT("PnL_"&amp;TEXT(R$1,"mmm")&amp;"_"&amp;TEXT(R$1,"yyyy")),MATCH(TRIM($A58),PnL_Accounts,0))</f>
        <v>4557</v>
      </c>
      <c r="S58" s="76">
        <f t="array" ref="S58">INDEX(INDIRECT("PnL_"&amp;TEXT(S$1,"mmm")&amp;"_"&amp;TEXT(S$1,"yyyy")),MATCH(TRIM($A58),PnL_Accounts,0))</f>
        <v>4597</v>
      </c>
      <c r="T58" s="76">
        <f t="array" ref="T58">INDEX(INDIRECT("PnL_"&amp;TEXT(T$1,"mmm")&amp;"_"&amp;TEXT(T$1,"yyyy")),MATCH(TRIM($A58),PnL_Accounts,0))</f>
        <v>6113</v>
      </c>
      <c r="U58" s="76">
        <f t="array" ref="U58">INDEX(INDIRECT("PnL_"&amp;TEXT(U$1,"mmm")&amp;"_"&amp;TEXT(U$1,"yyyy")),MATCH(TRIM($A58),PnL_Accounts,0))</f>
        <v>5884</v>
      </c>
      <c r="V58" s="76">
        <f t="array" ref="V58">INDEX(INDIRECT("PnL_"&amp;TEXT(V$1,"mmm")&amp;"_"&amp;TEXT(V$1,"yyyy")),MATCH(TRIM($A58),PnL_Accounts,0))</f>
        <v>6025</v>
      </c>
      <c r="W58" s="76">
        <f t="array" ref="W58">INDEX(INDIRECT("PnL_"&amp;TEXT(W$1,"mmm")&amp;"_"&amp;TEXT(W$1,"yyyy")),MATCH(TRIM($A58),PnL_Accounts,0))</f>
        <v>5831</v>
      </c>
      <c r="X58" s="76">
        <f t="array" ref="X58">INDEX(INDIRECT("PnL_"&amp;TEXT(X$1,"mmm")&amp;"_"&amp;TEXT(X$1,"yyyy")),MATCH(TRIM($A58),PnL_Accounts,0))</f>
        <v>3542</v>
      </c>
      <c r="Y58" s="76">
        <f t="array" ref="Y58">INDEX(INDIRECT("PnL_"&amp;TEXT(Y$1,"mmm")&amp;"_"&amp;TEXT(Y$1,"yyyy")),MATCH(TRIM($A58),PnL_Accounts,0))</f>
        <v>7596</v>
      </c>
      <c r="Z58" s="76">
        <f t="array" ref="Z58">INDEX(INDIRECT("PnL_"&amp;TEXT(Z$1,"mmm")&amp;"_"&amp;TEXT(Z$1,"yyyy")),MATCH(TRIM($A58),PnL_Accounts,0))</f>
        <v>6899</v>
      </c>
      <c r="AA58" s="76">
        <f t="array" ref="AA58">INDEX(INDIRECT("PnL_"&amp;TEXT(AA$1,"mmm")&amp;"_"&amp;TEXT(AA$1,"yyyy")),MATCH(TRIM($A58),PnL_Accounts,0))</f>
        <v>9727</v>
      </c>
      <c r="AB58" s="76">
        <f t="array" ref="AB58">INDEX(INDIRECT("PnL_"&amp;TEXT(AB$1,"mmm")&amp;"_"&amp;TEXT(AB$1,"yyyy")),MATCH(TRIM($A58),PnL_Accounts,0))</f>
        <v>10123</v>
      </c>
      <c r="AC58" s="76">
        <f t="array" ref="AC58">INDEX(INDIRECT("PnL_"&amp;TEXT(AC$1,"mmm")&amp;"_"&amp;TEXT(AC$1,"yyyy")),MATCH(TRIM($A58),PnL_Accounts,0))</f>
        <v>9781</v>
      </c>
      <c r="AD58" s="76">
        <f t="array" ref="AD58">INDEX(INDIRECT("PnL_"&amp;TEXT(AD$1,"mmm")&amp;"_"&amp;TEXT(AD$1,"yyyy")),MATCH(TRIM($A58),PnL_Accounts,0))</f>
        <v>299</v>
      </c>
      <c r="AE58" s="76">
        <f t="array" ref="AE58">INDEX(INDIRECT("PnL_"&amp;TEXT(AE$1,"mmm")&amp;"_"&amp;TEXT(AE$1,"yyyy")),MATCH(TRIM($A58),PnL_Accounts,0))</f>
        <v>0</v>
      </c>
      <c r="AF58" s="121">
        <v>0.0</v>
      </c>
      <c r="AG58" s="121">
        <v>0.0</v>
      </c>
      <c r="AH58" s="121">
        <v>0.0</v>
      </c>
      <c r="AI58" s="121">
        <f t="shared" ref="AI58:AJ58" si="30">$B58/2</f>
        <v>1680</v>
      </c>
      <c r="AJ58" s="121">
        <f t="shared" si="30"/>
        <v>1680</v>
      </c>
      <c r="AK58" s="96">
        <f t="shared" ref="AK58:BW58" si="31">$B58</f>
        <v>3360</v>
      </c>
      <c r="AL58" s="96">
        <f t="shared" si="31"/>
        <v>3360</v>
      </c>
      <c r="AM58" s="96">
        <f t="shared" si="31"/>
        <v>3360</v>
      </c>
      <c r="AN58" s="96">
        <f t="shared" si="31"/>
        <v>3360</v>
      </c>
      <c r="AO58" s="96">
        <f t="shared" si="31"/>
        <v>3360</v>
      </c>
      <c r="AP58" s="96">
        <f t="shared" si="31"/>
        <v>3360</v>
      </c>
      <c r="AQ58" s="96">
        <f t="shared" si="31"/>
        <v>3360</v>
      </c>
      <c r="AR58" s="96">
        <f t="shared" si="31"/>
        <v>3360</v>
      </c>
      <c r="AS58" s="96">
        <f t="shared" si="31"/>
        <v>3360</v>
      </c>
      <c r="AT58" s="96">
        <f t="shared" si="31"/>
        <v>3360</v>
      </c>
      <c r="AU58" s="96">
        <f t="shared" si="31"/>
        <v>3360</v>
      </c>
      <c r="AV58" s="96">
        <f t="shared" si="31"/>
        <v>3360</v>
      </c>
      <c r="AW58" s="96">
        <f t="shared" si="31"/>
        <v>3360</v>
      </c>
      <c r="AX58" s="96">
        <f t="shared" si="31"/>
        <v>3360</v>
      </c>
      <c r="AY58" s="96">
        <f t="shared" si="31"/>
        <v>3360</v>
      </c>
      <c r="AZ58" s="96">
        <f t="shared" si="31"/>
        <v>3360</v>
      </c>
      <c r="BA58" s="96">
        <f t="shared" si="31"/>
        <v>3360</v>
      </c>
      <c r="BB58" s="96">
        <f t="shared" si="31"/>
        <v>3360</v>
      </c>
      <c r="BC58" s="96">
        <f t="shared" si="31"/>
        <v>3360</v>
      </c>
      <c r="BD58" s="96">
        <f t="shared" si="31"/>
        <v>3360</v>
      </c>
      <c r="BE58" s="96">
        <f t="shared" si="31"/>
        <v>3360</v>
      </c>
      <c r="BF58" s="96">
        <f t="shared" si="31"/>
        <v>3360</v>
      </c>
      <c r="BG58" s="96">
        <f t="shared" si="31"/>
        <v>3360</v>
      </c>
      <c r="BH58" s="96">
        <f t="shared" si="31"/>
        <v>3360</v>
      </c>
      <c r="BI58" s="96">
        <f t="shared" si="31"/>
        <v>3360</v>
      </c>
      <c r="BJ58" s="96">
        <f t="shared" si="31"/>
        <v>3360</v>
      </c>
      <c r="BK58" s="96">
        <f t="shared" si="31"/>
        <v>3360</v>
      </c>
      <c r="BL58" s="96">
        <f t="shared" si="31"/>
        <v>3360</v>
      </c>
      <c r="BM58" s="96">
        <f t="shared" si="31"/>
        <v>3360</v>
      </c>
      <c r="BN58" s="96">
        <f t="shared" si="31"/>
        <v>3360</v>
      </c>
      <c r="BO58" s="96">
        <f t="shared" si="31"/>
        <v>3360</v>
      </c>
      <c r="BP58" s="96">
        <f t="shared" si="31"/>
        <v>3360</v>
      </c>
      <c r="BQ58" s="96">
        <f t="shared" si="31"/>
        <v>3360</v>
      </c>
      <c r="BR58" s="96">
        <f t="shared" si="31"/>
        <v>3360</v>
      </c>
      <c r="BS58" s="96">
        <f t="shared" si="31"/>
        <v>3360</v>
      </c>
      <c r="BT58" s="96">
        <f t="shared" si="31"/>
        <v>3360</v>
      </c>
      <c r="BU58" s="96">
        <f t="shared" si="31"/>
        <v>3360</v>
      </c>
      <c r="BV58" s="96">
        <f t="shared" si="31"/>
        <v>3360</v>
      </c>
      <c r="BW58" s="96">
        <f t="shared" si="31"/>
        <v>3360</v>
      </c>
    </row>
    <row r="59" ht="15.75" customHeight="1">
      <c r="A59" s="1" t="s">
        <v>292</v>
      </c>
      <c r="B59" s="160">
        <f>AVERAGEIFS(59:59,$1:$1,"&gt;="&amp;DATE(YEAR(Current_Month),MONTH(Current_Month)-2,DAY(Current_Month)),$1:$1,"&lt;="&amp;EOMONTH(Current_Month,0))</f>
        <v>2332.333333</v>
      </c>
      <c r="D59" s="76">
        <f t="array" ref="D59">INDEX(INDIRECT("PnL_"&amp;TEXT(D$1,"mmm")&amp;"_"&amp;TEXT(D$1,"yyyy")),MATCH(TRIM($A59),PnL_Accounts,0))</f>
        <v>579</v>
      </c>
      <c r="E59" s="76">
        <f t="array" ref="E59">INDEX(INDIRECT("PnL_"&amp;TEXT(E$1,"mmm")&amp;"_"&amp;TEXT(E$1,"yyyy")),MATCH(TRIM($A59),PnL_Accounts,0))</f>
        <v>498</v>
      </c>
      <c r="F59" s="76">
        <f t="array" ref="F59">INDEX(INDIRECT("PnL_"&amp;TEXT(F$1,"mmm")&amp;"_"&amp;TEXT(F$1,"yyyy")),MATCH(TRIM($A59),PnL_Accounts,0))</f>
        <v>311</v>
      </c>
      <c r="G59" s="76">
        <f t="array" ref="G59">INDEX(INDIRECT("PnL_"&amp;TEXT(G$1,"mmm")&amp;"_"&amp;TEXT(G$1,"yyyy")),MATCH(TRIM($A59),PnL_Accounts,0))</f>
        <v>706</v>
      </c>
      <c r="H59" s="76">
        <f t="array" ref="H59">INDEX(INDIRECT("PnL_"&amp;TEXT(H$1,"mmm")&amp;"_"&amp;TEXT(H$1,"yyyy")),MATCH(TRIM($A59),PnL_Accounts,0))</f>
        <v>914</v>
      </c>
      <c r="I59" s="76">
        <f t="array" ref="I59">INDEX(INDIRECT("PnL_"&amp;TEXT(I$1,"mmm")&amp;"_"&amp;TEXT(I$1,"yyyy")),MATCH(TRIM($A59),PnL_Accounts,0))</f>
        <v>855</v>
      </c>
      <c r="J59" s="76">
        <f t="array" ref="J59">INDEX(INDIRECT("PnL_"&amp;TEXT(J$1,"mmm")&amp;"_"&amp;TEXT(J$1,"yyyy")),MATCH(TRIM($A59),PnL_Accounts,0))</f>
        <v>953</v>
      </c>
      <c r="K59" s="76">
        <f t="array" ref="K59">INDEX(INDIRECT("PnL_"&amp;TEXT(K$1,"mmm")&amp;"_"&amp;TEXT(K$1,"yyyy")),MATCH(TRIM($A59),PnL_Accounts,0))</f>
        <v>985</v>
      </c>
      <c r="L59" s="76">
        <f t="array" ref="L59">INDEX(INDIRECT("PnL_"&amp;TEXT(L$1,"mmm")&amp;"_"&amp;TEXT(L$1,"yyyy")),MATCH(TRIM($A59),PnL_Accounts,0))</f>
        <v>1730</v>
      </c>
      <c r="M59" s="76">
        <f t="array" ref="M59">INDEX(INDIRECT("PnL_"&amp;TEXT(M$1,"mmm")&amp;"_"&amp;TEXT(M$1,"yyyy")),MATCH(TRIM($A59),PnL_Accounts,0))</f>
        <v>1073</v>
      </c>
      <c r="N59" s="76">
        <f t="array" ref="N59">INDEX(INDIRECT("PnL_"&amp;TEXT(N$1,"mmm")&amp;"_"&amp;TEXT(N$1,"yyyy")),MATCH(TRIM($A59),PnL_Accounts,0))</f>
        <v>1205</v>
      </c>
      <c r="O59" s="76">
        <f t="array" ref="O59">INDEX(INDIRECT("PnL_"&amp;TEXT(O$1,"mmm")&amp;"_"&amp;TEXT(O$1,"yyyy")),MATCH(TRIM($A59),PnL_Accounts,0))</f>
        <v>1436</v>
      </c>
      <c r="P59" s="76">
        <f t="array" ref="P59">INDEX(INDIRECT("PnL_"&amp;TEXT(P$1,"mmm")&amp;"_"&amp;TEXT(P$1,"yyyy")),MATCH(TRIM($A59),PnL_Accounts,0))</f>
        <v>1489</v>
      </c>
      <c r="Q59" s="76">
        <f t="array" ref="Q59">INDEX(INDIRECT("PnL_"&amp;TEXT(Q$1,"mmm")&amp;"_"&amp;TEXT(Q$1,"yyyy")),MATCH(TRIM($A59),PnL_Accounts,0))</f>
        <v>1642</v>
      </c>
      <c r="R59" s="76">
        <f t="array" ref="R59">INDEX(INDIRECT("PnL_"&amp;TEXT(R$1,"mmm")&amp;"_"&amp;TEXT(R$1,"yyyy")),MATCH(TRIM($A59),PnL_Accounts,0))</f>
        <v>1479</v>
      </c>
      <c r="S59" s="76">
        <f t="array" ref="S59">INDEX(INDIRECT("PnL_"&amp;TEXT(S$1,"mmm")&amp;"_"&amp;TEXT(S$1,"yyyy")),MATCH(TRIM($A59),PnL_Accounts,0))</f>
        <v>1361</v>
      </c>
      <c r="T59" s="76">
        <f t="array" ref="T59">INDEX(INDIRECT("PnL_"&amp;TEXT(T$1,"mmm")&amp;"_"&amp;TEXT(T$1,"yyyy")),MATCH(TRIM($A59),PnL_Accounts,0))</f>
        <v>1243</v>
      </c>
      <c r="U59" s="76">
        <f t="array" ref="U59">INDEX(INDIRECT("PnL_"&amp;TEXT(U$1,"mmm")&amp;"_"&amp;TEXT(U$1,"yyyy")),MATCH(TRIM($A59),PnL_Accounts,0))</f>
        <v>1185</v>
      </c>
      <c r="V59" s="76">
        <f t="array" ref="V59">INDEX(INDIRECT("PnL_"&amp;TEXT(V$1,"mmm")&amp;"_"&amp;TEXT(V$1,"yyyy")),MATCH(TRIM($A59),PnL_Accounts,0))</f>
        <v>1112</v>
      </c>
      <c r="W59" s="76">
        <f t="array" ref="W59">INDEX(INDIRECT("PnL_"&amp;TEXT(W$1,"mmm")&amp;"_"&amp;TEXT(W$1,"yyyy")),MATCH(TRIM($A59),PnL_Accounts,0))</f>
        <v>1065</v>
      </c>
      <c r="X59" s="76">
        <f t="array" ref="X59">INDEX(INDIRECT("PnL_"&amp;TEXT(X$1,"mmm")&amp;"_"&amp;TEXT(X$1,"yyyy")),MATCH(TRIM($A59),PnL_Accounts,0))</f>
        <v>1077</v>
      </c>
      <c r="Y59" s="76">
        <f t="array" ref="Y59">INDEX(INDIRECT("PnL_"&amp;TEXT(Y$1,"mmm")&amp;"_"&amp;TEXT(Y$1,"yyyy")),MATCH(TRIM($A59),PnL_Accounts,0))</f>
        <v>3273</v>
      </c>
      <c r="Z59" s="76">
        <f t="array" ref="Z59">INDEX(INDIRECT("PnL_"&amp;TEXT(Z$1,"mmm")&amp;"_"&amp;TEXT(Z$1,"yyyy")),MATCH(TRIM($A59),PnL_Accounts,0))</f>
        <v>2799</v>
      </c>
      <c r="AA59" s="76">
        <f t="array" ref="AA59">INDEX(INDIRECT("PnL_"&amp;TEXT(AA$1,"mmm")&amp;"_"&amp;TEXT(AA$1,"yyyy")),MATCH(TRIM($A59),PnL_Accounts,0))</f>
        <v>3794</v>
      </c>
      <c r="AB59" s="76">
        <f t="array" ref="AB59">INDEX(INDIRECT("PnL_"&amp;TEXT(AB$1,"mmm")&amp;"_"&amp;TEXT(AB$1,"yyyy")),MATCH(TRIM($A59),PnL_Accounts,0))</f>
        <v>4200</v>
      </c>
      <c r="AC59" s="76">
        <f t="array" ref="AC59">INDEX(INDIRECT("PnL_"&amp;TEXT(AC$1,"mmm")&amp;"_"&amp;TEXT(AC$1,"yyyy")),MATCH(TRIM($A59),PnL_Accounts,0))</f>
        <v>4997</v>
      </c>
      <c r="AD59" s="76">
        <f t="array" ref="AD59">INDEX(INDIRECT("PnL_"&amp;TEXT(AD$1,"mmm")&amp;"_"&amp;TEXT(AD$1,"yyyy")),MATCH(TRIM($A59),PnL_Accounts,0))</f>
        <v>2000</v>
      </c>
      <c r="AE59" s="76">
        <f t="array" ref="AE59">INDEX(INDIRECT("PnL_"&amp;TEXT(AE$1,"mmm")&amp;"_"&amp;TEXT(AE$1,"yyyy")),MATCH(TRIM($A59),PnL_Accounts,0))</f>
        <v>0</v>
      </c>
      <c r="AF59" s="121">
        <v>0.0</v>
      </c>
      <c r="AG59" s="121">
        <v>0.0</v>
      </c>
      <c r="AH59" s="121">
        <v>0.0</v>
      </c>
      <c r="AI59" s="121">
        <f t="shared" ref="AI59:AJ59" si="32">$B59/2</f>
        <v>1166.166667</v>
      </c>
      <c r="AJ59" s="121">
        <f t="shared" si="32"/>
        <v>1166.166667</v>
      </c>
      <c r="AK59" s="96">
        <f t="shared" ref="AK59:BW59" si="33">$B59</f>
        <v>2332.333333</v>
      </c>
      <c r="AL59" s="96">
        <f t="shared" si="33"/>
        <v>2332.333333</v>
      </c>
      <c r="AM59" s="96">
        <f t="shared" si="33"/>
        <v>2332.333333</v>
      </c>
      <c r="AN59" s="96">
        <f t="shared" si="33"/>
        <v>2332.333333</v>
      </c>
      <c r="AO59" s="96">
        <f t="shared" si="33"/>
        <v>2332.333333</v>
      </c>
      <c r="AP59" s="96">
        <f t="shared" si="33"/>
        <v>2332.333333</v>
      </c>
      <c r="AQ59" s="96">
        <f t="shared" si="33"/>
        <v>2332.333333</v>
      </c>
      <c r="AR59" s="96">
        <f t="shared" si="33"/>
        <v>2332.333333</v>
      </c>
      <c r="AS59" s="96">
        <f t="shared" si="33"/>
        <v>2332.333333</v>
      </c>
      <c r="AT59" s="96">
        <f t="shared" si="33"/>
        <v>2332.333333</v>
      </c>
      <c r="AU59" s="96">
        <f t="shared" si="33"/>
        <v>2332.333333</v>
      </c>
      <c r="AV59" s="96">
        <f t="shared" si="33"/>
        <v>2332.333333</v>
      </c>
      <c r="AW59" s="96">
        <f t="shared" si="33"/>
        <v>2332.333333</v>
      </c>
      <c r="AX59" s="96">
        <f t="shared" si="33"/>
        <v>2332.333333</v>
      </c>
      <c r="AY59" s="96">
        <f t="shared" si="33"/>
        <v>2332.333333</v>
      </c>
      <c r="AZ59" s="96">
        <f t="shared" si="33"/>
        <v>2332.333333</v>
      </c>
      <c r="BA59" s="96">
        <f t="shared" si="33"/>
        <v>2332.333333</v>
      </c>
      <c r="BB59" s="96">
        <f t="shared" si="33"/>
        <v>2332.333333</v>
      </c>
      <c r="BC59" s="96">
        <f t="shared" si="33"/>
        <v>2332.333333</v>
      </c>
      <c r="BD59" s="96">
        <f t="shared" si="33"/>
        <v>2332.333333</v>
      </c>
      <c r="BE59" s="96">
        <f t="shared" si="33"/>
        <v>2332.333333</v>
      </c>
      <c r="BF59" s="96">
        <f t="shared" si="33"/>
        <v>2332.333333</v>
      </c>
      <c r="BG59" s="96">
        <f t="shared" si="33"/>
        <v>2332.333333</v>
      </c>
      <c r="BH59" s="96">
        <f t="shared" si="33"/>
        <v>2332.333333</v>
      </c>
      <c r="BI59" s="96">
        <f t="shared" si="33"/>
        <v>2332.333333</v>
      </c>
      <c r="BJ59" s="96">
        <f t="shared" si="33"/>
        <v>2332.333333</v>
      </c>
      <c r="BK59" s="96">
        <f t="shared" si="33"/>
        <v>2332.333333</v>
      </c>
      <c r="BL59" s="96">
        <f t="shared" si="33"/>
        <v>2332.333333</v>
      </c>
      <c r="BM59" s="96">
        <f t="shared" si="33"/>
        <v>2332.333333</v>
      </c>
      <c r="BN59" s="96">
        <f t="shared" si="33"/>
        <v>2332.333333</v>
      </c>
      <c r="BO59" s="96">
        <f t="shared" si="33"/>
        <v>2332.333333</v>
      </c>
      <c r="BP59" s="96">
        <f t="shared" si="33"/>
        <v>2332.333333</v>
      </c>
      <c r="BQ59" s="96">
        <f t="shared" si="33"/>
        <v>2332.333333</v>
      </c>
      <c r="BR59" s="96">
        <f t="shared" si="33"/>
        <v>2332.333333</v>
      </c>
      <c r="BS59" s="96">
        <f t="shared" si="33"/>
        <v>2332.333333</v>
      </c>
      <c r="BT59" s="96">
        <f t="shared" si="33"/>
        <v>2332.333333</v>
      </c>
      <c r="BU59" s="96">
        <f t="shared" si="33"/>
        <v>2332.333333</v>
      </c>
      <c r="BV59" s="96">
        <f t="shared" si="33"/>
        <v>2332.333333</v>
      </c>
      <c r="BW59" s="96">
        <f t="shared" si="33"/>
        <v>2332.333333</v>
      </c>
    </row>
    <row r="60" ht="15.75" customHeight="1">
      <c r="A60" s="1" t="s">
        <v>293</v>
      </c>
      <c r="B60" s="160">
        <f>AVERAGEIFS(60:60,$1:$1,"&gt;="&amp;DATE(YEAR(Current_Month),MONTH(Current_Month)-2,DAY(Current_Month)),$1:$1,"&lt;="&amp;EOMONTH(Current_Month,0))</f>
        <v>1457</v>
      </c>
      <c r="D60" s="76">
        <f t="array" ref="D60">INDEX(INDIRECT("PnL_"&amp;TEXT(D$1,"mmm")&amp;"_"&amp;TEXT(D$1,"yyyy")),MATCH(TRIM($A60),PnL_Accounts,0))</f>
        <v>671</v>
      </c>
      <c r="E60" s="76">
        <f t="array" ref="E60">INDEX(INDIRECT("PnL_"&amp;TEXT(E$1,"mmm")&amp;"_"&amp;TEXT(E$1,"yyyy")),MATCH(TRIM($A60),PnL_Accounts,0))</f>
        <v>583</v>
      </c>
      <c r="F60" s="76">
        <f t="array" ref="F60">INDEX(INDIRECT("PnL_"&amp;TEXT(F$1,"mmm")&amp;"_"&amp;TEXT(F$1,"yyyy")),MATCH(TRIM($A60),PnL_Accounts,0))</f>
        <v>888</v>
      </c>
      <c r="G60" s="76">
        <f t="array" ref="G60">INDEX(INDIRECT("PnL_"&amp;TEXT(G$1,"mmm")&amp;"_"&amp;TEXT(G$1,"yyyy")),MATCH(TRIM($A60),PnL_Accounts,0))</f>
        <v>1219</v>
      </c>
      <c r="H60" s="76">
        <f t="array" ref="H60">INDEX(INDIRECT("PnL_"&amp;TEXT(H$1,"mmm")&amp;"_"&amp;TEXT(H$1,"yyyy")),MATCH(TRIM($A60),PnL_Accounts,0))</f>
        <v>1474</v>
      </c>
      <c r="I60" s="76">
        <f t="array" ref="I60">INDEX(INDIRECT("PnL_"&amp;TEXT(I$1,"mmm")&amp;"_"&amp;TEXT(I$1,"yyyy")),MATCH(TRIM($A60),PnL_Accounts,0))</f>
        <v>1322</v>
      </c>
      <c r="J60" s="76">
        <f t="array" ref="J60">INDEX(INDIRECT("PnL_"&amp;TEXT(J$1,"mmm")&amp;"_"&amp;TEXT(J$1,"yyyy")),MATCH(TRIM($A60),PnL_Accounts,0))</f>
        <v>1588</v>
      </c>
      <c r="K60" s="76">
        <f t="array" ref="K60">INDEX(INDIRECT("PnL_"&amp;TEXT(K$1,"mmm")&amp;"_"&amp;TEXT(K$1,"yyyy")),MATCH(TRIM($A60),PnL_Accounts,0))</f>
        <v>1625</v>
      </c>
      <c r="L60" s="76">
        <f t="array" ref="L60">INDEX(INDIRECT("PnL_"&amp;TEXT(L$1,"mmm")&amp;"_"&amp;TEXT(L$1,"yyyy")),MATCH(TRIM($A60),PnL_Accounts,0))</f>
        <v>1730</v>
      </c>
      <c r="M60" s="76">
        <f t="array" ref="M60">INDEX(INDIRECT("PnL_"&amp;TEXT(M$1,"mmm")&amp;"_"&amp;TEXT(M$1,"yyyy")),MATCH(TRIM($A60),PnL_Accounts,0))</f>
        <v>1633</v>
      </c>
      <c r="N60" s="76">
        <f t="array" ref="N60">INDEX(INDIRECT("PnL_"&amp;TEXT(N$1,"mmm")&amp;"_"&amp;TEXT(N$1,"yyyy")),MATCH(TRIM($A60),PnL_Accounts,0))</f>
        <v>1781</v>
      </c>
      <c r="O60" s="76">
        <f t="array" ref="O60">INDEX(INDIRECT("PnL_"&amp;TEXT(O$1,"mmm")&amp;"_"&amp;TEXT(O$1,"yyyy")),MATCH(TRIM($A60),PnL_Accounts,0))</f>
        <v>1826</v>
      </c>
      <c r="P60" s="76">
        <f t="array" ref="P60">INDEX(INDIRECT("PnL_"&amp;TEXT(P$1,"mmm")&amp;"_"&amp;TEXT(P$1,"yyyy")),MATCH(TRIM($A60),PnL_Accounts,0))</f>
        <v>1750</v>
      </c>
      <c r="Q60" s="76">
        <f t="array" ref="Q60">INDEX(INDIRECT("PnL_"&amp;TEXT(Q$1,"mmm")&amp;"_"&amp;TEXT(Q$1,"yyyy")),MATCH(TRIM($A60),PnL_Accounts,0))</f>
        <v>2098</v>
      </c>
      <c r="R60" s="76">
        <f t="array" ref="R60">INDEX(INDIRECT("PnL_"&amp;TEXT(R$1,"mmm")&amp;"_"&amp;TEXT(R$1,"yyyy")),MATCH(TRIM($A60),PnL_Accounts,0))</f>
        <v>1175</v>
      </c>
      <c r="S60" s="76">
        <f t="array" ref="S60">INDEX(INDIRECT("PnL_"&amp;TEXT(S$1,"mmm")&amp;"_"&amp;TEXT(S$1,"yyyy")),MATCH(TRIM($A60),PnL_Accounts,0))</f>
        <v>1245</v>
      </c>
      <c r="T60" s="76">
        <f t="array" ref="T60">INDEX(INDIRECT("PnL_"&amp;TEXT(T$1,"mmm")&amp;"_"&amp;TEXT(T$1,"yyyy")),MATCH(TRIM($A60),PnL_Accounts,0))</f>
        <v>4231</v>
      </c>
      <c r="U60" s="76">
        <f t="array" ref="U60">INDEX(INDIRECT("PnL_"&amp;TEXT(U$1,"mmm")&amp;"_"&amp;TEXT(U$1,"yyyy")),MATCH(TRIM($A60),PnL_Accounts,0))</f>
        <v>1472</v>
      </c>
      <c r="V60" s="76">
        <f t="array" ref="V60">INDEX(INDIRECT("PnL_"&amp;TEXT(V$1,"mmm")&amp;"_"&amp;TEXT(V$1,"yyyy")),MATCH(TRIM($A60),PnL_Accounts,0))</f>
        <v>1891</v>
      </c>
      <c r="W60" s="76">
        <f t="array" ref="W60">INDEX(INDIRECT("PnL_"&amp;TEXT(W$1,"mmm")&amp;"_"&amp;TEXT(W$1,"yyyy")),MATCH(TRIM($A60),PnL_Accounts,0))</f>
        <v>1943</v>
      </c>
      <c r="X60" s="76">
        <f t="array" ref="X60">INDEX(INDIRECT("PnL_"&amp;TEXT(X$1,"mmm")&amp;"_"&amp;TEXT(X$1,"yyyy")),MATCH(TRIM($A60),PnL_Accounts,0))</f>
        <v>2204</v>
      </c>
      <c r="Y60" s="76">
        <f t="array" ref="Y60">INDEX(INDIRECT("PnL_"&amp;TEXT(Y$1,"mmm")&amp;"_"&amp;TEXT(Y$1,"yyyy")),MATCH(TRIM($A60),PnL_Accounts,0))</f>
        <v>4233</v>
      </c>
      <c r="Z60" s="76">
        <f t="array" ref="Z60">INDEX(INDIRECT("PnL_"&amp;TEXT(Z$1,"mmm")&amp;"_"&amp;TEXT(Z$1,"yyyy")),MATCH(TRIM($A60),PnL_Accounts,0))</f>
        <v>3978</v>
      </c>
      <c r="AA60" s="76">
        <f t="array" ref="AA60">INDEX(INDIRECT("PnL_"&amp;TEXT(AA$1,"mmm")&amp;"_"&amp;TEXT(AA$1,"yyyy")),MATCH(TRIM($A60),PnL_Accounts,0))</f>
        <v>7986</v>
      </c>
      <c r="AB60" s="76">
        <f t="array" ref="AB60">INDEX(INDIRECT("PnL_"&amp;TEXT(AB$1,"mmm")&amp;"_"&amp;TEXT(AB$1,"yyyy")),MATCH(TRIM($A60),PnL_Accounts,0))</f>
        <v>4786</v>
      </c>
      <c r="AC60" s="76">
        <f t="array" ref="AC60">INDEX(INDIRECT("PnL_"&amp;TEXT(AC$1,"mmm")&amp;"_"&amp;TEXT(AC$1,"yyyy")),MATCH(TRIM($A60),PnL_Accounts,0))</f>
        <v>4371</v>
      </c>
      <c r="AD60" s="76">
        <f t="array" ref="AD60">INDEX(INDIRECT("PnL_"&amp;TEXT(AD$1,"mmm")&amp;"_"&amp;TEXT(AD$1,"yyyy")),MATCH(TRIM($A60),PnL_Accounts,0))</f>
        <v>0</v>
      </c>
      <c r="AE60" s="76">
        <f t="array" ref="AE60">INDEX(INDIRECT("PnL_"&amp;TEXT(AE$1,"mmm")&amp;"_"&amp;TEXT(AE$1,"yyyy")),MATCH(TRIM($A60),PnL_Accounts,0))</f>
        <v>0</v>
      </c>
      <c r="AF60" s="121">
        <v>0.0</v>
      </c>
      <c r="AG60" s="121">
        <v>0.0</v>
      </c>
      <c r="AH60" s="121">
        <v>0.0</v>
      </c>
      <c r="AI60" s="121">
        <f t="shared" ref="AI60:AJ60" si="34">$B60/2</f>
        <v>728.5</v>
      </c>
      <c r="AJ60" s="121">
        <f t="shared" si="34"/>
        <v>728.5</v>
      </c>
      <c r="AK60" s="96">
        <f t="shared" ref="AK60:BW60" si="35">$B60</f>
        <v>1457</v>
      </c>
      <c r="AL60" s="96">
        <f t="shared" si="35"/>
        <v>1457</v>
      </c>
      <c r="AM60" s="96">
        <f t="shared" si="35"/>
        <v>1457</v>
      </c>
      <c r="AN60" s="96">
        <f t="shared" si="35"/>
        <v>1457</v>
      </c>
      <c r="AO60" s="96">
        <f t="shared" si="35"/>
        <v>1457</v>
      </c>
      <c r="AP60" s="96">
        <f t="shared" si="35"/>
        <v>1457</v>
      </c>
      <c r="AQ60" s="96">
        <f t="shared" si="35"/>
        <v>1457</v>
      </c>
      <c r="AR60" s="96">
        <f t="shared" si="35"/>
        <v>1457</v>
      </c>
      <c r="AS60" s="96">
        <f t="shared" si="35"/>
        <v>1457</v>
      </c>
      <c r="AT60" s="96">
        <f t="shared" si="35"/>
        <v>1457</v>
      </c>
      <c r="AU60" s="96">
        <f t="shared" si="35"/>
        <v>1457</v>
      </c>
      <c r="AV60" s="96">
        <f t="shared" si="35"/>
        <v>1457</v>
      </c>
      <c r="AW60" s="96">
        <f t="shared" si="35"/>
        <v>1457</v>
      </c>
      <c r="AX60" s="96">
        <f t="shared" si="35"/>
        <v>1457</v>
      </c>
      <c r="AY60" s="96">
        <f t="shared" si="35"/>
        <v>1457</v>
      </c>
      <c r="AZ60" s="96">
        <f t="shared" si="35"/>
        <v>1457</v>
      </c>
      <c r="BA60" s="96">
        <f t="shared" si="35"/>
        <v>1457</v>
      </c>
      <c r="BB60" s="96">
        <f t="shared" si="35"/>
        <v>1457</v>
      </c>
      <c r="BC60" s="96">
        <f t="shared" si="35"/>
        <v>1457</v>
      </c>
      <c r="BD60" s="96">
        <f t="shared" si="35"/>
        <v>1457</v>
      </c>
      <c r="BE60" s="96">
        <f t="shared" si="35"/>
        <v>1457</v>
      </c>
      <c r="BF60" s="96">
        <f t="shared" si="35"/>
        <v>1457</v>
      </c>
      <c r="BG60" s="96">
        <f t="shared" si="35"/>
        <v>1457</v>
      </c>
      <c r="BH60" s="96">
        <f t="shared" si="35"/>
        <v>1457</v>
      </c>
      <c r="BI60" s="96">
        <f t="shared" si="35"/>
        <v>1457</v>
      </c>
      <c r="BJ60" s="96">
        <f t="shared" si="35"/>
        <v>1457</v>
      </c>
      <c r="BK60" s="96">
        <f t="shared" si="35"/>
        <v>1457</v>
      </c>
      <c r="BL60" s="96">
        <f t="shared" si="35"/>
        <v>1457</v>
      </c>
      <c r="BM60" s="96">
        <f t="shared" si="35"/>
        <v>1457</v>
      </c>
      <c r="BN60" s="96">
        <f t="shared" si="35"/>
        <v>1457</v>
      </c>
      <c r="BO60" s="96">
        <f t="shared" si="35"/>
        <v>1457</v>
      </c>
      <c r="BP60" s="96">
        <f t="shared" si="35"/>
        <v>1457</v>
      </c>
      <c r="BQ60" s="96">
        <f t="shared" si="35"/>
        <v>1457</v>
      </c>
      <c r="BR60" s="96">
        <f t="shared" si="35"/>
        <v>1457</v>
      </c>
      <c r="BS60" s="96">
        <f t="shared" si="35"/>
        <v>1457</v>
      </c>
      <c r="BT60" s="96">
        <f t="shared" si="35"/>
        <v>1457</v>
      </c>
      <c r="BU60" s="96">
        <f t="shared" si="35"/>
        <v>1457</v>
      </c>
      <c r="BV60" s="96">
        <f t="shared" si="35"/>
        <v>1457</v>
      </c>
      <c r="BW60" s="96">
        <f t="shared" si="35"/>
        <v>1457</v>
      </c>
    </row>
    <row r="61" ht="15.75" customHeight="1">
      <c r="A61" s="21" t="s">
        <v>294</v>
      </c>
      <c r="B61" s="163"/>
      <c r="C61" s="21"/>
      <c r="D61" s="157">
        <f t="shared" ref="D61:BW61" si="36">SUM(D56:D60)</f>
        <v>7141</v>
      </c>
      <c r="E61" s="157">
        <f t="shared" si="36"/>
        <v>7310</v>
      </c>
      <c r="F61" s="157">
        <f t="shared" si="36"/>
        <v>8003</v>
      </c>
      <c r="G61" s="157">
        <f t="shared" si="36"/>
        <v>9209</v>
      </c>
      <c r="H61" s="157">
        <f t="shared" si="36"/>
        <v>9631</v>
      </c>
      <c r="I61" s="157">
        <f t="shared" si="36"/>
        <v>9467</v>
      </c>
      <c r="J61" s="157">
        <f t="shared" si="36"/>
        <v>10182</v>
      </c>
      <c r="K61" s="157">
        <f t="shared" si="36"/>
        <v>10250</v>
      </c>
      <c r="L61" s="157">
        <f t="shared" si="36"/>
        <v>11424</v>
      </c>
      <c r="M61" s="157">
        <f t="shared" si="36"/>
        <v>10293</v>
      </c>
      <c r="N61" s="157">
        <f t="shared" si="36"/>
        <v>10950</v>
      </c>
      <c r="O61" s="157">
        <f t="shared" si="36"/>
        <v>11610</v>
      </c>
      <c r="P61" s="157">
        <f t="shared" si="36"/>
        <v>11455</v>
      </c>
      <c r="Q61" s="157">
        <f t="shared" si="36"/>
        <v>12658</v>
      </c>
      <c r="R61" s="157">
        <f t="shared" si="36"/>
        <v>12216</v>
      </c>
      <c r="S61" s="157">
        <f t="shared" si="36"/>
        <v>12436</v>
      </c>
      <c r="T61" s="157">
        <f t="shared" si="36"/>
        <v>16159</v>
      </c>
      <c r="U61" s="157">
        <f t="shared" si="36"/>
        <v>13412</v>
      </c>
      <c r="V61" s="157">
        <f t="shared" si="36"/>
        <v>13966</v>
      </c>
      <c r="W61" s="157">
        <f t="shared" si="36"/>
        <v>13960</v>
      </c>
      <c r="X61" s="157">
        <f t="shared" si="36"/>
        <v>14375</v>
      </c>
      <c r="Y61" s="157">
        <f t="shared" si="36"/>
        <v>23605</v>
      </c>
      <c r="Z61" s="157">
        <f t="shared" si="36"/>
        <v>22754</v>
      </c>
      <c r="AA61" s="157">
        <f t="shared" si="36"/>
        <v>30583</v>
      </c>
      <c r="AB61" s="157">
        <f t="shared" si="36"/>
        <v>28366</v>
      </c>
      <c r="AC61" s="157">
        <f t="shared" si="36"/>
        <v>28124</v>
      </c>
      <c r="AD61" s="157">
        <f t="shared" si="36"/>
        <v>3399</v>
      </c>
      <c r="AE61" s="157">
        <f t="shared" si="36"/>
        <v>0</v>
      </c>
      <c r="AF61" s="157">
        <f t="shared" si="36"/>
        <v>0</v>
      </c>
      <c r="AG61" s="157">
        <f t="shared" si="36"/>
        <v>0</v>
      </c>
      <c r="AH61" s="157">
        <f t="shared" si="36"/>
        <v>0</v>
      </c>
      <c r="AI61" s="157">
        <f t="shared" si="36"/>
        <v>5253.833333</v>
      </c>
      <c r="AJ61" s="157">
        <f t="shared" si="36"/>
        <v>5253.833333</v>
      </c>
      <c r="AK61" s="157">
        <f t="shared" si="36"/>
        <v>10507.66667</v>
      </c>
      <c r="AL61" s="157">
        <f t="shared" si="36"/>
        <v>10507.66667</v>
      </c>
      <c r="AM61" s="157">
        <f t="shared" si="36"/>
        <v>10507.66667</v>
      </c>
      <c r="AN61" s="157">
        <f t="shared" si="36"/>
        <v>10507.66667</v>
      </c>
      <c r="AO61" s="157">
        <f t="shared" si="36"/>
        <v>10507.66667</v>
      </c>
      <c r="AP61" s="157">
        <f t="shared" si="36"/>
        <v>10507.66667</v>
      </c>
      <c r="AQ61" s="157">
        <f t="shared" si="36"/>
        <v>10507.66667</v>
      </c>
      <c r="AR61" s="157">
        <f t="shared" si="36"/>
        <v>10507.66667</v>
      </c>
      <c r="AS61" s="157">
        <f t="shared" si="36"/>
        <v>10507.66667</v>
      </c>
      <c r="AT61" s="157">
        <f t="shared" si="36"/>
        <v>10507.66667</v>
      </c>
      <c r="AU61" s="157">
        <f t="shared" si="36"/>
        <v>10507.66667</v>
      </c>
      <c r="AV61" s="157">
        <f t="shared" si="36"/>
        <v>10507.66667</v>
      </c>
      <c r="AW61" s="157">
        <f t="shared" si="36"/>
        <v>10507.66667</v>
      </c>
      <c r="AX61" s="157">
        <f t="shared" si="36"/>
        <v>10507.66667</v>
      </c>
      <c r="AY61" s="157">
        <f t="shared" si="36"/>
        <v>10507.66667</v>
      </c>
      <c r="AZ61" s="157">
        <f t="shared" si="36"/>
        <v>10507.66667</v>
      </c>
      <c r="BA61" s="157">
        <f t="shared" si="36"/>
        <v>10507.66667</v>
      </c>
      <c r="BB61" s="157">
        <f t="shared" si="36"/>
        <v>10507.66667</v>
      </c>
      <c r="BC61" s="157">
        <f t="shared" si="36"/>
        <v>10507.66667</v>
      </c>
      <c r="BD61" s="157">
        <f t="shared" si="36"/>
        <v>10507.66667</v>
      </c>
      <c r="BE61" s="157">
        <f t="shared" si="36"/>
        <v>10507.66667</v>
      </c>
      <c r="BF61" s="157">
        <f t="shared" si="36"/>
        <v>10507.66667</v>
      </c>
      <c r="BG61" s="157">
        <f t="shared" si="36"/>
        <v>10507.66667</v>
      </c>
      <c r="BH61" s="157">
        <f t="shared" si="36"/>
        <v>10507.66667</v>
      </c>
      <c r="BI61" s="157">
        <f t="shared" si="36"/>
        <v>10507.66667</v>
      </c>
      <c r="BJ61" s="157">
        <f t="shared" si="36"/>
        <v>10507.66667</v>
      </c>
      <c r="BK61" s="157">
        <f t="shared" si="36"/>
        <v>10507.66667</v>
      </c>
      <c r="BL61" s="157">
        <f t="shared" si="36"/>
        <v>10507.66667</v>
      </c>
      <c r="BM61" s="157">
        <f t="shared" si="36"/>
        <v>10507.66667</v>
      </c>
      <c r="BN61" s="157">
        <f t="shared" si="36"/>
        <v>10507.66667</v>
      </c>
      <c r="BO61" s="157">
        <f t="shared" si="36"/>
        <v>10507.66667</v>
      </c>
      <c r="BP61" s="157">
        <f t="shared" si="36"/>
        <v>10507.66667</v>
      </c>
      <c r="BQ61" s="157">
        <f t="shared" si="36"/>
        <v>10507.66667</v>
      </c>
      <c r="BR61" s="157">
        <f t="shared" si="36"/>
        <v>10507.66667</v>
      </c>
      <c r="BS61" s="157">
        <f t="shared" si="36"/>
        <v>10507.66667</v>
      </c>
      <c r="BT61" s="157">
        <f t="shared" si="36"/>
        <v>10507.66667</v>
      </c>
      <c r="BU61" s="157">
        <f t="shared" si="36"/>
        <v>10507.66667</v>
      </c>
      <c r="BV61" s="157">
        <f t="shared" si="36"/>
        <v>10507.66667</v>
      </c>
      <c r="BW61" s="157">
        <f t="shared" si="36"/>
        <v>10507.66667</v>
      </c>
    </row>
    <row r="62" ht="15.75" customHeight="1">
      <c r="A62" s="21" t="s">
        <v>295</v>
      </c>
      <c r="B62" s="163"/>
      <c r="C62" s="21"/>
      <c r="D62" s="147">
        <f t="shared" ref="D62:BW62" si="37">SUM(D33:D36,D39,D42,D46,D51,D52:D55,D61)</f>
        <v>50542</v>
      </c>
      <c r="E62" s="147">
        <f t="shared" si="37"/>
        <v>50269</v>
      </c>
      <c r="F62" s="147">
        <f t="shared" si="37"/>
        <v>51143</v>
      </c>
      <c r="G62" s="147">
        <f t="shared" si="37"/>
        <v>52996</v>
      </c>
      <c r="H62" s="147">
        <f t="shared" si="37"/>
        <v>55074</v>
      </c>
      <c r="I62" s="147">
        <f t="shared" si="37"/>
        <v>57452</v>
      </c>
      <c r="J62" s="147">
        <f t="shared" si="37"/>
        <v>60362</v>
      </c>
      <c r="K62" s="147">
        <f t="shared" si="37"/>
        <v>59944</v>
      </c>
      <c r="L62" s="147">
        <f t="shared" si="37"/>
        <v>67531</v>
      </c>
      <c r="M62" s="147">
        <f t="shared" si="37"/>
        <v>67371</v>
      </c>
      <c r="N62" s="147">
        <f t="shared" si="37"/>
        <v>67615</v>
      </c>
      <c r="O62" s="147">
        <f t="shared" si="37"/>
        <v>70083</v>
      </c>
      <c r="P62" s="147">
        <f t="shared" si="37"/>
        <v>72901</v>
      </c>
      <c r="Q62" s="147">
        <f t="shared" si="37"/>
        <v>75762</v>
      </c>
      <c r="R62" s="147">
        <f t="shared" si="37"/>
        <v>79851</v>
      </c>
      <c r="S62" s="147">
        <f t="shared" si="37"/>
        <v>80066</v>
      </c>
      <c r="T62" s="147">
        <f t="shared" si="37"/>
        <v>85460</v>
      </c>
      <c r="U62" s="147">
        <f t="shared" si="37"/>
        <v>85301</v>
      </c>
      <c r="V62" s="147">
        <f t="shared" si="37"/>
        <v>86169</v>
      </c>
      <c r="W62" s="147">
        <f t="shared" si="37"/>
        <v>86722</v>
      </c>
      <c r="X62" s="147">
        <f t="shared" si="37"/>
        <v>88287</v>
      </c>
      <c r="Y62" s="147">
        <f t="shared" si="37"/>
        <v>92782</v>
      </c>
      <c r="Z62" s="147">
        <f t="shared" si="37"/>
        <v>95217</v>
      </c>
      <c r="AA62" s="147">
        <f t="shared" si="37"/>
        <v>102051</v>
      </c>
      <c r="AB62" s="147">
        <f t="shared" si="37"/>
        <v>102338</v>
      </c>
      <c r="AC62" s="147">
        <f t="shared" si="37"/>
        <v>111703</v>
      </c>
      <c r="AD62" s="147">
        <f t="shared" si="37"/>
        <v>86317</v>
      </c>
      <c r="AE62" s="147">
        <f t="shared" si="37"/>
        <v>87926</v>
      </c>
      <c r="AF62" s="147">
        <f t="shared" si="37"/>
        <v>78155.66667</v>
      </c>
      <c r="AG62" s="147">
        <f t="shared" si="37"/>
        <v>78155.66667</v>
      </c>
      <c r="AH62" s="147">
        <f t="shared" si="37"/>
        <v>78155.66667</v>
      </c>
      <c r="AI62" s="147">
        <f t="shared" si="37"/>
        <v>83409.5</v>
      </c>
      <c r="AJ62" s="147">
        <f t="shared" si="37"/>
        <v>83409.5</v>
      </c>
      <c r="AK62" s="147">
        <f t="shared" si="37"/>
        <v>88663.33333</v>
      </c>
      <c r="AL62" s="147">
        <f t="shared" si="37"/>
        <v>88663.33333</v>
      </c>
      <c r="AM62" s="147">
        <f t="shared" si="37"/>
        <v>88663.33333</v>
      </c>
      <c r="AN62" s="147">
        <f t="shared" si="37"/>
        <v>88663.33333</v>
      </c>
      <c r="AO62" s="147">
        <f t="shared" si="37"/>
        <v>88663.33333</v>
      </c>
      <c r="AP62" s="147">
        <f t="shared" si="37"/>
        <v>88663.33333</v>
      </c>
      <c r="AQ62" s="147">
        <f t="shared" si="37"/>
        <v>88663.33333</v>
      </c>
      <c r="AR62" s="147">
        <f t="shared" si="37"/>
        <v>88663.33333</v>
      </c>
      <c r="AS62" s="147">
        <f t="shared" si="37"/>
        <v>88663.33333</v>
      </c>
      <c r="AT62" s="147">
        <f t="shared" si="37"/>
        <v>88663.33333</v>
      </c>
      <c r="AU62" s="147">
        <f t="shared" si="37"/>
        <v>88663.33333</v>
      </c>
      <c r="AV62" s="147">
        <f t="shared" si="37"/>
        <v>88663.33333</v>
      </c>
      <c r="AW62" s="147">
        <f t="shared" si="37"/>
        <v>88663.33333</v>
      </c>
      <c r="AX62" s="147">
        <f t="shared" si="37"/>
        <v>88663.33333</v>
      </c>
      <c r="AY62" s="147">
        <f t="shared" si="37"/>
        <v>88663.33333</v>
      </c>
      <c r="AZ62" s="147">
        <f t="shared" si="37"/>
        <v>88663.33333</v>
      </c>
      <c r="BA62" s="147">
        <f t="shared" si="37"/>
        <v>88663.33333</v>
      </c>
      <c r="BB62" s="147">
        <f t="shared" si="37"/>
        <v>88663.33333</v>
      </c>
      <c r="BC62" s="147">
        <f t="shared" si="37"/>
        <v>88663.33333</v>
      </c>
      <c r="BD62" s="147">
        <f t="shared" si="37"/>
        <v>88663.33333</v>
      </c>
      <c r="BE62" s="147">
        <f t="shared" si="37"/>
        <v>88663.33333</v>
      </c>
      <c r="BF62" s="147">
        <f t="shared" si="37"/>
        <v>88663.33333</v>
      </c>
      <c r="BG62" s="147">
        <f t="shared" si="37"/>
        <v>88663.33333</v>
      </c>
      <c r="BH62" s="147">
        <f t="shared" si="37"/>
        <v>88663.33333</v>
      </c>
      <c r="BI62" s="147">
        <f t="shared" si="37"/>
        <v>88663.33333</v>
      </c>
      <c r="BJ62" s="147">
        <f t="shared" si="37"/>
        <v>88663.33333</v>
      </c>
      <c r="BK62" s="147">
        <f t="shared" si="37"/>
        <v>88663.33333</v>
      </c>
      <c r="BL62" s="147">
        <f t="shared" si="37"/>
        <v>88663.33333</v>
      </c>
      <c r="BM62" s="147">
        <f t="shared" si="37"/>
        <v>88663.33333</v>
      </c>
      <c r="BN62" s="147">
        <f t="shared" si="37"/>
        <v>88663.33333</v>
      </c>
      <c r="BO62" s="147">
        <f t="shared" si="37"/>
        <v>88663.33333</v>
      </c>
      <c r="BP62" s="147">
        <f t="shared" si="37"/>
        <v>88663.33333</v>
      </c>
      <c r="BQ62" s="147">
        <f t="shared" si="37"/>
        <v>88663.33333</v>
      </c>
      <c r="BR62" s="147">
        <f t="shared" si="37"/>
        <v>88663.33333</v>
      </c>
      <c r="BS62" s="147">
        <f t="shared" si="37"/>
        <v>88663.33333</v>
      </c>
      <c r="BT62" s="147">
        <f t="shared" si="37"/>
        <v>88663.33333</v>
      </c>
      <c r="BU62" s="147">
        <f t="shared" si="37"/>
        <v>88663.33333</v>
      </c>
      <c r="BV62" s="147">
        <f t="shared" si="37"/>
        <v>88663.33333</v>
      </c>
      <c r="BW62" s="147">
        <f t="shared" si="37"/>
        <v>88663.33333</v>
      </c>
    </row>
    <row r="63" ht="15.75" customHeight="1">
      <c r="A63" s="31" t="s">
        <v>244</v>
      </c>
      <c r="B63" s="159"/>
      <c r="D63" s="76">
        <f t="array" ref="D63">INDEX(INDIRECT("PnL_"&amp;TEXT(D$1,"mmm")&amp;"_"&amp;TEXT(D$1,"yyyy")),MATCH(TRIM($A62),PnL_Accounts,0))-D62</f>
        <v>0</v>
      </c>
      <c r="E63" s="76">
        <f t="array" ref="E63">INDEX(INDIRECT("PnL_"&amp;TEXT(E$1,"mmm")&amp;"_"&amp;TEXT(E$1,"yyyy")),MATCH(TRIM($A62),PnL_Accounts,0))-E62</f>
        <v>0</v>
      </c>
      <c r="F63" s="76">
        <f t="array" ref="F63">INDEX(INDIRECT("PnL_"&amp;TEXT(F$1,"mmm")&amp;"_"&amp;TEXT(F$1,"yyyy")),MATCH(TRIM($A62),PnL_Accounts,0))-F62</f>
        <v>0</v>
      </c>
      <c r="G63" s="76">
        <f t="array" ref="G63">INDEX(INDIRECT("PnL_"&amp;TEXT(G$1,"mmm")&amp;"_"&amp;TEXT(G$1,"yyyy")),MATCH(TRIM($A62),PnL_Accounts,0))-G62</f>
        <v>0</v>
      </c>
      <c r="H63" s="76">
        <f t="array" ref="H63">INDEX(INDIRECT("PnL_"&amp;TEXT(H$1,"mmm")&amp;"_"&amp;TEXT(H$1,"yyyy")),MATCH(TRIM($A62),PnL_Accounts,0))-H62</f>
        <v>0</v>
      </c>
      <c r="I63" s="76">
        <f t="array" ref="I63">INDEX(INDIRECT("PnL_"&amp;TEXT(I$1,"mmm")&amp;"_"&amp;TEXT(I$1,"yyyy")),MATCH(TRIM($A62),PnL_Accounts,0))-I62</f>
        <v>0</v>
      </c>
      <c r="J63" s="76">
        <f t="array" ref="J63">INDEX(INDIRECT("PnL_"&amp;TEXT(J$1,"mmm")&amp;"_"&amp;TEXT(J$1,"yyyy")),MATCH(TRIM($A62),PnL_Accounts,0))-J62</f>
        <v>0</v>
      </c>
      <c r="K63" s="76">
        <f t="array" ref="K63">INDEX(INDIRECT("PnL_"&amp;TEXT(K$1,"mmm")&amp;"_"&amp;TEXT(K$1,"yyyy")),MATCH(TRIM($A62),PnL_Accounts,0))-K62</f>
        <v>0</v>
      </c>
      <c r="L63" s="76">
        <f t="array" ref="L63">INDEX(INDIRECT("PnL_"&amp;TEXT(L$1,"mmm")&amp;"_"&amp;TEXT(L$1,"yyyy")),MATCH(TRIM($A62),PnL_Accounts,0))-L62</f>
        <v>0</v>
      </c>
      <c r="M63" s="76">
        <f t="array" ref="M63">INDEX(INDIRECT("PnL_"&amp;TEXT(M$1,"mmm")&amp;"_"&amp;TEXT(M$1,"yyyy")),MATCH(TRIM($A62),PnL_Accounts,0))-M62</f>
        <v>0</v>
      </c>
      <c r="N63" s="76">
        <f t="array" ref="N63">INDEX(INDIRECT("PnL_"&amp;TEXT(N$1,"mmm")&amp;"_"&amp;TEXT(N$1,"yyyy")),MATCH(TRIM($A62),PnL_Accounts,0))-N62</f>
        <v>0</v>
      </c>
      <c r="O63" s="76">
        <f t="array" ref="O63">INDEX(INDIRECT("PnL_"&amp;TEXT(O$1,"mmm")&amp;"_"&amp;TEXT(O$1,"yyyy")),MATCH(TRIM($A62),PnL_Accounts,0))-O62</f>
        <v>0</v>
      </c>
      <c r="P63" s="76">
        <f t="array" ref="P63">INDEX(INDIRECT("PnL_"&amp;TEXT(P$1,"mmm")&amp;"_"&amp;TEXT(P$1,"yyyy")),MATCH(TRIM($A62),PnL_Accounts,0))-P62</f>
        <v>0</v>
      </c>
      <c r="Q63" s="76">
        <f t="array" ref="Q63">INDEX(INDIRECT("PnL_"&amp;TEXT(Q$1,"mmm")&amp;"_"&amp;TEXT(Q$1,"yyyy")),MATCH(TRIM($A62),PnL_Accounts,0))-Q62</f>
        <v>0</v>
      </c>
      <c r="R63" s="76">
        <f t="array" ref="R63">INDEX(INDIRECT("PnL_"&amp;TEXT(R$1,"mmm")&amp;"_"&amp;TEXT(R$1,"yyyy")),MATCH(TRIM($A62),PnL_Accounts,0))-R62</f>
        <v>0</v>
      </c>
      <c r="S63" s="76">
        <f t="array" ref="S63">INDEX(INDIRECT("PnL_"&amp;TEXT(S$1,"mmm")&amp;"_"&amp;TEXT(S$1,"yyyy")),MATCH(TRIM($A62),PnL_Accounts,0))-S62</f>
        <v>0</v>
      </c>
      <c r="T63" s="76">
        <f t="array" ref="T63">INDEX(INDIRECT("PnL_"&amp;TEXT(T$1,"mmm")&amp;"_"&amp;TEXT(T$1,"yyyy")),MATCH(TRIM($A62),PnL_Accounts,0))-T62</f>
        <v>0</v>
      </c>
      <c r="U63" s="76">
        <f t="array" ref="U63">INDEX(INDIRECT("PnL_"&amp;TEXT(U$1,"mmm")&amp;"_"&amp;TEXT(U$1,"yyyy")),MATCH(TRIM($A62),PnL_Accounts,0))-U62</f>
        <v>0</v>
      </c>
      <c r="V63" s="76">
        <f t="array" ref="V63">INDEX(INDIRECT("PnL_"&amp;TEXT(V$1,"mmm")&amp;"_"&amp;TEXT(V$1,"yyyy")),MATCH(TRIM($A62),PnL_Accounts,0))-V62</f>
        <v>0</v>
      </c>
      <c r="W63" s="76">
        <f t="array" ref="W63">INDEX(INDIRECT("PnL_"&amp;TEXT(W$1,"mmm")&amp;"_"&amp;TEXT(W$1,"yyyy")),MATCH(TRIM($A62),PnL_Accounts,0))-W62</f>
        <v>0</v>
      </c>
      <c r="X63" s="76">
        <f t="array" ref="X63">INDEX(INDIRECT("PnL_"&amp;TEXT(X$1,"mmm")&amp;"_"&amp;TEXT(X$1,"yyyy")),MATCH(TRIM($A62),PnL_Accounts,0))-X62</f>
        <v>0</v>
      </c>
      <c r="Y63" s="76">
        <f t="array" ref="Y63">INDEX(INDIRECT("PnL_"&amp;TEXT(Y$1,"mmm")&amp;"_"&amp;TEXT(Y$1,"yyyy")),MATCH(TRIM($A62),PnL_Accounts,0))-Y62</f>
        <v>0</v>
      </c>
      <c r="Z63" s="76">
        <f t="array" ref="Z63">INDEX(INDIRECT("PnL_"&amp;TEXT(Z$1,"mmm")&amp;"_"&amp;TEXT(Z$1,"yyyy")),MATCH(TRIM($A62),PnL_Accounts,0))-Z62</f>
        <v>0</v>
      </c>
      <c r="AA63" s="76">
        <f t="array" ref="AA63">INDEX(INDIRECT("PnL_"&amp;TEXT(AA$1,"mmm")&amp;"_"&amp;TEXT(AA$1,"yyyy")),MATCH(TRIM($A62),PnL_Accounts,0))-AA62</f>
        <v>0</v>
      </c>
      <c r="AB63" s="76">
        <f t="array" ref="AB63">INDEX(INDIRECT("PnL_"&amp;TEXT(AB$1,"mmm")&amp;"_"&amp;TEXT(AB$1,"yyyy")),MATCH(TRIM($A62),PnL_Accounts,0))-AB62</f>
        <v>0</v>
      </c>
      <c r="AC63" s="76">
        <f t="array" ref="AC63">INDEX(INDIRECT("PnL_"&amp;TEXT(AC$1,"mmm")&amp;"_"&amp;TEXT(AC$1,"yyyy")),MATCH(TRIM($A62),PnL_Accounts,0))-AC62</f>
        <v>0</v>
      </c>
      <c r="AD63" s="76">
        <f t="array" ref="AD63">INDEX(INDIRECT("PnL_"&amp;TEXT(AD$1,"mmm")&amp;"_"&amp;TEXT(AD$1,"yyyy")),MATCH(TRIM($A62),PnL_Accounts,0))-AD62</f>
        <v>0</v>
      </c>
      <c r="AE63" s="76">
        <f t="array" ref="AE63">INDEX(INDIRECT("PnL_"&amp;TEXT(AE$1,"mmm")&amp;"_"&amp;TEXT(AE$1,"yyyy")),MATCH(TRIM($A62),PnL_Accounts,0))-AE62</f>
        <v>0</v>
      </c>
    </row>
    <row r="64" ht="15.75" customHeight="1">
      <c r="A64" s="1" t="s">
        <v>17</v>
      </c>
      <c r="B64" s="159"/>
    </row>
    <row r="65" ht="15.75" customHeight="1">
      <c r="A65" s="1" t="s">
        <v>296</v>
      </c>
      <c r="B65" s="159"/>
      <c r="D65" s="76" t="str">
        <f t="array" ref="D65">INDEX(INDIRECT("PnL_"&amp;TEXT(D$1,"mmm")&amp;"_"&amp;TEXT(D$1,"yyyy")),MATCH(TRIM($A65),PnL_Accounts,0))</f>
        <v/>
      </c>
      <c r="E65" s="76" t="str">
        <f t="array" ref="E65">INDEX(INDIRECT("PnL_"&amp;TEXT(E$1,"mmm")&amp;"_"&amp;TEXT(E$1,"yyyy")),MATCH(TRIM($A65),PnL_Accounts,0))</f>
        <v/>
      </c>
      <c r="F65" s="76" t="str">
        <f t="array" ref="F65">INDEX(INDIRECT("PnL_"&amp;TEXT(F$1,"mmm")&amp;"_"&amp;TEXT(F$1,"yyyy")),MATCH(TRIM($A65),PnL_Accounts,0))</f>
        <v/>
      </c>
      <c r="G65" s="76" t="str">
        <f t="array" ref="G65">INDEX(INDIRECT("PnL_"&amp;TEXT(G$1,"mmm")&amp;"_"&amp;TEXT(G$1,"yyyy")),MATCH(TRIM($A65),PnL_Accounts,0))</f>
        <v/>
      </c>
      <c r="H65" s="76" t="str">
        <f t="array" ref="H65">INDEX(INDIRECT("PnL_"&amp;TEXT(H$1,"mmm")&amp;"_"&amp;TEXT(H$1,"yyyy")),MATCH(TRIM($A65),PnL_Accounts,0))</f>
        <v/>
      </c>
      <c r="I65" s="76" t="str">
        <f t="array" ref="I65">INDEX(INDIRECT("PnL_"&amp;TEXT(I$1,"mmm")&amp;"_"&amp;TEXT(I$1,"yyyy")),MATCH(TRIM($A65),PnL_Accounts,0))</f>
        <v/>
      </c>
      <c r="J65" s="76" t="str">
        <f t="array" ref="J65">INDEX(INDIRECT("PnL_"&amp;TEXT(J$1,"mmm")&amp;"_"&amp;TEXT(J$1,"yyyy")),MATCH(TRIM($A65),PnL_Accounts,0))</f>
        <v/>
      </c>
      <c r="K65" s="76" t="str">
        <f t="array" ref="K65">INDEX(INDIRECT("PnL_"&amp;TEXT(K$1,"mmm")&amp;"_"&amp;TEXT(K$1,"yyyy")),MATCH(TRIM($A65),PnL_Accounts,0))</f>
        <v/>
      </c>
      <c r="L65" s="76" t="str">
        <f t="array" ref="L65">INDEX(INDIRECT("PnL_"&amp;TEXT(L$1,"mmm")&amp;"_"&amp;TEXT(L$1,"yyyy")),MATCH(TRIM($A65),PnL_Accounts,0))</f>
        <v/>
      </c>
      <c r="M65" s="76" t="str">
        <f t="array" ref="M65">INDEX(INDIRECT("PnL_"&amp;TEXT(M$1,"mmm")&amp;"_"&amp;TEXT(M$1,"yyyy")),MATCH(TRIM($A65),PnL_Accounts,0))</f>
        <v/>
      </c>
      <c r="N65" s="76" t="str">
        <f t="array" ref="N65">INDEX(INDIRECT("PnL_"&amp;TEXT(N$1,"mmm")&amp;"_"&amp;TEXT(N$1,"yyyy")),MATCH(TRIM($A65),PnL_Accounts,0))</f>
        <v/>
      </c>
      <c r="O65" s="76" t="str">
        <f t="array" ref="O65">INDEX(INDIRECT("PnL_"&amp;TEXT(O$1,"mmm")&amp;"_"&amp;TEXT(O$1,"yyyy")),MATCH(TRIM($A65),PnL_Accounts,0))</f>
        <v/>
      </c>
      <c r="P65" s="76" t="str">
        <f t="array" ref="P65">INDEX(INDIRECT("PnL_"&amp;TEXT(P$1,"mmm")&amp;"_"&amp;TEXT(P$1,"yyyy")),MATCH(TRIM($A65),PnL_Accounts,0))</f>
        <v/>
      </c>
      <c r="Q65" s="76" t="str">
        <f t="array" ref="Q65">INDEX(INDIRECT("PnL_"&amp;TEXT(Q$1,"mmm")&amp;"_"&amp;TEXT(Q$1,"yyyy")),MATCH(TRIM($A65),PnL_Accounts,0))</f>
        <v/>
      </c>
      <c r="R65" s="76" t="str">
        <f t="array" ref="R65">INDEX(INDIRECT("PnL_"&amp;TEXT(R$1,"mmm")&amp;"_"&amp;TEXT(R$1,"yyyy")),MATCH(TRIM($A65),PnL_Accounts,0))</f>
        <v/>
      </c>
      <c r="S65" s="76" t="str">
        <f t="array" ref="S65">INDEX(INDIRECT("PnL_"&amp;TEXT(S$1,"mmm")&amp;"_"&amp;TEXT(S$1,"yyyy")),MATCH(TRIM($A65),PnL_Accounts,0))</f>
        <v/>
      </c>
      <c r="T65" s="76" t="str">
        <f t="array" ref="T65">INDEX(INDIRECT("PnL_"&amp;TEXT(T$1,"mmm")&amp;"_"&amp;TEXT(T$1,"yyyy")),MATCH(TRIM($A65),PnL_Accounts,0))</f>
        <v/>
      </c>
      <c r="U65" s="76" t="str">
        <f t="array" ref="U65">INDEX(INDIRECT("PnL_"&amp;TEXT(U$1,"mmm")&amp;"_"&amp;TEXT(U$1,"yyyy")),MATCH(TRIM($A65),PnL_Accounts,0))</f>
        <v/>
      </c>
      <c r="V65" s="76" t="str">
        <f t="array" ref="V65">INDEX(INDIRECT("PnL_"&amp;TEXT(V$1,"mmm")&amp;"_"&amp;TEXT(V$1,"yyyy")),MATCH(TRIM($A65),PnL_Accounts,0))</f>
        <v/>
      </c>
      <c r="W65" s="76" t="str">
        <f t="array" ref="W65">INDEX(INDIRECT("PnL_"&amp;TEXT(W$1,"mmm")&amp;"_"&amp;TEXT(W$1,"yyyy")),MATCH(TRIM($A65),PnL_Accounts,0))</f>
        <v/>
      </c>
      <c r="X65" s="76" t="str">
        <f t="array" ref="X65">INDEX(INDIRECT("PnL_"&amp;TEXT(X$1,"mmm")&amp;"_"&amp;TEXT(X$1,"yyyy")),MATCH(TRIM($A65),PnL_Accounts,0))</f>
        <v/>
      </c>
      <c r="Y65" s="76" t="str">
        <f t="array" ref="Y65">INDEX(INDIRECT("PnL_"&amp;TEXT(Y$1,"mmm")&amp;"_"&amp;TEXT(Y$1,"yyyy")),MATCH(TRIM($A65),PnL_Accounts,0))</f>
        <v/>
      </c>
      <c r="Z65" s="76" t="str">
        <f t="array" ref="Z65">INDEX(INDIRECT("PnL_"&amp;TEXT(Z$1,"mmm")&amp;"_"&amp;TEXT(Z$1,"yyyy")),MATCH(TRIM($A65),PnL_Accounts,0))</f>
        <v/>
      </c>
      <c r="AA65" s="76" t="str">
        <f t="array" ref="AA65">INDEX(INDIRECT("PnL_"&amp;TEXT(AA$1,"mmm")&amp;"_"&amp;TEXT(AA$1,"yyyy")),MATCH(TRIM($A65),PnL_Accounts,0))</f>
        <v/>
      </c>
      <c r="AB65" s="76" t="str">
        <f t="array" ref="AB65">INDEX(INDIRECT("PnL_"&amp;TEXT(AB$1,"mmm")&amp;"_"&amp;TEXT(AB$1,"yyyy")),MATCH(TRIM($A65),PnL_Accounts,0))</f>
        <v/>
      </c>
      <c r="AC65" s="76" t="str">
        <f t="array" ref="AC65">INDEX(INDIRECT("PnL_"&amp;TEXT(AC$1,"mmm")&amp;"_"&amp;TEXT(AC$1,"yyyy")),MATCH(TRIM($A65),PnL_Accounts,0))</f>
        <v/>
      </c>
      <c r="AD65" s="76" t="str">
        <f t="array" ref="AD65">INDEX(INDIRECT("PnL_"&amp;TEXT(AD$1,"mmm")&amp;"_"&amp;TEXT(AD$1,"yyyy")),MATCH(TRIM($A65),PnL_Accounts,0))</f>
        <v/>
      </c>
      <c r="AE65" s="76" t="str">
        <f t="array" ref="AE65">INDEX(INDIRECT("PnL_"&amp;TEXT(AE$1,"mmm")&amp;"_"&amp;TEXT(AE$1,"yyyy")),MATCH(TRIM($A65),PnL_Accounts,0))</f>
        <v/>
      </c>
    </row>
    <row r="66" ht="15.75" customHeight="1">
      <c r="A66" s="1" t="s">
        <v>297</v>
      </c>
      <c r="B66" s="160"/>
      <c r="D66" s="76">
        <f t="array" ref="D66">INDEX(INDIRECT("PnL_"&amp;TEXT(D$1,"mmm")&amp;"_"&amp;TEXT(D$1,"yyyy")),MATCH(TRIM($A66),PnL_Accounts,0))</f>
        <v>43624</v>
      </c>
      <c r="E66" s="76">
        <f t="array" ref="E66">INDEX(INDIRECT("PnL_"&amp;TEXT(E$1,"mmm")&amp;"_"&amp;TEXT(E$1,"yyyy")),MATCH(TRIM($A66),PnL_Accounts,0))</f>
        <v>46167</v>
      </c>
      <c r="F66" s="76">
        <f t="array" ref="F66">INDEX(INDIRECT("PnL_"&amp;TEXT(F$1,"mmm")&amp;"_"&amp;TEXT(F$1,"yyyy")),MATCH(TRIM($A66),PnL_Accounts,0))</f>
        <v>48966</v>
      </c>
      <c r="G66" s="76">
        <f t="array" ref="G66">INDEX(INDIRECT("PnL_"&amp;TEXT(G$1,"mmm")&amp;"_"&amp;TEXT(G$1,"yyyy")),MATCH(TRIM($A66),PnL_Accounts,0))</f>
        <v>51878</v>
      </c>
      <c r="H66" s="76">
        <f t="array" ref="H66">INDEX(INDIRECT("PnL_"&amp;TEXT(H$1,"mmm")&amp;"_"&amp;TEXT(H$1,"yyyy")),MATCH(TRIM($A66),PnL_Accounts,0))</f>
        <v>55509</v>
      </c>
      <c r="I66" s="76">
        <f t="array" ref="I66">INDEX(INDIRECT("PnL_"&amp;TEXT(I$1,"mmm")&amp;"_"&amp;TEXT(I$1,"yyyy")),MATCH(TRIM($A66),PnL_Accounts,0))</f>
        <v>57730</v>
      </c>
      <c r="J66" s="76">
        <f t="array" ref="J66">INDEX(INDIRECT("PnL_"&amp;TEXT(J$1,"mmm")&amp;"_"&amp;TEXT(J$1,"yyyy")),MATCH(TRIM($A66),PnL_Accounts,0))</f>
        <v>66678</v>
      </c>
      <c r="K66" s="76">
        <f t="array" ref="K66">INDEX(INDIRECT("PnL_"&amp;TEXT(K$1,"mmm")&amp;"_"&amp;TEXT(K$1,"yyyy")),MATCH(TRIM($A66),PnL_Accounts,0))</f>
        <v>72175</v>
      </c>
      <c r="L66" s="76">
        <f t="array" ref="L66">INDEX(INDIRECT("PnL_"&amp;TEXT(L$1,"mmm")&amp;"_"&amp;TEXT(L$1,"yyyy")),MATCH(TRIM($A66),PnL_Accounts,0))</f>
        <v>95583</v>
      </c>
      <c r="M66" s="76">
        <f t="array" ref="M66">INDEX(INDIRECT("PnL_"&amp;TEXT(M$1,"mmm")&amp;"_"&amp;TEXT(M$1,"yyyy")),MATCH(TRIM($A66),PnL_Accounts,0))</f>
        <v>100753</v>
      </c>
      <c r="N66" s="76">
        <f t="array" ref="N66">INDEX(INDIRECT("PnL_"&amp;TEXT(N$1,"mmm")&amp;"_"&amp;TEXT(N$1,"yyyy")),MATCH(TRIM($A66),PnL_Accounts,0))</f>
        <v>121866</v>
      </c>
      <c r="O66" s="76">
        <f t="array" ref="O66">INDEX(INDIRECT("PnL_"&amp;TEXT(O$1,"mmm")&amp;"_"&amp;TEXT(O$1,"yyyy")),MATCH(TRIM($A66),PnL_Accounts,0))</f>
        <v>132194</v>
      </c>
      <c r="P66" s="76">
        <f t="array" ref="P66">INDEX(INDIRECT("PnL_"&amp;TEXT(P$1,"mmm")&amp;"_"&amp;TEXT(P$1,"yyyy")),MATCH(TRIM($A66),PnL_Accounts,0))</f>
        <v>135234</v>
      </c>
      <c r="Q66" s="76">
        <f t="array" ref="Q66">INDEX(INDIRECT("PnL_"&amp;TEXT(Q$1,"mmm")&amp;"_"&amp;TEXT(Q$1,"yyyy")),MATCH(TRIM($A66),PnL_Accounts,0))</f>
        <v>156382</v>
      </c>
      <c r="R66" s="76">
        <f t="array" ref="R66">INDEX(INDIRECT("PnL_"&amp;TEXT(R$1,"mmm")&amp;"_"&amp;TEXT(R$1,"yyyy")),MATCH(TRIM($A66),PnL_Accounts,0))</f>
        <v>158221</v>
      </c>
      <c r="S66" s="76">
        <f t="array" ref="S66">INDEX(INDIRECT("PnL_"&amp;TEXT(S$1,"mmm")&amp;"_"&amp;TEXT(S$1,"yyyy")),MATCH(TRIM($A66),PnL_Accounts,0))</f>
        <v>156382</v>
      </c>
      <c r="T66" s="76">
        <f t="array" ref="T66">INDEX(INDIRECT("PnL_"&amp;TEXT(T$1,"mmm")&amp;"_"&amp;TEXT(T$1,"yyyy")),MATCH(TRIM($A66),PnL_Accounts,0))</f>
        <v>171134</v>
      </c>
      <c r="U66" s="76">
        <f t="array" ref="U66">INDEX(INDIRECT("PnL_"&amp;TEXT(U$1,"mmm")&amp;"_"&amp;TEXT(U$1,"yyyy")),MATCH(TRIM($A66),PnL_Accounts,0))</f>
        <v>168772</v>
      </c>
      <c r="V66" s="76">
        <f t="array" ref="V66">INDEX(INDIRECT("PnL_"&amp;TEXT(V$1,"mmm")&amp;"_"&amp;TEXT(V$1,"yyyy")),MATCH(TRIM($A66),PnL_Accounts,0))</f>
        <v>166219</v>
      </c>
      <c r="W66" s="76">
        <f t="array" ref="W66">INDEX(INDIRECT("PnL_"&amp;TEXT(W$1,"mmm")&amp;"_"&amp;TEXT(W$1,"yyyy")),MATCH(TRIM($A66),PnL_Accounts,0))</f>
        <v>168021</v>
      </c>
      <c r="X66" s="76">
        <f t="array" ref="X66">INDEX(INDIRECT("PnL_"&amp;TEXT(X$1,"mmm")&amp;"_"&amp;TEXT(X$1,"yyyy")),MATCH(TRIM($A66),PnL_Accounts,0))</f>
        <v>172114</v>
      </c>
      <c r="Y66" s="76">
        <f t="array" ref="Y66">INDEX(INDIRECT("PnL_"&amp;TEXT(Y$1,"mmm")&amp;"_"&amp;TEXT(Y$1,"yyyy")),MATCH(TRIM($A66),PnL_Accounts,0))</f>
        <v>152043</v>
      </c>
      <c r="Z66" s="76">
        <f t="array" ref="Z66">INDEX(INDIRECT("PnL_"&amp;TEXT(Z$1,"mmm")&amp;"_"&amp;TEXT(Z$1,"yyyy")),MATCH(TRIM($A66),PnL_Accounts,0))</f>
        <v>163012</v>
      </c>
      <c r="AA66" s="76">
        <f t="array" ref="AA66">INDEX(INDIRECT("PnL_"&amp;TEXT(AA$1,"mmm")&amp;"_"&amp;TEXT(AA$1,"yyyy")),MATCH(TRIM($A66),PnL_Accounts,0))</f>
        <v>175421</v>
      </c>
      <c r="AB66" s="76">
        <f t="array" ref="AB66">INDEX(INDIRECT("PnL_"&amp;TEXT(AB$1,"mmm")&amp;"_"&amp;TEXT(AB$1,"yyyy")),MATCH(TRIM($A66),PnL_Accounts,0))</f>
        <v>179427</v>
      </c>
      <c r="AC66" s="76">
        <f t="array" ref="AC66">INDEX(INDIRECT("PnL_"&amp;TEXT(AC$1,"mmm")&amp;"_"&amp;TEXT(AC$1,"yyyy")),MATCH(TRIM($A66),PnL_Accounts,0))</f>
        <v>185764</v>
      </c>
      <c r="AD66" s="76">
        <f t="array" ref="AD66">INDEX(INDIRECT("PnL_"&amp;TEXT(AD$1,"mmm")&amp;"_"&amp;TEXT(AD$1,"yyyy")),MATCH(TRIM($A66),PnL_Accounts,0))</f>
        <v>175764</v>
      </c>
      <c r="AE66" s="76">
        <f t="array" ref="AE66">INDEX(INDIRECT("PnL_"&amp;TEXT(AE$1,"mmm")&amp;"_"&amp;TEXT(AE$1,"yyyy")),MATCH(TRIM($A66),PnL_Accounts,0))</f>
        <v>167469</v>
      </c>
      <c r="AF66" s="121">
        <v>150000.0</v>
      </c>
      <c r="AG66" s="121">
        <f t="shared" ref="AG66:AY66" si="38">AF66+15000</f>
        <v>165000</v>
      </c>
      <c r="AH66" s="121">
        <f t="shared" si="38"/>
        <v>180000</v>
      </c>
      <c r="AI66" s="121">
        <f t="shared" si="38"/>
        <v>195000</v>
      </c>
      <c r="AJ66" s="121">
        <f t="shared" si="38"/>
        <v>210000</v>
      </c>
      <c r="AK66" s="121">
        <f t="shared" si="38"/>
        <v>225000</v>
      </c>
      <c r="AL66" s="121">
        <f t="shared" si="38"/>
        <v>240000</v>
      </c>
      <c r="AM66" s="121">
        <f t="shared" si="38"/>
        <v>255000</v>
      </c>
      <c r="AN66" s="121">
        <f t="shared" si="38"/>
        <v>270000</v>
      </c>
      <c r="AO66" s="121">
        <f t="shared" si="38"/>
        <v>285000</v>
      </c>
      <c r="AP66" s="121">
        <f t="shared" si="38"/>
        <v>300000</v>
      </c>
      <c r="AQ66" s="121">
        <f t="shared" si="38"/>
        <v>315000</v>
      </c>
      <c r="AR66" s="121">
        <f t="shared" si="38"/>
        <v>330000</v>
      </c>
      <c r="AS66" s="121">
        <f t="shared" si="38"/>
        <v>345000</v>
      </c>
      <c r="AT66" s="121">
        <f t="shared" si="38"/>
        <v>360000</v>
      </c>
      <c r="AU66" s="121">
        <f t="shared" si="38"/>
        <v>375000</v>
      </c>
      <c r="AV66" s="121">
        <f t="shared" si="38"/>
        <v>390000</v>
      </c>
      <c r="AW66" s="121">
        <f t="shared" si="38"/>
        <v>405000</v>
      </c>
      <c r="AX66" s="121">
        <f t="shared" si="38"/>
        <v>420000</v>
      </c>
      <c r="AY66" s="121">
        <f t="shared" si="38"/>
        <v>435000</v>
      </c>
      <c r="AZ66" s="121">
        <f t="shared" ref="AZ66:BW66" si="39">AVERAGE(AV66:AY66)/AVERAGE(AV5:AY5)*AY5</f>
        <v>426596.1624</v>
      </c>
      <c r="BA66" s="121">
        <f t="shared" si="39"/>
        <v>438296.5244</v>
      </c>
      <c r="BB66" s="121">
        <f t="shared" si="39"/>
        <v>448487.2132</v>
      </c>
      <c r="BC66" s="121">
        <f t="shared" si="39"/>
        <v>456661.6295</v>
      </c>
      <c r="BD66" s="121">
        <f t="shared" si="39"/>
        <v>462319.4588</v>
      </c>
      <c r="BE66" s="121">
        <f t="shared" si="39"/>
        <v>471650.0732</v>
      </c>
      <c r="BF66" s="121">
        <f t="shared" si="39"/>
        <v>480361.7302</v>
      </c>
      <c r="BG66" s="121">
        <f t="shared" si="39"/>
        <v>488687.0769</v>
      </c>
      <c r="BH66" s="121">
        <f t="shared" si="39"/>
        <v>497051.8454</v>
      </c>
      <c r="BI66" s="121">
        <f t="shared" si="39"/>
        <v>506123.6428</v>
      </c>
      <c r="BJ66" s="121">
        <f t="shared" si="39"/>
        <v>515127.8394</v>
      </c>
      <c r="BK66" s="121">
        <f t="shared" si="39"/>
        <v>524208.4449</v>
      </c>
      <c r="BL66" s="121">
        <f t="shared" si="39"/>
        <v>533486.3174</v>
      </c>
      <c r="BM66" s="121">
        <f t="shared" si="39"/>
        <v>543002.6847</v>
      </c>
      <c r="BN66" s="121">
        <f t="shared" si="39"/>
        <v>552635.1699</v>
      </c>
      <c r="BO66" s="121">
        <f t="shared" si="39"/>
        <v>562431.7585</v>
      </c>
      <c r="BP66" s="121">
        <f t="shared" si="39"/>
        <v>572415.3557</v>
      </c>
      <c r="BQ66" s="121">
        <f t="shared" si="39"/>
        <v>582583.282</v>
      </c>
      <c r="BR66" s="121">
        <f t="shared" si="39"/>
        <v>592921.3899</v>
      </c>
      <c r="BS66" s="121">
        <f t="shared" si="39"/>
        <v>603443.8004</v>
      </c>
      <c r="BT66" s="121">
        <f t="shared" si="39"/>
        <v>614155.7891</v>
      </c>
      <c r="BU66" s="121">
        <f t="shared" si="39"/>
        <v>625058.0275</v>
      </c>
      <c r="BV66" s="121">
        <f t="shared" si="39"/>
        <v>636152.0617</v>
      </c>
      <c r="BW66" s="121">
        <f t="shared" si="39"/>
        <v>647443.5373</v>
      </c>
    </row>
    <row r="67" ht="15.75" customHeight="1">
      <c r="A67" s="1" t="s">
        <v>298</v>
      </c>
      <c r="B67" s="159"/>
      <c r="D67" s="76" t="str">
        <f t="array" ref="D67">INDEX(INDIRECT("PnL_"&amp;TEXT(D$1,"mmm")&amp;"_"&amp;TEXT(D$1,"yyyy")),MATCH(TRIM($A67),PnL_Accounts,0))</f>
        <v/>
      </c>
      <c r="E67" s="76" t="str">
        <f t="array" ref="E67">INDEX(INDIRECT("PnL_"&amp;TEXT(E$1,"mmm")&amp;"_"&amp;TEXT(E$1,"yyyy")),MATCH(TRIM($A67),PnL_Accounts,0))</f>
        <v/>
      </c>
      <c r="F67" s="76" t="str">
        <f t="array" ref="F67">INDEX(INDIRECT("PnL_"&amp;TEXT(F$1,"mmm")&amp;"_"&amp;TEXT(F$1,"yyyy")),MATCH(TRIM($A67),PnL_Accounts,0))</f>
        <v/>
      </c>
      <c r="G67" s="76" t="str">
        <f t="array" ref="G67">INDEX(INDIRECT("PnL_"&amp;TEXT(G$1,"mmm")&amp;"_"&amp;TEXT(G$1,"yyyy")),MATCH(TRIM($A67),PnL_Accounts,0))</f>
        <v/>
      </c>
      <c r="H67" s="76" t="str">
        <f t="array" ref="H67">INDEX(INDIRECT("PnL_"&amp;TEXT(H$1,"mmm")&amp;"_"&amp;TEXT(H$1,"yyyy")),MATCH(TRIM($A67),PnL_Accounts,0))</f>
        <v/>
      </c>
      <c r="I67" s="76" t="str">
        <f t="array" ref="I67">INDEX(INDIRECT("PnL_"&amp;TEXT(I$1,"mmm")&amp;"_"&amp;TEXT(I$1,"yyyy")),MATCH(TRIM($A67),PnL_Accounts,0))</f>
        <v/>
      </c>
      <c r="J67" s="76" t="str">
        <f t="array" ref="J67">INDEX(INDIRECT("PnL_"&amp;TEXT(J$1,"mmm")&amp;"_"&amp;TEXT(J$1,"yyyy")),MATCH(TRIM($A67),PnL_Accounts,0))</f>
        <v/>
      </c>
      <c r="K67" s="76" t="str">
        <f t="array" ref="K67">INDEX(INDIRECT("PnL_"&amp;TEXT(K$1,"mmm")&amp;"_"&amp;TEXT(K$1,"yyyy")),MATCH(TRIM($A67),PnL_Accounts,0))</f>
        <v/>
      </c>
      <c r="L67" s="76" t="str">
        <f t="array" ref="L67">INDEX(INDIRECT("PnL_"&amp;TEXT(L$1,"mmm")&amp;"_"&amp;TEXT(L$1,"yyyy")),MATCH(TRIM($A67),PnL_Accounts,0))</f>
        <v/>
      </c>
      <c r="M67" s="76" t="str">
        <f t="array" ref="M67">INDEX(INDIRECT("PnL_"&amp;TEXT(M$1,"mmm")&amp;"_"&amp;TEXT(M$1,"yyyy")),MATCH(TRIM($A67),PnL_Accounts,0))</f>
        <v/>
      </c>
      <c r="N67" s="76" t="str">
        <f t="array" ref="N67">INDEX(INDIRECT("PnL_"&amp;TEXT(N$1,"mmm")&amp;"_"&amp;TEXT(N$1,"yyyy")),MATCH(TRIM($A67),PnL_Accounts,0))</f>
        <v/>
      </c>
      <c r="O67" s="76" t="str">
        <f t="array" ref="O67">INDEX(INDIRECT("PnL_"&amp;TEXT(O$1,"mmm")&amp;"_"&amp;TEXT(O$1,"yyyy")),MATCH(TRIM($A67),PnL_Accounts,0))</f>
        <v/>
      </c>
      <c r="P67" s="76" t="str">
        <f t="array" ref="P67">INDEX(INDIRECT("PnL_"&amp;TEXT(P$1,"mmm")&amp;"_"&amp;TEXT(P$1,"yyyy")),MATCH(TRIM($A67),PnL_Accounts,0))</f>
        <v/>
      </c>
      <c r="Q67" s="76" t="str">
        <f t="array" ref="Q67">INDEX(INDIRECT("PnL_"&amp;TEXT(Q$1,"mmm")&amp;"_"&amp;TEXT(Q$1,"yyyy")),MATCH(TRIM($A67),PnL_Accounts,0))</f>
        <v/>
      </c>
      <c r="R67" s="76" t="str">
        <f t="array" ref="R67">INDEX(INDIRECT("PnL_"&amp;TEXT(R$1,"mmm")&amp;"_"&amp;TEXT(R$1,"yyyy")),MATCH(TRIM($A67),PnL_Accounts,0))</f>
        <v/>
      </c>
      <c r="S67" s="76" t="str">
        <f t="array" ref="S67">INDEX(INDIRECT("PnL_"&amp;TEXT(S$1,"mmm")&amp;"_"&amp;TEXT(S$1,"yyyy")),MATCH(TRIM($A67),PnL_Accounts,0))</f>
        <v/>
      </c>
      <c r="T67" s="76" t="str">
        <f t="array" ref="T67">INDEX(INDIRECT("PnL_"&amp;TEXT(T$1,"mmm")&amp;"_"&amp;TEXT(T$1,"yyyy")),MATCH(TRIM($A67),PnL_Accounts,0))</f>
        <v/>
      </c>
      <c r="U67" s="76" t="str">
        <f t="array" ref="U67">INDEX(INDIRECT("PnL_"&amp;TEXT(U$1,"mmm")&amp;"_"&amp;TEXT(U$1,"yyyy")),MATCH(TRIM($A67),PnL_Accounts,0))</f>
        <v/>
      </c>
      <c r="V67" s="76" t="str">
        <f t="array" ref="V67">INDEX(INDIRECT("PnL_"&amp;TEXT(V$1,"mmm")&amp;"_"&amp;TEXT(V$1,"yyyy")),MATCH(TRIM($A67),PnL_Accounts,0))</f>
        <v/>
      </c>
      <c r="W67" s="76" t="str">
        <f t="array" ref="W67">INDEX(INDIRECT("PnL_"&amp;TEXT(W$1,"mmm")&amp;"_"&amp;TEXT(W$1,"yyyy")),MATCH(TRIM($A67),PnL_Accounts,0))</f>
        <v/>
      </c>
      <c r="X67" s="76" t="str">
        <f t="array" ref="X67">INDEX(INDIRECT("PnL_"&amp;TEXT(X$1,"mmm")&amp;"_"&amp;TEXT(X$1,"yyyy")),MATCH(TRIM($A67),PnL_Accounts,0))</f>
        <v/>
      </c>
      <c r="Y67" s="76" t="str">
        <f t="array" ref="Y67">INDEX(INDIRECT("PnL_"&amp;TEXT(Y$1,"mmm")&amp;"_"&amp;TEXT(Y$1,"yyyy")),MATCH(TRIM($A67),PnL_Accounts,0))</f>
        <v/>
      </c>
      <c r="Z67" s="76" t="str">
        <f t="array" ref="Z67">INDEX(INDIRECT("PnL_"&amp;TEXT(Z$1,"mmm")&amp;"_"&amp;TEXT(Z$1,"yyyy")),MATCH(TRIM($A67),PnL_Accounts,0))</f>
        <v/>
      </c>
      <c r="AA67" s="76" t="str">
        <f t="array" ref="AA67">INDEX(INDIRECT("PnL_"&amp;TEXT(AA$1,"mmm")&amp;"_"&amp;TEXT(AA$1,"yyyy")),MATCH(TRIM($A67),PnL_Accounts,0))</f>
        <v/>
      </c>
      <c r="AB67" s="76" t="str">
        <f t="array" ref="AB67">INDEX(INDIRECT("PnL_"&amp;TEXT(AB$1,"mmm")&amp;"_"&amp;TEXT(AB$1,"yyyy")),MATCH(TRIM($A67),PnL_Accounts,0))</f>
        <v/>
      </c>
      <c r="AC67" s="76" t="str">
        <f t="array" ref="AC67">INDEX(INDIRECT("PnL_"&amp;TEXT(AC$1,"mmm")&amp;"_"&amp;TEXT(AC$1,"yyyy")),MATCH(TRIM($A67),PnL_Accounts,0))</f>
        <v/>
      </c>
      <c r="AD67" s="76" t="str">
        <f t="array" ref="AD67">INDEX(INDIRECT("PnL_"&amp;TEXT(AD$1,"mmm")&amp;"_"&amp;TEXT(AD$1,"yyyy")),MATCH(TRIM($A67),PnL_Accounts,0))</f>
        <v/>
      </c>
      <c r="AE67" s="76" t="str">
        <f t="array" ref="AE67">INDEX(INDIRECT("PnL_"&amp;TEXT(AE$1,"mmm")&amp;"_"&amp;TEXT(AE$1,"yyyy")),MATCH(TRIM($A67),PnL_Accounts,0))</f>
        <v/>
      </c>
    </row>
    <row r="68" ht="15.75" customHeight="1">
      <c r="A68" s="1" t="s">
        <v>299</v>
      </c>
      <c r="B68" s="160">
        <f>AVERAGEIFS(68:68,$1:$1,"&gt;="&amp;DATE(YEAR(Current_Month),MONTH(Current_Month)-2,DAY(Current_Month)),$1:$1,"&lt;="&amp;EOMONTH(Current_Month,0))</f>
        <v>1800</v>
      </c>
      <c r="D68" s="76">
        <f t="array" ref="D68">INDEX(INDIRECT("PnL_"&amp;TEXT(D$1,"mmm")&amp;"_"&amp;TEXT(D$1,"yyyy")),MATCH(TRIM($A68),PnL_Accounts,0))</f>
        <v>450</v>
      </c>
      <c r="E68" s="76">
        <f t="array" ref="E68">INDEX(INDIRECT("PnL_"&amp;TEXT(E$1,"mmm")&amp;"_"&amp;TEXT(E$1,"yyyy")),MATCH(TRIM($A68),PnL_Accounts,0))</f>
        <v>450</v>
      </c>
      <c r="F68" s="76">
        <f t="array" ref="F68">INDEX(INDIRECT("PnL_"&amp;TEXT(F$1,"mmm")&amp;"_"&amp;TEXT(F$1,"yyyy")),MATCH(TRIM($A68),PnL_Accounts,0))</f>
        <v>450</v>
      </c>
      <c r="G68" s="76">
        <f t="array" ref="G68">INDEX(INDIRECT("PnL_"&amp;TEXT(G$1,"mmm")&amp;"_"&amp;TEXT(G$1,"yyyy")),MATCH(TRIM($A68),PnL_Accounts,0))</f>
        <v>450</v>
      </c>
      <c r="H68" s="76">
        <f t="array" ref="H68">INDEX(INDIRECT("PnL_"&amp;TEXT(H$1,"mmm")&amp;"_"&amp;TEXT(H$1,"yyyy")),MATCH(TRIM($A68),PnL_Accounts,0))</f>
        <v>450</v>
      </c>
      <c r="I68" s="76">
        <f t="array" ref="I68">INDEX(INDIRECT("PnL_"&amp;TEXT(I$1,"mmm")&amp;"_"&amp;TEXT(I$1,"yyyy")),MATCH(TRIM($A68),PnL_Accounts,0))</f>
        <v>450</v>
      </c>
      <c r="J68" s="76">
        <f t="array" ref="J68">INDEX(INDIRECT("PnL_"&amp;TEXT(J$1,"mmm")&amp;"_"&amp;TEXT(J$1,"yyyy")),MATCH(TRIM($A68),PnL_Accounts,0))</f>
        <v>900</v>
      </c>
      <c r="K68" s="76">
        <f t="array" ref="K68">INDEX(INDIRECT("PnL_"&amp;TEXT(K$1,"mmm")&amp;"_"&amp;TEXT(K$1,"yyyy")),MATCH(TRIM($A68),PnL_Accounts,0))</f>
        <v>900</v>
      </c>
      <c r="L68" s="76">
        <f t="array" ref="L68">INDEX(INDIRECT("PnL_"&amp;TEXT(L$1,"mmm")&amp;"_"&amp;TEXT(L$1,"yyyy")),MATCH(TRIM($A68),PnL_Accounts,0))</f>
        <v>900</v>
      </c>
      <c r="M68" s="76">
        <f t="array" ref="M68">INDEX(INDIRECT("PnL_"&amp;TEXT(M$1,"mmm")&amp;"_"&amp;TEXT(M$1,"yyyy")),MATCH(TRIM($A68),PnL_Accounts,0))</f>
        <v>1350</v>
      </c>
      <c r="N68" s="76">
        <f t="array" ref="N68">INDEX(INDIRECT("PnL_"&amp;TEXT(N$1,"mmm")&amp;"_"&amp;TEXT(N$1,"yyyy")),MATCH(TRIM($A68),PnL_Accounts,0))</f>
        <v>1350</v>
      </c>
      <c r="O68" s="76">
        <f t="array" ref="O68">INDEX(INDIRECT("PnL_"&amp;TEXT(O$1,"mmm")&amp;"_"&amp;TEXT(O$1,"yyyy")),MATCH(TRIM($A68),PnL_Accounts,0))</f>
        <v>1350</v>
      </c>
      <c r="P68" s="76">
        <f t="array" ref="P68">INDEX(INDIRECT("PnL_"&amp;TEXT(P$1,"mmm")&amp;"_"&amp;TEXT(P$1,"yyyy")),MATCH(TRIM($A68),PnL_Accounts,0))</f>
        <v>1800</v>
      </c>
      <c r="Q68" s="76">
        <f t="array" ref="Q68">INDEX(INDIRECT("PnL_"&amp;TEXT(Q$1,"mmm")&amp;"_"&amp;TEXT(Q$1,"yyyy")),MATCH(TRIM($A68),PnL_Accounts,0))</f>
        <v>1800</v>
      </c>
      <c r="R68" s="76">
        <f t="array" ref="R68">INDEX(INDIRECT("PnL_"&amp;TEXT(R$1,"mmm")&amp;"_"&amp;TEXT(R$1,"yyyy")),MATCH(TRIM($A68),PnL_Accounts,0))</f>
        <v>1800</v>
      </c>
      <c r="S68" s="76">
        <f t="array" ref="S68">INDEX(INDIRECT("PnL_"&amp;TEXT(S$1,"mmm")&amp;"_"&amp;TEXT(S$1,"yyyy")),MATCH(TRIM($A68),PnL_Accounts,0))</f>
        <v>1800</v>
      </c>
      <c r="T68" s="76">
        <f t="array" ref="T68">INDEX(INDIRECT("PnL_"&amp;TEXT(T$1,"mmm")&amp;"_"&amp;TEXT(T$1,"yyyy")),MATCH(TRIM($A68),PnL_Accounts,0))</f>
        <v>1800</v>
      </c>
      <c r="U68" s="76">
        <f t="array" ref="U68">INDEX(INDIRECT("PnL_"&amp;TEXT(U$1,"mmm")&amp;"_"&amp;TEXT(U$1,"yyyy")),MATCH(TRIM($A68),PnL_Accounts,0))</f>
        <v>1800</v>
      </c>
      <c r="V68" s="76">
        <f t="array" ref="V68">INDEX(INDIRECT("PnL_"&amp;TEXT(V$1,"mmm")&amp;"_"&amp;TEXT(V$1,"yyyy")),MATCH(TRIM($A68),PnL_Accounts,0))</f>
        <v>1800</v>
      </c>
      <c r="W68" s="76">
        <f t="array" ref="W68">INDEX(INDIRECT("PnL_"&amp;TEXT(W$1,"mmm")&amp;"_"&amp;TEXT(W$1,"yyyy")),MATCH(TRIM($A68),PnL_Accounts,0))</f>
        <v>1800</v>
      </c>
      <c r="X68" s="76">
        <f t="array" ref="X68">INDEX(INDIRECT("PnL_"&amp;TEXT(X$1,"mmm")&amp;"_"&amp;TEXT(X$1,"yyyy")),MATCH(TRIM($A68),PnL_Accounts,0))</f>
        <v>1800</v>
      </c>
      <c r="Y68" s="76">
        <f t="array" ref="Y68">INDEX(INDIRECT("PnL_"&amp;TEXT(Y$1,"mmm")&amp;"_"&amp;TEXT(Y$1,"yyyy")),MATCH(TRIM($A68),PnL_Accounts,0))</f>
        <v>1800</v>
      </c>
      <c r="Z68" s="76">
        <f t="array" ref="Z68">INDEX(INDIRECT("PnL_"&amp;TEXT(Z$1,"mmm")&amp;"_"&amp;TEXT(Z$1,"yyyy")),MATCH(TRIM($A68),PnL_Accounts,0))</f>
        <v>1800</v>
      </c>
      <c r="AA68" s="76">
        <f t="array" ref="AA68">INDEX(INDIRECT("PnL_"&amp;TEXT(AA$1,"mmm")&amp;"_"&amp;TEXT(AA$1,"yyyy")),MATCH(TRIM($A68),PnL_Accounts,0))</f>
        <v>1800</v>
      </c>
      <c r="AB68" s="76">
        <f t="array" ref="AB68">INDEX(INDIRECT("PnL_"&amp;TEXT(AB$1,"mmm")&amp;"_"&amp;TEXT(AB$1,"yyyy")),MATCH(TRIM($A68),PnL_Accounts,0))</f>
        <v>1800</v>
      </c>
      <c r="AC68" s="76">
        <f t="array" ref="AC68">INDEX(INDIRECT("PnL_"&amp;TEXT(AC$1,"mmm")&amp;"_"&amp;TEXT(AC$1,"yyyy")),MATCH(TRIM($A68),PnL_Accounts,0))</f>
        <v>1800</v>
      </c>
      <c r="AD68" s="76">
        <f t="array" ref="AD68">INDEX(INDIRECT("PnL_"&amp;TEXT(AD$1,"mmm")&amp;"_"&amp;TEXT(AD$1,"yyyy")),MATCH(TRIM($A68),PnL_Accounts,0))</f>
        <v>1800</v>
      </c>
      <c r="AE68" s="76">
        <f t="array" ref="AE68">INDEX(INDIRECT("PnL_"&amp;TEXT(AE$1,"mmm")&amp;"_"&amp;TEXT(AE$1,"yyyy")),MATCH(TRIM($A68),PnL_Accounts,0))</f>
        <v>1800</v>
      </c>
      <c r="AF68" s="39">
        <f t="array" ref="AF68">INDEX(Hiring_Plan_Benefits_Marketing,MATCH(AF$1,Hiring_Plan_Months,0))</f>
        <v>2033.333333</v>
      </c>
      <c r="AG68" s="39">
        <f t="array" ref="AG68">INDEX(Hiring_Plan_Benefits_Marketing,MATCH(AG$1,Hiring_Plan_Months,0))</f>
        <v>2033.333333</v>
      </c>
      <c r="AH68" s="39">
        <f t="array" ref="AH68">INDEX(Hiring_Plan_Benefits_Marketing,MATCH(AH$1,Hiring_Plan_Months,0))</f>
        <v>2033.333333</v>
      </c>
      <c r="AI68" s="39">
        <f t="array" ref="AI68">INDEX(Hiring_Plan_Benefits_Marketing,MATCH(AI$1,Hiring_Plan_Months,0))</f>
        <v>2033.333333</v>
      </c>
      <c r="AJ68" s="39">
        <f t="array" ref="AJ68">INDEX(Hiring_Plan_Benefits_Marketing,MATCH(AJ$1,Hiring_Plan_Months,0))</f>
        <v>2033.333333</v>
      </c>
      <c r="AK68" s="39">
        <f t="array" ref="AK68">INDEX(Hiring_Plan_Benefits_Marketing,MATCH(AK$1,Hiring_Plan_Months,0))</f>
        <v>2866.666667</v>
      </c>
      <c r="AL68" s="39">
        <f t="array" ref="AL68">INDEX(Hiring_Plan_Benefits_Marketing,MATCH(AL$1,Hiring_Plan_Months,0))</f>
        <v>2866.666667</v>
      </c>
      <c r="AM68" s="39">
        <f t="array" ref="AM68">INDEX(Hiring_Plan_Benefits_Marketing,MATCH(AM$1,Hiring_Plan_Months,0))</f>
        <v>3700</v>
      </c>
      <c r="AN68" s="39">
        <f t="array" ref="AN68">INDEX(Hiring_Plan_Benefits_Marketing,MATCH(AN$1,Hiring_Plan_Months,0))</f>
        <v>3700</v>
      </c>
      <c r="AO68" s="39">
        <f t="array" ref="AO68">INDEX(Hiring_Plan_Benefits_Marketing,MATCH(AO$1,Hiring_Plan_Months,0))</f>
        <v>4533.333333</v>
      </c>
      <c r="AP68" s="39">
        <f t="array" ref="AP68">INDEX(Hiring_Plan_Benefits_Marketing,MATCH(AP$1,Hiring_Plan_Months,0))</f>
        <v>4533.333333</v>
      </c>
      <c r="AQ68" s="39">
        <f t="array" ref="AQ68">INDEX(Hiring_Plan_Benefits_Marketing,MATCH(AQ$1,Hiring_Plan_Months,0))</f>
        <v>5366.666667</v>
      </c>
      <c r="AR68" s="39">
        <f t="array" ref="AR68">INDEX(Hiring_Plan_Benefits_Marketing,MATCH(AR$1,Hiring_Plan_Months,0))</f>
        <v>5366.666667</v>
      </c>
      <c r="AS68" s="39">
        <f t="array" ref="AS68">INDEX(Hiring_Plan_Benefits_Marketing,MATCH(AS$1,Hiring_Plan_Months,0))</f>
        <v>5366.666667</v>
      </c>
      <c r="AT68" s="39">
        <f t="array" ref="AT68">INDEX(Hiring_Plan_Benefits_Marketing,MATCH(AT$1,Hiring_Plan_Months,0))</f>
        <v>5366.666667</v>
      </c>
      <c r="AU68" s="39">
        <f t="array" ref="AU68">INDEX(Hiring_Plan_Benefits_Marketing,MATCH(AU$1,Hiring_Plan_Months,0))</f>
        <v>5366.666667</v>
      </c>
      <c r="AV68" s="39">
        <f t="array" ref="AV68">INDEX(Hiring_Plan_Benefits_Marketing,MATCH(AV$1,Hiring_Plan_Months,0))</f>
        <v>5366.666667</v>
      </c>
      <c r="AW68" s="39">
        <f t="array" ref="AW68">INDEX(Hiring_Plan_Benefits_Marketing,MATCH(AW$1,Hiring_Plan_Months,0))</f>
        <v>5366.666667</v>
      </c>
      <c r="AX68" s="39">
        <f t="array" ref="AX68">INDEX(Hiring_Plan_Benefits_Marketing,MATCH(AX$1,Hiring_Plan_Months,0))</f>
        <v>5366.666667</v>
      </c>
      <c r="AY68" s="39">
        <f t="array" ref="AY68">INDEX(Hiring_Plan_Benefits_Marketing,MATCH(AY$1,Hiring_Plan_Months,0))</f>
        <v>5366.666667</v>
      </c>
      <c r="AZ68" s="39">
        <f t="array" ref="AZ68">INDEX(Hiring_Plan_Benefits_Marketing,MATCH(AZ$1,Hiring_Plan_Months,0))</f>
        <v>5366.666667</v>
      </c>
      <c r="BA68" s="39">
        <f t="array" ref="BA68">INDEX(Hiring_Plan_Benefits_Marketing,MATCH(BA$1,Hiring_Plan_Months,0))</f>
        <v>5366.666667</v>
      </c>
      <c r="BB68" s="39">
        <f t="array" ref="BB68">INDEX(Hiring_Plan_Benefits_Marketing,MATCH(BB$1,Hiring_Plan_Months,0))</f>
        <v>5366.666667</v>
      </c>
      <c r="BC68" s="39">
        <f t="array" ref="BC68">INDEX(Hiring_Plan_Benefits_Marketing,MATCH(BC$1,Hiring_Plan_Months,0))</f>
        <v>5366.666667</v>
      </c>
      <c r="BD68" s="39">
        <f t="array" ref="BD68">INDEX(Hiring_Plan_Benefits_Marketing,MATCH(BD$1,Hiring_Plan_Months,0))</f>
        <v>5366.666667</v>
      </c>
      <c r="BE68" s="39">
        <f t="array" ref="BE68">INDEX(Hiring_Plan_Benefits_Marketing,MATCH(BE$1,Hiring_Plan_Months,0))</f>
        <v>5366.666667</v>
      </c>
      <c r="BF68" s="39">
        <f t="array" ref="BF68">INDEX(Hiring_Plan_Benefits_Marketing,MATCH(BF$1,Hiring_Plan_Months,0))</f>
        <v>5366.666667</v>
      </c>
      <c r="BG68" s="39">
        <f t="array" ref="BG68">INDEX(Hiring_Plan_Benefits_Marketing,MATCH(BG$1,Hiring_Plan_Months,0))</f>
        <v>5366.666667</v>
      </c>
      <c r="BH68" s="39">
        <f t="array" ref="BH68">INDEX(Hiring_Plan_Benefits_Marketing,MATCH(BH$1,Hiring_Plan_Months,0))</f>
        <v>5366.666667</v>
      </c>
      <c r="BI68" s="39">
        <f t="array" ref="BI68">INDEX(Hiring_Plan_Benefits_Marketing,MATCH(BI$1,Hiring_Plan_Months,0))</f>
        <v>5366.666667</v>
      </c>
      <c r="BJ68" s="39">
        <f t="array" ref="BJ68">INDEX(Hiring_Plan_Benefits_Marketing,MATCH(BJ$1,Hiring_Plan_Months,0))</f>
        <v>5366.666667</v>
      </c>
      <c r="BK68" s="39">
        <f t="array" ref="BK68">INDEX(Hiring_Plan_Benefits_Marketing,MATCH(BK$1,Hiring_Plan_Months,0))</f>
        <v>5366.666667</v>
      </c>
      <c r="BL68" s="39">
        <f t="array" ref="BL68">INDEX(Hiring_Plan_Benefits_Marketing,MATCH(BL$1,Hiring_Plan_Months,0))</f>
        <v>5366.666667</v>
      </c>
      <c r="BM68" s="39">
        <f t="array" ref="BM68">INDEX(Hiring_Plan_Benefits_Marketing,MATCH(BM$1,Hiring_Plan_Months,0))</f>
        <v>5366.666667</v>
      </c>
      <c r="BN68" s="39">
        <f t="array" ref="BN68">INDEX(Hiring_Plan_Benefits_Marketing,MATCH(BN$1,Hiring_Plan_Months,0))</f>
        <v>5366.666667</v>
      </c>
      <c r="BO68" s="39">
        <f t="array" ref="BO68">INDEX(Hiring_Plan_Benefits_Marketing,MATCH(BO$1,Hiring_Plan_Months,0))</f>
        <v>5366.666667</v>
      </c>
      <c r="BP68" s="39">
        <f t="array" ref="BP68">INDEX(Hiring_Plan_Benefits_Marketing,MATCH(BP$1,Hiring_Plan_Months,0))</f>
        <v>5366.666667</v>
      </c>
      <c r="BQ68" s="39">
        <f t="array" ref="BQ68">INDEX(Hiring_Plan_Benefits_Marketing,MATCH(BQ$1,Hiring_Plan_Months,0))</f>
        <v>5366.666667</v>
      </c>
      <c r="BR68" s="39">
        <f t="array" ref="BR68">INDEX(Hiring_Plan_Benefits_Marketing,MATCH(BR$1,Hiring_Plan_Months,0))</f>
        <v>5366.666667</v>
      </c>
      <c r="BS68" s="39">
        <f t="array" ref="BS68">INDEX(Hiring_Plan_Benefits_Marketing,MATCH(BS$1,Hiring_Plan_Months,0))</f>
        <v>5366.666667</v>
      </c>
      <c r="BT68" s="39">
        <f t="array" ref="BT68">INDEX(Hiring_Plan_Benefits_Marketing,MATCH(BT$1,Hiring_Plan_Months,0))</f>
        <v>5366.666667</v>
      </c>
      <c r="BU68" s="39">
        <f t="array" ref="BU68">INDEX(Hiring_Plan_Benefits_Marketing,MATCH(BU$1,Hiring_Plan_Months,0))</f>
        <v>5366.666667</v>
      </c>
      <c r="BV68" s="39">
        <f t="array" ref="BV68">INDEX(Hiring_Plan_Benefits_Marketing,MATCH(BV$1,Hiring_Plan_Months,0))</f>
        <v>5366.666667</v>
      </c>
      <c r="BW68" s="39">
        <f t="array" ref="BW68">INDEX(Hiring_Plan_Benefits_Marketing,MATCH(BW$1,Hiring_Plan_Months,0))</f>
        <v>5366.666667</v>
      </c>
    </row>
    <row r="69" ht="15.75" customHeight="1">
      <c r="A69" s="1" t="s">
        <v>300</v>
      </c>
      <c r="B69" s="160">
        <f>AVERAGEIFS(69:69,$1:$1,"&gt;="&amp;DATE(YEAR(Current_Month),MONTH(Current_Month)-2,DAY(Current_Month)),$1:$1,"&lt;="&amp;EOMONTH(Current_Month,0))</f>
        <v>2115</v>
      </c>
      <c r="D69" s="76">
        <f t="array" ref="D69">INDEX(INDIRECT("PnL_"&amp;TEXT(D$1,"mmm")&amp;"_"&amp;TEXT(D$1,"yyyy")),MATCH(TRIM($A69),PnL_Accounts,0))</f>
        <v>529</v>
      </c>
      <c r="E69" s="76">
        <f t="array" ref="E69">INDEX(INDIRECT("PnL_"&amp;TEXT(E$1,"mmm")&amp;"_"&amp;TEXT(E$1,"yyyy")),MATCH(TRIM($A69),PnL_Accounts,0))</f>
        <v>529</v>
      </c>
      <c r="F69" s="76">
        <f t="array" ref="F69">INDEX(INDIRECT("PnL_"&amp;TEXT(F$1,"mmm")&amp;"_"&amp;TEXT(F$1,"yyyy")),MATCH(TRIM($A69),PnL_Accounts,0))</f>
        <v>529</v>
      </c>
      <c r="G69" s="76">
        <f t="array" ref="G69">INDEX(INDIRECT("PnL_"&amp;TEXT(G$1,"mmm")&amp;"_"&amp;TEXT(G$1,"yyyy")),MATCH(TRIM($A69),PnL_Accounts,0))</f>
        <v>529</v>
      </c>
      <c r="H69" s="76">
        <f t="array" ref="H69">INDEX(INDIRECT("PnL_"&amp;TEXT(H$1,"mmm")&amp;"_"&amp;TEXT(H$1,"yyyy")),MATCH(TRIM($A69),PnL_Accounts,0))</f>
        <v>529</v>
      </c>
      <c r="I69" s="76">
        <f t="array" ref="I69">INDEX(INDIRECT("PnL_"&amp;TEXT(I$1,"mmm")&amp;"_"&amp;TEXT(I$1,"yyyy")),MATCH(TRIM($A69),PnL_Accounts,0))</f>
        <v>529</v>
      </c>
      <c r="J69" s="76">
        <f t="array" ref="J69">INDEX(INDIRECT("PnL_"&amp;TEXT(J$1,"mmm")&amp;"_"&amp;TEXT(J$1,"yyyy")),MATCH(TRIM($A69),PnL_Accounts,0))</f>
        <v>1058</v>
      </c>
      <c r="K69" s="76">
        <f t="array" ref="K69">INDEX(INDIRECT("PnL_"&amp;TEXT(K$1,"mmm")&amp;"_"&amp;TEXT(K$1,"yyyy")),MATCH(TRIM($A69),PnL_Accounts,0))</f>
        <v>1058</v>
      </c>
      <c r="L69" s="76">
        <f t="array" ref="L69">INDEX(INDIRECT("PnL_"&amp;TEXT(L$1,"mmm")&amp;"_"&amp;TEXT(L$1,"yyyy")),MATCH(TRIM($A69),PnL_Accounts,0))</f>
        <v>1058</v>
      </c>
      <c r="M69" s="76">
        <f t="array" ref="M69">INDEX(INDIRECT("PnL_"&amp;TEXT(M$1,"mmm")&amp;"_"&amp;TEXT(M$1,"yyyy")),MATCH(TRIM($A69),PnL_Accounts,0))</f>
        <v>1586</v>
      </c>
      <c r="N69" s="76">
        <f t="array" ref="N69">INDEX(INDIRECT("PnL_"&amp;TEXT(N$1,"mmm")&amp;"_"&amp;TEXT(N$1,"yyyy")),MATCH(TRIM($A69),PnL_Accounts,0))</f>
        <v>1586</v>
      </c>
      <c r="O69" s="76">
        <f t="array" ref="O69">INDEX(INDIRECT("PnL_"&amp;TEXT(O$1,"mmm")&amp;"_"&amp;TEXT(O$1,"yyyy")),MATCH(TRIM($A69),PnL_Accounts,0))</f>
        <v>1586</v>
      </c>
      <c r="P69" s="76">
        <f t="array" ref="P69">INDEX(INDIRECT("PnL_"&amp;TEXT(P$1,"mmm")&amp;"_"&amp;TEXT(P$1,"yyyy")),MATCH(TRIM($A69),PnL_Accounts,0))</f>
        <v>2115</v>
      </c>
      <c r="Q69" s="76">
        <f t="array" ref="Q69">INDEX(INDIRECT("PnL_"&amp;TEXT(Q$1,"mmm")&amp;"_"&amp;TEXT(Q$1,"yyyy")),MATCH(TRIM($A69),PnL_Accounts,0))</f>
        <v>2115</v>
      </c>
      <c r="R69" s="76">
        <f t="array" ref="R69">INDEX(INDIRECT("PnL_"&amp;TEXT(R$1,"mmm")&amp;"_"&amp;TEXT(R$1,"yyyy")),MATCH(TRIM($A69),PnL_Accounts,0))</f>
        <v>2115</v>
      </c>
      <c r="S69" s="76">
        <f t="array" ref="S69">INDEX(INDIRECT("PnL_"&amp;TEXT(S$1,"mmm")&amp;"_"&amp;TEXT(S$1,"yyyy")),MATCH(TRIM($A69),PnL_Accounts,0))</f>
        <v>2115</v>
      </c>
      <c r="T69" s="76">
        <f t="array" ref="T69">INDEX(INDIRECT("PnL_"&amp;TEXT(T$1,"mmm")&amp;"_"&amp;TEXT(T$1,"yyyy")),MATCH(TRIM($A69),PnL_Accounts,0))</f>
        <v>2115</v>
      </c>
      <c r="U69" s="76">
        <f t="array" ref="U69">INDEX(INDIRECT("PnL_"&amp;TEXT(U$1,"mmm")&amp;"_"&amp;TEXT(U$1,"yyyy")),MATCH(TRIM($A69),PnL_Accounts,0))</f>
        <v>2115</v>
      </c>
      <c r="V69" s="76">
        <f t="array" ref="V69">INDEX(INDIRECT("PnL_"&amp;TEXT(V$1,"mmm")&amp;"_"&amp;TEXT(V$1,"yyyy")),MATCH(TRIM($A69),PnL_Accounts,0))</f>
        <v>2115</v>
      </c>
      <c r="W69" s="76">
        <f t="array" ref="W69">INDEX(INDIRECT("PnL_"&amp;TEXT(W$1,"mmm")&amp;"_"&amp;TEXT(W$1,"yyyy")),MATCH(TRIM($A69),PnL_Accounts,0))</f>
        <v>2115</v>
      </c>
      <c r="X69" s="76">
        <f t="array" ref="X69">INDEX(INDIRECT("PnL_"&amp;TEXT(X$1,"mmm")&amp;"_"&amp;TEXT(X$1,"yyyy")),MATCH(TRIM($A69),PnL_Accounts,0))</f>
        <v>2115</v>
      </c>
      <c r="Y69" s="76">
        <f t="array" ref="Y69">INDEX(INDIRECT("PnL_"&amp;TEXT(Y$1,"mmm")&amp;"_"&amp;TEXT(Y$1,"yyyy")),MATCH(TRIM($A69),PnL_Accounts,0))</f>
        <v>2115</v>
      </c>
      <c r="Z69" s="76">
        <f t="array" ref="Z69">INDEX(INDIRECT("PnL_"&amp;TEXT(Z$1,"mmm")&amp;"_"&amp;TEXT(Z$1,"yyyy")),MATCH(TRIM($A69),PnL_Accounts,0))</f>
        <v>2115</v>
      </c>
      <c r="AA69" s="76">
        <f t="array" ref="AA69">INDEX(INDIRECT("PnL_"&amp;TEXT(AA$1,"mmm")&amp;"_"&amp;TEXT(AA$1,"yyyy")),MATCH(TRIM($A69),PnL_Accounts,0))</f>
        <v>2115</v>
      </c>
      <c r="AB69" s="76">
        <f t="array" ref="AB69">INDEX(INDIRECT("PnL_"&amp;TEXT(AB$1,"mmm")&amp;"_"&amp;TEXT(AB$1,"yyyy")),MATCH(TRIM($A69),PnL_Accounts,0))</f>
        <v>2115</v>
      </c>
      <c r="AC69" s="76">
        <f t="array" ref="AC69">INDEX(INDIRECT("PnL_"&amp;TEXT(AC$1,"mmm")&amp;"_"&amp;TEXT(AC$1,"yyyy")),MATCH(TRIM($A69),PnL_Accounts,0))</f>
        <v>2115</v>
      </c>
      <c r="AD69" s="76">
        <f t="array" ref="AD69">INDEX(INDIRECT("PnL_"&amp;TEXT(AD$1,"mmm")&amp;"_"&amp;TEXT(AD$1,"yyyy")),MATCH(TRIM($A69),PnL_Accounts,0))</f>
        <v>2115</v>
      </c>
      <c r="AE69" s="76">
        <f t="array" ref="AE69">INDEX(INDIRECT("PnL_"&amp;TEXT(AE$1,"mmm")&amp;"_"&amp;TEXT(AE$1,"yyyy")),MATCH(TRIM($A69),PnL_Accounts,0))</f>
        <v>2115</v>
      </c>
      <c r="AF69" s="39">
        <f t="array" ref="AF69">INDEX(Hiring_Plan_Payroll_Taxes_Marketing,MATCH(AF$1,Hiring_Plan_Months,0))</f>
        <v>2325</v>
      </c>
      <c r="AG69" s="39">
        <f t="array" ref="AG69">INDEX(Hiring_Plan_Payroll_Taxes_Marketing,MATCH(AG$1,Hiring_Plan_Months,0))</f>
        <v>2325</v>
      </c>
      <c r="AH69" s="39">
        <f t="array" ref="AH69">INDEX(Hiring_Plan_Payroll_Taxes_Marketing,MATCH(AH$1,Hiring_Plan_Months,0))</f>
        <v>2325</v>
      </c>
      <c r="AI69" s="39">
        <f t="array" ref="AI69">INDEX(Hiring_Plan_Payroll_Taxes_Marketing,MATCH(AI$1,Hiring_Plan_Months,0))</f>
        <v>2325</v>
      </c>
      <c r="AJ69" s="39">
        <f t="array" ref="AJ69">INDEX(Hiring_Plan_Payroll_Taxes_Marketing,MATCH(AJ$1,Hiring_Plan_Months,0))</f>
        <v>2325</v>
      </c>
      <c r="AK69" s="39">
        <f t="array" ref="AK69">INDEX(Hiring_Plan_Payroll_Taxes_Marketing,MATCH(AK$1,Hiring_Plan_Months,0))</f>
        <v>3075</v>
      </c>
      <c r="AL69" s="39">
        <f t="array" ref="AL69">INDEX(Hiring_Plan_Payroll_Taxes_Marketing,MATCH(AL$1,Hiring_Plan_Months,0))</f>
        <v>3075</v>
      </c>
      <c r="AM69" s="39">
        <f t="array" ref="AM69">INDEX(Hiring_Plan_Payroll_Taxes_Marketing,MATCH(AM$1,Hiring_Plan_Months,0))</f>
        <v>3825</v>
      </c>
      <c r="AN69" s="39">
        <f t="array" ref="AN69">INDEX(Hiring_Plan_Payroll_Taxes_Marketing,MATCH(AN$1,Hiring_Plan_Months,0))</f>
        <v>3825</v>
      </c>
      <c r="AO69" s="39">
        <f t="array" ref="AO69">INDEX(Hiring_Plan_Payroll_Taxes_Marketing,MATCH(AO$1,Hiring_Plan_Months,0))</f>
        <v>4575</v>
      </c>
      <c r="AP69" s="39">
        <f t="array" ref="AP69">INDEX(Hiring_Plan_Payroll_Taxes_Marketing,MATCH(AP$1,Hiring_Plan_Months,0))</f>
        <v>4575</v>
      </c>
      <c r="AQ69" s="39">
        <f t="array" ref="AQ69">INDEX(Hiring_Plan_Payroll_Taxes_Marketing,MATCH(AQ$1,Hiring_Plan_Months,0))</f>
        <v>5325</v>
      </c>
      <c r="AR69" s="39">
        <f t="array" ref="AR69">INDEX(Hiring_Plan_Payroll_Taxes_Marketing,MATCH(AR$1,Hiring_Plan_Months,0))</f>
        <v>5325</v>
      </c>
      <c r="AS69" s="39">
        <f t="array" ref="AS69">INDEX(Hiring_Plan_Payroll_Taxes_Marketing,MATCH(AS$1,Hiring_Plan_Months,0))</f>
        <v>5325</v>
      </c>
      <c r="AT69" s="39">
        <f t="array" ref="AT69">INDEX(Hiring_Plan_Payroll_Taxes_Marketing,MATCH(AT$1,Hiring_Plan_Months,0))</f>
        <v>5325</v>
      </c>
      <c r="AU69" s="39">
        <f t="array" ref="AU69">INDEX(Hiring_Plan_Payroll_Taxes_Marketing,MATCH(AU$1,Hiring_Plan_Months,0))</f>
        <v>5325</v>
      </c>
      <c r="AV69" s="39">
        <f t="array" ref="AV69">INDEX(Hiring_Plan_Payroll_Taxes_Marketing,MATCH(AV$1,Hiring_Plan_Months,0))</f>
        <v>5325</v>
      </c>
      <c r="AW69" s="39">
        <f t="array" ref="AW69">INDEX(Hiring_Plan_Payroll_Taxes_Marketing,MATCH(AW$1,Hiring_Plan_Months,0))</f>
        <v>5325</v>
      </c>
      <c r="AX69" s="39">
        <f t="array" ref="AX69">INDEX(Hiring_Plan_Payroll_Taxes_Marketing,MATCH(AX$1,Hiring_Plan_Months,0))</f>
        <v>5325</v>
      </c>
      <c r="AY69" s="39">
        <f t="array" ref="AY69">INDEX(Hiring_Plan_Payroll_Taxes_Marketing,MATCH(AY$1,Hiring_Plan_Months,0))</f>
        <v>5325</v>
      </c>
      <c r="AZ69" s="39">
        <f t="array" ref="AZ69">INDEX(Hiring_Plan_Payroll_Taxes_Marketing,MATCH(AZ$1,Hiring_Plan_Months,0))</f>
        <v>5325</v>
      </c>
      <c r="BA69" s="39">
        <f t="array" ref="BA69">INDEX(Hiring_Plan_Payroll_Taxes_Marketing,MATCH(BA$1,Hiring_Plan_Months,0))</f>
        <v>5325</v>
      </c>
      <c r="BB69" s="39">
        <f t="array" ref="BB69">INDEX(Hiring_Plan_Payroll_Taxes_Marketing,MATCH(BB$1,Hiring_Plan_Months,0))</f>
        <v>5325</v>
      </c>
      <c r="BC69" s="39">
        <f t="array" ref="BC69">INDEX(Hiring_Plan_Payroll_Taxes_Marketing,MATCH(BC$1,Hiring_Plan_Months,0))</f>
        <v>5325</v>
      </c>
      <c r="BD69" s="39">
        <f t="array" ref="BD69">INDEX(Hiring_Plan_Payroll_Taxes_Marketing,MATCH(BD$1,Hiring_Plan_Months,0))</f>
        <v>5325</v>
      </c>
      <c r="BE69" s="39">
        <f t="array" ref="BE69">INDEX(Hiring_Plan_Payroll_Taxes_Marketing,MATCH(BE$1,Hiring_Plan_Months,0))</f>
        <v>5325</v>
      </c>
      <c r="BF69" s="39">
        <f t="array" ref="BF69">INDEX(Hiring_Plan_Payroll_Taxes_Marketing,MATCH(BF$1,Hiring_Plan_Months,0))</f>
        <v>5325</v>
      </c>
      <c r="BG69" s="39">
        <f t="array" ref="BG69">INDEX(Hiring_Plan_Payroll_Taxes_Marketing,MATCH(BG$1,Hiring_Plan_Months,0))</f>
        <v>5325</v>
      </c>
      <c r="BH69" s="39">
        <f t="array" ref="BH69">INDEX(Hiring_Plan_Payroll_Taxes_Marketing,MATCH(BH$1,Hiring_Plan_Months,0))</f>
        <v>5325</v>
      </c>
      <c r="BI69" s="39">
        <f t="array" ref="BI69">INDEX(Hiring_Plan_Payroll_Taxes_Marketing,MATCH(BI$1,Hiring_Plan_Months,0))</f>
        <v>5325</v>
      </c>
      <c r="BJ69" s="39">
        <f t="array" ref="BJ69">INDEX(Hiring_Plan_Payroll_Taxes_Marketing,MATCH(BJ$1,Hiring_Plan_Months,0))</f>
        <v>5325</v>
      </c>
      <c r="BK69" s="39">
        <f t="array" ref="BK69">INDEX(Hiring_Plan_Payroll_Taxes_Marketing,MATCH(BK$1,Hiring_Plan_Months,0))</f>
        <v>5325</v>
      </c>
      <c r="BL69" s="39">
        <f t="array" ref="BL69">INDEX(Hiring_Plan_Payroll_Taxes_Marketing,MATCH(BL$1,Hiring_Plan_Months,0))</f>
        <v>5325</v>
      </c>
      <c r="BM69" s="39">
        <f t="array" ref="BM69">INDEX(Hiring_Plan_Payroll_Taxes_Marketing,MATCH(BM$1,Hiring_Plan_Months,0))</f>
        <v>5325</v>
      </c>
      <c r="BN69" s="39">
        <f t="array" ref="BN69">INDEX(Hiring_Plan_Payroll_Taxes_Marketing,MATCH(BN$1,Hiring_Plan_Months,0))</f>
        <v>5325</v>
      </c>
      <c r="BO69" s="39">
        <f t="array" ref="BO69">INDEX(Hiring_Plan_Payroll_Taxes_Marketing,MATCH(BO$1,Hiring_Plan_Months,0))</f>
        <v>5325</v>
      </c>
      <c r="BP69" s="39">
        <f t="array" ref="BP69">INDEX(Hiring_Plan_Payroll_Taxes_Marketing,MATCH(BP$1,Hiring_Plan_Months,0))</f>
        <v>5325</v>
      </c>
      <c r="BQ69" s="39">
        <f t="array" ref="BQ69">INDEX(Hiring_Plan_Payroll_Taxes_Marketing,MATCH(BQ$1,Hiring_Plan_Months,0))</f>
        <v>5325</v>
      </c>
      <c r="BR69" s="39">
        <f t="array" ref="BR69">INDEX(Hiring_Plan_Payroll_Taxes_Marketing,MATCH(BR$1,Hiring_Plan_Months,0))</f>
        <v>5325</v>
      </c>
      <c r="BS69" s="39">
        <f t="array" ref="BS69">INDEX(Hiring_Plan_Payroll_Taxes_Marketing,MATCH(BS$1,Hiring_Plan_Months,0))</f>
        <v>5325</v>
      </c>
      <c r="BT69" s="39">
        <f t="array" ref="BT69">INDEX(Hiring_Plan_Payroll_Taxes_Marketing,MATCH(BT$1,Hiring_Plan_Months,0))</f>
        <v>5325</v>
      </c>
      <c r="BU69" s="39">
        <f t="array" ref="BU69">INDEX(Hiring_Plan_Payroll_Taxes_Marketing,MATCH(BU$1,Hiring_Plan_Months,0))</f>
        <v>5325</v>
      </c>
      <c r="BV69" s="39">
        <f t="array" ref="BV69">INDEX(Hiring_Plan_Payroll_Taxes_Marketing,MATCH(BV$1,Hiring_Plan_Months,0))</f>
        <v>5325</v>
      </c>
      <c r="BW69" s="39">
        <f t="array" ref="BW69">INDEX(Hiring_Plan_Payroll_Taxes_Marketing,MATCH(BW$1,Hiring_Plan_Months,0))</f>
        <v>5325</v>
      </c>
    </row>
    <row r="70" ht="15.75" customHeight="1">
      <c r="A70" s="1" t="s">
        <v>301</v>
      </c>
      <c r="B70" s="160">
        <f>AVERAGEIFS(70:70,$1:$1,"&gt;="&amp;DATE(YEAR(Current_Month),MONTH(Current_Month)-2,DAY(Current_Month)),$1:$1,"&lt;="&amp;EOMONTH(Current_Month,0))</f>
        <v>23500</v>
      </c>
      <c r="D70" s="76">
        <f t="array" ref="D70">INDEX(INDIRECT("PnL_"&amp;TEXT(D$1,"mmm")&amp;"_"&amp;TEXT(D$1,"yyyy")),MATCH(TRIM($A70),PnL_Accounts,0))</f>
        <v>5875</v>
      </c>
      <c r="E70" s="76">
        <f t="array" ref="E70">INDEX(INDIRECT("PnL_"&amp;TEXT(E$1,"mmm")&amp;"_"&amp;TEXT(E$1,"yyyy")),MATCH(TRIM($A70),PnL_Accounts,0))</f>
        <v>5875</v>
      </c>
      <c r="F70" s="76">
        <f t="array" ref="F70">INDEX(INDIRECT("PnL_"&amp;TEXT(F$1,"mmm")&amp;"_"&amp;TEXT(F$1,"yyyy")),MATCH(TRIM($A70),PnL_Accounts,0))</f>
        <v>5875</v>
      </c>
      <c r="G70" s="76">
        <f t="array" ref="G70">INDEX(INDIRECT("PnL_"&amp;TEXT(G$1,"mmm")&amp;"_"&amp;TEXT(G$1,"yyyy")),MATCH(TRIM($A70),PnL_Accounts,0))</f>
        <v>5875</v>
      </c>
      <c r="H70" s="76">
        <f t="array" ref="H70">INDEX(INDIRECT("PnL_"&amp;TEXT(H$1,"mmm")&amp;"_"&amp;TEXT(H$1,"yyyy")),MATCH(TRIM($A70),PnL_Accounts,0))</f>
        <v>5875</v>
      </c>
      <c r="I70" s="76">
        <f t="array" ref="I70">INDEX(INDIRECT("PnL_"&amp;TEXT(I$1,"mmm")&amp;"_"&amp;TEXT(I$1,"yyyy")),MATCH(TRIM($A70),PnL_Accounts,0))</f>
        <v>5875</v>
      </c>
      <c r="J70" s="76">
        <f t="array" ref="J70">INDEX(INDIRECT("PnL_"&amp;TEXT(J$1,"mmm")&amp;"_"&amp;TEXT(J$1,"yyyy")),MATCH(TRIM($A70),PnL_Accounts,0))</f>
        <v>11750</v>
      </c>
      <c r="K70" s="76">
        <f t="array" ref="K70">INDEX(INDIRECT("PnL_"&amp;TEXT(K$1,"mmm")&amp;"_"&amp;TEXT(K$1,"yyyy")),MATCH(TRIM($A70),PnL_Accounts,0))</f>
        <v>11750</v>
      </c>
      <c r="L70" s="76">
        <f t="array" ref="L70">INDEX(INDIRECT("PnL_"&amp;TEXT(L$1,"mmm")&amp;"_"&amp;TEXT(L$1,"yyyy")),MATCH(TRIM($A70),PnL_Accounts,0))</f>
        <v>11750</v>
      </c>
      <c r="M70" s="76">
        <f t="array" ref="M70">INDEX(INDIRECT("PnL_"&amp;TEXT(M$1,"mmm")&amp;"_"&amp;TEXT(M$1,"yyyy")),MATCH(TRIM($A70),PnL_Accounts,0))</f>
        <v>17625</v>
      </c>
      <c r="N70" s="76">
        <f t="array" ref="N70">INDEX(INDIRECT("PnL_"&amp;TEXT(N$1,"mmm")&amp;"_"&amp;TEXT(N$1,"yyyy")),MATCH(TRIM($A70),PnL_Accounts,0))</f>
        <v>17625</v>
      </c>
      <c r="O70" s="76">
        <f t="array" ref="O70">INDEX(INDIRECT("PnL_"&amp;TEXT(O$1,"mmm")&amp;"_"&amp;TEXT(O$1,"yyyy")),MATCH(TRIM($A70),PnL_Accounts,0))</f>
        <v>17625</v>
      </c>
      <c r="P70" s="76">
        <f t="array" ref="P70">INDEX(INDIRECT("PnL_"&amp;TEXT(P$1,"mmm")&amp;"_"&amp;TEXT(P$1,"yyyy")),MATCH(TRIM($A70),PnL_Accounts,0))</f>
        <v>23500</v>
      </c>
      <c r="Q70" s="76">
        <f t="array" ref="Q70">INDEX(INDIRECT("PnL_"&amp;TEXT(Q$1,"mmm")&amp;"_"&amp;TEXT(Q$1,"yyyy")),MATCH(TRIM($A70),PnL_Accounts,0))</f>
        <v>23500</v>
      </c>
      <c r="R70" s="76">
        <f t="array" ref="R70">INDEX(INDIRECT("PnL_"&amp;TEXT(R$1,"mmm")&amp;"_"&amp;TEXT(R$1,"yyyy")),MATCH(TRIM($A70),PnL_Accounts,0))</f>
        <v>23500</v>
      </c>
      <c r="S70" s="76">
        <f t="array" ref="S70">INDEX(INDIRECT("PnL_"&amp;TEXT(S$1,"mmm")&amp;"_"&amp;TEXT(S$1,"yyyy")),MATCH(TRIM($A70),PnL_Accounts,0))</f>
        <v>23500</v>
      </c>
      <c r="T70" s="76">
        <f t="array" ref="T70">INDEX(INDIRECT("PnL_"&amp;TEXT(T$1,"mmm")&amp;"_"&amp;TEXT(T$1,"yyyy")),MATCH(TRIM($A70),PnL_Accounts,0))</f>
        <v>23500</v>
      </c>
      <c r="U70" s="76">
        <f t="array" ref="U70">INDEX(INDIRECT("PnL_"&amp;TEXT(U$1,"mmm")&amp;"_"&amp;TEXT(U$1,"yyyy")),MATCH(TRIM($A70),PnL_Accounts,0))</f>
        <v>23500</v>
      </c>
      <c r="V70" s="76">
        <f t="array" ref="V70">INDEX(INDIRECT("PnL_"&amp;TEXT(V$1,"mmm")&amp;"_"&amp;TEXT(V$1,"yyyy")),MATCH(TRIM($A70),PnL_Accounts,0))</f>
        <v>23500</v>
      </c>
      <c r="W70" s="76">
        <f t="array" ref="W70">INDEX(INDIRECT("PnL_"&amp;TEXT(W$1,"mmm")&amp;"_"&amp;TEXT(W$1,"yyyy")),MATCH(TRIM($A70),PnL_Accounts,0))</f>
        <v>23500</v>
      </c>
      <c r="X70" s="76">
        <f t="array" ref="X70">INDEX(INDIRECT("PnL_"&amp;TEXT(X$1,"mmm")&amp;"_"&amp;TEXT(X$1,"yyyy")),MATCH(TRIM($A70),PnL_Accounts,0))</f>
        <v>23500</v>
      </c>
      <c r="Y70" s="76">
        <f t="array" ref="Y70">INDEX(INDIRECT("PnL_"&amp;TEXT(Y$1,"mmm")&amp;"_"&amp;TEXT(Y$1,"yyyy")),MATCH(TRIM($A70),PnL_Accounts,0))</f>
        <v>23500</v>
      </c>
      <c r="Z70" s="76">
        <f t="array" ref="Z70">INDEX(INDIRECT("PnL_"&amp;TEXT(Z$1,"mmm")&amp;"_"&amp;TEXT(Z$1,"yyyy")),MATCH(TRIM($A70),PnL_Accounts,0))</f>
        <v>23500</v>
      </c>
      <c r="AA70" s="76">
        <f t="array" ref="AA70">INDEX(INDIRECT("PnL_"&amp;TEXT(AA$1,"mmm")&amp;"_"&amp;TEXT(AA$1,"yyyy")),MATCH(TRIM($A70),PnL_Accounts,0))</f>
        <v>23500</v>
      </c>
      <c r="AB70" s="76">
        <f t="array" ref="AB70">INDEX(INDIRECT("PnL_"&amp;TEXT(AB$1,"mmm")&amp;"_"&amp;TEXT(AB$1,"yyyy")),MATCH(TRIM($A70),PnL_Accounts,0))</f>
        <v>23500</v>
      </c>
      <c r="AC70" s="76">
        <f t="array" ref="AC70">INDEX(INDIRECT("PnL_"&amp;TEXT(AC$1,"mmm")&amp;"_"&amp;TEXT(AC$1,"yyyy")),MATCH(TRIM($A70),PnL_Accounts,0))</f>
        <v>23500</v>
      </c>
      <c r="AD70" s="76">
        <f t="array" ref="AD70">INDEX(INDIRECT("PnL_"&amp;TEXT(AD$1,"mmm")&amp;"_"&amp;TEXT(AD$1,"yyyy")),MATCH(TRIM($A70),PnL_Accounts,0))</f>
        <v>23500</v>
      </c>
      <c r="AE70" s="76">
        <f t="array" ref="AE70">INDEX(INDIRECT("PnL_"&amp;TEXT(AE$1,"mmm")&amp;"_"&amp;TEXT(AE$1,"yyyy")),MATCH(TRIM($A70),PnL_Accounts,0))</f>
        <v>23500</v>
      </c>
      <c r="AF70" s="39">
        <f t="array" ref="AF70">INDEX(Hiring_Plan_Salaries_Marketing,MATCH(AF$1,Hiring_Plan_Months,0))</f>
        <v>25833.33333</v>
      </c>
      <c r="AG70" s="39">
        <f t="array" ref="AG70">INDEX(Hiring_Plan_Salaries_Marketing,MATCH(AG$1,Hiring_Plan_Months,0))</f>
        <v>25833.33333</v>
      </c>
      <c r="AH70" s="39">
        <f t="array" ref="AH70">INDEX(Hiring_Plan_Salaries_Marketing,MATCH(AH$1,Hiring_Plan_Months,0))</f>
        <v>25833.33333</v>
      </c>
      <c r="AI70" s="39">
        <f t="array" ref="AI70">INDEX(Hiring_Plan_Salaries_Marketing,MATCH(AI$1,Hiring_Plan_Months,0))</f>
        <v>25833.33333</v>
      </c>
      <c r="AJ70" s="39">
        <f t="array" ref="AJ70">INDEX(Hiring_Plan_Salaries_Marketing,MATCH(AJ$1,Hiring_Plan_Months,0))</f>
        <v>25833.33333</v>
      </c>
      <c r="AK70" s="39">
        <f t="array" ref="AK70">INDEX(Hiring_Plan_Salaries_Marketing,MATCH(AK$1,Hiring_Plan_Months,0))</f>
        <v>34166.66667</v>
      </c>
      <c r="AL70" s="39">
        <f t="array" ref="AL70">INDEX(Hiring_Plan_Salaries_Marketing,MATCH(AL$1,Hiring_Plan_Months,0))</f>
        <v>34166.66667</v>
      </c>
      <c r="AM70" s="39">
        <f t="array" ref="AM70">INDEX(Hiring_Plan_Salaries_Marketing,MATCH(AM$1,Hiring_Plan_Months,0))</f>
        <v>42500</v>
      </c>
      <c r="AN70" s="39">
        <f t="array" ref="AN70">INDEX(Hiring_Plan_Salaries_Marketing,MATCH(AN$1,Hiring_Plan_Months,0))</f>
        <v>42500</v>
      </c>
      <c r="AO70" s="39">
        <f t="array" ref="AO70">INDEX(Hiring_Plan_Salaries_Marketing,MATCH(AO$1,Hiring_Plan_Months,0))</f>
        <v>50833.33333</v>
      </c>
      <c r="AP70" s="39">
        <f t="array" ref="AP70">INDEX(Hiring_Plan_Salaries_Marketing,MATCH(AP$1,Hiring_Plan_Months,0))</f>
        <v>50833.33333</v>
      </c>
      <c r="AQ70" s="39">
        <f t="array" ref="AQ70">INDEX(Hiring_Plan_Salaries_Marketing,MATCH(AQ$1,Hiring_Plan_Months,0))</f>
        <v>59166.66667</v>
      </c>
      <c r="AR70" s="39">
        <f t="array" ref="AR70">INDEX(Hiring_Plan_Salaries_Marketing,MATCH(AR$1,Hiring_Plan_Months,0))</f>
        <v>59166.66667</v>
      </c>
      <c r="AS70" s="39">
        <f t="array" ref="AS70">INDEX(Hiring_Plan_Salaries_Marketing,MATCH(AS$1,Hiring_Plan_Months,0))</f>
        <v>59166.66667</v>
      </c>
      <c r="AT70" s="39">
        <f t="array" ref="AT70">INDEX(Hiring_Plan_Salaries_Marketing,MATCH(AT$1,Hiring_Plan_Months,0))</f>
        <v>59166.66667</v>
      </c>
      <c r="AU70" s="39">
        <f t="array" ref="AU70">INDEX(Hiring_Plan_Salaries_Marketing,MATCH(AU$1,Hiring_Plan_Months,0))</f>
        <v>59166.66667</v>
      </c>
      <c r="AV70" s="39">
        <f t="array" ref="AV70">INDEX(Hiring_Plan_Salaries_Marketing,MATCH(AV$1,Hiring_Plan_Months,0))</f>
        <v>59166.66667</v>
      </c>
      <c r="AW70" s="39">
        <f t="array" ref="AW70">INDEX(Hiring_Plan_Salaries_Marketing,MATCH(AW$1,Hiring_Plan_Months,0))</f>
        <v>59166.66667</v>
      </c>
      <c r="AX70" s="39">
        <f t="array" ref="AX70">INDEX(Hiring_Plan_Salaries_Marketing,MATCH(AX$1,Hiring_Plan_Months,0))</f>
        <v>59166.66667</v>
      </c>
      <c r="AY70" s="39">
        <f t="array" ref="AY70">INDEX(Hiring_Plan_Salaries_Marketing,MATCH(AY$1,Hiring_Plan_Months,0))</f>
        <v>59166.66667</v>
      </c>
      <c r="AZ70" s="39">
        <f t="array" ref="AZ70">INDEX(Hiring_Plan_Salaries_Marketing,MATCH(AZ$1,Hiring_Plan_Months,0))</f>
        <v>59166.66667</v>
      </c>
      <c r="BA70" s="39">
        <f t="array" ref="BA70">INDEX(Hiring_Plan_Salaries_Marketing,MATCH(BA$1,Hiring_Plan_Months,0))</f>
        <v>59166.66667</v>
      </c>
      <c r="BB70" s="39">
        <f t="array" ref="BB70">INDEX(Hiring_Plan_Salaries_Marketing,MATCH(BB$1,Hiring_Plan_Months,0))</f>
        <v>59166.66667</v>
      </c>
      <c r="BC70" s="39">
        <f t="array" ref="BC70">INDEX(Hiring_Plan_Salaries_Marketing,MATCH(BC$1,Hiring_Plan_Months,0))</f>
        <v>59166.66667</v>
      </c>
      <c r="BD70" s="39">
        <f t="array" ref="BD70">INDEX(Hiring_Plan_Salaries_Marketing,MATCH(BD$1,Hiring_Plan_Months,0))</f>
        <v>59166.66667</v>
      </c>
      <c r="BE70" s="39">
        <f t="array" ref="BE70">INDEX(Hiring_Plan_Salaries_Marketing,MATCH(BE$1,Hiring_Plan_Months,0))</f>
        <v>59166.66667</v>
      </c>
      <c r="BF70" s="39">
        <f t="array" ref="BF70">INDEX(Hiring_Plan_Salaries_Marketing,MATCH(BF$1,Hiring_Plan_Months,0))</f>
        <v>59166.66667</v>
      </c>
      <c r="BG70" s="39">
        <f t="array" ref="BG70">INDEX(Hiring_Plan_Salaries_Marketing,MATCH(BG$1,Hiring_Plan_Months,0))</f>
        <v>59166.66667</v>
      </c>
      <c r="BH70" s="39">
        <f t="array" ref="BH70">INDEX(Hiring_Plan_Salaries_Marketing,MATCH(BH$1,Hiring_Plan_Months,0))</f>
        <v>59166.66667</v>
      </c>
      <c r="BI70" s="39">
        <f t="array" ref="BI70">INDEX(Hiring_Plan_Salaries_Marketing,MATCH(BI$1,Hiring_Plan_Months,0))</f>
        <v>59166.66667</v>
      </c>
      <c r="BJ70" s="39">
        <f t="array" ref="BJ70">INDEX(Hiring_Plan_Salaries_Marketing,MATCH(BJ$1,Hiring_Plan_Months,0))</f>
        <v>59166.66667</v>
      </c>
      <c r="BK70" s="39">
        <f t="array" ref="BK70">INDEX(Hiring_Plan_Salaries_Marketing,MATCH(BK$1,Hiring_Plan_Months,0))</f>
        <v>59166.66667</v>
      </c>
      <c r="BL70" s="39">
        <f t="array" ref="BL70">INDEX(Hiring_Plan_Salaries_Marketing,MATCH(BL$1,Hiring_Plan_Months,0))</f>
        <v>59166.66667</v>
      </c>
      <c r="BM70" s="39">
        <f t="array" ref="BM70">INDEX(Hiring_Plan_Salaries_Marketing,MATCH(BM$1,Hiring_Plan_Months,0))</f>
        <v>59166.66667</v>
      </c>
      <c r="BN70" s="39">
        <f t="array" ref="BN70">INDEX(Hiring_Plan_Salaries_Marketing,MATCH(BN$1,Hiring_Plan_Months,0))</f>
        <v>59166.66667</v>
      </c>
      <c r="BO70" s="39">
        <f t="array" ref="BO70">INDEX(Hiring_Plan_Salaries_Marketing,MATCH(BO$1,Hiring_Plan_Months,0))</f>
        <v>59166.66667</v>
      </c>
      <c r="BP70" s="39">
        <f t="array" ref="BP70">INDEX(Hiring_Plan_Salaries_Marketing,MATCH(BP$1,Hiring_Plan_Months,0))</f>
        <v>59166.66667</v>
      </c>
      <c r="BQ70" s="39">
        <f t="array" ref="BQ70">INDEX(Hiring_Plan_Salaries_Marketing,MATCH(BQ$1,Hiring_Plan_Months,0))</f>
        <v>59166.66667</v>
      </c>
      <c r="BR70" s="39">
        <f t="array" ref="BR70">INDEX(Hiring_Plan_Salaries_Marketing,MATCH(BR$1,Hiring_Plan_Months,0))</f>
        <v>59166.66667</v>
      </c>
      <c r="BS70" s="39">
        <f t="array" ref="BS70">INDEX(Hiring_Plan_Salaries_Marketing,MATCH(BS$1,Hiring_Plan_Months,0))</f>
        <v>59166.66667</v>
      </c>
      <c r="BT70" s="39">
        <f t="array" ref="BT70">INDEX(Hiring_Plan_Salaries_Marketing,MATCH(BT$1,Hiring_Plan_Months,0))</f>
        <v>59166.66667</v>
      </c>
      <c r="BU70" s="39">
        <f t="array" ref="BU70">INDEX(Hiring_Plan_Salaries_Marketing,MATCH(BU$1,Hiring_Plan_Months,0))</f>
        <v>59166.66667</v>
      </c>
      <c r="BV70" s="39">
        <f t="array" ref="BV70">INDEX(Hiring_Plan_Salaries_Marketing,MATCH(BV$1,Hiring_Plan_Months,0))</f>
        <v>59166.66667</v>
      </c>
      <c r="BW70" s="39">
        <f t="array" ref="BW70">INDEX(Hiring_Plan_Salaries_Marketing,MATCH(BW$1,Hiring_Plan_Months,0))</f>
        <v>59166.66667</v>
      </c>
    </row>
    <row r="71" ht="15.75" customHeight="1">
      <c r="A71" s="21" t="s">
        <v>302</v>
      </c>
      <c r="B71" s="163"/>
      <c r="C71" s="21"/>
      <c r="D71" s="157">
        <f t="shared" ref="D71:BW71" si="40">SUM(D68:D70)</f>
        <v>6854</v>
      </c>
      <c r="E71" s="157">
        <f t="shared" si="40"/>
        <v>6854</v>
      </c>
      <c r="F71" s="157">
        <f t="shared" si="40"/>
        <v>6854</v>
      </c>
      <c r="G71" s="157">
        <f t="shared" si="40"/>
        <v>6854</v>
      </c>
      <c r="H71" s="157">
        <f t="shared" si="40"/>
        <v>6854</v>
      </c>
      <c r="I71" s="157">
        <f t="shared" si="40"/>
        <v>6854</v>
      </c>
      <c r="J71" s="157">
        <f t="shared" si="40"/>
        <v>13708</v>
      </c>
      <c r="K71" s="157">
        <f t="shared" si="40"/>
        <v>13708</v>
      </c>
      <c r="L71" s="157">
        <f t="shared" si="40"/>
        <v>13708</v>
      </c>
      <c r="M71" s="157">
        <f t="shared" si="40"/>
        <v>20561</v>
      </c>
      <c r="N71" s="157">
        <f t="shared" si="40"/>
        <v>20561</v>
      </c>
      <c r="O71" s="157">
        <f t="shared" si="40"/>
        <v>20561</v>
      </c>
      <c r="P71" s="157">
        <f t="shared" si="40"/>
        <v>27415</v>
      </c>
      <c r="Q71" s="157">
        <f t="shared" si="40"/>
        <v>27415</v>
      </c>
      <c r="R71" s="157">
        <f t="shared" si="40"/>
        <v>27415</v>
      </c>
      <c r="S71" s="157">
        <f t="shared" si="40"/>
        <v>27415</v>
      </c>
      <c r="T71" s="157">
        <f t="shared" si="40"/>
        <v>27415</v>
      </c>
      <c r="U71" s="157">
        <f t="shared" si="40"/>
        <v>27415</v>
      </c>
      <c r="V71" s="157">
        <f t="shared" si="40"/>
        <v>27415</v>
      </c>
      <c r="W71" s="157">
        <f t="shared" si="40"/>
        <v>27415</v>
      </c>
      <c r="X71" s="157">
        <f t="shared" si="40"/>
        <v>27415</v>
      </c>
      <c r="Y71" s="157">
        <f t="shared" si="40"/>
        <v>27415</v>
      </c>
      <c r="Z71" s="157">
        <f t="shared" si="40"/>
        <v>27415</v>
      </c>
      <c r="AA71" s="157">
        <f t="shared" si="40"/>
        <v>27415</v>
      </c>
      <c r="AB71" s="157">
        <f t="shared" si="40"/>
        <v>27415</v>
      </c>
      <c r="AC71" s="157">
        <f t="shared" si="40"/>
        <v>27415</v>
      </c>
      <c r="AD71" s="157">
        <f t="shared" si="40"/>
        <v>27415</v>
      </c>
      <c r="AE71" s="157">
        <f t="shared" si="40"/>
        <v>27415</v>
      </c>
      <c r="AF71" s="157">
        <f t="shared" si="40"/>
        <v>30191.66667</v>
      </c>
      <c r="AG71" s="157">
        <f t="shared" si="40"/>
        <v>30191.66667</v>
      </c>
      <c r="AH71" s="157">
        <f t="shared" si="40"/>
        <v>30191.66667</v>
      </c>
      <c r="AI71" s="157">
        <f t="shared" si="40"/>
        <v>30191.66667</v>
      </c>
      <c r="AJ71" s="157">
        <f t="shared" si="40"/>
        <v>30191.66667</v>
      </c>
      <c r="AK71" s="157">
        <f t="shared" si="40"/>
        <v>40108.33333</v>
      </c>
      <c r="AL71" s="157">
        <f t="shared" si="40"/>
        <v>40108.33333</v>
      </c>
      <c r="AM71" s="157">
        <f t="shared" si="40"/>
        <v>50025</v>
      </c>
      <c r="AN71" s="157">
        <f t="shared" si="40"/>
        <v>50025</v>
      </c>
      <c r="AO71" s="157">
        <f t="shared" si="40"/>
        <v>59941.66667</v>
      </c>
      <c r="AP71" s="157">
        <f t="shared" si="40"/>
        <v>59941.66667</v>
      </c>
      <c r="AQ71" s="157">
        <f t="shared" si="40"/>
        <v>69858.33333</v>
      </c>
      <c r="AR71" s="157">
        <f t="shared" si="40"/>
        <v>69858.33333</v>
      </c>
      <c r="AS71" s="157">
        <f t="shared" si="40"/>
        <v>69858.33333</v>
      </c>
      <c r="AT71" s="157">
        <f t="shared" si="40"/>
        <v>69858.33333</v>
      </c>
      <c r="AU71" s="157">
        <f t="shared" si="40"/>
        <v>69858.33333</v>
      </c>
      <c r="AV71" s="157">
        <f t="shared" si="40"/>
        <v>69858.33333</v>
      </c>
      <c r="AW71" s="157">
        <f t="shared" si="40"/>
        <v>69858.33333</v>
      </c>
      <c r="AX71" s="157">
        <f t="shared" si="40"/>
        <v>69858.33333</v>
      </c>
      <c r="AY71" s="157">
        <f t="shared" si="40"/>
        <v>69858.33333</v>
      </c>
      <c r="AZ71" s="157">
        <f t="shared" si="40"/>
        <v>69858.33333</v>
      </c>
      <c r="BA71" s="157">
        <f t="shared" si="40"/>
        <v>69858.33333</v>
      </c>
      <c r="BB71" s="157">
        <f t="shared" si="40"/>
        <v>69858.33333</v>
      </c>
      <c r="BC71" s="157">
        <f t="shared" si="40"/>
        <v>69858.33333</v>
      </c>
      <c r="BD71" s="157">
        <f t="shared" si="40"/>
        <v>69858.33333</v>
      </c>
      <c r="BE71" s="157">
        <f t="shared" si="40"/>
        <v>69858.33333</v>
      </c>
      <c r="BF71" s="157">
        <f t="shared" si="40"/>
        <v>69858.33333</v>
      </c>
      <c r="BG71" s="157">
        <f t="shared" si="40"/>
        <v>69858.33333</v>
      </c>
      <c r="BH71" s="157">
        <f t="shared" si="40"/>
        <v>69858.33333</v>
      </c>
      <c r="BI71" s="157">
        <f t="shared" si="40"/>
        <v>69858.33333</v>
      </c>
      <c r="BJ71" s="157">
        <f t="shared" si="40"/>
        <v>69858.33333</v>
      </c>
      <c r="BK71" s="157">
        <f t="shared" si="40"/>
        <v>69858.33333</v>
      </c>
      <c r="BL71" s="157">
        <f t="shared" si="40"/>
        <v>69858.33333</v>
      </c>
      <c r="BM71" s="157">
        <f t="shared" si="40"/>
        <v>69858.33333</v>
      </c>
      <c r="BN71" s="157">
        <f t="shared" si="40"/>
        <v>69858.33333</v>
      </c>
      <c r="BO71" s="157">
        <f t="shared" si="40"/>
        <v>69858.33333</v>
      </c>
      <c r="BP71" s="157">
        <f t="shared" si="40"/>
        <v>69858.33333</v>
      </c>
      <c r="BQ71" s="157">
        <f t="shared" si="40"/>
        <v>69858.33333</v>
      </c>
      <c r="BR71" s="157">
        <f t="shared" si="40"/>
        <v>69858.33333</v>
      </c>
      <c r="BS71" s="157">
        <f t="shared" si="40"/>
        <v>69858.33333</v>
      </c>
      <c r="BT71" s="157">
        <f t="shared" si="40"/>
        <v>69858.33333</v>
      </c>
      <c r="BU71" s="157">
        <f t="shared" si="40"/>
        <v>69858.33333</v>
      </c>
      <c r="BV71" s="157">
        <f t="shared" si="40"/>
        <v>69858.33333</v>
      </c>
      <c r="BW71" s="157">
        <f t="shared" si="40"/>
        <v>69858.33333</v>
      </c>
    </row>
    <row r="72" ht="15.75" customHeight="1">
      <c r="A72" s="1" t="s">
        <v>303</v>
      </c>
      <c r="B72" s="159"/>
      <c r="D72" s="76">
        <f t="array" ref="D72">INDEX(INDIRECT("PnL_"&amp;TEXT(D$1,"mmm")&amp;"_"&amp;TEXT(D$1,"yyyy")),MATCH(TRIM($A72),PnL_Accounts,0))</f>
        <v>0</v>
      </c>
      <c r="E72" s="76">
        <f t="array" ref="E72">INDEX(INDIRECT("PnL_"&amp;TEXT(E$1,"mmm")&amp;"_"&amp;TEXT(E$1,"yyyy")),MATCH(TRIM($A72),PnL_Accounts,0))</f>
        <v>500</v>
      </c>
      <c r="F72" s="76">
        <f t="array" ref="F72">INDEX(INDIRECT("PnL_"&amp;TEXT(F$1,"mmm")&amp;"_"&amp;TEXT(F$1,"yyyy")),MATCH(TRIM($A72),PnL_Accounts,0))</f>
        <v>0</v>
      </c>
      <c r="G72" s="76">
        <f t="array" ref="G72">INDEX(INDIRECT("PnL_"&amp;TEXT(G$1,"mmm")&amp;"_"&amp;TEXT(G$1,"yyyy")),MATCH(TRIM($A72),PnL_Accounts,0))</f>
        <v>0</v>
      </c>
      <c r="H72" s="76">
        <f t="array" ref="H72">INDEX(INDIRECT("PnL_"&amp;TEXT(H$1,"mmm")&amp;"_"&amp;TEXT(H$1,"yyyy")),MATCH(TRIM($A72),PnL_Accounts,0))</f>
        <v>0</v>
      </c>
      <c r="I72" s="76">
        <f t="array" ref="I72">INDEX(INDIRECT("PnL_"&amp;TEXT(I$1,"mmm")&amp;"_"&amp;TEXT(I$1,"yyyy")),MATCH(TRIM($A72),PnL_Accounts,0))</f>
        <v>0</v>
      </c>
      <c r="J72" s="76">
        <f t="array" ref="J72">INDEX(INDIRECT("PnL_"&amp;TEXT(J$1,"mmm")&amp;"_"&amp;TEXT(J$1,"yyyy")),MATCH(TRIM($A72),PnL_Accounts,0))</f>
        <v>0</v>
      </c>
      <c r="K72" s="76">
        <f t="array" ref="K72">INDEX(INDIRECT("PnL_"&amp;TEXT(K$1,"mmm")&amp;"_"&amp;TEXT(K$1,"yyyy")),MATCH(TRIM($A72),PnL_Accounts,0))</f>
        <v>0</v>
      </c>
      <c r="L72" s="76">
        <f t="array" ref="L72">INDEX(INDIRECT("PnL_"&amp;TEXT(L$1,"mmm")&amp;"_"&amp;TEXT(L$1,"yyyy")),MATCH(TRIM($A72),PnL_Accounts,0))</f>
        <v>0</v>
      </c>
      <c r="M72" s="76">
        <f t="array" ref="M72">INDEX(INDIRECT("PnL_"&amp;TEXT(M$1,"mmm")&amp;"_"&amp;TEXT(M$1,"yyyy")),MATCH(TRIM($A72),PnL_Accounts,0))</f>
        <v>0</v>
      </c>
      <c r="N72" s="76">
        <f t="array" ref="N72">INDEX(INDIRECT("PnL_"&amp;TEXT(N$1,"mmm")&amp;"_"&amp;TEXT(N$1,"yyyy")),MATCH(TRIM($A72),PnL_Accounts,0))</f>
        <v>0</v>
      </c>
      <c r="O72" s="76">
        <f t="array" ref="O72">INDEX(INDIRECT("PnL_"&amp;TEXT(O$1,"mmm")&amp;"_"&amp;TEXT(O$1,"yyyy")),MATCH(TRIM($A72),PnL_Accounts,0))</f>
        <v>0</v>
      </c>
      <c r="P72" s="76">
        <f t="array" ref="P72">INDEX(INDIRECT("PnL_"&amp;TEXT(P$1,"mmm")&amp;"_"&amp;TEXT(P$1,"yyyy")),MATCH(TRIM($A72),PnL_Accounts,0))</f>
        <v>0</v>
      </c>
      <c r="Q72" s="76">
        <f t="array" ref="Q72">INDEX(INDIRECT("PnL_"&amp;TEXT(Q$1,"mmm")&amp;"_"&amp;TEXT(Q$1,"yyyy")),MATCH(TRIM($A72),PnL_Accounts,0))</f>
        <v>0</v>
      </c>
      <c r="R72" s="76">
        <f t="array" ref="R72">INDEX(INDIRECT("PnL_"&amp;TEXT(R$1,"mmm")&amp;"_"&amp;TEXT(R$1,"yyyy")),MATCH(TRIM($A72),PnL_Accounts,0))</f>
        <v>0</v>
      </c>
      <c r="S72" s="76">
        <f t="array" ref="S72">INDEX(INDIRECT("PnL_"&amp;TEXT(S$1,"mmm")&amp;"_"&amp;TEXT(S$1,"yyyy")),MATCH(TRIM($A72),PnL_Accounts,0))</f>
        <v>0</v>
      </c>
      <c r="T72" s="76">
        <f t="array" ref="T72">INDEX(INDIRECT("PnL_"&amp;TEXT(T$1,"mmm")&amp;"_"&amp;TEXT(T$1,"yyyy")),MATCH(TRIM($A72),PnL_Accounts,0))</f>
        <v>0</v>
      </c>
      <c r="U72" s="76">
        <f t="array" ref="U72">INDEX(INDIRECT("PnL_"&amp;TEXT(U$1,"mmm")&amp;"_"&amp;TEXT(U$1,"yyyy")),MATCH(TRIM($A72),PnL_Accounts,0))</f>
        <v>0</v>
      </c>
      <c r="V72" s="76">
        <f t="array" ref="V72">INDEX(INDIRECT("PnL_"&amp;TEXT(V$1,"mmm")&amp;"_"&amp;TEXT(V$1,"yyyy")),MATCH(TRIM($A72),PnL_Accounts,0))</f>
        <v>0</v>
      </c>
      <c r="W72" s="76">
        <f t="array" ref="W72">INDEX(INDIRECT("PnL_"&amp;TEXT(W$1,"mmm")&amp;"_"&amp;TEXT(W$1,"yyyy")),MATCH(TRIM($A72),PnL_Accounts,0))</f>
        <v>0</v>
      </c>
      <c r="X72" s="76">
        <f t="array" ref="X72">INDEX(INDIRECT("PnL_"&amp;TEXT(X$1,"mmm")&amp;"_"&amp;TEXT(X$1,"yyyy")),MATCH(TRIM($A72),PnL_Accounts,0))</f>
        <v>0</v>
      </c>
      <c r="Y72" s="76">
        <f t="array" ref="Y72">INDEX(INDIRECT("PnL_"&amp;TEXT(Y$1,"mmm")&amp;"_"&amp;TEXT(Y$1,"yyyy")),MATCH(TRIM($A72),PnL_Accounts,0))</f>
        <v>0</v>
      </c>
      <c r="Z72" s="76">
        <f t="array" ref="Z72">INDEX(INDIRECT("PnL_"&amp;TEXT(Z$1,"mmm")&amp;"_"&amp;TEXT(Z$1,"yyyy")),MATCH(TRIM($A72),PnL_Accounts,0))</f>
        <v>0</v>
      </c>
      <c r="AA72" s="76">
        <f t="array" ref="AA72">INDEX(INDIRECT("PnL_"&amp;TEXT(AA$1,"mmm")&amp;"_"&amp;TEXT(AA$1,"yyyy")),MATCH(TRIM($A72),PnL_Accounts,0))</f>
        <v>0</v>
      </c>
      <c r="AB72" s="76">
        <f t="array" ref="AB72">INDEX(INDIRECT("PnL_"&amp;TEXT(AB$1,"mmm")&amp;"_"&amp;TEXT(AB$1,"yyyy")),MATCH(TRIM($A72),PnL_Accounts,0))</f>
        <v>0</v>
      </c>
      <c r="AC72" s="76">
        <f t="array" ref="AC72">INDEX(INDIRECT("PnL_"&amp;TEXT(AC$1,"mmm")&amp;"_"&amp;TEXT(AC$1,"yyyy")),MATCH(TRIM($A72),PnL_Accounts,0))</f>
        <v>0</v>
      </c>
      <c r="AD72" s="76">
        <f t="array" ref="AD72">INDEX(INDIRECT("PnL_"&amp;TEXT(AD$1,"mmm")&amp;"_"&amp;TEXT(AD$1,"yyyy")),MATCH(TRIM($A72),PnL_Accounts,0))</f>
        <v>0</v>
      </c>
      <c r="AE72" s="76">
        <f t="array" ref="AE72">INDEX(INDIRECT("PnL_"&amp;TEXT(AE$1,"mmm")&amp;"_"&amp;TEXT(AE$1,"yyyy")),MATCH(TRIM($A72),PnL_Accounts,0))</f>
        <v>0</v>
      </c>
    </row>
    <row r="73" ht="15.75" customHeight="1">
      <c r="A73" s="1" t="s">
        <v>304</v>
      </c>
      <c r="B73" s="160">
        <f>AVERAGEIFS(73:73,$1:$1,"&gt;="&amp;DATE(YEAR(Current_Month),MONTH(Current_Month)-2,DAY(Current_Month)),$1:$1,"&lt;="&amp;EOMONTH(Current_Month,0))</f>
        <v>3869</v>
      </c>
      <c r="D73" s="76">
        <f t="array" ref="D73">INDEX(INDIRECT("PnL_"&amp;TEXT(D$1,"mmm")&amp;"_"&amp;TEXT(D$1,"yyyy")),MATCH(TRIM($A73),PnL_Accounts,0))</f>
        <v>352</v>
      </c>
      <c r="E73" s="76" t="str">
        <f t="array" ref="E73">INDEX(INDIRECT("PnL_"&amp;TEXT(E$1,"mmm")&amp;"_"&amp;TEXT(E$1,"yyyy")),MATCH(TRIM($A73),PnL_Accounts,0))</f>
        <v/>
      </c>
      <c r="F73" s="76" t="str">
        <f t="array" ref="F73">INDEX(INDIRECT("PnL_"&amp;TEXT(F$1,"mmm")&amp;"_"&amp;TEXT(F$1,"yyyy")),MATCH(TRIM($A73),PnL_Accounts,0))</f>
        <v/>
      </c>
      <c r="G73" s="76" t="str">
        <f t="array" ref="G73">INDEX(INDIRECT("PnL_"&amp;TEXT(G$1,"mmm")&amp;"_"&amp;TEXT(G$1,"yyyy")),MATCH(TRIM($A73),PnL_Accounts,0))</f>
        <v/>
      </c>
      <c r="H73" s="76" t="str">
        <f t="array" ref="H73">INDEX(INDIRECT("PnL_"&amp;TEXT(H$1,"mmm")&amp;"_"&amp;TEXT(H$1,"yyyy")),MATCH(TRIM($A73),PnL_Accounts,0))</f>
        <v/>
      </c>
      <c r="I73" s="76" t="str">
        <f t="array" ref="I73">INDEX(INDIRECT("PnL_"&amp;TEXT(I$1,"mmm")&amp;"_"&amp;TEXT(I$1,"yyyy")),MATCH(TRIM($A73),PnL_Accounts,0))</f>
        <v/>
      </c>
      <c r="J73" s="76" t="str">
        <f t="array" ref="J73">INDEX(INDIRECT("PnL_"&amp;TEXT(J$1,"mmm")&amp;"_"&amp;TEXT(J$1,"yyyy")),MATCH(TRIM($A73),PnL_Accounts,0))</f>
        <v/>
      </c>
      <c r="K73" s="76" t="str">
        <f t="array" ref="K73">INDEX(INDIRECT("PnL_"&amp;TEXT(K$1,"mmm")&amp;"_"&amp;TEXT(K$1,"yyyy")),MATCH(TRIM($A73),PnL_Accounts,0))</f>
        <v/>
      </c>
      <c r="L73" s="76" t="str">
        <f t="array" ref="L73">INDEX(INDIRECT("PnL_"&amp;TEXT(L$1,"mmm")&amp;"_"&amp;TEXT(L$1,"yyyy")),MATCH(TRIM($A73),PnL_Accounts,0))</f>
        <v/>
      </c>
      <c r="M73" s="76" t="str">
        <f t="array" ref="M73">INDEX(INDIRECT("PnL_"&amp;TEXT(M$1,"mmm")&amp;"_"&amp;TEXT(M$1,"yyyy")),MATCH(TRIM($A73),PnL_Accounts,0))</f>
        <v/>
      </c>
      <c r="N73" s="76" t="str">
        <f t="array" ref="N73">INDEX(INDIRECT("PnL_"&amp;TEXT(N$1,"mmm")&amp;"_"&amp;TEXT(N$1,"yyyy")),MATCH(TRIM($A73),PnL_Accounts,0))</f>
        <v/>
      </c>
      <c r="O73" s="76" t="str">
        <f t="array" ref="O73">INDEX(INDIRECT("PnL_"&amp;TEXT(O$1,"mmm")&amp;"_"&amp;TEXT(O$1,"yyyy")),MATCH(TRIM($A73),PnL_Accounts,0))</f>
        <v/>
      </c>
      <c r="P73" s="76">
        <f t="array" ref="P73">INDEX(INDIRECT("PnL_"&amp;TEXT(P$1,"mmm")&amp;"_"&amp;TEXT(P$1,"yyyy")),MATCH(TRIM($A73),PnL_Accounts,0))</f>
        <v>2596</v>
      </c>
      <c r="Q73" s="76">
        <f t="array" ref="Q73">INDEX(INDIRECT("PnL_"&amp;TEXT(Q$1,"mmm")&amp;"_"&amp;TEXT(Q$1,"yyyy")),MATCH(TRIM($A73),PnL_Accounts,0))</f>
        <v>2743</v>
      </c>
      <c r="R73" s="76">
        <f t="array" ref="R73">INDEX(INDIRECT("PnL_"&amp;TEXT(R$1,"mmm")&amp;"_"&amp;TEXT(R$1,"yyyy")),MATCH(TRIM($A73),PnL_Accounts,0))</f>
        <v>2942</v>
      </c>
      <c r="S73" s="76">
        <f t="array" ref="S73">INDEX(INDIRECT("PnL_"&amp;TEXT(S$1,"mmm")&amp;"_"&amp;TEXT(S$1,"yyyy")),MATCH(TRIM($A73),PnL_Accounts,0))</f>
        <v>3086</v>
      </c>
      <c r="T73" s="76">
        <f t="array" ref="T73">INDEX(INDIRECT("PnL_"&amp;TEXT(T$1,"mmm")&amp;"_"&amp;TEXT(T$1,"yyyy")),MATCH(TRIM($A73),PnL_Accounts,0))</f>
        <v>3284</v>
      </c>
      <c r="U73" s="76">
        <f t="array" ref="U73">INDEX(INDIRECT("PnL_"&amp;TEXT(U$1,"mmm")&amp;"_"&amp;TEXT(U$1,"yyyy")),MATCH(TRIM($A73),PnL_Accounts,0))</f>
        <v>3398</v>
      </c>
      <c r="V73" s="76">
        <f t="array" ref="V73">INDEX(INDIRECT("PnL_"&amp;TEXT(V$1,"mmm")&amp;"_"&amp;TEXT(V$1,"yyyy")),MATCH(TRIM($A73),PnL_Accounts,0))</f>
        <v>3535</v>
      </c>
      <c r="W73" s="76">
        <f t="array" ref="W73">INDEX(INDIRECT("PnL_"&amp;TEXT(W$1,"mmm")&amp;"_"&amp;TEXT(W$1,"yyyy")),MATCH(TRIM($A73),PnL_Accounts,0))</f>
        <v>3755</v>
      </c>
      <c r="X73" s="76">
        <f t="array" ref="X73">INDEX(INDIRECT("PnL_"&amp;TEXT(X$1,"mmm")&amp;"_"&amp;TEXT(X$1,"yyyy")),MATCH(TRIM($A73),PnL_Accounts,0))</f>
        <v>3869</v>
      </c>
      <c r="Y73" s="76">
        <f t="array" ref="Y73">INDEX(INDIRECT("PnL_"&amp;TEXT(Y$1,"mmm")&amp;"_"&amp;TEXT(Y$1,"yyyy")),MATCH(TRIM($A73),PnL_Accounts,0))</f>
        <v>3869</v>
      </c>
      <c r="Z73" s="76">
        <f t="array" ref="Z73">INDEX(INDIRECT("PnL_"&amp;TEXT(Z$1,"mmm")&amp;"_"&amp;TEXT(Z$1,"yyyy")),MATCH(TRIM($A73),PnL_Accounts,0))</f>
        <v>4315</v>
      </c>
      <c r="AA73" s="76">
        <f t="array" ref="AA73">INDEX(INDIRECT("PnL_"&amp;TEXT(AA$1,"mmm")&amp;"_"&amp;TEXT(AA$1,"yyyy")),MATCH(TRIM($A73),PnL_Accounts,0))</f>
        <v>3869</v>
      </c>
      <c r="AB73" s="76">
        <f t="array" ref="AB73">INDEX(INDIRECT("PnL_"&amp;TEXT(AB$1,"mmm")&amp;"_"&amp;TEXT(AB$1,"yyyy")),MATCH(TRIM($A73),PnL_Accounts,0))</f>
        <v>3869</v>
      </c>
      <c r="AC73" s="76">
        <f t="array" ref="AC73">INDEX(INDIRECT("PnL_"&amp;TEXT(AC$1,"mmm")&amp;"_"&amp;TEXT(AC$1,"yyyy")),MATCH(TRIM($A73),PnL_Accounts,0))</f>
        <v>3869</v>
      </c>
      <c r="AD73" s="76">
        <f t="array" ref="AD73">INDEX(INDIRECT("PnL_"&amp;TEXT(AD$1,"mmm")&amp;"_"&amp;TEXT(AD$1,"yyyy")),MATCH(TRIM($A73),PnL_Accounts,0))</f>
        <v>3869</v>
      </c>
      <c r="AE73" s="76">
        <f t="array" ref="AE73">INDEX(INDIRECT("PnL_"&amp;TEXT(AE$1,"mmm")&amp;"_"&amp;TEXT(AE$1,"yyyy")),MATCH(TRIM($A73),PnL_Accounts,0))</f>
        <v>3869</v>
      </c>
      <c r="AF73" s="96">
        <f t="shared" ref="AF73:BW73" si="41">$B73</f>
        <v>3869</v>
      </c>
      <c r="AG73" s="96">
        <f t="shared" si="41"/>
        <v>3869</v>
      </c>
      <c r="AH73" s="96">
        <f t="shared" si="41"/>
        <v>3869</v>
      </c>
      <c r="AI73" s="96">
        <f t="shared" si="41"/>
        <v>3869</v>
      </c>
      <c r="AJ73" s="96">
        <f t="shared" si="41"/>
        <v>3869</v>
      </c>
      <c r="AK73" s="96">
        <f t="shared" si="41"/>
        <v>3869</v>
      </c>
      <c r="AL73" s="96">
        <f t="shared" si="41"/>
        <v>3869</v>
      </c>
      <c r="AM73" s="96">
        <f t="shared" si="41"/>
        <v>3869</v>
      </c>
      <c r="AN73" s="96">
        <f t="shared" si="41"/>
        <v>3869</v>
      </c>
      <c r="AO73" s="96">
        <f t="shared" si="41"/>
        <v>3869</v>
      </c>
      <c r="AP73" s="96">
        <f t="shared" si="41"/>
        <v>3869</v>
      </c>
      <c r="AQ73" s="96">
        <f t="shared" si="41"/>
        <v>3869</v>
      </c>
      <c r="AR73" s="96">
        <f t="shared" si="41"/>
        <v>3869</v>
      </c>
      <c r="AS73" s="96">
        <f t="shared" si="41"/>
        <v>3869</v>
      </c>
      <c r="AT73" s="96">
        <f t="shared" si="41"/>
        <v>3869</v>
      </c>
      <c r="AU73" s="96">
        <f t="shared" si="41"/>
        <v>3869</v>
      </c>
      <c r="AV73" s="96">
        <f t="shared" si="41"/>
        <v>3869</v>
      </c>
      <c r="AW73" s="96">
        <f t="shared" si="41"/>
        <v>3869</v>
      </c>
      <c r="AX73" s="96">
        <f t="shared" si="41"/>
        <v>3869</v>
      </c>
      <c r="AY73" s="96">
        <f t="shared" si="41"/>
        <v>3869</v>
      </c>
      <c r="AZ73" s="96">
        <f t="shared" si="41"/>
        <v>3869</v>
      </c>
      <c r="BA73" s="96">
        <f t="shared" si="41"/>
        <v>3869</v>
      </c>
      <c r="BB73" s="96">
        <f t="shared" si="41"/>
        <v>3869</v>
      </c>
      <c r="BC73" s="96">
        <f t="shared" si="41"/>
        <v>3869</v>
      </c>
      <c r="BD73" s="96">
        <f t="shared" si="41"/>
        <v>3869</v>
      </c>
      <c r="BE73" s="96">
        <f t="shared" si="41"/>
        <v>3869</v>
      </c>
      <c r="BF73" s="96">
        <f t="shared" si="41"/>
        <v>3869</v>
      </c>
      <c r="BG73" s="96">
        <f t="shared" si="41"/>
        <v>3869</v>
      </c>
      <c r="BH73" s="96">
        <f t="shared" si="41"/>
        <v>3869</v>
      </c>
      <c r="BI73" s="96">
        <f t="shared" si="41"/>
        <v>3869</v>
      </c>
      <c r="BJ73" s="96">
        <f t="shared" si="41"/>
        <v>3869</v>
      </c>
      <c r="BK73" s="96">
        <f t="shared" si="41"/>
        <v>3869</v>
      </c>
      <c r="BL73" s="96">
        <f t="shared" si="41"/>
        <v>3869</v>
      </c>
      <c r="BM73" s="96">
        <f t="shared" si="41"/>
        <v>3869</v>
      </c>
      <c r="BN73" s="96">
        <f t="shared" si="41"/>
        <v>3869</v>
      </c>
      <c r="BO73" s="96">
        <f t="shared" si="41"/>
        <v>3869</v>
      </c>
      <c r="BP73" s="96">
        <f t="shared" si="41"/>
        <v>3869</v>
      </c>
      <c r="BQ73" s="96">
        <f t="shared" si="41"/>
        <v>3869</v>
      </c>
      <c r="BR73" s="96">
        <f t="shared" si="41"/>
        <v>3869</v>
      </c>
      <c r="BS73" s="96">
        <f t="shared" si="41"/>
        <v>3869</v>
      </c>
      <c r="BT73" s="96">
        <f t="shared" si="41"/>
        <v>3869</v>
      </c>
      <c r="BU73" s="96">
        <f t="shared" si="41"/>
        <v>3869</v>
      </c>
      <c r="BV73" s="96">
        <f t="shared" si="41"/>
        <v>3869</v>
      </c>
      <c r="BW73" s="96">
        <f t="shared" si="41"/>
        <v>3869</v>
      </c>
    </row>
    <row r="74" ht="15.75" customHeight="1">
      <c r="A74" s="21" t="s">
        <v>305</v>
      </c>
      <c r="B74" s="163"/>
      <c r="C74" s="21"/>
      <c r="D74" s="157">
        <f t="shared" ref="D74:BW74" si="42">SUM(D66,D71:D73)</f>
        <v>50830</v>
      </c>
      <c r="E74" s="157">
        <f t="shared" si="42"/>
        <v>53521</v>
      </c>
      <c r="F74" s="157">
        <f t="shared" si="42"/>
        <v>55820</v>
      </c>
      <c r="G74" s="157">
        <f t="shared" si="42"/>
        <v>58732</v>
      </c>
      <c r="H74" s="157">
        <f t="shared" si="42"/>
        <v>62363</v>
      </c>
      <c r="I74" s="157">
        <f t="shared" si="42"/>
        <v>64584</v>
      </c>
      <c r="J74" s="157">
        <f t="shared" si="42"/>
        <v>80386</v>
      </c>
      <c r="K74" s="157">
        <f t="shared" si="42"/>
        <v>85883</v>
      </c>
      <c r="L74" s="157">
        <f t="shared" si="42"/>
        <v>109291</v>
      </c>
      <c r="M74" s="157">
        <f t="shared" si="42"/>
        <v>121314</v>
      </c>
      <c r="N74" s="157">
        <f t="shared" si="42"/>
        <v>142427</v>
      </c>
      <c r="O74" s="157">
        <f t="shared" si="42"/>
        <v>152755</v>
      </c>
      <c r="P74" s="157">
        <f t="shared" si="42"/>
        <v>165245</v>
      </c>
      <c r="Q74" s="157">
        <f t="shared" si="42"/>
        <v>186540</v>
      </c>
      <c r="R74" s="157">
        <f t="shared" si="42"/>
        <v>188578</v>
      </c>
      <c r="S74" s="157">
        <f t="shared" si="42"/>
        <v>186883</v>
      </c>
      <c r="T74" s="157">
        <f t="shared" si="42"/>
        <v>201833</v>
      </c>
      <c r="U74" s="157">
        <f t="shared" si="42"/>
        <v>199585</v>
      </c>
      <c r="V74" s="157">
        <f t="shared" si="42"/>
        <v>197169</v>
      </c>
      <c r="W74" s="157">
        <f t="shared" si="42"/>
        <v>199191</v>
      </c>
      <c r="X74" s="157">
        <f t="shared" si="42"/>
        <v>203398</v>
      </c>
      <c r="Y74" s="157">
        <f t="shared" si="42"/>
        <v>183327</v>
      </c>
      <c r="Z74" s="157">
        <f t="shared" si="42"/>
        <v>194742</v>
      </c>
      <c r="AA74" s="157">
        <f t="shared" si="42"/>
        <v>206705</v>
      </c>
      <c r="AB74" s="157">
        <f t="shared" si="42"/>
        <v>210711</v>
      </c>
      <c r="AC74" s="157">
        <f t="shared" si="42"/>
        <v>217048</v>
      </c>
      <c r="AD74" s="157">
        <f t="shared" si="42"/>
        <v>207048</v>
      </c>
      <c r="AE74" s="157">
        <f t="shared" si="42"/>
        <v>198753</v>
      </c>
      <c r="AF74" s="157">
        <f t="shared" si="42"/>
        <v>184060.6667</v>
      </c>
      <c r="AG74" s="157">
        <f t="shared" si="42"/>
        <v>199060.6667</v>
      </c>
      <c r="AH74" s="157">
        <f t="shared" si="42"/>
        <v>214060.6667</v>
      </c>
      <c r="AI74" s="157">
        <f t="shared" si="42"/>
        <v>229060.6667</v>
      </c>
      <c r="AJ74" s="157">
        <f t="shared" si="42"/>
        <v>244060.6667</v>
      </c>
      <c r="AK74" s="157">
        <f t="shared" si="42"/>
        <v>268977.3333</v>
      </c>
      <c r="AL74" s="157">
        <f t="shared" si="42"/>
        <v>283977.3333</v>
      </c>
      <c r="AM74" s="157">
        <f t="shared" si="42"/>
        <v>308894</v>
      </c>
      <c r="AN74" s="157">
        <f t="shared" si="42"/>
        <v>323894</v>
      </c>
      <c r="AO74" s="157">
        <f t="shared" si="42"/>
        <v>348810.6667</v>
      </c>
      <c r="AP74" s="157">
        <f t="shared" si="42"/>
        <v>363810.6667</v>
      </c>
      <c r="AQ74" s="157">
        <f t="shared" si="42"/>
        <v>388727.3333</v>
      </c>
      <c r="AR74" s="157">
        <f t="shared" si="42"/>
        <v>403727.3333</v>
      </c>
      <c r="AS74" s="157">
        <f t="shared" si="42"/>
        <v>418727.3333</v>
      </c>
      <c r="AT74" s="157">
        <f t="shared" si="42"/>
        <v>433727.3333</v>
      </c>
      <c r="AU74" s="157">
        <f t="shared" si="42"/>
        <v>448727.3333</v>
      </c>
      <c r="AV74" s="157">
        <f t="shared" si="42"/>
        <v>463727.3333</v>
      </c>
      <c r="AW74" s="157">
        <f t="shared" si="42"/>
        <v>478727.3333</v>
      </c>
      <c r="AX74" s="157">
        <f t="shared" si="42"/>
        <v>493727.3333</v>
      </c>
      <c r="AY74" s="157">
        <f t="shared" si="42"/>
        <v>508727.3333</v>
      </c>
      <c r="AZ74" s="157">
        <f t="shared" si="42"/>
        <v>500323.4957</v>
      </c>
      <c r="BA74" s="157">
        <f t="shared" si="42"/>
        <v>512023.8577</v>
      </c>
      <c r="BB74" s="157">
        <f t="shared" si="42"/>
        <v>522214.5465</v>
      </c>
      <c r="BC74" s="157">
        <f t="shared" si="42"/>
        <v>530388.9628</v>
      </c>
      <c r="BD74" s="157">
        <f t="shared" si="42"/>
        <v>536046.7921</v>
      </c>
      <c r="BE74" s="157">
        <f t="shared" si="42"/>
        <v>545377.4065</v>
      </c>
      <c r="BF74" s="157">
        <f t="shared" si="42"/>
        <v>554089.0635</v>
      </c>
      <c r="BG74" s="157">
        <f t="shared" si="42"/>
        <v>562414.4102</v>
      </c>
      <c r="BH74" s="157">
        <f t="shared" si="42"/>
        <v>570779.1787</v>
      </c>
      <c r="BI74" s="157">
        <f t="shared" si="42"/>
        <v>579850.9761</v>
      </c>
      <c r="BJ74" s="157">
        <f t="shared" si="42"/>
        <v>588855.1728</v>
      </c>
      <c r="BK74" s="157">
        <f t="shared" si="42"/>
        <v>597935.7782</v>
      </c>
      <c r="BL74" s="157">
        <f t="shared" si="42"/>
        <v>607213.6507</v>
      </c>
      <c r="BM74" s="157">
        <f t="shared" si="42"/>
        <v>616730.0181</v>
      </c>
      <c r="BN74" s="157">
        <f t="shared" si="42"/>
        <v>626362.5032</v>
      </c>
      <c r="BO74" s="157">
        <f t="shared" si="42"/>
        <v>636159.0918</v>
      </c>
      <c r="BP74" s="157">
        <f t="shared" si="42"/>
        <v>646142.689</v>
      </c>
      <c r="BQ74" s="157">
        <f t="shared" si="42"/>
        <v>656310.6154</v>
      </c>
      <c r="BR74" s="157">
        <f t="shared" si="42"/>
        <v>666648.7233</v>
      </c>
      <c r="BS74" s="157">
        <f t="shared" si="42"/>
        <v>677171.1337</v>
      </c>
      <c r="BT74" s="157">
        <f t="shared" si="42"/>
        <v>687883.1225</v>
      </c>
      <c r="BU74" s="157">
        <f t="shared" si="42"/>
        <v>698785.3608</v>
      </c>
      <c r="BV74" s="157">
        <f t="shared" si="42"/>
        <v>709879.395</v>
      </c>
      <c r="BW74" s="157">
        <f t="shared" si="42"/>
        <v>721170.8707</v>
      </c>
    </row>
    <row r="75" ht="15.75" customHeight="1">
      <c r="A75" s="1" t="s">
        <v>306</v>
      </c>
      <c r="B75" s="159"/>
      <c r="D75" s="76" t="str">
        <f t="array" ref="D75">INDEX(INDIRECT("PnL_"&amp;TEXT(D$1,"mmm")&amp;"_"&amp;TEXT(D$1,"yyyy")),MATCH(TRIM($A75),PnL_Accounts,0))</f>
        <v/>
      </c>
      <c r="E75" s="76" t="str">
        <f t="array" ref="E75">INDEX(INDIRECT("PnL_"&amp;TEXT(E$1,"mmm")&amp;"_"&amp;TEXT(E$1,"yyyy")),MATCH(TRIM($A75),PnL_Accounts,0))</f>
        <v/>
      </c>
      <c r="F75" s="76" t="str">
        <f t="array" ref="F75">INDEX(INDIRECT("PnL_"&amp;TEXT(F$1,"mmm")&amp;"_"&amp;TEXT(F$1,"yyyy")),MATCH(TRIM($A75),PnL_Accounts,0))</f>
        <v/>
      </c>
      <c r="G75" s="76" t="str">
        <f t="array" ref="G75">INDEX(INDIRECT("PnL_"&amp;TEXT(G$1,"mmm")&amp;"_"&amp;TEXT(G$1,"yyyy")),MATCH(TRIM($A75),PnL_Accounts,0))</f>
        <v/>
      </c>
      <c r="H75" s="76" t="str">
        <f t="array" ref="H75">INDEX(INDIRECT("PnL_"&amp;TEXT(H$1,"mmm")&amp;"_"&amp;TEXT(H$1,"yyyy")),MATCH(TRIM($A75),PnL_Accounts,0))</f>
        <v/>
      </c>
      <c r="I75" s="76" t="str">
        <f t="array" ref="I75">INDEX(INDIRECT("PnL_"&amp;TEXT(I$1,"mmm")&amp;"_"&amp;TEXT(I$1,"yyyy")),MATCH(TRIM($A75),PnL_Accounts,0))</f>
        <v/>
      </c>
      <c r="J75" s="76" t="str">
        <f t="array" ref="J75">INDEX(INDIRECT("PnL_"&amp;TEXT(J$1,"mmm")&amp;"_"&amp;TEXT(J$1,"yyyy")),MATCH(TRIM($A75),PnL_Accounts,0))</f>
        <v/>
      </c>
      <c r="K75" s="76" t="str">
        <f t="array" ref="K75">INDEX(INDIRECT("PnL_"&amp;TEXT(K$1,"mmm")&amp;"_"&amp;TEXT(K$1,"yyyy")),MATCH(TRIM($A75),PnL_Accounts,0))</f>
        <v/>
      </c>
      <c r="L75" s="76" t="str">
        <f t="array" ref="L75">INDEX(INDIRECT("PnL_"&amp;TEXT(L$1,"mmm")&amp;"_"&amp;TEXT(L$1,"yyyy")),MATCH(TRIM($A75),PnL_Accounts,0))</f>
        <v/>
      </c>
      <c r="M75" s="76" t="str">
        <f t="array" ref="M75">INDEX(INDIRECT("PnL_"&amp;TEXT(M$1,"mmm")&amp;"_"&amp;TEXT(M$1,"yyyy")),MATCH(TRIM($A75),PnL_Accounts,0))</f>
        <v/>
      </c>
      <c r="N75" s="76" t="str">
        <f t="array" ref="N75">INDEX(INDIRECT("PnL_"&amp;TEXT(N$1,"mmm")&amp;"_"&amp;TEXT(N$1,"yyyy")),MATCH(TRIM($A75),PnL_Accounts,0))</f>
        <v/>
      </c>
      <c r="O75" s="76" t="str">
        <f t="array" ref="O75">INDEX(INDIRECT("PnL_"&amp;TEXT(O$1,"mmm")&amp;"_"&amp;TEXT(O$1,"yyyy")),MATCH(TRIM($A75),PnL_Accounts,0))</f>
        <v/>
      </c>
      <c r="P75" s="76" t="str">
        <f t="array" ref="P75">INDEX(INDIRECT("PnL_"&amp;TEXT(P$1,"mmm")&amp;"_"&amp;TEXT(P$1,"yyyy")),MATCH(TRIM($A75),PnL_Accounts,0))</f>
        <v/>
      </c>
      <c r="Q75" s="76" t="str">
        <f t="array" ref="Q75">INDEX(INDIRECT("PnL_"&amp;TEXT(Q$1,"mmm")&amp;"_"&amp;TEXT(Q$1,"yyyy")),MATCH(TRIM($A75),PnL_Accounts,0))</f>
        <v/>
      </c>
      <c r="R75" s="76" t="str">
        <f t="array" ref="R75">INDEX(INDIRECT("PnL_"&amp;TEXT(R$1,"mmm")&amp;"_"&amp;TEXT(R$1,"yyyy")),MATCH(TRIM($A75),PnL_Accounts,0))</f>
        <v/>
      </c>
      <c r="S75" s="76" t="str">
        <f t="array" ref="S75">INDEX(INDIRECT("PnL_"&amp;TEXT(S$1,"mmm")&amp;"_"&amp;TEXT(S$1,"yyyy")),MATCH(TRIM($A75),PnL_Accounts,0))</f>
        <v/>
      </c>
      <c r="T75" s="76" t="str">
        <f t="array" ref="T75">INDEX(INDIRECT("PnL_"&amp;TEXT(T$1,"mmm")&amp;"_"&amp;TEXT(T$1,"yyyy")),MATCH(TRIM($A75),PnL_Accounts,0))</f>
        <v/>
      </c>
      <c r="U75" s="76" t="str">
        <f t="array" ref="U75">INDEX(INDIRECT("PnL_"&amp;TEXT(U$1,"mmm")&amp;"_"&amp;TEXT(U$1,"yyyy")),MATCH(TRIM($A75),PnL_Accounts,0))</f>
        <v/>
      </c>
      <c r="V75" s="76" t="str">
        <f t="array" ref="V75">INDEX(INDIRECT("PnL_"&amp;TEXT(V$1,"mmm")&amp;"_"&amp;TEXT(V$1,"yyyy")),MATCH(TRIM($A75),PnL_Accounts,0))</f>
        <v/>
      </c>
      <c r="W75" s="76" t="str">
        <f t="array" ref="W75">INDEX(INDIRECT("PnL_"&amp;TEXT(W$1,"mmm")&amp;"_"&amp;TEXT(W$1,"yyyy")),MATCH(TRIM($A75),PnL_Accounts,0))</f>
        <v/>
      </c>
      <c r="X75" s="76" t="str">
        <f t="array" ref="X75">INDEX(INDIRECT("PnL_"&amp;TEXT(X$1,"mmm")&amp;"_"&amp;TEXT(X$1,"yyyy")),MATCH(TRIM($A75),PnL_Accounts,0))</f>
        <v/>
      </c>
      <c r="Y75" s="76" t="str">
        <f t="array" ref="Y75">INDEX(INDIRECT("PnL_"&amp;TEXT(Y$1,"mmm")&amp;"_"&amp;TEXT(Y$1,"yyyy")),MATCH(TRIM($A75),PnL_Accounts,0))</f>
        <v/>
      </c>
      <c r="Z75" s="76" t="str">
        <f t="array" ref="Z75">INDEX(INDIRECT("PnL_"&amp;TEXT(Z$1,"mmm")&amp;"_"&amp;TEXT(Z$1,"yyyy")),MATCH(TRIM($A75),PnL_Accounts,0))</f>
        <v/>
      </c>
      <c r="AA75" s="76" t="str">
        <f t="array" ref="AA75">INDEX(INDIRECT("PnL_"&amp;TEXT(AA$1,"mmm")&amp;"_"&amp;TEXT(AA$1,"yyyy")),MATCH(TRIM($A75),PnL_Accounts,0))</f>
        <v/>
      </c>
      <c r="AB75" s="76" t="str">
        <f t="array" ref="AB75">INDEX(INDIRECT("PnL_"&amp;TEXT(AB$1,"mmm")&amp;"_"&amp;TEXT(AB$1,"yyyy")),MATCH(TRIM($A75),PnL_Accounts,0))</f>
        <v/>
      </c>
      <c r="AC75" s="76" t="str">
        <f t="array" ref="AC75">INDEX(INDIRECT("PnL_"&amp;TEXT(AC$1,"mmm")&amp;"_"&amp;TEXT(AC$1,"yyyy")),MATCH(TRIM($A75),PnL_Accounts,0))</f>
        <v/>
      </c>
      <c r="AD75" s="76" t="str">
        <f t="array" ref="AD75">INDEX(INDIRECT("PnL_"&amp;TEXT(AD$1,"mmm")&amp;"_"&amp;TEXT(AD$1,"yyyy")),MATCH(TRIM($A75),PnL_Accounts,0))</f>
        <v/>
      </c>
      <c r="AE75" s="76" t="str">
        <f t="array" ref="AE75">INDEX(INDIRECT("PnL_"&amp;TEXT(AE$1,"mmm")&amp;"_"&amp;TEXT(AE$1,"yyyy")),MATCH(TRIM($A75),PnL_Accounts,0))</f>
        <v/>
      </c>
    </row>
    <row r="76" ht="15.75" customHeight="1">
      <c r="A76" s="1" t="s">
        <v>307</v>
      </c>
      <c r="B76" s="159"/>
      <c r="D76" s="76" t="str">
        <f t="array" ref="D76">INDEX(INDIRECT("PnL_"&amp;TEXT(D$1,"mmm")&amp;"_"&amp;TEXT(D$1,"yyyy")),MATCH(TRIM($A76),PnL_Accounts,0))</f>
        <v/>
      </c>
      <c r="E76" s="76" t="str">
        <f t="array" ref="E76">INDEX(INDIRECT("PnL_"&amp;TEXT(E$1,"mmm")&amp;"_"&amp;TEXT(E$1,"yyyy")),MATCH(TRIM($A76),PnL_Accounts,0))</f>
        <v/>
      </c>
      <c r="F76" s="76" t="str">
        <f t="array" ref="F76">INDEX(INDIRECT("PnL_"&amp;TEXT(F$1,"mmm")&amp;"_"&amp;TEXT(F$1,"yyyy")),MATCH(TRIM($A76),PnL_Accounts,0))</f>
        <v/>
      </c>
      <c r="G76" s="76" t="str">
        <f t="array" ref="G76">INDEX(INDIRECT("PnL_"&amp;TEXT(G$1,"mmm")&amp;"_"&amp;TEXT(G$1,"yyyy")),MATCH(TRIM($A76),PnL_Accounts,0))</f>
        <v/>
      </c>
      <c r="H76" s="76" t="str">
        <f t="array" ref="H76">INDEX(INDIRECT("PnL_"&amp;TEXT(H$1,"mmm")&amp;"_"&amp;TEXT(H$1,"yyyy")),MATCH(TRIM($A76),PnL_Accounts,0))</f>
        <v/>
      </c>
      <c r="I76" s="76" t="str">
        <f t="array" ref="I76">INDEX(INDIRECT("PnL_"&amp;TEXT(I$1,"mmm")&amp;"_"&amp;TEXT(I$1,"yyyy")),MATCH(TRIM($A76),PnL_Accounts,0))</f>
        <v/>
      </c>
      <c r="J76" s="76" t="str">
        <f t="array" ref="J76">INDEX(INDIRECT("PnL_"&amp;TEXT(J$1,"mmm")&amp;"_"&amp;TEXT(J$1,"yyyy")),MATCH(TRIM($A76),PnL_Accounts,0))</f>
        <v/>
      </c>
      <c r="K76" s="76" t="str">
        <f t="array" ref="K76">INDEX(INDIRECT("PnL_"&amp;TEXT(K$1,"mmm")&amp;"_"&amp;TEXT(K$1,"yyyy")),MATCH(TRIM($A76),PnL_Accounts,0))</f>
        <v/>
      </c>
      <c r="L76" s="76" t="str">
        <f t="array" ref="L76">INDEX(INDIRECT("PnL_"&amp;TEXT(L$1,"mmm")&amp;"_"&amp;TEXT(L$1,"yyyy")),MATCH(TRIM($A76),PnL_Accounts,0))</f>
        <v/>
      </c>
      <c r="M76" s="76" t="str">
        <f t="array" ref="M76">INDEX(INDIRECT("PnL_"&amp;TEXT(M$1,"mmm")&amp;"_"&amp;TEXT(M$1,"yyyy")),MATCH(TRIM($A76),PnL_Accounts,0))</f>
        <v/>
      </c>
      <c r="N76" s="76" t="str">
        <f t="array" ref="N76">INDEX(INDIRECT("PnL_"&amp;TEXT(N$1,"mmm")&amp;"_"&amp;TEXT(N$1,"yyyy")),MATCH(TRIM($A76),PnL_Accounts,0))</f>
        <v/>
      </c>
      <c r="O76" s="76" t="str">
        <f t="array" ref="O76">INDEX(INDIRECT("PnL_"&amp;TEXT(O$1,"mmm")&amp;"_"&amp;TEXT(O$1,"yyyy")),MATCH(TRIM($A76),PnL_Accounts,0))</f>
        <v/>
      </c>
      <c r="P76" s="76" t="str">
        <f t="array" ref="P76">INDEX(INDIRECT("PnL_"&amp;TEXT(P$1,"mmm")&amp;"_"&amp;TEXT(P$1,"yyyy")),MATCH(TRIM($A76),PnL_Accounts,0))</f>
        <v/>
      </c>
      <c r="Q76" s="76" t="str">
        <f t="array" ref="Q76">INDEX(INDIRECT("PnL_"&amp;TEXT(Q$1,"mmm")&amp;"_"&amp;TEXT(Q$1,"yyyy")),MATCH(TRIM($A76),PnL_Accounts,0))</f>
        <v/>
      </c>
      <c r="R76" s="76" t="str">
        <f t="array" ref="R76">INDEX(INDIRECT("PnL_"&amp;TEXT(R$1,"mmm")&amp;"_"&amp;TEXT(R$1,"yyyy")),MATCH(TRIM($A76),PnL_Accounts,0))</f>
        <v/>
      </c>
      <c r="S76" s="76" t="str">
        <f t="array" ref="S76">INDEX(INDIRECT("PnL_"&amp;TEXT(S$1,"mmm")&amp;"_"&amp;TEXT(S$1,"yyyy")),MATCH(TRIM($A76),PnL_Accounts,0))</f>
        <v/>
      </c>
      <c r="T76" s="76" t="str">
        <f t="array" ref="T76">INDEX(INDIRECT("PnL_"&amp;TEXT(T$1,"mmm")&amp;"_"&amp;TEXT(T$1,"yyyy")),MATCH(TRIM($A76),PnL_Accounts,0))</f>
        <v/>
      </c>
      <c r="U76" s="76" t="str">
        <f t="array" ref="U76">INDEX(INDIRECT("PnL_"&amp;TEXT(U$1,"mmm")&amp;"_"&amp;TEXT(U$1,"yyyy")),MATCH(TRIM($A76),PnL_Accounts,0))</f>
        <v/>
      </c>
      <c r="V76" s="76" t="str">
        <f t="array" ref="V76">INDEX(INDIRECT("PnL_"&amp;TEXT(V$1,"mmm")&amp;"_"&amp;TEXT(V$1,"yyyy")),MATCH(TRIM($A76),PnL_Accounts,0))</f>
        <v/>
      </c>
      <c r="W76" s="76" t="str">
        <f t="array" ref="W76">INDEX(INDIRECT("PnL_"&amp;TEXT(W$1,"mmm")&amp;"_"&amp;TEXT(W$1,"yyyy")),MATCH(TRIM($A76),PnL_Accounts,0))</f>
        <v/>
      </c>
      <c r="X76" s="76" t="str">
        <f t="array" ref="X76">INDEX(INDIRECT("PnL_"&amp;TEXT(X$1,"mmm")&amp;"_"&amp;TEXT(X$1,"yyyy")),MATCH(TRIM($A76),PnL_Accounts,0))</f>
        <v/>
      </c>
      <c r="Y76" s="76" t="str">
        <f t="array" ref="Y76">INDEX(INDIRECT("PnL_"&amp;TEXT(Y$1,"mmm")&amp;"_"&amp;TEXT(Y$1,"yyyy")),MATCH(TRIM($A76),PnL_Accounts,0))</f>
        <v/>
      </c>
      <c r="Z76" s="76" t="str">
        <f t="array" ref="Z76">INDEX(INDIRECT("PnL_"&amp;TEXT(Z$1,"mmm")&amp;"_"&amp;TEXT(Z$1,"yyyy")),MATCH(TRIM($A76),PnL_Accounts,0))</f>
        <v/>
      </c>
      <c r="AA76" s="76" t="str">
        <f t="array" ref="AA76">INDEX(INDIRECT("PnL_"&amp;TEXT(AA$1,"mmm")&amp;"_"&amp;TEXT(AA$1,"yyyy")),MATCH(TRIM($A76),PnL_Accounts,0))</f>
        <v/>
      </c>
      <c r="AB76" s="76" t="str">
        <f t="array" ref="AB76">INDEX(INDIRECT("PnL_"&amp;TEXT(AB$1,"mmm")&amp;"_"&amp;TEXT(AB$1,"yyyy")),MATCH(TRIM($A76),PnL_Accounts,0))</f>
        <v/>
      </c>
      <c r="AC76" s="76" t="str">
        <f t="array" ref="AC76">INDEX(INDIRECT("PnL_"&amp;TEXT(AC$1,"mmm")&amp;"_"&amp;TEXT(AC$1,"yyyy")),MATCH(TRIM($A76),PnL_Accounts,0))</f>
        <v/>
      </c>
      <c r="AD76" s="76" t="str">
        <f t="array" ref="AD76">INDEX(INDIRECT("PnL_"&amp;TEXT(AD$1,"mmm")&amp;"_"&amp;TEXT(AD$1,"yyyy")),MATCH(TRIM($A76),PnL_Accounts,0))</f>
        <v/>
      </c>
      <c r="AE76" s="76" t="str">
        <f t="array" ref="AE76">INDEX(INDIRECT("PnL_"&amp;TEXT(AE$1,"mmm")&amp;"_"&amp;TEXT(AE$1,"yyyy")),MATCH(TRIM($A76),PnL_Accounts,0))</f>
        <v/>
      </c>
    </row>
    <row r="77" ht="15.75" customHeight="1">
      <c r="A77" s="1" t="s">
        <v>308</v>
      </c>
      <c r="B77" s="160">
        <f>AVERAGEIFS(77:77,$1:$1,"&gt;="&amp;DATE(YEAR(Current_Month),MONTH(Current_Month)-2,DAY(Current_Month)),$1:$1,"&lt;="&amp;EOMONTH(Current_Month,0))</f>
        <v>1576</v>
      </c>
      <c r="D77" s="76">
        <f t="array" ref="D77">INDEX(INDIRECT("PnL_"&amp;TEXT(D$1,"mmm")&amp;"_"&amp;TEXT(D$1,"yyyy")),MATCH(TRIM($A77),PnL_Accounts,0))</f>
        <v>394</v>
      </c>
      <c r="E77" s="76">
        <f t="array" ref="E77">INDEX(INDIRECT("PnL_"&amp;TEXT(E$1,"mmm")&amp;"_"&amp;TEXT(E$1,"yyyy")),MATCH(TRIM($A77),PnL_Accounts,0))</f>
        <v>394</v>
      </c>
      <c r="F77" s="76">
        <f t="array" ref="F77">INDEX(INDIRECT("PnL_"&amp;TEXT(F$1,"mmm")&amp;"_"&amp;TEXT(F$1,"yyyy")),MATCH(TRIM($A77),PnL_Accounts,0))</f>
        <v>591</v>
      </c>
      <c r="G77" s="76">
        <f t="array" ref="G77">INDEX(INDIRECT("PnL_"&amp;TEXT(G$1,"mmm")&amp;"_"&amp;TEXT(G$1,"yyyy")),MATCH(TRIM($A77),PnL_Accounts,0))</f>
        <v>591</v>
      </c>
      <c r="H77" s="76">
        <f t="array" ref="H77">INDEX(INDIRECT("PnL_"&amp;TEXT(H$1,"mmm")&amp;"_"&amp;TEXT(H$1,"yyyy")),MATCH(TRIM($A77),PnL_Accounts,0))</f>
        <v>591</v>
      </c>
      <c r="I77" s="76">
        <f t="array" ref="I77">INDEX(INDIRECT("PnL_"&amp;TEXT(I$1,"mmm")&amp;"_"&amp;TEXT(I$1,"yyyy")),MATCH(TRIM($A77),PnL_Accounts,0))</f>
        <v>788</v>
      </c>
      <c r="J77" s="76">
        <f t="array" ref="J77">INDEX(INDIRECT("PnL_"&amp;TEXT(J$1,"mmm")&amp;"_"&amp;TEXT(J$1,"yyyy")),MATCH(TRIM($A77),PnL_Accounts,0))</f>
        <v>985</v>
      </c>
      <c r="K77" s="76">
        <f t="array" ref="K77">INDEX(INDIRECT("PnL_"&amp;TEXT(K$1,"mmm")&amp;"_"&amp;TEXT(K$1,"yyyy")),MATCH(TRIM($A77),PnL_Accounts,0))</f>
        <v>985</v>
      </c>
      <c r="L77" s="76">
        <f t="array" ref="L77">INDEX(INDIRECT("PnL_"&amp;TEXT(L$1,"mmm")&amp;"_"&amp;TEXT(L$1,"yyyy")),MATCH(TRIM($A77),PnL_Accounts,0))</f>
        <v>985</v>
      </c>
      <c r="M77" s="76">
        <f t="array" ref="M77">INDEX(INDIRECT("PnL_"&amp;TEXT(M$1,"mmm")&amp;"_"&amp;TEXT(M$1,"yyyy")),MATCH(TRIM($A77),PnL_Accounts,0))</f>
        <v>1182</v>
      </c>
      <c r="N77" s="76">
        <f t="array" ref="N77">INDEX(INDIRECT("PnL_"&amp;TEXT(N$1,"mmm")&amp;"_"&amp;TEXT(N$1,"yyyy")),MATCH(TRIM($A77),PnL_Accounts,0))</f>
        <v>1182</v>
      </c>
      <c r="O77" s="76">
        <f t="array" ref="O77">INDEX(INDIRECT("PnL_"&amp;TEXT(O$1,"mmm")&amp;"_"&amp;TEXT(O$1,"yyyy")),MATCH(TRIM($A77),PnL_Accounts,0))</f>
        <v>1379</v>
      </c>
      <c r="P77" s="76">
        <f t="array" ref="P77">INDEX(INDIRECT("PnL_"&amp;TEXT(P$1,"mmm")&amp;"_"&amp;TEXT(P$1,"yyyy")),MATCH(TRIM($A77),PnL_Accounts,0))</f>
        <v>1379</v>
      </c>
      <c r="Q77" s="76">
        <f t="array" ref="Q77">INDEX(INDIRECT("PnL_"&amp;TEXT(Q$1,"mmm")&amp;"_"&amp;TEXT(Q$1,"yyyy")),MATCH(TRIM($A77),PnL_Accounts,0))</f>
        <v>1576</v>
      </c>
      <c r="R77" s="76">
        <f t="array" ref="R77">INDEX(INDIRECT("PnL_"&amp;TEXT(R$1,"mmm")&amp;"_"&amp;TEXT(R$1,"yyyy")),MATCH(TRIM($A77),PnL_Accounts,0))</f>
        <v>1576</v>
      </c>
      <c r="S77" s="76">
        <f t="array" ref="S77">INDEX(INDIRECT("PnL_"&amp;TEXT(S$1,"mmm")&amp;"_"&amp;TEXT(S$1,"yyyy")),MATCH(TRIM($A77),PnL_Accounts,0))</f>
        <v>1576</v>
      </c>
      <c r="T77" s="76">
        <f t="array" ref="T77">INDEX(INDIRECT("PnL_"&amp;TEXT(T$1,"mmm")&amp;"_"&amp;TEXT(T$1,"yyyy")),MATCH(TRIM($A77),PnL_Accounts,0))</f>
        <v>1576</v>
      </c>
      <c r="U77" s="76">
        <f t="array" ref="U77">INDEX(INDIRECT("PnL_"&amp;TEXT(U$1,"mmm")&amp;"_"&amp;TEXT(U$1,"yyyy")),MATCH(TRIM($A77),PnL_Accounts,0))</f>
        <v>1576</v>
      </c>
      <c r="V77" s="76">
        <f t="array" ref="V77">INDEX(INDIRECT("PnL_"&amp;TEXT(V$1,"mmm")&amp;"_"&amp;TEXT(V$1,"yyyy")),MATCH(TRIM($A77),PnL_Accounts,0))</f>
        <v>1576</v>
      </c>
      <c r="W77" s="76">
        <f t="array" ref="W77">INDEX(INDIRECT("PnL_"&amp;TEXT(W$1,"mmm")&amp;"_"&amp;TEXT(W$1,"yyyy")),MATCH(TRIM($A77),PnL_Accounts,0))</f>
        <v>1576</v>
      </c>
      <c r="X77" s="76">
        <f t="array" ref="X77">INDEX(INDIRECT("PnL_"&amp;TEXT(X$1,"mmm")&amp;"_"&amp;TEXT(X$1,"yyyy")),MATCH(TRIM($A77),PnL_Accounts,0))</f>
        <v>1576</v>
      </c>
      <c r="Y77" s="76">
        <f t="array" ref="Y77">INDEX(INDIRECT("PnL_"&amp;TEXT(Y$1,"mmm")&amp;"_"&amp;TEXT(Y$1,"yyyy")),MATCH(TRIM($A77),PnL_Accounts,0))</f>
        <v>1576</v>
      </c>
      <c r="Z77" s="76">
        <f t="array" ref="Z77">INDEX(INDIRECT("PnL_"&amp;TEXT(Z$1,"mmm")&amp;"_"&amp;TEXT(Z$1,"yyyy")),MATCH(TRIM($A77),PnL_Accounts,0))</f>
        <v>1576</v>
      </c>
      <c r="AA77" s="76">
        <f t="array" ref="AA77">INDEX(INDIRECT("PnL_"&amp;TEXT(AA$1,"mmm")&amp;"_"&amp;TEXT(AA$1,"yyyy")),MATCH(TRIM($A77),PnL_Accounts,0))</f>
        <v>1576</v>
      </c>
      <c r="AB77" s="76">
        <f t="array" ref="AB77">INDEX(INDIRECT("PnL_"&amp;TEXT(AB$1,"mmm")&amp;"_"&amp;TEXT(AB$1,"yyyy")),MATCH(TRIM($A77),PnL_Accounts,0))</f>
        <v>1576</v>
      </c>
      <c r="AC77" s="76">
        <f t="array" ref="AC77">INDEX(INDIRECT("PnL_"&amp;TEXT(AC$1,"mmm")&amp;"_"&amp;TEXT(AC$1,"yyyy")),MATCH(TRIM($A77),PnL_Accounts,0))</f>
        <v>1576</v>
      </c>
      <c r="AD77" s="76">
        <f t="array" ref="AD77">INDEX(INDIRECT("PnL_"&amp;TEXT(AD$1,"mmm")&amp;"_"&amp;TEXT(AD$1,"yyyy")),MATCH(TRIM($A77),PnL_Accounts,0))</f>
        <v>1576</v>
      </c>
      <c r="AE77" s="76">
        <f t="array" ref="AE77">INDEX(INDIRECT("PnL_"&amp;TEXT(AE$1,"mmm")&amp;"_"&amp;TEXT(AE$1,"yyyy")),MATCH(TRIM($A77),PnL_Accounts,0))</f>
        <v>1576</v>
      </c>
      <c r="AF77" s="39">
        <f t="array" ref="AF77">INDEX(Hiring_Plan_Benefits_Sales,MATCH(AF$1,Hiring_Plan_Months,0))</f>
        <v>3500</v>
      </c>
      <c r="AG77" s="39">
        <f t="array" ref="AG77">INDEX(Hiring_Plan_Benefits_Sales,MATCH(AG$1,Hiring_Plan_Months,0))</f>
        <v>3500</v>
      </c>
      <c r="AH77" s="39">
        <f t="array" ref="AH77">INDEX(Hiring_Plan_Benefits_Sales,MATCH(AH$1,Hiring_Plan_Months,0))</f>
        <v>3500</v>
      </c>
      <c r="AI77" s="39">
        <f t="array" ref="AI77">INDEX(Hiring_Plan_Benefits_Sales,MATCH(AI$1,Hiring_Plan_Months,0))</f>
        <v>3500</v>
      </c>
      <c r="AJ77" s="39">
        <f t="array" ref="AJ77">INDEX(Hiring_Plan_Benefits_Sales,MATCH(AJ$1,Hiring_Plan_Months,0))</f>
        <v>3500</v>
      </c>
      <c r="AK77" s="39">
        <f t="array" ref="AK77">INDEX(Hiring_Plan_Benefits_Sales,MATCH(AK$1,Hiring_Plan_Months,0))</f>
        <v>5233.333333</v>
      </c>
      <c r="AL77" s="39">
        <f t="array" ref="AL77">INDEX(Hiring_Plan_Benefits_Sales,MATCH(AL$1,Hiring_Plan_Months,0))</f>
        <v>5233.333333</v>
      </c>
      <c r="AM77" s="39">
        <f t="array" ref="AM77">INDEX(Hiring_Plan_Benefits_Sales,MATCH(AM$1,Hiring_Plan_Months,0))</f>
        <v>6966.666667</v>
      </c>
      <c r="AN77" s="39">
        <f t="array" ref="AN77">INDEX(Hiring_Plan_Benefits_Sales,MATCH(AN$1,Hiring_Plan_Months,0))</f>
        <v>6966.666667</v>
      </c>
      <c r="AO77" s="39">
        <f t="array" ref="AO77">INDEX(Hiring_Plan_Benefits_Sales,MATCH(AO$1,Hiring_Plan_Months,0))</f>
        <v>8700</v>
      </c>
      <c r="AP77" s="39">
        <f t="array" ref="AP77">INDEX(Hiring_Plan_Benefits_Sales,MATCH(AP$1,Hiring_Plan_Months,0))</f>
        <v>8700</v>
      </c>
      <c r="AQ77" s="39">
        <f t="array" ref="AQ77">INDEX(Hiring_Plan_Benefits_Sales,MATCH(AQ$1,Hiring_Plan_Months,0))</f>
        <v>10433.33333</v>
      </c>
      <c r="AR77" s="39">
        <f t="array" ref="AR77">INDEX(Hiring_Plan_Benefits_Sales,MATCH(AR$1,Hiring_Plan_Months,0))</f>
        <v>10433.33333</v>
      </c>
      <c r="AS77" s="39">
        <f t="array" ref="AS77">INDEX(Hiring_Plan_Benefits_Sales,MATCH(AS$1,Hiring_Plan_Months,0))</f>
        <v>10433.33333</v>
      </c>
      <c r="AT77" s="39">
        <f t="array" ref="AT77">INDEX(Hiring_Plan_Benefits_Sales,MATCH(AT$1,Hiring_Plan_Months,0))</f>
        <v>10433.33333</v>
      </c>
      <c r="AU77" s="39">
        <f t="array" ref="AU77">INDEX(Hiring_Plan_Benefits_Sales,MATCH(AU$1,Hiring_Plan_Months,0))</f>
        <v>10433.33333</v>
      </c>
      <c r="AV77" s="39">
        <f t="array" ref="AV77">INDEX(Hiring_Plan_Benefits_Sales,MATCH(AV$1,Hiring_Plan_Months,0))</f>
        <v>10433.33333</v>
      </c>
      <c r="AW77" s="39">
        <f t="array" ref="AW77">INDEX(Hiring_Plan_Benefits_Sales,MATCH(AW$1,Hiring_Plan_Months,0))</f>
        <v>10433.33333</v>
      </c>
      <c r="AX77" s="39">
        <f t="array" ref="AX77">INDEX(Hiring_Plan_Benefits_Sales,MATCH(AX$1,Hiring_Plan_Months,0))</f>
        <v>10433.33333</v>
      </c>
      <c r="AY77" s="39">
        <f t="array" ref="AY77">INDEX(Hiring_Plan_Benefits_Sales,MATCH(AY$1,Hiring_Plan_Months,0))</f>
        <v>10433.33333</v>
      </c>
      <c r="AZ77" s="39">
        <f t="array" ref="AZ77">INDEX(Hiring_Plan_Benefits_Sales,MATCH(AZ$1,Hiring_Plan_Months,0))</f>
        <v>10433.33333</v>
      </c>
      <c r="BA77" s="39">
        <f t="array" ref="BA77">INDEX(Hiring_Plan_Benefits_Sales,MATCH(BA$1,Hiring_Plan_Months,0))</f>
        <v>10433.33333</v>
      </c>
      <c r="BB77" s="39">
        <f t="array" ref="BB77">INDEX(Hiring_Plan_Benefits_Sales,MATCH(BB$1,Hiring_Plan_Months,0))</f>
        <v>10433.33333</v>
      </c>
      <c r="BC77" s="39">
        <f t="array" ref="BC77">INDEX(Hiring_Plan_Benefits_Sales,MATCH(BC$1,Hiring_Plan_Months,0))</f>
        <v>10433.33333</v>
      </c>
      <c r="BD77" s="39">
        <f t="array" ref="BD77">INDEX(Hiring_Plan_Benefits_Sales,MATCH(BD$1,Hiring_Plan_Months,0))</f>
        <v>10433.33333</v>
      </c>
      <c r="BE77" s="39">
        <f t="array" ref="BE77">INDEX(Hiring_Plan_Benefits_Sales,MATCH(BE$1,Hiring_Plan_Months,0))</f>
        <v>10433.33333</v>
      </c>
      <c r="BF77" s="39">
        <f t="array" ref="BF77">INDEX(Hiring_Plan_Benefits_Sales,MATCH(BF$1,Hiring_Plan_Months,0))</f>
        <v>10433.33333</v>
      </c>
      <c r="BG77" s="39">
        <f t="array" ref="BG77">INDEX(Hiring_Plan_Benefits_Sales,MATCH(BG$1,Hiring_Plan_Months,0))</f>
        <v>10433.33333</v>
      </c>
      <c r="BH77" s="39">
        <f t="array" ref="BH77">INDEX(Hiring_Plan_Benefits_Sales,MATCH(BH$1,Hiring_Plan_Months,0))</f>
        <v>10433.33333</v>
      </c>
      <c r="BI77" s="39">
        <f t="array" ref="BI77">INDEX(Hiring_Plan_Benefits_Sales,MATCH(BI$1,Hiring_Plan_Months,0))</f>
        <v>10433.33333</v>
      </c>
      <c r="BJ77" s="39">
        <f t="array" ref="BJ77">INDEX(Hiring_Plan_Benefits_Sales,MATCH(BJ$1,Hiring_Plan_Months,0))</f>
        <v>10433.33333</v>
      </c>
      <c r="BK77" s="39">
        <f t="array" ref="BK77">INDEX(Hiring_Plan_Benefits_Sales,MATCH(BK$1,Hiring_Plan_Months,0))</f>
        <v>10433.33333</v>
      </c>
      <c r="BL77" s="39">
        <f t="array" ref="BL77">INDEX(Hiring_Plan_Benefits_Sales,MATCH(BL$1,Hiring_Plan_Months,0))</f>
        <v>10433.33333</v>
      </c>
      <c r="BM77" s="39">
        <f t="array" ref="BM77">INDEX(Hiring_Plan_Benefits_Sales,MATCH(BM$1,Hiring_Plan_Months,0))</f>
        <v>10433.33333</v>
      </c>
      <c r="BN77" s="39">
        <f t="array" ref="BN77">INDEX(Hiring_Plan_Benefits_Sales,MATCH(BN$1,Hiring_Plan_Months,0))</f>
        <v>10433.33333</v>
      </c>
      <c r="BO77" s="39">
        <f t="array" ref="BO77">INDEX(Hiring_Plan_Benefits_Sales,MATCH(BO$1,Hiring_Plan_Months,0))</f>
        <v>10433.33333</v>
      </c>
      <c r="BP77" s="39">
        <f t="array" ref="BP77">INDEX(Hiring_Plan_Benefits_Sales,MATCH(BP$1,Hiring_Plan_Months,0))</f>
        <v>10433.33333</v>
      </c>
      <c r="BQ77" s="39">
        <f t="array" ref="BQ77">INDEX(Hiring_Plan_Benefits_Sales,MATCH(BQ$1,Hiring_Plan_Months,0))</f>
        <v>10433.33333</v>
      </c>
      <c r="BR77" s="39">
        <f t="array" ref="BR77">INDEX(Hiring_Plan_Benefits_Sales,MATCH(BR$1,Hiring_Plan_Months,0))</f>
        <v>10433.33333</v>
      </c>
      <c r="BS77" s="39">
        <f t="array" ref="BS77">INDEX(Hiring_Plan_Benefits_Sales,MATCH(BS$1,Hiring_Plan_Months,0))</f>
        <v>10433.33333</v>
      </c>
      <c r="BT77" s="39">
        <f t="array" ref="BT77">INDEX(Hiring_Plan_Benefits_Sales,MATCH(BT$1,Hiring_Plan_Months,0))</f>
        <v>10433.33333</v>
      </c>
      <c r="BU77" s="39">
        <f t="array" ref="BU77">INDEX(Hiring_Plan_Benefits_Sales,MATCH(BU$1,Hiring_Plan_Months,0))</f>
        <v>10433.33333</v>
      </c>
      <c r="BV77" s="39">
        <f t="array" ref="BV77">INDEX(Hiring_Plan_Benefits_Sales,MATCH(BV$1,Hiring_Plan_Months,0))</f>
        <v>10433.33333</v>
      </c>
      <c r="BW77" s="39">
        <f t="array" ref="BW77">INDEX(Hiring_Plan_Benefits_Sales,MATCH(BW$1,Hiring_Plan_Months,0))</f>
        <v>10433.33333</v>
      </c>
    </row>
    <row r="78" ht="15.75" customHeight="1">
      <c r="A78" s="1" t="s">
        <v>309</v>
      </c>
      <c r="B78" s="160">
        <f>AVERAGEIFS(78:78,$1:$1,"&gt;="&amp;DATE(YEAR(Current_Month),MONTH(Current_Month)-2,DAY(Current_Month)),$1:$1,"&lt;="&amp;EOMONTH(Current_Month,0))</f>
        <v>3645</v>
      </c>
      <c r="D78" s="76">
        <f t="array" ref="D78">INDEX(INDIRECT("PnL_"&amp;TEXT(D$1,"mmm")&amp;"_"&amp;TEXT(D$1,"yyyy")),MATCH(TRIM($A78),PnL_Accounts,0))</f>
        <v>900</v>
      </c>
      <c r="E78" s="76">
        <f t="array" ref="E78">INDEX(INDIRECT("PnL_"&amp;TEXT(E$1,"mmm")&amp;"_"&amp;TEXT(E$1,"yyyy")),MATCH(TRIM($A78),PnL_Accounts,0))</f>
        <v>900</v>
      </c>
      <c r="F78" s="76">
        <f t="array" ref="F78">INDEX(INDIRECT("PnL_"&amp;TEXT(F$1,"mmm")&amp;"_"&amp;TEXT(F$1,"yyyy")),MATCH(TRIM($A78),PnL_Accounts,0))</f>
        <v>1350</v>
      </c>
      <c r="G78" s="76">
        <f t="array" ref="G78">INDEX(INDIRECT("PnL_"&amp;TEXT(G$1,"mmm")&amp;"_"&amp;TEXT(G$1,"yyyy")),MATCH(TRIM($A78),PnL_Accounts,0))</f>
        <v>1350</v>
      </c>
      <c r="H78" s="76">
        <f t="array" ref="H78">INDEX(INDIRECT("PnL_"&amp;TEXT(H$1,"mmm")&amp;"_"&amp;TEXT(H$1,"yyyy")),MATCH(TRIM($A78),PnL_Accounts,0))</f>
        <v>1350</v>
      </c>
      <c r="I78" s="76">
        <f t="array" ref="I78">INDEX(INDIRECT("PnL_"&amp;TEXT(I$1,"mmm")&amp;"_"&amp;TEXT(I$1,"yyyy")),MATCH(TRIM($A78),PnL_Accounts,0))</f>
        <v>1800</v>
      </c>
      <c r="J78" s="76">
        <f t="array" ref="J78">INDEX(INDIRECT("PnL_"&amp;TEXT(J$1,"mmm")&amp;"_"&amp;TEXT(J$1,"yyyy")),MATCH(TRIM($A78),PnL_Accounts,0))</f>
        <v>2205</v>
      </c>
      <c r="K78" s="76">
        <f t="array" ref="K78">INDEX(INDIRECT("PnL_"&amp;TEXT(K$1,"mmm")&amp;"_"&amp;TEXT(K$1,"yyyy")),MATCH(TRIM($A78),PnL_Accounts,0))</f>
        <v>2205</v>
      </c>
      <c r="L78" s="76">
        <f t="array" ref="L78">INDEX(INDIRECT("PnL_"&amp;TEXT(L$1,"mmm")&amp;"_"&amp;TEXT(L$1,"yyyy")),MATCH(TRIM($A78),PnL_Accounts,0))</f>
        <v>2205</v>
      </c>
      <c r="M78" s="76">
        <f t="array" ref="M78">INDEX(INDIRECT("PnL_"&amp;TEXT(M$1,"mmm")&amp;"_"&amp;TEXT(M$1,"yyyy")),MATCH(TRIM($A78),PnL_Accounts,0))</f>
        <v>2700</v>
      </c>
      <c r="N78" s="76">
        <f t="array" ref="N78">INDEX(INDIRECT("PnL_"&amp;TEXT(N$1,"mmm")&amp;"_"&amp;TEXT(N$1,"yyyy")),MATCH(TRIM($A78),PnL_Accounts,0))</f>
        <v>2700</v>
      </c>
      <c r="O78" s="76">
        <f t="array" ref="O78">INDEX(INDIRECT("PnL_"&amp;TEXT(O$1,"mmm")&amp;"_"&amp;TEXT(O$1,"yyyy")),MATCH(TRIM($A78),PnL_Accounts,0))</f>
        <v>3150</v>
      </c>
      <c r="P78" s="76">
        <f t="array" ref="P78">INDEX(INDIRECT("PnL_"&amp;TEXT(P$1,"mmm")&amp;"_"&amp;TEXT(P$1,"yyyy")),MATCH(TRIM($A78),PnL_Accounts,0))</f>
        <v>3150</v>
      </c>
      <c r="Q78" s="76">
        <f t="array" ref="Q78">INDEX(INDIRECT("PnL_"&amp;TEXT(Q$1,"mmm")&amp;"_"&amp;TEXT(Q$1,"yyyy")),MATCH(TRIM($A78),PnL_Accounts,0))</f>
        <v>3645</v>
      </c>
      <c r="R78" s="76">
        <f t="array" ref="R78">INDEX(INDIRECT("PnL_"&amp;TEXT(R$1,"mmm")&amp;"_"&amp;TEXT(R$1,"yyyy")),MATCH(TRIM($A78),PnL_Accounts,0))</f>
        <v>3645</v>
      </c>
      <c r="S78" s="76">
        <f t="array" ref="S78">INDEX(INDIRECT("PnL_"&amp;TEXT(S$1,"mmm")&amp;"_"&amp;TEXT(S$1,"yyyy")),MATCH(TRIM($A78),PnL_Accounts,0))</f>
        <v>3645</v>
      </c>
      <c r="T78" s="76">
        <f t="array" ref="T78">INDEX(INDIRECT("PnL_"&amp;TEXT(T$1,"mmm")&amp;"_"&amp;TEXT(T$1,"yyyy")),MATCH(TRIM($A78),PnL_Accounts,0))</f>
        <v>3645</v>
      </c>
      <c r="U78" s="76">
        <f t="array" ref="U78">INDEX(INDIRECT("PnL_"&amp;TEXT(U$1,"mmm")&amp;"_"&amp;TEXT(U$1,"yyyy")),MATCH(TRIM($A78),PnL_Accounts,0))</f>
        <v>3645</v>
      </c>
      <c r="V78" s="76">
        <f t="array" ref="V78">INDEX(INDIRECT("PnL_"&amp;TEXT(V$1,"mmm")&amp;"_"&amp;TEXT(V$1,"yyyy")),MATCH(TRIM($A78),PnL_Accounts,0))</f>
        <v>3645</v>
      </c>
      <c r="W78" s="76">
        <f t="array" ref="W78">INDEX(INDIRECT("PnL_"&amp;TEXT(W$1,"mmm")&amp;"_"&amp;TEXT(W$1,"yyyy")),MATCH(TRIM($A78),PnL_Accounts,0))</f>
        <v>3645</v>
      </c>
      <c r="X78" s="76">
        <f t="array" ref="X78">INDEX(INDIRECT("PnL_"&amp;TEXT(X$1,"mmm")&amp;"_"&amp;TEXT(X$1,"yyyy")),MATCH(TRIM($A78),PnL_Accounts,0))</f>
        <v>3645</v>
      </c>
      <c r="Y78" s="76">
        <f t="array" ref="Y78">INDEX(INDIRECT("PnL_"&amp;TEXT(Y$1,"mmm")&amp;"_"&amp;TEXT(Y$1,"yyyy")),MATCH(TRIM($A78),PnL_Accounts,0))</f>
        <v>3645</v>
      </c>
      <c r="Z78" s="76">
        <f t="array" ref="Z78">INDEX(INDIRECT("PnL_"&amp;TEXT(Z$1,"mmm")&amp;"_"&amp;TEXT(Z$1,"yyyy")),MATCH(TRIM($A78),PnL_Accounts,0))</f>
        <v>3645</v>
      </c>
      <c r="AA78" s="76">
        <f t="array" ref="AA78">INDEX(INDIRECT("PnL_"&amp;TEXT(AA$1,"mmm")&amp;"_"&amp;TEXT(AA$1,"yyyy")),MATCH(TRIM($A78),PnL_Accounts,0))</f>
        <v>3645</v>
      </c>
      <c r="AB78" s="76">
        <f t="array" ref="AB78">INDEX(INDIRECT("PnL_"&amp;TEXT(AB$1,"mmm")&amp;"_"&amp;TEXT(AB$1,"yyyy")),MATCH(TRIM($A78),PnL_Accounts,0))</f>
        <v>3645</v>
      </c>
      <c r="AC78" s="76">
        <f t="array" ref="AC78">INDEX(INDIRECT("PnL_"&amp;TEXT(AC$1,"mmm")&amp;"_"&amp;TEXT(AC$1,"yyyy")),MATCH(TRIM($A78),PnL_Accounts,0))</f>
        <v>3645</v>
      </c>
      <c r="AD78" s="76">
        <f t="array" ref="AD78">INDEX(INDIRECT("PnL_"&amp;TEXT(AD$1,"mmm")&amp;"_"&amp;TEXT(AD$1,"yyyy")),MATCH(TRIM($A78),PnL_Accounts,0))</f>
        <v>3645</v>
      </c>
      <c r="AE78" s="76">
        <f t="array" ref="AE78">INDEX(INDIRECT("PnL_"&amp;TEXT(AE$1,"mmm")&amp;"_"&amp;TEXT(AE$1,"yyyy")),MATCH(TRIM($A78),PnL_Accounts,0))</f>
        <v>3645</v>
      </c>
      <c r="AF78" s="39">
        <f t="array" ref="AF78">INDEX(Hiring_Plan_Payroll_Taxes_Sales,MATCH(AF$1,Hiring_Plan_Months,0))</f>
        <v>3375</v>
      </c>
      <c r="AG78" s="39">
        <f t="array" ref="AG78">INDEX(Hiring_Plan_Payroll_Taxes_Sales,MATCH(AG$1,Hiring_Plan_Months,0))</f>
        <v>3375</v>
      </c>
      <c r="AH78" s="39">
        <f t="array" ref="AH78">INDEX(Hiring_Plan_Payroll_Taxes_Sales,MATCH(AH$1,Hiring_Plan_Months,0))</f>
        <v>3375</v>
      </c>
      <c r="AI78" s="39">
        <f t="array" ref="AI78">INDEX(Hiring_Plan_Payroll_Taxes_Sales,MATCH(AI$1,Hiring_Plan_Months,0))</f>
        <v>3375</v>
      </c>
      <c r="AJ78" s="39">
        <f t="array" ref="AJ78">INDEX(Hiring_Plan_Payroll_Taxes_Sales,MATCH(AJ$1,Hiring_Plan_Months,0))</f>
        <v>3375</v>
      </c>
      <c r="AK78" s="39">
        <f t="array" ref="AK78">INDEX(Hiring_Plan_Payroll_Taxes_Sales,MATCH(AK$1,Hiring_Plan_Months,0))</f>
        <v>5025</v>
      </c>
      <c r="AL78" s="39">
        <f t="array" ref="AL78">INDEX(Hiring_Plan_Payroll_Taxes_Sales,MATCH(AL$1,Hiring_Plan_Months,0))</f>
        <v>5025</v>
      </c>
      <c r="AM78" s="39">
        <f t="array" ref="AM78">INDEX(Hiring_Plan_Payroll_Taxes_Sales,MATCH(AM$1,Hiring_Plan_Months,0))</f>
        <v>6675</v>
      </c>
      <c r="AN78" s="39">
        <f t="array" ref="AN78">INDEX(Hiring_Plan_Payroll_Taxes_Sales,MATCH(AN$1,Hiring_Plan_Months,0))</f>
        <v>6675</v>
      </c>
      <c r="AO78" s="39">
        <f t="array" ref="AO78">INDEX(Hiring_Plan_Payroll_Taxes_Sales,MATCH(AO$1,Hiring_Plan_Months,0))</f>
        <v>8325</v>
      </c>
      <c r="AP78" s="39">
        <f t="array" ref="AP78">INDEX(Hiring_Plan_Payroll_Taxes_Sales,MATCH(AP$1,Hiring_Plan_Months,0))</f>
        <v>8325</v>
      </c>
      <c r="AQ78" s="39">
        <f t="array" ref="AQ78">INDEX(Hiring_Plan_Payroll_Taxes_Sales,MATCH(AQ$1,Hiring_Plan_Months,0))</f>
        <v>9975</v>
      </c>
      <c r="AR78" s="39">
        <f t="array" ref="AR78">INDEX(Hiring_Plan_Payroll_Taxes_Sales,MATCH(AR$1,Hiring_Plan_Months,0))</f>
        <v>9975</v>
      </c>
      <c r="AS78" s="39">
        <f t="array" ref="AS78">INDEX(Hiring_Plan_Payroll_Taxes_Sales,MATCH(AS$1,Hiring_Plan_Months,0))</f>
        <v>9975</v>
      </c>
      <c r="AT78" s="39">
        <f t="array" ref="AT78">INDEX(Hiring_Plan_Payroll_Taxes_Sales,MATCH(AT$1,Hiring_Plan_Months,0))</f>
        <v>9975</v>
      </c>
      <c r="AU78" s="39">
        <f t="array" ref="AU78">INDEX(Hiring_Plan_Payroll_Taxes_Sales,MATCH(AU$1,Hiring_Plan_Months,0))</f>
        <v>9975</v>
      </c>
      <c r="AV78" s="39">
        <f t="array" ref="AV78">INDEX(Hiring_Plan_Payroll_Taxes_Sales,MATCH(AV$1,Hiring_Plan_Months,0))</f>
        <v>9975</v>
      </c>
      <c r="AW78" s="39">
        <f t="array" ref="AW78">INDEX(Hiring_Plan_Payroll_Taxes_Sales,MATCH(AW$1,Hiring_Plan_Months,0))</f>
        <v>9975</v>
      </c>
      <c r="AX78" s="39">
        <f t="array" ref="AX78">INDEX(Hiring_Plan_Payroll_Taxes_Sales,MATCH(AX$1,Hiring_Plan_Months,0))</f>
        <v>9975</v>
      </c>
      <c r="AY78" s="39">
        <f t="array" ref="AY78">INDEX(Hiring_Plan_Payroll_Taxes_Sales,MATCH(AY$1,Hiring_Plan_Months,0))</f>
        <v>9975</v>
      </c>
      <c r="AZ78" s="39">
        <f t="array" ref="AZ78">INDEX(Hiring_Plan_Payroll_Taxes_Sales,MATCH(AZ$1,Hiring_Plan_Months,0))</f>
        <v>9975</v>
      </c>
      <c r="BA78" s="39">
        <f t="array" ref="BA78">INDEX(Hiring_Plan_Payroll_Taxes_Sales,MATCH(BA$1,Hiring_Plan_Months,0))</f>
        <v>9975</v>
      </c>
      <c r="BB78" s="39">
        <f t="array" ref="BB78">INDEX(Hiring_Plan_Payroll_Taxes_Sales,MATCH(BB$1,Hiring_Plan_Months,0))</f>
        <v>9975</v>
      </c>
      <c r="BC78" s="39">
        <f t="array" ref="BC78">INDEX(Hiring_Plan_Payroll_Taxes_Sales,MATCH(BC$1,Hiring_Plan_Months,0))</f>
        <v>9975</v>
      </c>
      <c r="BD78" s="39">
        <f t="array" ref="BD78">INDEX(Hiring_Plan_Payroll_Taxes_Sales,MATCH(BD$1,Hiring_Plan_Months,0))</f>
        <v>9975</v>
      </c>
      <c r="BE78" s="39">
        <f t="array" ref="BE78">INDEX(Hiring_Plan_Payroll_Taxes_Sales,MATCH(BE$1,Hiring_Plan_Months,0))</f>
        <v>9975</v>
      </c>
      <c r="BF78" s="39">
        <f t="array" ref="BF78">INDEX(Hiring_Plan_Payroll_Taxes_Sales,MATCH(BF$1,Hiring_Plan_Months,0))</f>
        <v>9975</v>
      </c>
      <c r="BG78" s="39">
        <f t="array" ref="BG78">INDEX(Hiring_Plan_Payroll_Taxes_Sales,MATCH(BG$1,Hiring_Plan_Months,0))</f>
        <v>9975</v>
      </c>
      <c r="BH78" s="39">
        <f t="array" ref="BH78">INDEX(Hiring_Plan_Payroll_Taxes_Sales,MATCH(BH$1,Hiring_Plan_Months,0))</f>
        <v>9975</v>
      </c>
      <c r="BI78" s="39">
        <f t="array" ref="BI78">INDEX(Hiring_Plan_Payroll_Taxes_Sales,MATCH(BI$1,Hiring_Plan_Months,0))</f>
        <v>9975</v>
      </c>
      <c r="BJ78" s="39">
        <f t="array" ref="BJ78">INDEX(Hiring_Plan_Payroll_Taxes_Sales,MATCH(BJ$1,Hiring_Plan_Months,0))</f>
        <v>9975</v>
      </c>
      <c r="BK78" s="39">
        <f t="array" ref="BK78">INDEX(Hiring_Plan_Payroll_Taxes_Sales,MATCH(BK$1,Hiring_Plan_Months,0))</f>
        <v>9975</v>
      </c>
      <c r="BL78" s="39">
        <f t="array" ref="BL78">INDEX(Hiring_Plan_Payroll_Taxes_Sales,MATCH(BL$1,Hiring_Plan_Months,0))</f>
        <v>9975</v>
      </c>
      <c r="BM78" s="39">
        <f t="array" ref="BM78">INDEX(Hiring_Plan_Payroll_Taxes_Sales,MATCH(BM$1,Hiring_Plan_Months,0))</f>
        <v>9975</v>
      </c>
      <c r="BN78" s="39">
        <f t="array" ref="BN78">INDEX(Hiring_Plan_Payroll_Taxes_Sales,MATCH(BN$1,Hiring_Plan_Months,0))</f>
        <v>9975</v>
      </c>
      <c r="BO78" s="39">
        <f t="array" ref="BO78">INDEX(Hiring_Plan_Payroll_Taxes_Sales,MATCH(BO$1,Hiring_Plan_Months,0))</f>
        <v>9975</v>
      </c>
      <c r="BP78" s="39">
        <f t="array" ref="BP78">INDEX(Hiring_Plan_Payroll_Taxes_Sales,MATCH(BP$1,Hiring_Plan_Months,0))</f>
        <v>9975</v>
      </c>
      <c r="BQ78" s="39">
        <f t="array" ref="BQ78">INDEX(Hiring_Plan_Payroll_Taxes_Sales,MATCH(BQ$1,Hiring_Plan_Months,0))</f>
        <v>9975</v>
      </c>
      <c r="BR78" s="39">
        <f t="array" ref="BR78">INDEX(Hiring_Plan_Payroll_Taxes_Sales,MATCH(BR$1,Hiring_Plan_Months,0))</f>
        <v>9975</v>
      </c>
      <c r="BS78" s="39">
        <f t="array" ref="BS78">INDEX(Hiring_Plan_Payroll_Taxes_Sales,MATCH(BS$1,Hiring_Plan_Months,0))</f>
        <v>9975</v>
      </c>
      <c r="BT78" s="39">
        <f t="array" ref="BT78">INDEX(Hiring_Plan_Payroll_Taxes_Sales,MATCH(BT$1,Hiring_Plan_Months,0))</f>
        <v>9975</v>
      </c>
      <c r="BU78" s="39">
        <f t="array" ref="BU78">INDEX(Hiring_Plan_Payroll_Taxes_Sales,MATCH(BU$1,Hiring_Plan_Months,0))</f>
        <v>9975</v>
      </c>
      <c r="BV78" s="39">
        <f t="array" ref="BV78">INDEX(Hiring_Plan_Payroll_Taxes_Sales,MATCH(BV$1,Hiring_Plan_Months,0))</f>
        <v>9975</v>
      </c>
      <c r="BW78" s="39">
        <f t="array" ref="BW78">INDEX(Hiring_Plan_Payroll_Taxes_Sales,MATCH(BW$1,Hiring_Plan_Months,0))</f>
        <v>9975</v>
      </c>
    </row>
    <row r="79" ht="15.75" customHeight="1">
      <c r="A79" s="1" t="s">
        <v>310</v>
      </c>
      <c r="B79" s="164">
        <f>AVERAGEIFS(79:79,$1:$1,"&gt;="&amp;DATE(YEAR(Current_Month),MONTH(Current_Month)-2,DAY(Current_Month)),$1:$1,"&lt;="&amp;EOMONTH(Current_Month,0))/AVERAGEIFS(Oper_Model_Revenue,$1:$1,"&gt;="&amp;DATE(YEAR(Current_Month),MONTH(Current_Month)-2,DAY(Current_Month)),$1:$1,"&lt;="&amp;EOMONTH(Current_Month,0))</f>
        <v>0.05455849385</v>
      </c>
      <c r="D79" s="76">
        <f t="array" ref="D79">INDEX(INDIRECT("PnL_"&amp;TEXT(D$1,"mmm")&amp;"_"&amp;TEXT(D$1,"yyyy")),MATCH(TRIM($A79),PnL_Accounts,0))</f>
        <v>11652</v>
      </c>
      <c r="E79" s="76">
        <f t="array" ref="E79">INDEX(INDIRECT("PnL_"&amp;TEXT(E$1,"mmm")&amp;"_"&amp;TEXT(E$1,"yyyy")),MATCH(TRIM($A79),PnL_Accounts,0))</f>
        <v>14166</v>
      </c>
      <c r="F79" s="76">
        <f t="array" ref="F79">INDEX(INDIRECT("PnL_"&amp;TEXT(F$1,"mmm")&amp;"_"&amp;TEXT(F$1,"yyyy")),MATCH(TRIM($A79),PnL_Accounts,0))</f>
        <v>21021</v>
      </c>
      <c r="G79" s="76">
        <f t="array" ref="G79">INDEX(INDIRECT("PnL_"&amp;TEXT(G$1,"mmm")&amp;"_"&amp;TEXT(G$1,"yyyy")),MATCH(TRIM($A79),PnL_Accounts,0))</f>
        <v>21868</v>
      </c>
      <c r="H79" s="76">
        <f t="array" ref="H79">INDEX(INDIRECT("PnL_"&amp;TEXT(H$1,"mmm")&amp;"_"&amp;TEXT(H$1,"yyyy")),MATCH(TRIM($A79),PnL_Accounts,0))</f>
        <v>27274</v>
      </c>
      <c r="I79" s="76">
        <f t="array" ref="I79">INDEX(INDIRECT("PnL_"&amp;TEXT(I$1,"mmm")&amp;"_"&amp;TEXT(I$1,"yyyy")),MATCH(TRIM($A79),PnL_Accounts,0))</f>
        <v>16676</v>
      </c>
      <c r="J79" s="76">
        <f t="array" ref="J79">INDEX(INDIRECT("PnL_"&amp;TEXT(J$1,"mmm")&amp;"_"&amp;TEXT(J$1,"yyyy")),MATCH(TRIM($A79),PnL_Accounts,0))</f>
        <v>24845</v>
      </c>
      <c r="K79" s="76">
        <f t="array" ref="K79">INDEX(INDIRECT("PnL_"&amp;TEXT(K$1,"mmm")&amp;"_"&amp;TEXT(K$1,"yyyy")),MATCH(TRIM($A79),PnL_Accounts,0))</f>
        <v>25937</v>
      </c>
      <c r="L79" s="76">
        <f t="array" ref="L79">INDEX(INDIRECT("PnL_"&amp;TEXT(L$1,"mmm")&amp;"_"&amp;TEXT(L$1,"yyyy")),MATCH(TRIM($A79),PnL_Accounts,0))</f>
        <v>26800</v>
      </c>
      <c r="M79" s="76">
        <f t="array" ref="M79">INDEX(INDIRECT("PnL_"&amp;TEXT(M$1,"mmm")&amp;"_"&amp;TEXT(M$1,"yyyy")),MATCH(TRIM($A79),PnL_Accounts,0))</f>
        <v>29607</v>
      </c>
      <c r="N79" s="76">
        <f t="array" ref="N79">INDEX(INDIRECT("PnL_"&amp;TEXT(N$1,"mmm")&amp;"_"&amp;TEXT(N$1,"yyyy")),MATCH(TRIM($A79),PnL_Accounts,0))</f>
        <v>28195</v>
      </c>
      <c r="O79" s="76">
        <f t="array" ref="O79">INDEX(INDIRECT("PnL_"&amp;TEXT(O$1,"mmm")&amp;"_"&amp;TEXT(O$1,"yyyy")),MATCH(TRIM($A79),PnL_Accounts,0))</f>
        <v>31733</v>
      </c>
      <c r="P79" s="76">
        <f t="array" ref="P79">INDEX(INDIRECT("PnL_"&amp;TEXT(P$1,"mmm")&amp;"_"&amp;TEXT(P$1,"yyyy")),MATCH(TRIM($A79),PnL_Accounts,0))</f>
        <v>29875</v>
      </c>
      <c r="Q79" s="76">
        <f t="array" ref="Q79">INDEX(INDIRECT("PnL_"&amp;TEXT(Q$1,"mmm")&amp;"_"&amp;TEXT(Q$1,"yyyy")),MATCH(TRIM($A79),PnL_Accounts,0))</f>
        <v>31767</v>
      </c>
      <c r="R79" s="76">
        <f t="array" ref="R79">INDEX(INDIRECT("PnL_"&amp;TEXT(R$1,"mmm")&amp;"_"&amp;TEXT(R$1,"yyyy")),MATCH(TRIM($A79),PnL_Accounts,0))</f>
        <v>33744</v>
      </c>
      <c r="S79" s="76">
        <f t="array" ref="S79">INDEX(INDIRECT("PnL_"&amp;TEXT(S$1,"mmm")&amp;"_"&amp;TEXT(S$1,"yyyy")),MATCH(TRIM($A79),PnL_Accounts,0))</f>
        <v>32911</v>
      </c>
      <c r="T79" s="76">
        <f t="array" ref="T79">INDEX(INDIRECT("PnL_"&amp;TEXT(T$1,"mmm")&amp;"_"&amp;TEXT(T$1,"yyyy")),MATCH(TRIM($A79),PnL_Accounts,0))</f>
        <v>38116</v>
      </c>
      <c r="U79" s="76">
        <f t="array" ref="U79">INDEX(INDIRECT("PnL_"&amp;TEXT(U$1,"mmm")&amp;"_"&amp;TEXT(U$1,"yyyy")),MATCH(TRIM($A79),PnL_Accounts,0))</f>
        <v>37096</v>
      </c>
      <c r="V79" s="76">
        <f t="array" ref="V79">INDEX(INDIRECT("PnL_"&amp;TEXT(V$1,"mmm")&amp;"_"&amp;TEXT(V$1,"yyyy")),MATCH(TRIM($A79),PnL_Accounts,0))</f>
        <v>37962</v>
      </c>
      <c r="W79" s="76">
        <f t="array" ref="W79">INDEX(INDIRECT("PnL_"&amp;TEXT(W$1,"mmm")&amp;"_"&amp;TEXT(W$1,"yyyy")),MATCH(TRIM($A79),PnL_Accounts,0))</f>
        <v>38719</v>
      </c>
      <c r="X79" s="76">
        <f t="array" ref="X79">INDEX(INDIRECT("PnL_"&amp;TEXT(X$1,"mmm")&amp;"_"&amp;TEXT(X$1,"yyyy")),MATCH(TRIM($A79),PnL_Accounts,0))</f>
        <v>41789</v>
      </c>
      <c r="Y79" s="76">
        <f t="array" ref="Y79">INDEX(INDIRECT("PnL_"&amp;TEXT(Y$1,"mmm")&amp;"_"&amp;TEXT(Y$1,"yyyy")),MATCH(TRIM($A79),PnL_Accounts,0))</f>
        <v>44555</v>
      </c>
      <c r="Z79" s="76">
        <f t="array" ref="Z79">INDEX(INDIRECT("PnL_"&amp;TEXT(Z$1,"mmm")&amp;"_"&amp;TEXT(Z$1,"yyyy")),MATCH(TRIM($A79),PnL_Accounts,0))</f>
        <v>49785</v>
      </c>
      <c r="AA79" s="76">
        <f t="array" ref="AA79">INDEX(INDIRECT("PnL_"&amp;TEXT(AA$1,"mmm")&amp;"_"&amp;TEXT(AA$1,"yyyy")),MATCH(TRIM($A79),PnL_Accounts,0))</f>
        <v>52007</v>
      </c>
      <c r="AB79" s="76">
        <f t="array" ref="AB79">INDEX(INDIRECT("PnL_"&amp;TEXT(AB$1,"mmm")&amp;"_"&amp;TEXT(AB$1,"yyyy")),MATCH(TRIM($A79),PnL_Accounts,0))</f>
        <v>52007</v>
      </c>
      <c r="AC79" s="76">
        <f t="array" ref="AC79">INDEX(INDIRECT("PnL_"&amp;TEXT(AC$1,"mmm")&amp;"_"&amp;TEXT(AC$1,"yyyy")),MATCH(TRIM($A79),PnL_Accounts,0))</f>
        <v>59124</v>
      </c>
      <c r="AD79" s="76">
        <f t="array" ref="AD79">INDEX(INDIRECT("PnL_"&amp;TEXT(AD$1,"mmm")&amp;"_"&amp;TEXT(AD$1,"yyyy")),MATCH(TRIM($A79),PnL_Accounts,0))</f>
        <v>39117</v>
      </c>
      <c r="AE79" s="76">
        <f t="array" ref="AE79">INDEX(INDIRECT("PnL_"&amp;TEXT(AE$1,"mmm")&amp;"_"&amp;TEXT(AE$1,"yyyy")),MATCH(TRIM($A79),PnL_Accounts,0))</f>
        <v>35989</v>
      </c>
      <c r="AF79" s="76">
        <f t="shared" ref="AF79:BW79" si="43">$B79*AF$5</f>
        <v>42574.68952</v>
      </c>
      <c r="AG79" s="76">
        <f t="shared" si="43"/>
        <v>42383.16026</v>
      </c>
      <c r="AH79" s="76">
        <f t="shared" si="43"/>
        <v>42790.63572</v>
      </c>
      <c r="AI79" s="76">
        <f t="shared" si="43"/>
        <v>43334.18137</v>
      </c>
      <c r="AJ79" s="76">
        <f t="shared" si="43"/>
        <v>44216.76315</v>
      </c>
      <c r="AK79" s="76">
        <f t="shared" si="43"/>
        <v>45220.44993</v>
      </c>
      <c r="AL79" s="76">
        <f t="shared" si="43"/>
        <v>46167.47502</v>
      </c>
      <c r="AM79" s="76">
        <f t="shared" si="43"/>
        <v>47169.91599</v>
      </c>
      <c r="AN79" s="76">
        <f t="shared" si="43"/>
        <v>48166.41975</v>
      </c>
      <c r="AO79" s="76">
        <f t="shared" si="43"/>
        <v>49225.21556</v>
      </c>
      <c r="AP79" s="76">
        <f t="shared" si="43"/>
        <v>50275.28177</v>
      </c>
      <c r="AQ79" s="76">
        <f t="shared" si="43"/>
        <v>51386.40423</v>
      </c>
      <c r="AR79" s="76">
        <f t="shared" si="43"/>
        <v>52557.87312</v>
      </c>
      <c r="AS79" s="76">
        <f t="shared" si="43"/>
        <v>53720.79038</v>
      </c>
      <c r="AT79" s="76">
        <f t="shared" si="43"/>
        <v>54943.64676</v>
      </c>
      <c r="AU79" s="76">
        <f t="shared" si="43"/>
        <v>56157.82969</v>
      </c>
      <c r="AV79" s="76">
        <f t="shared" si="43"/>
        <v>57431.43607</v>
      </c>
      <c r="AW79" s="76">
        <f t="shared" si="43"/>
        <v>58764.09563</v>
      </c>
      <c r="AX79" s="76">
        <f t="shared" si="43"/>
        <v>60087.2772</v>
      </c>
      <c r="AY79" s="76">
        <f t="shared" si="43"/>
        <v>61469.13019</v>
      </c>
      <c r="AZ79" s="76">
        <f t="shared" si="43"/>
        <v>63313.2041</v>
      </c>
      <c r="BA79" s="76">
        <f t="shared" si="43"/>
        <v>65212.60022</v>
      </c>
      <c r="BB79" s="76">
        <f t="shared" si="43"/>
        <v>67168.97823</v>
      </c>
      <c r="BC79" s="76">
        <f t="shared" si="43"/>
        <v>69184.04757</v>
      </c>
      <c r="BD79" s="76">
        <f t="shared" si="43"/>
        <v>71259.569</v>
      </c>
      <c r="BE79" s="76">
        <f t="shared" si="43"/>
        <v>73397.35607</v>
      </c>
      <c r="BF79" s="76">
        <f t="shared" si="43"/>
        <v>75599.27675</v>
      </c>
      <c r="BG79" s="76">
        <f t="shared" si="43"/>
        <v>77867.25505</v>
      </c>
      <c r="BH79" s="76">
        <f t="shared" si="43"/>
        <v>80203.27271</v>
      </c>
      <c r="BI79" s="76">
        <f t="shared" si="43"/>
        <v>82609.37089</v>
      </c>
      <c r="BJ79" s="76">
        <f t="shared" si="43"/>
        <v>85087.65201</v>
      </c>
      <c r="BK79" s="76">
        <f t="shared" si="43"/>
        <v>87640.28157</v>
      </c>
      <c r="BL79" s="76">
        <f t="shared" si="43"/>
        <v>90269.49002</v>
      </c>
      <c r="BM79" s="76">
        <f t="shared" si="43"/>
        <v>92977.57472</v>
      </c>
      <c r="BN79" s="76">
        <f t="shared" si="43"/>
        <v>95766.90196</v>
      </c>
      <c r="BO79" s="76">
        <f t="shared" si="43"/>
        <v>98639.90902</v>
      </c>
      <c r="BP79" s="76">
        <f t="shared" si="43"/>
        <v>101599.1063</v>
      </c>
      <c r="BQ79" s="76">
        <f t="shared" si="43"/>
        <v>104647.0795</v>
      </c>
      <c r="BR79" s="76">
        <f t="shared" si="43"/>
        <v>107786.4919</v>
      </c>
      <c r="BS79" s="76">
        <f t="shared" si="43"/>
        <v>111020.0866</v>
      </c>
      <c r="BT79" s="76">
        <f t="shared" si="43"/>
        <v>114350.6892</v>
      </c>
      <c r="BU79" s="76">
        <f t="shared" si="43"/>
        <v>117781.2099</v>
      </c>
      <c r="BV79" s="76">
        <f t="shared" si="43"/>
        <v>121314.6462</v>
      </c>
      <c r="BW79" s="76">
        <f t="shared" si="43"/>
        <v>124954.0856</v>
      </c>
    </row>
    <row r="80" ht="15.75" customHeight="1">
      <c r="A80" s="1" t="s">
        <v>311</v>
      </c>
      <c r="B80" s="160">
        <f>AVERAGEIFS(80:80,$1:$1,"&gt;="&amp;DATE(YEAR(Current_Month),MONTH(Current_Month)-2,DAY(Current_Month)),$1:$1,"&lt;="&amp;EOMONTH(Current_Month,0))</f>
        <v>40500</v>
      </c>
      <c r="D80" s="76">
        <f t="array" ref="D80">INDEX(INDIRECT("PnL_"&amp;TEXT(D$1,"mmm")&amp;"_"&amp;TEXT(D$1,"yyyy")),MATCH(TRIM($A80),PnL_Accounts,0))</f>
        <v>10000</v>
      </c>
      <c r="E80" s="76">
        <f t="array" ref="E80">INDEX(INDIRECT("PnL_"&amp;TEXT(E$1,"mmm")&amp;"_"&amp;TEXT(E$1,"yyyy")),MATCH(TRIM($A80),PnL_Accounts,0))</f>
        <v>10000</v>
      </c>
      <c r="F80" s="76">
        <f t="array" ref="F80">INDEX(INDIRECT("PnL_"&amp;TEXT(F$1,"mmm")&amp;"_"&amp;TEXT(F$1,"yyyy")),MATCH(TRIM($A80),PnL_Accounts,0))</f>
        <v>15000</v>
      </c>
      <c r="G80" s="76">
        <f t="array" ref="G80">INDEX(INDIRECT("PnL_"&amp;TEXT(G$1,"mmm")&amp;"_"&amp;TEXT(G$1,"yyyy")),MATCH(TRIM($A80),PnL_Accounts,0))</f>
        <v>15000</v>
      </c>
      <c r="H80" s="76">
        <f t="array" ref="H80">INDEX(INDIRECT("PnL_"&amp;TEXT(H$1,"mmm")&amp;"_"&amp;TEXT(H$1,"yyyy")),MATCH(TRIM($A80),PnL_Accounts,0))</f>
        <v>15000</v>
      </c>
      <c r="I80" s="76">
        <f t="array" ref="I80">INDEX(INDIRECT("PnL_"&amp;TEXT(I$1,"mmm")&amp;"_"&amp;TEXT(I$1,"yyyy")),MATCH(TRIM($A80),PnL_Accounts,0))</f>
        <v>20000</v>
      </c>
      <c r="J80" s="76">
        <f t="array" ref="J80">INDEX(INDIRECT("PnL_"&amp;TEXT(J$1,"mmm")&amp;"_"&amp;TEXT(J$1,"yyyy")),MATCH(TRIM($A80),PnL_Accounts,0))</f>
        <v>24500</v>
      </c>
      <c r="K80" s="76">
        <f t="array" ref="K80">INDEX(INDIRECT("PnL_"&amp;TEXT(K$1,"mmm")&amp;"_"&amp;TEXT(K$1,"yyyy")),MATCH(TRIM($A80),PnL_Accounts,0))</f>
        <v>24500</v>
      </c>
      <c r="L80" s="76">
        <f t="array" ref="L80">INDEX(INDIRECT("PnL_"&amp;TEXT(L$1,"mmm")&amp;"_"&amp;TEXT(L$1,"yyyy")),MATCH(TRIM($A80),PnL_Accounts,0))</f>
        <v>24500</v>
      </c>
      <c r="M80" s="76">
        <f t="array" ref="M80">INDEX(INDIRECT("PnL_"&amp;TEXT(M$1,"mmm")&amp;"_"&amp;TEXT(M$1,"yyyy")),MATCH(TRIM($A80),PnL_Accounts,0))</f>
        <v>30000</v>
      </c>
      <c r="N80" s="76">
        <f t="array" ref="N80">INDEX(INDIRECT("PnL_"&amp;TEXT(N$1,"mmm")&amp;"_"&amp;TEXT(N$1,"yyyy")),MATCH(TRIM($A80),PnL_Accounts,0))</f>
        <v>30000</v>
      </c>
      <c r="O80" s="76">
        <f t="array" ref="O80">INDEX(INDIRECT("PnL_"&amp;TEXT(O$1,"mmm")&amp;"_"&amp;TEXT(O$1,"yyyy")),MATCH(TRIM($A80),PnL_Accounts,0))</f>
        <v>35000</v>
      </c>
      <c r="P80" s="76">
        <f t="array" ref="P80">INDEX(INDIRECT("PnL_"&amp;TEXT(P$1,"mmm")&amp;"_"&amp;TEXT(P$1,"yyyy")),MATCH(TRIM($A80),PnL_Accounts,0))</f>
        <v>35000</v>
      </c>
      <c r="Q80" s="76">
        <f t="array" ref="Q80">INDEX(INDIRECT("PnL_"&amp;TEXT(Q$1,"mmm")&amp;"_"&amp;TEXT(Q$1,"yyyy")),MATCH(TRIM($A80),PnL_Accounts,0))</f>
        <v>40500</v>
      </c>
      <c r="R80" s="76">
        <f t="array" ref="R80">INDEX(INDIRECT("PnL_"&amp;TEXT(R$1,"mmm")&amp;"_"&amp;TEXT(R$1,"yyyy")),MATCH(TRIM($A80),PnL_Accounts,0))</f>
        <v>40500</v>
      </c>
      <c r="S80" s="76">
        <f t="array" ref="S80">INDEX(INDIRECT("PnL_"&amp;TEXT(S$1,"mmm")&amp;"_"&amp;TEXT(S$1,"yyyy")),MATCH(TRIM($A80),PnL_Accounts,0))</f>
        <v>40500</v>
      </c>
      <c r="T80" s="76">
        <f t="array" ref="T80">INDEX(INDIRECT("PnL_"&amp;TEXT(T$1,"mmm")&amp;"_"&amp;TEXT(T$1,"yyyy")),MATCH(TRIM($A80),PnL_Accounts,0))</f>
        <v>40500</v>
      </c>
      <c r="U80" s="76">
        <f t="array" ref="U80">INDEX(INDIRECT("PnL_"&amp;TEXT(U$1,"mmm")&amp;"_"&amp;TEXT(U$1,"yyyy")),MATCH(TRIM($A80),PnL_Accounts,0))</f>
        <v>40500</v>
      </c>
      <c r="V80" s="76">
        <f t="array" ref="V80">INDEX(INDIRECT("PnL_"&amp;TEXT(V$1,"mmm")&amp;"_"&amp;TEXT(V$1,"yyyy")),MATCH(TRIM($A80),PnL_Accounts,0))</f>
        <v>40500</v>
      </c>
      <c r="W80" s="76">
        <f t="array" ref="W80">INDEX(INDIRECT("PnL_"&amp;TEXT(W$1,"mmm")&amp;"_"&amp;TEXT(W$1,"yyyy")),MATCH(TRIM($A80),PnL_Accounts,0))</f>
        <v>40500</v>
      </c>
      <c r="X80" s="76">
        <f t="array" ref="X80">INDEX(INDIRECT("PnL_"&amp;TEXT(X$1,"mmm")&amp;"_"&amp;TEXT(X$1,"yyyy")),MATCH(TRIM($A80),PnL_Accounts,0))</f>
        <v>40500</v>
      </c>
      <c r="Y80" s="76">
        <f t="array" ref="Y80">INDEX(INDIRECT("PnL_"&amp;TEXT(Y$1,"mmm")&amp;"_"&amp;TEXT(Y$1,"yyyy")),MATCH(TRIM($A80),PnL_Accounts,0))</f>
        <v>40500</v>
      </c>
      <c r="Z80" s="76">
        <f t="array" ref="Z80">INDEX(INDIRECT("PnL_"&amp;TEXT(Z$1,"mmm")&amp;"_"&amp;TEXT(Z$1,"yyyy")),MATCH(TRIM($A80),PnL_Accounts,0))</f>
        <v>40500</v>
      </c>
      <c r="AA80" s="76">
        <f t="array" ref="AA80">INDEX(INDIRECT("PnL_"&amp;TEXT(AA$1,"mmm")&amp;"_"&amp;TEXT(AA$1,"yyyy")),MATCH(TRIM($A80),PnL_Accounts,0))</f>
        <v>40500</v>
      </c>
      <c r="AB80" s="76">
        <f t="array" ref="AB80">INDEX(INDIRECT("PnL_"&amp;TEXT(AB$1,"mmm")&amp;"_"&amp;TEXT(AB$1,"yyyy")),MATCH(TRIM($A80),PnL_Accounts,0))</f>
        <v>40500</v>
      </c>
      <c r="AC80" s="76">
        <f t="array" ref="AC80">INDEX(INDIRECT("PnL_"&amp;TEXT(AC$1,"mmm")&amp;"_"&amp;TEXT(AC$1,"yyyy")),MATCH(TRIM($A80),PnL_Accounts,0))</f>
        <v>40500</v>
      </c>
      <c r="AD80" s="76">
        <f t="array" ref="AD80">INDEX(INDIRECT("PnL_"&amp;TEXT(AD$1,"mmm")&amp;"_"&amp;TEXT(AD$1,"yyyy")),MATCH(TRIM($A80),PnL_Accounts,0))</f>
        <v>40500</v>
      </c>
      <c r="AE80" s="76">
        <f t="array" ref="AE80">INDEX(INDIRECT("PnL_"&amp;TEXT(AE$1,"mmm")&amp;"_"&amp;TEXT(AE$1,"yyyy")),MATCH(TRIM($A80),PnL_Accounts,0))</f>
        <v>40500</v>
      </c>
      <c r="AF80" s="39">
        <f t="array" ref="AF80">INDEX(Hiring_Plan_Salaries_Sales,MATCH(AF$1,Hiring_Plan_Months,0))</f>
        <v>37500</v>
      </c>
      <c r="AG80" s="39">
        <f t="array" ref="AG80">INDEX(Hiring_Plan_Salaries_Sales,MATCH(AG$1,Hiring_Plan_Months,0))</f>
        <v>37500</v>
      </c>
      <c r="AH80" s="39">
        <f t="array" ref="AH80">INDEX(Hiring_Plan_Salaries_Sales,MATCH(AH$1,Hiring_Plan_Months,0))</f>
        <v>37500</v>
      </c>
      <c r="AI80" s="39">
        <f t="array" ref="AI80">INDEX(Hiring_Plan_Salaries_Sales,MATCH(AI$1,Hiring_Plan_Months,0))</f>
        <v>37500</v>
      </c>
      <c r="AJ80" s="39">
        <f t="array" ref="AJ80">INDEX(Hiring_Plan_Salaries_Sales,MATCH(AJ$1,Hiring_Plan_Months,0))</f>
        <v>37500</v>
      </c>
      <c r="AK80" s="39">
        <f t="array" ref="AK80">INDEX(Hiring_Plan_Salaries_Sales,MATCH(AK$1,Hiring_Plan_Months,0))</f>
        <v>55833.33333</v>
      </c>
      <c r="AL80" s="39">
        <f t="array" ref="AL80">INDEX(Hiring_Plan_Salaries_Sales,MATCH(AL$1,Hiring_Plan_Months,0))</f>
        <v>55833.33333</v>
      </c>
      <c r="AM80" s="39">
        <f t="array" ref="AM80">INDEX(Hiring_Plan_Salaries_Sales,MATCH(AM$1,Hiring_Plan_Months,0))</f>
        <v>74166.66667</v>
      </c>
      <c r="AN80" s="39">
        <f t="array" ref="AN80">INDEX(Hiring_Plan_Salaries_Sales,MATCH(AN$1,Hiring_Plan_Months,0))</f>
        <v>74166.66667</v>
      </c>
      <c r="AO80" s="39">
        <f t="array" ref="AO80">INDEX(Hiring_Plan_Salaries_Sales,MATCH(AO$1,Hiring_Plan_Months,0))</f>
        <v>92500</v>
      </c>
      <c r="AP80" s="39">
        <f t="array" ref="AP80">INDEX(Hiring_Plan_Salaries_Sales,MATCH(AP$1,Hiring_Plan_Months,0))</f>
        <v>92500</v>
      </c>
      <c r="AQ80" s="39">
        <f t="array" ref="AQ80">INDEX(Hiring_Plan_Salaries_Sales,MATCH(AQ$1,Hiring_Plan_Months,0))</f>
        <v>110833.3333</v>
      </c>
      <c r="AR80" s="39">
        <f t="array" ref="AR80">INDEX(Hiring_Plan_Salaries_Sales,MATCH(AR$1,Hiring_Plan_Months,0))</f>
        <v>110833.3333</v>
      </c>
      <c r="AS80" s="39">
        <f t="array" ref="AS80">INDEX(Hiring_Plan_Salaries_Sales,MATCH(AS$1,Hiring_Plan_Months,0))</f>
        <v>110833.3333</v>
      </c>
      <c r="AT80" s="39">
        <f t="array" ref="AT80">INDEX(Hiring_Plan_Salaries_Sales,MATCH(AT$1,Hiring_Plan_Months,0))</f>
        <v>110833.3333</v>
      </c>
      <c r="AU80" s="39">
        <f t="array" ref="AU80">INDEX(Hiring_Plan_Salaries_Sales,MATCH(AU$1,Hiring_Plan_Months,0))</f>
        <v>110833.3333</v>
      </c>
      <c r="AV80" s="39">
        <f t="array" ref="AV80">INDEX(Hiring_Plan_Salaries_Sales,MATCH(AV$1,Hiring_Plan_Months,0))</f>
        <v>110833.3333</v>
      </c>
      <c r="AW80" s="39">
        <f t="array" ref="AW80">INDEX(Hiring_Plan_Salaries_Sales,MATCH(AW$1,Hiring_Plan_Months,0))</f>
        <v>110833.3333</v>
      </c>
      <c r="AX80" s="39">
        <f t="array" ref="AX80">INDEX(Hiring_Plan_Salaries_Sales,MATCH(AX$1,Hiring_Plan_Months,0))</f>
        <v>110833.3333</v>
      </c>
      <c r="AY80" s="39">
        <f t="array" ref="AY80">INDEX(Hiring_Plan_Salaries_Sales,MATCH(AY$1,Hiring_Plan_Months,0))</f>
        <v>110833.3333</v>
      </c>
      <c r="AZ80" s="39">
        <f t="array" ref="AZ80">INDEX(Hiring_Plan_Salaries_Sales,MATCH(AZ$1,Hiring_Plan_Months,0))</f>
        <v>110833.3333</v>
      </c>
      <c r="BA80" s="39">
        <f t="array" ref="BA80">INDEX(Hiring_Plan_Salaries_Sales,MATCH(BA$1,Hiring_Plan_Months,0))</f>
        <v>110833.3333</v>
      </c>
      <c r="BB80" s="39">
        <f t="array" ref="BB80">INDEX(Hiring_Plan_Salaries_Sales,MATCH(BB$1,Hiring_Plan_Months,0))</f>
        <v>110833.3333</v>
      </c>
      <c r="BC80" s="39">
        <f t="array" ref="BC80">INDEX(Hiring_Plan_Salaries_Sales,MATCH(BC$1,Hiring_Plan_Months,0))</f>
        <v>110833.3333</v>
      </c>
      <c r="BD80" s="39">
        <f t="array" ref="BD80">INDEX(Hiring_Plan_Salaries_Sales,MATCH(BD$1,Hiring_Plan_Months,0))</f>
        <v>110833.3333</v>
      </c>
      <c r="BE80" s="39">
        <f t="array" ref="BE80">INDEX(Hiring_Plan_Salaries_Sales,MATCH(BE$1,Hiring_Plan_Months,0))</f>
        <v>110833.3333</v>
      </c>
      <c r="BF80" s="39">
        <f t="array" ref="BF80">INDEX(Hiring_Plan_Salaries_Sales,MATCH(BF$1,Hiring_Plan_Months,0))</f>
        <v>110833.3333</v>
      </c>
      <c r="BG80" s="39">
        <f t="array" ref="BG80">INDEX(Hiring_Plan_Salaries_Sales,MATCH(BG$1,Hiring_Plan_Months,0))</f>
        <v>110833.3333</v>
      </c>
      <c r="BH80" s="39">
        <f t="array" ref="BH80">INDEX(Hiring_Plan_Salaries_Sales,MATCH(BH$1,Hiring_Plan_Months,0))</f>
        <v>110833.3333</v>
      </c>
      <c r="BI80" s="39">
        <f t="array" ref="BI80">INDEX(Hiring_Plan_Salaries_Sales,MATCH(BI$1,Hiring_Plan_Months,0))</f>
        <v>110833.3333</v>
      </c>
      <c r="BJ80" s="39">
        <f t="array" ref="BJ80">INDEX(Hiring_Plan_Salaries_Sales,MATCH(BJ$1,Hiring_Plan_Months,0))</f>
        <v>110833.3333</v>
      </c>
      <c r="BK80" s="39">
        <f t="array" ref="BK80">INDEX(Hiring_Plan_Salaries_Sales,MATCH(BK$1,Hiring_Plan_Months,0))</f>
        <v>110833.3333</v>
      </c>
      <c r="BL80" s="39">
        <f t="array" ref="BL80">INDEX(Hiring_Plan_Salaries_Sales,MATCH(BL$1,Hiring_Plan_Months,0))</f>
        <v>110833.3333</v>
      </c>
      <c r="BM80" s="39">
        <f t="array" ref="BM80">INDEX(Hiring_Plan_Salaries_Sales,MATCH(BM$1,Hiring_Plan_Months,0))</f>
        <v>110833.3333</v>
      </c>
      <c r="BN80" s="39">
        <f t="array" ref="BN80">INDEX(Hiring_Plan_Salaries_Sales,MATCH(BN$1,Hiring_Plan_Months,0))</f>
        <v>110833.3333</v>
      </c>
      <c r="BO80" s="39">
        <f t="array" ref="BO80">INDEX(Hiring_Plan_Salaries_Sales,MATCH(BO$1,Hiring_Plan_Months,0))</f>
        <v>110833.3333</v>
      </c>
      <c r="BP80" s="39">
        <f t="array" ref="BP80">INDEX(Hiring_Plan_Salaries_Sales,MATCH(BP$1,Hiring_Plan_Months,0))</f>
        <v>110833.3333</v>
      </c>
      <c r="BQ80" s="39">
        <f t="array" ref="BQ80">INDEX(Hiring_Plan_Salaries_Sales,MATCH(BQ$1,Hiring_Plan_Months,0))</f>
        <v>110833.3333</v>
      </c>
      <c r="BR80" s="39">
        <f t="array" ref="BR80">INDEX(Hiring_Plan_Salaries_Sales,MATCH(BR$1,Hiring_Plan_Months,0))</f>
        <v>110833.3333</v>
      </c>
      <c r="BS80" s="39">
        <f t="array" ref="BS80">INDEX(Hiring_Plan_Salaries_Sales,MATCH(BS$1,Hiring_Plan_Months,0))</f>
        <v>110833.3333</v>
      </c>
      <c r="BT80" s="39">
        <f t="array" ref="BT80">INDEX(Hiring_Plan_Salaries_Sales,MATCH(BT$1,Hiring_Plan_Months,0))</f>
        <v>110833.3333</v>
      </c>
      <c r="BU80" s="39">
        <f t="array" ref="BU80">INDEX(Hiring_Plan_Salaries_Sales,MATCH(BU$1,Hiring_Plan_Months,0))</f>
        <v>110833.3333</v>
      </c>
      <c r="BV80" s="39">
        <f t="array" ref="BV80">INDEX(Hiring_Plan_Salaries_Sales,MATCH(BV$1,Hiring_Plan_Months,0))</f>
        <v>110833.3333</v>
      </c>
      <c r="BW80" s="39">
        <f t="array" ref="BW80">INDEX(Hiring_Plan_Salaries_Sales,MATCH(BW$1,Hiring_Plan_Months,0))</f>
        <v>110833.3333</v>
      </c>
    </row>
    <row r="81" ht="15.75" customHeight="1">
      <c r="A81" s="21" t="s">
        <v>312</v>
      </c>
      <c r="B81" s="163"/>
      <c r="C81" s="21"/>
      <c r="D81" s="157">
        <f t="shared" ref="D81:BW81" si="44">SUM(D77:D80)</f>
        <v>22946</v>
      </c>
      <c r="E81" s="157">
        <f t="shared" si="44"/>
        <v>25460</v>
      </c>
      <c r="F81" s="157">
        <f t="shared" si="44"/>
        <v>37962</v>
      </c>
      <c r="G81" s="157">
        <f t="shared" si="44"/>
        <v>38809</v>
      </c>
      <c r="H81" s="157">
        <f t="shared" si="44"/>
        <v>44215</v>
      </c>
      <c r="I81" s="157">
        <f t="shared" si="44"/>
        <v>39264</v>
      </c>
      <c r="J81" s="157">
        <f t="shared" si="44"/>
        <v>52535</v>
      </c>
      <c r="K81" s="157">
        <f t="shared" si="44"/>
        <v>53627</v>
      </c>
      <c r="L81" s="157">
        <f t="shared" si="44"/>
        <v>54490</v>
      </c>
      <c r="M81" s="157">
        <f t="shared" si="44"/>
        <v>63489</v>
      </c>
      <c r="N81" s="157">
        <f t="shared" si="44"/>
        <v>62077</v>
      </c>
      <c r="O81" s="157">
        <f t="shared" si="44"/>
        <v>71262</v>
      </c>
      <c r="P81" s="157">
        <f t="shared" si="44"/>
        <v>69404</v>
      </c>
      <c r="Q81" s="157">
        <f t="shared" si="44"/>
        <v>77488</v>
      </c>
      <c r="R81" s="157">
        <f t="shared" si="44"/>
        <v>79465</v>
      </c>
      <c r="S81" s="157">
        <f t="shared" si="44"/>
        <v>78632</v>
      </c>
      <c r="T81" s="157">
        <f t="shared" si="44"/>
        <v>83837</v>
      </c>
      <c r="U81" s="157">
        <f t="shared" si="44"/>
        <v>82817</v>
      </c>
      <c r="V81" s="157">
        <f t="shared" si="44"/>
        <v>83683</v>
      </c>
      <c r="W81" s="157">
        <f t="shared" si="44"/>
        <v>84440</v>
      </c>
      <c r="X81" s="157">
        <f t="shared" si="44"/>
        <v>87510</v>
      </c>
      <c r="Y81" s="157">
        <f t="shared" si="44"/>
        <v>90276</v>
      </c>
      <c r="Z81" s="157">
        <f t="shared" si="44"/>
        <v>95506</v>
      </c>
      <c r="AA81" s="157">
        <f t="shared" si="44"/>
        <v>97728</v>
      </c>
      <c r="AB81" s="157">
        <f t="shared" si="44"/>
        <v>97728</v>
      </c>
      <c r="AC81" s="157">
        <f t="shared" si="44"/>
        <v>104845</v>
      </c>
      <c r="AD81" s="157">
        <f t="shared" si="44"/>
        <v>84838</v>
      </c>
      <c r="AE81" s="157">
        <f t="shared" si="44"/>
        <v>81710</v>
      </c>
      <c r="AF81" s="157">
        <f t="shared" si="44"/>
        <v>86949.68952</v>
      </c>
      <c r="AG81" s="157">
        <f t="shared" si="44"/>
        <v>86758.16026</v>
      </c>
      <c r="AH81" s="157">
        <f t="shared" si="44"/>
        <v>87165.63572</v>
      </c>
      <c r="AI81" s="157">
        <f t="shared" si="44"/>
        <v>87709.18137</v>
      </c>
      <c r="AJ81" s="157">
        <f t="shared" si="44"/>
        <v>88591.76315</v>
      </c>
      <c r="AK81" s="157">
        <f t="shared" si="44"/>
        <v>111312.1166</v>
      </c>
      <c r="AL81" s="157">
        <f t="shared" si="44"/>
        <v>112259.1417</v>
      </c>
      <c r="AM81" s="157">
        <f t="shared" si="44"/>
        <v>134978.2493</v>
      </c>
      <c r="AN81" s="157">
        <f t="shared" si="44"/>
        <v>135974.7531</v>
      </c>
      <c r="AO81" s="157">
        <f t="shared" si="44"/>
        <v>158750.2156</v>
      </c>
      <c r="AP81" s="157">
        <f t="shared" si="44"/>
        <v>159800.2818</v>
      </c>
      <c r="AQ81" s="157">
        <f t="shared" si="44"/>
        <v>182628.0709</v>
      </c>
      <c r="AR81" s="157">
        <f t="shared" si="44"/>
        <v>183799.5398</v>
      </c>
      <c r="AS81" s="157">
        <f t="shared" si="44"/>
        <v>184962.457</v>
      </c>
      <c r="AT81" s="157">
        <f t="shared" si="44"/>
        <v>186185.3134</v>
      </c>
      <c r="AU81" s="157">
        <f t="shared" si="44"/>
        <v>187399.4964</v>
      </c>
      <c r="AV81" s="157">
        <f t="shared" si="44"/>
        <v>188673.1027</v>
      </c>
      <c r="AW81" s="157">
        <f t="shared" si="44"/>
        <v>190005.7623</v>
      </c>
      <c r="AX81" s="157">
        <f t="shared" si="44"/>
        <v>191328.9439</v>
      </c>
      <c r="AY81" s="157">
        <f t="shared" si="44"/>
        <v>192710.7969</v>
      </c>
      <c r="AZ81" s="157">
        <f t="shared" si="44"/>
        <v>194554.8708</v>
      </c>
      <c r="BA81" s="157">
        <f t="shared" si="44"/>
        <v>196454.2669</v>
      </c>
      <c r="BB81" s="157">
        <f t="shared" si="44"/>
        <v>198410.6449</v>
      </c>
      <c r="BC81" s="157">
        <f t="shared" si="44"/>
        <v>200425.7142</v>
      </c>
      <c r="BD81" s="157">
        <f t="shared" si="44"/>
        <v>202501.2357</v>
      </c>
      <c r="BE81" s="157">
        <f t="shared" si="44"/>
        <v>204639.0227</v>
      </c>
      <c r="BF81" s="157">
        <f t="shared" si="44"/>
        <v>206840.9434</v>
      </c>
      <c r="BG81" s="157">
        <f t="shared" si="44"/>
        <v>209108.9217</v>
      </c>
      <c r="BH81" s="157">
        <f t="shared" si="44"/>
        <v>211444.9394</v>
      </c>
      <c r="BI81" s="157">
        <f t="shared" si="44"/>
        <v>213851.0376</v>
      </c>
      <c r="BJ81" s="157">
        <f t="shared" si="44"/>
        <v>216329.3187</v>
      </c>
      <c r="BK81" s="157">
        <f t="shared" si="44"/>
        <v>218881.9482</v>
      </c>
      <c r="BL81" s="157">
        <f t="shared" si="44"/>
        <v>221511.1567</v>
      </c>
      <c r="BM81" s="157">
        <f t="shared" si="44"/>
        <v>224219.2414</v>
      </c>
      <c r="BN81" s="157">
        <f t="shared" si="44"/>
        <v>227008.5686</v>
      </c>
      <c r="BO81" s="157">
        <f t="shared" si="44"/>
        <v>229881.5757</v>
      </c>
      <c r="BP81" s="157">
        <f t="shared" si="44"/>
        <v>232840.773</v>
      </c>
      <c r="BQ81" s="157">
        <f t="shared" si="44"/>
        <v>235888.7461</v>
      </c>
      <c r="BR81" s="157">
        <f t="shared" si="44"/>
        <v>239028.1585</v>
      </c>
      <c r="BS81" s="157">
        <f t="shared" si="44"/>
        <v>242261.7533</v>
      </c>
      <c r="BT81" s="157">
        <f t="shared" si="44"/>
        <v>245592.3559</v>
      </c>
      <c r="BU81" s="157">
        <f t="shared" si="44"/>
        <v>249022.8766</v>
      </c>
      <c r="BV81" s="157">
        <f t="shared" si="44"/>
        <v>252556.3129</v>
      </c>
      <c r="BW81" s="157">
        <f t="shared" si="44"/>
        <v>256195.7522</v>
      </c>
    </row>
    <row r="82" ht="15.75" customHeight="1">
      <c r="A82" s="1" t="s">
        <v>313</v>
      </c>
      <c r="B82" s="160">
        <f>AVERAGEIFS(82:82,$1:$1,"&gt;="&amp;DATE(YEAR(Current_Month),MONTH(Current_Month)-2,DAY(Current_Month)),$1:$1,"&lt;="&amp;EOMONTH(Current_Month,0))</f>
        <v>4618.333333</v>
      </c>
      <c r="D82" s="76">
        <f t="array" ref="D82">INDEX(INDIRECT("PnL_"&amp;TEXT(D$1,"mmm")&amp;"_"&amp;TEXT(D$1,"yyyy")),MATCH(TRIM($A82),PnL_Accounts,0))</f>
        <v>77</v>
      </c>
      <c r="E82" s="76" t="str">
        <f t="array" ref="E82">INDEX(INDIRECT("PnL_"&amp;TEXT(E$1,"mmm")&amp;"_"&amp;TEXT(E$1,"yyyy")),MATCH(TRIM($A82),PnL_Accounts,0))</f>
        <v/>
      </c>
      <c r="F82" s="76" t="str">
        <f t="array" ref="F82">INDEX(INDIRECT("PnL_"&amp;TEXT(F$1,"mmm")&amp;"_"&amp;TEXT(F$1,"yyyy")),MATCH(TRIM($A82),PnL_Accounts,0))</f>
        <v/>
      </c>
      <c r="G82" s="76" t="str">
        <f t="array" ref="G82">INDEX(INDIRECT("PnL_"&amp;TEXT(G$1,"mmm")&amp;"_"&amp;TEXT(G$1,"yyyy")),MATCH(TRIM($A82),PnL_Accounts,0))</f>
        <v/>
      </c>
      <c r="H82" s="76" t="str">
        <f t="array" ref="H82">INDEX(INDIRECT("PnL_"&amp;TEXT(H$1,"mmm")&amp;"_"&amp;TEXT(H$1,"yyyy")),MATCH(TRIM($A82),PnL_Accounts,0))</f>
        <v/>
      </c>
      <c r="I82" s="76" t="str">
        <f t="array" ref="I82">INDEX(INDIRECT("PnL_"&amp;TEXT(I$1,"mmm")&amp;"_"&amp;TEXT(I$1,"yyyy")),MATCH(TRIM($A82),PnL_Accounts,0))</f>
        <v/>
      </c>
      <c r="J82" s="76" t="str">
        <f t="array" ref="J82">INDEX(INDIRECT("PnL_"&amp;TEXT(J$1,"mmm")&amp;"_"&amp;TEXT(J$1,"yyyy")),MATCH(TRIM($A82),PnL_Accounts,0))</f>
        <v/>
      </c>
      <c r="K82" s="76" t="str">
        <f t="array" ref="K82">INDEX(INDIRECT("PnL_"&amp;TEXT(K$1,"mmm")&amp;"_"&amp;TEXT(K$1,"yyyy")),MATCH(TRIM($A82),PnL_Accounts,0))</f>
        <v/>
      </c>
      <c r="L82" s="76" t="str">
        <f t="array" ref="L82">INDEX(INDIRECT("PnL_"&amp;TEXT(L$1,"mmm")&amp;"_"&amp;TEXT(L$1,"yyyy")),MATCH(TRIM($A82),PnL_Accounts,0))</f>
        <v/>
      </c>
      <c r="M82" s="76" t="str">
        <f t="array" ref="M82">INDEX(INDIRECT("PnL_"&amp;TEXT(M$1,"mmm")&amp;"_"&amp;TEXT(M$1,"yyyy")),MATCH(TRIM($A82),PnL_Accounts,0))</f>
        <v/>
      </c>
      <c r="N82" s="76" t="str">
        <f t="array" ref="N82">INDEX(INDIRECT("PnL_"&amp;TEXT(N$1,"mmm")&amp;"_"&amp;TEXT(N$1,"yyyy")),MATCH(TRIM($A82),PnL_Accounts,0))</f>
        <v/>
      </c>
      <c r="O82" s="76" t="str">
        <f t="array" ref="O82">INDEX(INDIRECT("PnL_"&amp;TEXT(O$1,"mmm")&amp;"_"&amp;TEXT(O$1,"yyyy")),MATCH(TRIM($A82),PnL_Accounts,0))</f>
        <v/>
      </c>
      <c r="P82" s="76">
        <f t="array" ref="P82">INDEX(INDIRECT("PnL_"&amp;TEXT(P$1,"mmm")&amp;"_"&amp;TEXT(P$1,"yyyy")),MATCH(TRIM($A82),PnL_Accounts,0))</f>
        <v>2042</v>
      </c>
      <c r="Q82" s="76">
        <f t="array" ref="Q82">INDEX(INDIRECT("PnL_"&amp;TEXT(Q$1,"mmm")&amp;"_"&amp;TEXT(Q$1,"yyyy")),MATCH(TRIM($A82),PnL_Accounts,0))</f>
        <v>2190</v>
      </c>
      <c r="R82" s="76">
        <f t="array" ref="R82">INDEX(INDIRECT("PnL_"&amp;TEXT(R$1,"mmm")&amp;"_"&amp;TEXT(R$1,"yyyy")),MATCH(TRIM($A82),PnL_Accounts,0))</f>
        <v>2465</v>
      </c>
      <c r="S82" s="76">
        <f t="array" ref="S82">INDEX(INDIRECT("PnL_"&amp;TEXT(S$1,"mmm")&amp;"_"&amp;TEXT(S$1,"yyyy")),MATCH(TRIM($A82),PnL_Accounts,0))</f>
        <v>2747</v>
      </c>
      <c r="T82" s="76">
        <f t="array" ref="T82">INDEX(INDIRECT("PnL_"&amp;TEXT(T$1,"mmm")&amp;"_"&amp;TEXT(T$1,"yyyy")),MATCH(TRIM($A82),PnL_Accounts,0))</f>
        <v>2874</v>
      </c>
      <c r="U82" s="76">
        <f t="array" ref="U82">INDEX(INDIRECT("PnL_"&amp;TEXT(U$1,"mmm")&amp;"_"&amp;TEXT(U$1,"yyyy")),MATCH(TRIM($A82),PnL_Accounts,0))</f>
        <v>3124</v>
      </c>
      <c r="V82" s="76">
        <f t="array" ref="V82">INDEX(INDIRECT("PnL_"&amp;TEXT(V$1,"mmm")&amp;"_"&amp;TEXT(V$1,"yyyy")),MATCH(TRIM($A82),PnL_Accounts,0))</f>
        <v>3274</v>
      </c>
      <c r="W82" s="76">
        <f t="array" ref="W82">INDEX(INDIRECT("PnL_"&amp;TEXT(W$1,"mmm")&amp;"_"&amp;TEXT(W$1,"yyyy")),MATCH(TRIM($A82),PnL_Accounts,0))</f>
        <v>3414</v>
      </c>
      <c r="X82" s="76">
        <f t="array" ref="X82">INDEX(INDIRECT("PnL_"&amp;TEXT(X$1,"mmm")&amp;"_"&amp;TEXT(X$1,"yyyy")),MATCH(TRIM($A82),PnL_Accounts,0))</f>
        <v>3414</v>
      </c>
      <c r="Y82" s="76">
        <f t="array" ref="Y82">INDEX(INDIRECT("PnL_"&amp;TEXT(Y$1,"mmm")&amp;"_"&amp;TEXT(Y$1,"yyyy")),MATCH(TRIM($A82),PnL_Accounts,0))</f>
        <v>3898</v>
      </c>
      <c r="Z82" s="76">
        <f t="array" ref="Z82">INDEX(INDIRECT("PnL_"&amp;TEXT(Z$1,"mmm")&amp;"_"&amp;TEXT(Z$1,"yyyy")),MATCH(TRIM($A82),PnL_Accounts,0))</f>
        <v>4129</v>
      </c>
      <c r="AA82" s="76">
        <f t="array" ref="AA82">INDEX(INDIRECT("PnL_"&amp;TEXT(AA$1,"mmm")&amp;"_"&amp;TEXT(AA$1,"yyyy")),MATCH(TRIM($A82),PnL_Accounts,0))</f>
        <v>4243</v>
      </c>
      <c r="AB82" s="76">
        <f t="array" ref="AB82">INDEX(INDIRECT("PnL_"&amp;TEXT(AB$1,"mmm")&amp;"_"&amp;TEXT(AB$1,"yyyy")),MATCH(TRIM($A82),PnL_Accounts,0))</f>
        <v>4243</v>
      </c>
      <c r="AC82" s="76">
        <f t="array" ref="AC82">INDEX(INDIRECT("PnL_"&amp;TEXT(AC$1,"mmm")&amp;"_"&amp;TEXT(AC$1,"yyyy")),MATCH(TRIM($A82),PnL_Accounts,0))</f>
        <v>4987</v>
      </c>
      <c r="AD82" s="76">
        <f t="array" ref="AD82">INDEX(INDIRECT("PnL_"&amp;TEXT(AD$1,"mmm")&amp;"_"&amp;TEXT(AD$1,"yyyy")),MATCH(TRIM($A82),PnL_Accounts,0))</f>
        <v>4756</v>
      </c>
      <c r="AE82" s="76">
        <f t="array" ref="AE82">INDEX(INDIRECT("PnL_"&amp;TEXT(AE$1,"mmm")&amp;"_"&amp;TEXT(AE$1,"yyyy")),MATCH(TRIM($A82),PnL_Accounts,0))</f>
        <v>4112</v>
      </c>
      <c r="AF82" s="96">
        <f t="shared" ref="AF82:BW82" si="45">$B82</f>
        <v>4618.333333</v>
      </c>
      <c r="AG82" s="96">
        <f t="shared" si="45"/>
        <v>4618.333333</v>
      </c>
      <c r="AH82" s="96">
        <f t="shared" si="45"/>
        <v>4618.333333</v>
      </c>
      <c r="AI82" s="96">
        <f t="shared" si="45"/>
        <v>4618.333333</v>
      </c>
      <c r="AJ82" s="96">
        <f t="shared" si="45"/>
        <v>4618.333333</v>
      </c>
      <c r="AK82" s="96">
        <f t="shared" si="45"/>
        <v>4618.333333</v>
      </c>
      <c r="AL82" s="96">
        <f t="shared" si="45"/>
        <v>4618.333333</v>
      </c>
      <c r="AM82" s="96">
        <f t="shared" si="45"/>
        <v>4618.333333</v>
      </c>
      <c r="AN82" s="96">
        <f t="shared" si="45"/>
        <v>4618.333333</v>
      </c>
      <c r="AO82" s="96">
        <f t="shared" si="45"/>
        <v>4618.333333</v>
      </c>
      <c r="AP82" s="96">
        <f t="shared" si="45"/>
        <v>4618.333333</v>
      </c>
      <c r="AQ82" s="96">
        <f t="shared" si="45"/>
        <v>4618.333333</v>
      </c>
      <c r="AR82" s="96">
        <f t="shared" si="45"/>
        <v>4618.333333</v>
      </c>
      <c r="AS82" s="96">
        <f t="shared" si="45"/>
        <v>4618.333333</v>
      </c>
      <c r="AT82" s="96">
        <f t="shared" si="45"/>
        <v>4618.333333</v>
      </c>
      <c r="AU82" s="96">
        <f t="shared" si="45"/>
        <v>4618.333333</v>
      </c>
      <c r="AV82" s="96">
        <f t="shared" si="45"/>
        <v>4618.333333</v>
      </c>
      <c r="AW82" s="96">
        <f t="shared" si="45"/>
        <v>4618.333333</v>
      </c>
      <c r="AX82" s="96">
        <f t="shared" si="45"/>
        <v>4618.333333</v>
      </c>
      <c r="AY82" s="96">
        <f t="shared" si="45"/>
        <v>4618.333333</v>
      </c>
      <c r="AZ82" s="96">
        <f t="shared" si="45"/>
        <v>4618.333333</v>
      </c>
      <c r="BA82" s="96">
        <f t="shared" si="45"/>
        <v>4618.333333</v>
      </c>
      <c r="BB82" s="96">
        <f t="shared" si="45"/>
        <v>4618.333333</v>
      </c>
      <c r="BC82" s="96">
        <f t="shared" si="45"/>
        <v>4618.333333</v>
      </c>
      <c r="BD82" s="96">
        <f t="shared" si="45"/>
        <v>4618.333333</v>
      </c>
      <c r="BE82" s="96">
        <f t="shared" si="45"/>
        <v>4618.333333</v>
      </c>
      <c r="BF82" s="96">
        <f t="shared" si="45"/>
        <v>4618.333333</v>
      </c>
      <c r="BG82" s="96">
        <f t="shared" si="45"/>
        <v>4618.333333</v>
      </c>
      <c r="BH82" s="96">
        <f t="shared" si="45"/>
        <v>4618.333333</v>
      </c>
      <c r="BI82" s="96">
        <f t="shared" si="45"/>
        <v>4618.333333</v>
      </c>
      <c r="BJ82" s="96">
        <f t="shared" si="45"/>
        <v>4618.333333</v>
      </c>
      <c r="BK82" s="96">
        <f t="shared" si="45"/>
        <v>4618.333333</v>
      </c>
      <c r="BL82" s="96">
        <f t="shared" si="45"/>
        <v>4618.333333</v>
      </c>
      <c r="BM82" s="96">
        <f t="shared" si="45"/>
        <v>4618.333333</v>
      </c>
      <c r="BN82" s="96">
        <f t="shared" si="45"/>
        <v>4618.333333</v>
      </c>
      <c r="BO82" s="96">
        <f t="shared" si="45"/>
        <v>4618.333333</v>
      </c>
      <c r="BP82" s="96">
        <f t="shared" si="45"/>
        <v>4618.333333</v>
      </c>
      <c r="BQ82" s="96">
        <f t="shared" si="45"/>
        <v>4618.333333</v>
      </c>
      <c r="BR82" s="96">
        <f t="shared" si="45"/>
        <v>4618.333333</v>
      </c>
      <c r="BS82" s="96">
        <f t="shared" si="45"/>
        <v>4618.333333</v>
      </c>
      <c r="BT82" s="96">
        <f t="shared" si="45"/>
        <v>4618.333333</v>
      </c>
      <c r="BU82" s="96">
        <f t="shared" si="45"/>
        <v>4618.333333</v>
      </c>
      <c r="BV82" s="96">
        <f t="shared" si="45"/>
        <v>4618.333333</v>
      </c>
      <c r="BW82" s="96">
        <f t="shared" si="45"/>
        <v>4618.333333</v>
      </c>
    </row>
    <row r="83" ht="15.75" customHeight="1">
      <c r="A83" s="21" t="s">
        <v>314</v>
      </c>
      <c r="B83" s="163"/>
      <c r="C83" s="21"/>
      <c r="D83" s="157">
        <f t="shared" ref="D83:BW83" si="46">SUM(D81:D82)</f>
        <v>23023</v>
      </c>
      <c r="E83" s="157">
        <f t="shared" si="46"/>
        <v>25460</v>
      </c>
      <c r="F83" s="157">
        <f t="shared" si="46"/>
        <v>37962</v>
      </c>
      <c r="G83" s="157">
        <f t="shared" si="46"/>
        <v>38809</v>
      </c>
      <c r="H83" s="157">
        <f t="shared" si="46"/>
        <v>44215</v>
      </c>
      <c r="I83" s="157">
        <f t="shared" si="46"/>
        <v>39264</v>
      </c>
      <c r="J83" s="157">
        <f t="shared" si="46"/>
        <v>52535</v>
      </c>
      <c r="K83" s="157">
        <f t="shared" si="46"/>
        <v>53627</v>
      </c>
      <c r="L83" s="157">
        <f t="shared" si="46"/>
        <v>54490</v>
      </c>
      <c r="M83" s="157">
        <f t="shared" si="46"/>
        <v>63489</v>
      </c>
      <c r="N83" s="157">
        <f t="shared" si="46"/>
        <v>62077</v>
      </c>
      <c r="O83" s="157">
        <f t="shared" si="46"/>
        <v>71262</v>
      </c>
      <c r="P83" s="157">
        <f t="shared" si="46"/>
        <v>71446</v>
      </c>
      <c r="Q83" s="157">
        <f t="shared" si="46"/>
        <v>79678</v>
      </c>
      <c r="R83" s="157">
        <f t="shared" si="46"/>
        <v>81930</v>
      </c>
      <c r="S83" s="157">
        <f t="shared" si="46"/>
        <v>81379</v>
      </c>
      <c r="T83" s="157">
        <f t="shared" si="46"/>
        <v>86711</v>
      </c>
      <c r="U83" s="157">
        <f t="shared" si="46"/>
        <v>85941</v>
      </c>
      <c r="V83" s="157">
        <f t="shared" si="46"/>
        <v>86957</v>
      </c>
      <c r="W83" s="157">
        <f t="shared" si="46"/>
        <v>87854</v>
      </c>
      <c r="X83" s="157">
        <f t="shared" si="46"/>
        <v>90924</v>
      </c>
      <c r="Y83" s="157">
        <f t="shared" si="46"/>
        <v>94174</v>
      </c>
      <c r="Z83" s="157">
        <f t="shared" si="46"/>
        <v>99635</v>
      </c>
      <c r="AA83" s="157">
        <f t="shared" si="46"/>
        <v>101971</v>
      </c>
      <c r="AB83" s="157">
        <f t="shared" si="46"/>
        <v>101971</v>
      </c>
      <c r="AC83" s="157">
        <f t="shared" si="46"/>
        <v>109832</v>
      </c>
      <c r="AD83" s="157">
        <f t="shared" si="46"/>
        <v>89594</v>
      </c>
      <c r="AE83" s="157">
        <f t="shared" si="46"/>
        <v>85822</v>
      </c>
      <c r="AF83" s="157">
        <f t="shared" si="46"/>
        <v>91568.02285</v>
      </c>
      <c r="AG83" s="157">
        <f t="shared" si="46"/>
        <v>91376.49359</v>
      </c>
      <c r="AH83" s="157">
        <f t="shared" si="46"/>
        <v>91783.96905</v>
      </c>
      <c r="AI83" s="157">
        <f t="shared" si="46"/>
        <v>92327.51471</v>
      </c>
      <c r="AJ83" s="157">
        <f t="shared" si="46"/>
        <v>93210.09648</v>
      </c>
      <c r="AK83" s="157">
        <f t="shared" si="46"/>
        <v>115930.4499</v>
      </c>
      <c r="AL83" s="157">
        <f t="shared" si="46"/>
        <v>116877.475</v>
      </c>
      <c r="AM83" s="157">
        <f t="shared" si="46"/>
        <v>139596.5827</v>
      </c>
      <c r="AN83" s="157">
        <f t="shared" si="46"/>
        <v>140593.0864</v>
      </c>
      <c r="AO83" s="157">
        <f t="shared" si="46"/>
        <v>163368.5489</v>
      </c>
      <c r="AP83" s="157">
        <f t="shared" si="46"/>
        <v>164418.6151</v>
      </c>
      <c r="AQ83" s="157">
        <f t="shared" si="46"/>
        <v>187246.4042</v>
      </c>
      <c r="AR83" s="157">
        <f t="shared" si="46"/>
        <v>188417.8731</v>
      </c>
      <c r="AS83" s="157">
        <f t="shared" si="46"/>
        <v>189580.7904</v>
      </c>
      <c r="AT83" s="157">
        <f t="shared" si="46"/>
        <v>190803.6468</v>
      </c>
      <c r="AU83" s="157">
        <f t="shared" si="46"/>
        <v>192017.8297</v>
      </c>
      <c r="AV83" s="157">
        <f t="shared" si="46"/>
        <v>193291.4361</v>
      </c>
      <c r="AW83" s="157">
        <f t="shared" si="46"/>
        <v>194624.0956</v>
      </c>
      <c r="AX83" s="157">
        <f t="shared" si="46"/>
        <v>195947.2772</v>
      </c>
      <c r="AY83" s="157">
        <f t="shared" si="46"/>
        <v>197329.1302</v>
      </c>
      <c r="AZ83" s="157">
        <f t="shared" si="46"/>
        <v>199173.2041</v>
      </c>
      <c r="BA83" s="157">
        <f t="shared" si="46"/>
        <v>201072.6002</v>
      </c>
      <c r="BB83" s="157">
        <f t="shared" si="46"/>
        <v>203028.9782</v>
      </c>
      <c r="BC83" s="157">
        <f t="shared" si="46"/>
        <v>205044.0476</v>
      </c>
      <c r="BD83" s="157">
        <f t="shared" si="46"/>
        <v>207119.569</v>
      </c>
      <c r="BE83" s="157">
        <f t="shared" si="46"/>
        <v>209257.3561</v>
      </c>
      <c r="BF83" s="157">
        <f t="shared" si="46"/>
        <v>211459.2768</v>
      </c>
      <c r="BG83" s="157">
        <f t="shared" si="46"/>
        <v>213727.2551</v>
      </c>
      <c r="BH83" s="157">
        <f t="shared" si="46"/>
        <v>216063.2727</v>
      </c>
      <c r="BI83" s="157">
        <f t="shared" si="46"/>
        <v>218469.3709</v>
      </c>
      <c r="BJ83" s="157">
        <f t="shared" si="46"/>
        <v>220947.652</v>
      </c>
      <c r="BK83" s="157">
        <f t="shared" si="46"/>
        <v>223500.2816</v>
      </c>
      <c r="BL83" s="157">
        <f t="shared" si="46"/>
        <v>226129.49</v>
      </c>
      <c r="BM83" s="157">
        <f t="shared" si="46"/>
        <v>228837.5747</v>
      </c>
      <c r="BN83" s="157">
        <f t="shared" si="46"/>
        <v>231626.902</v>
      </c>
      <c r="BO83" s="157">
        <f t="shared" si="46"/>
        <v>234499.909</v>
      </c>
      <c r="BP83" s="157">
        <f t="shared" si="46"/>
        <v>237459.1063</v>
      </c>
      <c r="BQ83" s="157">
        <f t="shared" si="46"/>
        <v>240507.0795</v>
      </c>
      <c r="BR83" s="157">
        <f t="shared" si="46"/>
        <v>243646.4919</v>
      </c>
      <c r="BS83" s="157">
        <f t="shared" si="46"/>
        <v>246880.0866</v>
      </c>
      <c r="BT83" s="157">
        <f t="shared" si="46"/>
        <v>250210.6892</v>
      </c>
      <c r="BU83" s="157">
        <f t="shared" si="46"/>
        <v>253641.2099</v>
      </c>
      <c r="BV83" s="157">
        <f t="shared" si="46"/>
        <v>257174.6462</v>
      </c>
      <c r="BW83" s="157">
        <f t="shared" si="46"/>
        <v>260814.0856</v>
      </c>
    </row>
    <row r="84" ht="15.75" customHeight="1">
      <c r="A84" s="21" t="s">
        <v>315</v>
      </c>
      <c r="B84" s="163"/>
      <c r="C84" s="21"/>
      <c r="D84" s="147">
        <f t="shared" ref="D84:BW84" si="47">SUM(D74,D83)</f>
        <v>73853</v>
      </c>
      <c r="E84" s="147">
        <f t="shared" si="47"/>
        <v>78981</v>
      </c>
      <c r="F84" s="147">
        <f t="shared" si="47"/>
        <v>93782</v>
      </c>
      <c r="G84" s="147">
        <f t="shared" si="47"/>
        <v>97541</v>
      </c>
      <c r="H84" s="147">
        <f t="shared" si="47"/>
        <v>106578</v>
      </c>
      <c r="I84" s="147">
        <f t="shared" si="47"/>
        <v>103848</v>
      </c>
      <c r="J84" s="147">
        <f t="shared" si="47"/>
        <v>132921</v>
      </c>
      <c r="K84" s="147">
        <f t="shared" si="47"/>
        <v>139510</v>
      </c>
      <c r="L84" s="147">
        <f t="shared" si="47"/>
        <v>163781</v>
      </c>
      <c r="M84" s="147">
        <f t="shared" si="47"/>
        <v>184803</v>
      </c>
      <c r="N84" s="147">
        <f t="shared" si="47"/>
        <v>204504</v>
      </c>
      <c r="O84" s="147">
        <f t="shared" si="47"/>
        <v>224017</v>
      </c>
      <c r="P84" s="147">
        <f t="shared" si="47"/>
        <v>236691</v>
      </c>
      <c r="Q84" s="147">
        <f t="shared" si="47"/>
        <v>266218</v>
      </c>
      <c r="R84" s="147">
        <f t="shared" si="47"/>
        <v>270508</v>
      </c>
      <c r="S84" s="147">
        <f t="shared" si="47"/>
        <v>268262</v>
      </c>
      <c r="T84" s="147">
        <f t="shared" si="47"/>
        <v>288544</v>
      </c>
      <c r="U84" s="147">
        <f t="shared" si="47"/>
        <v>285526</v>
      </c>
      <c r="V84" s="147">
        <f t="shared" si="47"/>
        <v>284126</v>
      </c>
      <c r="W84" s="147">
        <f t="shared" si="47"/>
        <v>287045</v>
      </c>
      <c r="X84" s="147">
        <f t="shared" si="47"/>
        <v>294322</v>
      </c>
      <c r="Y84" s="147">
        <f t="shared" si="47"/>
        <v>277501</v>
      </c>
      <c r="Z84" s="147">
        <f t="shared" si="47"/>
        <v>294377</v>
      </c>
      <c r="AA84" s="147">
        <f t="shared" si="47"/>
        <v>308676</v>
      </c>
      <c r="AB84" s="147">
        <f t="shared" si="47"/>
        <v>312682</v>
      </c>
      <c r="AC84" s="147">
        <f t="shared" si="47"/>
        <v>326880</v>
      </c>
      <c r="AD84" s="147">
        <f t="shared" si="47"/>
        <v>296642</v>
      </c>
      <c r="AE84" s="147">
        <f t="shared" si="47"/>
        <v>284575</v>
      </c>
      <c r="AF84" s="147">
        <f t="shared" si="47"/>
        <v>275628.6895</v>
      </c>
      <c r="AG84" s="147">
        <f t="shared" si="47"/>
        <v>290437.1603</v>
      </c>
      <c r="AH84" s="147">
        <f t="shared" si="47"/>
        <v>305844.6357</v>
      </c>
      <c r="AI84" s="147">
        <f t="shared" si="47"/>
        <v>321388.1814</v>
      </c>
      <c r="AJ84" s="147">
        <f t="shared" si="47"/>
        <v>337270.7631</v>
      </c>
      <c r="AK84" s="147">
        <f t="shared" si="47"/>
        <v>384907.7833</v>
      </c>
      <c r="AL84" s="147">
        <f t="shared" si="47"/>
        <v>400854.8084</v>
      </c>
      <c r="AM84" s="147">
        <f t="shared" si="47"/>
        <v>448490.5827</v>
      </c>
      <c r="AN84" s="147">
        <f t="shared" si="47"/>
        <v>464487.0864</v>
      </c>
      <c r="AO84" s="147">
        <f t="shared" si="47"/>
        <v>512179.2156</v>
      </c>
      <c r="AP84" s="147">
        <f t="shared" si="47"/>
        <v>528229.2818</v>
      </c>
      <c r="AQ84" s="147">
        <f t="shared" si="47"/>
        <v>575973.7376</v>
      </c>
      <c r="AR84" s="147">
        <f t="shared" si="47"/>
        <v>592145.2065</v>
      </c>
      <c r="AS84" s="147">
        <f t="shared" si="47"/>
        <v>608308.1237</v>
      </c>
      <c r="AT84" s="147">
        <f t="shared" si="47"/>
        <v>624530.9801</v>
      </c>
      <c r="AU84" s="147">
        <f t="shared" si="47"/>
        <v>640745.163</v>
      </c>
      <c r="AV84" s="147">
        <f t="shared" si="47"/>
        <v>657018.7694</v>
      </c>
      <c r="AW84" s="147">
        <f t="shared" si="47"/>
        <v>673351.429</v>
      </c>
      <c r="AX84" s="147">
        <f t="shared" si="47"/>
        <v>689674.6105</v>
      </c>
      <c r="AY84" s="147">
        <f t="shared" si="47"/>
        <v>706056.4635</v>
      </c>
      <c r="AZ84" s="147">
        <f t="shared" si="47"/>
        <v>699496.6998</v>
      </c>
      <c r="BA84" s="147">
        <f t="shared" si="47"/>
        <v>713096.4579</v>
      </c>
      <c r="BB84" s="147">
        <f t="shared" si="47"/>
        <v>725243.5248</v>
      </c>
      <c r="BC84" s="147">
        <f t="shared" si="47"/>
        <v>735433.0104</v>
      </c>
      <c r="BD84" s="147">
        <f t="shared" si="47"/>
        <v>743166.3611</v>
      </c>
      <c r="BE84" s="147">
        <f t="shared" si="47"/>
        <v>754634.7626</v>
      </c>
      <c r="BF84" s="147">
        <f t="shared" si="47"/>
        <v>765548.3403</v>
      </c>
      <c r="BG84" s="147">
        <f t="shared" si="47"/>
        <v>776141.6653</v>
      </c>
      <c r="BH84" s="147">
        <f t="shared" si="47"/>
        <v>786842.4514</v>
      </c>
      <c r="BI84" s="147">
        <f t="shared" si="47"/>
        <v>798320.347</v>
      </c>
      <c r="BJ84" s="147">
        <f t="shared" si="47"/>
        <v>809802.8248</v>
      </c>
      <c r="BK84" s="147">
        <f t="shared" si="47"/>
        <v>821436.0598</v>
      </c>
      <c r="BL84" s="147">
        <f t="shared" si="47"/>
        <v>833343.1407</v>
      </c>
      <c r="BM84" s="147">
        <f t="shared" si="47"/>
        <v>845567.5928</v>
      </c>
      <c r="BN84" s="147">
        <f t="shared" si="47"/>
        <v>857989.4052</v>
      </c>
      <c r="BO84" s="147">
        <f t="shared" si="47"/>
        <v>870659.0008</v>
      </c>
      <c r="BP84" s="147">
        <f t="shared" si="47"/>
        <v>883601.7953</v>
      </c>
      <c r="BQ84" s="147">
        <f t="shared" si="47"/>
        <v>896817.6948</v>
      </c>
      <c r="BR84" s="147">
        <f t="shared" si="47"/>
        <v>910295.2151</v>
      </c>
      <c r="BS84" s="147">
        <f t="shared" si="47"/>
        <v>924051.2203</v>
      </c>
      <c r="BT84" s="147">
        <f t="shared" si="47"/>
        <v>938093.8117</v>
      </c>
      <c r="BU84" s="147">
        <f t="shared" si="47"/>
        <v>952426.5707</v>
      </c>
      <c r="BV84" s="147">
        <f t="shared" si="47"/>
        <v>967054.0412</v>
      </c>
      <c r="BW84" s="147">
        <f t="shared" si="47"/>
        <v>981984.9562</v>
      </c>
    </row>
    <row r="85" ht="15.75" customHeight="1">
      <c r="A85" s="31" t="s">
        <v>244</v>
      </c>
      <c r="B85" s="159"/>
      <c r="D85" s="76">
        <f t="array" ref="D85">INDEX(INDIRECT("PnL_"&amp;TEXT(D$1,"mmm")&amp;"_"&amp;TEXT(D$1,"yyyy")),MATCH(TRIM($A84),PnL_Accounts,0))-D84</f>
        <v>0</v>
      </c>
      <c r="E85" s="76">
        <f t="array" ref="E85">INDEX(INDIRECT("PnL_"&amp;TEXT(E$1,"mmm")&amp;"_"&amp;TEXT(E$1,"yyyy")),MATCH(TRIM($A84),PnL_Accounts,0))-E84</f>
        <v>0</v>
      </c>
      <c r="F85" s="76">
        <f t="array" ref="F85">INDEX(INDIRECT("PnL_"&amp;TEXT(F$1,"mmm")&amp;"_"&amp;TEXT(F$1,"yyyy")),MATCH(TRIM($A84),PnL_Accounts,0))-F84</f>
        <v>0</v>
      </c>
      <c r="G85" s="76">
        <f t="array" ref="G85">INDEX(INDIRECT("PnL_"&amp;TEXT(G$1,"mmm")&amp;"_"&amp;TEXT(G$1,"yyyy")),MATCH(TRIM($A84),PnL_Accounts,0))-G84</f>
        <v>0</v>
      </c>
      <c r="H85" s="76">
        <f t="array" ref="H85">INDEX(INDIRECT("PnL_"&amp;TEXT(H$1,"mmm")&amp;"_"&amp;TEXT(H$1,"yyyy")),MATCH(TRIM($A84),PnL_Accounts,0))-H84</f>
        <v>0</v>
      </c>
      <c r="I85" s="76">
        <f t="array" ref="I85">INDEX(INDIRECT("PnL_"&amp;TEXT(I$1,"mmm")&amp;"_"&amp;TEXT(I$1,"yyyy")),MATCH(TRIM($A84),PnL_Accounts,0))-I84</f>
        <v>0</v>
      </c>
      <c r="J85" s="76">
        <f t="array" ref="J85">INDEX(INDIRECT("PnL_"&amp;TEXT(J$1,"mmm")&amp;"_"&amp;TEXT(J$1,"yyyy")),MATCH(TRIM($A84),PnL_Accounts,0))-J84</f>
        <v>0</v>
      </c>
      <c r="K85" s="76">
        <f t="array" ref="K85">INDEX(INDIRECT("PnL_"&amp;TEXT(K$1,"mmm")&amp;"_"&amp;TEXT(K$1,"yyyy")),MATCH(TRIM($A84),PnL_Accounts,0))-K84</f>
        <v>0</v>
      </c>
      <c r="L85" s="76">
        <f t="array" ref="L85">INDEX(INDIRECT("PnL_"&amp;TEXT(L$1,"mmm")&amp;"_"&amp;TEXT(L$1,"yyyy")),MATCH(TRIM($A84),PnL_Accounts,0))-L84</f>
        <v>0</v>
      </c>
      <c r="M85" s="76">
        <f t="array" ref="M85">INDEX(INDIRECT("PnL_"&amp;TEXT(M$1,"mmm")&amp;"_"&amp;TEXT(M$1,"yyyy")),MATCH(TRIM($A84),PnL_Accounts,0))-M84</f>
        <v>0</v>
      </c>
      <c r="N85" s="76">
        <f t="array" ref="N85">INDEX(INDIRECT("PnL_"&amp;TEXT(N$1,"mmm")&amp;"_"&amp;TEXT(N$1,"yyyy")),MATCH(TRIM($A84),PnL_Accounts,0))-N84</f>
        <v>0</v>
      </c>
      <c r="O85" s="76">
        <f t="array" ref="O85">INDEX(INDIRECT("PnL_"&amp;TEXT(O$1,"mmm")&amp;"_"&amp;TEXT(O$1,"yyyy")),MATCH(TRIM($A84),PnL_Accounts,0))-O84</f>
        <v>0</v>
      </c>
      <c r="P85" s="76">
        <f t="array" ref="P85">INDEX(INDIRECT("PnL_"&amp;TEXT(P$1,"mmm")&amp;"_"&amp;TEXT(P$1,"yyyy")),MATCH(TRIM($A84),PnL_Accounts,0))-P84</f>
        <v>0</v>
      </c>
      <c r="Q85" s="76">
        <f t="array" ref="Q85">INDEX(INDIRECT("PnL_"&amp;TEXT(Q$1,"mmm")&amp;"_"&amp;TEXT(Q$1,"yyyy")),MATCH(TRIM($A84),PnL_Accounts,0))-Q84</f>
        <v>0</v>
      </c>
      <c r="R85" s="76">
        <f t="array" ref="R85">INDEX(INDIRECT("PnL_"&amp;TEXT(R$1,"mmm")&amp;"_"&amp;TEXT(R$1,"yyyy")),MATCH(TRIM($A84),PnL_Accounts,0))-R84</f>
        <v>0</v>
      </c>
      <c r="S85" s="76">
        <f t="array" ref="S85">INDEX(INDIRECT("PnL_"&amp;TEXT(S$1,"mmm")&amp;"_"&amp;TEXT(S$1,"yyyy")),MATCH(TRIM($A84),PnL_Accounts,0))-S84</f>
        <v>0</v>
      </c>
      <c r="T85" s="76">
        <f t="array" ref="T85">INDEX(INDIRECT("PnL_"&amp;TEXT(T$1,"mmm")&amp;"_"&amp;TEXT(T$1,"yyyy")),MATCH(TRIM($A84),PnL_Accounts,0))-T84</f>
        <v>0</v>
      </c>
      <c r="U85" s="76">
        <f t="array" ref="U85">INDEX(INDIRECT("PnL_"&amp;TEXT(U$1,"mmm")&amp;"_"&amp;TEXT(U$1,"yyyy")),MATCH(TRIM($A84),PnL_Accounts,0))-U84</f>
        <v>0</v>
      </c>
      <c r="V85" s="76">
        <f t="array" ref="V85">INDEX(INDIRECT("PnL_"&amp;TEXT(V$1,"mmm")&amp;"_"&amp;TEXT(V$1,"yyyy")),MATCH(TRIM($A84),PnL_Accounts,0))-V84</f>
        <v>0</v>
      </c>
      <c r="W85" s="76">
        <f t="array" ref="W85">INDEX(INDIRECT("PnL_"&amp;TEXT(W$1,"mmm")&amp;"_"&amp;TEXT(W$1,"yyyy")),MATCH(TRIM($A84),PnL_Accounts,0))-W84</f>
        <v>0</v>
      </c>
      <c r="X85" s="76">
        <f t="array" ref="X85">INDEX(INDIRECT("PnL_"&amp;TEXT(X$1,"mmm")&amp;"_"&amp;TEXT(X$1,"yyyy")),MATCH(TRIM($A84),PnL_Accounts,0))-X84</f>
        <v>0</v>
      </c>
      <c r="Y85" s="76">
        <f t="array" ref="Y85">INDEX(INDIRECT("PnL_"&amp;TEXT(Y$1,"mmm")&amp;"_"&amp;TEXT(Y$1,"yyyy")),MATCH(TRIM($A84),PnL_Accounts,0))-Y84</f>
        <v>0</v>
      </c>
      <c r="Z85" s="76">
        <f t="array" ref="Z85">INDEX(INDIRECT("PnL_"&amp;TEXT(Z$1,"mmm")&amp;"_"&amp;TEXT(Z$1,"yyyy")),MATCH(TRIM($A84),PnL_Accounts,0))-Z84</f>
        <v>0</v>
      </c>
      <c r="AA85" s="76">
        <f t="array" ref="AA85">INDEX(INDIRECT("PnL_"&amp;TEXT(AA$1,"mmm")&amp;"_"&amp;TEXT(AA$1,"yyyy")),MATCH(TRIM($A84),PnL_Accounts,0))-AA84</f>
        <v>0</v>
      </c>
      <c r="AB85" s="76">
        <f t="array" ref="AB85">INDEX(INDIRECT("PnL_"&amp;TEXT(AB$1,"mmm")&amp;"_"&amp;TEXT(AB$1,"yyyy")),MATCH(TRIM($A84),PnL_Accounts,0))-AB84</f>
        <v>0</v>
      </c>
      <c r="AC85" s="76">
        <f t="array" ref="AC85">INDEX(INDIRECT("PnL_"&amp;TEXT(AC$1,"mmm")&amp;"_"&amp;TEXT(AC$1,"yyyy")),MATCH(TRIM($A84),PnL_Accounts,0))-AC84</f>
        <v>0</v>
      </c>
      <c r="AD85" s="76">
        <f t="array" ref="AD85">INDEX(INDIRECT("PnL_"&amp;TEXT(AD$1,"mmm")&amp;"_"&amp;TEXT(AD$1,"yyyy")),MATCH(TRIM($A84),PnL_Accounts,0))-AD84</f>
        <v>0</v>
      </c>
      <c r="AE85" s="76">
        <f t="array" ref="AE85">INDEX(INDIRECT("PnL_"&amp;TEXT(AE$1,"mmm")&amp;"_"&amp;TEXT(AE$1,"yyyy")),MATCH(TRIM($A84),PnL_Accounts,0))-AE84</f>
        <v>0</v>
      </c>
    </row>
    <row r="86" ht="15.75" customHeight="1">
      <c r="A86" s="21" t="s">
        <v>18</v>
      </c>
      <c r="B86" s="161"/>
      <c r="C86" s="157"/>
      <c r="D86" s="157">
        <f t="shared" ref="D86:BW86" si="48">SUM(D84,D62,D30)</f>
        <v>328011</v>
      </c>
      <c r="E86" s="157">
        <f t="shared" si="48"/>
        <v>342504</v>
      </c>
      <c r="F86" s="157">
        <f t="shared" si="48"/>
        <v>373037</v>
      </c>
      <c r="G86" s="157">
        <f t="shared" si="48"/>
        <v>378693</v>
      </c>
      <c r="H86" s="157">
        <f t="shared" si="48"/>
        <v>389569</v>
      </c>
      <c r="I86" s="157">
        <f t="shared" si="48"/>
        <v>400628</v>
      </c>
      <c r="J86" s="157">
        <f t="shared" si="48"/>
        <v>433445</v>
      </c>
      <c r="K86" s="157">
        <f t="shared" si="48"/>
        <v>441986</v>
      </c>
      <c r="L86" s="157">
        <f t="shared" si="48"/>
        <v>476779</v>
      </c>
      <c r="M86" s="157">
        <f t="shared" si="48"/>
        <v>501961</v>
      </c>
      <c r="N86" s="157">
        <f t="shared" si="48"/>
        <v>523426</v>
      </c>
      <c r="O86" s="157">
        <f t="shared" si="48"/>
        <v>555326</v>
      </c>
      <c r="P86" s="157">
        <f t="shared" si="48"/>
        <v>570318</v>
      </c>
      <c r="Q86" s="157">
        <f t="shared" si="48"/>
        <v>603679</v>
      </c>
      <c r="R86" s="157">
        <f t="shared" si="48"/>
        <v>612058</v>
      </c>
      <c r="S86" s="157">
        <f t="shared" si="48"/>
        <v>612015</v>
      </c>
      <c r="T86" s="157">
        <f t="shared" si="48"/>
        <v>642491</v>
      </c>
      <c r="U86" s="157">
        <f t="shared" si="48"/>
        <v>638079</v>
      </c>
      <c r="V86" s="157">
        <f t="shared" si="48"/>
        <v>637176</v>
      </c>
      <c r="W86" s="157">
        <f t="shared" si="48"/>
        <v>643183</v>
      </c>
      <c r="X86" s="157">
        <f t="shared" si="48"/>
        <v>652025</v>
      </c>
      <c r="Y86" s="157">
        <f t="shared" si="48"/>
        <v>649057</v>
      </c>
      <c r="Z86" s="157">
        <f t="shared" si="48"/>
        <v>668368</v>
      </c>
      <c r="AA86" s="157">
        <f t="shared" si="48"/>
        <v>689501</v>
      </c>
      <c r="AB86" s="157">
        <f t="shared" si="48"/>
        <v>693794</v>
      </c>
      <c r="AC86" s="157">
        <f t="shared" si="48"/>
        <v>723324</v>
      </c>
      <c r="AD86" s="157">
        <f t="shared" si="48"/>
        <v>663911</v>
      </c>
      <c r="AE86" s="157">
        <f t="shared" si="48"/>
        <v>650853</v>
      </c>
      <c r="AF86" s="157">
        <f t="shared" si="48"/>
        <v>583176.8562</v>
      </c>
      <c r="AG86" s="157">
        <f t="shared" si="48"/>
        <v>597985.3269</v>
      </c>
      <c r="AH86" s="157">
        <f t="shared" si="48"/>
        <v>613392.8024</v>
      </c>
      <c r="AI86" s="157">
        <f t="shared" si="48"/>
        <v>634190.1814</v>
      </c>
      <c r="AJ86" s="157">
        <f t="shared" si="48"/>
        <v>650072.7631</v>
      </c>
      <c r="AK86" s="157">
        <f t="shared" si="48"/>
        <v>720884.4499</v>
      </c>
      <c r="AL86" s="157">
        <f t="shared" si="48"/>
        <v>736831.475</v>
      </c>
      <c r="AM86" s="157">
        <f t="shared" si="48"/>
        <v>784467.2493</v>
      </c>
      <c r="AN86" s="157">
        <f t="shared" si="48"/>
        <v>817442.9197</v>
      </c>
      <c r="AO86" s="157">
        <f t="shared" si="48"/>
        <v>865135.0489</v>
      </c>
      <c r="AP86" s="157">
        <f t="shared" si="48"/>
        <v>881185.1151</v>
      </c>
      <c r="AQ86" s="157">
        <f t="shared" si="48"/>
        <v>945908.7376</v>
      </c>
      <c r="AR86" s="157">
        <f t="shared" si="48"/>
        <v>962080.2065</v>
      </c>
      <c r="AS86" s="157">
        <f t="shared" si="48"/>
        <v>978243.1237</v>
      </c>
      <c r="AT86" s="157">
        <f t="shared" si="48"/>
        <v>1012104.313</v>
      </c>
      <c r="AU86" s="157">
        <f t="shared" si="48"/>
        <v>1028318.496</v>
      </c>
      <c r="AV86" s="157">
        <f t="shared" si="48"/>
        <v>1044592.103</v>
      </c>
      <c r="AW86" s="157">
        <f t="shared" si="48"/>
        <v>1076962.262</v>
      </c>
      <c r="AX86" s="157">
        <f t="shared" si="48"/>
        <v>1093285.444</v>
      </c>
      <c r="AY86" s="157">
        <f t="shared" si="48"/>
        <v>1109667.297</v>
      </c>
      <c r="AZ86" s="157">
        <f t="shared" si="48"/>
        <v>1119145.033</v>
      </c>
      <c r="BA86" s="157">
        <f t="shared" si="48"/>
        <v>1132744.791</v>
      </c>
      <c r="BB86" s="157">
        <f t="shared" si="48"/>
        <v>1144891.858</v>
      </c>
      <c r="BC86" s="157">
        <f t="shared" si="48"/>
        <v>1171118.844</v>
      </c>
      <c r="BD86" s="157">
        <f t="shared" si="48"/>
        <v>1178852.194</v>
      </c>
      <c r="BE86" s="157">
        <f t="shared" si="48"/>
        <v>1190320.596</v>
      </c>
      <c r="BF86" s="157">
        <f t="shared" si="48"/>
        <v>1217271.674</v>
      </c>
      <c r="BG86" s="157">
        <f t="shared" si="48"/>
        <v>1227864.999</v>
      </c>
      <c r="BH86" s="157">
        <f t="shared" si="48"/>
        <v>1238565.785</v>
      </c>
      <c r="BI86" s="157">
        <f t="shared" si="48"/>
        <v>1266081.18</v>
      </c>
      <c r="BJ86" s="157">
        <f t="shared" si="48"/>
        <v>1277563.658</v>
      </c>
      <c r="BK86" s="157">
        <f t="shared" si="48"/>
        <v>1289196.893</v>
      </c>
      <c r="BL86" s="157">
        <f t="shared" si="48"/>
        <v>1317141.474</v>
      </c>
      <c r="BM86" s="157">
        <f t="shared" si="48"/>
        <v>1329365.926</v>
      </c>
      <c r="BN86" s="157">
        <f t="shared" si="48"/>
        <v>1341787.738</v>
      </c>
      <c r="BO86" s="157">
        <f t="shared" si="48"/>
        <v>1370494.834</v>
      </c>
      <c r="BP86" s="157">
        <f t="shared" si="48"/>
        <v>1383437.629</v>
      </c>
      <c r="BQ86" s="157">
        <f t="shared" si="48"/>
        <v>1396653.528</v>
      </c>
      <c r="BR86" s="157">
        <f t="shared" si="48"/>
        <v>1426168.548</v>
      </c>
      <c r="BS86" s="157">
        <f t="shared" si="48"/>
        <v>1439924.554</v>
      </c>
      <c r="BT86" s="157">
        <f t="shared" si="48"/>
        <v>1453967.145</v>
      </c>
      <c r="BU86" s="157">
        <f t="shared" si="48"/>
        <v>1468299.904</v>
      </c>
      <c r="BV86" s="157">
        <f t="shared" si="48"/>
        <v>1482927.375</v>
      </c>
      <c r="BW86" s="157">
        <f t="shared" si="48"/>
        <v>1497858.29</v>
      </c>
    </row>
    <row r="87" ht="15.75" customHeight="1">
      <c r="A87" s="21" t="s">
        <v>316</v>
      </c>
      <c r="B87" s="163"/>
      <c r="C87" s="21"/>
      <c r="D87" s="147">
        <f t="shared" ref="D87:BW87" si="49">D20-D86</f>
        <v>-89438</v>
      </c>
      <c r="E87" s="147">
        <f t="shared" si="49"/>
        <v>-88124</v>
      </c>
      <c r="F87" s="147">
        <f t="shared" si="49"/>
        <v>-102956</v>
      </c>
      <c r="G87" s="147">
        <f t="shared" si="49"/>
        <v>-94595</v>
      </c>
      <c r="H87" s="147">
        <f t="shared" si="49"/>
        <v>-82065</v>
      </c>
      <c r="I87" s="147">
        <f t="shared" si="49"/>
        <v>-78132</v>
      </c>
      <c r="J87" s="147">
        <f t="shared" si="49"/>
        <v>-94045</v>
      </c>
      <c r="K87" s="147">
        <f t="shared" si="49"/>
        <v>-89766</v>
      </c>
      <c r="L87" s="147">
        <f t="shared" si="49"/>
        <v>-114445</v>
      </c>
      <c r="M87" s="147">
        <f t="shared" si="49"/>
        <v>-131881</v>
      </c>
      <c r="N87" s="147">
        <f t="shared" si="49"/>
        <v>-140597</v>
      </c>
      <c r="O87" s="147">
        <f t="shared" si="49"/>
        <v>-177194</v>
      </c>
      <c r="P87" s="147">
        <f t="shared" si="49"/>
        <v>-177124</v>
      </c>
      <c r="Q87" s="147">
        <f t="shared" si="49"/>
        <v>-189575</v>
      </c>
      <c r="R87" s="147">
        <f t="shared" si="49"/>
        <v>-184131</v>
      </c>
      <c r="S87" s="147">
        <f t="shared" si="49"/>
        <v>-128941</v>
      </c>
      <c r="T87" s="147">
        <f t="shared" si="49"/>
        <v>-151754</v>
      </c>
      <c r="U87" s="147">
        <f t="shared" si="49"/>
        <v>-122283</v>
      </c>
      <c r="V87" s="147">
        <f t="shared" si="49"/>
        <v>-102474</v>
      </c>
      <c r="W87" s="147">
        <f t="shared" si="49"/>
        <v>-82495</v>
      </c>
      <c r="X87" s="147">
        <f t="shared" si="49"/>
        <v>-60038</v>
      </c>
      <c r="Y87" s="147">
        <f t="shared" si="49"/>
        <v>-27320</v>
      </c>
      <c r="Z87" s="147">
        <f t="shared" si="49"/>
        <v>-18905</v>
      </c>
      <c r="AA87" s="147">
        <f t="shared" si="49"/>
        <v>-24211</v>
      </c>
      <c r="AB87" s="147">
        <f t="shared" si="49"/>
        <v>-13824</v>
      </c>
      <c r="AC87" s="147">
        <f t="shared" si="49"/>
        <v>-26169</v>
      </c>
      <c r="AD87" s="147">
        <f t="shared" si="49"/>
        <v>8407.19</v>
      </c>
      <c r="AE87" s="147">
        <f t="shared" si="49"/>
        <v>-117</v>
      </c>
      <c r="AF87" s="147">
        <f t="shared" si="49"/>
        <v>53348.16634</v>
      </c>
      <c r="AG87" s="147">
        <f t="shared" si="49"/>
        <v>35365.85445</v>
      </c>
      <c r="AH87" s="147">
        <f t="shared" si="49"/>
        <v>26710.67568</v>
      </c>
      <c r="AI87" s="147">
        <f t="shared" si="49"/>
        <v>14920.41946</v>
      </c>
      <c r="AJ87" s="147">
        <f t="shared" si="49"/>
        <v>13663.14536</v>
      </c>
      <c r="AK87" s="147">
        <f t="shared" si="49"/>
        <v>-48549.72979</v>
      </c>
      <c r="AL87" s="147">
        <f t="shared" si="49"/>
        <v>-48803.55373</v>
      </c>
      <c r="AM87" s="147">
        <f t="shared" si="49"/>
        <v>-88331.99409</v>
      </c>
      <c r="AN87" s="147">
        <f t="shared" si="49"/>
        <v>-104794.5498</v>
      </c>
      <c r="AO87" s="147">
        <f t="shared" si="49"/>
        <v>-142974.6528</v>
      </c>
      <c r="AP87" s="147">
        <f t="shared" si="49"/>
        <v>-141624.0182</v>
      </c>
      <c r="AQ87" s="147">
        <f t="shared" si="49"/>
        <v>-187935.1735</v>
      </c>
      <c r="AR87" s="147">
        <f t="shared" si="49"/>
        <v>-184694.1716</v>
      </c>
      <c r="AS87" s="147">
        <f t="shared" si="49"/>
        <v>-181586.3275</v>
      </c>
      <c r="AT87" s="147">
        <f t="shared" si="49"/>
        <v>-195183.5016</v>
      </c>
      <c r="AU87" s="147">
        <f t="shared" si="49"/>
        <v>-191277.3972</v>
      </c>
      <c r="AV87" s="147">
        <f t="shared" si="49"/>
        <v>-186446.0072</v>
      </c>
      <c r="AW87" s="147">
        <f t="shared" si="49"/>
        <v>-196732.597</v>
      </c>
      <c r="AX87" s="147">
        <f t="shared" si="49"/>
        <v>-191129.2692</v>
      </c>
      <c r="AY87" s="147">
        <f t="shared" si="49"/>
        <v>-184612.3657</v>
      </c>
      <c r="AZ87" s="147">
        <f t="shared" si="49"/>
        <v>-163531.859</v>
      </c>
      <c r="BA87" s="147">
        <f t="shared" si="49"/>
        <v>-145656.6269</v>
      </c>
      <c r="BB87" s="147">
        <f t="shared" si="49"/>
        <v>-125384.4538</v>
      </c>
      <c r="BC87" s="147">
        <f t="shared" si="49"/>
        <v>-118219.6223</v>
      </c>
      <c r="BD87" s="147">
        <f t="shared" si="49"/>
        <v>-91559.40141</v>
      </c>
      <c r="BE87" s="147">
        <f t="shared" si="49"/>
        <v>-67602.42413</v>
      </c>
      <c r="BF87" s="147">
        <f t="shared" si="49"/>
        <v>-58065.36163</v>
      </c>
      <c r="BG87" s="147">
        <f t="shared" si="49"/>
        <v>-31075.9023</v>
      </c>
      <c r="BH87" s="147">
        <f t="shared" si="49"/>
        <v>-3066.4205</v>
      </c>
      <c r="BI87" s="147">
        <f t="shared" si="49"/>
        <v>9289.759834</v>
      </c>
      <c r="BJ87" s="147">
        <f t="shared" si="49"/>
        <v>38875.00526</v>
      </c>
      <c r="BK87" s="147">
        <f t="shared" si="49"/>
        <v>69541.52512</v>
      </c>
      <c r="BL87" s="147">
        <f t="shared" si="49"/>
        <v>85165.69173</v>
      </c>
      <c r="BM87" s="147">
        <f t="shared" si="49"/>
        <v>117817.0497</v>
      </c>
      <c r="BN87" s="147">
        <f t="shared" si="49"/>
        <v>151617.3216</v>
      </c>
      <c r="BO87" s="147">
        <f t="shared" si="49"/>
        <v>170518.9727</v>
      </c>
      <c r="BP87" s="147">
        <f t="shared" si="49"/>
        <v>206613.1874</v>
      </c>
      <c r="BQ87" s="147">
        <f t="shared" si="49"/>
        <v>243905.4074</v>
      </c>
      <c r="BR87" s="147">
        <f t="shared" si="49"/>
        <v>266413.7502</v>
      </c>
      <c r="BS87" s="147">
        <f t="shared" si="49"/>
        <v>306241.8089</v>
      </c>
      <c r="BT87" s="147">
        <f t="shared" si="49"/>
        <v>347390.8034</v>
      </c>
      <c r="BU87" s="147">
        <f t="shared" si="49"/>
        <v>389905.3779</v>
      </c>
      <c r="BV87" s="147">
        <f t="shared" si="49"/>
        <v>433830.6608</v>
      </c>
      <c r="BW87" s="147">
        <f t="shared" si="49"/>
        <v>479209.0818</v>
      </c>
    </row>
    <row r="88" ht="15.75" customHeight="1">
      <c r="A88" s="31" t="s">
        <v>244</v>
      </c>
      <c r="B88" s="159"/>
      <c r="D88" s="76">
        <f t="array" ref="D88">ROUND(INDEX(INDIRECT("PnL_"&amp;TEXT(D$1,"mmm")&amp;"_"&amp;TEXT(D$1,"yyyy")),MATCH(TRIM($A87),PnL_Accounts,0))-D87,2)</f>
        <v>0</v>
      </c>
      <c r="E88" s="76">
        <f t="array" ref="E88">ROUND(INDEX(INDIRECT("PnL_"&amp;TEXT(E$1,"mmm")&amp;"_"&amp;TEXT(E$1,"yyyy")),MATCH(TRIM($A87),PnL_Accounts,0))-E87,2)</f>
        <v>0</v>
      </c>
      <c r="F88" s="76">
        <f t="array" ref="F88">ROUND(INDEX(INDIRECT("PnL_"&amp;TEXT(F$1,"mmm")&amp;"_"&amp;TEXT(F$1,"yyyy")),MATCH(TRIM($A87),PnL_Accounts,0))-F87,2)</f>
        <v>0</v>
      </c>
      <c r="G88" s="76">
        <f t="array" ref="G88">ROUND(INDEX(INDIRECT("PnL_"&amp;TEXT(G$1,"mmm")&amp;"_"&amp;TEXT(G$1,"yyyy")),MATCH(TRIM($A87),PnL_Accounts,0))-G87,2)</f>
        <v>0</v>
      </c>
      <c r="H88" s="76">
        <f t="array" ref="H88">ROUND(INDEX(INDIRECT("PnL_"&amp;TEXT(H$1,"mmm")&amp;"_"&amp;TEXT(H$1,"yyyy")),MATCH(TRIM($A87),PnL_Accounts,0))-H87,2)</f>
        <v>0</v>
      </c>
      <c r="I88" s="76">
        <f t="array" ref="I88">ROUND(INDEX(INDIRECT("PnL_"&amp;TEXT(I$1,"mmm")&amp;"_"&amp;TEXT(I$1,"yyyy")),MATCH(TRIM($A87),PnL_Accounts,0))-I87,2)</f>
        <v>0</v>
      </c>
      <c r="J88" s="76">
        <f t="array" ref="J88">ROUND(INDEX(INDIRECT("PnL_"&amp;TEXT(J$1,"mmm")&amp;"_"&amp;TEXT(J$1,"yyyy")),MATCH(TRIM($A87),PnL_Accounts,0))-J87,2)</f>
        <v>0</v>
      </c>
      <c r="K88" s="76">
        <f t="array" ref="K88">ROUND(INDEX(INDIRECT("PnL_"&amp;TEXT(K$1,"mmm")&amp;"_"&amp;TEXT(K$1,"yyyy")),MATCH(TRIM($A87),PnL_Accounts,0))-K87,2)</f>
        <v>0</v>
      </c>
      <c r="L88" s="76">
        <f t="array" ref="L88">ROUND(INDEX(INDIRECT("PnL_"&amp;TEXT(L$1,"mmm")&amp;"_"&amp;TEXT(L$1,"yyyy")),MATCH(TRIM($A87),PnL_Accounts,0))-L87,2)</f>
        <v>0</v>
      </c>
      <c r="M88" s="76">
        <f t="array" ref="M88">ROUND(INDEX(INDIRECT("PnL_"&amp;TEXT(M$1,"mmm")&amp;"_"&amp;TEXT(M$1,"yyyy")),MATCH(TRIM($A87),PnL_Accounts,0))-M87,2)</f>
        <v>0</v>
      </c>
      <c r="N88" s="76">
        <f t="array" ref="N88">ROUND(INDEX(INDIRECT("PnL_"&amp;TEXT(N$1,"mmm")&amp;"_"&amp;TEXT(N$1,"yyyy")),MATCH(TRIM($A87),PnL_Accounts,0))-N87,2)</f>
        <v>0</v>
      </c>
      <c r="O88" s="76">
        <f t="array" ref="O88">ROUND(INDEX(INDIRECT("PnL_"&amp;TEXT(O$1,"mmm")&amp;"_"&amp;TEXT(O$1,"yyyy")),MATCH(TRIM($A87),PnL_Accounts,0))-O87,2)</f>
        <v>0</v>
      </c>
      <c r="P88" s="76">
        <f t="array" ref="P88">ROUND(INDEX(INDIRECT("PnL_"&amp;TEXT(P$1,"mmm")&amp;"_"&amp;TEXT(P$1,"yyyy")),MATCH(TRIM($A87),PnL_Accounts,0))-P87,2)</f>
        <v>0</v>
      </c>
      <c r="Q88" s="76">
        <f t="array" ref="Q88">ROUND(INDEX(INDIRECT("PnL_"&amp;TEXT(Q$1,"mmm")&amp;"_"&amp;TEXT(Q$1,"yyyy")),MATCH(TRIM($A87),PnL_Accounts,0))-Q87,2)</f>
        <v>0</v>
      </c>
      <c r="R88" s="76">
        <f t="array" ref="R88">ROUND(INDEX(INDIRECT("PnL_"&amp;TEXT(R$1,"mmm")&amp;"_"&amp;TEXT(R$1,"yyyy")),MATCH(TRIM($A87),PnL_Accounts,0))-R87,2)</f>
        <v>0</v>
      </c>
      <c r="S88" s="76">
        <f t="array" ref="S88">ROUND(INDEX(INDIRECT("PnL_"&amp;TEXT(S$1,"mmm")&amp;"_"&amp;TEXT(S$1,"yyyy")),MATCH(TRIM($A87),PnL_Accounts,0))-S87,2)</f>
        <v>0</v>
      </c>
      <c r="T88" s="76">
        <f t="array" ref="T88">ROUND(INDEX(INDIRECT("PnL_"&amp;TEXT(T$1,"mmm")&amp;"_"&amp;TEXT(T$1,"yyyy")),MATCH(TRIM($A87),PnL_Accounts,0))-T87,2)</f>
        <v>0</v>
      </c>
      <c r="U88" s="76">
        <f t="array" ref="U88">ROUND(INDEX(INDIRECT("PnL_"&amp;TEXT(U$1,"mmm")&amp;"_"&amp;TEXT(U$1,"yyyy")),MATCH(TRIM($A87),PnL_Accounts,0))-U87,2)</f>
        <v>0</v>
      </c>
      <c r="V88" s="76">
        <f t="array" ref="V88">ROUND(INDEX(INDIRECT("PnL_"&amp;TEXT(V$1,"mmm")&amp;"_"&amp;TEXT(V$1,"yyyy")),MATCH(TRIM($A87),PnL_Accounts,0))-V87,2)</f>
        <v>0</v>
      </c>
      <c r="W88" s="76">
        <f t="array" ref="W88">ROUND(INDEX(INDIRECT("PnL_"&amp;TEXT(W$1,"mmm")&amp;"_"&amp;TEXT(W$1,"yyyy")),MATCH(TRIM($A87),PnL_Accounts,0))-W87,2)</f>
        <v>0</v>
      </c>
      <c r="X88" s="76">
        <f t="array" ref="X88">ROUND(INDEX(INDIRECT("PnL_"&amp;TEXT(X$1,"mmm")&amp;"_"&amp;TEXT(X$1,"yyyy")),MATCH(TRIM($A87),PnL_Accounts,0))-X87,2)</f>
        <v>0</v>
      </c>
      <c r="Y88" s="76">
        <f t="array" ref="Y88">ROUND(INDEX(INDIRECT("PnL_"&amp;TEXT(Y$1,"mmm")&amp;"_"&amp;TEXT(Y$1,"yyyy")),MATCH(TRIM($A87),PnL_Accounts,0))-Y87,2)</f>
        <v>0</v>
      </c>
      <c r="Z88" s="76">
        <f t="array" ref="Z88">ROUND(INDEX(INDIRECT("PnL_"&amp;TEXT(Z$1,"mmm")&amp;"_"&amp;TEXT(Z$1,"yyyy")),MATCH(TRIM($A87),PnL_Accounts,0))-Z87,2)</f>
        <v>0</v>
      </c>
      <c r="AA88" s="76">
        <f t="array" ref="AA88">ROUND(INDEX(INDIRECT("PnL_"&amp;TEXT(AA$1,"mmm")&amp;"_"&amp;TEXT(AA$1,"yyyy")),MATCH(TRIM($A87),PnL_Accounts,0))-AA87,2)</f>
        <v>0</v>
      </c>
      <c r="AB88" s="76">
        <f t="array" ref="AB88">ROUND(INDEX(INDIRECT("PnL_"&amp;TEXT(AB$1,"mmm")&amp;"_"&amp;TEXT(AB$1,"yyyy")),MATCH(TRIM($A87),PnL_Accounts,0))-AB87,2)</f>
        <v>0</v>
      </c>
      <c r="AC88" s="76">
        <f t="array" ref="AC88">ROUND(INDEX(INDIRECT("PnL_"&amp;TEXT(AC$1,"mmm")&amp;"_"&amp;TEXT(AC$1,"yyyy")),MATCH(TRIM($A87),PnL_Accounts,0))-AC87,2)</f>
        <v>0</v>
      </c>
      <c r="AD88" s="76">
        <f t="array" ref="AD88">ROUND(INDEX(INDIRECT("PnL_"&amp;TEXT(AD$1,"mmm")&amp;"_"&amp;TEXT(AD$1,"yyyy")),MATCH(TRIM($A87),PnL_Accounts,0))-AD87,2)</f>
        <v>0</v>
      </c>
      <c r="AE88" s="76">
        <f t="array" ref="AE88">ROUND(INDEX(INDIRECT("PnL_"&amp;TEXT(AE$1,"mmm")&amp;"_"&amp;TEXT(AE$1,"yyyy")),MATCH(TRIM($A87),PnL_Accounts,0))-AE87,2)</f>
        <v>0</v>
      </c>
    </row>
    <row r="89" ht="15.75" customHeight="1">
      <c r="A89" s="31" t="s">
        <v>317</v>
      </c>
      <c r="B89" s="159"/>
    </row>
    <row r="90" ht="15.75" customHeight="1">
      <c r="A90" s="1" t="s">
        <v>318</v>
      </c>
      <c r="B90" s="159"/>
      <c r="AF90" s="39" t="str">
        <f t="array" ref="AF90">_xludf.IFNA(INDEX(Loans_Forgivable_Loan_Forgivable_Income,MATCH(AF$1,Loans_Months,0)),0)</f>
        <v>#NAME?</v>
      </c>
      <c r="AG90" s="39" t="str">
        <f t="array" ref="AG90">_xludf.IFNA(INDEX(Loans_Forgivable_Loan_Forgivable_Income,MATCH(AG$1,Loans_Months,0)),0)</f>
        <v>#NAME?</v>
      </c>
      <c r="AH90" s="39" t="str">
        <f t="array" ref="AH90">_xludf.IFNA(INDEX(Loans_Forgivable_Loan_Forgivable_Income,MATCH(AH$1,Loans_Months,0)),0)</f>
        <v>#NAME?</v>
      </c>
      <c r="AI90" s="39" t="str">
        <f t="array" ref="AI90">_xludf.IFNA(INDEX(Loans_Forgivable_Loan_Forgivable_Income,MATCH(AI$1,Loans_Months,0)),0)</f>
        <v>#NAME?</v>
      </c>
      <c r="AJ90" s="39" t="str">
        <f t="array" ref="AJ90">_xludf.IFNA(INDEX(Loans_Forgivable_Loan_Forgivable_Income,MATCH(AJ$1,Loans_Months,0)),0)</f>
        <v>#NAME?</v>
      </c>
      <c r="AK90" s="39" t="str">
        <f t="array" ref="AK90">_xludf.IFNA(INDEX(Loans_Forgivable_Loan_Forgivable_Income,MATCH(AK$1,Loans_Months,0)),0)</f>
        <v>#NAME?</v>
      </c>
      <c r="AL90" s="39" t="str">
        <f t="array" ref="AL90">_xludf.IFNA(INDEX(Loans_Forgivable_Loan_Forgivable_Income,MATCH(AL$1,Loans_Months,0)),0)</f>
        <v>#NAME?</v>
      </c>
      <c r="AM90" s="39" t="str">
        <f t="array" ref="AM90">_xludf.IFNA(INDEX(Loans_Forgivable_Loan_Forgivable_Income,MATCH(AM$1,Loans_Months,0)),0)</f>
        <v>#NAME?</v>
      </c>
      <c r="AN90" s="39" t="str">
        <f t="array" ref="AN90">_xludf.IFNA(INDEX(Loans_Forgivable_Loan_Forgivable_Income,MATCH(AN$1,Loans_Months,0)),0)</f>
        <v>#NAME?</v>
      </c>
      <c r="AO90" s="39" t="str">
        <f t="array" ref="AO90">_xludf.IFNA(INDEX(Loans_Forgivable_Loan_Forgivable_Income,MATCH(AO$1,Loans_Months,0)),0)</f>
        <v>#NAME?</v>
      </c>
      <c r="AP90" s="39" t="str">
        <f t="array" ref="AP90">_xludf.IFNA(INDEX(Loans_Forgivable_Loan_Forgivable_Income,MATCH(AP$1,Loans_Months,0)),0)</f>
        <v>#NAME?</v>
      </c>
      <c r="AQ90" s="39" t="str">
        <f t="array" ref="AQ90">_xludf.IFNA(INDEX(Loans_Forgivable_Loan_Forgivable_Income,MATCH(AQ$1,Loans_Months,0)),0)</f>
        <v>#NAME?</v>
      </c>
      <c r="AR90" s="39" t="str">
        <f t="array" ref="AR90">_xludf.IFNA(INDEX(Loans_Forgivable_Loan_Forgivable_Income,MATCH(AR$1,Loans_Months,0)),0)</f>
        <v>#NAME?</v>
      </c>
      <c r="AS90" s="39" t="str">
        <f t="array" ref="AS90">_xludf.IFNA(INDEX(Loans_Forgivable_Loan_Forgivable_Income,MATCH(AS$1,Loans_Months,0)),0)</f>
        <v>#NAME?</v>
      </c>
      <c r="AT90" s="39" t="str">
        <f t="array" ref="AT90">_xludf.IFNA(INDEX(Loans_Forgivable_Loan_Forgivable_Income,MATCH(AT$1,Loans_Months,0)),0)</f>
        <v>#NAME?</v>
      </c>
      <c r="AU90" s="39" t="str">
        <f t="array" ref="AU90">_xludf.IFNA(INDEX(Loans_Forgivable_Loan_Forgivable_Income,MATCH(AU$1,Loans_Months,0)),0)</f>
        <v>#NAME?</v>
      </c>
      <c r="AV90" s="39" t="str">
        <f t="array" ref="AV90">_xludf.IFNA(INDEX(Loans_Forgivable_Loan_Forgivable_Income,MATCH(AV$1,Loans_Months,0)),0)</f>
        <v>#NAME?</v>
      </c>
      <c r="AW90" s="39" t="str">
        <f t="array" ref="AW90">_xludf.IFNA(INDEX(Loans_Forgivable_Loan_Forgivable_Income,MATCH(AW$1,Loans_Months,0)),0)</f>
        <v>#NAME?</v>
      </c>
      <c r="AX90" s="39" t="str">
        <f t="array" ref="AX90">_xludf.IFNA(INDEX(Loans_Forgivable_Loan_Forgivable_Income,MATCH(AX$1,Loans_Months,0)),0)</f>
        <v>#NAME?</v>
      </c>
      <c r="AY90" s="39" t="str">
        <f t="array" ref="AY90">_xludf.IFNA(INDEX(Loans_Forgivable_Loan_Forgivable_Income,MATCH(AY$1,Loans_Months,0)),0)</f>
        <v>#NAME?</v>
      </c>
      <c r="AZ90" s="39" t="str">
        <f t="array" ref="AZ90">_xludf.IFNA(INDEX(Loans_Forgivable_Loan_Forgivable_Income,MATCH(AZ$1,Loans_Months,0)),0)</f>
        <v>#NAME?</v>
      </c>
      <c r="BA90" s="39" t="str">
        <f t="array" ref="BA90">_xludf.IFNA(INDEX(Loans_Forgivable_Loan_Forgivable_Income,MATCH(BA$1,Loans_Months,0)),0)</f>
        <v>#NAME?</v>
      </c>
      <c r="BB90" s="39" t="str">
        <f t="array" ref="BB90">_xludf.IFNA(INDEX(Loans_Forgivable_Loan_Forgivable_Income,MATCH(BB$1,Loans_Months,0)),0)</f>
        <v>#NAME?</v>
      </c>
      <c r="BC90" s="39" t="str">
        <f t="array" ref="BC90">_xludf.IFNA(INDEX(Loans_Forgivable_Loan_Forgivable_Income,MATCH(BC$1,Loans_Months,0)),0)</f>
        <v>#NAME?</v>
      </c>
      <c r="BD90" s="39" t="str">
        <f t="array" ref="BD90">_xludf.IFNA(INDEX(Loans_Forgivable_Loan_Forgivable_Income,MATCH(BD$1,Loans_Months,0)),0)</f>
        <v>#NAME?</v>
      </c>
      <c r="BE90" s="39" t="str">
        <f t="array" ref="BE90">_xludf.IFNA(INDEX(Loans_Forgivable_Loan_Forgivable_Income,MATCH(BE$1,Loans_Months,0)),0)</f>
        <v>#NAME?</v>
      </c>
      <c r="BF90" s="39" t="str">
        <f t="array" ref="BF90">_xludf.IFNA(INDEX(Loans_Forgivable_Loan_Forgivable_Income,MATCH(BF$1,Loans_Months,0)),0)</f>
        <v>#NAME?</v>
      </c>
      <c r="BG90" s="39" t="str">
        <f t="array" ref="BG90">_xludf.IFNA(INDEX(Loans_Forgivable_Loan_Forgivable_Income,MATCH(BG$1,Loans_Months,0)),0)</f>
        <v>#NAME?</v>
      </c>
      <c r="BH90" s="39" t="str">
        <f t="array" ref="BH90">_xludf.IFNA(INDEX(Loans_Forgivable_Loan_Forgivable_Income,MATCH(BH$1,Loans_Months,0)),0)</f>
        <v>#NAME?</v>
      </c>
      <c r="BI90" s="39" t="str">
        <f t="array" ref="BI90">_xludf.IFNA(INDEX(Loans_Forgivable_Loan_Forgivable_Income,MATCH(BI$1,Loans_Months,0)),0)</f>
        <v>#NAME?</v>
      </c>
      <c r="BJ90" s="39" t="str">
        <f t="array" ref="BJ90">_xludf.IFNA(INDEX(Loans_Forgivable_Loan_Forgivable_Income,MATCH(BJ$1,Loans_Months,0)),0)</f>
        <v>#NAME?</v>
      </c>
      <c r="BK90" s="39" t="str">
        <f t="array" ref="BK90">_xludf.IFNA(INDEX(Loans_Forgivable_Loan_Forgivable_Income,MATCH(BK$1,Loans_Months,0)),0)</f>
        <v>#NAME?</v>
      </c>
      <c r="BL90" s="39" t="str">
        <f t="array" ref="BL90">_xludf.IFNA(INDEX(Loans_Forgivable_Loan_Forgivable_Income,MATCH(BL$1,Loans_Months,0)),0)</f>
        <v>#NAME?</v>
      </c>
      <c r="BM90" s="39" t="str">
        <f t="array" ref="BM90">_xludf.IFNA(INDEX(Loans_Forgivable_Loan_Forgivable_Income,MATCH(BM$1,Loans_Months,0)),0)</f>
        <v>#NAME?</v>
      </c>
      <c r="BN90" s="39" t="str">
        <f t="array" ref="BN90">_xludf.IFNA(INDEX(Loans_Forgivable_Loan_Forgivable_Income,MATCH(BN$1,Loans_Months,0)),0)</f>
        <v>#NAME?</v>
      </c>
      <c r="BO90" s="39" t="str">
        <f t="array" ref="BO90">_xludf.IFNA(INDEX(Loans_Forgivable_Loan_Forgivable_Income,MATCH(BO$1,Loans_Months,0)),0)</f>
        <v>#NAME?</v>
      </c>
      <c r="BP90" s="39" t="str">
        <f t="array" ref="BP90">_xludf.IFNA(INDEX(Loans_Forgivable_Loan_Forgivable_Income,MATCH(BP$1,Loans_Months,0)),0)</f>
        <v>#NAME?</v>
      </c>
      <c r="BQ90" s="39" t="str">
        <f t="array" ref="BQ90">_xludf.IFNA(INDEX(Loans_Forgivable_Loan_Forgivable_Income,MATCH(BQ$1,Loans_Months,0)),0)</f>
        <v>#NAME?</v>
      </c>
      <c r="BR90" s="39" t="str">
        <f t="array" ref="BR90">_xludf.IFNA(INDEX(Loans_Forgivable_Loan_Forgivable_Income,MATCH(BR$1,Loans_Months,0)),0)</f>
        <v>#NAME?</v>
      </c>
      <c r="BS90" s="39" t="str">
        <f t="array" ref="BS90">_xludf.IFNA(INDEX(Loans_Forgivable_Loan_Forgivable_Income,MATCH(BS$1,Loans_Months,0)),0)</f>
        <v>#NAME?</v>
      </c>
      <c r="BT90" s="39" t="str">
        <f t="array" ref="BT90">_xludf.IFNA(INDEX(Loans_Forgivable_Loan_Forgivable_Income,MATCH(BT$1,Loans_Months,0)),0)</f>
        <v>#NAME?</v>
      </c>
      <c r="BU90" s="39" t="str">
        <f t="array" ref="BU90">_xludf.IFNA(INDEX(Loans_Forgivable_Loan_Forgivable_Income,MATCH(BU$1,Loans_Months,0)),0)</f>
        <v>#NAME?</v>
      </c>
      <c r="BV90" s="39" t="str">
        <f t="array" ref="BV90">_xludf.IFNA(INDEX(Loans_Forgivable_Loan_Forgivable_Income,MATCH(BV$1,Loans_Months,0)),0)</f>
        <v>#NAME?</v>
      </c>
      <c r="BW90" s="39" t="str">
        <f t="array" ref="BW90">_xludf.IFNA(INDEX(Loans_Forgivable_Loan_Forgivable_Income,MATCH(BW$1,Loans_Months,0)),0)</f>
        <v>#NAME?</v>
      </c>
    </row>
    <row r="91" ht="15.75" hidden="1" customHeight="1">
      <c r="B91" s="159"/>
    </row>
    <row r="92" ht="15.75" customHeight="1">
      <c r="A92" s="21" t="s">
        <v>319</v>
      </c>
      <c r="B92" s="161"/>
      <c r="C92" s="157"/>
      <c r="D92" s="157">
        <f t="shared" ref="D92:BW92" si="50">SUM(D89:D91)</f>
        <v>0</v>
      </c>
      <c r="E92" s="157">
        <f t="shared" si="50"/>
        <v>0</v>
      </c>
      <c r="F92" s="157">
        <f t="shared" si="50"/>
        <v>0</v>
      </c>
      <c r="G92" s="157">
        <f t="shared" si="50"/>
        <v>0</v>
      </c>
      <c r="H92" s="157">
        <f t="shared" si="50"/>
        <v>0</v>
      </c>
      <c r="I92" s="157">
        <f t="shared" si="50"/>
        <v>0</v>
      </c>
      <c r="J92" s="157">
        <f t="shared" si="50"/>
        <v>0</v>
      </c>
      <c r="K92" s="157">
        <f t="shared" si="50"/>
        <v>0</v>
      </c>
      <c r="L92" s="157">
        <f t="shared" si="50"/>
        <v>0</v>
      </c>
      <c r="M92" s="157">
        <f t="shared" si="50"/>
        <v>0</v>
      </c>
      <c r="N92" s="157">
        <f t="shared" si="50"/>
        <v>0</v>
      </c>
      <c r="O92" s="157">
        <f t="shared" si="50"/>
        <v>0</v>
      </c>
      <c r="P92" s="157">
        <f t="shared" si="50"/>
        <v>0</v>
      </c>
      <c r="Q92" s="157">
        <f t="shared" si="50"/>
        <v>0</v>
      </c>
      <c r="R92" s="157">
        <f t="shared" si="50"/>
        <v>0</v>
      </c>
      <c r="S92" s="157">
        <f t="shared" si="50"/>
        <v>0</v>
      </c>
      <c r="T92" s="157">
        <f t="shared" si="50"/>
        <v>0</v>
      </c>
      <c r="U92" s="157">
        <f t="shared" si="50"/>
        <v>0</v>
      </c>
      <c r="V92" s="157">
        <f t="shared" si="50"/>
        <v>0</v>
      </c>
      <c r="W92" s="157">
        <f t="shared" si="50"/>
        <v>0</v>
      </c>
      <c r="X92" s="157">
        <f t="shared" si="50"/>
        <v>0</v>
      </c>
      <c r="Y92" s="157">
        <f t="shared" si="50"/>
        <v>0</v>
      </c>
      <c r="Z92" s="157">
        <f t="shared" si="50"/>
        <v>0</v>
      </c>
      <c r="AA92" s="157">
        <f t="shared" si="50"/>
        <v>0</v>
      </c>
      <c r="AB92" s="157">
        <f t="shared" si="50"/>
        <v>0</v>
      </c>
      <c r="AC92" s="157">
        <f t="shared" si="50"/>
        <v>0</v>
      </c>
      <c r="AD92" s="157">
        <f t="shared" si="50"/>
        <v>0</v>
      </c>
      <c r="AE92" s="157">
        <f t="shared" si="50"/>
        <v>0</v>
      </c>
      <c r="AF92" s="157" t="str">
        <f t="shared" si="50"/>
        <v>#NAME?</v>
      </c>
      <c r="AG92" s="157" t="str">
        <f t="shared" si="50"/>
        <v>#NAME?</v>
      </c>
      <c r="AH92" s="157" t="str">
        <f t="shared" si="50"/>
        <v>#NAME?</v>
      </c>
      <c r="AI92" s="157" t="str">
        <f t="shared" si="50"/>
        <v>#NAME?</v>
      </c>
      <c r="AJ92" s="157" t="str">
        <f t="shared" si="50"/>
        <v>#NAME?</v>
      </c>
      <c r="AK92" s="157" t="str">
        <f t="shared" si="50"/>
        <v>#NAME?</v>
      </c>
      <c r="AL92" s="157" t="str">
        <f t="shared" si="50"/>
        <v>#NAME?</v>
      </c>
      <c r="AM92" s="157" t="str">
        <f t="shared" si="50"/>
        <v>#NAME?</v>
      </c>
      <c r="AN92" s="157" t="str">
        <f t="shared" si="50"/>
        <v>#NAME?</v>
      </c>
      <c r="AO92" s="157" t="str">
        <f t="shared" si="50"/>
        <v>#NAME?</v>
      </c>
      <c r="AP92" s="157" t="str">
        <f t="shared" si="50"/>
        <v>#NAME?</v>
      </c>
      <c r="AQ92" s="157" t="str">
        <f t="shared" si="50"/>
        <v>#NAME?</v>
      </c>
      <c r="AR92" s="157" t="str">
        <f t="shared" si="50"/>
        <v>#NAME?</v>
      </c>
      <c r="AS92" s="157" t="str">
        <f t="shared" si="50"/>
        <v>#NAME?</v>
      </c>
      <c r="AT92" s="157" t="str">
        <f t="shared" si="50"/>
        <v>#NAME?</v>
      </c>
      <c r="AU92" s="157" t="str">
        <f t="shared" si="50"/>
        <v>#NAME?</v>
      </c>
      <c r="AV92" s="157" t="str">
        <f t="shared" si="50"/>
        <v>#NAME?</v>
      </c>
      <c r="AW92" s="157" t="str">
        <f t="shared" si="50"/>
        <v>#NAME?</v>
      </c>
      <c r="AX92" s="157" t="str">
        <f t="shared" si="50"/>
        <v>#NAME?</v>
      </c>
      <c r="AY92" s="157" t="str">
        <f t="shared" si="50"/>
        <v>#NAME?</v>
      </c>
      <c r="AZ92" s="157" t="str">
        <f t="shared" si="50"/>
        <v>#NAME?</v>
      </c>
      <c r="BA92" s="157" t="str">
        <f t="shared" si="50"/>
        <v>#NAME?</v>
      </c>
      <c r="BB92" s="157" t="str">
        <f t="shared" si="50"/>
        <v>#NAME?</v>
      </c>
      <c r="BC92" s="157" t="str">
        <f t="shared" si="50"/>
        <v>#NAME?</v>
      </c>
      <c r="BD92" s="157" t="str">
        <f t="shared" si="50"/>
        <v>#NAME?</v>
      </c>
      <c r="BE92" s="157" t="str">
        <f t="shared" si="50"/>
        <v>#NAME?</v>
      </c>
      <c r="BF92" s="157" t="str">
        <f t="shared" si="50"/>
        <v>#NAME?</v>
      </c>
      <c r="BG92" s="157" t="str">
        <f t="shared" si="50"/>
        <v>#NAME?</v>
      </c>
      <c r="BH92" s="157" t="str">
        <f t="shared" si="50"/>
        <v>#NAME?</v>
      </c>
      <c r="BI92" s="157" t="str">
        <f t="shared" si="50"/>
        <v>#NAME?</v>
      </c>
      <c r="BJ92" s="157" t="str">
        <f t="shared" si="50"/>
        <v>#NAME?</v>
      </c>
      <c r="BK92" s="157" t="str">
        <f t="shared" si="50"/>
        <v>#NAME?</v>
      </c>
      <c r="BL92" s="157" t="str">
        <f t="shared" si="50"/>
        <v>#NAME?</v>
      </c>
      <c r="BM92" s="157" t="str">
        <f t="shared" si="50"/>
        <v>#NAME?</v>
      </c>
      <c r="BN92" s="157" t="str">
        <f t="shared" si="50"/>
        <v>#NAME?</v>
      </c>
      <c r="BO92" s="157" t="str">
        <f t="shared" si="50"/>
        <v>#NAME?</v>
      </c>
      <c r="BP92" s="157" t="str">
        <f t="shared" si="50"/>
        <v>#NAME?</v>
      </c>
      <c r="BQ92" s="157" t="str">
        <f t="shared" si="50"/>
        <v>#NAME?</v>
      </c>
      <c r="BR92" s="157" t="str">
        <f t="shared" si="50"/>
        <v>#NAME?</v>
      </c>
      <c r="BS92" s="157" t="str">
        <f t="shared" si="50"/>
        <v>#NAME?</v>
      </c>
      <c r="BT92" s="157" t="str">
        <f t="shared" si="50"/>
        <v>#NAME?</v>
      </c>
      <c r="BU92" s="157" t="str">
        <f t="shared" si="50"/>
        <v>#NAME?</v>
      </c>
      <c r="BV92" s="157" t="str">
        <f t="shared" si="50"/>
        <v>#NAME?</v>
      </c>
      <c r="BW92" s="157" t="str">
        <f t="shared" si="50"/>
        <v>#NAME?</v>
      </c>
    </row>
    <row r="93" ht="15.75" customHeight="1">
      <c r="A93" s="31" t="s">
        <v>320</v>
      </c>
      <c r="B93" s="159"/>
    </row>
    <row r="94" ht="15.75" customHeight="1">
      <c r="A94" s="1" t="s">
        <v>321</v>
      </c>
      <c r="B94" s="159"/>
      <c r="AF94" s="39" t="str">
        <f t="array" ref="AF94">_xludf.IFNA(INDEX(Loans_Forgivable_Loan_Interest_Owed,MATCH(AF$1,Loans_Months,0)),0)</f>
        <v>#NAME?</v>
      </c>
      <c r="AG94" s="39" t="str">
        <f t="array" ref="AG94">_xludf.IFNA(INDEX(Loans_Forgivable_Loan_Interest_Owed,MATCH(AG$1,Loans_Months,0)),0)</f>
        <v>#NAME?</v>
      </c>
      <c r="AH94" s="39" t="str">
        <f t="array" ref="AH94">_xludf.IFNA(INDEX(Loans_Forgivable_Loan_Interest_Owed,MATCH(AH$1,Loans_Months,0)),0)</f>
        <v>#NAME?</v>
      </c>
      <c r="AI94" s="39" t="str">
        <f t="array" ref="AI94">_xludf.IFNA(INDEX(Loans_Forgivable_Loan_Interest_Owed,MATCH(AI$1,Loans_Months,0)),0)</f>
        <v>#NAME?</v>
      </c>
      <c r="AJ94" s="39" t="str">
        <f t="array" ref="AJ94">_xludf.IFNA(INDEX(Loans_Forgivable_Loan_Interest_Owed,MATCH(AJ$1,Loans_Months,0)),0)</f>
        <v>#NAME?</v>
      </c>
      <c r="AK94" s="39" t="str">
        <f t="array" ref="AK94">_xludf.IFNA(INDEX(Loans_Forgivable_Loan_Interest_Owed,MATCH(AK$1,Loans_Months,0)),0)</f>
        <v>#NAME?</v>
      </c>
      <c r="AL94" s="39" t="str">
        <f t="array" ref="AL94">_xludf.IFNA(INDEX(Loans_Forgivable_Loan_Interest_Owed,MATCH(AL$1,Loans_Months,0)),0)</f>
        <v>#NAME?</v>
      </c>
      <c r="AM94" s="39" t="str">
        <f t="array" ref="AM94">_xludf.IFNA(INDEX(Loans_Forgivable_Loan_Interest_Owed,MATCH(AM$1,Loans_Months,0)),0)</f>
        <v>#NAME?</v>
      </c>
      <c r="AN94" s="39" t="str">
        <f t="array" ref="AN94">_xludf.IFNA(INDEX(Loans_Forgivable_Loan_Interest_Owed,MATCH(AN$1,Loans_Months,0)),0)</f>
        <v>#NAME?</v>
      </c>
      <c r="AO94" s="39" t="str">
        <f t="array" ref="AO94">_xludf.IFNA(INDEX(Loans_Forgivable_Loan_Interest_Owed,MATCH(AO$1,Loans_Months,0)),0)</f>
        <v>#NAME?</v>
      </c>
      <c r="AP94" s="39" t="str">
        <f t="array" ref="AP94">_xludf.IFNA(INDEX(Loans_Forgivable_Loan_Interest_Owed,MATCH(AP$1,Loans_Months,0)),0)</f>
        <v>#NAME?</v>
      </c>
      <c r="AQ94" s="39" t="str">
        <f t="array" ref="AQ94">_xludf.IFNA(INDEX(Loans_Forgivable_Loan_Interest_Owed,MATCH(AQ$1,Loans_Months,0)),0)</f>
        <v>#NAME?</v>
      </c>
      <c r="AR94" s="39" t="str">
        <f t="array" ref="AR94">_xludf.IFNA(INDEX(Loans_Forgivable_Loan_Interest_Owed,MATCH(AR$1,Loans_Months,0)),0)</f>
        <v>#NAME?</v>
      </c>
      <c r="AS94" s="39" t="str">
        <f t="array" ref="AS94">_xludf.IFNA(INDEX(Loans_Forgivable_Loan_Interest_Owed,MATCH(AS$1,Loans_Months,0)),0)</f>
        <v>#NAME?</v>
      </c>
      <c r="AT94" s="39" t="str">
        <f t="array" ref="AT94">_xludf.IFNA(INDEX(Loans_Forgivable_Loan_Interest_Owed,MATCH(AT$1,Loans_Months,0)),0)</f>
        <v>#NAME?</v>
      </c>
      <c r="AU94" s="39" t="str">
        <f t="array" ref="AU94">_xludf.IFNA(INDEX(Loans_Forgivable_Loan_Interest_Owed,MATCH(AU$1,Loans_Months,0)),0)</f>
        <v>#NAME?</v>
      </c>
      <c r="AV94" s="39" t="str">
        <f t="array" ref="AV94">_xludf.IFNA(INDEX(Loans_Forgivable_Loan_Interest_Owed,MATCH(AV$1,Loans_Months,0)),0)</f>
        <v>#NAME?</v>
      </c>
      <c r="AW94" s="39" t="str">
        <f t="array" ref="AW94">_xludf.IFNA(INDEX(Loans_Forgivable_Loan_Interest_Owed,MATCH(AW$1,Loans_Months,0)),0)</f>
        <v>#NAME?</v>
      </c>
      <c r="AX94" s="39" t="str">
        <f t="array" ref="AX94">_xludf.IFNA(INDEX(Loans_Forgivable_Loan_Interest_Owed,MATCH(AX$1,Loans_Months,0)),0)</f>
        <v>#NAME?</v>
      </c>
      <c r="AY94" s="39" t="str">
        <f t="array" ref="AY94">_xludf.IFNA(INDEX(Loans_Forgivable_Loan_Interest_Owed,MATCH(AY$1,Loans_Months,0)),0)</f>
        <v>#NAME?</v>
      </c>
      <c r="AZ94" s="39" t="str">
        <f t="array" ref="AZ94">_xludf.IFNA(INDEX(Loans_Forgivable_Loan_Interest_Owed,MATCH(AZ$1,Loans_Months,0)),0)</f>
        <v>#NAME?</v>
      </c>
      <c r="BA94" s="39" t="str">
        <f t="array" ref="BA94">_xludf.IFNA(INDEX(Loans_Forgivable_Loan_Interest_Owed,MATCH(BA$1,Loans_Months,0)),0)</f>
        <v>#NAME?</v>
      </c>
      <c r="BB94" s="39" t="str">
        <f t="array" ref="BB94">_xludf.IFNA(INDEX(Loans_Forgivable_Loan_Interest_Owed,MATCH(BB$1,Loans_Months,0)),0)</f>
        <v>#NAME?</v>
      </c>
      <c r="BC94" s="39" t="str">
        <f t="array" ref="BC94">_xludf.IFNA(INDEX(Loans_Forgivable_Loan_Interest_Owed,MATCH(BC$1,Loans_Months,0)),0)</f>
        <v>#NAME?</v>
      </c>
      <c r="BD94" s="39" t="str">
        <f t="array" ref="BD94">_xludf.IFNA(INDEX(Loans_Forgivable_Loan_Interest_Owed,MATCH(BD$1,Loans_Months,0)),0)</f>
        <v>#NAME?</v>
      </c>
      <c r="BE94" s="39" t="str">
        <f t="array" ref="BE94">_xludf.IFNA(INDEX(Loans_Forgivable_Loan_Interest_Owed,MATCH(BE$1,Loans_Months,0)),0)</f>
        <v>#NAME?</v>
      </c>
      <c r="BF94" s="39" t="str">
        <f t="array" ref="BF94">_xludf.IFNA(INDEX(Loans_Forgivable_Loan_Interest_Owed,MATCH(BF$1,Loans_Months,0)),0)</f>
        <v>#NAME?</v>
      </c>
      <c r="BG94" s="39" t="str">
        <f t="array" ref="BG94">_xludf.IFNA(INDEX(Loans_Forgivable_Loan_Interest_Owed,MATCH(BG$1,Loans_Months,0)),0)</f>
        <v>#NAME?</v>
      </c>
      <c r="BH94" s="39" t="str">
        <f t="array" ref="BH94">_xludf.IFNA(INDEX(Loans_Forgivable_Loan_Interest_Owed,MATCH(BH$1,Loans_Months,0)),0)</f>
        <v>#NAME?</v>
      </c>
      <c r="BI94" s="39" t="str">
        <f t="array" ref="BI94">_xludf.IFNA(INDEX(Loans_Forgivable_Loan_Interest_Owed,MATCH(BI$1,Loans_Months,0)),0)</f>
        <v>#NAME?</v>
      </c>
      <c r="BJ94" s="39" t="str">
        <f t="array" ref="BJ94">_xludf.IFNA(INDEX(Loans_Forgivable_Loan_Interest_Owed,MATCH(BJ$1,Loans_Months,0)),0)</f>
        <v>#NAME?</v>
      </c>
      <c r="BK94" s="39" t="str">
        <f t="array" ref="BK94">_xludf.IFNA(INDEX(Loans_Forgivable_Loan_Interest_Owed,MATCH(BK$1,Loans_Months,0)),0)</f>
        <v>#NAME?</v>
      </c>
      <c r="BL94" s="39" t="str">
        <f t="array" ref="BL94">_xludf.IFNA(INDEX(Loans_Forgivable_Loan_Interest_Owed,MATCH(BL$1,Loans_Months,0)),0)</f>
        <v>#NAME?</v>
      </c>
      <c r="BM94" s="39" t="str">
        <f t="array" ref="BM94">_xludf.IFNA(INDEX(Loans_Forgivable_Loan_Interest_Owed,MATCH(BM$1,Loans_Months,0)),0)</f>
        <v>#NAME?</v>
      </c>
      <c r="BN94" s="39" t="str">
        <f t="array" ref="BN94">_xludf.IFNA(INDEX(Loans_Forgivable_Loan_Interest_Owed,MATCH(BN$1,Loans_Months,0)),0)</f>
        <v>#NAME?</v>
      </c>
      <c r="BO94" s="39" t="str">
        <f t="array" ref="BO94">_xludf.IFNA(INDEX(Loans_Forgivable_Loan_Interest_Owed,MATCH(BO$1,Loans_Months,0)),0)</f>
        <v>#NAME?</v>
      </c>
      <c r="BP94" s="39" t="str">
        <f t="array" ref="BP94">_xludf.IFNA(INDEX(Loans_Forgivable_Loan_Interest_Owed,MATCH(BP$1,Loans_Months,0)),0)</f>
        <v>#NAME?</v>
      </c>
      <c r="BQ94" s="39" t="str">
        <f t="array" ref="BQ94">_xludf.IFNA(INDEX(Loans_Forgivable_Loan_Interest_Owed,MATCH(BQ$1,Loans_Months,0)),0)</f>
        <v>#NAME?</v>
      </c>
      <c r="BR94" s="39" t="str">
        <f t="array" ref="BR94">_xludf.IFNA(INDEX(Loans_Forgivable_Loan_Interest_Owed,MATCH(BR$1,Loans_Months,0)),0)</f>
        <v>#NAME?</v>
      </c>
      <c r="BS94" s="39" t="str">
        <f t="array" ref="BS94">_xludf.IFNA(INDEX(Loans_Forgivable_Loan_Interest_Owed,MATCH(BS$1,Loans_Months,0)),0)</f>
        <v>#NAME?</v>
      </c>
      <c r="BT94" s="39" t="str">
        <f t="array" ref="BT94">_xludf.IFNA(INDEX(Loans_Forgivable_Loan_Interest_Owed,MATCH(BT$1,Loans_Months,0)),0)</f>
        <v>#NAME?</v>
      </c>
      <c r="BU94" s="39" t="str">
        <f t="array" ref="BU94">_xludf.IFNA(INDEX(Loans_Forgivable_Loan_Interest_Owed,MATCH(BU$1,Loans_Months,0)),0)</f>
        <v>#NAME?</v>
      </c>
      <c r="BV94" s="39" t="str">
        <f t="array" ref="BV94">_xludf.IFNA(INDEX(Loans_Forgivable_Loan_Interest_Owed,MATCH(BV$1,Loans_Months,0)),0)</f>
        <v>#NAME?</v>
      </c>
      <c r="BW94" s="39" t="str">
        <f t="array" ref="BW94">_xludf.IFNA(INDEX(Loans_Forgivable_Loan_Interest_Owed,MATCH(BW$1,Loans_Months,0)),0)</f>
        <v>#NAME?</v>
      </c>
    </row>
    <row r="95" ht="15.75" customHeight="1">
      <c r="A95" s="1" t="s">
        <v>322</v>
      </c>
      <c r="B95" s="159"/>
      <c r="AF95" s="39" t="str">
        <f t="array" ref="AF95">_xludf.IFNA(INDEX(Loans_Standard_Loan_Interest_Owed,MATCH(AF$1,Loans_Months,0)),0)</f>
        <v>#NAME?</v>
      </c>
      <c r="AG95" s="39" t="str">
        <f t="array" ref="AG95">_xludf.IFNA(INDEX(Loans_Standard_Loan_Interest_Owed,MATCH(AG$1,Loans_Months,0)),0)</f>
        <v>#NAME?</v>
      </c>
      <c r="AH95" s="39" t="str">
        <f t="array" ref="AH95">_xludf.IFNA(INDEX(Loans_Standard_Loan_Interest_Owed,MATCH(AH$1,Loans_Months,0)),0)</f>
        <v>#NAME?</v>
      </c>
      <c r="AI95" s="39" t="str">
        <f t="array" ref="AI95">_xludf.IFNA(INDEX(Loans_Standard_Loan_Interest_Owed,MATCH(AI$1,Loans_Months,0)),0)</f>
        <v>#NAME?</v>
      </c>
      <c r="AJ95" s="39" t="str">
        <f t="array" ref="AJ95">_xludf.IFNA(INDEX(Loans_Standard_Loan_Interest_Owed,MATCH(AJ$1,Loans_Months,0)),0)</f>
        <v>#NAME?</v>
      </c>
      <c r="AK95" s="39" t="str">
        <f t="array" ref="AK95">_xludf.IFNA(INDEX(Loans_Standard_Loan_Interest_Owed,MATCH(AK$1,Loans_Months,0)),0)</f>
        <v>#NAME?</v>
      </c>
      <c r="AL95" s="39" t="str">
        <f t="array" ref="AL95">_xludf.IFNA(INDEX(Loans_Standard_Loan_Interest_Owed,MATCH(AL$1,Loans_Months,0)),0)</f>
        <v>#NAME?</v>
      </c>
      <c r="AM95" s="39" t="str">
        <f t="array" ref="AM95">_xludf.IFNA(INDEX(Loans_Standard_Loan_Interest_Owed,MATCH(AM$1,Loans_Months,0)),0)</f>
        <v>#NAME?</v>
      </c>
      <c r="AN95" s="39" t="str">
        <f t="array" ref="AN95">_xludf.IFNA(INDEX(Loans_Standard_Loan_Interest_Owed,MATCH(AN$1,Loans_Months,0)),0)</f>
        <v>#NAME?</v>
      </c>
      <c r="AO95" s="39" t="str">
        <f t="array" ref="AO95">_xludf.IFNA(INDEX(Loans_Standard_Loan_Interest_Owed,MATCH(AO$1,Loans_Months,0)),0)</f>
        <v>#NAME?</v>
      </c>
      <c r="AP95" s="39" t="str">
        <f t="array" ref="AP95">_xludf.IFNA(INDEX(Loans_Standard_Loan_Interest_Owed,MATCH(AP$1,Loans_Months,0)),0)</f>
        <v>#NAME?</v>
      </c>
      <c r="AQ95" s="39" t="str">
        <f t="array" ref="AQ95">_xludf.IFNA(INDEX(Loans_Standard_Loan_Interest_Owed,MATCH(AQ$1,Loans_Months,0)),0)</f>
        <v>#NAME?</v>
      </c>
      <c r="AR95" s="39" t="str">
        <f t="array" ref="AR95">_xludf.IFNA(INDEX(Loans_Standard_Loan_Interest_Owed,MATCH(AR$1,Loans_Months,0)),0)</f>
        <v>#NAME?</v>
      </c>
      <c r="AS95" s="39" t="str">
        <f t="array" ref="AS95">_xludf.IFNA(INDEX(Loans_Standard_Loan_Interest_Owed,MATCH(AS$1,Loans_Months,0)),0)</f>
        <v>#NAME?</v>
      </c>
      <c r="AT95" s="39" t="str">
        <f t="array" ref="AT95">_xludf.IFNA(INDEX(Loans_Standard_Loan_Interest_Owed,MATCH(AT$1,Loans_Months,0)),0)</f>
        <v>#NAME?</v>
      </c>
      <c r="AU95" s="39" t="str">
        <f t="array" ref="AU95">_xludf.IFNA(INDEX(Loans_Standard_Loan_Interest_Owed,MATCH(AU$1,Loans_Months,0)),0)</f>
        <v>#NAME?</v>
      </c>
      <c r="AV95" s="39" t="str">
        <f t="array" ref="AV95">_xludf.IFNA(INDEX(Loans_Standard_Loan_Interest_Owed,MATCH(AV$1,Loans_Months,0)),0)</f>
        <v>#NAME?</v>
      </c>
      <c r="AW95" s="39" t="str">
        <f t="array" ref="AW95">_xludf.IFNA(INDEX(Loans_Standard_Loan_Interest_Owed,MATCH(AW$1,Loans_Months,0)),0)</f>
        <v>#NAME?</v>
      </c>
      <c r="AX95" s="39" t="str">
        <f t="array" ref="AX95">_xludf.IFNA(INDEX(Loans_Standard_Loan_Interest_Owed,MATCH(AX$1,Loans_Months,0)),0)</f>
        <v>#NAME?</v>
      </c>
      <c r="AY95" s="39" t="str">
        <f t="array" ref="AY95">_xludf.IFNA(INDEX(Loans_Standard_Loan_Interest_Owed,MATCH(AY$1,Loans_Months,0)),0)</f>
        <v>#NAME?</v>
      </c>
      <c r="AZ95" s="39" t="str">
        <f t="array" ref="AZ95">_xludf.IFNA(INDEX(Loans_Standard_Loan_Interest_Owed,MATCH(AZ$1,Loans_Months,0)),0)</f>
        <v>#NAME?</v>
      </c>
      <c r="BA95" s="39" t="str">
        <f t="array" ref="BA95">_xludf.IFNA(INDEX(Loans_Standard_Loan_Interest_Owed,MATCH(BA$1,Loans_Months,0)),0)</f>
        <v>#NAME?</v>
      </c>
      <c r="BB95" s="39" t="str">
        <f t="array" ref="BB95">_xludf.IFNA(INDEX(Loans_Standard_Loan_Interest_Owed,MATCH(BB$1,Loans_Months,0)),0)</f>
        <v>#NAME?</v>
      </c>
      <c r="BC95" s="39" t="str">
        <f t="array" ref="BC95">_xludf.IFNA(INDEX(Loans_Standard_Loan_Interest_Owed,MATCH(BC$1,Loans_Months,0)),0)</f>
        <v>#NAME?</v>
      </c>
      <c r="BD95" s="39" t="str">
        <f t="array" ref="BD95">_xludf.IFNA(INDEX(Loans_Standard_Loan_Interest_Owed,MATCH(BD$1,Loans_Months,0)),0)</f>
        <v>#NAME?</v>
      </c>
      <c r="BE95" s="39" t="str">
        <f t="array" ref="BE95">_xludf.IFNA(INDEX(Loans_Standard_Loan_Interest_Owed,MATCH(BE$1,Loans_Months,0)),0)</f>
        <v>#NAME?</v>
      </c>
      <c r="BF95" s="39" t="str">
        <f t="array" ref="BF95">_xludf.IFNA(INDEX(Loans_Standard_Loan_Interest_Owed,MATCH(BF$1,Loans_Months,0)),0)</f>
        <v>#NAME?</v>
      </c>
      <c r="BG95" s="39" t="str">
        <f t="array" ref="BG95">_xludf.IFNA(INDEX(Loans_Standard_Loan_Interest_Owed,MATCH(BG$1,Loans_Months,0)),0)</f>
        <v>#NAME?</v>
      </c>
      <c r="BH95" s="39" t="str">
        <f t="array" ref="BH95">_xludf.IFNA(INDEX(Loans_Standard_Loan_Interest_Owed,MATCH(BH$1,Loans_Months,0)),0)</f>
        <v>#NAME?</v>
      </c>
      <c r="BI95" s="39" t="str">
        <f t="array" ref="BI95">_xludf.IFNA(INDEX(Loans_Standard_Loan_Interest_Owed,MATCH(BI$1,Loans_Months,0)),0)</f>
        <v>#NAME?</v>
      </c>
      <c r="BJ95" s="39" t="str">
        <f t="array" ref="BJ95">_xludf.IFNA(INDEX(Loans_Standard_Loan_Interest_Owed,MATCH(BJ$1,Loans_Months,0)),0)</f>
        <v>#NAME?</v>
      </c>
      <c r="BK95" s="39" t="str">
        <f t="array" ref="BK95">_xludf.IFNA(INDEX(Loans_Standard_Loan_Interest_Owed,MATCH(BK$1,Loans_Months,0)),0)</f>
        <v>#NAME?</v>
      </c>
      <c r="BL95" s="39" t="str">
        <f t="array" ref="BL95">_xludf.IFNA(INDEX(Loans_Standard_Loan_Interest_Owed,MATCH(BL$1,Loans_Months,0)),0)</f>
        <v>#NAME?</v>
      </c>
      <c r="BM95" s="39" t="str">
        <f t="array" ref="BM95">_xludf.IFNA(INDEX(Loans_Standard_Loan_Interest_Owed,MATCH(BM$1,Loans_Months,0)),0)</f>
        <v>#NAME?</v>
      </c>
      <c r="BN95" s="39" t="str">
        <f t="array" ref="BN95">_xludf.IFNA(INDEX(Loans_Standard_Loan_Interest_Owed,MATCH(BN$1,Loans_Months,0)),0)</f>
        <v>#NAME?</v>
      </c>
      <c r="BO95" s="39" t="str">
        <f t="array" ref="BO95">_xludf.IFNA(INDEX(Loans_Standard_Loan_Interest_Owed,MATCH(BO$1,Loans_Months,0)),0)</f>
        <v>#NAME?</v>
      </c>
      <c r="BP95" s="39" t="str">
        <f t="array" ref="BP95">_xludf.IFNA(INDEX(Loans_Standard_Loan_Interest_Owed,MATCH(BP$1,Loans_Months,0)),0)</f>
        <v>#NAME?</v>
      </c>
      <c r="BQ95" s="39" t="str">
        <f t="array" ref="BQ95">_xludf.IFNA(INDEX(Loans_Standard_Loan_Interest_Owed,MATCH(BQ$1,Loans_Months,0)),0)</f>
        <v>#NAME?</v>
      </c>
      <c r="BR95" s="39" t="str">
        <f t="array" ref="BR95">_xludf.IFNA(INDEX(Loans_Standard_Loan_Interest_Owed,MATCH(BR$1,Loans_Months,0)),0)</f>
        <v>#NAME?</v>
      </c>
      <c r="BS95" s="39" t="str">
        <f t="array" ref="BS95">_xludf.IFNA(INDEX(Loans_Standard_Loan_Interest_Owed,MATCH(BS$1,Loans_Months,0)),0)</f>
        <v>#NAME?</v>
      </c>
      <c r="BT95" s="39" t="str">
        <f t="array" ref="BT95">_xludf.IFNA(INDEX(Loans_Standard_Loan_Interest_Owed,MATCH(BT$1,Loans_Months,0)),0)</f>
        <v>#NAME?</v>
      </c>
      <c r="BU95" s="39" t="str">
        <f t="array" ref="BU95">_xludf.IFNA(INDEX(Loans_Standard_Loan_Interest_Owed,MATCH(BU$1,Loans_Months,0)),0)</f>
        <v>#NAME?</v>
      </c>
      <c r="BV95" s="39" t="str">
        <f t="array" ref="BV95">_xludf.IFNA(INDEX(Loans_Standard_Loan_Interest_Owed,MATCH(BV$1,Loans_Months,0)),0)</f>
        <v>#NAME?</v>
      </c>
      <c r="BW95" s="39" t="str">
        <f t="array" ref="BW95">_xludf.IFNA(INDEX(Loans_Standard_Loan_Interest_Owed,MATCH(BW$1,Loans_Months,0)),0)</f>
        <v>#NAME?</v>
      </c>
    </row>
    <row r="96" ht="15.75" customHeight="1">
      <c r="A96" s="21" t="s">
        <v>323</v>
      </c>
      <c r="B96" s="161"/>
      <c r="C96" s="157"/>
      <c r="D96" s="157">
        <f t="shared" ref="D96:BW96" si="51">SUM(D93:D95)</f>
        <v>0</v>
      </c>
      <c r="E96" s="157">
        <f t="shared" si="51"/>
        <v>0</v>
      </c>
      <c r="F96" s="157">
        <f t="shared" si="51"/>
        <v>0</v>
      </c>
      <c r="G96" s="157">
        <f t="shared" si="51"/>
        <v>0</v>
      </c>
      <c r="H96" s="157">
        <f t="shared" si="51"/>
        <v>0</v>
      </c>
      <c r="I96" s="157">
        <f t="shared" si="51"/>
        <v>0</v>
      </c>
      <c r="J96" s="157">
        <f t="shared" si="51"/>
        <v>0</v>
      </c>
      <c r="K96" s="157">
        <f t="shared" si="51"/>
        <v>0</v>
      </c>
      <c r="L96" s="157">
        <f t="shared" si="51"/>
        <v>0</v>
      </c>
      <c r="M96" s="157">
        <f t="shared" si="51"/>
        <v>0</v>
      </c>
      <c r="N96" s="157">
        <f t="shared" si="51"/>
        <v>0</v>
      </c>
      <c r="O96" s="157">
        <f t="shared" si="51"/>
        <v>0</v>
      </c>
      <c r="P96" s="157">
        <f t="shared" si="51"/>
        <v>0</v>
      </c>
      <c r="Q96" s="157">
        <f t="shared" si="51"/>
        <v>0</v>
      </c>
      <c r="R96" s="157">
        <f t="shared" si="51"/>
        <v>0</v>
      </c>
      <c r="S96" s="157">
        <f t="shared" si="51"/>
        <v>0</v>
      </c>
      <c r="T96" s="157">
        <f t="shared" si="51"/>
        <v>0</v>
      </c>
      <c r="U96" s="157">
        <f t="shared" si="51"/>
        <v>0</v>
      </c>
      <c r="V96" s="157">
        <f t="shared" si="51"/>
        <v>0</v>
      </c>
      <c r="W96" s="157">
        <f t="shared" si="51"/>
        <v>0</v>
      </c>
      <c r="X96" s="157">
        <f t="shared" si="51"/>
        <v>0</v>
      </c>
      <c r="Y96" s="157">
        <f t="shared" si="51"/>
        <v>0</v>
      </c>
      <c r="Z96" s="157">
        <f t="shared" si="51"/>
        <v>0</v>
      </c>
      <c r="AA96" s="157">
        <f t="shared" si="51"/>
        <v>0</v>
      </c>
      <c r="AB96" s="157">
        <f t="shared" si="51"/>
        <v>0</v>
      </c>
      <c r="AC96" s="157">
        <f t="shared" si="51"/>
        <v>0</v>
      </c>
      <c r="AD96" s="157">
        <f t="shared" si="51"/>
        <v>0</v>
      </c>
      <c r="AE96" s="157">
        <f t="shared" si="51"/>
        <v>0</v>
      </c>
      <c r="AF96" s="157" t="str">
        <f t="shared" si="51"/>
        <v>#NAME?</v>
      </c>
      <c r="AG96" s="157" t="str">
        <f t="shared" si="51"/>
        <v>#NAME?</v>
      </c>
      <c r="AH96" s="157" t="str">
        <f t="shared" si="51"/>
        <v>#NAME?</v>
      </c>
      <c r="AI96" s="157" t="str">
        <f t="shared" si="51"/>
        <v>#NAME?</v>
      </c>
      <c r="AJ96" s="157" t="str">
        <f t="shared" si="51"/>
        <v>#NAME?</v>
      </c>
      <c r="AK96" s="157" t="str">
        <f t="shared" si="51"/>
        <v>#NAME?</v>
      </c>
      <c r="AL96" s="157" t="str">
        <f t="shared" si="51"/>
        <v>#NAME?</v>
      </c>
      <c r="AM96" s="157" t="str">
        <f t="shared" si="51"/>
        <v>#NAME?</v>
      </c>
      <c r="AN96" s="157" t="str">
        <f t="shared" si="51"/>
        <v>#NAME?</v>
      </c>
      <c r="AO96" s="157" t="str">
        <f t="shared" si="51"/>
        <v>#NAME?</v>
      </c>
      <c r="AP96" s="157" t="str">
        <f t="shared" si="51"/>
        <v>#NAME?</v>
      </c>
      <c r="AQ96" s="157" t="str">
        <f t="shared" si="51"/>
        <v>#NAME?</v>
      </c>
      <c r="AR96" s="157" t="str">
        <f t="shared" si="51"/>
        <v>#NAME?</v>
      </c>
      <c r="AS96" s="157" t="str">
        <f t="shared" si="51"/>
        <v>#NAME?</v>
      </c>
      <c r="AT96" s="157" t="str">
        <f t="shared" si="51"/>
        <v>#NAME?</v>
      </c>
      <c r="AU96" s="157" t="str">
        <f t="shared" si="51"/>
        <v>#NAME?</v>
      </c>
      <c r="AV96" s="157" t="str">
        <f t="shared" si="51"/>
        <v>#NAME?</v>
      </c>
      <c r="AW96" s="157" t="str">
        <f t="shared" si="51"/>
        <v>#NAME?</v>
      </c>
      <c r="AX96" s="157" t="str">
        <f t="shared" si="51"/>
        <v>#NAME?</v>
      </c>
      <c r="AY96" s="157" t="str">
        <f t="shared" si="51"/>
        <v>#NAME?</v>
      </c>
      <c r="AZ96" s="157" t="str">
        <f t="shared" si="51"/>
        <v>#NAME?</v>
      </c>
      <c r="BA96" s="157" t="str">
        <f t="shared" si="51"/>
        <v>#NAME?</v>
      </c>
      <c r="BB96" s="157" t="str">
        <f t="shared" si="51"/>
        <v>#NAME?</v>
      </c>
      <c r="BC96" s="157" t="str">
        <f t="shared" si="51"/>
        <v>#NAME?</v>
      </c>
      <c r="BD96" s="157" t="str">
        <f t="shared" si="51"/>
        <v>#NAME?</v>
      </c>
      <c r="BE96" s="157" t="str">
        <f t="shared" si="51"/>
        <v>#NAME?</v>
      </c>
      <c r="BF96" s="157" t="str">
        <f t="shared" si="51"/>
        <v>#NAME?</v>
      </c>
      <c r="BG96" s="157" t="str">
        <f t="shared" si="51"/>
        <v>#NAME?</v>
      </c>
      <c r="BH96" s="157" t="str">
        <f t="shared" si="51"/>
        <v>#NAME?</v>
      </c>
      <c r="BI96" s="157" t="str">
        <f t="shared" si="51"/>
        <v>#NAME?</v>
      </c>
      <c r="BJ96" s="157" t="str">
        <f t="shared" si="51"/>
        <v>#NAME?</v>
      </c>
      <c r="BK96" s="157" t="str">
        <f t="shared" si="51"/>
        <v>#NAME?</v>
      </c>
      <c r="BL96" s="157" t="str">
        <f t="shared" si="51"/>
        <v>#NAME?</v>
      </c>
      <c r="BM96" s="157" t="str">
        <f t="shared" si="51"/>
        <v>#NAME?</v>
      </c>
      <c r="BN96" s="157" t="str">
        <f t="shared" si="51"/>
        <v>#NAME?</v>
      </c>
      <c r="BO96" s="157" t="str">
        <f t="shared" si="51"/>
        <v>#NAME?</v>
      </c>
      <c r="BP96" s="157" t="str">
        <f t="shared" si="51"/>
        <v>#NAME?</v>
      </c>
      <c r="BQ96" s="157" t="str">
        <f t="shared" si="51"/>
        <v>#NAME?</v>
      </c>
      <c r="BR96" s="157" t="str">
        <f t="shared" si="51"/>
        <v>#NAME?</v>
      </c>
      <c r="BS96" s="157" t="str">
        <f t="shared" si="51"/>
        <v>#NAME?</v>
      </c>
      <c r="BT96" s="157" t="str">
        <f t="shared" si="51"/>
        <v>#NAME?</v>
      </c>
      <c r="BU96" s="157" t="str">
        <f t="shared" si="51"/>
        <v>#NAME?</v>
      </c>
      <c r="BV96" s="157" t="str">
        <f t="shared" si="51"/>
        <v>#NAME?</v>
      </c>
      <c r="BW96" s="157" t="str">
        <f t="shared" si="51"/>
        <v>#NAME?</v>
      </c>
    </row>
    <row r="97" ht="15.75" customHeight="1">
      <c r="A97" s="21" t="s">
        <v>19</v>
      </c>
      <c r="B97" s="163"/>
      <c r="C97" s="21"/>
      <c r="D97" s="147">
        <f t="shared" ref="D97:BW97" si="52">D87+D92-D96</f>
        <v>-89438</v>
      </c>
      <c r="E97" s="147">
        <f t="shared" si="52"/>
        <v>-88124</v>
      </c>
      <c r="F97" s="147">
        <f t="shared" si="52"/>
        <v>-102956</v>
      </c>
      <c r="G97" s="147">
        <f t="shared" si="52"/>
        <v>-94595</v>
      </c>
      <c r="H97" s="147">
        <f t="shared" si="52"/>
        <v>-82065</v>
      </c>
      <c r="I97" s="147">
        <f t="shared" si="52"/>
        <v>-78132</v>
      </c>
      <c r="J97" s="147">
        <f t="shared" si="52"/>
        <v>-94045</v>
      </c>
      <c r="K97" s="147">
        <f t="shared" si="52"/>
        <v>-89766</v>
      </c>
      <c r="L97" s="147">
        <f t="shared" si="52"/>
        <v>-114445</v>
      </c>
      <c r="M97" s="147">
        <f t="shared" si="52"/>
        <v>-131881</v>
      </c>
      <c r="N97" s="147">
        <f t="shared" si="52"/>
        <v>-140597</v>
      </c>
      <c r="O97" s="147">
        <f t="shared" si="52"/>
        <v>-177194</v>
      </c>
      <c r="P97" s="147">
        <f t="shared" si="52"/>
        <v>-177124</v>
      </c>
      <c r="Q97" s="147">
        <f t="shared" si="52"/>
        <v>-189575</v>
      </c>
      <c r="R97" s="147">
        <f t="shared" si="52"/>
        <v>-184131</v>
      </c>
      <c r="S97" s="147">
        <f t="shared" si="52"/>
        <v>-128941</v>
      </c>
      <c r="T97" s="147">
        <f t="shared" si="52"/>
        <v>-151754</v>
      </c>
      <c r="U97" s="147">
        <f t="shared" si="52"/>
        <v>-122283</v>
      </c>
      <c r="V97" s="147">
        <f t="shared" si="52"/>
        <v>-102474</v>
      </c>
      <c r="W97" s="147">
        <f t="shared" si="52"/>
        <v>-82495</v>
      </c>
      <c r="X97" s="147">
        <f t="shared" si="52"/>
        <v>-60038</v>
      </c>
      <c r="Y97" s="147">
        <f t="shared" si="52"/>
        <v>-27320</v>
      </c>
      <c r="Z97" s="147">
        <f t="shared" si="52"/>
        <v>-18905</v>
      </c>
      <c r="AA97" s="147">
        <f t="shared" si="52"/>
        <v>-24211</v>
      </c>
      <c r="AB97" s="147">
        <f t="shared" si="52"/>
        <v>-13824</v>
      </c>
      <c r="AC97" s="147">
        <f t="shared" si="52"/>
        <v>-26169</v>
      </c>
      <c r="AD97" s="147">
        <f t="shared" si="52"/>
        <v>8407.19</v>
      </c>
      <c r="AE97" s="147">
        <f t="shared" si="52"/>
        <v>-117</v>
      </c>
      <c r="AF97" s="147" t="str">
        <f t="shared" si="52"/>
        <v>#NAME?</v>
      </c>
      <c r="AG97" s="147" t="str">
        <f t="shared" si="52"/>
        <v>#NAME?</v>
      </c>
      <c r="AH97" s="147" t="str">
        <f t="shared" si="52"/>
        <v>#NAME?</v>
      </c>
      <c r="AI97" s="147" t="str">
        <f t="shared" si="52"/>
        <v>#NAME?</v>
      </c>
      <c r="AJ97" s="147" t="str">
        <f t="shared" si="52"/>
        <v>#NAME?</v>
      </c>
      <c r="AK97" s="147" t="str">
        <f t="shared" si="52"/>
        <v>#NAME?</v>
      </c>
      <c r="AL97" s="147" t="str">
        <f t="shared" si="52"/>
        <v>#NAME?</v>
      </c>
      <c r="AM97" s="147" t="str">
        <f t="shared" si="52"/>
        <v>#NAME?</v>
      </c>
      <c r="AN97" s="147" t="str">
        <f t="shared" si="52"/>
        <v>#NAME?</v>
      </c>
      <c r="AO97" s="147" t="str">
        <f t="shared" si="52"/>
        <v>#NAME?</v>
      </c>
      <c r="AP97" s="147" t="str">
        <f t="shared" si="52"/>
        <v>#NAME?</v>
      </c>
      <c r="AQ97" s="147" t="str">
        <f t="shared" si="52"/>
        <v>#NAME?</v>
      </c>
      <c r="AR97" s="147" t="str">
        <f t="shared" si="52"/>
        <v>#NAME?</v>
      </c>
      <c r="AS97" s="147" t="str">
        <f t="shared" si="52"/>
        <v>#NAME?</v>
      </c>
      <c r="AT97" s="147" t="str">
        <f t="shared" si="52"/>
        <v>#NAME?</v>
      </c>
      <c r="AU97" s="147" t="str">
        <f t="shared" si="52"/>
        <v>#NAME?</v>
      </c>
      <c r="AV97" s="147" t="str">
        <f t="shared" si="52"/>
        <v>#NAME?</v>
      </c>
      <c r="AW97" s="147" t="str">
        <f t="shared" si="52"/>
        <v>#NAME?</v>
      </c>
      <c r="AX97" s="147" t="str">
        <f t="shared" si="52"/>
        <v>#NAME?</v>
      </c>
      <c r="AY97" s="147" t="str">
        <f t="shared" si="52"/>
        <v>#NAME?</v>
      </c>
      <c r="AZ97" s="147" t="str">
        <f t="shared" si="52"/>
        <v>#NAME?</v>
      </c>
      <c r="BA97" s="147" t="str">
        <f t="shared" si="52"/>
        <v>#NAME?</v>
      </c>
      <c r="BB97" s="147" t="str">
        <f t="shared" si="52"/>
        <v>#NAME?</v>
      </c>
      <c r="BC97" s="147" t="str">
        <f t="shared" si="52"/>
        <v>#NAME?</v>
      </c>
      <c r="BD97" s="147" t="str">
        <f t="shared" si="52"/>
        <v>#NAME?</v>
      </c>
      <c r="BE97" s="147" t="str">
        <f t="shared" si="52"/>
        <v>#NAME?</v>
      </c>
      <c r="BF97" s="147" t="str">
        <f t="shared" si="52"/>
        <v>#NAME?</v>
      </c>
      <c r="BG97" s="147" t="str">
        <f t="shared" si="52"/>
        <v>#NAME?</v>
      </c>
      <c r="BH97" s="147" t="str">
        <f t="shared" si="52"/>
        <v>#NAME?</v>
      </c>
      <c r="BI97" s="147" t="str">
        <f t="shared" si="52"/>
        <v>#NAME?</v>
      </c>
      <c r="BJ97" s="147" t="str">
        <f t="shared" si="52"/>
        <v>#NAME?</v>
      </c>
      <c r="BK97" s="147" t="str">
        <f t="shared" si="52"/>
        <v>#NAME?</v>
      </c>
      <c r="BL97" s="147" t="str">
        <f t="shared" si="52"/>
        <v>#NAME?</v>
      </c>
      <c r="BM97" s="147" t="str">
        <f t="shared" si="52"/>
        <v>#NAME?</v>
      </c>
      <c r="BN97" s="147" t="str">
        <f t="shared" si="52"/>
        <v>#NAME?</v>
      </c>
      <c r="BO97" s="147" t="str">
        <f t="shared" si="52"/>
        <v>#NAME?</v>
      </c>
      <c r="BP97" s="147" t="str">
        <f t="shared" si="52"/>
        <v>#NAME?</v>
      </c>
      <c r="BQ97" s="147" t="str">
        <f t="shared" si="52"/>
        <v>#NAME?</v>
      </c>
      <c r="BR97" s="147" t="str">
        <f t="shared" si="52"/>
        <v>#NAME?</v>
      </c>
      <c r="BS97" s="147" t="str">
        <f t="shared" si="52"/>
        <v>#NAME?</v>
      </c>
      <c r="BT97" s="147" t="str">
        <f t="shared" si="52"/>
        <v>#NAME?</v>
      </c>
      <c r="BU97" s="147" t="str">
        <f t="shared" si="52"/>
        <v>#NAME?</v>
      </c>
      <c r="BV97" s="147" t="str">
        <f t="shared" si="52"/>
        <v>#NAME?</v>
      </c>
      <c r="BW97" s="147" t="str">
        <f t="shared" si="52"/>
        <v>#NAME?</v>
      </c>
    </row>
    <row r="98" ht="15.75" customHeight="1">
      <c r="A98" s="31" t="s">
        <v>244</v>
      </c>
      <c r="B98" s="159"/>
      <c r="D98" s="76">
        <f t="array" ref="D98">ROUND(INDEX(INDIRECT("PnL_"&amp;TEXT(D$1,"mmm")&amp;"_"&amp;TEXT(D$1,"yyyy")),MATCH(TRIM($A97),PnL_Accounts,0))-D97,2)</f>
        <v>0</v>
      </c>
      <c r="E98" s="76">
        <f t="array" ref="E98">ROUND(INDEX(INDIRECT("PnL_"&amp;TEXT(E$1,"mmm")&amp;"_"&amp;TEXT(E$1,"yyyy")),MATCH(TRIM($A97),PnL_Accounts,0))-E97,2)</f>
        <v>0</v>
      </c>
      <c r="F98" s="76">
        <f t="array" ref="F98">ROUND(INDEX(INDIRECT("PnL_"&amp;TEXT(F$1,"mmm")&amp;"_"&amp;TEXT(F$1,"yyyy")),MATCH(TRIM($A97),PnL_Accounts,0))-F97,2)</f>
        <v>0</v>
      </c>
      <c r="G98" s="76">
        <f t="array" ref="G98">ROUND(INDEX(INDIRECT("PnL_"&amp;TEXT(G$1,"mmm")&amp;"_"&amp;TEXT(G$1,"yyyy")),MATCH(TRIM($A97),PnL_Accounts,0))-G97,2)</f>
        <v>0</v>
      </c>
      <c r="H98" s="76">
        <f t="array" ref="H98">ROUND(INDEX(INDIRECT("PnL_"&amp;TEXT(H$1,"mmm")&amp;"_"&amp;TEXT(H$1,"yyyy")),MATCH(TRIM($A97),PnL_Accounts,0))-H97,2)</f>
        <v>0</v>
      </c>
      <c r="I98" s="76">
        <f t="array" ref="I98">ROUND(INDEX(INDIRECT("PnL_"&amp;TEXT(I$1,"mmm")&amp;"_"&amp;TEXT(I$1,"yyyy")),MATCH(TRIM($A97),PnL_Accounts,0))-I97,2)</f>
        <v>0</v>
      </c>
      <c r="J98" s="76">
        <f t="array" ref="J98">ROUND(INDEX(INDIRECT("PnL_"&amp;TEXT(J$1,"mmm")&amp;"_"&amp;TEXT(J$1,"yyyy")),MATCH(TRIM($A97),PnL_Accounts,0))-J97,2)</f>
        <v>0</v>
      </c>
      <c r="K98" s="76">
        <f t="array" ref="K98">ROUND(INDEX(INDIRECT("PnL_"&amp;TEXT(K$1,"mmm")&amp;"_"&amp;TEXT(K$1,"yyyy")),MATCH(TRIM($A97),PnL_Accounts,0))-K97,2)</f>
        <v>0</v>
      </c>
      <c r="L98" s="76">
        <f t="array" ref="L98">ROUND(INDEX(INDIRECT("PnL_"&amp;TEXT(L$1,"mmm")&amp;"_"&amp;TEXT(L$1,"yyyy")),MATCH(TRIM($A97),PnL_Accounts,0))-L97,2)</f>
        <v>0</v>
      </c>
      <c r="M98" s="76">
        <f t="array" ref="M98">ROUND(INDEX(INDIRECT("PnL_"&amp;TEXT(M$1,"mmm")&amp;"_"&amp;TEXT(M$1,"yyyy")),MATCH(TRIM($A97),PnL_Accounts,0))-M97,2)</f>
        <v>0</v>
      </c>
      <c r="N98" s="76">
        <f t="array" ref="N98">ROUND(INDEX(INDIRECT("PnL_"&amp;TEXT(N$1,"mmm")&amp;"_"&amp;TEXT(N$1,"yyyy")),MATCH(TRIM($A97),PnL_Accounts,0))-N97,2)</f>
        <v>0</v>
      </c>
      <c r="O98" s="76">
        <f t="array" ref="O98">ROUND(INDEX(INDIRECT("PnL_"&amp;TEXT(O$1,"mmm")&amp;"_"&amp;TEXT(O$1,"yyyy")),MATCH(TRIM($A97),PnL_Accounts,0))-O97,2)</f>
        <v>0</v>
      </c>
      <c r="P98" s="76">
        <f t="array" ref="P98">ROUND(INDEX(INDIRECT("PnL_"&amp;TEXT(P$1,"mmm")&amp;"_"&amp;TEXT(P$1,"yyyy")),MATCH(TRIM($A97),PnL_Accounts,0))-P97,2)</f>
        <v>0</v>
      </c>
      <c r="Q98" s="76">
        <f t="array" ref="Q98">ROUND(INDEX(INDIRECT("PnL_"&amp;TEXT(Q$1,"mmm")&amp;"_"&amp;TEXT(Q$1,"yyyy")),MATCH(TRIM($A97),PnL_Accounts,0))-Q97,2)</f>
        <v>0</v>
      </c>
      <c r="R98" s="76">
        <f t="array" ref="R98">ROUND(INDEX(INDIRECT("PnL_"&amp;TEXT(R$1,"mmm")&amp;"_"&amp;TEXT(R$1,"yyyy")),MATCH(TRIM($A97),PnL_Accounts,0))-R97,2)</f>
        <v>0</v>
      </c>
      <c r="S98" s="76">
        <f t="array" ref="S98">ROUND(INDEX(INDIRECT("PnL_"&amp;TEXT(S$1,"mmm")&amp;"_"&amp;TEXT(S$1,"yyyy")),MATCH(TRIM($A97),PnL_Accounts,0))-S97,2)</f>
        <v>0</v>
      </c>
      <c r="T98" s="76">
        <f t="array" ref="T98">ROUND(INDEX(INDIRECT("PnL_"&amp;TEXT(T$1,"mmm")&amp;"_"&amp;TEXT(T$1,"yyyy")),MATCH(TRIM($A97),PnL_Accounts,0))-T97,2)</f>
        <v>0</v>
      </c>
      <c r="U98" s="76">
        <f t="array" ref="U98">ROUND(INDEX(INDIRECT("PnL_"&amp;TEXT(U$1,"mmm")&amp;"_"&amp;TEXT(U$1,"yyyy")),MATCH(TRIM($A97),PnL_Accounts,0))-U97,2)</f>
        <v>0</v>
      </c>
      <c r="V98" s="76">
        <f t="array" ref="V98">ROUND(INDEX(INDIRECT("PnL_"&amp;TEXT(V$1,"mmm")&amp;"_"&amp;TEXT(V$1,"yyyy")),MATCH(TRIM($A97),PnL_Accounts,0))-V97,2)</f>
        <v>0</v>
      </c>
      <c r="W98" s="76">
        <f t="array" ref="W98">ROUND(INDEX(INDIRECT("PnL_"&amp;TEXT(W$1,"mmm")&amp;"_"&amp;TEXT(W$1,"yyyy")),MATCH(TRIM($A97),PnL_Accounts,0))-W97,2)</f>
        <v>0</v>
      </c>
      <c r="X98" s="76">
        <f t="array" ref="X98">ROUND(INDEX(INDIRECT("PnL_"&amp;TEXT(X$1,"mmm")&amp;"_"&amp;TEXT(X$1,"yyyy")),MATCH(TRIM($A97),PnL_Accounts,0))-X97,2)</f>
        <v>0</v>
      </c>
      <c r="Y98" s="76">
        <f t="array" ref="Y98">ROUND(INDEX(INDIRECT("PnL_"&amp;TEXT(Y$1,"mmm")&amp;"_"&amp;TEXT(Y$1,"yyyy")),MATCH(TRIM($A97),PnL_Accounts,0))-Y97,2)</f>
        <v>0</v>
      </c>
      <c r="Z98" s="76">
        <f t="array" ref="Z98">ROUND(INDEX(INDIRECT("PnL_"&amp;TEXT(Z$1,"mmm")&amp;"_"&amp;TEXT(Z$1,"yyyy")),MATCH(TRIM($A97),PnL_Accounts,0))-Z97,2)</f>
        <v>0</v>
      </c>
      <c r="AA98" s="76">
        <f t="array" ref="AA98">ROUND(INDEX(INDIRECT("PnL_"&amp;TEXT(AA$1,"mmm")&amp;"_"&amp;TEXT(AA$1,"yyyy")),MATCH(TRIM($A97),PnL_Accounts,0))-AA97,2)</f>
        <v>0</v>
      </c>
      <c r="AB98" s="76">
        <f t="array" ref="AB98">ROUND(INDEX(INDIRECT("PnL_"&amp;TEXT(AB$1,"mmm")&amp;"_"&amp;TEXT(AB$1,"yyyy")),MATCH(TRIM($A97),PnL_Accounts,0))-AB97,2)</f>
        <v>0</v>
      </c>
      <c r="AC98" s="76">
        <f t="array" ref="AC98">ROUND(INDEX(INDIRECT("PnL_"&amp;TEXT(AC$1,"mmm")&amp;"_"&amp;TEXT(AC$1,"yyyy")),MATCH(TRIM($A97),PnL_Accounts,0))-AC97,2)</f>
        <v>0</v>
      </c>
      <c r="AD98" s="76">
        <f t="array" ref="AD98">ROUND(INDEX(INDIRECT("PnL_"&amp;TEXT(AD$1,"mmm")&amp;"_"&amp;TEXT(AD$1,"yyyy")),MATCH(TRIM($A97),PnL_Accounts,0))-AD97,2)</f>
        <v>0</v>
      </c>
      <c r="AE98" s="76">
        <f t="array" ref="AE98">ROUND(INDEX(INDIRECT("PnL_"&amp;TEXT(AE$1,"mmm")&amp;"_"&amp;TEXT(AE$1,"yyyy")),MATCH(TRIM($A97),PnL_Accounts,0))-AE97,2)</f>
        <v>0</v>
      </c>
    </row>
    <row r="99" ht="15.75" customHeight="1">
      <c r="B99" s="159"/>
    </row>
    <row r="100" ht="15.75" customHeight="1">
      <c r="A100" s="7" t="s">
        <v>324</v>
      </c>
      <c r="B100" s="159"/>
    </row>
    <row r="101" ht="15.75" customHeight="1">
      <c r="A101" s="1" t="s">
        <v>325</v>
      </c>
      <c r="B101" s="159"/>
    </row>
    <row r="102" ht="15.75" customHeight="1">
      <c r="A102" s="1" t="s">
        <v>326</v>
      </c>
      <c r="B102" s="159"/>
    </row>
    <row r="103" ht="15.75" customHeight="1">
      <c r="A103" s="1" t="s">
        <v>327</v>
      </c>
      <c r="B103" s="159"/>
      <c r="AF103" s="96" t="str">
        <f t="shared" ref="AF103:BW103" si="53">AE105+AF181</f>
        <v>#NAME?</v>
      </c>
      <c r="AG103" s="96" t="str">
        <f t="shared" si="53"/>
        <v>#NAME?</v>
      </c>
      <c r="AH103" s="96" t="str">
        <f t="shared" si="53"/>
        <v>#NAME?</v>
      </c>
      <c r="AI103" s="96" t="str">
        <f t="shared" si="53"/>
        <v>#NAME?</v>
      </c>
      <c r="AJ103" s="96" t="str">
        <f t="shared" si="53"/>
        <v>#NAME?</v>
      </c>
      <c r="AK103" s="96" t="str">
        <f t="shared" si="53"/>
        <v>#NAME?</v>
      </c>
      <c r="AL103" s="96" t="str">
        <f t="shared" si="53"/>
        <v>#NAME?</v>
      </c>
      <c r="AM103" s="96" t="str">
        <f t="shared" si="53"/>
        <v>#NAME?</v>
      </c>
      <c r="AN103" s="96" t="str">
        <f t="shared" si="53"/>
        <v>#NAME?</v>
      </c>
      <c r="AO103" s="96" t="str">
        <f t="shared" si="53"/>
        <v>#NAME?</v>
      </c>
      <c r="AP103" s="96" t="str">
        <f t="shared" si="53"/>
        <v>#NAME?</v>
      </c>
      <c r="AQ103" s="96" t="str">
        <f t="shared" si="53"/>
        <v>#NAME?</v>
      </c>
      <c r="AR103" s="96" t="str">
        <f t="shared" si="53"/>
        <v>#NAME?</v>
      </c>
      <c r="AS103" s="96" t="str">
        <f t="shared" si="53"/>
        <v>#NAME?</v>
      </c>
      <c r="AT103" s="96" t="str">
        <f t="shared" si="53"/>
        <v>#NAME?</v>
      </c>
      <c r="AU103" s="96" t="str">
        <f t="shared" si="53"/>
        <v>#NAME?</v>
      </c>
      <c r="AV103" s="96" t="str">
        <f t="shared" si="53"/>
        <v>#NAME?</v>
      </c>
      <c r="AW103" s="96" t="str">
        <f t="shared" si="53"/>
        <v>#NAME?</v>
      </c>
      <c r="AX103" s="96" t="str">
        <f t="shared" si="53"/>
        <v>#NAME?</v>
      </c>
      <c r="AY103" s="96" t="str">
        <f t="shared" si="53"/>
        <v>#NAME?</v>
      </c>
      <c r="AZ103" s="96" t="str">
        <f t="shared" si="53"/>
        <v>#NAME?</v>
      </c>
      <c r="BA103" s="96" t="str">
        <f t="shared" si="53"/>
        <v>#NAME?</v>
      </c>
      <c r="BB103" s="96" t="str">
        <f t="shared" si="53"/>
        <v>#NAME?</v>
      </c>
      <c r="BC103" s="96" t="str">
        <f t="shared" si="53"/>
        <v>#NAME?</v>
      </c>
      <c r="BD103" s="96" t="str">
        <f t="shared" si="53"/>
        <v>#NAME?</v>
      </c>
      <c r="BE103" s="96" t="str">
        <f t="shared" si="53"/>
        <v>#NAME?</v>
      </c>
      <c r="BF103" s="96" t="str">
        <f t="shared" si="53"/>
        <v>#NAME?</v>
      </c>
      <c r="BG103" s="96" t="str">
        <f t="shared" si="53"/>
        <v>#NAME?</v>
      </c>
      <c r="BH103" s="96" t="str">
        <f t="shared" si="53"/>
        <v>#NAME?</v>
      </c>
      <c r="BI103" s="96" t="str">
        <f t="shared" si="53"/>
        <v>#NAME?</v>
      </c>
      <c r="BJ103" s="96" t="str">
        <f t="shared" si="53"/>
        <v>#NAME?</v>
      </c>
      <c r="BK103" s="96" t="str">
        <f t="shared" si="53"/>
        <v>#NAME?</v>
      </c>
      <c r="BL103" s="96" t="str">
        <f t="shared" si="53"/>
        <v>#NAME?</v>
      </c>
      <c r="BM103" s="96" t="str">
        <f t="shared" si="53"/>
        <v>#NAME?</v>
      </c>
      <c r="BN103" s="96" t="str">
        <f t="shared" si="53"/>
        <v>#NAME?</v>
      </c>
      <c r="BO103" s="96" t="str">
        <f t="shared" si="53"/>
        <v>#NAME?</v>
      </c>
      <c r="BP103" s="1" t="str">
        <f t="shared" si="53"/>
        <v>#NAME?</v>
      </c>
      <c r="BQ103" s="1" t="str">
        <f t="shared" si="53"/>
        <v>#NAME?</v>
      </c>
      <c r="BR103" s="1" t="str">
        <f t="shared" si="53"/>
        <v>#NAME?</v>
      </c>
      <c r="BS103" s="1" t="str">
        <f t="shared" si="53"/>
        <v>#NAME?</v>
      </c>
      <c r="BT103" s="1" t="str">
        <f t="shared" si="53"/>
        <v>#NAME?</v>
      </c>
      <c r="BU103" s="1" t="str">
        <f t="shared" si="53"/>
        <v>#NAME?</v>
      </c>
      <c r="BV103" s="1" t="str">
        <f t="shared" si="53"/>
        <v>#NAME?</v>
      </c>
      <c r="BW103" s="1" t="str">
        <f t="shared" si="53"/>
        <v>#NAME?</v>
      </c>
    </row>
    <row r="104" ht="15.75" customHeight="1">
      <c r="A104" s="1" t="s">
        <v>328</v>
      </c>
      <c r="B104" s="159"/>
      <c r="D104" s="76">
        <f t="array" ref="D104">INDEX(INDIRECT("BS_"&amp;TEXT(D$1,"mmm")&amp;"_"&amp;TEXT(D$1,"yyyy")),MATCH(TRIM($A104),BS_Accounts,0))</f>
        <v>960680</v>
      </c>
      <c r="E104" s="76">
        <f t="array" ref="E104">INDEX(INDIRECT("BS_"&amp;TEXT(E$1,"mmm")&amp;"_"&amp;TEXT(E$1,"yyyy")),MATCH(TRIM($A104),BS_Accounts,0))</f>
        <v>970330</v>
      </c>
      <c r="F104" s="76">
        <f t="array" ref="F104">INDEX(INDIRECT("BS_"&amp;TEXT(F$1,"mmm")&amp;"_"&amp;TEXT(F$1,"yyyy")),MATCH(TRIM($A104),BS_Accounts,0))</f>
        <v>867374</v>
      </c>
      <c r="G104" s="76">
        <f t="array" ref="G104">INDEX(INDIRECT("BS_"&amp;TEXT(G$1,"mmm")&amp;"_"&amp;TEXT(G$1,"yyyy")),MATCH(TRIM($A104),BS_Accounts,0))</f>
        <v>772779</v>
      </c>
      <c r="H104" s="76">
        <f t="array" ref="H104">INDEX(INDIRECT("BS_"&amp;TEXT(H$1,"mmm")&amp;"_"&amp;TEXT(H$1,"yyyy")),MATCH(TRIM($A104),BS_Accounts,0))</f>
        <v>690714</v>
      </c>
      <c r="I104" s="76">
        <f t="array" ref="I104">INDEX(INDIRECT("BS_"&amp;TEXT(I$1,"mmm")&amp;"_"&amp;TEXT(I$1,"yyyy")),MATCH(TRIM($A104),BS_Accounts,0))</f>
        <v>612582</v>
      </c>
      <c r="J104" s="76">
        <f t="array" ref="J104">INDEX(INDIRECT("BS_"&amp;TEXT(J$1,"mmm")&amp;"_"&amp;TEXT(J$1,"yyyy")),MATCH(TRIM($A104),BS_Accounts,0))</f>
        <v>518537</v>
      </c>
      <c r="K104" s="76">
        <f t="array" ref="K104">INDEX(INDIRECT("BS_"&amp;TEXT(K$1,"mmm")&amp;"_"&amp;TEXT(K$1,"yyyy")),MATCH(TRIM($A104),BS_Accounts,0))</f>
        <v>428771</v>
      </c>
      <c r="L104" s="76">
        <f t="array" ref="L104">INDEX(INDIRECT("BS_"&amp;TEXT(L$1,"mmm")&amp;"_"&amp;TEXT(L$1,"yyyy")),MATCH(TRIM($A104),BS_Accounts,0))</f>
        <v>314326</v>
      </c>
      <c r="M104" s="76">
        <f t="array" ref="M104">INDEX(INDIRECT("BS_"&amp;TEXT(M$1,"mmm")&amp;"_"&amp;TEXT(M$1,"yyyy")),MATCH(TRIM($A104),BS_Accounts,0))</f>
        <v>782445</v>
      </c>
      <c r="N104" s="76">
        <f t="array" ref="N104">INDEX(INDIRECT("BS_"&amp;TEXT(N$1,"mmm")&amp;"_"&amp;TEXT(N$1,"yyyy")),MATCH(TRIM($A104),BS_Accounts,0))</f>
        <v>641848</v>
      </c>
      <c r="O104" s="76">
        <f t="array" ref="O104">INDEX(INDIRECT("BS_"&amp;TEXT(O$1,"mmm")&amp;"_"&amp;TEXT(O$1,"yyyy")),MATCH(TRIM($A104),BS_Accounts,0))</f>
        <v>464654</v>
      </c>
      <c r="P104" s="76">
        <f t="array" ref="P104">INDEX(INDIRECT("BS_"&amp;TEXT(P$1,"mmm")&amp;"_"&amp;TEXT(P$1,"yyyy")),MATCH(TRIM($A104),BS_Accounts,0))</f>
        <v>787530</v>
      </c>
      <c r="Q104" s="76">
        <f t="array" ref="Q104">INDEX(INDIRECT("BS_"&amp;TEXT(Q$1,"mmm")&amp;"_"&amp;TEXT(Q$1,"yyyy")),MATCH(TRIM($A104),BS_Accounts,0))</f>
        <v>597955</v>
      </c>
      <c r="R104" s="76">
        <f t="array" ref="R104">INDEX(INDIRECT("BS_"&amp;TEXT(R$1,"mmm")&amp;"_"&amp;TEXT(R$1,"yyyy")),MATCH(TRIM($A104),BS_Accounts,0))</f>
        <v>413824</v>
      </c>
      <c r="S104" s="76">
        <f t="array" ref="S104">INDEX(INDIRECT("BS_"&amp;TEXT(S$1,"mmm")&amp;"_"&amp;TEXT(S$1,"yyyy")),MATCH(TRIM($A104),BS_Accounts,0))</f>
        <v>284883</v>
      </c>
      <c r="T104" s="76">
        <f t="array" ref="T104">INDEX(INDIRECT("BS_"&amp;TEXT(T$1,"mmm")&amp;"_"&amp;TEXT(T$1,"yyyy")),MATCH(TRIM($A104),BS_Accounts,0))</f>
        <v>433129</v>
      </c>
      <c r="U104" s="76">
        <f t="array" ref="U104">INDEX(INDIRECT("BS_"&amp;TEXT(U$1,"mmm")&amp;"_"&amp;TEXT(U$1,"yyyy")),MATCH(TRIM($A104),BS_Accounts,0))</f>
        <v>310846</v>
      </c>
      <c r="V104" s="76">
        <f t="array" ref="V104">INDEX(INDIRECT("BS_"&amp;TEXT(V$1,"mmm")&amp;"_"&amp;TEXT(V$1,"yyyy")),MATCH(TRIM($A104),BS_Accounts,0))</f>
        <v>208372</v>
      </c>
      <c r="W104" s="76">
        <f t="array" ref="W104">INDEX(INDIRECT("BS_"&amp;TEXT(W$1,"mmm")&amp;"_"&amp;TEXT(W$1,"yyyy")),MATCH(TRIM($A104),BS_Accounts,0))</f>
        <v>125877</v>
      </c>
      <c r="X104" s="76">
        <f t="array" ref="X104">INDEX(INDIRECT("BS_"&amp;TEXT(X$1,"mmm")&amp;"_"&amp;TEXT(X$1,"yyyy")),MATCH(TRIM($A104),BS_Accounts,0))</f>
        <v>65839</v>
      </c>
      <c r="Y104" s="76">
        <f t="array" ref="Y104">INDEX(INDIRECT("BS_"&amp;TEXT(Y$1,"mmm")&amp;"_"&amp;TEXT(Y$1,"yyyy")),MATCH(TRIM($A104),BS_Accounts,0))</f>
        <v>338519</v>
      </c>
      <c r="Z104" s="76">
        <f t="array" ref="Z104">INDEX(INDIRECT("BS_"&amp;TEXT(Z$1,"mmm")&amp;"_"&amp;TEXT(Z$1,"yyyy")),MATCH(TRIM($A104),BS_Accounts,0))</f>
        <v>319614</v>
      </c>
      <c r="AA104" s="76">
        <f t="array" ref="AA104">INDEX(INDIRECT("BS_"&amp;TEXT(AA$1,"mmm")&amp;"_"&amp;TEXT(AA$1,"yyyy")),MATCH(TRIM($A104),BS_Accounts,0))</f>
        <v>295403</v>
      </c>
      <c r="AB104" s="76">
        <f t="array" ref="AB104">INDEX(INDIRECT("BS_"&amp;TEXT(AB$1,"mmm")&amp;"_"&amp;TEXT(AB$1,"yyyy")),MATCH(TRIM($A104),BS_Accounts,0))</f>
        <v>281579</v>
      </c>
      <c r="AC104" s="76">
        <f t="array" ref="AC104">INDEX(INDIRECT("BS_"&amp;TEXT(AC$1,"mmm")&amp;"_"&amp;TEXT(AC$1,"yyyy")),MATCH(TRIM($A104),BS_Accounts,0))</f>
        <v>255410</v>
      </c>
      <c r="AD104" s="76">
        <f t="array" ref="AD104">INDEX(INDIRECT("BS_"&amp;TEXT(AD$1,"mmm")&amp;"_"&amp;TEXT(AD$1,"yyyy")),MATCH(TRIM($A104),BS_Accounts,0))</f>
        <v>263817.19</v>
      </c>
      <c r="AE104" s="76">
        <f t="array" ref="AE104">INDEX(INDIRECT("BS_"&amp;TEXT(AE$1,"mmm")&amp;"_"&amp;TEXT(AE$1,"yyyy")),MATCH(TRIM($A104),BS_Accounts,0))</f>
        <v>263700.19</v>
      </c>
    </row>
    <row r="105" ht="15.75" customHeight="1">
      <c r="A105" s="21" t="s">
        <v>329</v>
      </c>
      <c r="B105" s="163"/>
      <c r="C105" s="21"/>
      <c r="D105" s="157">
        <f t="shared" ref="D105:BW105" si="54">SUM(D103:D104)</f>
        <v>960680</v>
      </c>
      <c r="E105" s="157">
        <f t="shared" si="54"/>
        <v>970330</v>
      </c>
      <c r="F105" s="157">
        <f t="shared" si="54"/>
        <v>867374</v>
      </c>
      <c r="G105" s="157">
        <f t="shared" si="54"/>
        <v>772779</v>
      </c>
      <c r="H105" s="157">
        <f t="shared" si="54"/>
        <v>690714</v>
      </c>
      <c r="I105" s="157">
        <f t="shared" si="54"/>
        <v>612582</v>
      </c>
      <c r="J105" s="157">
        <f t="shared" si="54"/>
        <v>518537</v>
      </c>
      <c r="K105" s="157">
        <f t="shared" si="54"/>
        <v>428771</v>
      </c>
      <c r="L105" s="157">
        <f t="shared" si="54"/>
        <v>314326</v>
      </c>
      <c r="M105" s="157">
        <f t="shared" si="54"/>
        <v>782445</v>
      </c>
      <c r="N105" s="157">
        <f t="shared" si="54"/>
        <v>641848</v>
      </c>
      <c r="O105" s="157">
        <f t="shared" si="54"/>
        <v>464654</v>
      </c>
      <c r="P105" s="157">
        <f t="shared" si="54"/>
        <v>787530</v>
      </c>
      <c r="Q105" s="157">
        <f t="shared" si="54"/>
        <v>597955</v>
      </c>
      <c r="R105" s="157">
        <f t="shared" si="54"/>
        <v>413824</v>
      </c>
      <c r="S105" s="157">
        <f t="shared" si="54"/>
        <v>284883</v>
      </c>
      <c r="T105" s="157">
        <f t="shared" si="54"/>
        <v>433129</v>
      </c>
      <c r="U105" s="157">
        <f t="shared" si="54"/>
        <v>310846</v>
      </c>
      <c r="V105" s="157">
        <f t="shared" si="54"/>
        <v>208372</v>
      </c>
      <c r="W105" s="157">
        <f t="shared" si="54"/>
        <v>125877</v>
      </c>
      <c r="X105" s="157">
        <f t="shared" si="54"/>
        <v>65839</v>
      </c>
      <c r="Y105" s="157">
        <f t="shared" si="54"/>
        <v>338519</v>
      </c>
      <c r="Z105" s="157">
        <f t="shared" si="54"/>
        <v>319614</v>
      </c>
      <c r="AA105" s="157">
        <f t="shared" si="54"/>
        <v>295403</v>
      </c>
      <c r="AB105" s="157">
        <f t="shared" si="54"/>
        <v>281579</v>
      </c>
      <c r="AC105" s="157">
        <f t="shared" si="54"/>
        <v>255410</v>
      </c>
      <c r="AD105" s="157">
        <f t="shared" si="54"/>
        <v>263817.19</v>
      </c>
      <c r="AE105" s="157">
        <f t="shared" si="54"/>
        <v>263700.19</v>
      </c>
      <c r="AF105" s="157" t="str">
        <f t="shared" si="54"/>
        <v>#NAME?</v>
      </c>
      <c r="AG105" s="157" t="str">
        <f t="shared" si="54"/>
        <v>#NAME?</v>
      </c>
      <c r="AH105" s="157" t="str">
        <f t="shared" si="54"/>
        <v>#NAME?</v>
      </c>
      <c r="AI105" s="157" t="str">
        <f t="shared" si="54"/>
        <v>#NAME?</v>
      </c>
      <c r="AJ105" s="157" t="str">
        <f t="shared" si="54"/>
        <v>#NAME?</v>
      </c>
      <c r="AK105" s="157" t="str">
        <f t="shared" si="54"/>
        <v>#NAME?</v>
      </c>
      <c r="AL105" s="157" t="str">
        <f t="shared" si="54"/>
        <v>#NAME?</v>
      </c>
      <c r="AM105" s="157" t="str">
        <f t="shared" si="54"/>
        <v>#NAME?</v>
      </c>
      <c r="AN105" s="157" t="str">
        <f t="shared" si="54"/>
        <v>#NAME?</v>
      </c>
      <c r="AO105" s="157" t="str">
        <f t="shared" si="54"/>
        <v>#NAME?</v>
      </c>
      <c r="AP105" s="157" t="str">
        <f t="shared" si="54"/>
        <v>#NAME?</v>
      </c>
      <c r="AQ105" s="157" t="str">
        <f t="shared" si="54"/>
        <v>#NAME?</v>
      </c>
      <c r="AR105" s="157" t="str">
        <f t="shared" si="54"/>
        <v>#NAME?</v>
      </c>
      <c r="AS105" s="157" t="str">
        <f t="shared" si="54"/>
        <v>#NAME?</v>
      </c>
      <c r="AT105" s="157" t="str">
        <f t="shared" si="54"/>
        <v>#NAME?</v>
      </c>
      <c r="AU105" s="157" t="str">
        <f t="shared" si="54"/>
        <v>#NAME?</v>
      </c>
      <c r="AV105" s="157" t="str">
        <f t="shared" si="54"/>
        <v>#NAME?</v>
      </c>
      <c r="AW105" s="157" t="str">
        <f t="shared" si="54"/>
        <v>#NAME?</v>
      </c>
      <c r="AX105" s="157" t="str">
        <f t="shared" si="54"/>
        <v>#NAME?</v>
      </c>
      <c r="AY105" s="157" t="str">
        <f t="shared" si="54"/>
        <v>#NAME?</v>
      </c>
      <c r="AZ105" s="157" t="str">
        <f t="shared" si="54"/>
        <v>#NAME?</v>
      </c>
      <c r="BA105" s="157" t="str">
        <f t="shared" si="54"/>
        <v>#NAME?</v>
      </c>
      <c r="BB105" s="157" t="str">
        <f t="shared" si="54"/>
        <v>#NAME?</v>
      </c>
      <c r="BC105" s="157" t="str">
        <f t="shared" si="54"/>
        <v>#NAME?</v>
      </c>
      <c r="BD105" s="157" t="str">
        <f t="shared" si="54"/>
        <v>#NAME?</v>
      </c>
      <c r="BE105" s="157" t="str">
        <f t="shared" si="54"/>
        <v>#NAME?</v>
      </c>
      <c r="BF105" s="157" t="str">
        <f t="shared" si="54"/>
        <v>#NAME?</v>
      </c>
      <c r="BG105" s="157" t="str">
        <f t="shared" si="54"/>
        <v>#NAME?</v>
      </c>
      <c r="BH105" s="157" t="str">
        <f t="shared" si="54"/>
        <v>#NAME?</v>
      </c>
      <c r="BI105" s="157" t="str">
        <f t="shared" si="54"/>
        <v>#NAME?</v>
      </c>
      <c r="BJ105" s="157" t="str">
        <f t="shared" si="54"/>
        <v>#NAME?</v>
      </c>
      <c r="BK105" s="157" t="str">
        <f t="shared" si="54"/>
        <v>#NAME?</v>
      </c>
      <c r="BL105" s="157" t="str">
        <f t="shared" si="54"/>
        <v>#NAME?</v>
      </c>
      <c r="BM105" s="157" t="str">
        <f t="shared" si="54"/>
        <v>#NAME?</v>
      </c>
      <c r="BN105" s="157" t="str">
        <f t="shared" si="54"/>
        <v>#NAME?</v>
      </c>
      <c r="BO105" s="157" t="str">
        <f t="shared" si="54"/>
        <v>#NAME?</v>
      </c>
      <c r="BP105" s="157" t="str">
        <f t="shared" si="54"/>
        <v>#NAME?</v>
      </c>
      <c r="BQ105" s="157" t="str">
        <f t="shared" si="54"/>
        <v>#NAME?</v>
      </c>
      <c r="BR105" s="157" t="str">
        <f t="shared" si="54"/>
        <v>#NAME?</v>
      </c>
      <c r="BS105" s="157" t="str">
        <f t="shared" si="54"/>
        <v>#NAME?</v>
      </c>
      <c r="BT105" s="157" t="str">
        <f t="shared" si="54"/>
        <v>#NAME?</v>
      </c>
      <c r="BU105" s="157" t="str">
        <f t="shared" si="54"/>
        <v>#NAME?</v>
      </c>
      <c r="BV105" s="157" t="str">
        <f t="shared" si="54"/>
        <v>#NAME?</v>
      </c>
      <c r="BW105" s="157" t="str">
        <f t="shared" si="54"/>
        <v>#NAME?</v>
      </c>
    </row>
    <row r="106" ht="15.75" customHeight="1">
      <c r="A106" s="21" t="s">
        <v>330</v>
      </c>
      <c r="B106" s="163"/>
      <c r="C106" s="21"/>
      <c r="D106" s="157">
        <f t="shared" ref="D106:BW106" si="55">SUM(D105)</f>
        <v>960680</v>
      </c>
      <c r="E106" s="157">
        <f t="shared" si="55"/>
        <v>970330</v>
      </c>
      <c r="F106" s="157">
        <f t="shared" si="55"/>
        <v>867374</v>
      </c>
      <c r="G106" s="157">
        <f t="shared" si="55"/>
        <v>772779</v>
      </c>
      <c r="H106" s="157">
        <f t="shared" si="55"/>
        <v>690714</v>
      </c>
      <c r="I106" s="157">
        <f t="shared" si="55"/>
        <v>612582</v>
      </c>
      <c r="J106" s="157">
        <f t="shared" si="55"/>
        <v>518537</v>
      </c>
      <c r="K106" s="157">
        <f t="shared" si="55"/>
        <v>428771</v>
      </c>
      <c r="L106" s="157">
        <f t="shared" si="55"/>
        <v>314326</v>
      </c>
      <c r="M106" s="157">
        <f t="shared" si="55"/>
        <v>782445</v>
      </c>
      <c r="N106" s="157">
        <f t="shared" si="55"/>
        <v>641848</v>
      </c>
      <c r="O106" s="157">
        <f t="shared" si="55"/>
        <v>464654</v>
      </c>
      <c r="P106" s="157">
        <f t="shared" si="55"/>
        <v>787530</v>
      </c>
      <c r="Q106" s="157">
        <f t="shared" si="55"/>
        <v>597955</v>
      </c>
      <c r="R106" s="157">
        <f t="shared" si="55"/>
        <v>413824</v>
      </c>
      <c r="S106" s="157">
        <f t="shared" si="55"/>
        <v>284883</v>
      </c>
      <c r="T106" s="157">
        <f t="shared" si="55"/>
        <v>433129</v>
      </c>
      <c r="U106" s="157">
        <f t="shared" si="55"/>
        <v>310846</v>
      </c>
      <c r="V106" s="157">
        <f t="shared" si="55"/>
        <v>208372</v>
      </c>
      <c r="W106" s="157">
        <f t="shared" si="55"/>
        <v>125877</v>
      </c>
      <c r="X106" s="157">
        <f t="shared" si="55"/>
        <v>65839</v>
      </c>
      <c r="Y106" s="157">
        <f t="shared" si="55"/>
        <v>338519</v>
      </c>
      <c r="Z106" s="157">
        <f t="shared" si="55"/>
        <v>319614</v>
      </c>
      <c r="AA106" s="157">
        <f t="shared" si="55"/>
        <v>295403</v>
      </c>
      <c r="AB106" s="157">
        <f t="shared" si="55"/>
        <v>281579</v>
      </c>
      <c r="AC106" s="157">
        <f t="shared" si="55"/>
        <v>255410</v>
      </c>
      <c r="AD106" s="157">
        <f t="shared" si="55"/>
        <v>263817.19</v>
      </c>
      <c r="AE106" s="157">
        <f t="shared" si="55"/>
        <v>263700.19</v>
      </c>
      <c r="AF106" s="157" t="str">
        <f t="shared" si="55"/>
        <v>#NAME?</v>
      </c>
      <c r="AG106" s="157" t="str">
        <f t="shared" si="55"/>
        <v>#NAME?</v>
      </c>
      <c r="AH106" s="157" t="str">
        <f t="shared" si="55"/>
        <v>#NAME?</v>
      </c>
      <c r="AI106" s="157" t="str">
        <f t="shared" si="55"/>
        <v>#NAME?</v>
      </c>
      <c r="AJ106" s="157" t="str">
        <f t="shared" si="55"/>
        <v>#NAME?</v>
      </c>
      <c r="AK106" s="157" t="str">
        <f t="shared" si="55"/>
        <v>#NAME?</v>
      </c>
      <c r="AL106" s="157" t="str">
        <f t="shared" si="55"/>
        <v>#NAME?</v>
      </c>
      <c r="AM106" s="157" t="str">
        <f t="shared" si="55"/>
        <v>#NAME?</v>
      </c>
      <c r="AN106" s="157" t="str">
        <f t="shared" si="55"/>
        <v>#NAME?</v>
      </c>
      <c r="AO106" s="157" t="str">
        <f t="shared" si="55"/>
        <v>#NAME?</v>
      </c>
      <c r="AP106" s="157" t="str">
        <f t="shared" si="55"/>
        <v>#NAME?</v>
      </c>
      <c r="AQ106" s="157" t="str">
        <f t="shared" si="55"/>
        <v>#NAME?</v>
      </c>
      <c r="AR106" s="157" t="str">
        <f t="shared" si="55"/>
        <v>#NAME?</v>
      </c>
      <c r="AS106" s="157" t="str">
        <f t="shared" si="55"/>
        <v>#NAME?</v>
      </c>
      <c r="AT106" s="157" t="str">
        <f t="shared" si="55"/>
        <v>#NAME?</v>
      </c>
      <c r="AU106" s="157" t="str">
        <f t="shared" si="55"/>
        <v>#NAME?</v>
      </c>
      <c r="AV106" s="157" t="str">
        <f t="shared" si="55"/>
        <v>#NAME?</v>
      </c>
      <c r="AW106" s="157" t="str">
        <f t="shared" si="55"/>
        <v>#NAME?</v>
      </c>
      <c r="AX106" s="157" t="str">
        <f t="shared" si="55"/>
        <v>#NAME?</v>
      </c>
      <c r="AY106" s="157" t="str">
        <f t="shared" si="55"/>
        <v>#NAME?</v>
      </c>
      <c r="AZ106" s="157" t="str">
        <f t="shared" si="55"/>
        <v>#NAME?</v>
      </c>
      <c r="BA106" s="157" t="str">
        <f t="shared" si="55"/>
        <v>#NAME?</v>
      </c>
      <c r="BB106" s="157" t="str">
        <f t="shared" si="55"/>
        <v>#NAME?</v>
      </c>
      <c r="BC106" s="157" t="str">
        <f t="shared" si="55"/>
        <v>#NAME?</v>
      </c>
      <c r="BD106" s="157" t="str">
        <f t="shared" si="55"/>
        <v>#NAME?</v>
      </c>
      <c r="BE106" s="157" t="str">
        <f t="shared" si="55"/>
        <v>#NAME?</v>
      </c>
      <c r="BF106" s="157" t="str">
        <f t="shared" si="55"/>
        <v>#NAME?</v>
      </c>
      <c r="BG106" s="157" t="str">
        <f t="shared" si="55"/>
        <v>#NAME?</v>
      </c>
      <c r="BH106" s="157" t="str">
        <f t="shared" si="55"/>
        <v>#NAME?</v>
      </c>
      <c r="BI106" s="157" t="str">
        <f t="shared" si="55"/>
        <v>#NAME?</v>
      </c>
      <c r="BJ106" s="157" t="str">
        <f t="shared" si="55"/>
        <v>#NAME?</v>
      </c>
      <c r="BK106" s="157" t="str">
        <f t="shared" si="55"/>
        <v>#NAME?</v>
      </c>
      <c r="BL106" s="157" t="str">
        <f t="shared" si="55"/>
        <v>#NAME?</v>
      </c>
      <c r="BM106" s="157" t="str">
        <f t="shared" si="55"/>
        <v>#NAME?</v>
      </c>
      <c r="BN106" s="157" t="str">
        <f t="shared" si="55"/>
        <v>#NAME?</v>
      </c>
      <c r="BO106" s="157" t="str">
        <f t="shared" si="55"/>
        <v>#NAME?</v>
      </c>
      <c r="BP106" s="157" t="str">
        <f t="shared" si="55"/>
        <v>#NAME?</v>
      </c>
      <c r="BQ106" s="157" t="str">
        <f t="shared" si="55"/>
        <v>#NAME?</v>
      </c>
      <c r="BR106" s="157" t="str">
        <f t="shared" si="55"/>
        <v>#NAME?</v>
      </c>
      <c r="BS106" s="157" t="str">
        <f t="shared" si="55"/>
        <v>#NAME?</v>
      </c>
      <c r="BT106" s="157" t="str">
        <f t="shared" si="55"/>
        <v>#NAME?</v>
      </c>
      <c r="BU106" s="157" t="str">
        <f t="shared" si="55"/>
        <v>#NAME?</v>
      </c>
      <c r="BV106" s="157" t="str">
        <f t="shared" si="55"/>
        <v>#NAME?</v>
      </c>
      <c r="BW106" s="157" t="str">
        <f t="shared" si="55"/>
        <v>#NAME?</v>
      </c>
    </row>
    <row r="107" ht="15.75" customHeight="1">
      <c r="A107" s="31" t="s">
        <v>244</v>
      </c>
      <c r="B107" s="159"/>
      <c r="D107" s="76">
        <f t="array" ref="D107">INDEX(INDIRECT("BS_"&amp;TEXT(D$1,"mmm")&amp;"_"&amp;TEXT(D$1,"yyyy")),MATCH(TRIM($A106),BS_Accounts,0))-D106</f>
        <v>0</v>
      </c>
      <c r="E107" s="76">
        <f t="array" ref="E107">INDEX(INDIRECT("BS_"&amp;TEXT(E$1,"mmm")&amp;"_"&amp;TEXT(E$1,"yyyy")),MATCH(TRIM($A106),BS_Accounts,0))-E106</f>
        <v>0</v>
      </c>
      <c r="F107" s="76">
        <f t="array" ref="F107">INDEX(INDIRECT("BS_"&amp;TEXT(F$1,"mmm")&amp;"_"&amp;TEXT(F$1,"yyyy")),MATCH(TRIM($A106),BS_Accounts,0))-F106</f>
        <v>0</v>
      </c>
      <c r="G107" s="76">
        <f t="array" ref="G107">INDEX(INDIRECT("BS_"&amp;TEXT(G$1,"mmm")&amp;"_"&amp;TEXT(G$1,"yyyy")),MATCH(TRIM($A106),BS_Accounts,0))-G106</f>
        <v>0</v>
      </c>
      <c r="H107" s="76">
        <f t="array" ref="H107">INDEX(INDIRECT("BS_"&amp;TEXT(H$1,"mmm")&amp;"_"&amp;TEXT(H$1,"yyyy")),MATCH(TRIM($A106),BS_Accounts,0))-H106</f>
        <v>0</v>
      </c>
      <c r="I107" s="76">
        <f t="array" ref="I107">INDEX(INDIRECT("BS_"&amp;TEXT(I$1,"mmm")&amp;"_"&amp;TEXT(I$1,"yyyy")),MATCH(TRIM($A106),BS_Accounts,0))-I106</f>
        <v>0</v>
      </c>
      <c r="J107" s="76">
        <f t="array" ref="J107">INDEX(INDIRECT("BS_"&amp;TEXT(J$1,"mmm")&amp;"_"&amp;TEXT(J$1,"yyyy")),MATCH(TRIM($A106),BS_Accounts,0))-J106</f>
        <v>0</v>
      </c>
      <c r="K107" s="76">
        <f t="array" ref="K107">INDEX(INDIRECT("BS_"&amp;TEXT(K$1,"mmm")&amp;"_"&amp;TEXT(K$1,"yyyy")),MATCH(TRIM($A106),BS_Accounts,0))-K106</f>
        <v>0</v>
      </c>
      <c r="L107" s="76">
        <f t="array" ref="L107">INDEX(INDIRECT("BS_"&amp;TEXT(L$1,"mmm")&amp;"_"&amp;TEXT(L$1,"yyyy")),MATCH(TRIM($A106),BS_Accounts,0))-L106</f>
        <v>0</v>
      </c>
      <c r="M107" s="76">
        <f t="array" ref="M107">INDEX(INDIRECT("BS_"&amp;TEXT(M$1,"mmm")&amp;"_"&amp;TEXT(M$1,"yyyy")),MATCH(TRIM($A106),BS_Accounts,0))-M106</f>
        <v>0</v>
      </c>
      <c r="N107" s="76">
        <f t="array" ref="N107">INDEX(INDIRECT("BS_"&amp;TEXT(N$1,"mmm")&amp;"_"&amp;TEXT(N$1,"yyyy")),MATCH(TRIM($A106),BS_Accounts,0))-N106</f>
        <v>0</v>
      </c>
      <c r="O107" s="76">
        <f t="array" ref="O107">INDEX(INDIRECT("BS_"&amp;TEXT(O$1,"mmm")&amp;"_"&amp;TEXT(O$1,"yyyy")),MATCH(TRIM($A106),BS_Accounts,0))-O106</f>
        <v>0</v>
      </c>
      <c r="P107" s="76">
        <f t="array" ref="P107">INDEX(INDIRECT("BS_"&amp;TEXT(P$1,"mmm")&amp;"_"&amp;TEXT(P$1,"yyyy")),MATCH(TRIM($A106),BS_Accounts,0))-P106</f>
        <v>0</v>
      </c>
      <c r="Q107" s="76">
        <f t="array" ref="Q107">INDEX(INDIRECT("BS_"&amp;TEXT(Q$1,"mmm")&amp;"_"&amp;TEXT(Q$1,"yyyy")),MATCH(TRIM($A106),BS_Accounts,0))-Q106</f>
        <v>0</v>
      </c>
      <c r="R107" s="76">
        <f t="array" ref="R107">INDEX(INDIRECT("BS_"&amp;TEXT(R$1,"mmm")&amp;"_"&amp;TEXT(R$1,"yyyy")),MATCH(TRIM($A106),BS_Accounts,0))-R106</f>
        <v>0</v>
      </c>
      <c r="S107" s="76">
        <f t="array" ref="S107">INDEX(INDIRECT("BS_"&amp;TEXT(S$1,"mmm")&amp;"_"&amp;TEXT(S$1,"yyyy")),MATCH(TRIM($A106),BS_Accounts,0))-S106</f>
        <v>0</v>
      </c>
      <c r="T107" s="76">
        <f t="array" ref="T107">INDEX(INDIRECT("BS_"&amp;TEXT(T$1,"mmm")&amp;"_"&amp;TEXT(T$1,"yyyy")),MATCH(TRIM($A106),BS_Accounts,0))-T106</f>
        <v>0</v>
      </c>
      <c r="U107" s="76">
        <f t="array" ref="U107">INDEX(INDIRECT("BS_"&amp;TEXT(U$1,"mmm")&amp;"_"&amp;TEXT(U$1,"yyyy")),MATCH(TRIM($A106),BS_Accounts,0))-U106</f>
        <v>0</v>
      </c>
      <c r="V107" s="76">
        <f t="array" ref="V107">INDEX(INDIRECT("BS_"&amp;TEXT(V$1,"mmm")&amp;"_"&amp;TEXT(V$1,"yyyy")),MATCH(TRIM($A106),BS_Accounts,0))-V106</f>
        <v>0</v>
      </c>
      <c r="W107" s="76">
        <f t="array" ref="W107">INDEX(INDIRECT("BS_"&amp;TEXT(W$1,"mmm")&amp;"_"&amp;TEXT(W$1,"yyyy")),MATCH(TRIM($A106),BS_Accounts,0))-W106</f>
        <v>0</v>
      </c>
      <c r="X107" s="76">
        <f t="array" ref="X107">INDEX(INDIRECT("BS_"&amp;TEXT(X$1,"mmm")&amp;"_"&amp;TEXT(X$1,"yyyy")),MATCH(TRIM($A106),BS_Accounts,0))-X106</f>
        <v>0</v>
      </c>
      <c r="Y107" s="76">
        <f t="array" ref="Y107">INDEX(INDIRECT("BS_"&amp;TEXT(Y$1,"mmm")&amp;"_"&amp;TEXT(Y$1,"yyyy")),MATCH(TRIM($A106),BS_Accounts,0))-Y106</f>
        <v>0</v>
      </c>
      <c r="Z107" s="76">
        <f t="array" ref="Z107">INDEX(INDIRECT("BS_"&amp;TEXT(Z$1,"mmm")&amp;"_"&amp;TEXT(Z$1,"yyyy")),MATCH(TRIM($A106),BS_Accounts,0))-Z106</f>
        <v>0</v>
      </c>
      <c r="AA107" s="76">
        <f t="array" ref="AA107">INDEX(INDIRECT("BS_"&amp;TEXT(AA$1,"mmm")&amp;"_"&amp;TEXT(AA$1,"yyyy")),MATCH(TRIM($A106),BS_Accounts,0))-AA106</f>
        <v>0</v>
      </c>
      <c r="AB107" s="76">
        <f t="array" ref="AB107">INDEX(INDIRECT("BS_"&amp;TEXT(AB$1,"mmm")&amp;"_"&amp;TEXT(AB$1,"yyyy")),MATCH(TRIM($A106),BS_Accounts,0))-AB106</f>
        <v>0</v>
      </c>
      <c r="AC107" s="76">
        <f t="array" ref="AC107">INDEX(INDIRECT("BS_"&amp;TEXT(AC$1,"mmm")&amp;"_"&amp;TEXT(AC$1,"yyyy")),MATCH(TRIM($A106),BS_Accounts,0))-AC106</f>
        <v>0</v>
      </c>
      <c r="AD107" s="76">
        <f t="array" ref="AD107">INDEX(INDIRECT("BS_"&amp;TEXT(AD$1,"mmm")&amp;"_"&amp;TEXT(AD$1,"yyyy")),MATCH(TRIM($A106),BS_Accounts,0))-AD106</f>
        <v>0</v>
      </c>
      <c r="AE107" s="76">
        <f t="array" ref="AE107">INDEX(INDIRECT("BS_"&amp;TEXT(AE$1,"mmm")&amp;"_"&amp;TEXT(AE$1,"yyyy")),MATCH(TRIM($A106),BS_Accounts,0))-AE106</f>
        <v>0</v>
      </c>
    </row>
    <row r="108" ht="15.75" customHeight="1">
      <c r="A108" s="1" t="s">
        <v>331</v>
      </c>
      <c r="B108" s="159"/>
    </row>
    <row r="109" ht="15.75" customHeight="1">
      <c r="A109" s="1" t="s">
        <v>332</v>
      </c>
      <c r="B109" s="160">
        <f>AVERAGEIFS(109:109,$1:$1,"&gt;="&amp;DATE(YEAR(Current_Month),MONTH(Current_Month),DAY(Current_Month)),$1:$1,"&lt;="&amp;EOMONTH(Current_Month,0))</f>
        <v>0</v>
      </c>
      <c r="D109" s="76">
        <f t="array" ref="D109">INDEX(INDIRECT("BS_"&amp;TEXT(D$1,"mmm")&amp;"_"&amp;TEXT(D$1,"yyyy")),MATCH(TRIM($A109),BS_Accounts,0))</f>
        <v>0</v>
      </c>
      <c r="E109" s="76">
        <f t="array" ref="E109">INDEX(INDIRECT("BS_"&amp;TEXT(E$1,"mmm")&amp;"_"&amp;TEXT(E$1,"yyyy")),MATCH(TRIM($A109),BS_Accounts,0))</f>
        <v>0</v>
      </c>
      <c r="F109" s="76">
        <f t="array" ref="F109">INDEX(INDIRECT("BS_"&amp;TEXT(F$1,"mmm")&amp;"_"&amp;TEXT(F$1,"yyyy")),MATCH(TRIM($A109),BS_Accounts,0))</f>
        <v>0</v>
      </c>
      <c r="G109" s="76">
        <f t="array" ref="G109">INDEX(INDIRECT("BS_"&amp;TEXT(G$1,"mmm")&amp;"_"&amp;TEXT(G$1,"yyyy")),MATCH(TRIM($A109),BS_Accounts,0))</f>
        <v>0</v>
      </c>
      <c r="H109" s="76">
        <f t="array" ref="H109">INDEX(INDIRECT("BS_"&amp;TEXT(H$1,"mmm")&amp;"_"&amp;TEXT(H$1,"yyyy")),MATCH(TRIM($A109),BS_Accounts,0))</f>
        <v>0</v>
      </c>
      <c r="I109" s="76">
        <f t="array" ref="I109">INDEX(INDIRECT("BS_"&amp;TEXT(I$1,"mmm")&amp;"_"&amp;TEXT(I$1,"yyyy")),MATCH(TRIM($A109),BS_Accounts,0))</f>
        <v>0</v>
      </c>
      <c r="J109" s="76">
        <f t="array" ref="J109">INDEX(INDIRECT("BS_"&amp;TEXT(J$1,"mmm")&amp;"_"&amp;TEXT(J$1,"yyyy")),MATCH(TRIM($A109),BS_Accounts,0))</f>
        <v>0</v>
      </c>
      <c r="K109" s="76">
        <f t="array" ref="K109">INDEX(INDIRECT("BS_"&amp;TEXT(K$1,"mmm")&amp;"_"&amp;TEXT(K$1,"yyyy")),MATCH(TRIM($A109),BS_Accounts,0))</f>
        <v>0</v>
      </c>
      <c r="L109" s="76">
        <f t="array" ref="L109">INDEX(INDIRECT("BS_"&amp;TEXT(L$1,"mmm")&amp;"_"&amp;TEXT(L$1,"yyyy")),MATCH(TRIM($A109),BS_Accounts,0))</f>
        <v>0</v>
      </c>
      <c r="M109" s="76">
        <f t="array" ref="M109">INDEX(INDIRECT("BS_"&amp;TEXT(M$1,"mmm")&amp;"_"&amp;TEXT(M$1,"yyyy")),MATCH(TRIM($A109),BS_Accounts,0))</f>
        <v>0</v>
      </c>
      <c r="N109" s="76">
        <f t="array" ref="N109">INDEX(INDIRECT("BS_"&amp;TEXT(N$1,"mmm")&amp;"_"&amp;TEXT(N$1,"yyyy")),MATCH(TRIM($A109),BS_Accounts,0))</f>
        <v>0</v>
      </c>
      <c r="O109" s="76">
        <f t="array" ref="O109">INDEX(INDIRECT("BS_"&amp;TEXT(O$1,"mmm")&amp;"_"&amp;TEXT(O$1,"yyyy")),MATCH(TRIM($A109),BS_Accounts,0))</f>
        <v>0</v>
      </c>
      <c r="P109" s="76">
        <f t="array" ref="P109">INDEX(INDIRECT("BS_"&amp;TEXT(P$1,"mmm")&amp;"_"&amp;TEXT(P$1,"yyyy")),MATCH(TRIM($A109),BS_Accounts,0))</f>
        <v>0</v>
      </c>
      <c r="Q109" s="76">
        <f t="array" ref="Q109">INDEX(INDIRECT("BS_"&amp;TEXT(Q$1,"mmm")&amp;"_"&amp;TEXT(Q$1,"yyyy")),MATCH(TRIM($A109),BS_Accounts,0))</f>
        <v>0</v>
      </c>
      <c r="R109" s="76">
        <f t="array" ref="R109">INDEX(INDIRECT("BS_"&amp;TEXT(R$1,"mmm")&amp;"_"&amp;TEXT(R$1,"yyyy")),MATCH(TRIM($A109),BS_Accounts,0))</f>
        <v>0</v>
      </c>
      <c r="S109" s="76">
        <f t="array" ref="S109">INDEX(INDIRECT("BS_"&amp;TEXT(S$1,"mmm")&amp;"_"&amp;TEXT(S$1,"yyyy")),MATCH(TRIM($A109),BS_Accounts,0))</f>
        <v>0</v>
      </c>
      <c r="T109" s="76">
        <f t="array" ref="T109">INDEX(INDIRECT("BS_"&amp;TEXT(T$1,"mmm")&amp;"_"&amp;TEXT(T$1,"yyyy")),MATCH(TRIM($A109),BS_Accounts,0))</f>
        <v>0</v>
      </c>
      <c r="U109" s="76">
        <f t="array" ref="U109">INDEX(INDIRECT("BS_"&amp;TEXT(U$1,"mmm")&amp;"_"&amp;TEXT(U$1,"yyyy")),MATCH(TRIM($A109),BS_Accounts,0))</f>
        <v>0</v>
      </c>
      <c r="V109" s="76">
        <f t="array" ref="V109">INDEX(INDIRECT("BS_"&amp;TEXT(V$1,"mmm")&amp;"_"&amp;TEXT(V$1,"yyyy")),MATCH(TRIM($A109),BS_Accounts,0))</f>
        <v>0</v>
      </c>
      <c r="W109" s="76">
        <f t="array" ref="W109">INDEX(INDIRECT("BS_"&amp;TEXT(W$1,"mmm")&amp;"_"&amp;TEXT(W$1,"yyyy")),MATCH(TRIM($A109),BS_Accounts,0))</f>
        <v>0</v>
      </c>
      <c r="X109" s="76">
        <f t="array" ref="X109">INDEX(INDIRECT("BS_"&amp;TEXT(X$1,"mmm")&amp;"_"&amp;TEXT(X$1,"yyyy")),MATCH(TRIM($A109),BS_Accounts,0))</f>
        <v>0</v>
      </c>
      <c r="Y109" s="76">
        <f t="array" ref="Y109">INDEX(INDIRECT("BS_"&amp;TEXT(Y$1,"mmm")&amp;"_"&amp;TEXT(Y$1,"yyyy")),MATCH(TRIM($A109),BS_Accounts,0))</f>
        <v>0</v>
      </c>
      <c r="Z109" s="76">
        <f t="array" ref="Z109">INDEX(INDIRECT("BS_"&amp;TEXT(Z$1,"mmm")&amp;"_"&amp;TEXT(Z$1,"yyyy")),MATCH(TRIM($A109),BS_Accounts,0))</f>
        <v>0</v>
      </c>
      <c r="AA109" s="76">
        <f t="array" ref="AA109">INDEX(INDIRECT("BS_"&amp;TEXT(AA$1,"mmm")&amp;"_"&amp;TEXT(AA$1,"yyyy")),MATCH(TRIM($A109),BS_Accounts,0))</f>
        <v>0</v>
      </c>
      <c r="AB109" s="76">
        <f t="array" ref="AB109">INDEX(INDIRECT("BS_"&amp;TEXT(AB$1,"mmm")&amp;"_"&amp;TEXT(AB$1,"yyyy")),MATCH(TRIM($A109),BS_Accounts,0))</f>
        <v>0</v>
      </c>
      <c r="AC109" s="76">
        <f t="array" ref="AC109">INDEX(INDIRECT("BS_"&amp;TEXT(AC$1,"mmm")&amp;"_"&amp;TEXT(AC$1,"yyyy")),MATCH(TRIM($A109),BS_Accounts,0))</f>
        <v>0</v>
      </c>
      <c r="AD109" s="76">
        <f t="array" ref="AD109">INDEX(INDIRECT("BS_"&amp;TEXT(AD$1,"mmm")&amp;"_"&amp;TEXT(AD$1,"yyyy")),MATCH(TRIM($A109),BS_Accounts,0))</f>
        <v>0</v>
      </c>
      <c r="AE109" s="76">
        <f t="array" ref="AE109">INDEX(INDIRECT("BS_"&amp;TEXT(AE$1,"mmm")&amp;"_"&amp;TEXT(AE$1,"yyyy")),MATCH(TRIM($A109),BS_Accounts,0))</f>
        <v>0</v>
      </c>
      <c r="AF109" s="96">
        <f t="shared" ref="AF109:BW109" si="56">$B109</f>
        <v>0</v>
      </c>
      <c r="AG109" s="96">
        <f t="shared" si="56"/>
        <v>0</v>
      </c>
      <c r="AH109" s="96">
        <f t="shared" si="56"/>
        <v>0</v>
      </c>
      <c r="AI109" s="96">
        <f t="shared" si="56"/>
        <v>0</v>
      </c>
      <c r="AJ109" s="96">
        <f t="shared" si="56"/>
        <v>0</v>
      </c>
      <c r="AK109" s="96">
        <f t="shared" si="56"/>
        <v>0</v>
      </c>
      <c r="AL109" s="96">
        <f t="shared" si="56"/>
        <v>0</v>
      </c>
      <c r="AM109" s="96">
        <f t="shared" si="56"/>
        <v>0</v>
      </c>
      <c r="AN109" s="96">
        <f t="shared" si="56"/>
        <v>0</v>
      </c>
      <c r="AO109" s="96">
        <f t="shared" si="56"/>
        <v>0</v>
      </c>
      <c r="AP109" s="96">
        <f t="shared" si="56"/>
        <v>0</v>
      </c>
      <c r="AQ109" s="96">
        <f t="shared" si="56"/>
        <v>0</v>
      </c>
      <c r="AR109" s="96">
        <f t="shared" si="56"/>
        <v>0</v>
      </c>
      <c r="AS109" s="96">
        <f t="shared" si="56"/>
        <v>0</v>
      </c>
      <c r="AT109" s="96">
        <f t="shared" si="56"/>
        <v>0</v>
      </c>
      <c r="AU109" s="96">
        <f t="shared" si="56"/>
        <v>0</v>
      </c>
      <c r="AV109" s="96">
        <f t="shared" si="56"/>
        <v>0</v>
      </c>
      <c r="AW109" s="96">
        <f t="shared" si="56"/>
        <v>0</v>
      </c>
      <c r="AX109" s="96">
        <f t="shared" si="56"/>
        <v>0</v>
      </c>
      <c r="AY109" s="96">
        <f t="shared" si="56"/>
        <v>0</v>
      </c>
      <c r="AZ109" s="96">
        <f t="shared" si="56"/>
        <v>0</v>
      </c>
      <c r="BA109" s="96">
        <f t="shared" si="56"/>
        <v>0</v>
      </c>
      <c r="BB109" s="96">
        <f t="shared" si="56"/>
        <v>0</v>
      </c>
      <c r="BC109" s="96">
        <f t="shared" si="56"/>
        <v>0</v>
      </c>
      <c r="BD109" s="96">
        <f t="shared" si="56"/>
        <v>0</v>
      </c>
      <c r="BE109" s="96">
        <f t="shared" si="56"/>
        <v>0</v>
      </c>
      <c r="BF109" s="96">
        <f t="shared" si="56"/>
        <v>0</v>
      </c>
      <c r="BG109" s="96">
        <f t="shared" si="56"/>
        <v>0</v>
      </c>
      <c r="BH109" s="96">
        <f t="shared" si="56"/>
        <v>0</v>
      </c>
      <c r="BI109" s="96">
        <f t="shared" si="56"/>
        <v>0</v>
      </c>
      <c r="BJ109" s="96">
        <f t="shared" si="56"/>
        <v>0</v>
      </c>
      <c r="BK109" s="96">
        <f t="shared" si="56"/>
        <v>0</v>
      </c>
      <c r="BL109" s="96">
        <f t="shared" si="56"/>
        <v>0</v>
      </c>
      <c r="BM109" s="96">
        <f t="shared" si="56"/>
        <v>0</v>
      </c>
      <c r="BN109" s="96">
        <f t="shared" si="56"/>
        <v>0</v>
      </c>
      <c r="BO109" s="96">
        <f t="shared" si="56"/>
        <v>0</v>
      </c>
      <c r="BP109" s="96">
        <f t="shared" si="56"/>
        <v>0</v>
      </c>
      <c r="BQ109" s="96">
        <f t="shared" si="56"/>
        <v>0</v>
      </c>
      <c r="BR109" s="96">
        <f t="shared" si="56"/>
        <v>0</v>
      </c>
      <c r="BS109" s="96">
        <f t="shared" si="56"/>
        <v>0</v>
      </c>
      <c r="BT109" s="96">
        <f t="shared" si="56"/>
        <v>0</v>
      </c>
      <c r="BU109" s="96">
        <f t="shared" si="56"/>
        <v>0</v>
      </c>
      <c r="BV109" s="96">
        <f t="shared" si="56"/>
        <v>0</v>
      </c>
      <c r="BW109" s="96">
        <f t="shared" si="56"/>
        <v>0</v>
      </c>
    </row>
    <row r="110" ht="15.75" customHeight="1">
      <c r="A110" s="1" t="s">
        <v>333</v>
      </c>
      <c r="B110" s="160">
        <f>AVERAGEIFS(110:110,$1:$1,"&gt;="&amp;DATE(YEAR(Current_Month),MONTH(Current_Month),DAY(Current_Month)),$1:$1,"&lt;="&amp;EOMONTH(Current_Month,0))</f>
        <v>0</v>
      </c>
      <c r="D110" s="76">
        <f t="array" ref="D110">INDEX(INDIRECT("BS_"&amp;TEXT(D$1,"mmm")&amp;"_"&amp;TEXT(D$1,"yyyy")),MATCH(TRIM($A110),BS_Accounts,0))</f>
        <v>0</v>
      </c>
      <c r="E110" s="76">
        <f t="array" ref="E110">INDEX(INDIRECT("BS_"&amp;TEXT(E$1,"mmm")&amp;"_"&amp;TEXT(E$1,"yyyy")),MATCH(TRIM($A110),BS_Accounts,0))</f>
        <v>0</v>
      </c>
      <c r="F110" s="76">
        <f t="array" ref="F110">INDEX(INDIRECT("BS_"&amp;TEXT(F$1,"mmm")&amp;"_"&amp;TEXT(F$1,"yyyy")),MATCH(TRIM($A110),BS_Accounts,0))</f>
        <v>0</v>
      </c>
      <c r="G110" s="76">
        <f t="array" ref="G110">INDEX(INDIRECT("BS_"&amp;TEXT(G$1,"mmm")&amp;"_"&amp;TEXT(G$1,"yyyy")),MATCH(TRIM($A110),BS_Accounts,0))</f>
        <v>0</v>
      </c>
      <c r="H110" s="76">
        <f t="array" ref="H110">INDEX(INDIRECT("BS_"&amp;TEXT(H$1,"mmm")&amp;"_"&amp;TEXT(H$1,"yyyy")),MATCH(TRIM($A110),BS_Accounts,0))</f>
        <v>0</v>
      </c>
      <c r="I110" s="76">
        <f t="array" ref="I110">INDEX(INDIRECT("BS_"&amp;TEXT(I$1,"mmm")&amp;"_"&amp;TEXT(I$1,"yyyy")),MATCH(TRIM($A110),BS_Accounts,0))</f>
        <v>0</v>
      </c>
      <c r="J110" s="76">
        <f t="array" ref="J110">INDEX(INDIRECT("BS_"&amp;TEXT(J$1,"mmm")&amp;"_"&amp;TEXT(J$1,"yyyy")),MATCH(TRIM($A110),BS_Accounts,0))</f>
        <v>0</v>
      </c>
      <c r="K110" s="76">
        <f t="array" ref="K110">INDEX(INDIRECT("BS_"&amp;TEXT(K$1,"mmm")&amp;"_"&amp;TEXT(K$1,"yyyy")),MATCH(TRIM($A110),BS_Accounts,0))</f>
        <v>0</v>
      </c>
      <c r="L110" s="76">
        <f t="array" ref="L110">INDEX(INDIRECT("BS_"&amp;TEXT(L$1,"mmm")&amp;"_"&amp;TEXT(L$1,"yyyy")),MATCH(TRIM($A110),BS_Accounts,0))</f>
        <v>0</v>
      </c>
      <c r="M110" s="76">
        <f t="array" ref="M110">INDEX(INDIRECT("BS_"&amp;TEXT(M$1,"mmm")&amp;"_"&amp;TEXT(M$1,"yyyy")),MATCH(TRIM($A110),BS_Accounts,0))</f>
        <v>0</v>
      </c>
      <c r="N110" s="76">
        <f t="array" ref="N110">INDEX(INDIRECT("BS_"&amp;TEXT(N$1,"mmm")&amp;"_"&amp;TEXT(N$1,"yyyy")),MATCH(TRIM($A110),BS_Accounts,0))</f>
        <v>0</v>
      </c>
      <c r="O110" s="76">
        <f t="array" ref="O110">INDEX(INDIRECT("BS_"&amp;TEXT(O$1,"mmm")&amp;"_"&amp;TEXT(O$1,"yyyy")),MATCH(TRIM($A110),BS_Accounts,0))</f>
        <v>0</v>
      </c>
      <c r="P110" s="76">
        <f t="array" ref="P110">INDEX(INDIRECT("BS_"&amp;TEXT(P$1,"mmm")&amp;"_"&amp;TEXT(P$1,"yyyy")),MATCH(TRIM($A110),BS_Accounts,0))</f>
        <v>0</v>
      </c>
      <c r="Q110" s="76">
        <f t="array" ref="Q110">INDEX(INDIRECT("BS_"&amp;TEXT(Q$1,"mmm")&amp;"_"&amp;TEXT(Q$1,"yyyy")),MATCH(TRIM($A110),BS_Accounts,0))</f>
        <v>0</v>
      </c>
      <c r="R110" s="76">
        <f t="array" ref="R110">INDEX(INDIRECT("BS_"&amp;TEXT(R$1,"mmm")&amp;"_"&amp;TEXT(R$1,"yyyy")),MATCH(TRIM($A110),BS_Accounts,0))</f>
        <v>0</v>
      </c>
      <c r="S110" s="76">
        <f t="array" ref="S110">INDEX(INDIRECT("BS_"&amp;TEXT(S$1,"mmm")&amp;"_"&amp;TEXT(S$1,"yyyy")),MATCH(TRIM($A110),BS_Accounts,0))</f>
        <v>0</v>
      </c>
      <c r="T110" s="76">
        <f t="array" ref="T110">INDEX(INDIRECT("BS_"&amp;TEXT(T$1,"mmm")&amp;"_"&amp;TEXT(T$1,"yyyy")),MATCH(TRIM($A110),BS_Accounts,0))</f>
        <v>0</v>
      </c>
      <c r="U110" s="76">
        <f t="array" ref="U110">INDEX(INDIRECT("BS_"&amp;TEXT(U$1,"mmm")&amp;"_"&amp;TEXT(U$1,"yyyy")),MATCH(TRIM($A110),BS_Accounts,0))</f>
        <v>0</v>
      </c>
      <c r="V110" s="76">
        <f t="array" ref="V110">INDEX(INDIRECT("BS_"&amp;TEXT(V$1,"mmm")&amp;"_"&amp;TEXT(V$1,"yyyy")),MATCH(TRIM($A110),BS_Accounts,0))</f>
        <v>0</v>
      </c>
      <c r="W110" s="76">
        <f t="array" ref="W110">INDEX(INDIRECT("BS_"&amp;TEXT(W$1,"mmm")&amp;"_"&amp;TEXT(W$1,"yyyy")),MATCH(TRIM($A110),BS_Accounts,0))</f>
        <v>0</v>
      </c>
      <c r="X110" s="76">
        <f t="array" ref="X110">INDEX(INDIRECT("BS_"&amp;TEXT(X$1,"mmm")&amp;"_"&amp;TEXT(X$1,"yyyy")),MATCH(TRIM($A110),BS_Accounts,0))</f>
        <v>0</v>
      </c>
      <c r="Y110" s="76">
        <f t="array" ref="Y110">INDEX(INDIRECT("BS_"&amp;TEXT(Y$1,"mmm")&amp;"_"&amp;TEXT(Y$1,"yyyy")),MATCH(TRIM($A110),BS_Accounts,0))</f>
        <v>0</v>
      </c>
      <c r="Z110" s="76">
        <f t="array" ref="Z110">INDEX(INDIRECT("BS_"&amp;TEXT(Z$1,"mmm")&amp;"_"&amp;TEXT(Z$1,"yyyy")),MATCH(TRIM($A110),BS_Accounts,0))</f>
        <v>0</v>
      </c>
      <c r="AA110" s="76">
        <f t="array" ref="AA110">INDEX(INDIRECT("BS_"&amp;TEXT(AA$1,"mmm")&amp;"_"&amp;TEXT(AA$1,"yyyy")),MATCH(TRIM($A110),BS_Accounts,0))</f>
        <v>0</v>
      </c>
      <c r="AB110" s="76">
        <f t="array" ref="AB110">INDEX(INDIRECT("BS_"&amp;TEXT(AB$1,"mmm")&amp;"_"&amp;TEXT(AB$1,"yyyy")),MATCH(TRIM($A110),BS_Accounts,0))</f>
        <v>0</v>
      </c>
      <c r="AC110" s="76">
        <f t="array" ref="AC110">INDEX(INDIRECT("BS_"&amp;TEXT(AC$1,"mmm")&amp;"_"&amp;TEXT(AC$1,"yyyy")),MATCH(TRIM($A110),BS_Accounts,0))</f>
        <v>0</v>
      </c>
      <c r="AD110" s="76">
        <f t="array" ref="AD110">INDEX(INDIRECT("BS_"&amp;TEXT(AD$1,"mmm")&amp;"_"&amp;TEXT(AD$1,"yyyy")),MATCH(TRIM($A110),BS_Accounts,0))</f>
        <v>0</v>
      </c>
      <c r="AE110" s="76">
        <f t="array" ref="AE110">INDEX(INDIRECT("BS_"&amp;TEXT(AE$1,"mmm")&amp;"_"&amp;TEXT(AE$1,"yyyy")),MATCH(TRIM($A110),BS_Accounts,0))</f>
        <v>0</v>
      </c>
      <c r="AF110" s="96">
        <f t="shared" ref="AF110:BW110" si="57">$B110</f>
        <v>0</v>
      </c>
      <c r="AG110" s="96">
        <f t="shared" si="57"/>
        <v>0</v>
      </c>
      <c r="AH110" s="96">
        <f t="shared" si="57"/>
        <v>0</v>
      </c>
      <c r="AI110" s="96">
        <f t="shared" si="57"/>
        <v>0</v>
      </c>
      <c r="AJ110" s="96">
        <f t="shared" si="57"/>
        <v>0</v>
      </c>
      <c r="AK110" s="96">
        <f t="shared" si="57"/>
        <v>0</v>
      </c>
      <c r="AL110" s="96">
        <f t="shared" si="57"/>
        <v>0</v>
      </c>
      <c r="AM110" s="96">
        <f t="shared" si="57"/>
        <v>0</v>
      </c>
      <c r="AN110" s="96">
        <f t="shared" si="57"/>
        <v>0</v>
      </c>
      <c r="AO110" s="96">
        <f t="shared" si="57"/>
        <v>0</v>
      </c>
      <c r="AP110" s="96">
        <f t="shared" si="57"/>
        <v>0</v>
      </c>
      <c r="AQ110" s="96">
        <f t="shared" si="57"/>
        <v>0</v>
      </c>
      <c r="AR110" s="96">
        <f t="shared" si="57"/>
        <v>0</v>
      </c>
      <c r="AS110" s="96">
        <f t="shared" si="57"/>
        <v>0</v>
      </c>
      <c r="AT110" s="96">
        <f t="shared" si="57"/>
        <v>0</v>
      </c>
      <c r="AU110" s="96">
        <f t="shared" si="57"/>
        <v>0</v>
      </c>
      <c r="AV110" s="96">
        <f t="shared" si="57"/>
        <v>0</v>
      </c>
      <c r="AW110" s="96">
        <f t="shared" si="57"/>
        <v>0</v>
      </c>
      <c r="AX110" s="96">
        <f t="shared" si="57"/>
        <v>0</v>
      </c>
      <c r="AY110" s="96">
        <f t="shared" si="57"/>
        <v>0</v>
      </c>
      <c r="AZ110" s="96">
        <f t="shared" si="57"/>
        <v>0</v>
      </c>
      <c r="BA110" s="96">
        <f t="shared" si="57"/>
        <v>0</v>
      </c>
      <c r="BB110" s="96">
        <f t="shared" si="57"/>
        <v>0</v>
      </c>
      <c r="BC110" s="96">
        <f t="shared" si="57"/>
        <v>0</v>
      </c>
      <c r="BD110" s="96">
        <f t="shared" si="57"/>
        <v>0</v>
      </c>
      <c r="BE110" s="96">
        <f t="shared" si="57"/>
        <v>0</v>
      </c>
      <c r="BF110" s="96">
        <f t="shared" si="57"/>
        <v>0</v>
      </c>
      <c r="BG110" s="96">
        <f t="shared" si="57"/>
        <v>0</v>
      </c>
      <c r="BH110" s="96">
        <f t="shared" si="57"/>
        <v>0</v>
      </c>
      <c r="BI110" s="96">
        <f t="shared" si="57"/>
        <v>0</v>
      </c>
      <c r="BJ110" s="96">
        <f t="shared" si="57"/>
        <v>0</v>
      </c>
      <c r="BK110" s="96">
        <f t="shared" si="57"/>
        <v>0</v>
      </c>
      <c r="BL110" s="96">
        <f t="shared" si="57"/>
        <v>0</v>
      </c>
      <c r="BM110" s="96">
        <f t="shared" si="57"/>
        <v>0</v>
      </c>
      <c r="BN110" s="96">
        <f t="shared" si="57"/>
        <v>0</v>
      </c>
      <c r="BO110" s="96">
        <f t="shared" si="57"/>
        <v>0</v>
      </c>
      <c r="BP110" s="96">
        <f t="shared" si="57"/>
        <v>0</v>
      </c>
      <c r="BQ110" s="96">
        <f t="shared" si="57"/>
        <v>0</v>
      </c>
      <c r="BR110" s="96">
        <f t="shared" si="57"/>
        <v>0</v>
      </c>
      <c r="BS110" s="96">
        <f t="shared" si="57"/>
        <v>0</v>
      </c>
      <c r="BT110" s="96">
        <f t="shared" si="57"/>
        <v>0</v>
      </c>
      <c r="BU110" s="96">
        <f t="shared" si="57"/>
        <v>0</v>
      </c>
      <c r="BV110" s="96">
        <f t="shared" si="57"/>
        <v>0</v>
      </c>
      <c r="BW110" s="96">
        <f t="shared" si="57"/>
        <v>0</v>
      </c>
    </row>
    <row r="111" ht="15.75" customHeight="1">
      <c r="A111" s="21" t="s">
        <v>334</v>
      </c>
      <c r="B111" s="163"/>
      <c r="C111" s="21"/>
      <c r="D111" s="157">
        <f t="shared" ref="D111:BW111" si="58">SUM(D109:D110)</f>
        <v>0</v>
      </c>
      <c r="E111" s="157">
        <f t="shared" si="58"/>
        <v>0</v>
      </c>
      <c r="F111" s="157">
        <f t="shared" si="58"/>
        <v>0</v>
      </c>
      <c r="G111" s="157">
        <f t="shared" si="58"/>
        <v>0</v>
      </c>
      <c r="H111" s="157">
        <f t="shared" si="58"/>
        <v>0</v>
      </c>
      <c r="I111" s="157">
        <f t="shared" si="58"/>
        <v>0</v>
      </c>
      <c r="J111" s="157">
        <f t="shared" si="58"/>
        <v>0</v>
      </c>
      <c r="K111" s="157">
        <f t="shared" si="58"/>
        <v>0</v>
      </c>
      <c r="L111" s="157">
        <f t="shared" si="58"/>
        <v>0</v>
      </c>
      <c r="M111" s="157">
        <f t="shared" si="58"/>
        <v>0</v>
      </c>
      <c r="N111" s="157">
        <f t="shared" si="58"/>
        <v>0</v>
      </c>
      <c r="O111" s="157">
        <f t="shared" si="58"/>
        <v>0</v>
      </c>
      <c r="P111" s="157">
        <f t="shared" si="58"/>
        <v>0</v>
      </c>
      <c r="Q111" s="157">
        <f t="shared" si="58"/>
        <v>0</v>
      </c>
      <c r="R111" s="157">
        <f t="shared" si="58"/>
        <v>0</v>
      </c>
      <c r="S111" s="157">
        <f t="shared" si="58"/>
        <v>0</v>
      </c>
      <c r="T111" s="157">
        <f t="shared" si="58"/>
        <v>0</v>
      </c>
      <c r="U111" s="157">
        <f t="shared" si="58"/>
        <v>0</v>
      </c>
      <c r="V111" s="157">
        <f t="shared" si="58"/>
        <v>0</v>
      </c>
      <c r="W111" s="157">
        <f t="shared" si="58"/>
        <v>0</v>
      </c>
      <c r="X111" s="157">
        <f t="shared" si="58"/>
        <v>0</v>
      </c>
      <c r="Y111" s="157">
        <f t="shared" si="58"/>
        <v>0</v>
      </c>
      <c r="Z111" s="157">
        <f t="shared" si="58"/>
        <v>0</v>
      </c>
      <c r="AA111" s="157">
        <f t="shared" si="58"/>
        <v>0</v>
      </c>
      <c r="AB111" s="157">
        <f t="shared" si="58"/>
        <v>0</v>
      </c>
      <c r="AC111" s="157">
        <f t="shared" si="58"/>
        <v>0</v>
      </c>
      <c r="AD111" s="157">
        <f t="shared" si="58"/>
        <v>0</v>
      </c>
      <c r="AE111" s="157">
        <f t="shared" si="58"/>
        <v>0</v>
      </c>
      <c r="AF111" s="157">
        <f t="shared" si="58"/>
        <v>0</v>
      </c>
      <c r="AG111" s="157">
        <f t="shared" si="58"/>
        <v>0</v>
      </c>
      <c r="AH111" s="157">
        <f t="shared" si="58"/>
        <v>0</v>
      </c>
      <c r="AI111" s="157">
        <f t="shared" si="58"/>
        <v>0</v>
      </c>
      <c r="AJ111" s="157">
        <f t="shared" si="58"/>
        <v>0</v>
      </c>
      <c r="AK111" s="157">
        <f t="shared" si="58"/>
        <v>0</v>
      </c>
      <c r="AL111" s="157">
        <f t="shared" si="58"/>
        <v>0</v>
      </c>
      <c r="AM111" s="157">
        <f t="shared" si="58"/>
        <v>0</v>
      </c>
      <c r="AN111" s="157">
        <f t="shared" si="58"/>
        <v>0</v>
      </c>
      <c r="AO111" s="157">
        <f t="shared" si="58"/>
        <v>0</v>
      </c>
      <c r="AP111" s="157">
        <f t="shared" si="58"/>
        <v>0</v>
      </c>
      <c r="AQ111" s="157">
        <f t="shared" si="58"/>
        <v>0</v>
      </c>
      <c r="AR111" s="157">
        <f t="shared" si="58"/>
        <v>0</v>
      </c>
      <c r="AS111" s="157">
        <f t="shared" si="58"/>
        <v>0</v>
      </c>
      <c r="AT111" s="157">
        <f t="shared" si="58"/>
        <v>0</v>
      </c>
      <c r="AU111" s="157">
        <f t="shared" si="58"/>
        <v>0</v>
      </c>
      <c r="AV111" s="157">
        <f t="shared" si="58"/>
        <v>0</v>
      </c>
      <c r="AW111" s="157">
        <f t="shared" si="58"/>
        <v>0</v>
      </c>
      <c r="AX111" s="157">
        <f t="shared" si="58"/>
        <v>0</v>
      </c>
      <c r="AY111" s="157">
        <f t="shared" si="58"/>
        <v>0</v>
      </c>
      <c r="AZ111" s="157">
        <f t="shared" si="58"/>
        <v>0</v>
      </c>
      <c r="BA111" s="157">
        <f t="shared" si="58"/>
        <v>0</v>
      </c>
      <c r="BB111" s="157">
        <f t="shared" si="58"/>
        <v>0</v>
      </c>
      <c r="BC111" s="157">
        <f t="shared" si="58"/>
        <v>0</v>
      </c>
      <c r="BD111" s="157">
        <f t="shared" si="58"/>
        <v>0</v>
      </c>
      <c r="BE111" s="157">
        <f t="shared" si="58"/>
        <v>0</v>
      </c>
      <c r="BF111" s="157">
        <f t="shared" si="58"/>
        <v>0</v>
      </c>
      <c r="BG111" s="157">
        <f t="shared" si="58"/>
        <v>0</v>
      </c>
      <c r="BH111" s="157">
        <f t="shared" si="58"/>
        <v>0</v>
      </c>
      <c r="BI111" s="157">
        <f t="shared" si="58"/>
        <v>0</v>
      </c>
      <c r="BJ111" s="157">
        <f t="shared" si="58"/>
        <v>0</v>
      </c>
      <c r="BK111" s="157">
        <f t="shared" si="58"/>
        <v>0</v>
      </c>
      <c r="BL111" s="157">
        <f t="shared" si="58"/>
        <v>0</v>
      </c>
      <c r="BM111" s="157">
        <f t="shared" si="58"/>
        <v>0</v>
      </c>
      <c r="BN111" s="157">
        <f t="shared" si="58"/>
        <v>0</v>
      </c>
      <c r="BO111" s="157">
        <f t="shared" si="58"/>
        <v>0</v>
      </c>
      <c r="BP111" s="157">
        <f t="shared" si="58"/>
        <v>0</v>
      </c>
      <c r="BQ111" s="157">
        <f t="shared" si="58"/>
        <v>0</v>
      </c>
      <c r="BR111" s="157">
        <f t="shared" si="58"/>
        <v>0</v>
      </c>
      <c r="BS111" s="157">
        <f t="shared" si="58"/>
        <v>0</v>
      </c>
      <c r="BT111" s="157">
        <f t="shared" si="58"/>
        <v>0</v>
      </c>
      <c r="BU111" s="157">
        <f t="shared" si="58"/>
        <v>0</v>
      </c>
      <c r="BV111" s="157">
        <f t="shared" si="58"/>
        <v>0</v>
      </c>
      <c r="BW111" s="157">
        <f t="shared" si="58"/>
        <v>0</v>
      </c>
    </row>
    <row r="112" ht="15.75" customHeight="1">
      <c r="A112" s="31" t="s">
        <v>244</v>
      </c>
      <c r="B112" s="159"/>
      <c r="D112" s="76">
        <f t="array" ref="D112">INDEX(INDIRECT("BS_"&amp;TEXT(D$1,"mmm")&amp;"_"&amp;TEXT(D$1,"yyyy")),MATCH(TRIM($A111),BS_Accounts,0))-D111</f>
        <v>0</v>
      </c>
      <c r="E112" s="76">
        <f t="array" ref="E112">INDEX(INDIRECT("BS_"&amp;TEXT(E$1,"mmm")&amp;"_"&amp;TEXT(E$1,"yyyy")),MATCH(TRIM($A111),BS_Accounts,0))-E111</f>
        <v>0</v>
      </c>
      <c r="F112" s="76">
        <f t="array" ref="F112">INDEX(INDIRECT("BS_"&amp;TEXT(F$1,"mmm")&amp;"_"&amp;TEXT(F$1,"yyyy")),MATCH(TRIM($A111),BS_Accounts,0))-F111</f>
        <v>0</v>
      </c>
      <c r="G112" s="76">
        <f t="array" ref="G112">INDEX(INDIRECT("BS_"&amp;TEXT(G$1,"mmm")&amp;"_"&amp;TEXT(G$1,"yyyy")),MATCH(TRIM($A111),BS_Accounts,0))-G111</f>
        <v>0</v>
      </c>
      <c r="H112" s="76">
        <f t="array" ref="H112">INDEX(INDIRECT("BS_"&amp;TEXT(H$1,"mmm")&amp;"_"&amp;TEXT(H$1,"yyyy")),MATCH(TRIM($A111),BS_Accounts,0))-H111</f>
        <v>0</v>
      </c>
      <c r="I112" s="76">
        <f t="array" ref="I112">INDEX(INDIRECT("BS_"&amp;TEXT(I$1,"mmm")&amp;"_"&amp;TEXT(I$1,"yyyy")),MATCH(TRIM($A111),BS_Accounts,0))-I111</f>
        <v>0</v>
      </c>
      <c r="J112" s="76">
        <f t="array" ref="J112">INDEX(INDIRECT("BS_"&amp;TEXT(J$1,"mmm")&amp;"_"&amp;TEXT(J$1,"yyyy")),MATCH(TRIM($A111),BS_Accounts,0))-J111</f>
        <v>0</v>
      </c>
      <c r="K112" s="76">
        <f t="array" ref="K112">INDEX(INDIRECT("BS_"&amp;TEXT(K$1,"mmm")&amp;"_"&amp;TEXT(K$1,"yyyy")),MATCH(TRIM($A111),BS_Accounts,0))-K111</f>
        <v>0</v>
      </c>
      <c r="L112" s="76">
        <f t="array" ref="L112">INDEX(INDIRECT("BS_"&amp;TEXT(L$1,"mmm")&amp;"_"&amp;TEXT(L$1,"yyyy")),MATCH(TRIM($A111),BS_Accounts,0))-L111</f>
        <v>0</v>
      </c>
      <c r="M112" s="76">
        <f t="array" ref="M112">INDEX(INDIRECT("BS_"&amp;TEXT(M$1,"mmm")&amp;"_"&amp;TEXT(M$1,"yyyy")),MATCH(TRIM($A111),BS_Accounts,0))-M111</f>
        <v>0</v>
      </c>
      <c r="N112" s="76">
        <f t="array" ref="N112">INDEX(INDIRECT("BS_"&amp;TEXT(N$1,"mmm")&amp;"_"&amp;TEXT(N$1,"yyyy")),MATCH(TRIM($A111),BS_Accounts,0))-N111</f>
        <v>0</v>
      </c>
      <c r="O112" s="76">
        <f t="array" ref="O112">INDEX(INDIRECT("BS_"&amp;TEXT(O$1,"mmm")&amp;"_"&amp;TEXT(O$1,"yyyy")),MATCH(TRIM($A111),BS_Accounts,0))-O111</f>
        <v>0</v>
      </c>
      <c r="P112" s="76">
        <f t="array" ref="P112">INDEX(INDIRECT("BS_"&amp;TEXT(P$1,"mmm")&amp;"_"&amp;TEXT(P$1,"yyyy")),MATCH(TRIM($A111),BS_Accounts,0))-P111</f>
        <v>0</v>
      </c>
      <c r="Q112" s="76">
        <f t="array" ref="Q112">INDEX(INDIRECT("BS_"&amp;TEXT(Q$1,"mmm")&amp;"_"&amp;TEXT(Q$1,"yyyy")),MATCH(TRIM($A111),BS_Accounts,0))-Q111</f>
        <v>0</v>
      </c>
      <c r="R112" s="76">
        <f t="array" ref="R112">INDEX(INDIRECT("BS_"&amp;TEXT(R$1,"mmm")&amp;"_"&amp;TEXT(R$1,"yyyy")),MATCH(TRIM($A111),BS_Accounts,0))-R111</f>
        <v>0</v>
      </c>
      <c r="S112" s="76">
        <f t="array" ref="S112">INDEX(INDIRECT("BS_"&amp;TEXT(S$1,"mmm")&amp;"_"&amp;TEXT(S$1,"yyyy")),MATCH(TRIM($A111),BS_Accounts,0))-S111</f>
        <v>0</v>
      </c>
      <c r="T112" s="76">
        <f t="array" ref="T112">INDEX(INDIRECT("BS_"&amp;TEXT(T$1,"mmm")&amp;"_"&amp;TEXT(T$1,"yyyy")),MATCH(TRIM($A111),BS_Accounts,0))-T111</f>
        <v>0</v>
      </c>
      <c r="U112" s="76">
        <f t="array" ref="U112">INDEX(INDIRECT("BS_"&amp;TEXT(U$1,"mmm")&amp;"_"&amp;TEXT(U$1,"yyyy")),MATCH(TRIM($A111),BS_Accounts,0))-U111</f>
        <v>0</v>
      </c>
      <c r="V112" s="76">
        <f t="array" ref="V112">INDEX(INDIRECT("BS_"&amp;TEXT(V$1,"mmm")&amp;"_"&amp;TEXT(V$1,"yyyy")),MATCH(TRIM($A111),BS_Accounts,0))-V111</f>
        <v>0</v>
      </c>
      <c r="W112" s="76">
        <f t="array" ref="W112">INDEX(INDIRECT("BS_"&amp;TEXT(W$1,"mmm")&amp;"_"&amp;TEXT(W$1,"yyyy")),MATCH(TRIM($A111),BS_Accounts,0))-W111</f>
        <v>0</v>
      </c>
      <c r="X112" s="76">
        <f t="array" ref="X112">INDEX(INDIRECT("BS_"&amp;TEXT(X$1,"mmm")&amp;"_"&amp;TEXT(X$1,"yyyy")),MATCH(TRIM($A111),BS_Accounts,0))-X111</f>
        <v>0</v>
      </c>
      <c r="Y112" s="76">
        <f t="array" ref="Y112">INDEX(INDIRECT("BS_"&amp;TEXT(Y$1,"mmm")&amp;"_"&amp;TEXT(Y$1,"yyyy")),MATCH(TRIM($A111),BS_Accounts,0))-Y111</f>
        <v>0</v>
      </c>
      <c r="Z112" s="76">
        <f t="array" ref="Z112">INDEX(INDIRECT("BS_"&amp;TEXT(Z$1,"mmm")&amp;"_"&amp;TEXT(Z$1,"yyyy")),MATCH(TRIM($A111),BS_Accounts,0))-Z111</f>
        <v>0</v>
      </c>
      <c r="AA112" s="76">
        <f t="array" ref="AA112">INDEX(INDIRECT("BS_"&amp;TEXT(AA$1,"mmm")&amp;"_"&amp;TEXT(AA$1,"yyyy")),MATCH(TRIM($A111),BS_Accounts,0))-AA111</f>
        <v>0</v>
      </c>
      <c r="AB112" s="76">
        <f t="array" ref="AB112">INDEX(INDIRECT("BS_"&amp;TEXT(AB$1,"mmm")&amp;"_"&amp;TEXT(AB$1,"yyyy")),MATCH(TRIM($A111),BS_Accounts,0))-AB111</f>
        <v>0</v>
      </c>
      <c r="AC112" s="76">
        <f t="array" ref="AC112">INDEX(INDIRECT("BS_"&amp;TEXT(AC$1,"mmm")&amp;"_"&amp;TEXT(AC$1,"yyyy")),MATCH(TRIM($A111),BS_Accounts,0))-AC111</f>
        <v>0</v>
      </c>
      <c r="AD112" s="76">
        <f t="array" ref="AD112">INDEX(INDIRECT("BS_"&amp;TEXT(AD$1,"mmm")&amp;"_"&amp;TEXT(AD$1,"yyyy")),MATCH(TRIM($A111),BS_Accounts,0))-AD111</f>
        <v>0</v>
      </c>
      <c r="AE112" s="76">
        <f t="array" ref="AE112">INDEX(INDIRECT("BS_"&amp;TEXT(AE$1,"mmm")&amp;"_"&amp;TEXT(AE$1,"yyyy")),MATCH(TRIM($A111),BS_Accounts,0))-AE111</f>
        <v>0</v>
      </c>
    </row>
    <row r="113" ht="15.75" customHeight="1">
      <c r="A113" s="1" t="s">
        <v>335</v>
      </c>
      <c r="B113" s="159"/>
    </row>
    <row r="114" ht="15.75" customHeight="1">
      <c r="A114" s="1" t="s">
        <v>336</v>
      </c>
      <c r="B114" s="160">
        <f>AVERAGEIFS(114:114,$1:$1,"&gt;="&amp;DATE(YEAR(Current_Month),MONTH(Current_Month),DAY(Current_Month)),$1:$1,"&lt;="&amp;EOMONTH(Current_Month,0))</f>
        <v>0</v>
      </c>
      <c r="D114" s="76">
        <f t="array" ref="D114">INDEX(INDIRECT("BS_"&amp;TEXT(D$1,"mmm")&amp;"_"&amp;TEXT(D$1,"yyyy")),MATCH(TRIM($A114),BS_Accounts,0))</f>
        <v>0</v>
      </c>
      <c r="E114" s="76">
        <f t="array" ref="E114">INDEX(INDIRECT("BS_"&amp;TEXT(E$1,"mmm")&amp;"_"&amp;TEXT(E$1,"yyyy")),MATCH(TRIM($A114),BS_Accounts,0))</f>
        <v>0</v>
      </c>
      <c r="F114" s="76">
        <f t="array" ref="F114">INDEX(INDIRECT("BS_"&amp;TEXT(F$1,"mmm")&amp;"_"&amp;TEXT(F$1,"yyyy")),MATCH(TRIM($A114),BS_Accounts,0))</f>
        <v>0</v>
      </c>
      <c r="G114" s="76">
        <f t="array" ref="G114">INDEX(INDIRECT("BS_"&amp;TEXT(G$1,"mmm")&amp;"_"&amp;TEXT(G$1,"yyyy")),MATCH(TRIM($A114),BS_Accounts,0))</f>
        <v>0</v>
      </c>
      <c r="H114" s="76">
        <f t="array" ref="H114">INDEX(INDIRECT("BS_"&amp;TEXT(H$1,"mmm")&amp;"_"&amp;TEXT(H$1,"yyyy")),MATCH(TRIM($A114),BS_Accounts,0))</f>
        <v>0</v>
      </c>
      <c r="I114" s="76">
        <f t="array" ref="I114">INDEX(INDIRECT("BS_"&amp;TEXT(I$1,"mmm")&amp;"_"&amp;TEXT(I$1,"yyyy")),MATCH(TRIM($A114),BS_Accounts,0))</f>
        <v>0</v>
      </c>
      <c r="J114" s="76">
        <f t="array" ref="J114">INDEX(INDIRECT("BS_"&amp;TEXT(J$1,"mmm")&amp;"_"&amp;TEXT(J$1,"yyyy")),MATCH(TRIM($A114),BS_Accounts,0))</f>
        <v>0</v>
      </c>
      <c r="K114" s="76">
        <f t="array" ref="K114">INDEX(INDIRECT("BS_"&amp;TEXT(K$1,"mmm")&amp;"_"&amp;TEXT(K$1,"yyyy")),MATCH(TRIM($A114),BS_Accounts,0))</f>
        <v>0</v>
      </c>
      <c r="L114" s="76">
        <f t="array" ref="L114">INDEX(INDIRECT("BS_"&amp;TEXT(L$1,"mmm")&amp;"_"&amp;TEXT(L$1,"yyyy")),MATCH(TRIM($A114),BS_Accounts,0))</f>
        <v>0</v>
      </c>
      <c r="M114" s="76">
        <f t="array" ref="M114">INDEX(INDIRECT("BS_"&amp;TEXT(M$1,"mmm")&amp;"_"&amp;TEXT(M$1,"yyyy")),MATCH(TRIM($A114),BS_Accounts,0))</f>
        <v>0</v>
      </c>
      <c r="N114" s="76">
        <f t="array" ref="N114">INDEX(INDIRECT("BS_"&amp;TEXT(N$1,"mmm")&amp;"_"&amp;TEXT(N$1,"yyyy")),MATCH(TRIM($A114),BS_Accounts,0))</f>
        <v>0</v>
      </c>
      <c r="O114" s="76">
        <f t="array" ref="O114">INDEX(INDIRECT("BS_"&amp;TEXT(O$1,"mmm")&amp;"_"&amp;TEXT(O$1,"yyyy")),MATCH(TRIM($A114),BS_Accounts,0))</f>
        <v>0</v>
      </c>
      <c r="P114" s="76">
        <f t="array" ref="P114">INDEX(INDIRECT("BS_"&amp;TEXT(P$1,"mmm")&amp;"_"&amp;TEXT(P$1,"yyyy")),MATCH(TRIM($A114),BS_Accounts,0))</f>
        <v>0</v>
      </c>
      <c r="Q114" s="76">
        <f t="array" ref="Q114">INDEX(INDIRECT("BS_"&amp;TEXT(Q$1,"mmm")&amp;"_"&amp;TEXT(Q$1,"yyyy")),MATCH(TRIM($A114),BS_Accounts,0))</f>
        <v>0</v>
      </c>
      <c r="R114" s="76">
        <f t="array" ref="R114">INDEX(INDIRECT("BS_"&amp;TEXT(R$1,"mmm")&amp;"_"&amp;TEXT(R$1,"yyyy")),MATCH(TRIM($A114),BS_Accounts,0))</f>
        <v>0</v>
      </c>
      <c r="S114" s="76">
        <f t="array" ref="S114">INDEX(INDIRECT("BS_"&amp;TEXT(S$1,"mmm")&amp;"_"&amp;TEXT(S$1,"yyyy")),MATCH(TRIM($A114),BS_Accounts,0))</f>
        <v>0</v>
      </c>
      <c r="T114" s="76">
        <f t="array" ref="T114">INDEX(INDIRECT("BS_"&amp;TEXT(T$1,"mmm")&amp;"_"&amp;TEXT(T$1,"yyyy")),MATCH(TRIM($A114),BS_Accounts,0))</f>
        <v>0</v>
      </c>
      <c r="U114" s="76">
        <f t="array" ref="U114">INDEX(INDIRECT("BS_"&amp;TEXT(U$1,"mmm")&amp;"_"&amp;TEXT(U$1,"yyyy")),MATCH(TRIM($A114),BS_Accounts,0))</f>
        <v>0</v>
      </c>
      <c r="V114" s="76">
        <f t="array" ref="V114">INDEX(INDIRECT("BS_"&amp;TEXT(V$1,"mmm")&amp;"_"&amp;TEXT(V$1,"yyyy")),MATCH(TRIM($A114),BS_Accounts,0))</f>
        <v>0</v>
      </c>
      <c r="W114" s="76">
        <f t="array" ref="W114">INDEX(INDIRECT("BS_"&amp;TEXT(W$1,"mmm")&amp;"_"&amp;TEXT(W$1,"yyyy")),MATCH(TRIM($A114),BS_Accounts,0))</f>
        <v>0</v>
      </c>
      <c r="X114" s="76">
        <f t="array" ref="X114">INDEX(INDIRECT("BS_"&amp;TEXT(X$1,"mmm")&amp;"_"&amp;TEXT(X$1,"yyyy")),MATCH(TRIM($A114),BS_Accounts,0))</f>
        <v>0</v>
      </c>
      <c r="Y114" s="76">
        <f t="array" ref="Y114">INDEX(INDIRECT("BS_"&amp;TEXT(Y$1,"mmm")&amp;"_"&amp;TEXT(Y$1,"yyyy")),MATCH(TRIM($A114),BS_Accounts,0))</f>
        <v>0</v>
      </c>
      <c r="Z114" s="76">
        <f t="array" ref="Z114">INDEX(INDIRECT("BS_"&amp;TEXT(Z$1,"mmm")&amp;"_"&amp;TEXT(Z$1,"yyyy")),MATCH(TRIM($A114),BS_Accounts,0))</f>
        <v>0</v>
      </c>
      <c r="AA114" s="76">
        <f t="array" ref="AA114">INDEX(INDIRECT("BS_"&amp;TEXT(AA$1,"mmm")&amp;"_"&amp;TEXT(AA$1,"yyyy")),MATCH(TRIM($A114),BS_Accounts,0))</f>
        <v>0</v>
      </c>
      <c r="AB114" s="76">
        <f t="array" ref="AB114">INDEX(INDIRECT("BS_"&amp;TEXT(AB$1,"mmm")&amp;"_"&amp;TEXT(AB$1,"yyyy")),MATCH(TRIM($A114),BS_Accounts,0))</f>
        <v>0</v>
      </c>
      <c r="AC114" s="76">
        <f t="array" ref="AC114">INDEX(INDIRECT("BS_"&amp;TEXT(AC$1,"mmm")&amp;"_"&amp;TEXT(AC$1,"yyyy")),MATCH(TRIM($A114),BS_Accounts,0))</f>
        <v>0</v>
      </c>
      <c r="AD114" s="76">
        <f t="array" ref="AD114">INDEX(INDIRECT("BS_"&amp;TEXT(AD$1,"mmm")&amp;"_"&amp;TEXT(AD$1,"yyyy")),MATCH(TRIM($A114),BS_Accounts,0))</f>
        <v>0</v>
      </c>
      <c r="AE114" s="76">
        <f t="array" ref="AE114">INDEX(INDIRECT("BS_"&amp;TEXT(AE$1,"mmm")&amp;"_"&amp;TEXT(AE$1,"yyyy")),MATCH(TRIM($A114),BS_Accounts,0))</f>
        <v>0</v>
      </c>
      <c r="AF114" s="96">
        <f t="shared" ref="AF114:BW114" si="59">$B114</f>
        <v>0</v>
      </c>
      <c r="AG114" s="96">
        <f t="shared" si="59"/>
        <v>0</v>
      </c>
      <c r="AH114" s="96">
        <f t="shared" si="59"/>
        <v>0</v>
      </c>
      <c r="AI114" s="96">
        <f t="shared" si="59"/>
        <v>0</v>
      </c>
      <c r="AJ114" s="96">
        <f t="shared" si="59"/>
        <v>0</v>
      </c>
      <c r="AK114" s="96">
        <f t="shared" si="59"/>
        <v>0</v>
      </c>
      <c r="AL114" s="96">
        <f t="shared" si="59"/>
        <v>0</v>
      </c>
      <c r="AM114" s="96">
        <f t="shared" si="59"/>
        <v>0</v>
      </c>
      <c r="AN114" s="96">
        <f t="shared" si="59"/>
        <v>0</v>
      </c>
      <c r="AO114" s="96">
        <f t="shared" si="59"/>
        <v>0</v>
      </c>
      <c r="AP114" s="96">
        <f t="shared" si="59"/>
        <v>0</v>
      </c>
      <c r="AQ114" s="96">
        <f t="shared" si="59"/>
        <v>0</v>
      </c>
      <c r="AR114" s="96">
        <f t="shared" si="59"/>
        <v>0</v>
      </c>
      <c r="AS114" s="96">
        <f t="shared" si="59"/>
        <v>0</v>
      </c>
      <c r="AT114" s="96">
        <f t="shared" si="59"/>
        <v>0</v>
      </c>
      <c r="AU114" s="96">
        <f t="shared" si="59"/>
        <v>0</v>
      </c>
      <c r="AV114" s="96">
        <f t="shared" si="59"/>
        <v>0</v>
      </c>
      <c r="AW114" s="96">
        <f t="shared" si="59"/>
        <v>0</v>
      </c>
      <c r="AX114" s="96">
        <f t="shared" si="59"/>
        <v>0</v>
      </c>
      <c r="AY114" s="96">
        <f t="shared" si="59"/>
        <v>0</v>
      </c>
      <c r="AZ114" s="96">
        <f t="shared" si="59"/>
        <v>0</v>
      </c>
      <c r="BA114" s="96">
        <f t="shared" si="59"/>
        <v>0</v>
      </c>
      <c r="BB114" s="96">
        <f t="shared" si="59"/>
        <v>0</v>
      </c>
      <c r="BC114" s="96">
        <f t="shared" si="59"/>
        <v>0</v>
      </c>
      <c r="BD114" s="96">
        <f t="shared" si="59"/>
        <v>0</v>
      </c>
      <c r="BE114" s="96">
        <f t="shared" si="59"/>
        <v>0</v>
      </c>
      <c r="BF114" s="96">
        <f t="shared" si="59"/>
        <v>0</v>
      </c>
      <c r="BG114" s="96">
        <f t="shared" si="59"/>
        <v>0</v>
      </c>
      <c r="BH114" s="96">
        <f t="shared" si="59"/>
        <v>0</v>
      </c>
      <c r="BI114" s="96">
        <f t="shared" si="59"/>
        <v>0</v>
      </c>
      <c r="BJ114" s="96">
        <f t="shared" si="59"/>
        <v>0</v>
      </c>
      <c r="BK114" s="96">
        <f t="shared" si="59"/>
        <v>0</v>
      </c>
      <c r="BL114" s="96">
        <f t="shared" si="59"/>
        <v>0</v>
      </c>
      <c r="BM114" s="96">
        <f t="shared" si="59"/>
        <v>0</v>
      </c>
      <c r="BN114" s="96">
        <f t="shared" si="59"/>
        <v>0</v>
      </c>
      <c r="BO114" s="96">
        <f t="shared" si="59"/>
        <v>0</v>
      </c>
      <c r="BP114" s="96">
        <f t="shared" si="59"/>
        <v>0</v>
      </c>
      <c r="BQ114" s="96">
        <f t="shared" si="59"/>
        <v>0</v>
      </c>
      <c r="BR114" s="96">
        <f t="shared" si="59"/>
        <v>0</v>
      </c>
      <c r="BS114" s="96">
        <f t="shared" si="59"/>
        <v>0</v>
      </c>
      <c r="BT114" s="96">
        <f t="shared" si="59"/>
        <v>0</v>
      </c>
      <c r="BU114" s="96">
        <f t="shared" si="59"/>
        <v>0</v>
      </c>
      <c r="BV114" s="96">
        <f t="shared" si="59"/>
        <v>0</v>
      </c>
      <c r="BW114" s="96">
        <f t="shared" si="59"/>
        <v>0</v>
      </c>
    </row>
    <row r="115" ht="15.75" customHeight="1">
      <c r="A115" s="1" t="s">
        <v>337</v>
      </c>
      <c r="B115" s="160">
        <f>AVERAGEIFS(115:115,$1:$1,"&gt;="&amp;DATE(YEAR(Current_Month),MONTH(Current_Month),DAY(Current_Month)),$1:$1,"&lt;="&amp;EOMONTH(Current_Month,0))</f>
        <v>0</v>
      </c>
      <c r="D115" s="76">
        <f t="array" ref="D115">INDEX(INDIRECT("BS_"&amp;TEXT(D$1,"mmm")&amp;"_"&amp;TEXT(D$1,"yyyy")),MATCH(TRIM($A115),BS_Accounts,0))</f>
        <v>0</v>
      </c>
      <c r="E115" s="76">
        <f t="array" ref="E115">INDEX(INDIRECT("BS_"&amp;TEXT(E$1,"mmm")&amp;"_"&amp;TEXT(E$1,"yyyy")),MATCH(TRIM($A115),BS_Accounts,0))</f>
        <v>0</v>
      </c>
      <c r="F115" s="76">
        <f t="array" ref="F115">INDEX(INDIRECT("BS_"&amp;TEXT(F$1,"mmm")&amp;"_"&amp;TEXT(F$1,"yyyy")),MATCH(TRIM($A115),BS_Accounts,0))</f>
        <v>0</v>
      </c>
      <c r="G115" s="76">
        <f t="array" ref="G115">INDEX(INDIRECT("BS_"&amp;TEXT(G$1,"mmm")&amp;"_"&amp;TEXT(G$1,"yyyy")),MATCH(TRIM($A115),BS_Accounts,0))</f>
        <v>0</v>
      </c>
      <c r="H115" s="76">
        <f t="array" ref="H115">INDEX(INDIRECT("BS_"&amp;TEXT(H$1,"mmm")&amp;"_"&amp;TEXT(H$1,"yyyy")),MATCH(TRIM($A115),BS_Accounts,0))</f>
        <v>0</v>
      </c>
      <c r="I115" s="76">
        <f t="array" ref="I115">INDEX(INDIRECT("BS_"&amp;TEXT(I$1,"mmm")&amp;"_"&amp;TEXT(I$1,"yyyy")),MATCH(TRIM($A115),BS_Accounts,0))</f>
        <v>0</v>
      </c>
      <c r="J115" s="76">
        <f t="array" ref="J115">INDEX(INDIRECT("BS_"&amp;TEXT(J$1,"mmm")&amp;"_"&amp;TEXT(J$1,"yyyy")),MATCH(TRIM($A115),BS_Accounts,0))</f>
        <v>0</v>
      </c>
      <c r="K115" s="76">
        <f t="array" ref="K115">INDEX(INDIRECT("BS_"&amp;TEXT(K$1,"mmm")&amp;"_"&amp;TEXT(K$1,"yyyy")),MATCH(TRIM($A115),BS_Accounts,0))</f>
        <v>0</v>
      </c>
      <c r="L115" s="76">
        <f t="array" ref="L115">INDEX(INDIRECT("BS_"&amp;TEXT(L$1,"mmm")&amp;"_"&amp;TEXT(L$1,"yyyy")),MATCH(TRIM($A115),BS_Accounts,0))</f>
        <v>0</v>
      </c>
      <c r="M115" s="76">
        <f t="array" ref="M115">INDEX(INDIRECT("BS_"&amp;TEXT(M$1,"mmm")&amp;"_"&amp;TEXT(M$1,"yyyy")),MATCH(TRIM($A115),BS_Accounts,0))</f>
        <v>0</v>
      </c>
      <c r="N115" s="76">
        <f t="array" ref="N115">INDEX(INDIRECT("BS_"&amp;TEXT(N$1,"mmm")&amp;"_"&amp;TEXT(N$1,"yyyy")),MATCH(TRIM($A115),BS_Accounts,0))</f>
        <v>0</v>
      </c>
      <c r="O115" s="76">
        <f t="array" ref="O115">INDEX(INDIRECT("BS_"&amp;TEXT(O$1,"mmm")&amp;"_"&amp;TEXT(O$1,"yyyy")),MATCH(TRIM($A115),BS_Accounts,0))</f>
        <v>0</v>
      </c>
      <c r="P115" s="76">
        <f t="array" ref="P115">INDEX(INDIRECT("BS_"&amp;TEXT(P$1,"mmm")&amp;"_"&amp;TEXT(P$1,"yyyy")),MATCH(TRIM($A115),BS_Accounts,0))</f>
        <v>0</v>
      </c>
      <c r="Q115" s="76">
        <f t="array" ref="Q115">INDEX(INDIRECT("BS_"&amp;TEXT(Q$1,"mmm")&amp;"_"&amp;TEXT(Q$1,"yyyy")),MATCH(TRIM($A115),BS_Accounts,0))</f>
        <v>0</v>
      </c>
      <c r="R115" s="76">
        <f t="array" ref="R115">INDEX(INDIRECT("BS_"&amp;TEXT(R$1,"mmm")&amp;"_"&amp;TEXT(R$1,"yyyy")),MATCH(TRIM($A115),BS_Accounts,0))</f>
        <v>0</v>
      </c>
      <c r="S115" s="76">
        <f t="array" ref="S115">INDEX(INDIRECT("BS_"&amp;TEXT(S$1,"mmm")&amp;"_"&amp;TEXT(S$1,"yyyy")),MATCH(TRIM($A115),BS_Accounts,0))</f>
        <v>0</v>
      </c>
      <c r="T115" s="76">
        <f t="array" ref="T115">INDEX(INDIRECT("BS_"&amp;TEXT(T$1,"mmm")&amp;"_"&amp;TEXT(T$1,"yyyy")),MATCH(TRIM($A115),BS_Accounts,0))</f>
        <v>0</v>
      </c>
      <c r="U115" s="76">
        <f t="array" ref="U115">INDEX(INDIRECT("BS_"&amp;TEXT(U$1,"mmm")&amp;"_"&amp;TEXT(U$1,"yyyy")),MATCH(TRIM($A115),BS_Accounts,0))</f>
        <v>0</v>
      </c>
      <c r="V115" s="76">
        <f t="array" ref="V115">INDEX(INDIRECT("BS_"&amp;TEXT(V$1,"mmm")&amp;"_"&amp;TEXT(V$1,"yyyy")),MATCH(TRIM($A115),BS_Accounts,0))</f>
        <v>0</v>
      </c>
      <c r="W115" s="76">
        <f t="array" ref="W115">INDEX(INDIRECT("BS_"&amp;TEXT(W$1,"mmm")&amp;"_"&amp;TEXT(W$1,"yyyy")),MATCH(TRIM($A115),BS_Accounts,0))</f>
        <v>0</v>
      </c>
      <c r="X115" s="76">
        <f t="array" ref="X115">INDEX(INDIRECT("BS_"&amp;TEXT(X$1,"mmm")&amp;"_"&amp;TEXT(X$1,"yyyy")),MATCH(TRIM($A115),BS_Accounts,0))</f>
        <v>0</v>
      </c>
      <c r="Y115" s="76">
        <f t="array" ref="Y115">INDEX(INDIRECT("BS_"&amp;TEXT(Y$1,"mmm")&amp;"_"&amp;TEXT(Y$1,"yyyy")),MATCH(TRIM($A115),BS_Accounts,0))</f>
        <v>0</v>
      </c>
      <c r="Z115" s="76">
        <f t="array" ref="Z115">INDEX(INDIRECT("BS_"&amp;TEXT(Z$1,"mmm")&amp;"_"&amp;TEXT(Z$1,"yyyy")),MATCH(TRIM($A115),BS_Accounts,0))</f>
        <v>0</v>
      </c>
      <c r="AA115" s="76">
        <f t="array" ref="AA115">INDEX(INDIRECT("BS_"&amp;TEXT(AA$1,"mmm")&amp;"_"&amp;TEXT(AA$1,"yyyy")),MATCH(TRIM($A115),BS_Accounts,0))</f>
        <v>0</v>
      </c>
      <c r="AB115" s="76">
        <f t="array" ref="AB115">INDEX(INDIRECT("BS_"&amp;TEXT(AB$1,"mmm")&amp;"_"&amp;TEXT(AB$1,"yyyy")),MATCH(TRIM($A115),BS_Accounts,0))</f>
        <v>0</v>
      </c>
      <c r="AC115" s="76">
        <f t="array" ref="AC115">INDEX(INDIRECT("BS_"&amp;TEXT(AC$1,"mmm")&amp;"_"&amp;TEXT(AC$1,"yyyy")),MATCH(TRIM($A115),BS_Accounts,0))</f>
        <v>0</v>
      </c>
      <c r="AD115" s="76">
        <f t="array" ref="AD115">INDEX(INDIRECT("BS_"&amp;TEXT(AD$1,"mmm")&amp;"_"&amp;TEXT(AD$1,"yyyy")),MATCH(TRIM($A115),BS_Accounts,0))</f>
        <v>0</v>
      </c>
      <c r="AE115" s="76">
        <f t="array" ref="AE115">INDEX(INDIRECT("BS_"&amp;TEXT(AE$1,"mmm")&amp;"_"&amp;TEXT(AE$1,"yyyy")),MATCH(TRIM($A115),BS_Accounts,0))</f>
        <v>0</v>
      </c>
      <c r="AF115" s="96">
        <f t="shared" ref="AF115:BW115" si="60">$B115</f>
        <v>0</v>
      </c>
      <c r="AG115" s="96">
        <f t="shared" si="60"/>
        <v>0</v>
      </c>
      <c r="AH115" s="96">
        <f t="shared" si="60"/>
        <v>0</v>
      </c>
      <c r="AI115" s="96">
        <f t="shared" si="60"/>
        <v>0</v>
      </c>
      <c r="AJ115" s="96">
        <f t="shared" si="60"/>
        <v>0</v>
      </c>
      <c r="AK115" s="96">
        <f t="shared" si="60"/>
        <v>0</v>
      </c>
      <c r="AL115" s="96">
        <f t="shared" si="60"/>
        <v>0</v>
      </c>
      <c r="AM115" s="96">
        <f t="shared" si="60"/>
        <v>0</v>
      </c>
      <c r="AN115" s="96">
        <f t="shared" si="60"/>
        <v>0</v>
      </c>
      <c r="AO115" s="96">
        <f t="shared" si="60"/>
        <v>0</v>
      </c>
      <c r="AP115" s="96">
        <f t="shared" si="60"/>
        <v>0</v>
      </c>
      <c r="AQ115" s="96">
        <f t="shared" si="60"/>
        <v>0</v>
      </c>
      <c r="AR115" s="96">
        <f t="shared" si="60"/>
        <v>0</v>
      </c>
      <c r="AS115" s="96">
        <f t="shared" si="60"/>
        <v>0</v>
      </c>
      <c r="AT115" s="96">
        <f t="shared" si="60"/>
        <v>0</v>
      </c>
      <c r="AU115" s="96">
        <f t="shared" si="60"/>
        <v>0</v>
      </c>
      <c r="AV115" s="96">
        <f t="shared" si="60"/>
        <v>0</v>
      </c>
      <c r="AW115" s="96">
        <f t="shared" si="60"/>
        <v>0</v>
      </c>
      <c r="AX115" s="96">
        <f t="shared" si="60"/>
        <v>0</v>
      </c>
      <c r="AY115" s="96">
        <f t="shared" si="60"/>
        <v>0</v>
      </c>
      <c r="AZ115" s="96">
        <f t="shared" si="60"/>
        <v>0</v>
      </c>
      <c r="BA115" s="96">
        <f t="shared" si="60"/>
        <v>0</v>
      </c>
      <c r="BB115" s="96">
        <f t="shared" si="60"/>
        <v>0</v>
      </c>
      <c r="BC115" s="96">
        <f t="shared" si="60"/>
        <v>0</v>
      </c>
      <c r="BD115" s="96">
        <f t="shared" si="60"/>
        <v>0</v>
      </c>
      <c r="BE115" s="96">
        <f t="shared" si="60"/>
        <v>0</v>
      </c>
      <c r="BF115" s="96">
        <f t="shared" si="60"/>
        <v>0</v>
      </c>
      <c r="BG115" s="96">
        <f t="shared" si="60"/>
        <v>0</v>
      </c>
      <c r="BH115" s="96">
        <f t="shared" si="60"/>
        <v>0</v>
      </c>
      <c r="BI115" s="96">
        <f t="shared" si="60"/>
        <v>0</v>
      </c>
      <c r="BJ115" s="96">
        <f t="shared" si="60"/>
        <v>0</v>
      </c>
      <c r="BK115" s="96">
        <f t="shared" si="60"/>
        <v>0</v>
      </c>
      <c r="BL115" s="96">
        <f t="shared" si="60"/>
        <v>0</v>
      </c>
      <c r="BM115" s="96">
        <f t="shared" si="60"/>
        <v>0</v>
      </c>
      <c r="BN115" s="96">
        <f t="shared" si="60"/>
        <v>0</v>
      </c>
      <c r="BO115" s="96">
        <f t="shared" si="60"/>
        <v>0</v>
      </c>
      <c r="BP115" s="96">
        <f t="shared" si="60"/>
        <v>0</v>
      </c>
      <c r="BQ115" s="96">
        <f t="shared" si="60"/>
        <v>0</v>
      </c>
      <c r="BR115" s="96">
        <f t="shared" si="60"/>
        <v>0</v>
      </c>
      <c r="BS115" s="96">
        <f t="shared" si="60"/>
        <v>0</v>
      </c>
      <c r="BT115" s="96">
        <f t="shared" si="60"/>
        <v>0</v>
      </c>
      <c r="BU115" s="96">
        <f t="shared" si="60"/>
        <v>0</v>
      </c>
      <c r="BV115" s="96">
        <f t="shared" si="60"/>
        <v>0</v>
      </c>
      <c r="BW115" s="96">
        <f t="shared" si="60"/>
        <v>0</v>
      </c>
    </row>
    <row r="116" ht="15.75" customHeight="1">
      <c r="A116" s="1" t="s">
        <v>338</v>
      </c>
      <c r="B116" s="160">
        <f>AVERAGEIFS(116:116,$1:$1,"&gt;="&amp;DATE(YEAR(Current_Month),MONTH(Current_Month),DAY(Current_Month)),$1:$1,"&lt;="&amp;EOMONTH(Current_Month,0))</f>
        <v>0</v>
      </c>
      <c r="D116" s="76">
        <f t="array" ref="D116">INDEX(INDIRECT("BS_"&amp;TEXT(D$1,"mmm")&amp;"_"&amp;TEXT(D$1,"yyyy")),MATCH(TRIM($A116),BS_Accounts,0))</f>
        <v>0</v>
      </c>
      <c r="E116" s="76">
        <f t="array" ref="E116">INDEX(INDIRECT("BS_"&amp;TEXT(E$1,"mmm")&amp;"_"&amp;TEXT(E$1,"yyyy")),MATCH(TRIM($A116),BS_Accounts,0))</f>
        <v>0</v>
      </c>
      <c r="F116" s="76">
        <f t="array" ref="F116">INDEX(INDIRECT("BS_"&amp;TEXT(F$1,"mmm")&amp;"_"&amp;TEXT(F$1,"yyyy")),MATCH(TRIM($A116),BS_Accounts,0))</f>
        <v>0</v>
      </c>
      <c r="G116" s="76">
        <f t="array" ref="G116">INDEX(INDIRECT("BS_"&amp;TEXT(G$1,"mmm")&amp;"_"&amp;TEXT(G$1,"yyyy")),MATCH(TRIM($A116),BS_Accounts,0))</f>
        <v>0</v>
      </c>
      <c r="H116" s="76">
        <f t="array" ref="H116">INDEX(INDIRECT("BS_"&amp;TEXT(H$1,"mmm")&amp;"_"&amp;TEXT(H$1,"yyyy")),MATCH(TRIM($A116),BS_Accounts,0))</f>
        <v>0</v>
      </c>
      <c r="I116" s="76">
        <f t="array" ref="I116">INDEX(INDIRECT("BS_"&amp;TEXT(I$1,"mmm")&amp;"_"&amp;TEXT(I$1,"yyyy")),MATCH(TRIM($A116),BS_Accounts,0))</f>
        <v>0</v>
      </c>
      <c r="J116" s="76">
        <f t="array" ref="J116">INDEX(INDIRECT("BS_"&amp;TEXT(J$1,"mmm")&amp;"_"&amp;TEXT(J$1,"yyyy")),MATCH(TRIM($A116),BS_Accounts,0))</f>
        <v>0</v>
      </c>
      <c r="K116" s="76">
        <f t="array" ref="K116">INDEX(INDIRECT("BS_"&amp;TEXT(K$1,"mmm")&amp;"_"&amp;TEXT(K$1,"yyyy")),MATCH(TRIM($A116),BS_Accounts,0))</f>
        <v>0</v>
      </c>
      <c r="L116" s="76">
        <f t="array" ref="L116">INDEX(INDIRECT("BS_"&amp;TEXT(L$1,"mmm")&amp;"_"&amp;TEXT(L$1,"yyyy")),MATCH(TRIM($A116),BS_Accounts,0))</f>
        <v>0</v>
      </c>
      <c r="M116" s="76">
        <f t="array" ref="M116">INDEX(INDIRECT("BS_"&amp;TEXT(M$1,"mmm")&amp;"_"&amp;TEXT(M$1,"yyyy")),MATCH(TRIM($A116),BS_Accounts,0))</f>
        <v>0</v>
      </c>
      <c r="N116" s="76">
        <f t="array" ref="N116">INDEX(INDIRECT("BS_"&amp;TEXT(N$1,"mmm")&amp;"_"&amp;TEXT(N$1,"yyyy")),MATCH(TRIM($A116),BS_Accounts,0))</f>
        <v>0</v>
      </c>
      <c r="O116" s="76">
        <f t="array" ref="O116">INDEX(INDIRECT("BS_"&amp;TEXT(O$1,"mmm")&amp;"_"&amp;TEXT(O$1,"yyyy")),MATCH(TRIM($A116),BS_Accounts,0))</f>
        <v>0</v>
      </c>
      <c r="P116" s="76">
        <f t="array" ref="P116">INDEX(INDIRECT("BS_"&amp;TEXT(P$1,"mmm")&amp;"_"&amp;TEXT(P$1,"yyyy")),MATCH(TRIM($A116),BS_Accounts,0))</f>
        <v>0</v>
      </c>
      <c r="Q116" s="76">
        <f t="array" ref="Q116">INDEX(INDIRECT("BS_"&amp;TEXT(Q$1,"mmm")&amp;"_"&amp;TEXT(Q$1,"yyyy")),MATCH(TRIM($A116),BS_Accounts,0))</f>
        <v>0</v>
      </c>
      <c r="R116" s="76">
        <f t="array" ref="R116">INDEX(INDIRECT("BS_"&amp;TEXT(R$1,"mmm")&amp;"_"&amp;TEXT(R$1,"yyyy")),MATCH(TRIM($A116),BS_Accounts,0))</f>
        <v>0</v>
      </c>
      <c r="S116" s="76">
        <f t="array" ref="S116">INDEX(INDIRECT("BS_"&amp;TEXT(S$1,"mmm")&amp;"_"&amp;TEXT(S$1,"yyyy")),MATCH(TRIM($A116),BS_Accounts,0))</f>
        <v>0</v>
      </c>
      <c r="T116" s="76">
        <f t="array" ref="T116">INDEX(INDIRECT("BS_"&amp;TEXT(T$1,"mmm")&amp;"_"&amp;TEXT(T$1,"yyyy")),MATCH(TRIM($A116),BS_Accounts,0))</f>
        <v>0</v>
      </c>
      <c r="U116" s="76">
        <f t="array" ref="U116">INDEX(INDIRECT("BS_"&amp;TEXT(U$1,"mmm")&amp;"_"&amp;TEXT(U$1,"yyyy")),MATCH(TRIM($A116),BS_Accounts,0))</f>
        <v>0</v>
      </c>
      <c r="V116" s="76">
        <f t="array" ref="V116">INDEX(INDIRECT("BS_"&amp;TEXT(V$1,"mmm")&amp;"_"&amp;TEXT(V$1,"yyyy")),MATCH(TRIM($A116),BS_Accounts,0))</f>
        <v>0</v>
      </c>
      <c r="W116" s="76">
        <f t="array" ref="W116">INDEX(INDIRECT("BS_"&amp;TEXT(W$1,"mmm")&amp;"_"&amp;TEXT(W$1,"yyyy")),MATCH(TRIM($A116),BS_Accounts,0))</f>
        <v>0</v>
      </c>
      <c r="X116" s="76">
        <f t="array" ref="X116">INDEX(INDIRECT("BS_"&amp;TEXT(X$1,"mmm")&amp;"_"&amp;TEXT(X$1,"yyyy")),MATCH(TRIM($A116),BS_Accounts,0))</f>
        <v>0</v>
      </c>
      <c r="Y116" s="76">
        <f t="array" ref="Y116">INDEX(INDIRECT("BS_"&amp;TEXT(Y$1,"mmm")&amp;"_"&amp;TEXT(Y$1,"yyyy")),MATCH(TRIM($A116),BS_Accounts,0))</f>
        <v>0</v>
      </c>
      <c r="Z116" s="76">
        <f t="array" ref="Z116">INDEX(INDIRECT("BS_"&amp;TEXT(Z$1,"mmm")&amp;"_"&amp;TEXT(Z$1,"yyyy")),MATCH(TRIM($A116),BS_Accounts,0))</f>
        <v>0</v>
      </c>
      <c r="AA116" s="76">
        <f t="array" ref="AA116">INDEX(INDIRECT("BS_"&amp;TEXT(AA$1,"mmm")&amp;"_"&amp;TEXT(AA$1,"yyyy")),MATCH(TRIM($A116),BS_Accounts,0))</f>
        <v>0</v>
      </c>
      <c r="AB116" s="76">
        <f t="array" ref="AB116">INDEX(INDIRECT("BS_"&amp;TEXT(AB$1,"mmm")&amp;"_"&amp;TEXT(AB$1,"yyyy")),MATCH(TRIM($A116),BS_Accounts,0))</f>
        <v>0</v>
      </c>
      <c r="AC116" s="76">
        <f t="array" ref="AC116">INDEX(INDIRECT("BS_"&amp;TEXT(AC$1,"mmm")&amp;"_"&amp;TEXT(AC$1,"yyyy")),MATCH(TRIM($A116),BS_Accounts,0))</f>
        <v>0</v>
      </c>
      <c r="AD116" s="76">
        <f t="array" ref="AD116">INDEX(INDIRECT("BS_"&amp;TEXT(AD$1,"mmm")&amp;"_"&amp;TEXT(AD$1,"yyyy")),MATCH(TRIM($A116),BS_Accounts,0))</f>
        <v>0</v>
      </c>
      <c r="AE116" s="76">
        <f t="array" ref="AE116">INDEX(INDIRECT("BS_"&amp;TEXT(AE$1,"mmm")&amp;"_"&amp;TEXT(AE$1,"yyyy")),MATCH(TRIM($A116),BS_Accounts,0))</f>
        <v>0</v>
      </c>
      <c r="AF116" s="96">
        <f t="shared" ref="AF116:BW116" si="61">$B116</f>
        <v>0</v>
      </c>
      <c r="AG116" s="96">
        <f t="shared" si="61"/>
        <v>0</v>
      </c>
      <c r="AH116" s="96">
        <f t="shared" si="61"/>
        <v>0</v>
      </c>
      <c r="AI116" s="96">
        <f t="shared" si="61"/>
        <v>0</v>
      </c>
      <c r="AJ116" s="96">
        <f t="shared" si="61"/>
        <v>0</v>
      </c>
      <c r="AK116" s="96">
        <f t="shared" si="61"/>
        <v>0</v>
      </c>
      <c r="AL116" s="96">
        <f t="shared" si="61"/>
        <v>0</v>
      </c>
      <c r="AM116" s="96">
        <f t="shared" si="61"/>
        <v>0</v>
      </c>
      <c r="AN116" s="96">
        <f t="shared" si="61"/>
        <v>0</v>
      </c>
      <c r="AO116" s="96">
        <f t="shared" si="61"/>
        <v>0</v>
      </c>
      <c r="AP116" s="96">
        <f t="shared" si="61"/>
        <v>0</v>
      </c>
      <c r="AQ116" s="96">
        <f t="shared" si="61"/>
        <v>0</v>
      </c>
      <c r="AR116" s="96">
        <f t="shared" si="61"/>
        <v>0</v>
      </c>
      <c r="AS116" s="96">
        <f t="shared" si="61"/>
        <v>0</v>
      </c>
      <c r="AT116" s="96">
        <f t="shared" si="61"/>
        <v>0</v>
      </c>
      <c r="AU116" s="96">
        <f t="shared" si="61"/>
        <v>0</v>
      </c>
      <c r="AV116" s="96">
        <f t="shared" si="61"/>
        <v>0</v>
      </c>
      <c r="AW116" s="96">
        <f t="shared" si="61"/>
        <v>0</v>
      </c>
      <c r="AX116" s="96">
        <f t="shared" si="61"/>
        <v>0</v>
      </c>
      <c r="AY116" s="96">
        <f t="shared" si="61"/>
        <v>0</v>
      </c>
      <c r="AZ116" s="96">
        <f t="shared" si="61"/>
        <v>0</v>
      </c>
      <c r="BA116" s="96">
        <f t="shared" si="61"/>
        <v>0</v>
      </c>
      <c r="BB116" s="96">
        <f t="shared" si="61"/>
        <v>0</v>
      </c>
      <c r="BC116" s="96">
        <f t="shared" si="61"/>
        <v>0</v>
      </c>
      <c r="BD116" s="96">
        <f t="shared" si="61"/>
        <v>0</v>
      </c>
      <c r="BE116" s="96">
        <f t="shared" si="61"/>
        <v>0</v>
      </c>
      <c r="BF116" s="96">
        <f t="shared" si="61"/>
        <v>0</v>
      </c>
      <c r="BG116" s="96">
        <f t="shared" si="61"/>
        <v>0</v>
      </c>
      <c r="BH116" s="96">
        <f t="shared" si="61"/>
        <v>0</v>
      </c>
      <c r="BI116" s="96">
        <f t="shared" si="61"/>
        <v>0</v>
      </c>
      <c r="BJ116" s="96">
        <f t="shared" si="61"/>
        <v>0</v>
      </c>
      <c r="BK116" s="96">
        <f t="shared" si="61"/>
        <v>0</v>
      </c>
      <c r="BL116" s="96">
        <f t="shared" si="61"/>
        <v>0</v>
      </c>
      <c r="BM116" s="96">
        <f t="shared" si="61"/>
        <v>0</v>
      </c>
      <c r="BN116" s="96">
        <f t="shared" si="61"/>
        <v>0</v>
      </c>
      <c r="BO116" s="96">
        <f t="shared" si="61"/>
        <v>0</v>
      </c>
      <c r="BP116" s="96">
        <f t="shared" si="61"/>
        <v>0</v>
      </c>
      <c r="BQ116" s="96">
        <f t="shared" si="61"/>
        <v>0</v>
      </c>
      <c r="BR116" s="96">
        <f t="shared" si="61"/>
        <v>0</v>
      </c>
      <c r="BS116" s="96">
        <f t="shared" si="61"/>
        <v>0</v>
      </c>
      <c r="BT116" s="96">
        <f t="shared" si="61"/>
        <v>0</v>
      </c>
      <c r="BU116" s="96">
        <f t="shared" si="61"/>
        <v>0</v>
      </c>
      <c r="BV116" s="96">
        <f t="shared" si="61"/>
        <v>0</v>
      </c>
      <c r="BW116" s="96">
        <f t="shared" si="61"/>
        <v>0</v>
      </c>
    </row>
    <row r="117" ht="15.75" customHeight="1">
      <c r="A117" s="21" t="s">
        <v>339</v>
      </c>
      <c r="B117" s="163"/>
      <c r="C117" s="21"/>
      <c r="D117" s="157">
        <f t="shared" ref="D117:BW117" si="62">SUM(D114:D116)</f>
        <v>0</v>
      </c>
      <c r="E117" s="157">
        <f t="shared" si="62"/>
        <v>0</v>
      </c>
      <c r="F117" s="157">
        <f t="shared" si="62"/>
        <v>0</v>
      </c>
      <c r="G117" s="157">
        <f t="shared" si="62"/>
        <v>0</v>
      </c>
      <c r="H117" s="157">
        <f t="shared" si="62"/>
        <v>0</v>
      </c>
      <c r="I117" s="157">
        <f t="shared" si="62"/>
        <v>0</v>
      </c>
      <c r="J117" s="157">
        <f t="shared" si="62"/>
        <v>0</v>
      </c>
      <c r="K117" s="157">
        <f t="shared" si="62"/>
        <v>0</v>
      </c>
      <c r="L117" s="157">
        <f t="shared" si="62"/>
        <v>0</v>
      </c>
      <c r="M117" s="157">
        <f t="shared" si="62"/>
        <v>0</v>
      </c>
      <c r="N117" s="157">
        <f t="shared" si="62"/>
        <v>0</v>
      </c>
      <c r="O117" s="157">
        <f t="shared" si="62"/>
        <v>0</v>
      </c>
      <c r="P117" s="157">
        <f t="shared" si="62"/>
        <v>0</v>
      </c>
      <c r="Q117" s="157">
        <f t="shared" si="62"/>
        <v>0</v>
      </c>
      <c r="R117" s="157">
        <f t="shared" si="62"/>
        <v>0</v>
      </c>
      <c r="S117" s="157">
        <f t="shared" si="62"/>
        <v>0</v>
      </c>
      <c r="T117" s="157">
        <f t="shared" si="62"/>
        <v>0</v>
      </c>
      <c r="U117" s="157">
        <f t="shared" si="62"/>
        <v>0</v>
      </c>
      <c r="V117" s="157">
        <f t="shared" si="62"/>
        <v>0</v>
      </c>
      <c r="W117" s="157">
        <f t="shared" si="62"/>
        <v>0</v>
      </c>
      <c r="X117" s="157">
        <f t="shared" si="62"/>
        <v>0</v>
      </c>
      <c r="Y117" s="157">
        <f t="shared" si="62"/>
        <v>0</v>
      </c>
      <c r="Z117" s="157">
        <f t="shared" si="62"/>
        <v>0</v>
      </c>
      <c r="AA117" s="157">
        <f t="shared" si="62"/>
        <v>0</v>
      </c>
      <c r="AB117" s="157">
        <f t="shared" si="62"/>
        <v>0</v>
      </c>
      <c r="AC117" s="157">
        <f t="shared" si="62"/>
        <v>0</v>
      </c>
      <c r="AD117" s="157">
        <f t="shared" si="62"/>
        <v>0</v>
      </c>
      <c r="AE117" s="157">
        <f t="shared" si="62"/>
        <v>0</v>
      </c>
      <c r="AF117" s="157">
        <f t="shared" si="62"/>
        <v>0</v>
      </c>
      <c r="AG117" s="157">
        <f t="shared" si="62"/>
        <v>0</v>
      </c>
      <c r="AH117" s="157">
        <f t="shared" si="62"/>
        <v>0</v>
      </c>
      <c r="AI117" s="157">
        <f t="shared" si="62"/>
        <v>0</v>
      </c>
      <c r="AJ117" s="157">
        <f t="shared" si="62"/>
        <v>0</v>
      </c>
      <c r="AK117" s="157">
        <f t="shared" si="62"/>
        <v>0</v>
      </c>
      <c r="AL117" s="157">
        <f t="shared" si="62"/>
        <v>0</v>
      </c>
      <c r="AM117" s="157">
        <f t="shared" si="62"/>
        <v>0</v>
      </c>
      <c r="AN117" s="157">
        <f t="shared" si="62"/>
        <v>0</v>
      </c>
      <c r="AO117" s="157">
        <f t="shared" si="62"/>
        <v>0</v>
      </c>
      <c r="AP117" s="157">
        <f t="shared" si="62"/>
        <v>0</v>
      </c>
      <c r="AQ117" s="157">
        <f t="shared" si="62"/>
        <v>0</v>
      </c>
      <c r="AR117" s="157">
        <f t="shared" si="62"/>
        <v>0</v>
      </c>
      <c r="AS117" s="157">
        <f t="shared" si="62"/>
        <v>0</v>
      </c>
      <c r="AT117" s="157">
        <f t="shared" si="62"/>
        <v>0</v>
      </c>
      <c r="AU117" s="157">
        <f t="shared" si="62"/>
        <v>0</v>
      </c>
      <c r="AV117" s="157">
        <f t="shared" si="62"/>
        <v>0</v>
      </c>
      <c r="AW117" s="157">
        <f t="shared" si="62"/>
        <v>0</v>
      </c>
      <c r="AX117" s="157">
        <f t="shared" si="62"/>
        <v>0</v>
      </c>
      <c r="AY117" s="157">
        <f t="shared" si="62"/>
        <v>0</v>
      </c>
      <c r="AZ117" s="157">
        <f t="shared" si="62"/>
        <v>0</v>
      </c>
      <c r="BA117" s="157">
        <f t="shared" si="62"/>
        <v>0</v>
      </c>
      <c r="BB117" s="157">
        <f t="shared" si="62"/>
        <v>0</v>
      </c>
      <c r="BC117" s="157">
        <f t="shared" si="62"/>
        <v>0</v>
      </c>
      <c r="BD117" s="157">
        <f t="shared" si="62"/>
        <v>0</v>
      </c>
      <c r="BE117" s="157">
        <f t="shared" si="62"/>
        <v>0</v>
      </c>
      <c r="BF117" s="157">
        <f t="shared" si="62"/>
        <v>0</v>
      </c>
      <c r="BG117" s="157">
        <f t="shared" si="62"/>
        <v>0</v>
      </c>
      <c r="BH117" s="157">
        <f t="shared" si="62"/>
        <v>0</v>
      </c>
      <c r="BI117" s="157">
        <f t="shared" si="62"/>
        <v>0</v>
      </c>
      <c r="BJ117" s="157">
        <f t="shared" si="62"/>
        <v>0</v>
      </c>
      <c r="BK117" s="157">
        <f t="shared" si="62"/>
        <v>0</v>
      </c>
      <c r="BL117" s="157">
        <f t="shared" si="62"/>
        <v>0</v>
      </c>
      <c r="BM117" s="157">
        <f t="shared" si="62"/>
        <v>0</v>
      </c>
      <c r="BN117" s="157">
        <f t="shared" si="62"/>
        <v>0</v>
      </c>
      <c r="BO117" s="157">
        <f t="shared" si="62"/>
        <v>0</v>
      </c>
      <c r="BP117" s="157">
        <f t="shared" si="62"/>
        <v>0</v>
      </c>
      <c r="BQ117" s="157">
        <f t="shared" si="62"/>
        <v>0</v>
      </c>
      <c r="BR117" s="157">
        <f t="shared" si="62"/>
        <v>0</v>
      </c>
      <c r="BS117" s="157">
        <f t="shared" si="62"/>
        <v>0</v>
      </c>
      <c r="BT117" s="157">
        <f t="shared" si="62"/>
        <v>0</v>
      </c>
      <c r="BU117" s="157">
        <f t="shared" si="62"/>
        <v>0</v>
      </c>
      <c r="BV117" s="157">
        <f t="shared" si="62"/>
        <v>0</v>
      </c>
      <c r="BW117" s="157">
        <f t="shared" si="62"/>
        <v>0</v>
      </c>
    </row>
    <row r="118" ht="15.75" customHeight="1">
      <c r="A118" s="31" t="s">
        <v>244</v>
      </c>
      <c r="B118" s="159"/>
      <c r="D118" s="76">
        <f t="array" ref="D118">INDEX(INDIRECT("BS_"&amp;TEXT(D$1,"mmm")&amp;"_"&amp;TEXT(D$1,"yyyy")),MATCH(TRIM($A117),BS_Accounts,0))-D117</f>
        <v>0</v>
      </c>
      <c r="E118" s="76">
        <f t="array" ref="E118">INDEX(INDIRECT("BS_"&amp;TEXT(E$1,"mmm")&amp;"_"&amp;TEXT(E$1,"yyyy")),MATCH(TRIM($A117),BS_Accounts,0))-E117</f>
        <v>0</v>
      </c>
      <c r="F118" s="76">
        <f t="array" ref="F118">INDEX(INDIRECT("BS_"&amp;TEXT(F$1,"mmm")&amp;"_"&amp;TEXT(F$1,"yyyy")),MATCH(TRIM($A117),BS_Accounts,0))-F117</f>
        <v>0</v>
      </c>
      <c r="G118" s="76">
        <f t="array" ref="G118">INDEX(INDIRECT("BS_"&amp;TEXT(G$1,"mmm")&amp;"_"&amp;TEXT(G$1,"yyyy")),MATCH(TRIM($A117),BS_Accounts,0))-G117</f>
        <v>0</v>
      </c>
      <c r="H118" s="76">
        <f t="array" ref="H118">INDEX(INDIRECT("BS_"&amp;TEXT(H$1,"mmm")&amp;"_"&amp;TEXT(H$1,"yyyy")),MATCH(TRIM($A117),BS_Accounts,0))-H117</f>
        <v>0</v>
      </c>
      <c r="I118" s="76">
        <f t="array" ref="I118">INDEX(INDIRECT("BS_"&amp;TEXT(I$1,"mmm")&amp;"_"&amp;TEXT(I$1,"yyyy")),MATCH(TRIM($A117),BS_Accounts,0))-I117</f>
        <v>0</v>
      </c>
      <c r="J118" s="76">
        <f t="array" ref="J118">INDEX(INDIRECT("BS_"&amp;TEXT(J$1,"mmm")&amp;"_"&amp;TEXT(J$1,"yyyy")),MATCH(TRIM($A117),BS_Accounts,0))-J117</f>
        <v>0</v>
      </c>
      <c r="K118" s="76">
        <f t="array" ref="K118">INDEX(INDIRECT("BS_"&amp;TEXT(K$1,"mmm")&amp;"_"&amp;TEXT(K$1,"yyyy")),MATCH(TRIM($A117),BS_Accounts,0))-K117</f>
        <v>0</v>
      </c>
      <c r="L118" s="76">
        <f t="array" ref="L118">INDEX(INDIRECT("BS_"&amp;TEXT(L$1,"mmm")&amp;"_"&amp;TEXT(L$1,"yyyy")),MATCH(TRIM($A117),BS_Accounts,0))-L117</f>
        <v>0</v>
      </c>
      <c r="M118" s="76">
        <f t="array" ref="M118">INDEX(INDIRECT("BS_"&amp;TEXT(M$1,"mmm")&amp;"_"&amp;TEXT(M$1,"yyyy")),MATCH(TRIM($A117),BS_Accounts,0))-M117</f>
        <v>0</v>
      </c>
      <c r="N118" s="76">
        <f t="array" ref="N118">INDEX(INDIRECT("BS_"&amp;TEXT(N$1,"mmm")&amp;"_"&amp;TEXT(N$1,"yyyy")),MATCH(TRIM($A117),BS_Accounts,0))-N117</f>
        <v>0</v>
      </c>
      <c r="O118" s="76">
        <f t="array" ref="O118">INDEX(INDIRECT("BS_"&amp;TEXT(O$1,"mmm")&amp;"_"&amp;TEXT(O$1,"yyyy")),MATCH(TRIM($A117),BS_Accounts,0))-O117</f>
        <v>0</v>
      </c>
      <c r="P118" s="76">
        <f t="array" ref="P118">INDEX(INDIRECT("BS_"&amp;TEXT(P$1,"mmm")&amp;"_"&amp;TEXT(P$1,"yyyy")),MATCH(TRIM($A117),BS_Accounts,0))-P117</f>
        <v>0</v>
      </c>
      <c r="Q118" s="76">
        <f t="array" ref="Q118">INDEX(INDIRECT("BS_"&amp;TEXT(Q$1,"mmm")&amp;"_"&amp;TEXT(Q$1,"yyyy")),MATCH(TRIM($A117),BS_Accounts,0))-Q117</f>
        <v>0</v>
      </c>
      <c r="R118" s="76">
        <f t="array" ref="R118">INDEX(INDIRECT("BS_"&amp;TEXT(R$1,"mmm")&amp;"_"&amp;TEXT(R$1,"yyyy")),MATCH(TRIM($A117),BS_Accounts,0))-R117</f>
        <v>0</v>
      </c>
      <c r="S118" s="76">
        <f t="array" ref="S118">INDEX(INDIRECT("BS_"&amp;TEXT(S$1,"mmm")&amp;"_"&amp;TEXT(S$1,"yyyy")),MATCH(TRIM($A117),BS_Accounts,0))-S117</f>
        <v>0</v>
      </c>
      <c r="T118" s="76">
        <f t="array" ref="T118">INDEX(INDIRECT("BS_"&amp;TEXT(T$1,"mmm")&amp;"_"&amp;TEXT(T$1,"yyyy")),MATCH(TRIM($A117),BS_Accounts,0))-T117</f>
        <v>0</v>
      </c>
      <c r="U118" s="76">
        <f t="array" ref="U118">INDEX(INDIRECT("BS_"&amp;TEXT(U$1,"mmm")&amp;"_"&amp;TEXT(U$1,"yyyy")),MATCH(TRIM($A117),BS_Accounts,0))-U117</f>
        <v>0</v>
      </c>
      <c r="V118" s="76">
        <f t="array" ref="V118">INDEX(INDIRECT("BS_"&amp;TEXT(V$1,"mmm")&amp;"_"&amp;TEXT(V$1,"yyyy")),MATCH(TRIM($A117),BS_Accounts,0))-V117</f>
        <v>0</v>
      </c>
      <c r="W118" s="76">
        <f t="array" ref="W118">INDEX(INDIRECT("BS_"&amp;TEXT(W$1,"mmm")&amp;"_"&amp;TEXT(W$1,"yyyy")),MATCH(TRIM($A117),BS_Accounts,0))-W117</f>
        <v>0</v>
      </c>
      <c r="X118" s="76">
        <f t="array" ref="X118">INDEX(INDIRECT("BS_"&amp;TEXT(X$1,"mmm")&amp;"_"&amp;TEXT(X$1,"yyyy")),MATCH(TRIM($A117),BS_Accounts,0))-X117</f>
        <v>0</v>
      </c>
      <c r="Y118" s="76">
        <f t="array" ref="Y118">INDEX(INDIRECT("BS_"&amp;TEXT(Y$1,"mmm")&amp;"_"&amp;TEXT(Y$1,"yyyy")),MATCH(TRIM($A117),BS_Accounts,0))-Y117</f>
        <v>0</v>
      </c>
      <c r="Z118" s="76">
        <f t="array" ref="Z118">INDEX(INDIRECT("BS_"&amp;TEXT(Z$1,"mmm")&amp;"_"&amp;TEXT(Z$1,"yyyy")),MATCH(TRIM($A117),BS_Accounts,0))-Z117</f>
        <v>0</v>
      </c>
      <c r="AA118" s="76">
        <f t="array" ref="AA118">INDEX(INDIRECT("BS_"&amp;TEXT(AA$1,"mmm")&amp;"_"&amp;TEXT(AA$1,"yyyy")),MATCH(TRIM($A117),BS_Accounts,0))-AA117</f>
        <v>0</v>
      </c>
      <c r="AB118" s="76">
        <f t="array" ref="AB118">INDEX(INDIRECT("BS_"&amp;TEXT(AB$1,"mmm")&amp;"_"&amp;TEXT(AB$1,"yyyy")),MATCH(TRIM($A117),BS_Accounts,0))-AB117</f>
        <v>0</v>
      </c>
      <c r="AC118" s="76">
        <f t="array" ref="AC118">INDEX(INDIRECT("BS_"&amp;TEXT(AC$1,"mmm")&amp;"_"&amp;TEXT(AC$1,"yyyy")),MATCH(TRIM($A117),BS_Accounts,0))-AC117</f>
        <v>0</v>
      </c>
      <c r="AD118" s="76">
        <f t="array" ref="AD118">INDEX(INDIRECT("BS_"&amp;TEXT(AD$1,"mmm")&amp;"_"&amp;TEXT(AD$1,"yyyy")),MATCH(TRIM($A117),BS_Accounts,0))-AD117</f>
        <v>0</v>
      </c>
      <c r="AE118" s="76">
        <f t="array" ref="AE118">INDEX(INDIRECT("BS_"&amp;TEXT(AE$1,"mmm")&amp;"_"&amp;TEXT(AE$1,"yyyy")),MATCH(TRIM($A117),BS_Accounts,0))-AE117</f>
        <v>0</v>
      </c>
    </row>
    <row r="119" ht="15.75" customHeight="1">
      <c r="A119" s="21" t="s">
        <v>340</v>
      </c>
      <c r="B119" s="163"/>
      <c r="C119" s="21"/>
      <c r="D119" s="147">
        <f t="shared" ref="D119:BW119" si="63">SUM(D117,D111,D106)</f>
        <v>960680</v>
      </c>
      <c r="E119" s="147">
        <f t="shared" si="63"/>
        <v>970330</v>
      </c>
      <c r="F119" s="147">
        <f t="shared" si="63"/>
        <v>867374</v>
      </c>
      <c r="G119" s="147">
        <f t="shared" si="63"/>
        <v>772779</v>
      </c>
      <c r="H119" s="147">
        <f t="shared" si="63"/>
        <v>690714</v>
      </c>
      <c r="I119" s="147">
        <f t="shared" si="63"/>
        <v>612582</v>
      </c>
      <c r="J119" s="147">
        <f t="shared" si="63"/>
        <v>518537</v>
      </c>
      <c r="K119" s="147">
        <f t="shared" si="63"/>
        <v>428771</v>
      </c>
      <c r="L119" s="147">
        <f t="shared" si="63"/>
        <v>314326</v>
      </c>
      <c r="M119" s="147">
        <f t="shared" si="63"/>
        <v>782445</v>
      </c>
      <c r="N119" s="147">
        <f t="shared" si="63"/>
        <v>641848</v>
      </c>
      <c r="O119" s="147">
        <f t="shared" si="63"/>
        <v>464654</v>
      </c>
      <c r="P119" s="147">
        <f t="shared" si="63"/>
        <v>787530</v>
      </c>
      <c r="Q119" s="147">
        <f t="shared" si="63"/>
        <v>597955</v>
      </c>
      <c r="R119" s="147">
        <f t="shared" si="63"/>
        <v>413824</v>
      </c>
      <c r="S119" s="147">
        <f t="shared" si="63"/>
        <v>284883</v>
      </c>
      <c r="T119" s="147">
        <f t="shared" si="63"/>
        <v>433129</v>
      </c>
      <c r="U119" s="147">
        <f t="shared" si="63"/>
        <v>310846</v>
      </c>
      <c r="V119" s="147">
        <f t="shared" si="63"/>
        <v>208372</v>
      </c>
      <c r="W119" s="147">
        <f t="shared" si="63"/>
        <v>125877</v>
      </c>
      <c r="X119" s="147">
        <f t="shared" si="63"/>
        <v>65839</v>
      </c>
      <c r="Y119" s="147">
        <f t="shared" si="63"/>
        <v>338519</v>
      </c>
      <c r="Z119" s="147">
        <f t="shared" si="63"/>
        <v>319614</v>
      </c>
      <c r="AA119" s="147">
        <f t="shared" si="63"/>
        <v>295403</v>
      </c>
      <c r="AB119" s="147">
        <f t="shared" si="63"/>
        <v>281579</v>
      </c>
      <c r="AC119" s="147">
        <f t="shared" si="63"/>
        <v>255410</v>
      </c>
      <c r="AD119" s="147">
        <f t="shared" si="63"/>
        <v>263817.19</v>
      </c>
      <c r="AE119" s="147">
        <f t="shared" si="63"/>
        <v>263700.19</v>
      </c>
      <c r="AF119" s="147" t="str">
        <f t="shared" si="63"/>
        <v>#NAME?</v>
      </c>
      <c r="AG119" s="147" t="str">
        <f t="shared" si="63"/>
        <v>#NAME?</v>
      </c>
      <c r="AH119" s="147" t="str">
        <f t="shared" si="63"/>
        <v>#NAME?</v>
      </c>
      <c r="AI119" s="147" t="str">
        <f t="shared" si="63"/>
        <v>#NAME?</v>
      </c>
      <c r="AJ119" s="147" t="str">
        <f t="shared" si="63"/>
        <v>#NAME?</v>
      </c>
      <c r="AK119" s="147" t="str">
        <f t="shared" si="63"/>
        <v>#NAME?</v>
      </c>
      <c r="AL119" s="147" t="str">
        <f t="shared" si="63"/>
        <v>#NAME?</v>
      </c>
      <c r="AM119" s="147" t="str">
        <f t="shared" si="63"/>
        <v>#NAME?</v>
      </c>
      <c r="AN119" s="147" t="str">
        <f t="shared" si="63"/>
        <v>#NAME?</v>
      </c>
      <c r="AO119" s="147" t="str">
        <f t="shared" si="63"/>
        <v>#NAME?</v>
      </c>
      <c r="AP119" s="147" t="str">
        <f t="shared" si="63"/>
        <v>#NAME?</v>
      </c>
      <c r="AQ119" s="147" t="str">
        <f t="shared" si="63"/>
        <v>#NAME?</v>
      </c>
      <c r="AR119" s="147" t="str">
        <f t="shared" si="63"/>
        <v>#NAME?</v>
      </c>
      <c r="AS119" s="147" t="str">
        <f t="shared" si="63"/>
        <v>#NAME?</v>
      </c>
      <c r="AT119" s="147" t="str">
        <f t="shared" si="63"/>
        <v>#NAME?</v>
      </c>
      <c r="AU119" s="147" t="str">
        <f t="shared" si="63"/>
        <v>#NAME?</v>
      </c>
      <c r="AV119" s="147" t="str">
        <f t="shared" si="63"/>
        <v>#NAME?</v>
      </c>
      <c r="AW119" s="147" t="str">
        <f t="shared" si="63"/>
        <v>#NAME?</v>
      </c>
      <c r="AX119" s="147" t="str">
        <f t="shared" si="63"/>
        <v>#NAME?</v>
      </c>
      <c r="AY119" s="147" t="str">
        <f t="shared" si="63"/>
        <v>#NAME?</v>
      </c>
      <c r="AZ119" s="147" t="str">
        <f t="shared" si="63"/>
        <v>#NAME?</v>
      </c>
      <c r="BA119" s="147" t="str">
        <f t="shared" si="63"/>
        <v>#NAME?</v>
      </c>
      <c r="BB119" s="147" t="str">
        <f t="shared" si="63"/>
        <v>#NAME?</v>
      </c>
      <c r="BC119" s="147" t="str">
        <f t="shared" si="63"/>
        <v>#NAME?</v>
      </c>
      <c r="BD119" s="147" t="str">
        <f t="shared" si="63"/>
        <v>#NAME?</v>
      </c>
      <c r="BE119" s="147" t="str">
        <f t="shared" si="63"/>
        <v>#NAME?</v>
      </c>
      <c r="BF119" s="147" t="str">
        <f t="shared" si="63"/>
        <v>#NAME?</v>
      </c>
      <c r="BG119" s="147" t="str">
        <f t="shared" si="63"/>
        <v>#NAME?</v>
      </c>
      <c r="BH119" s="147" t="str">
        <f t="shared" si="63"/>
        <v>#NAME?</v>
      </c>
      <c r="BI119" s="147" t="str">
        <f t="shared" si="63"/>
        <v>#NAME?</v>
      </c>
      <c r="BJ119" s="147" t="str">
        <f t="shared" si="63"/>
        <v>#NAME?</v>
      </c>
      <c r="BK119" s="147" t="str">
        <f t="shared" si="63"/>
        <v>#NAME?</v>
      </c>
      <c r="BL119" s="147" t="str">
        <f t="shared" si="63"/>
        <v>#NAME?</v>
      </c>
      <c r="BM119" s="147" t="str">
        <f t="shared" si="63"/>
        <v>#NAME?</v>
      </c>
      <c r="BN119" s="147" t="str">
        <f t="shared" si="63"/>
        <v>#NAME?</v>
      </c>
      <c r="BO119" s="147" t="str">
        <f t="shared" si="63"/>
        <v>#NAME?</v>
      </c>
      <c r="BP119" s="21" t="str">
        <f t="shared" si="63"/>
        <v>#NAME?</v>
      </c>
      <c r="BQ119" s="21" t="str">
        <f t="shared" si="63"/>
        <v>#NAME?</v>
      </c>
      <c r="BR119" s="21" t="str">
        <f t="shared" si="63"/>
        <v>#NAME?</v>
      </c>
      <c r="BS119" s="21" t="str">
        <f t="shared" si="63"/>
        <v>#NAME?</v>
      </c>
      <c r="BT119" s="21" t="str">
        <f t="shared" si="63"/>
        <v>#NAME?</v>
      </c>
      <c r="BU119" s="21" t="str">
        <f t="shared" si="63"/>
        <v>#NAME?</v>
      </c>
      <c r="BV119" s="21" t="str">
        <f t="shared" si="63"/>
        <v>#NAME?</v>
      </c>
      <c r="BW119" s="21" t="str">
        <f t="shared" si="63"/>
        <v>#NAME?</v>
      </c>
    </row>
    <row r="120" ht="15.75" customHeight="1">
      <c r="A120" s="31" t="s">
        <v>244</v>
      </c>
      <c r="B120" s="159"/>
      <c r="D120" s="76">
        <f t="array" ref="D120">INDEX(INDIRECT("BS_"&amp;TEXT(D$1,"mmm")&amp;"_"&amp;TEXT(D$1,"yyyy")),MATCH(TRIM($A119),BS_Accounts,0))-D119</f>
        <v>0</v>
      </c>
      <c r="E120" s="76">
        <f t="array" ref="E120">INDEX(INDIRECT("BS_"&amp;TEXT(E$1,"mmm")&amp;"_"&amp;TEXT(E$1,"yyyy")),MATCH(TRIM($A119),BS_Accounts,0))-E119</f>
        <v>0</v>
      </c>
      <c r="F120" s="76">
        <f t="array" ref="F120">INDEX(INDIRECT("BS_"&amp;TEXT(F$1,"mmm")&amp;"_"&amp;TEXT(F$1,"yyyy")),MATCH(TRIM($A119),BS_Accounts,0))-F119</f>
        <v>0</v>
      </c>
      <c r="G120" s="76">
        <f t="array" ref="G120">INDEX(INDIRECT("BS_"&amp;TEXT(G$1,"mmm")&amp;"_"&amp;TEXT(G$1,"yyyy")),MATCH(TRIM($A119),BS_Accounts,0))-G119</f>
        <v>0</v>
      </c>
      <c r="H120" s="76">
        <f t="array" ref="H120">INDEX(INDIRECT("BS_"&amp;TEXT(H$1,"mmm")&amp;"_"&amp;TEXT(H$1,"yyyy")),MATCH(TRIM($A119),BS_Accounts,0))-H119</f>
        <v>0</v>
      </c>
      <c r="I120" s="76">
        <f t="array" ref="I120">INDEX(INDIRECT("BS_"&amp;TEXT(I$1,"mmm")&amp;"_"&amp;TEXT(I$1,"yyyy")),MATCH(TRIM($A119),BS_Accounts,0))-I119</f>
        <v>0</v>
      </c>
      <c r="J120" s="76">
        <f t="array" ref="J120">INDEX(INDIRECT("BS_"&amp;TEXT(J$1,"mmm")&amp;"_"&amp;TEXT(J$1,"yyyy")),MATCH(TRIM($A119),BS_Accounts,0))-J119</f>
        <v>0</v>
      </c>
      <c r="K120" s="76">
        <f t="array" ref="K120">INDEX(INDIRECT("BS_"&amp;TEXT(K$1,"mmm")&amp;"_"&amp;TEXT(K$1,"yyyy")),MATCH(TRIM($A119),BS_Accounts,0))-K119</f>
        <v>0</v>
      </c>
      <c r="L120" s="76">
        <f t="array" ref="L120">INDEX(INDIRECT("BS_"&amp;TEXT(L$1,"mmm")&amp;"_"&amp;TEXT(L$1,"yyyy")),MATCH(TRIM($A119),BS_Accounts,0))-L119</f>
        <v>0</v>
      </c>
      <c r="M120" s="76">
        <f t="array" ref="M120">INDEX(INDIRECT("BS_"&amp;TEXT(M$1,"mmm")&amp;"_"&amp;TEXT(M$1,"yyyy")),MATCH(TRIM($A119),BS_Accounts,0))-M119</f>
        <v>0</v>
      </c>
      <c r="N120" s="76">
        <f t="array" ref="N120">INDEX(INDIRECT("BS_"&amp;TEXT(N$1,"mmm")&amp;"_"&amp;TEXT(N$1,"yyyy")),MATCH(TRIM($A119),BS_Accounts,0))-N119</f>
        <v>0</v>
      </c>
      <c r="O120" s="76">
        <f t="array" ref="O120">INDEX(INDIRECT("BS_"&amp;TEXT(O$1,"mmm")&amp;"_"&amp;TEXT(O$1,"yyyy")),MATCH(TRIM($A119),BS_Accounts,0))-O119</f>
        <v>0</v>
      </c>
      <c r="P120" s="76">
        <f t="array" ref="P120">INDEX(INDIRECT("BS_"&amp;TEXT(P$1,"mmm")&amp;"_"&amp;TEXT(P$1,"yyyy")),MATCH(TRIM($A119),BS_Accounts,0))-P119</f>
        <v>0</v>
      </c>
      <c r="Q120" s="76">
        <f t="array" ref="Q120">INDEX(INDIRECT("BS_"&amp;TEXT(Q$1,"mmm")&amp;"_"&amp;TEXT(Q$1,"yyyy")),MATCH(TRIM($A119),BS_Accounts,0))-Q119</f>
        <v>0</v>
      </c>
      <c r="R120" s="76">
        <f t="array" ref="R120">INDEX(INDIRECT("BS_"&amp;TEXT(R$1,"mmm")&amp;"_"&amp;TEXT(R$1,"yyyy")),MATCH(TRIM($A119),BS_Accounts,0))-R119</f>
        <v>0</v>
      </c>
      <c r="S120" s="76">
        <f t="array" ref="S120">INDEX(INDIRECT("BS_"&amp;TEXT(S$1,"mmm")&amp;"_"&amp;TEXT(S$1,"yyyy")),MATCH(TRIM($A119),BS_Accounts,0))-S119</f>
        <v>0</v>
      </c>
      <c r="T120" s="76">
        <f t="array" ref="T120">INDEX(INDIRECT("BS_"&amp;TEXT(T$1,"mmm")&amp;"_"&amp;TEXT(T$1,"yyyy")),MATCH(TRIM($A119),BS_Accounts,0))-T119</f>
        <v>0</v>
      </c>
      <c r="U120" s="76">
        <f t="array" ref="U120">INDEX(INDIRECT("BS_"&amp;TEXT(U$1,"mmm")&amp;"_"&amp;TEXT(U$1,"yyyy")),MATCH(TRIM($A119),BS_Accounts,0))-U119</f>
        <v>0</v>
      </c>
      <c r="V120" s="76">
        <f t="array" ref="V120">INDEX(INDIRECT("BS_"&amp;TEXT(V$1,"mmm")&amp;"_"&amp;TEXT(V$1,"yyyy")),MATCH(TRIM($A119),BS_Accounts,0))-V119</f>
        <v>0</v>
      </c>
      <c r="W120" s="76">
        <f t="array" ref="W120">INDEX(INDIRECT("BS_"&amp;TEXT(W$1,"mmm")&amp;"_"&amp;TEXT(W$1,"yyyy")),MATCH(TRIM($A119),BS_Accounts,0))-W119</f>
        <v>0</v>
      </c>
      <c r="X120" s="76">
        <f t="array" ref="X120">INDEX(INDIRECT("BS_"&amp;TEXT(X$1,"mmm")&amp;"_"&amp;TEXT(X$1,"yyyy")),MATCH(TRIM($A119),BS_Accounts,0))-X119</f>
        <v>0</v>
      </c>
      <c r="Y120" s="76">
        <f t="array" ref="Y120">INDEX(INDIRECT("BS_"&amp;TEXT(Y$1,"mmm")&amp;"_"&amp;TEXT(Y$1,"yyyy")),MATCH(TRIM($A119),BS_Accounts,0))-Y119</f>
        <v>0</v>
      </c>
      <c r="Z120" s="76">
        <f t="array" ref="Z120">INDEX(INDIRECT("BS_"&amp;TEXT(Z$1,"mmm")&amp;"_"&amp;TEXT(Z$1,"yyyy")),MATCH(TRIM($A119),BS_Accounts,0))-Z119</f>
        <v>0</v>
      </c>
      <c r="AA120" s="76">
        <f t="array" ref="AA120">INDEX(INDIRECT("BS_"&amp;TEXT(AA$1,"mmm")&amp;"_"&amp;TEXT(AA$1,"yyyy")),MATCH(TRIM($A119),BS_Accounts,0))-AA119</f>
        <v>0</v>
      </c>
      <c r="AB120" s="76">
        <f t="array" ref="AB120">INDEX(INDIRECT("BS_"&amp;TEXT(AB$1,"mmm")&amp;"_"&amp;TEXT(AB$1,"yyyy")),MATCH(TRIM($A119),BS_Accounts,0))-AB119</f>
        <v>0</v>
      </c>
      <c r="AC120" s="76">
        <f t="array" ref="AC120">INDEX(INDIRECT("BS_"&amp;TEXT(AC$1,"mmm")&amp;"_"&amp;TEXT(AC$1,"yyyy")),MATCH(TRIM($A119),BS_Accounts,0))-AC119</f>
        <v>0</v>
      </c>
      <c r="AD120" s="76">
        <f t="array" ref="AD120">INDEX(INDIRECT("BS_"&amp;TEXT(AD$1,"mmm")&amp;"_"&amp;TEXT(AD$1,"yyyy")),MATCH(TRIM($A119),BS_Accounts,0))-AD119</f>
        <v>0</v>
      </c>
      <c r="AE120" s="76">
        <f t="array" ref="AE120">INDEX(INDIRECT("BS_"&amp;TEXT(AE$1,"mmm")&amp;"_"&amp;TEXT(AE$1,"yyyy")),MATCH(TRIM($A119),BS_Accounts,0))-AE119</f>
        <v>0</v>
      </c>
    </row>
    <row r="121" ht="15.75" customHeight="1">
      <c r="A121" s="1" t="s">
        <v>341</v>
      </c>
      <c r="B121" s="159"/>
    </row>
    <row r="122" ht="15.75" customHeight="1">
      <c r="A122" s="1" t="s">
        <v>342</v>
      </c>
      <c r="B122" s="159"/>
    </row>
    <row r="123" ht="15.75" customHeight="1">
      <c r="A123" s="1" t="s">
        <v>343</v>
      </c>
      <c r="B123" s="159"/>
      <c r="D123" s="76" t="str">
        <f t="array" ref="D123">INDEX(INDIRECT("BS_"&amp;TEXT(D$1,"mmm")&amp;"_"&amp;TEXT(D$1,"yyyy")),MATCH(TRIM($A123),BS_Accounts,0))</f>
        <v/>
      </c>
      <c r="E123" s="76" t="str">
        <f t="array" ref="E123">INDEX(INDIRECT("BS_"&amp;TEXT(E$1,"mmm")&amp;"_"&amp;TEXT(E$1,"yyyy")),MATCH(TRIM($A123),BS_Accounts,0))</f>
        <v/>
      </c>
      <c r="F123" s="76" t="str">
        <f t="array" ref="F123">INDEX(INDIRECT("BS_"&amp;TEXT(F$1,"mmm")&amp;"_"&amp;TEXT(F$1,"yyyy")),MATCH(TRIM($A123),BS_Accounts,0))</f>
        <v/>
      </c>
      <c r="G123" s="76" t="str">
        <f t="array" ref="G123">INDEX(INDIRECT("BS_"&amp;TEXT(G$1,"mmm")&amp;"_"&amp;TEXT(G$1,"yyyy")),MATCH(TRIM($A123),BS_Accounts,0))</f>
        <v/>
      </c>
      <c r="H123" s="76" t="str">
        <f t="array" ref="H123">INDEX(INDIRECT("BS_"&amp;TEXT(H$1,"mmm")&amp;"_"&amp;TEXT(H$1,"yyyy")),MATCH(TRIM($A123),BS_Accounts,0))</f>
        <v/>
      </c>
      <c r="I123" s="76" t="str">
        <f t="array" ref="I123">INDEX(INDIRECT("BS_"&amp;TEXT(I$1,"mmm")&amp;"_"&amp;TEXT(I$1,"yyyy")),MATCH(TRIM($A123),BS_Accounts,0))</f>
        <v/>
      </c>
      <c r="J123" s="76" t="str">
        <f t="array" ref="J123">INDEX(INDIRECT("BS_"&amp;TEXT(J$1,"mmm")&amp;"_"&amp;TEXT(J$1,"yyyy")),MATCH(TRIM($A123),BS_Accounts,0))</f>
        <v/>
      </c>
      <c r="K123" s="76" t="str">
        <f t="array" ref="K123">INDEX(INDIRECT("BS_"&amp;TEXT(K$1,"mmm")&amp;"_"&amp;TEXT(K$1,"yyyy")),MATCH(TRIM($A123),BS_Accounts,0))</f>
        <v/>
      </c>
      <c r="L123" s="76" t="str">
        <f t="array" ref="L123">INDEX(INDIRECT("BS_"&amp;TEXT(L$1,"mmm")&amp;"_"&amp;TEXT(L$1,"yyyy")),MATCH(TRIM($A123),BS_Accounts,0))</f>
        <v/>
      </c>
      <c r="M123" s="76" t="str">
        <f t="array" ref="M123">INDEX(INDIRECT("BS_"&amp;TEXT(M$1,"mmm")&amp;"_"&amp;TEXT(M$1,"yyyy")),MATCH(TRIM($A123),BS_Accounts,0))</f>
        <v/>
      </c>
      <c r="N123" s="76" t="str">
        <f t="array" ref="N123">INDEX(INDIRECT("BS_"&amp;TEXT(N$1,"mmm")&amp;"_"&amp;TEXT(N$1,"yyyy")),MATCH(TRIM($A123),BS_Accounts,0))</f>
        <v/>
      </c>
      <c r="O123" s="76" t="str">
        <f t="array" ref="O123">INDEX(INDIRECT("BS_"&amp;TEXT(O$1,"mmm")&amp;"_"&amp;TEXT(O$1,"yyyy")),MATCH(TRIM($A123),BS_Accounts,0))</f>
        <v/>
      </c>
      <c r="P123" s="76" t="str">
        <f t="array" ref="P123">INDEX(INDIRECT("BS_"&amp;TEXT(P$1,"mmm")&amp;"_"&amp;TEXT(P$1,"yyyy")),MATCH(TRIM($A123),BS_Accounts,0))</f>
        <v/>
      </c>
      <c r="Q123" s="76" t="str">
        <f t="array" ref="Q123">INDEX(INDIRECT("BS_"&amp;TEXT(Q$1,"mmm")&amp;"_"&amp;TEXT(Q$1,"yyyy")),MATCH(TRIM($A123),BS_Accounts,0))</f>
        <v/>
      </c>
      <c r="R123" s="76" t="str">
        <f t="array" ref="R123">INDEX(INDIRECT("BS_"&amp;TEXT(R$1,"mmm")&amp;"_"&amp;TEXT(R$1,"yyyy")),MATCH(TRIM($A123),BS_Accounts,0))</f>
        <v/>
      </c>
      <c r="S123" s="76" t="str">
        <f t="array" ref="S123">INDEX(INDIRECT("BS_"&amp;TEXT(S$1,"mmm")&amp;"_"&amp;TEXT(S$1,"yyyy")),MATCH(TRIM($A123),BS_Accounts,0))</f>
        <v/>
      </c>
      <c r="T123" s="76" t="str">
        <f t="array" ref="T123">INDEX(INDIRECT("BS_"&amp;TEXT(T$1,"mmm")&amp;"_"&amp;TEXT(T$1,"yyyy")),MATCH(TRIM($A123),BS_Accounts,0))</f>
        <v/>
      </c>
      <c r="U123" s="76" t="str">
        <f t="array" ref="U123">INDEX(INDIRECT("BS_"&amp;TEXT(U$1,"mmm")&amp;"_"&amp;TEXT(U$1,"yyyy")),MATCH(TRIM($A123),BS_Accounts,0))</f>
        <v/>
      </c>
      <c r="V123" s="76" t="str">
        <f t="array" ref="V123">INDEX(INDIRECT("BS_"&amp;TEXT(V$1,"mmm")&amp;"_"&amp;TEXT(V$1,"yyyy")),MATCH(TRIM($A123),BS_Accounts,0))</f>
        <v/>
      </c>
      <c r="W123" s="76" t="str">
        <f t="array" ref="W123">INDEX(INDIRECT("BS_"&amp;TEXT(W$1,"mmm")&amp;"_"&amp;TEXT(W$1,"yyyy")),MATCH(TRIM($A123),BS_Accounts,0))</f>
        <v/>
      </c>
      <c r="X123" s="76" t="str">
        <f t="array" ref="X123">INDEX(INDIRECT("BS_"&amp;TEXT(X$1,"mmm")&amp;"_"&amp;TEXT(X$1,"yyyy")),MATCH(TRIM($A123),BS_Accounts,0))</f>
        <v/>
      </c>
      <c r="Y123" s="76" t="str">
        <f t="array" ref="Y123">INDEX(INDIRECT("BS_"&amp;TEXT(Y$1,"mmm")&amp;"_"&amp;TEXT(Y$1,"yyyy")),MATCH(TRIM($A123),BS_Accounts,0))</f>
        <v/>
      </c>
      <c r="Z123" s="76" t="str">
        <f t="array" ref="Z123">INDEX(INDIRECT("BS_"&amp;TEXT(Z$1,"mmm")&amp;"_"&amp;TEXT(Z$1,"yyyy")),MATCH(TRIM($A123),BS_Accounts,0))</f>
        <v/>
      </c>
      <c r="AA123" s="76" t="str">
        <f t="array" ref="AA123">INDEX(INDIRECT("BS_"&amp;TEXT(AA$1,"mmm")&amp;"_"&amp;TEXT(AA$1,"yyyy")),MATCH(TRIM($A123),BS_Accounts,0))</f>
        <v/>
      </c>
      <c r="AB123" s="76" t="str">
        <f t="array" ref="AB123">INDEX(INDIRECT("BS_"&amp;TEXT(AB$1,"mmm")&amp;"_"&amp;TEXT(AB$1,"yyyy")),MATCH(TRIM($A123),BS_Accounts,0))</f>
        <v/>
      </c>
      <c r="AC123" s="76" t="str">
        <f t="array" ref="AC123">INDEX(INDIRECT("BS_"&amp;TEXT(AC$1,"mmm")&amp;"_"&amp;TEXT(AC$1,"yyyy")),MATCH(TRIM($A123),BS_Accounts,0))</f>
        <v/>
      </c>
      <c r="AD123" s="76" t="str">
        <f t="array" ref="AD123">INDEX(INDIRECT("BS_"&amp;TEXT(AD$1,"mmm")&amp;"_"&amp;TEXT(AD$1,"yyyy")),MATCH(TRIM($A123),BS_Accounts,0))</f>
        <v/>
      </c>
      <c r="AE123" s="76" t="str">
        <f t="array" ref="AE123">INDEX(INDIRECT("BS_"&amp;TEXT(AE$1,"mmm")&amp;"_"&amp;TEXT(AE$1,"yyyy")),MATCH(TRIM($A123),BS_Accounts,0))</f>
        <v/>
      </c>
    </row>
    <row r="124" ht="15.75" customHeight="1">
      <c r="A124" s="1" t="s">
        <v>344</v>
      </c>
      <c r="B124" s="159"/>
      <c r="D124" s="76" t="str">
        <f t="array" ref="D124">INDEX(INDIRECT("BS_"&amp;TEXT(D$1,"mmm")&amp;"_"&amp;TEXT(D$1,"yyyy")),MATCH(TRIM($A124),BS_Accounts,0))</f>
        <v/>
      </c>
      <c r="E124" s="76" t="str">
        <f t="array" ref="E124">INDEX(INDIRECT("BS_"&amp;TEXT(E$1,"mmm")&amp;"_"&amp;TEXT(E$1,"yyyy")),MATCH(TRIM($A124),BS_Accounts,0))</f>
        <v/>
      </c>
      <c r="F124" s="76" t="str">
        <f t="array" ref="F124">INDEX(INDIRECT("BS_"&amp;TEXT(F$1,"mmm")&amp;"_"&amp;TEXT(F$1,"yyyy")),MATCH(TRIM($A124),BS_Accounts,0))</f>
        <v/>
      </c>
      <c r="G124" s="76" t="str">
        <f t="array" ref="G124">INDEX(INDIRECT("BS_"&amp;TEXT(G$1,"mmm")&amp;"_"&amp;TEXT(G$1,"yyyy")),MATCH(TRIM($A124),BS_Accounts,0))</f>
        <v/>
      </c>
      <c r="H124" s="76" t="str">
        <f t="array" ref="H124">INDEX(INDIRECT("BS_"&amp;TEXT(H$1,"mmm")&amp;"_"&amp;TEXT(H$1,"yyyy")),MATCH(TRIM($A124),BS_Accounts,0))</f>
        <v/>
      </c>
      <c r="I124" s="76" t="str">
        <f t="array" ref="I124">INDEX(INDIRECT("BS_"&amp;TEXT(I$1,"mmm")&amp;"_"&amp;TEXT(I$1,"yyyy")),MATCH(TRIM($A124),BS_Accounts,0))</f>
        <v/>
      </c>
      <c r="J124" s="76" t="str">
        <f t="array" ref="J124">INDEX(INDIRECT("BS_"&amp;TEXT(J$1,"mmm")&amp;"_"&amp;TEXT(J$1,"yyyy")),MATCH(TRIM($A124),BS_Accounts,0))</f>
        <v/>
      </c>
      <c r="K124" s="76" t="str">
        <f t="array" ref="K124">INDEX(INDIRECT("BS_"&amp;TEXT(K$1,"mmm")&amp;"_"&amp;TEXT(K$1,"yyyy")),MATCH(TRIM($A124),BS_Accounts,0))</f>
        <v/>
      </c>
      <c r="L124" s="76" t="str">
        <f t="array" ref="L124">INDEX(INDIRECT("BS_"&amp;TEXT(L$1,"mmm")&amp;"_"&amp;TEXT(L$1,"yyyy")),MATCH(TRIM($A124),BS_Accounts,0))</f>
        <v/>
      </c>
      <c r="M124" s="76" t="str">
        <f t="array" ref="M124">INDEX(INDIRECT("BS_"&amp;TEXT(M$1,"mmm")&amp;"_"&amp;TEXT(M$1,"yyyy")),MATCH(TRIM($A124),BS_Accounts,0))</f>
        <v/>
      </c>
      <c r="N124" s="76" t="str">
        <f t="array" ref="N124">INDEX(INDIRECT("BS_"&amp;TEXT(N$1,"mmm")&amp;"_"&amp;TEXT(N$1,"yyyy")),MATCH(TRIM($A124),BS_Accounts,0))</f>
        <v/>
      </c>
      <c r="O124" s="76" t="str">
        <f t="array" ref="O124">INDEX(INDIRECT("BS_"&amp;TEXT(O$1,"mmm")&amp;"_"&amp;TEXT(O$1,"yyyy")),MATCH(TRIM($A124),BS_Accounts,0))</f>
        <v/>
      </c>
      <c r="P124" s="76" t="str">
        <f t="array" ref="P124">INDEX(INDIRECT("BS_"&amp;TEXT(P$1,"mmm")&amp;"_"&amp;TEXT(P$1,"yyyy")),MATCH(TRIM($A124),BS_Accounts,0))</f>
        <v/>
      </c>
      <c r="Q124" s="76" t="str">
        <f t="array" ref="Q124">INDEX(INDIRECT("BS_"&amp;TEXT(Q$1,"mmm")&amp;"_"&amp;TEXT(Q$1,"yyyy")),MATCH(TRIM($A124),BS_Accounts,0))</f>
        <v/>
      </c>
      <c r="R124" s="76" t="str">
        <f t="array" ref="R124">INDEX(INDIRECT("BS_"&amp;TEXT(R$1,"mmm")&amp;"_"&amp;TEXT(R$1,"yyyy")),MATCH(TRIM($A124),BS_Accounts,0))</f>
        <v/>
      </c>
      <c r="S124" s="76" t="str">
        <f t="array" ref="S124">INDEX(INDIRECT("BS_"&amp;TEXT(S$1,"mmm")&amp;"_"&amp;TEXT(S$1,"yyyy")),MATCH(TRIM($A124),BS_Accounts,0))</f>
        <v/>
      </c>
      <c r="T124" s="76" t="str">
        <f t="array" ref="T124">INDEX(INDIRECT("BS_"&amp;TEXT(T$1,"mmm")&amp;"_"&amp;TEXT(T$1,"yyyy")),MATCH(TRIM($A124),BS_Accounts,0))</f>
        <v/>
      </c>
      <c r="U124" s="76" t="str">
        <f t="array" ref="U124">INDEX(INDIRECT("BS_"&amp;TEXT(U$1,"mmm")&amp;"_"&amp;TEXT(U$1,"yyyy")),MATCH(TRIM($A124),BS_Accounts,0))</f>
        <v/>
      </c>
      <c r="V124" s="76" t="str">
        <f t="array" ref="V124">INDEX(INDIRECT("BS_"&amp;TEXT(V$1,"mmm")&amp;"_"&amp;TEXT(V$1,"yyyy")),MATCH(TRIM($A124),BS_Accounts,0))</f>
        <v/>
      </c>
      <c r="W124" s="76" t="str">
        <f t="array" ref="W124">INDEX(INDIRECT("BS_"&amp;TEXT(W$1,"mmm")&amp;"_"&amp;TEXT(W$1,"yyyy")),MATCH(TRIM($A124),BS_Accounts,0))</f>
        <v/>
      </c>
      <c r="X124" s="76" t="str">
        <f t="array" ref="X124">INDEX(INDIRECT("BS_"&amp;TEXT(X$1,"mmm")&amp;"_"&amp;TEXT(X$1,"yyyy")),MATCH(TRIM($A124),BS_Accounts,0))</f>
        <v/>
      </c>
      <c r="Y124" s="76" t="str">
        <f t="array" ref="Y124">INDEX(INDIRECT("BS_"&amp;TEXT(Y$1,"mmm")&amp;"_"&amp;TEXT(Y$1,"yyyy")),MATCH(TRIM($A124),BS_Accounts,0))</f>
        <v/>
      </c>
      <c r="Z124" s="76" t="str">
        <f t="array" ref="Z124">INDEX(INDIRECT("BS_"&amp;TEXT(Z$1,"mmm")&amp;"_"&amp;TEXT(Z$1,"yyyy")),MATCH(TRIM($A124),BS_Accounts,0))</f>
        <v/>
      </c>
      <c r="AA124" s="76" t="str">
        <f t="array" ref="AA124">INDEX(INDIRECT("BS_"&amp;TEXT(AA$1,"mmm")&amp;"_"&amp;TEXT(AA$1,"yyyy")),MATCH(TRIM($A124),BS_Accounts,0))</f>
        <v/>
      </c>
      <c r="AB124" s="76" t="str">
        <f t="array" ref="AB124">INDEX(INDIRECT("BS_"&amp;TEXT(AB$1,"mmm")&amp;"_"&amp;TEXT(AB$1,"yyyy")),MATCH(TRIM($A124),BS_Accounts,0))</f>
        <v/>
      </c>
      <c r="AC124" s="76" t="str">
        <f t="array" ref="AC124">INDEX(INDIRECT("BS_"&amp;TEXT(AC$1,"mmm")&amp;"_"&amp;TEXT(AC$1,"yyyy")),MATCH(TRIM($A124),BS_Accounts,0))</f>
        <v/>
      </c>
      <c r="AD124" s="76" t="str">
        <f t="array" ref="AD124">INDEX(INDIRECT("BS_"&amp;TEXT(AD$1,"mmm")&amp;"_"&amp;TEXT(AD$1,"yyyy")),MATCH(TRIM($A124),BS_Accounts,0))</f>
        <v/>
      </c>
      <c r="AE124" s="76" t="str">
        <f t="array" ref="AE124">INDEX(INDIRECT("BS_"&amp;TEXT(AE$1,"mmm")&amp;"_"&amp;TEXT(AE$1,"yyyy")),MATCH(TRIM($A124),BS_Accounts,0))</f>
        <v/>
      </c>
    </row>
    <row r="125" ht="15.75" customHeight="1">
      <c r="A125" s="1" t="s">
        <v>345</v>
      </c>
      <c r="B125" s="160">
        <f>AVERAGEIFS(125:125,$1:$1,"&gt;="&amp;DATE(YEAR(Current_Month),MONTH(Current_Month),DAY(Current_Month)),$1:$1,"&lt;="&amp;EOMONTH(Current_Month,0))</f>
        <v>-1756</v>
      </c>
      <c r="D125" s="76">
        <f t="array" ref="D125">INDEX(INDIRECT("BS_"&amp;TEXT(D$1,"mmm")&amp;"_"&amp;TEXT(D$1,"yyyy")),MATCH(TRIM($A125),BS_Accounts,0))</f>
        <v>357</v>
      </c>
      <c r="E125" s="76">
        <f t="array" ref="E125">INDEX(INDIRECT("BS_"&amp;TEXT(E$1,"mmm")&amp;"_"&amp;TEXT(E$1,"yyyy")),MATCH(TRIM($A125),BS_Accounts,0))</f>
        <v>-1756</v>
      </c>
      <c r="F125" s="76">
        <f t="array" ref="F125">INDEX(INDIRECT("BS_"&amp;TEXT(F$1,"mmm")&amp;"_"&amp;TEXT(F$1,"yyyy")),MATCH(TRIM($A125),BS_Accounts,0))</f>
        <v>-1756</v>
      </c>
      <c r="G125" s="76">
        <f t="array" ref="G125">INDEX(INDIRECT("BS_"&amp;TEXT(G$1,"mmm")&amp;"_"&amp;TEXT(G$1,"yyyy")),MATCH(TRIM($A125),BS_Accounts,0))</f>
        <v>-1756</v>
      </c>
      <c r="H125" s="76">
        <f t="array" ref="H125">INDEX(INDIRECT("BS_"&amp;TEXT(H$1,"mmm")&amp;"_"&amp;TEXT(H$1,"yyyy")),MATCH(TRIM($A125),BS_Accounts,0))</f>
        <v>-1756</v>
      </c>
      <c r="I125" s="76">
        <f t="array" ref="I125">INDEX(INDIRECT("BS_"&amp;TEXT(I$1,"mmm")&amp;"_"&amp;TEXT(I$1,"yyyy")),MATCH(TRIM($A125),BS_Accounts,0))</f>
        <v>-1756</v>
      </c>
      <c r="J125" s="76">
        <f t="array" ref="J125">INDEX(INDIRECT("BS_"&amp;TEXT(J$1,"mmm")&amp;"_"&amp;TEXT(J$1,"yyyy")),MATCH(TRIM($A125),BS_Accounts,0))</f>
        <v>-1756</v>
      </c>
      <c r="K125" s="76">
        <f t="array" ref="K125">INDEX(INDIRECT("BS_"&amp;TEXT(K$1,"mmm")&amp;"_"&amp;TEXT(K$1,"yyyy")),MATCH(TRIM($A125),BS_Accounts,0))</f>
        <v>-1756</v>
      </c>
      <c r="L125" s="76">
        <f t="array" ref="L125">INDEX(INDIRECT("BS_"&amp;TEXT(L$1,"mmm")&amp;"_"&amp;TEXT(L$1,"yyyy")),MATCH(TRIM($A125),BS_Accounts,0))</f>
        <v>-1756</v>
      </c>
      <c r="M125" s="76">
        <f t="array" ref="M125">INDEX(INDIRECT("BS_"&amp;TEXT(M$1,"mmm")&amp;"_"&amp;TEXT(M$1,"yyyy")),MATCH(TRIM($A125),BS_Accounts,0))</f>
        <v>-1756</v>
      </c>
      <c r="N125" s="76">
        <f t="array" ref="N125">INDEX(INDIRECT("BS_"&amp;TEXT(N$1,"mmm")&amp;"_"&amp;TEXT(N$1,"yyyy")),MATCH(TRIM($A125),BS_Accounts,0))</f>
        <v>-1756</v>
      </c>
      <c r="O125" s="76">
        <f t="array" ref="O125">INDEX(INDIRECT("BS_"&amp;TEXT(O$1,"mmm")&amp;"_"&amp;TEXT(O$1,"yyyy")),MATCH(TRIM($A125),BS_Accounts,0))</f>
        <v>-1756</v>
      </c>
      <c r="P125" s="76">
        <f t="array" ref="P125">INDEX(INDIRECT("BS_"&amp;TEXT(P$1,"mmm")&amp;"_"&amp;TEXT(P$1,"yyyy")),MATCH(TRIM($A125),BS_Accounts,0))</f>
        <v>-1756</v>
      </c>
      <c r="Q125" s="76">
        <f t="array" ref="Q125">INDEX(INDIRECT("BS_"&amp;TEXT(Q$1,"mmm")&amp;"_"&amp;TEXT(Q$1,"yyyy")),MATCH(TRIM($A125),BS_Accounts,0))</f>
        <v>-1756</v>
      </c>
      <c r="R125" s="76">
        <f t="array" ref="R125">INDEX(INDIRECT("BS_"&amp;TEXT(R$1,"mmm")&amp;"_"&amp;TEXT(R$1,"yyyy")),MATCH(TRIM($A125),BS_Accounts,0))</f>
        <v>-1756</v>
      </c>
      <c r="S125" s="76">
        <f t="array" ref="S125">INDEX(INDIRECT("BS_"&amp;TEXT(S$1,"mmm")&amp;"_"&amp;TEXT(S$1,"yyyy")),MATCH(TRIM($A125),BS_Accounts,0))</f>
        <v>-1756</v>
      </c>
      <c r="T125" s="76">
        <f t="array" ref="T125">INDEX(INDIRECT("BS_"&amp;TEXT(T$1,"mmm")&amp;"_"&amp;TEXT(T$1,"yyyy")),MATCH(TRIM($A125),BS_Accounts,0))</f>
        <v>-1756</v>
      </c>
      <c r="U125" s="76">
        <f t="array" ref="U125">INDEX(INDIRECT("BS_"&amp;TEXT(U$1,"mmm")&amp;"_"&amp;TEXT(U$1,"yyyy")),MATCH(TRIM($A125),BS_Accounts,0))</f>
        <v>-1756</v>
      </c>
      <c r="V125" s="76">
        <f t="array" ref="V125">INDEX(INDIRECT("BS_"&amp;TEXT(V$1,"mmm")&amp;"_"&amp;TEXT(V$1,"yyyy")),MATCH(TRIM($A125),BS_Accounts,0))</f>
        <v>-1756</v>
      </c>
      <c r="W125" s="76">
        <f t="array" ref="W125">INDEX(INDIRECT("BS_"&amp;TEXT(W$1,"mmm")&amp;"_"&amp;TEXT(W$1,"yyyy")),MATCH(TRIM($A125),BS_Accounts,0))</f>
        <v>-1756</v>
      </c>
      <c r="X125" s="76">
        <f t="array" ref="X125">INDEX(INDIRECT("BS_"&amp;TEXT(X$1,"mmm")&amp;"_"&amp;TEXT(X$1,"yyyy")),MATCH(TRIM($A125),BS_Accounts,0))</f>
        <v>-1756</v>
      </c>
      <c r="Y125" s="76">
        <f t="array" ref="Y125">INDEX(INDIRECT("BS_"&amp;TEXT(Y$1,"mmm")&amp;"_"&amp;TEXT(Y$1,"yyyy")),MATCH(TRIM($A125),BS_Accounts,0))</f>
        <v>-1756</v>
      </c>
      <c r="Z125" s="76">
        <f t="array" ref="Z125">INDEX(INDIRECT("BS_"&amp;TEXT(Z$1,"mmm")&amp;"_"&amp;TEXT(Z$1,"yyyy")),MATCH(TRIM($A125),BS_Accounts,0))</f>
        <v>-1756</v>
      </c>
      <c r="AA125" s="76">
        <f t="array" ref="AA125">INDEX(INDIRECT("BS_"&amp;TEXT(AA$1,"mmm")&amp;"_"&amp;TEXT(AA$1,"yyyy")),MATCH(TRIM($A125),BS_Accounts,0))</f>
        <v>-1756</v>
      </c>
      <c r="AB125" s="76">
        <f t="array" ref="AB125">INDEX(INDIRECT("BS_"&amp;TEXT(AB$1,"mmm")&amp;"_"&amp;TEXT(AB$1,"yyyy")),MATCH(TRIM($A125),BS_Accounts,0))</f>
        <v>-1756</v>
      </c>
      <c r="AC125" s="76">
        <f t="array" ref="AC125">INDEX(INDIRECT("BS_"&amp;TEXT(AC$1,"mmm")&amp;"_"&amp;TEXT(AC$1,"yyyy")),MATCH(TRIM($A125),BS_Accounts,0))</f>
        <v>-1756</v>
      </c>
      <c r="AD125" s="76">
        <f t="array" ref="AD125">INDEX(INDIRECT("BS_"&amp;TEXT(AD$1,"mmm")&amp;"_"&amp;TEXT(AD$1,"yyyy")),MATCH(TRIM($A125),BS_Accounts,0))</f>
        <v>-1756</v>
      </c>
      <c r="AE125" s="76">
        <f t="array" ref="AE125">INDEX(INDIRECT("BS_"&amp;TEXT(AE$1,"mmm")&amp;"_"&amp;TEXT(AE$1,"yyyy")),MATCH(TRIM($A125),BS_Accounts,0))</f>
        <v>-1756</v>
      </c>
      <c r="AF125" s="96">
        <f t="shared" ref="AF125:BW125" si="64">$B125</f>
        <v>-1756</v>
      </c>
      <c r="AG125" s="96">
        <f t="shared" si="64"/>
        <v>-1756</v>
      </c>
      <c r="AH125" s="96">
        <f t="shared" si="64"/>
        <v>-1756</v>
      </c>
      <c r="AI125" s="96">
        <f t="shared" si="64"/>
        <v>-1756</v>
      </c>
      <c r="AJ125" s="96">
        <f t="shared" si="64"/>
        <v>-1756</v>
      </c>
      <c r="AK125" s="96">
        <f t="shared" si="64"/>
        <v>-1756</v>
      </c>
      <c r="AL125" s="96">
        <f t="shared" si="64"/>
        <v>-1756</v>
      </c>
      <c r="AM125" s="96">
        <f t="shared" si="64"/>
        <v>-1756</v>
      </c>
      <c r="AN125" s="96">
        <f t="shared" si="64"/>
        <v>-1756</v>
      </c>
      <c r="AO125" s="96">
        <f t="shared" si="64"/>
        <v>-1756</v>
      </c>
      <c r="AP125" s="96">
        <f t="shared" si="64"/>
        <v>-1756</v>
      </c>
      <c r="AQ125" s="96">
        <f t="shared" si="64"/>
        <v>-1756</v>
      </c>
      <c r="AR125" s="96">
        <f t="shared" si="64"/>
        <v>-1756</v>
      </c>
      <c r="AS125" s="96">
        <f t="shared" si="64"/>
        <v>-1756</v>
      </c>
      <c r="AT125" s="96">
        <f t="shared" si="64"/>
        <v>-1756</v>
      </c>
      <c r="AU125" s="96">
        <f t="shared" si="64"/>
        <v>-1756</v>
      </c>
      <c r="AV125" s="96">
        <f t="shared" si="64"/>
        <v>-1756</v>
      </c>
      <c r="AW125" s="96">
        <f t="shared" si="64"/>
        <v>-1756</v>
      </c>
      <c r="AX125" s="96">
        <f t="shared" si="64"/>
        <v>-1756</v>
      </c>
      <c r="AY125" s="96">
        <f t="shared" si="64"/>
        <v>-1756</v>
      </c>
      <c r="AZ125" s="96">
        <f t="shared" si="64"/>
        <v>-1756</v>
      </c>
      <c r="BA125" s="96">
        <f t="shared" si="64"/>
        <v>-1756</v>
      </c>
      <c r="BB125" s="96">
        <f t="shared" si="64"/>
        <v>-1756</v>
      </c>
      <c r="BC125" s="96">
        <f t="shared" si="64"/>
        <v>-1756</v>
      </c>
      <c r="BD125" s="96">
        <f t="shared" si="64"/>
        <v>-1756</v>
      </c>
      <c r="BE125" s="96">
        <f t="shared" si="64"/>
        <v>-1756</v>
      </c>
      <c r="BF125" s="96">
        <f t="shared" si="64"/>
        <v>-1756</v>
      </c>
      <c r="BG125" s="96">
        <f t="shared" si="64"/>
        <v>-1756</v>
      </c>
      <c r="BH125" s="96">
        <f t="shared" si="64"/>
        <v>-1756</v>
      </c>
      <c r="BI125" s="96">
        <f t="shared" si="64"/>
        <v>-1756</v>
      </c>
      <c r="BJ125" s="96">
        <f t="shared" si="64"/>
        <v>-1756</v>
      </c>
      <c r="BK125" s="96">
        <f t="shared" si="64"/>
        <v>-1756</v>
      </c>
      <c r="BL125" s="96">
        <f t="shared" si="64"/>
        <v>-1756</v>
      </c>
      <c r="BM125" s="96">
        <f t="shared" si="64"/>
        <v>-1756</v>
      </c>
      <c r="BN125" s="96">
        <f t="shared" si="64"/>
        <v>-1756</v>
      </c>
      <c r="BO125" s="96">
        <f t="shared" si="64"/>
        <v>-1756</v>
      </c>
      <c r="BP125" s="96">
        <f t="shared" si="64"/>
        <v>-1756</v>
      </c>
      <c r="BQ125" s="96">
        <f t="shared" si="64"/>
        <v>-1756</v>
      </c>
      <c r="BR125" s="96">
        <f t="shared" si="64"/>
        <v>-1756</v>
      </c>
      <c r="BS125" s="96">
        <f t="shared" si="64"/>
        <v>-1756</v>
      </c>
      <c r="BT125" s="96">
        <f t="shared" si="64"/>
        <v>-1756</v>
      </c>
      <c r="BU125" s="96">
        <f t="shared" si="64"/>
        <v>-1756</v>
      </c>
      <c r="BV125" s="96">
        <f t="shared" si="64"/>
        <v>-1756</v>
      </c>
      <c r="BW125" s="96">
        <f t="shared" si="64"/>
        <v>-1756</v>
      </c>
    </row>
    <row r="126" ht="15.75" customHeight="1">
      <c r="A126" s="21" t="s">
        <v>346</v>
      </c>
      <c r="B126" s="163"/>
      <c r="C126" s="21"/>
      <c r="D126" s="157">
        <f t="shared" ref="D126:BW126" si="65">SUM(D124:D125)</f>
        <v>357</v>
      </c>
      <c r="E126" s="157">
        <f t="shared" si="65"/>
        <v>-1756</v>
      </c>
      <c r="F126" s="157">
        <f t="shared" si="65"/>
        <v>-1756</v>
      </c>
      <c r="G126" s="157">
        <f t="shared" si="65"/>
        <v>-1756</v>
      </c>
      <c r="H126" s="157">
        <f t="shared" si="65"/>
        <v>-1756</v>
      </c>
      <c r="I126" s="157">
        <f t="shared" si="65"/>
        <v>-1756</v>
      </c>
      <c r="J126" s="157">
        <f t="shared" si="65"/>
        <v>-1756</v>
      </c>
      <c r="K126" s="157">
        <f t="shared" si="65"/>
        <v>-1756</v>
      </c>
      <c r="L126" s="157">
        <f t="shared" si="65"/>
        <v>-1756</v>
      </c>
      <c r="M126" s="157">
        <f t="shared" si="65"/>
        <v>-1756</v>
      </c>
      <c r="N126" s="157">
        <f t="shared" si="65"/>
        <v>-1756</v>
      </c>
      <c r="O126" s="157">
        <f t="shared" si="65"/>
        <v>-1756</v>
      </c>
      <c r="P126" s="157">
        <f t="shared" si="65"/>
        <v>-1756</v>
      </c>
      <c r="Q126" s="157">
        <f t="shared" si="65"/>
        <v>-1756</v>
      </c>
      <c r="R126" s="157">
        <f t="shared" si="65"/>
        <v>-1756</v>
      </c>
      <c r="S126" s="157">
        <f t="shared" si="65"/>
        <v>-1756</v>
      </c>
      <c r="T126" s="157">
        <f t="shared" si="65"/>
        <v>-1756</v>
      </c>
      <c r="U126" s="157">
        <f t="shared" si="65"/>
        <v>-1756</v>
      </c>
      <c r="V126" s="157">
        <f t="shared" si="65"/>
        <v>-1756</v>
      </c>
      <c r="W126" s="157">
        <f t="shared" si="65"/>
        <v>-1756</v>
      </c>
      <c r="X126" s="157">
        <f t="shared" si="65"/>
        <v>-1756</v>
      </c>
      <c r="Y126" s="157">
        <f t="shared" si="65"/>
        <v>-1756</v>
      </c>
      <c r="Z126" s="157">
        <f t="shared" si="65"/>
        <v>-1756</v>
      </c>
      <c r="AA126" s="157">
        <f t="shared" si="65"/>
        <v>-1756</v>
      </c>
      <c r="AB126" s="157">
        <f t="shared" si="65"/>
        <v>-1756</v>
      </c>
      <c r="AC126" s="157">
        <f t="shared" si="65"/>
        <v>-1756</v>
      </c>
      <c r="AD126" s="157">
        <f t="shared" si="65"/>
        <v>-1756</v>
      </c>
      <c r="AE126" s="157">
        <f t="shared" si="65"/>
        <v>-1756</v>
      </c>
      <c r="AF126" s="157">
        <f t="shared" si="65"/>
        <v>-1756</v>
      </c>
      <c r="AG126" s="157">
        <f t="shared" si="65"/>
        <v>-1756</v>
      </c>
      <c r="AH126" s="157">
        <f t="shared" si="65"/>
        <v>-1756</v>
      </c>
      <c r="AI126" s="157">
        <f t="shared" si="65"/>
        <v>-1756</v>
      </c>
      <c r="AJ126" s="157">
        <f t="shared" si="65"/>
        <v>-1756</v>
      </c>
      <c r="AK126" s="157">
        <f t="shared" si="65"/>
        <v>-1756</v>
      </c>
      <c r="AL126" s="157">
        <f t="shared" si="65"/>
        <v>-1756</v>
      </c>
      <c r="AM126" s="157">
        <f t="shared" si="65"/>
        <v>-1756</v>
      </c>
      <c r="AN126" s="157">
        <f t="shared" si="65"/>
        <v>-1756</v>
      </c>
      <c r="AO126" s="157">
        <f t="shared" si="65"/>
        <v>-1756</v>
      </c>
      <c r="AP126" s="157">
        <f t="shared" si="65"/>
        <v>-1756</v>
      </c>
      <c r="AQ126" s="157">
        <f t="shared" si="65"/>
        <v>-1756</v>
      </c>
      <c r="AR126" s="157">
        <f t="shared" si="65"/>
        <v>-1756</v>
      </c>
      <c r="AS126" s="157">
        <f t="shared" si="65"/>
        <v>-1756</v>
      </c>
      <c r="AT126" s="157">
        <f t="shared" si="65"/>
        <v>-1756</v>
      </c>
      <c r="AU126" s="157">
        <f t="shared" si="65"/>
        <v>-1756</v>
      </c>
      <c r="AV126" s="157">
        <f t="shared" si="65"/>
        <v>-1756</v>
      </c>
      <c r="AW126" s="157">
        <f t="shared" si="65"/>
        <v>-1756</v>
      </c>
      <c r="AX126" s="157">
        <f t="shared" si="65"/>
        <v>-1756</v>
      </c>
      <c r="AY126" s="157">
        <f t="shared" si="65"/>
        <v>-1756</v>
      </c>
      <c r="AZ126" s="157">
        <f t="shared" si="65"/>
        <v>-1756</v>
      </c>
      <c r="BA126" s="157">
        <f t="shared" si="65"/>
        <v>-1756</v>
      </c>
      <c r="BB126" s="157">
        <f t="shared" si="65"/>
        <v>-1756</v>
      </c>
      <c r="BC126" s="157">
        <f t="shared" si="65"/>
        <v>-1756</v>
      </c>
      <c r="BD126" s="157">
        <f t="shared" si="65"/>
        <v>-1756</v>
      </c>
      <c r="BE126" s="157">
        <f t="shared" si="65"/>
        <v>-1756</v>
      </c>
      <c r="BF126" s="157">
        <f t="shared" si="65"/>
        <v>-1756</v>
      </c>
      <c r="BG126" s="157">
        <f t="shared" si="65"/>
        <v>-1756</v>
      </c>
      <c r="BH126" s="157">
        <f t="shared" si="65"/>
        <v>-1756</v>
      </c>
      <c r="BI126" s="157">
        <f t="shared" si="65"/>
        <v>-1756</v>
      </c>
      <c r="BJ126" s="157">
        <f t="shared" si="65"/>
        <v>-1756</v>
      </c>
      <c r="BK126" s="157">
        <f t="shared" si="65"/>
        <v>-1756</v>
      </c>
      <c r="BL126" s="157">
        <f t="shared" si="65"/>
        <v>-1756</v>
      </c>
      <c r="BM126" s="157">
        <f t="shared" si="65"/>
        <v>-1756</v>
      </c>
      <c r="BN126" s="157">
        <f t="shared" si="65"/>
        <v>-1756</v>
      </c>
      <c r="BO126" s="157">
        <f t="shared" si="65"/>
        <v>-1756</v>
      </c>
      <c r="BP126" s="157">
        <f t="shared" si="65"/>
        <v>-1756</v>
      </c>
      <c r="BQ126" s="157">
        <f t="shared" si="65"/>
        <v>-1756</v>
      </c>
      <c r="BR126" s="157">
        <f t="shared" si="65"/>
        <v>-1756</v>
      </c>
      <c r="BS126" s="157">
        <f t="shared" si="65"/>
        <v>-1756</v>
      </c>
      <c r="BT126" s="157">
        <f t="shared" si="65"/>
        <v>-1756</v>
      </c>
      <c r="BU126" s="157">
        <f t="shared" si="65"/>
        <v>-1756</v>
      </c>
      <c r="BV126" s="157">
        <f t="shared" si="65"/>
        <v>-1756</v>
      </c>
      <c r="BW126" s="157">
        <f t="shared" si="65"/>
        <v>-1756</v>
      </c>
    </row>
    <row r="127" ht="15.75" customHeight="1">
      <c r="A127" s="1" t="s">
        <v>347</v>
      </c>
      <c r="B127" s="159"/>
      <c r="D127" s="76" t="str">
        <f t="array" ref="D127">INDEX(INDIRECT("BS_"&amp;TEXT(D$1,"mmm")&amp;"_"&amp;TEXT(D$1,"yyyy")),MATCH(TRIM($A127),BS_Accounts,0))</f>
        <v/>
      </c>
      <c r="E127" s="76" t="str">
        <f t="array" ref="E127">INDEX(INDIRECT("BS_"&amp;TEXT(E$1,"mmm")&amp;"_"&amp;TEXT(E$1,"yyyy")),MATCH(TRIM($A127),BS_Accounts,0))</f>
        <v/>
      </c>
      <c r="F127" s="76" t="str">
        <f t="array" ref="F127">INDEX(INDIRECT("BS_"&amp;TEXT(F$1,"mmm")&amp;"_"&amp;TEXT(F$1,"yyyy")),MATCH(TRIM($A127),BS_Accounts,0))</f>
        <v/>
      </c>
      <c r="G127" s="76" t="str">
        <f t="array" ref="G127">INDEX(INDIRECT("BS_"&amp;TEXT(G$1,"mmm")&amp;"_"&amp;TEXT(G$1,"yyyy")),MATCH(TRIM($A127),BS_Accounts,0))</f>
        <v/>
      </c>
      <c r="H127" s="76" t="str">
        <f t="array" ref="H127">INDEX(INDIRECT("BS_"&amp;TEXT(H$1,"mmm")&amp;"_"&amp;TEXT(H$1,"yyyy")),MATCH(TRIM($A127),BS_Accounts,0))</f>
        <v/>
      </c>
      <c r="I127" s="76" t="str">
        <f t="array" ref="I127">INDEX(INDIRECT("BS_"&amp;TEXT(I$1,"mmm")&amp;"_"&amp;TEXT(I$1,"yyyy")),MATCH(TRIM($A127),BS_Accounts,0))</f>
        <v/>
      </c>
      <c r="J127" s="76" t="str">
        <f t="array" ref="J127">INDEX(INDIRECT("BS_"&amp;TEXT(J$1,"mmm")&amp;"_"&amp;TEXT(J$1,"yyyy")),MATCH(TRIM($A127),BS_Accounts,0))</f>
        <v/>
      </c>
      <c r="K127" s="76" t="str">
        <f t="array" ref="K127">INDEX(INDIRECT("BS_"&amp;TEXT(K$1,"mmm")&amp;"_"&amp;TEXT(K$1,"yyyy")),MATCH(TRIM($A127),BS_Accounts,0))</f>
        <v/>
      </c>
      <c r="L127" s="76" t="str">
        <f t="array" ref="L127">INDEX(INDIRECT("BS_"&amp;TEXT(L$1,"mmm")&amp;"_"&amp;TEXT(L$1,"yyyy")),MATCH(TRIM($A127),BS_Accounts,0))</f>
        <v/>
      </c>
      <c r="M127" s="76" t="str">
        <f t="array" ref="M127">INDEX(INDIRECT("BS_"&amp;TEXT(M$1,"mmm")&amp;"_"&amp;TEXT(M$1,"yyyy")),MATCH(TRIM($A127),BS_Accounts,0))</f>
        <v/>
      </c>
      <c r="N127" s="76" t="str">
        <f t="array" ref="N127">INDEX(INDIRECT("BS_"&amp;TEXT(N$1,"mmm")&amp;"_"&amp;TEXT(N$1,"yyyy")),MATCH(TRIM($A127),BS_Accounts,0))</f>
        <v/>
      </c>
      <c r="O127" s="76" t="str">
        <f t="array" ref="O127">INDEX(INDIRECT("BS_"&amp;TEXT(O$1,"mmm")&amp;"_"&amp;TEXT(O$1,"yyyy")),MATCH(TRIM($A127),BS_Accounts,0))</f>
        <v/>
      </c>
      <c r="P127" s="76" t="str">
        <f t="array" ref="P127">INDEX(INDIRECT("BS_"&amp;TEXT(P$1,"mmm")&amp;"_"&amp;TEXT(P$1,"yyyy")),MATCH(TRIM($A127),BS_Accounts,0))</f>
        <v/>
      </c>
      <c r="Q127" s="76" t="str">
        <f t="array" ref="Q127">INDEX(INDIRECT("BS_"&amp;TEXT(Q$1,"mmm")&amp;"_"&amp;TEXT(Q$1,"yyyy")),MATCH(TRIM($A127),BS_Accounts,0))</f>
        <v/>
      </c>
      <c r="R127" s="76" t="str">
        <f t="array" ref="R127">INDEX(INDIRECT("BS_"&amp;TEXT(R$1,"mmm")&amp;"_"&amp;TEXT(R$1,"yyyy")),MATCH(TRIM($A127),BS_Accounts,0))</f>
        <v/>
      </c>
      <c r="S127" s="76" t="str">
        <f t="array" ref="S127">INDEX(INDIRECT("BS_"&amp;TEXT(S$1,"mmm")&amp;"_"&amp;TEXT(S$1,"yyyy")),MATCH(TRIM($A127),BS_Accounts,0))</f>
        <v/>
      </c>
      <c r="T127" s="76" t="str">
        <f t="array" ref="T127">INDEX(INDIRECT("BS_"&amp;TEXT(T$1,"mmm")&amp;"_"&amp;TEXT(T$1,"yyyy")),MATCH(TRIM($A127),BS_Accounts,0))</f>
        <v/>
      </c>
      <c r="U127" s="76" t="str">
        <f t="array" ref="U127">INDEX(INDIRECT("BS_"&amp;TEXT(U$1,"mmm")&amp;"_"&amp;TEXT(U$1,"yyyy")),MATCH(TRIM($A127),BS_Accounts,0))</f>
        <v/>
      </c>
      <c r="V127" s="76" t="str">
        <f t="array" ref="V127">INDEX(INDIRECT("BS_"&amp;TEXT(V$1,"mmm")&amp;"_"&amp;TEXT(V$1,"yyyy")),MATCH(TRIM($A127),BS_Accounts,0))</f>
        <v/>
      </c>
      <c r="W127" s="76" t="str">
        <f t="array" ref="W127">INDEX(INDIRECT("BS_"&amp;TEXT(W$1,"mmm")&amp;"_"&amp;TEXT(W$1,"yyyy")),MATCH(TRIM($A127),BS_Accounts,0))</f>
        <v/>
      </c>
      <c r="X127" s="76" t="str">
        <f t="array" ref="X127">INDEX(INDIRECT("BS_"&amp;TEXT(X$1,"mmm")&amp;"_"&amp;TEXT(X$1,"yyyy")),MATCH(TRIM($A127),BS_Accounts,0))</f>
        <v/>
      </c>
      <c r="Y127" s="76" t="str">
        <f t="array" ref="Y127">INDEX(INDIRECT("BS_"&amp;TEXT(Y$1,"mmm")&amp;"_"&amp;TEXT(Y$1,"yyyy")),MATCH(TRIM($A127),BS_Accounts,0))</f>
        <v/>
      </c>
      <c r="Z127" s="76" t="str">
        <f t="array" ref="Z127">INDEX(INDIRECT("BS_"&amp;TEXT(Z$1,"mmm")&amp;"_"&amp;TEXT(Z$1,"yyyy")),MATCH(TRIM($A127),BS_Accounts,0))</f>
        <v/>
      </c>
      <c r="AA127" s="76" t="str">
        <f t="array" ref="AA127">INDEX(INDIRECT("BS_"&amp;TEXT(AA$1,"mmm")&amp;"_"&amp;TEXT(AA$1,"yyyy")),MATCH(TRIM($A127),BS_Accounts,0))</f>
        <v/>
      </c>
      <c r="AB127" s="76" t="str">
        <f t="array" ref="AB127">INDEX(INDIRECT("BS_"&amp;TEXT(AB$1,"mmm")&amp;"_"&amp;TEXT(AB$1,"yyyy")),MATCH(TRIM($A127),BS_Accounts,0))</f>
        <v/>
      </c>
      <c r="AC127" s="76" t="str">
        <f t="array" ref="AC127">INDEX(INDIRECT("BS_"&amp;TEXT(AC$1,"mmm")&amp;"_"&amp;TEXT(AC$1,"yyyy")),MATCH(TRIM($A127),BS_Accounts,0))</f>
        <v/>
      </c>
      <c r="AD127" s="76" t="str">
        <f t="array" ref="AD127">INDEX(INDIRECT("BS_"&amp;TEXT(AD$1,"mmm")&amp;"_"&amp;TEXT(AD$1,"yyyy")),MATCH(TRIM($A127),BS_Accounts,0))</f>
        <v/>
      </c>
      <c r="AE127" s="76" t="str">
        <f t="array" ref="AE127">INDEX(INDIRECT("BS_"&amp;TEXT(AE$1,"mmm")&amp;"_"&amp;TEXT(AE$1,"yyyy")),MATCH(TRIM($A127),BS_Accounts,0))</f>
        <v/>
      </c>
    </row>
    <row r="128" ht="15.75" customHeight="1">
      <c r="A128" s="1" t="s">
        <v>348</v>
      </c>
      <c r="B128" s="159"/>
      <c r="D128" s="76"/>
      <c r="E128" s="76"/>
      <c r="F128" s="76"/>
      <c r="G128" s="76"/>
      <c r="H128" s="76"/>
      <c r="I128" s="76"/>
      <c r="J128" s="76"/>
      <c r="K128" s="76"/>
      <c r="L128" s="76"/>
      <c r="M128" s="76"/>
      <c r="N128" s="76"/>
      <c r="O128" s="76"/>
      <c r="P128" s="76"/>
      <c r="Q128" s="76"/>
      <c r="R128" s="76"/>
      <c r="S128" s="76"/>
      <c r="T128" s="76"/>
      <c r="U128" s="76"/>
      <c r="V128" s="76"/>
      <c r="W128" s="76"/>
      <c r="X128" s="76"/>
      <c r="Y128" s="76"/>
      <c r="Z128" s="76"/>
      <c r="AA128" s="76"/>
      <c r="AB128" s="76"/>
      <c r="AC128" s="76"/>
      <c r="AD128" s="76"/>
      <c r="AE128" s="76"/>
      <c r="AF128" s="39">
        <f t="array" ref="AF128">INDEX(Deferred_Revenue_Balance,MATCH(AF$1,Deferred_Revenue_Months,0))</f>
        <v>0</v>
      </c>
      <c r="AG128" s="39">
        <f t="array" ref="AG128">INDEX(Deferred_Revenue_Balance,MATCH(AG$1,Deferred_Revenue_Months,0))</f>
        <v>0</v>
      </c>
      <c r="AH128" s="39">
        <f t="array" ref="AH128">INDEX(Deferred_Revenue_Balance,MATCH(AH$1,Deferred_Revenue_Months,0))</f>
        <v>0</v>
      </c>
      <c r="AI128" s="39">
        <f t="array" ref="AI128">INDEX(Deferred_Revenue_Balance,MATCH(AI$1,Deferred_Revenue_Months,0))</f>
        <v>0</v>
      </c>
      <c r="AJ128" s="39">
        <f t="array" ref="AJ128">INDEX(Deferred_Revenue_Balance,MATCH(AJ$1,Deferred_Revenue_Months,0))</f>
        <v>0</v>
      </c>
      <c r="AK128" s="39">
        <f t="array" ref="AK128">INDEX(Deferred_Revenue_Balance,MATCH(AK$1,Deferred_Revenue_Months,0))</f>
        <v>0</v>
      </c>
      <c r="AL128" s="39">
        <f t="array" ref="AL128">INDEX(Deferred_Revenue_Balance,MATCH(AL$1,Deferred_Revenue_Months,0))</f>
        <v>0</v>
      </c>
      <c r="AM128" s="39">
        <f t="array" ref="AM128">INDEX(Deferred_Revenue_Balance,MATCH(AM$1,Deferred_Revenue_Months,0))</f>
        <v>0</v>
      </c>
      <c r="AN128" s="39">
        <f t="array" ref="AN128">INDEX(Deferred_Revenue_Balance,MATCH(AN$1,Deferred_Revenue_Months,0))</f>
        <v>0</v>
      </c>
      <c r="AO128" s="39">
        <f t="array" ref="AO128">INDEX(Deferred_Revenue_Balance,MATCH(AO$1,Deferred_Revenue_Months,0))</f>
        <v>0</v>
      </c>
      <c r="AP128" s="39">
        <f t="array" ref="AP128">INDEX(Deferred_Revenue_Balance,MATCH(AP$1,Deferred_Revenue_Months,0))</f>
        <v>0</v>
      </c>
      <c r="AQ128" s="39">
        <f t="array" ref="AQ128">INDEX(Deferred_Revenue_Balance,MATCH(AQ$1,Deferred_Revenue_Months,0))</f>
        <v>0</v>
      </c>
      <c r="AR128" s="39">
        <f t="array" ref="AR128">INDEX(Deferred_Revenue_Balance,MATCH(AR$1,Deferred_Revenue_Months,0))</f>
        <v>0</v>
      </c>
      <c r="AS128" s="39">
        <f t="array" ref="AS128">INDEX(Deferred_Revenue_Balance,MATCH(AS$1,Deferred_Revenue_Months,0))</f>
        <v>0</v>
      </c>
      <c r="AT128" s="39">
        <f t="array" ref="AT128">INDEX(Deferred_Revenue_Balance,MATCH(AT$1,Deferred_Revenue_Months,0))</f>
        <v>0</v>
      </c>
      <c r="AU128" s="39">
        <f t="array" ref="AU128">INDEX(Deferred_Revenue_Balance,MATCH(AU$1,Deferred_Revenue_Months,0))</f>
        <v>0</v>
      </c>
      <c r="AV128" s="39">
        <f t="array" ref="AV128">INDEX(Deferred_Revenue_Balance,MATCH(AV$1,Deferred_Revenue_Months,0))</f>
        <v>0</v>
      </c>
      <c r="AW128" s="39">
        <f t="array" ref="AW128">INDEX(Deferred_Revenue_Balance,MATCH(AW$1,Deferred_Revenue_Months,0))</f>
        <v>0</v>
      </c>
      <c r="AX128" s="39">
        <f t="array" ref="AX128">INDEX(Deferred_Revenue_Balance,MATCH(AX$1,Deferred_Revenue_Months,0))</f>
        <v>0</v>
      </c>
      <c r="AY128" s="39">
        <f t="array" ref="AY128">INDEX(Deferred_Revenue_Balance,MATCH(AY$1,Deferred_Revenue_Months,0))</f>
        <v>0</v>
      </c>
      <c r="AZ128" s="39">
        <f t="array" ref="AZ128">INDEX(Deferred_Revenue_Balance,MATCH(AZ$1,Deferred_Revenue_Months,0))</f>
        <v>0</v>
      </c>
      <c r="BA128" s="39">
        <f t="array" ref="BA128">INDEX(Deferred_Revenue_Balance,MATCH(BA$1,Deferred_Revenue_Months,0))</f>
        <v>0</v>
      </c>
      <c r="BB128" s="39">
        <f t="array" ref="BB128">INDEX(Deferred_Revenue_Balance,MATCH(BB$1,Deferred_Revenue_Months,0))</f>
        <v>0</v>
      </c>
      <c r="BC128" s="39">
        <f t="array" ref="BC128">INDEX(Deferred_Revenue_Balance,MATCH(BC$1,Deferred_Revenue_Months,0))</f>
        <v>0</v>
      </c>
      <c r="BD128" s="39">
        <f t="array" ref="BD128">INDEX(Deferred_Revenue_Balance,MATCH(BD$1,Deferred_Revenue_Months,0))</f>
        <v>0</v>
      </c>
      <c r="BE128" s="39">
        <f t="array" ref="BE128">INDEX(Deferred_Revenue_Balance,MATCH(BE$1,Deferred_Revenue_Months,0))</f>
        <v>0</v>
      </c>
      <c r="BF128" s="39">
        <f t="array" ref="BF128">INDEX(Deferred_Revenue_Balance,MATCH(BF$1,Deferred_Revenue_Months,0))</f>
        <v>0</v>
      </c>
      <c r="BG128" s="39">
        <f t="array" ref="BG128">INDEX(Deferred_Revenue_Balance,MATCH(BG$1,Deferred_Revenue_Months,0))</f>
        <v>0</v>
      </c>
      <c r="BH128" s="39">
        <f t="array" ref="BH128">INDEX(Deferred_Revenue_Balance,MATCH(BH$1,Deferred_Revenue_Months,0))</f>
        <v>0</v>
      </c>
      <c r="BI128" s="39">
        <f t="array" ref="BI128">INDEX(Deferred_Revenue_Balance,MATCH(BI$1,Deferred_Revenue_Months,0))</f>
        <v>0</v>
      </c>
      <c r="BJ128" s="39">
        <f t="array" ref="BJ128">INDEX(Deferred_Revenue_Balance,MATCH(BJ$1,Deferred_Revenue_Months,0))</f>
        <v>0</v>
      </c>
      <c r="BK128" s="39">
        <f t="array" ref="BK128">INDEX(Deferred_Revenue_Balance,MATCH(BK$1,Deferred_Revenue_Months,0))</f>
        <v>0</v>
      </c>
      <c r="BL128" s="39">
        <f t="array" ref="BL128">INDEX(Deferred_Revenue_Balance,MATCH(BL$1,Deferred_Revenue_Months,0))</f>
        <v>0</v>
      </c>
      <c r="BM128" s="39">
        <f t="array" ref="BM128">INDEX(Deferred_Revenue_Balance,MATCH(BM$1,Deferred_Revenue_Months,0))</f>
        <v>0</v>
      </c>
      <c r="BN128" s="39">
        <f t="array" ref="BN128">INDEX(Deferred_Revenue_Balance,MATCH(BN$1,Deferred_Revenue_Months,0))</f>
        <v>0</v>
      </c>
      <c r="BO128" s="39">
        <f t="array" ref="BO128">INDEX(Deferred_Revenue_Balance,MATCH(BO$1,Deferred_Revenue_Months,0))</f>
        <v>0</v>
      </c>
      <c r="BP128" s="39" t="str">
        <f t="array" ref="BP128">INDEX(Deferred_Revenue_Balance,MATCH(BP$1,Deferred_Revenue_Months,0))</f>
        <v>#N/A</v>
      </c>
      <c r="BQ128" s="39" t="str">
        <f t="array" ref="BQ128">INDEX(Deferred_Revenue_Balance,MATCH(BQ$1,Deferred_Revenue_Months,0))</f>
        <v>#N/A</v>
      </c>
      <c r="BR128" s="39" t="str">
        <f t="array" ref="BR128">INDEX(Deferred_Revenue_Balance,MATCH(BR$1,Deferred_Revenue_Months,0))</f>
        <v>#N/A</v>
      </c>
      <c r="BS128" s="39" t="str">
        <f t="array" ref="BS128">INDEX(Deferred_Revenue_Balance,MATCH(BS$1,Deferred_Revenue_Months,0))</f>
        <v>#N/A</v>
      </c>
      <c r="BT128" s="39" t="str">
        <f t="array" ref="BT128">INDEX(Deferred_Revenue_Balance,MATCH(BT$1,Deferred_Revenue_Months,0))</f>
        <v>#N/A</v>
      </c>
      <c r="BU128" s="39" t="str">
        <f t="array" ref="BU128">INDEX(Deferred_Revenue_Balance,MATCH(BU$1,Deferred_Revenue_Months,0))</f>
        <v>#N/A</v>
      </c>
      <c r="BV128" s="39" t="str">
        <f t="array" ref="BV128">INDEX(Deferred_Revenue_Balance,MATCH(BV$1,Deferred_Revenue_Months,0))</f>
        <v>#N/A</v>
      </c>
      <c r="BW128" s="39" t="str">
        <f t="array" ref="BW128">INDEX(Deferred_Revenue_Balance,MATCH(BW$1,Deferred_Revenue_Months,0))</f>
        <v>#N/A</v>
      </c>
    </row>
    <row r="129" ht="15.75" customHeight="1">
      <c r="A129" s="1" t="s">
        <v>349</v>
      </c>
      <c r="B129" s="160">
        <f>AVERAGEIFS(129:129,$1:$1,"&gt;="&amp;DATE(YEAR(Current_Month),MONTH(Current_Month),DAY(Current_Month)),$1:$1,"&lt;="&amp;EOMONTH(Current_Month,0))</f>
        <v>-352</v>
      </c>
      <c r="D129" s="76">
        <f t="array" ref="D129">INDEX(INDIRECT("BS_"&amp;TEXT(D$1,"mmm")&amp;"_"&amp;TEXT(D$1,"yyyy")),MATCH(TRIM($A129),BS_Accounts,0))</f>
        <v>-239</v>
      </c>
      <c r="E129" s="76">
        <f t="array" ref="E129">INDEX(INDIRECT("BS_"&amp;TEXT(E$1,"mmm")&amp;"_"&amp;TEXT(E$1,"yyyy")),MATCH(TRIM($A129),BS_Accounts,0))</f>
        <v>-352</v>
      </c>
      <c r="F129" s="76">
        <f t="array" ref="F129">INDEX(INDIRECT("BS_"&amp;TEXT(F$1,"mmm")&amp;"_"&amp;TEXT(F$1,"yyyy")),MATCH(TRIM($A129),BS_Accounts,0))</f>
        <v>-352</v>
      </c>
      <c r="G129" s="76">
        <f t="array" ref="G129">INDEX(INDIRECT("BS_"&amp;TEXT(G$1,"mmm")&amp;"_"&amp;TEXT(G$1,"yyyy")),MATCH(TRIM($A129),BS_Accounts,0))</f>
        <v>-352</v>
      </c>
      <c r="H129" s="76">
        <f t="array" ref="H129">INDEX(INDIRECT("BS_"&amp;TEXT(H$1,"mmm")&amp;"_"&amp;TEXT(H$1,"yyyy")),MATCH(TRIM($A129),BS_Accounts,0))</f>
        <v>-352</v>
      </c>
      <c r="I129" s="76">
        <f t="array" ref="I129">INDEX(INDIRECT("BS_"&amp;TEXT(I$1,"mmm")&amp;"_"&amp;TEXT(I$1,"yyyy")),MATCH(TRIM($A129),BS_Accounts,0))</f>
        <v>-352</v>
      </c>
      <c r="J129" s="76">
        <f t="array" ref="J129">INDEX(INDIRECT("BS_"&amp;TEXT(J$1,"mmm")&amp;"_"&amp;TEXT(J$1,"yyyy")),MATCH(TRIM($A129),BS_Accounts,0))</f>
        <v>-352</v>
      </c>
      <c r="K129" s="76">
        <f t="array" ref="K129">INDEX(INDIRECT("BS_"&amp;TEXT(K$1,"mmm")&amp;"_"&amp;TEXT(K$1,"yyyy")),MATCH(TRIM($A129),BS_Accounts,0))</f>
        <v>-352</v>
      </c>
      <c r="L129" s="76">
        <f t="array" ref="L129">INDEX(INDIRECT("BS_"&amp;TEXT(L$1,"mmm")&amp;"_"&amp;TEXT(L$1,"yyyy")),MATCH(TRIM($A129),BS_Accounts,0))</f>
        <v>-352</v>
      </c>
      <c r="M129" s="76">
        <f t="array" ref="M129">INDEX(INDIRECT("BS_"&amp;TEXT(M$1,"mmm")&amp;"_"&amp;TEXT(M$1,"yyyy")),MATCH(TRIM($A129),BS_Accounts,0))</f>
        <v>-352</v>
      </c>
      <c r="N129" s="76">
        <f t="array" ref="N129">INDEX(INDIRECT("BS_"&amp;TEXT(N$1,"mmm")&amp;"_"&amp;TEXT(N$1,"yyyy")),MATCH(TRIM($A129),BS_Accounts,0))</f>
        <v>-352</v>
      </c>
      <c r="O129" s="76">
        <f t="array" ref="O129">INDEX(INDIRECT("BS_"&amp;TEXT(O$1,"mmm")&amp;"_"&amp;TEXT(O$1,"yyyy")),MATCH(TRIM($A129),BS_Accounts,0))</f>
        <v>-352</v>
      </c>
      <c r="P129" s="76">
        <f t="array" ref="P129">INDEX(INDIRECT("BS_"&amp;TEXT(P$1,"mmm")&amp;"_"&amp;TEXT(P$1,"yyyy")),MATCH(TRIM($A129),BS_Accounts,0))</f>
        <v>-352</v>
      </c>
      <c r="Q129" s="76">
        <f t="array" ref="Q129">INDEX(INDIRECT("BS_"&amp;TEXT(Q$1,"mmm")&amp;"_"&amp;TEXT(Q$1,"yyyy")),MATCH(TRIM($A129),BS_Accounts,0))</f>
        <v>-352</v>
      </c>
      <c r="R129" s="76">
        <f t="array" ref="R129">INDEX(INDIRECT("BS_"&amp;TEXT(R$1,"mmm")&amp;"_"&amp;TEXT(R$1,"yyyy")),MATCH(TRIM($A129),BS_Accounts,0))</f>
        <v>-352</v>
      </c>
      <c r="S129" s="76">
        <f t="array" ref="S129">INDEX(INDIRECT("BS_"&amp;TEXT(S$1,"mmm")&amp;"_"&amp;TEXT(S$1,"yyyy")),MATCH(TRIM($A129),BS_Accounts,0))</f>
        <v>-352</v>
      </c>
      <c r="T129" s="76">
        <f t="array" ref="T129">INDEX(INDIRECT("BS_"&amp;TEXT(T$1,"mmm")&amp;"_"&amp;TEXT(T$1,"yyyy")),MATCH(TRIM($A129),BS_Accounts,0))</f>
        <v>-352</v>
      </c>
      <c r="U129" s="76">
        <f t="array" ref="U129">INDEX(INDIRECT("BS_"&amp;TEXT(U$1,"mmm")&amp;"_"&amp;TEXT(U$1,"yyyy")),MATCH(TRIM($A129),BS_Accounts,0))</f>
        <v>-352</v>
      </c>
      <c r="V129" s="76">
        <f t="array" ref="V129">INDEX(INDIRECT("BS_"&amp;TEXT(V$1,"mmm")&amp;"_"&amp;TEXT(V$1,"yyyy")),MATCH(TRIM($A129),BS_Accounts,0))</f>
        <v>-352</v>
      </c>
      <c r="W129" s="76">
        <f t="array" ref="W129">INDEX(INDIRECT("BS_"&amp;TEXT(W$1,"mmm")&amp;"_"&amp;TEXT(W$1,"yyyy")),MATCH(TRIM($A129),BS_Accounts,0))</f>
        <v>-352</v>
      </c>
      <c r="X129" s="76">
        <f t="array" ref="X129">INDEX(INDIRECT("BS_"&amp;TEXT(X$1,"mmm")&amp;"_"&amp;TEXT(X$1,"yyyy")),MATCH(TRIM($A129),BS_Accounts,0))</f>
        <v>-352</v>
      </c>
      <c r="Y129" s="76">
        <f t="array" ref="Y129">INDEX(INDIRECT("BS_"&amp;TEXT(Y$1,"mmm")&amp;"_"&amp;TEXT(Y$1,"yyyy")),MATCH(TRIM($A129),BS_Accounts,0))</f>
        <v>-352</v>
      </c>
      <c r="Z129" s="76">
        <f t="array" ref="Z129">INDEX(INDIRECT("BS_"&amp;TEXT(Z$1,"mmm")&amp;"_"&amp;TEXT(Z$1,"yyyy")),MATCH(TRIM($A129),BS_Accounts,0))</f>
        <v>-352</v>
      </c>
      <c r="AA129" s="76">
        <f t="array" ref="AA129">INDEX(INDIRECT("BS_"&amp;TEXT(AA$1,"mmm")&amp;"_"&amp;TEXT(AA$1,"yyyy")),MATCH(TRIM($A129),BS_Accounts,0))</f>
        <v>-352</v>
      </c>
      <c r="AB129" s="76">
        <f t="array" ref="AB129">INDEX(INDIRECT("BS_"&amp;TEXT(AB$1,"mmm")&amp;"_"&amp;TEXT(AB$1,"yyyy")),MATCH(TRIM($A129),BS_Accounts,0))</f>
        <v>-352</v>
      </c>
      <c r="AC129" s="76">
        <f t="array" ref="AC129">INDEX(INDIRECT("BS_"&amp;TEXT(AC$1,"mmm")&amp;"_"&amp;TEXT(AC$1,"yyyy")),MATCH(TRIM($A129),BS_Accounts,0))</f>
        <v>-352</v>
      </c>
      <c r="AD129" s="76">
        <f t="array" ref="AD129">INDEX(INDIRECT("BS_"&amp;TEXT(AD$1,"mmm")&amp;"_"&amp;TEXT(AD$1,"yyyy")),MATCH(TRIM($A129),BS_Accounts,0))</f>
        <v>-352</v>
      </c>
      <c r="AE129" s="76">
        <f t="array" ref="AE129">INDEX(INDIRECT("BS_"&amp;TEXT(AE$1,"mmm")&amp;"_"&amp;TEXT(AE$1,"yyyy")),MATCH(TRIM($A129),BS_Accounts,0))</f>
        <v>-352</v>
      </c>
      <c r="AF129" s="96">
        <f t="shared" ref="AF129:BW129" si="66">$B129</f>
        <v>-352</v>
      </c>
      <c r="AG129" s="96">
        <f t="shared" si="66"/>
        <v>-352</v>
      </c>
      <c r="AH129" s="96">
        <f t="shared" si="66"/>
        <v>-352</v>
      </c>
      <c r="AI129" s="96">
        <f t="shared" si="66"/>
        <v>-352</v>
      </c>
      <c r="AJ129" s="96">
        <f t="shared" si="66"/>
        <v>-352</v>
      </c>
      <c r="AK129" s="96">
        <f t="shared" si="66"/>
        <v>-352</v>
      </c>
      <c r="AL129" s="96">
        <f t="shared" si="66"/>
        <v>-352</v>
      </c>
      <c r="AM129" s="96">
        <f t="shared" si="66"/>
        <v>-352</v>
      </c>
      <c r="AN129" s="96">
        <f t="shared" si="66"/>
        <v>-352</v>
      </c>
      <c r="AO129" s="96">
        <f t="shared" si="66"/>
        <v>-352</v>
      </c>
      <c r="AP129" s="96">
        <f t="shared" si="66"/>
        <v>-352</v>
      </c>
      <c r="AQ129" s="96">
        <f t="shared" si="66"/>
        <v>-352</v>
      </c>
      <c r="AR129" s="96">
        <f t="shared" si="66"/>
        <v>-352</v>
      </c>
      <c r="AS129" s="96">
        <f t="shared" si="66"/>
        <v>-352</v>
      </c>
      <c r="AT129" s="96">
        <f t="shared" si="66"/>
        <v>-352</v>
      </c>
      <c r="AU129" s="96">
        <f t="shared" si="66"/>
        <v>-352</v>
      </c>
      <c r="AV129" s="96">
        <f t="shared" si="66"/>
        <v>-352</v>
      </c>
      <c r="AW129" s="96">
        <f t="shared" si="66"/>
        <v>-352</v>
      </c>
      <c r="AX129" s="96">
        <f t="shared" si="66"/>
        <v>-352</v>
      </c>
      <c r="AY129" s="96">
        <f t="shared" si="66"/>
        <v>-352</v>
      </c>
      <c r="AZ129" s="96">
        <f t="shared" si="66"/>
        <v>-352</v>
      </c>
      <c r="BA129" s="96">
        <f t="shared" si="66"/>
        <v>-352</v>
      </c>
      <c r="BB129" s="96">
        <f t="shared" si="66"/>
        <v>-352</v>
      </c>
      <c r="BC129" s="96">
        <f t="shared" si="66"/>
        <v>-352</v>
      </c>
      <c r="BD129" s="96">
        <f t="shared" si="66"/>
        <v>-352</v>
      </c>
      <c r="BE129" s="96">
        <f t="shared" si="66"/>
        <v>-352</v>
      </c>
      <c r="BF129" s="96">
        <f t="shared" si="66"/>
        <v>-352</v>
      </c>
      <c r="BG129" s="96">
        <f t="shared" si="66"/>
        <v>-352</v>
      </c>
      <c r="BH129" s="96">
        <f t="shared" si="66"/>
        <v>-352</v>
      </c>
      <c r="BI129" s="96">
        <f t="shared" si="66"/>
        <v>-352</v>
      </c>
      <c r="BJ129" s="96">
        <f t="shared" si="66"/>
        <v>-352</v>
      </c>
      <c r="BK129" s="96">
        <f t="shared" si="66"/>
        <v>-352</v>
      </c>
      <c r="BL129" s="96">
        <f t="shared" si="66"/>
        <v>-352</v>
      </c>
      <c r="BM129" s="96">
        <f t="shared" si="66"/>
        <v>-352</v>
      </c>
      <c r="BN129" s="96">
        <f t="shared" si="66"/>
        <v>-352</v>
      </c>
      <c r="BO129" s="96">
        <f t="shared" si="66"/>
        <v>-352</v>
      </c>
      <c r="BP129" s="96">
        <f t="shared" si="66"/>
        <v>-352</v>
      </c>
      <c r="BQ129" s="96">
        <f t="shared" si="66"/>
        <v>-352</v>
      </c>
      <c r="BR129" s="96">
        <f t="shared" si="66"/>
        <v>-352</v>
      </c>
      <c r="BS129" s="96">
        <f t="shared" si="66"/>
        <v>-352</v>
      </c>
      <c r="BT129" s="96">
        <f t="shared" si="66"/>
        <v>-352</v>
      </c>
      <c r="BU129" s="96">
        <f t="shared" si="66"/>
        <v>-352</v>
      </c>
      <c r="BV129" s="96">
        <f t="shared" si="66"/>
        <v>-352</v>
      </c>
      <c r="BW129" s="96">
        <f t="shared" si="66"/>
        <v>-352</v>
      </c>
    </row>
    <row r="130" ht="15.75" customHeight="1">
      <c r="A130" s="21" t="s">
        <v>350</v>
      </c>
      <c r="B130" s="163"/>
      <c r="C130" s="21"/>
      <c r="D130" s="157">
        <f t="shared" ref="D130:BW130" si="67">SUM(D127:D129)</f>
        <v>-239</v>
      </c>
      <c r="E130" s="157">
        <f t="shared" si="67"/>
        <v>-352</v>
      </c>
      <c r="F130" s="157">
        <f t="shared" si="67"/>
        <v>-352</v>
      </c>
      <c r="G130" s="157">
        <f t="shared" si="67"/>
        <v>-352</v>
      </c>
      <c r="H130" s="157">
        <f t="shared" si="67"/>
        <v>-352</v>
      </c>
      <c r="I130" s="157">
        <f t="shared" si="67"/>
        <v>-352</v>
      </c>
      <c r="J130" s="157">
        <f t="shared" si="67"/>
        <v>-352</v>
      </c>
      <c r="K130" s="157">
        <f t="shared" si="67"/>
        <v>-352</v>
      </c>
      <c r="L130" s="157">
        <f t="shared" si="67"/>
        <v>-352</v>
      </c>
      <c r="M130" s="157">
        <f t="shared" si="67"/>
        <v>-352</v>
      </c>
      <c r="N130" s="157">
        <f t="shared" si="67"/>
        <v>-352</v>
      </c>
      <c r="O130" s="157">
        <f t="shared" si="67"/>
        <v>-352</v>
      </c>
      <c r="P130" s="157">
        <f t="shared" si="67"/>
        <v>-352</v>
      </c>
      <c r="Q130" s="157">
        <f t="shared" si="67"/>
        <v>-352</v>
      </c>
      <c r="R130" s="157">
        <f t="shared" si="67"/>
        <v>-352</v>
      </c>
      <c r="S130" s="157">
        <f t="shared" si="67"/>
        <v>-352</v>
      </c>
      <c r="T130" s="157">
        <f t="shared" si="67"/>
        <v>-352</v>
      </c>
      <c r="U130" s="157">
        <f t="shared" si="67"/>
        <v>-352</v>
      </c>
      <c r="V130" s="157">
        <f t="shared" si="67"/>
        <v>-352</v>
      </c>
      <c r="W130" s="157">
        <f t="shared" si="67"/>
        <v>-352</v>
      </c>
      <c r="X130" s="157">
        <f t="shared" si="67"/>
        <v>-352</v>
      </c>
      <c r="Y130" s="157">
        <f t="shared" si="67"/>
        <v>-352</v>
      </c>
      <c r="Z130" s="157">
        <f t="shared" si="67"/>
        <v>-352</v>
      </c>
      <c r="AA130" s="157">
        <f t="shared" si="67"/>
        <v>-352</v>
      </c>
      <c r="AB130" s="157">
        <f t="shared" si="67"/>
        <v>-352</v>
      </c>
      <c r="AC130" s="157">
        <f t="shared" si="67"/>
        <v>-352</v>
      </c>
      <c r="AD130" s="157">
        <f t="shared" si="67"/>
        <v>-352</v>
      </c>
      <c r="AE130" s="157">
        <f t="shared" si="67"/>
        <v>-352</v>
      </c>
      <c r="AF130" s="157">
        <f t="shared" si="67"/>
        <v>-352</v>
      </c>
      <c r="AG130" s="157">
        <f t="shared" si="67"/>
        <v>-352</v>
      </c>
      <c r="AH130" s="157">
        <f t="shared" si="67"/>
        <v>-352</v>
      </c>
      <c r="AI130" s="157">
        <f t="shared" si="67"/>
        <v>-352</v>
      </c>
      <c r="AJ130" s="157">
        <f t="shared" si="67"/>
        <v>-352</v>
      </c>
      <c r="AK130" s="157">
        <f t="shared" si="67"/>
        <v>-352</v>
      </c>
      <c r="AL130" s="157">
        <f t="shared" si="67"/>
        <v>-352</v>
      </c>
      <c r="AM130" s="157">
        <f t="shared" si="67"/>
        <v>-352</v>
      </c>
      <c r="AN130" s="157">
        <f t="shared" si="67"/>
        <v>-352</v>
      </c>
      <c r="AO130" s="157">
        <f t="shared" si="67"/>
        <v>-352</v>
      </c>
      <c r="AP130" s="157">
        <f t="shared" si="67"/>
        <v>-352</v>
      </c>
      <c r="AQ130" s="157">
        <f t="shared" si="67"/>
        <v>-352</v>
      </c>
      <c r="AR130" s="157">
        <f t="shared" si="67"/>
        <v>-352</v>
      </c>
      <c r="AS130" s="157">
        <f t="shared" si="67"/>
        <v>-352</v>
      </c>
      <c r="AT130" s="157">
        <f t="shared" si="67"/>
        <v>-352</v>
      </c>
      <c r="AU130" s="157">
        <f t="shared" si="67"/>
        <v>-352</v>
      </c>
      <c r="AV130" s="157">
        <f t="shared" si="67"/>
        <v>-352</v>
      </c>
      <c r="AW130" s="157">
        <f t="shared" si="67"/>
        <v>-352</v>
      </c>
      <c r="AX130" s="157">
        <f t="shared" si="67"/>
        <v>-352</v>
      </c>
      <c r="AY130" s="157">
        <f t="shared" si="67"/>
        <v>-352</v>
      </c>
      <c r="AZ130" s="157">
        <f t="shared" si="67"/>
        <v>-352</v>
      </c>
      <c r="BA130" s="157">
        <f t="shared" si="67"/>
        <v>-352</v>
      </c>
      <c r="BB130" s="157">
        <f t="shared" si="67"/>
        <v>-352</v>
      </c>
      <c r="BC130" s="157">
        <f t="shared" si="67"/>
        <v>-352</v>
      </c>
      <c r="BD130" s="157">
        <f t="shared" si="67"/>
        <v>-352</v>
      </c>
      <c r="BE130" s="157">
        <f t="shared" si="67"/>
        <v>-352</v>
      </c>
      <c r="BF130" s="157">
        <f t="shared" si="67"/>
        <v>-352</v>
      </c>
      <c r="BG130" s="157">
        <f t="shared" si="67"/>
        <v>-352</v>
      </c>
      <c r="BH130" s="157">
        <f t="shared" si="67"/>
        <v>-352</v>
      </c>
      <c r="BI130" s="157">
        <f t="shared" si="67"/>
        <v>-352</v>
      </c>
      <c r="BJ130" s="157">
        <f t="shared" si="67"/>
        <v>-352</v>
      </c>
      <c r="BK130" s="157">
        <f t="shared" si="67"/>
        <v>-352</v>
      </c>
      <c r="BL130" s="157">
        <f t="shared" si="67"/>
        <v>-352</v>
      </c>
      <c r="BM130" s="157">
        <f t="shared" si="67"/>
        <v>-352</v>
      </c>
      <c r="BN130" s="157">
        <f t="shared" si="67"/>
        <v>-352</v>
      </c>
      <c r="BO130" s="157">
        <f t="shared" si="67"/>
        <v>-352</v>
      </c>
      <c r="BP130" s="157" t="str">
        <f t="shared" si="67"/>
        <v>#N/A</v>
      </c>
      <c r="BQ130" s="157" t="str">
        <f t="shared" si="67"/>
        <v>#N/A</v>
      </c>
      <c r="BR130" s="157" t="str">
        <f t="shared" si="67"/>
        <v>#N/A</v>
      </c>
      <c r="BS130" s="157" t="str">
        <f t="shared" si="67"/>
        <v>#N/A</v>
      </c>
      <c r="BT130" s="157" t="str">
        <f t="shared" si="67"/>
        <v>#N/A</v>
      </c>
      <c r="BU130" s="157" t="str">
        <f t="shared" si="67"/>
        <v>#N/A</v>
      </c>
      <c r="BV130" s="157" t="str">
        <f t="shared" si="67"/>
        <v>#N/A</v>
      </c>
      <c r="BW130" s="157" t="str">
        <f t="shared" si="67"/>
        <v>#N/A</v>
      </c>
    </row>
    <row r="131" ht="15.75" customHeight="1">
      <c r="A131" s="21" t="s">
        <v>351</v>
      </c>
      <c r="B131" s="163"/>
      <c r="C131" s="21"/>
      <c r="D131" s="157">
        <f t="shared" ref="D131:BW131" si="68">SUM(D130,D126)</f>
        <v>118</v>
      </c>
      <c r="E131" s="157">
        <f t="shared" si="68"/>
        <v>-2108</v>
      </c>
      <c r="F131" s="157">
        <f t="shared" si="68"/>
        <v>-2108</v>
      </c>
      <c r="G131" s="157">
        <f t="shared" si="68"/>
        <v>-2108</v>
      </c>
      <c r="H131" s="157">
        <f t="shared" si="68"/>
        <v>-2108</v>
      </c>
      <c r="I131" s="157">
        <f t="shared" si="68"/>
        <v>-2108</v>
      </c>
      <c r="J131" s="157">
        <f t="shared" si="68"/>
        <v>-2108</v>
      </c>
      <c r="K131" s="157">
        <f t="shared" si="68"/>
        <v>-2108</v>
      </c>
      <c r="L131" s="157">
        <f t="shared" si="68"/>
        <v>-2108</v>
      </c>
      <c r="M131" s="157">
        <f t="shared" si="68"/>
        <v>-2108</v>
      </c>
      <c r="N131" s="157">
        <f t="shared" si="68"/>
        <v>-2108</v>
      </c>
      <c r="O131" s="157">
        <f t="shared" si="68"/>
        <v>-2108</v>
      </c>
      <c r="P131" s="157">
        <f t="shared" si="68"/>
        <v>-2108</v>
      </c>
      <c r="Q131" s="157">
        <f t="shared" si="68"/>
        <v>-2108</v>
      </c>
      <c r="R131" s="157">
        <f t="shared" si="68"/>
        <v>-2108</v>
      </c>
      <c r="S131" s="157">
        <f t="shared" si="68"/>
        <v>-2108</v>
      </c>
      <c r="T131" s="157">
        <f t="shared" si="68"/>
        <v>-2108</v>
      </c>
      <c r="U131" s="157">
        <f t="shared" si="68"/>
        <v>-2108</v>
      </c>
      <c r="V131" s="157">
        <f t="shared" si="68"/>
        <v>-2108</v>
      </c>
      <c r="W131" s="157">
        <f t="shared" si="68"/>
        <v>-2108</v>
      </c>
      <c r="X131" s="157">
        <f t="shared" si="68"/>
        <v>-2108</v>
      </c>
      <c r="Y131" s="157">
        <f t="shared" si="68"/>
        <v>-2108</v>
      </c>
      <c r="Z131" s="157">
        <f t="shared" si="68"/>
        <v>-2108</v>
      </c>
      <c r="AA131" s="157">
        <f t="shared" si="68"/>
        <v>-2108</v>
      </c>
      <c r="AB131" s="157">
        <f t="shared" si="68"/>
        <v>-2108</v>
      </c>
      <c r="AC131" s="157">
        <f t="shared" si="68"/>
        <v>-2108</v>
      </c>
      <c r="AD131" s="157">
        <f t="shared" si="68"/>
        <v>-2108</v>
      </c>
      <c r="AE131" s="157">
        <f t="shared" si="68"/>
        <v>-2108</v>
      </c>
      <c r="AF131" s="157">
        <f t="shared" si="68"/>
        <v>-2108</v>
      </c>
      <c r="AG131" s="157">
        <f t="shared" si="68"/>
        <v>-2108</v>
      </c>
      <c r="AH131" s="157">
        <f t="shared" si="68"/>
        <v>-2108</v>
      </c>
      <c r="AI131" s="157">
        <f t="shared" si="68"/>
        <v>-2108</v>
      </c>
      <c r="AJ131" s="157">
        <f t="shared" si="68"/>
        <v>-2108</v>
      </c>
      <c r="AK131" s="157">
        <f t="shared" si="68"/>
        <v>-2108</v>
      </c>
      <c r="AL131" s="157">
        <f t="shared" si="68"/>
        <v>-2108</v>
      </c>
      <c r="AM131" s="157">
        <f t="shared" si="68"/>
        <v>-2108</v>
      </c>
      <c r="AN131" s="157">
        <f t="shared" si="68"/>
        <v>-2108</v>
      </c>
      <c r="AO131" s="157">
        <f t="shared" si="68"/>
        <v>-2108</v>
      </c>
      <c r="AP131" s="157">
        <f t="shared" si="68"/>
        <v>-2108</v>
      </c>
      <c r="AQ131" s="157">
        <f t="shared" si="68"/>
        <v>-2108</v>
      </c>
      <c r="AR131" s="157">
        <f t="shared" si="68"/>
        <v>-2108</v>
      </c>
      <c r="AS131" s="157">
        <f t="shared" si="68"/>
        <v>-2108</v>
      </c>
      <c r="AT131" s="157">
        <f t="shared" si="68"/>
        <v>-2108</v>
      </c>
      <c r="AU131" s="157">
        <f t="shared" si="68"/>
        <v>-2108</v>
      </c>
      <c r="AV131" s="157">
        <f t="shared" si="68"/>
        <v>-2108</v>
      </c>
      <c r="AW131" s="157">
        <f t="shared" si="68"/>
        <v>-2108</v>
      </c>
      <c r="AX131" s="157">
        <f t="shared" si="68"/>
        <v>-2108</v>
      </c>
      <c r="AY131" s="157">
        <f t="shared" si="68"/>
        <v>-2108</v>
      </c>
      <c r="AZ131" s="157">
        <f t="shared" si="68"/>
        <v>-2108</v>
      </c>
      <c r="BA131" s="157">
        <f t="shared" si="68"/>
        <v>-2108</v>
      </c>
      <c r="BB131" s="157">
        <f t="shared" si="68"/>
        <v>-2108</v>
      </c>
      <c r="BC131" s="157">
        <f t="shared" si="68"/>
        <v>-2108</v>
      </c>
      <c r="BD131" s="157">
        <f t="shared" si="68"/>
        <v>-2108</v>
      </c>
      <c r="BE131" s="157">
        <f t="shared" si="68"/>
        <v>-2108</v>
      </c>
      <c r="BF131" s="157">
        <f t="shared" si="68"/>
        <v>-2108</v>
      </c>
      <c r="BG131" s="157">
        <f t="shared" si="68"/>
        <v>-2108</v>
      </c>
      <c r="BH131" s="157">
        <f t="shared" si="68"/>
        <v>-2108</v>
      </c>
      <c r="BI131" s="157">
        <f t="shared" si="68"/>
        <v>-2108</v>
      </c>
      <c r="BJ131" s="157">
        <f t="shared" si="68"/>
        <v>-2108</v>
      </c>
      <c r="BK131" s="157">
        <f t="shared" si="68"/>
        <v>-2108</v>
      </c>
      <c r="BL131" s="157">
        <f t="shared" si="68"/>
        <v>-2108</v>
      </c>
      <c r="BM131" s="157">
        <f t="shared" si="68"/>
        <v>-2108</v>
      </c>
      <c r="BN131" s="157">
        <f t="shared" si="68"/>
        <v>-2108</v>
      </c>
      <c r="BO131" s="157">
        <f t="shared" si="68"/>
        <v>-2108</v>
      </c>
      <c r="BP131" s="157" t="str">
        <f t="shared" si="68"/>
        <v>#N/A</v>
      </c>
      <c r="BQ131" s="157" t="str">
        <f t="shared" si="68"/>
        <v>#N/A</v>
      </c>
      <c r="BR131" s="157" t="str">
        <f t="shared" si="68"/>
        <v>#N/A</v>
      </c>
      <c r="BS131" s="157" t="str">
        <f t="shared" si="68"/>
        <v>#N/A</v>
      </c>
      <c r="BT131" s="157" t="str">
        <f t="shared" si="68"/>
        <v>#N/A</v>
      </c>
      <c r="BU131" s="157" t="str">
        <f t="shared" si="68"/>
        <v>#N/A</v>
      </c>
      <c r="BV131" s="157" t="str">
        <f t="shared" si="68"/>
        <v>#N/A</v>
      </c>
      <c r="BW131" s="157" t="str">
        <f t="shared" si="68"/>
        <v>#N/A</v>
      </c>
    </row>
    <row r="132" ht="15.75" customHeight="1">
      <c r="A132" s="31" t="s">
        <v>244</v>
      </c>
      <c r="B132" s="159"/>
      <c r="D132" s="76">
        <f t="array" ref="D132">INDEX(INDIRECT("BS_"&amp;TEXT(D$1,"mmm")&amp;"_"&amp;TEXT(D$1,"yyyy")),MATCH(TRIM($A131),BS_Accounts,0))-D131</f>
        <v>0</v>
      </c>
      <c r="E132" s="76">
        <f t="array" ref="E132">INDEX(INDIRECT("BS_"&amp;TEXT(E$1,"mmm")&amp;"_"&amp;TEXT(E$1,"yyyy")),MATCH(TRIM($A131),BS_Accounts,0))-E131</f>
        <v>0</v>
      </c>
      <c r="F132" s="76">
        <f t="array" ref="F132">INDEX(INDIRECT("BS_"&amp;TEXT(F$1,"mmm")&amp;"_"&amp;TEXT(F$1,"yyyy")),MATCH(TRIM($A131),BS_Accounts,0))-F131</f>
        <v>0</v>
      </c>
      <c r="G132" s="76">
        <f t="array" ref="G132">INDEX(INDIRECT("BS_"&amp;TEXT(G$1,"mmm")&amp;"_"&amp;TEXT(G$1,"yyyy")),MATCH(TRIM($A131),BS_Accounts,0))-G131</f>
        <v>0</v>
      </c>
      <c r="H132" s="76">
        <f t="array" ref="H132">INDEX(INDIRECT("BS_"&amp;TEXT(H$1,"mmm")&amp;"_"&amp;TEXT(H$1,"yyyy")),MATCH(TRIM($A131),BS_Accounts,0))-H131</f>
        <v>0</v>
      </c>
      <c r="I132" s="76">
        <f t="array" ref="I132">INDEX(INDIRECT("BS_"&amp;TEXT(I$1,"mmm")&amp;"_"&amp;TEXT(I$1,"yyyy")),MATCH(TRIM($A131),BS_Accounts,0))-I131</f>
        <v>0</v>
      </c>
      <c r="J132" s="76">
        <f t="array" ref="J132">INDEX(INDIRECT("BS_"&amp;TEXT(J$1,"mmm")&amp;"_"&amp;TEXT(J$1,"yyyy")),MATCH(TRIM($A131),BS_Accounts,0))-J131</f>
        <v>0</v>
      </c>
      <c r="K132" s="76">
        <f t="array" ref="K132">INDEX(INDIRECT("BS_"&amp;TEXT(K$1,"mmm")&amp;"_"&amp;TEXT(K$1,"yyyy")),MATCH(TRIM($A131),BS_Accounts,0))-K131</f>
        <v>0</v>
      </c>
      <c r="L132" s="76">
        <f t="array" ref="L132">INDEX(INDIRECT("BS_"&amp;TEXT(L$1,"mmm")&amp;"_"&amp;TEXT(L$1,"yyyy")),MATCH(TRIM($A131),BS_Accounts,0))-L131</f>
        <v>0</v>
      </c>
      <c r="M132" s="76">
        <f t="array" ref="M132">INDEX(INDIRECT("BS_"&amp;TEXT(M$1,"mmm")&amp;"_"&amp;TEXT(M$1,"yyyy")),MATCH(TRIM($A131),BS_Accounts,0))-M131</f>
        <v>0</v>
      </c>
      <c r="N132" s="76">
        <f t="array" ref="N132">INDEX(INDIRECT("BS_"&amp;TEXT(N$1,"mmm")&amp;"_"&amp;TEXT(N$1,"yyyy")),MATCH(TRIM($A131),BS_Accounts,0))-N131</f>
        <v>0</v>
      </c>
      <c r="O132" s="76">
        <f t="array" ref="O132">INDEX(INDIRECT("BS_"&amp;TEXT(O$1,"mmm")&amp;"_"&amp;TEXT(O$1,"yyyy")),MATCH(TRIM($A131),BS_Accounts,0))-O131</f>
        <v>0</v>
      </c>
      <c r="P132" s="76">
        <f t="array" ref="P132">INDEX(INDIRECT("BS_"&amp;TEXT(P$1,"mmm")&amp;"_"&amp;TEXT(P$1,"yyyy")),MATCH(TRIM($A131),BS_Accounts,0))-P131</f>
        <v>0</v>
      </c>
      <c r="Q132" s="76">
        <f t="array" ref="Q132">INDEX(INDIRECT("BS_"&amp;TEXT(Q$1,"mmm")&amp;"_"&amp;TEXT(Q$1,"yyyy")),MATCH(TRIM($A131),BS_Accounts,0))-Q131</f>
        <v>0</v>
      </c>
      <c r="R132" s="76">
        <f t="array" ref="R132">INDEX(INDIRECT("BS_"&amp;TEXT(R$1,"mmm")&amp;"_"&amp;TEXT(R$1,"yyyy")),MATCH(TRIM($A131),BS_Accounts,0))-R131</f>
        <v>0</v>
      </c>
      <c r="S132" s="76">
        <f t="array" ref="S132">INDEX(INDIRECT("BS_"&amp;TEXT(S$1,"mmm")&amp;"_"&amp;TEXT(S$1,"yyyy")),MATCH(TRIM($A131),BS_Accounts,0))-S131</f>
        <v>0</v>
      </c>
      <c r="T132" s="76">
        <f t="array" ref="T132">INDEX(INDIRECT("BS_"&amp;TEXT(T$1,"mmm")&amp;"_"&amp;TEXT(T$1,"yyyy")),MATCH(TRIM($A131),BS_Accounts,0))-T131</f>
        <v>0</v>
      </c>
      <c r="U132" s="76">
        <f t="array" ref="U132">INDEX(INDIRECT("BS_"&amp;TEXT(U$1,"mmm")&amp;"_"&amp;TEXT(U$1,"yyyy")),MATCH(TRIM($A131),BS_Accounts,0))-U131</f>
        <v>0</v>
      </c>
      <c r="V132" s="76">
        <f t="array" ref="V132">INDEX(INDIRECT("BS_"&amp;TEXT(V$1,"mmm")&amp;"_"&amp;TEXT(V$1,"yyyy")),MATCH(TRIM($A131),BS_Accounts,0))-V131</f>
        <v>0</v>
      </c>
      <c r="W132" s="76">
        <f t="array" ref="W132">INDEX(INDIRECT("BS_"&amp;TEXT(W$1,"mmm")&amp;"_"&amp;TEXT(W$1,"yyyy")),MATCH(TRIM($A131),BS_Accounts,0))-W131</f>
        <v>0</v>
      </c>
      <c r="X132" s="76">
        <f t="array" ref="X132">INDEX(INDIRECT("BS_"&amp;TEXT(X$1,"mmm")&amp;"_"&amp;TEXT(X$1,"yyyy")),MATCH(TRIM($A131),BS_Accounts,0))-X131</f>
        <v>0</v>
      </c>
      <c r="Y132" s="76">
        <f t="array" ref="Y132">INDEX(INDIRECT("BS_"&amp;TEXT(Y$1,"mmm")&amp;"_"&amp;TEXT(Y$1,"yyyy")),MATCH(TRIM($A131),BS_Accounts,0))-Y131</f>
        <v>0</v>
      </c>
      <c r="Z132" s="76">
        <f t="array" ref="Z132">INDEX(INDIRECT("BS_"&amp;TEXT(Z$1,"mmm")&amp;"_"&amp;TEXT(Z$1,"yyyy")),MATCH(TRIM($A131),BS_Accounts,0))-Z131</f>
        <v>0</v>
      </c>
      <c r="AA132" s="76">
        <f t="array" ref="AA132">INDEX(INDIRECT("BS_"&amp;TEXT(AA$1,"mmm")&amp;"_"&amp;TEXT(AA$1,"yyyy")),MATCH(TRIM($A131),BS_Accounts,0))-AA131</f>
        <v>0</v>
      </c>
      <c r="AB132" s="76">
        <f t="array" ref="AB132">INDEX(INDIRECT("BS_"&amp;TEXT(AB$1,"mmm")&amp;"_"&amp;TEXT(AB$1,"yyyy")),MATCH(TRIM($A131),BS_Accounts,0))-AB131</f>
        <v>0</v>
      </c>
      <c r="AC132" s="76">
        <f t="array" ref="AC132">INDEX(INDIRECT("BS_"&amp;TEXT(AC$1,"mmm")&amp;"_"&amp;TEXT(AC$1,"yyyy")),MATCH(TRIM($A131),BS_Accounts,0))-AC131</f>
        <v>0</v>
      </c>
      <c r="AD132" s="76">
        <f t="array" ref="AD132">INDEX(INDIRECT("BS_"&amp;TEXT(AD$1,"mmm")&amp;"_"&amp;TEXT(AD$1,"yyyy")),MATCH(TRIM($A131),BS_Accounts,0))-AD131</f>
        <v>0</v>
      </c>
      <c r="AE132" s="76">
        <f t="array" ref="AE132">INDEX(INDIRECT("BS_"&amp;TEXT(AE$1,"mmm")&amp;"_"&amp;TEXT(AE$1,"yyyy")),MATCH(TRIM($A131),BS_Accounts,0))-AE131</f>
        <v>0</v>
      </c>
    </row>
    <row r="133" ht="15.75" customHeight="1">
      <c r="A133" s="1" t="s">
        <v>352</v>
      </c>
      <c r="B133" s="159"/>
      <c r="D133" s="96" t="str">
        <f t="array" ref="D133">INDEX(INDIRECT("BS_"&amp;TEXT(D$1,"mmm")&amp;"_"&amp;TEXT(D$1,"yyyy")),MATCH(TRIM($A133),BS_Accounts,0))</f>
        <v/>
      </c>
      <c r="E133" s="96" t="str">
        <f t="array" ref="E133">INDEX(INDIRECT("BS_"&amp;TEXT(E$1,"mmm")&amp;"_"&amp;TEXT(E$1,"yyyy")),MATCH(TRIM($A133),BS_Accounts,0))</f>
        <v/>
      </c>
      <c r="F133" s="96" t="str">
        <f t="array" ref="F133">INDEX(INDIRECT("BS_"&amp;TEXT(F$1,"mmm")&amp;"_"&amp;TEXT(F$1,"yyyy")),MATCH(TRIM($A133),BS_Accounts,0))</f>
        <v/>
      </c>
      <c r="G133" s="96" t="str">
        <f t="array" ref="G133">INDEX(INDIRECT("BS_"&amp;TEXT(G$1,"mmm")&amp;"_"&amp;TEXT(G$1,"yyyy")),MATCH(TRIM($A133),BS_Accounts,0))</f>
        <v/>
      </c>
      <c r="H133" s="96" t="str">
        <f t="array" ref="H133">INDEX(INDIRECT("BS_"&amp;TEXT(H$1,"mmm")&amp;"_"&amp;TEXT(H$1,"yyyy")),MATCH(TRIM($A133),BS_Accounts,0))</f>
        <v/>
      </c>
      <c r="I133" s="96" t="str">
        <f t="array" ref="I133">INDEX(INDIRECT("BS_"&amp;TEXT(I$1,"mmm")&amp;"_"&amp;TEXT(I$1,"yyyy")),MATCH(TRIM($A133),BS_Accounts,0))</f>
        <v/>
      </c>
      <c r="J133" s="96" t="str">
        <f t="array" ref="J133">INDEX(INDIRECT("BS_"&amp;TEXT(J$1,"mmm")&amp;"_"&amp;TEXT(J$1,"yyyy")),MATCH(TRIM($A133),BS_Accounts,0))</f>
        <v/>
      </c>
      <c r="K133" s="96" t="str">
        <f t="array" ref="K133">INDEX(INDIRECT("BS_"&amp;TEXT(K$1,"mmm")&amp;"_"&amp;TEXT(K$1,"yyyy")),MATCH(TRIM($A133),BS_Accounts,0))</f>
        <v/>
      </c>
      <c r="L133" s="96" t="str">
        <f t="array" ref="L133">INDEX(INDIRECT("BS_"&amp;TEXT(L$1,"mmm")&amp;"_"&amp;TEXT(L$1,"yyyy")),MATCH(TRIM($A133),BS_Accounts,0))</f>
        <v/>
      </c>
      <c r="M133" s="96" t="str">
        <f t="array" ref="M133">INDEX(INDIRECT("BS_"&amp;TEXT(M$1,"mmm")&amp;"_"&amp;TEXT(M$1,"yyyy")),MATCH(TRIM($A133),BS_Accounts,0))</f>
        <v/>
      </c>
      <c r="N133" s="96" t="str">
        <f t="array" ref="N133">INDEX(INDIRECT("BS_"&amp;TEXT(N$1,"mmm")&amp;"_"&amp;TEXT(N$1,"yyyy")),MATCH(TRIM($A133),BS_Accounts,0))</f>
        <v/>
      </c>
      <c r="O133" s="96" t="str">
        <f t="array" ref="O133">INDEX(INDIRECT("BS_"&amp;TEXT(O$1,"mmm")&amp;"_"&amp;TEXT(O$1,"yyyy")),MATCH(TRIM($A133),BS_Accounts,0))</f>
        <v/>
      </c>
      <c r="P133" s="96" t="str">
        <f t="array" ref="P133">INDEX(INDIRECT("BS_"&amp;TEXT(P$1,"mmm")&amp;"_"&amp;TEXT(P$1,"yyyy")),MATCH(TRIM($A133),BS_Accounts,0))</f>
        <v/>
      </c>
      <c r="Q133" s="96" t="str">
        <f t="array" ref="Q133">INDEX(INDIRECT("BS_"&amp;TEXT(Q$1,"mmm")&amp;"_"&amp;TEXT(Q$1,"yyyy")),MATCH(TRIM($A133),BS_Accounts,0))</f>
        <v/>
      </c>
      <c r="R133" s="96" t="str">
        <f t="array" ref="R133">INDEX(INDIRECT("BS_"&amp;TEXT(R$1,"mmm")&amp;"_"&amp;TEXT(R$1,"yyyy")),MATCH(TRIM($A133),BS_Accounts,0))</f>
        <v/>
      </c>
      <c r="S133" s="96" t="str">
        <f t="array" ref="S133">INDEX(INDIRECT("BS_"&amp;TEXT(S$1,"mmm")&amp;"_"&amp;TEXT(S$1,"yyyy")),MATCH(TRIM($A133),BS_Accounts,0))</f>
        <v/>
      </c>
      <c r="T133" s="96" t="str">
        <f t="array" ref="T133">INDEX(INDIRECT("BS_"&amp;TEXT(T$1,"mmm")&amp;"_"&amp;TEXT(T$1,"yyyy")),MATCH(TRIM($A133),BS_Accounts,0))</f>
        <v/>
      </c>
      <c r="U133" s="96" t="str">
        <f t="array" ref="U133">INDEX(INDIRECT("BS_"&amp;TEXT(U$1,"mmm")&amp;"_"&amp;TEXT(U$1,"yyyy")),MATCH(TRIM($A133),BS_Accounts,0))</f>
        <v/>
      </c>
      <c r="V133" s="96" t="str">
        <f t="array" ref="V133">INDEX(INDIRECT("BS_"&amp;TEXT(V$1,"mmm")&amp;"_"&amp;TEXT(V$1,"yyyy")),MATCH(TRIM($A133),BS_Accounts,0))</f>
        <v/>
      </c>
      <c r="W133" s="96" t="str">
        <f t="array" ref="W133">INDEX(INDIRECT("BS_"&amp;TEXT(W$1,"mmm")&amp;"_"&amp;TEXT(W$1,"yyyy")),MATCH(TRIM($A133),BS_Accounts,0))</f>
        <v/>
      </c>
      <c r="X133" s="96" t="str">
        <f t="array" ref="X133">INDEX(INDIRECT("BS_"&amp;TEXT(X$1,"mmm")&amp;"_"&amp;TEXT(X$1,"yyyy")),MATCH(TRIM($A133),BS_Accounts,0))</f>
        <v/>
      </c>
      <c r="Y133" s="96" t="str">
        <f t="array" ref="Y133">INDEX(INDIRECT("BS_"&amp;TEXT(Y$1,"mmm")&amp;"_"&amp;TEXT(Y$1,"yyyy")),MATCH(TRIM($A133),BS_Accounts,0))</f>
        <v/>
      </c>
      <c r="Z133" s="96" t="str">
        <f t="array" ref="Z133">INDEX(INDIRECT("BS_"&amp;TEXT(Z$1,"mmm")&amp;"_"&amp;TEXT(Z$1,"yyyy")),MATCH(TRIM($A133),BS_Accounts,0))</f>
        <v/>
      </c>
      <c r="AA133" s="96" t="str">
        <f t="array" ref="AA133">INDEX(INDIRECT("BS_"&amp;TEXT(AA$1,"mmm")&amp;"_"&amp;TEXT(AA$1,"yyyy")),MATCH(TRIM($A133),BS_Accounts,0))</f>
        <v/>
      </c>
      <c r="AB133" s="96" t="str">
        <f t="array" ref="AB133">INDEX(INDIRECT("BS_"&amp;TEXT(AB$1,"mmm")&amp;"_"&amp;TEXT(AB$1,"yyyy")),MATCH(TRIM($A133),BS_Accounts,0))</f>
        <v/>
      </c>
      <c r="AC133" s="96" t="str">
        <f t="array" ref="AC133">INDEX(INDIRECT("BS_"&amp;TEXT(AC$1,"mmm")&amp;"_"&amp;TEXT(AC$1,"yyyy")),MATCH(TRIM($A133),BS_Accounts,0))</f>
        <v/>
      </c>
      <c r="AD133" s="96" t="str">
        <f t="array" ref="AD133">INDEX(INDIRECT("BS_"&amp;TEXT(AD$1,"mmm")&amp;"_"&amp;TEXT(AD$1,"yyyy")),MATCH(TRIM($A133),BS_Accounts,0))</f>
        <v/>
      </c>
      <c r="AE133" s="96" t="str">
        <f t="array" ref="AE133">INDEX(INDIRECT("BS_"&amp;TEXT(AE$1,"mmm")&amp;"_"&amp;TEXT(AE$1,"yyyy")),MATCH(TRIM($A133),BS_Accounts,0))</f>
        <v/>
      </c>
    </row>
    <row r="134" ht="15.75" customHeight="1">
      <c r="A134" s="1" t="s">
        <v>353</v>
      </c>
      <c r="B134" s="160">
        <f>AVERAGEIFS(134:134,$1:$1,"&gt;="&amp;DATE(YEAR(Current_Month),MONTH(Current_Month),DAY(Current_Month)),$1:$1,"&lt;="&amp;EOMONTH(Current_Month,0))</f>
        <v>2350000</v>
      </c>
      <c r="D134" s="76">
        <f t="array" ref="D134">INDEX(INDIRECT("BS_"&amp;TEXT(D$1,"mmm")&amp;"_"&amp;TEXT(D$1,"yyyy")),MATCH(TRIM($A134),BS_Accounts,0))</f>
        <v>550000</v>
      </c>
      <c r="E134" s="76">
        <f t="array" ref="E134">INDEX(INDIRECT("BS_"&amp;TEXT(E$1,"mmm")&amp;"_"&amp;TEXT(E$1,"yyyy")),MATCH(TRIM($A134),BS_Accounts,0))</f>
        <v>650000</v>
      </c>
      <c r="F134" s="76">
        <f t="array" ref="F134">INDEX(INDIRECT("BS_"&amp;TEXT(F$1,"mmm")&amp;"_"&amp;TEXT(F$1,"yyyy")),MATCH(TRIM($A134),BS_Accounts,0))</f>
        <v>650000</v>
      </c>
      <c r="G134" s="76">
        <f t="array" ref="G134">INDEX(INDIRECT("BS_"&amp;TEXT(G$1,"mmm")&amp;"_"&amp;TEXT(G$1,"yyyy")),MATCH(TRIM($A134),BS_Accounts,0))</f>
        <v>650000</v>
      </c>
      <c r="H134" s="76">
        <f t="array" ref="H134">INDEX(INDIRECT("BS_"&amp;TEXT(H$1,"mmm")&amp;"_"&amp;TEXT(H$1,"yyyy")),MATCH(TRIM($A134),BS_Accounts,0))</f>
        <v>650000</v>
      </c>
      <c r="I134" s="76">
        <f t="array" ref="I134">INDEX(INDIRECT("BS_"&amp;TEXT(I$1,"mmm")&amp;"_"&amp;TEXT(I$1,"yyyy")),MATCH(TRIM($A134),BS_Accounts,0))</f>
        <v>650000</v>
      </c>
      <c r="J134" s="76">
        <f t="array" ref="J134">INDEX(INDIRECT("BS_"&amp;TEXT(J$1,"mmm")&amp;"_"&amp;TEXT(J$1,"yyyy")),MATCH(TRIM($A134),BS_Accounts,0))</f>
        <v>650000</v>
      </c>
      <c r="K134" s="76">
        <f t="array" ref="K134">INDEX(INDIRECT("BS_"&amp;TEXT(K$1,"mmm")&amp;"_"&amp;TEXT(K$1,"yyyy")),MATCH(TRIM($A134),BS_Accounts,0))</f>
        <v>650000</v>
      </c>
      <c r="L134" s="76">
        <f t="array" ref="L134">INDEX(INDIRECT("BS_"&amp;TEXT(L$1,"mmm")&amp;"_"&amp;TEXT(L$1,"yyyy")),MATCH(TRIM($A134),BS_Accounts,0))</f>
        <v>650000</v>
      </c>
      <c r="M134" s="76">
        <f t="array" ref="M134">INDEX(INDIRECT("BS_"&amp;TEXT(M$1,"mmm")&amp;"_"&amp;TEXT(M$1,"yyyy")),MATCH(TRIM($A134),BS_Accounts,0))</f>
        <v>1250000</v>
      </c>
      <c r="N134" s="76">
        <f t="array" ref="N134">INDEX(INDIRECT("BS_"&amp;TEXT(N$1,"mmm")&amp;"_"&amp;TEXT(N$1,"yyyy")),MATCH(TRIM($A134),BS_Accounts,0))</f>
        <v>1250000</v>
      </c>
      <c r="O134" s="76">
        <f t="array" ref="O134">INDEX(INDIRECT("BS_"&amp;TEXT(O$1,"mmm")&amp;"_"&amp;TEXT(O$1,"yyyy")),MATCH(TRIM($A134),BS_Accounts,0))</f>
        <v>1250000</v>
      </c>
      <c r="P134" s="76">
        <f t="array" ref="P134">INDEX(INDIRECT("BS_"&amp;TEXT(P$1,"mmm")&amp;"_"&amp;TEXT(P$1,"yyyy")),MATCH(TRIM($A134),BS_Accounts,0))</f>
        <v>1750000</v>
      </c>
      <c r="Q134" s="76">
        <f t="array" ref="Q134">INDEX(INDIRECT("BS_"&amp;TEXT(Q$1,"mmm")&amp;"_"&amp;TEXT(Q$1,"yyyy")),MATCH(TRIM($A134),BS_Accounts,0))</f>
        <v>1750000</v>
      </c>
      <c r="R134" s="76">
        <f t="array" ref="R134">INDEX(INDIRECT("BS_"&amp;TEXT(R$1,"mmm")&amp;"_"&amp;TEXT(R$1,"yyyy")),MATCH(TRIM($A134),BS_Accounts,0))</f>
        <v>1750000</v>
      </c>
      <c r="S134" s="76">
        <f t="array" ref="S134">INDEX(INDIRECT("BS_"&amp;TEXT(S$1,"mmm")&amp;"_"&amp;TEXT(S$1,"yyyy")),MATCH(TRIM($A134),BS_Accounts,0))</f>
        <v>1750000</v>
      </c>
      <c r="T134" s="76">
        <f t="array" ref="T134">INDEX(INDIRECT("BS_"&amp;TEXT(T$1,"mmm")&amp;"_"&amp;TEXT(T$1,"yyyy")),MATCH(TRIM($A134),BS_Accounts,0))</f>
        <v>2050000</v>
      </c>
      <c r="U134" s="76">
        <f t="array" ref="U134">INDEX(INDIRECT("BS_"&amp;TEXT(U$1,"mmm")&amp;"_"&amp;TEXT(U$1,"yyyy")),MATCH(TRIM($A134),BS_Accounts,0))</f>
        <v>2050000</v>
      </c>
      <c r="V134" s="76">
        <f t="array" ref="V134">INDEX(INDIRECT("BS_"&amp;TEXT(V$1,"mmm")&amp;"_"&amp;TEXT(V$1,"yyyy")),MATCH(TRIM($A134),BS_Accounts,0))</f>
        <v>2050000</v>
      </c>
      <c r="W134" s="76">
        <f t="array" ref="W134">INDEX(INDIRECT("BS_"&amp;TEXT(W$1,"mmm")&amp;"_"&amp;TEXT(W$1,"yyyy")),MATCH(TRIM($A134),BS_Accounts,0))</f>
        <v>2050000</v>
      </c>
      <c r="X134" s="76">
        <f t="array" ref="X134">INDEX(INDIRECT("BS_"&amp;TEXT(X$1,"mmm")&amp;"_"&amp;TEXT(X$1,"yyyy")),MATCH(TRIM($A134),BS_Accounts,0))</f>
        <v>2050000</v>
      </c>
      <c r="Y134" s="76">
        <f t="array" ref="Y134">INDEX(INDIRECT("BS_"&amp;TEXT(Y$1,"mmm")&amp;"_"&amp;TEXT(Y$1,"yyyy")),MATCH(TRIM($A134),BS_Accounts,0))</f>
        <v>2350000</v>
      </c>
      <c r="Z134" s="76">
        <f t="array" ref="Z134">INDEX(INDIRECT("BS_"&amp;TEXT(Z$1,"mmm")&amp;"_"&amp;TEXT(Z$1,"yyyy")),MATCH(TRIM($A134),BS_Accounts,0))</f>
        <v>2350000</v>
      </c>
      <c r="AA134" s="76">
        <f t="array" ref="AA134">INDEX(INDIRECT("BS_"&amp;TEXT(AA$1,"mmm")&amp;"_"&amp;TEXT(AA$1,"yyyy")),MATCH(TRIM($A134),BS_Accounts,0))</f>
        <v>2350000</v>
      </c>
      <c r="AB134" s="76">
        <f t="array" ref="AB134">INDEX(INDIRECT("BS_"&amp;TEXT(AB$1,"mmm")&amp;"_"&amp;TEXT(AB$1,"yyyy")),MATCH(TRIM($A134),BS_Accounts,0))</f>
        <v>2350000</v>
      </c>
      <c r="AC134" s="76">
        <f t="array" ref="AC134">INDEX(INDIRECT("BS_"&amp;TEXT(AC$1,"mmm")&amp;"_"&amp;TEXT(AC$1,"yyyy")),MATCH(TRIM($A134),BS_Accounts,0))</f>
        <v>2350000</v>
      </c>
      <c r="AD134" s="76">
        <f t="array" ref="AD134">INDEX(INDIRECT("BS_"&amp;TEXT(AD$1,"mmm")&amp;"_"&amp;TEXT(AD$1,"yyyy")),MATCH(TRIM($A134),BS_Accounts,0))</f>
        <v>2350000</v>
      </c>
      <c r="AE134" s="76">
        <f t="array" ref="AE134">INDEX(INDIRECT("BS_"&amp;TEXT(AE$1,"mmm")&amp;"_"&amp;TEXT(AE$1,"yyyy")),MATCH(TRIM($A134),BS_Accounts,0))</f>
        <v>2350000</v>
      </c>
      <c r="AF134" s="96">
        <f t="shared" ref="AF134:BW134" si="69">$B134</f>
        <v>2350000</v>
      </c>
      <c r="AG134" s="96">
        <f t="shared" si="69"/>
        <v>2350000</v>
      </c>
      <c r="AH134" s="96">
        <f t="shared" si="69"/>
        <v>2350000</v>
      </c>
      <c r="AI134" s="96">
        <f t="shared" si="69"/>
        <v>2350000</v>
      </c>
      <c r="AJ134" s="96">
        <f t="shared" si="69"/>
        <v>2350000</v>
      </c>
      <c r="AK134" s="96">
        <f t="shared" si="69"/>
        <v>2350000</v>
      </c>
      <c r="AL134" s="96">
        <f t="shared" si="69"/>
        <v>2350000</v>
      </c>
      <c r="AM134" s="96">
        <f t="shared" si="69"/>
        <v>2350000</v>
      </c>
      <c r="AN134" s="96">
        <f t="shared" si="69"/>
        <v>2350000</v>
      </c>
      <c r="AO134" s="96">
        <f t="shared" si="69"/>
        <v>2350000</v>
      </c>
      <c r="AP134" s="96">
        <f t="shared" si="69"/>
        <v>2350000</v>
      </c>
      <c r="AQ134" s="96">
        <f t="shared" si="69"/>
        <v>2350000</v>
      </c>
      <c r="AR134" s="96">
        <f t="shared" si="69"/>
        <v>2350000</v>
      </c>
      <c r="AS134" s="96">
        <f t="shared" si="69"/>
        <v>2350000</v>
      </c>
      <c r="AT134" s="96">
        <f t="shared" si="69"/>
        <v>2350000</v>
      </c>
      <c r="AU134" s="96">
        <f t="shared" si="69"/>
        <v>2350000</v>
      </c>
      <c r="AV134" s="96">
        <f t="shared" si="69"/>
        <v>2350000</v>
      </c>
      <c r="AW134" s="96">
        <f t="shared" si="69"/>
        <v>2350000</v>
      </c>
      <c r="AX134" s="96">
        <f t="shared" si="69"/>
        <v>2350000</v>
      </c>
      <c r="AY134" s="96">
        <f t="shared" si="69"/>
        <v>2350000</v>
      </c>
      <c r="AZ134" s="96">
        <f t="shared" si="69"/>
        <v>2350000</v>
      </c>
      <c r="BA134" s="96">
        <f t="shared" si="69"/>
        <v>2350000</v>
      </c>
      <c r="BB134" s="96">
        <f t="shared" si="69"/>
        <v>2350000</v>
      </c>
      <c r="BC134" s="96">
        <f t="shared" si="69"/>
        <v>2350000</v>
      </c>
      <c r="BD134" s="96">
        <f t="shared" si="69"/>
        <v>2350000</v>
      </c>
      <c r="BE134" s="96">
        <f t="shared" si="69"/>
        <v>2350000</v>
      </c>
      <c r="BF134" s="96">
        <f t="shared" si="69"/>
        <v>2350000</v>
      </c>
      <c r="BG134" s="96">
        <f t="shared" si="69"/>
        <v>2350000</v>
      </c>
      <c r="BH134" s="96">
        <f t="shared" si="69"/>
        <v>2350000</v>
      </c>
      <c r="BI134" s="96">
        <f t="shared" si="69"/>
        <v>2350000</v>
      </c>
      <c r="BJ134" s="96">
        <f t="shared" si="69"/>
        <v>2350000</v>
      </c>
      <c r="BK134" s="96">
        <f t="shared" si="69"/>
        <v>2350000</v>
      </c>
      <c r="BL134" s="96">
        <f t="shared" si="69"/>
        <v>2350000</v>
      </c>
      <c r="BM134" s="96">
        <f t="shared" si="69"/>
        <v>2350000</v>
      </c>
      <c r="BN134" s="96">
        <f t="shared" si="69"/>
        <v>2350000</v>
      </c>
      <c r="BO134" s="96">
        <f t="shared" si="69"/>
        <v>2350000</v>
      </c>
      <c r="BP134" s="96">
        <f t="shared" si="69"/>
        <v>2350000</v>
      </c>
      <c r="BQ134" s="96">
        <f t="shared" si="69"/>
        <v>2350000</v>
      </c>
      <c r="BR134" s="96">
        <f t="shared" si="69"/>
        <v>2350000</v>
      </c>
      <c r="BS134" s="96">
        <f t="shared" si="69"/>
        <v>2350000</v>
      </c>
      <c r="BT134" s="96">
        <f t="shared" si="69"/>
        <v>2350000</v>
      </c>
      <c r="BU134" s="96">
        <f t="shared" si="69"/>
        <v>2350000</v>
      </c>
      <c r="BV134" s="96">
        <f t="shared" si="69"/>
        <v>2350000</v>
      </c>
      <c r="BW134" s="96">
        <f t="shared" si="69"/>
        <v>2350000</v>
      </c>
    </row>
    <row r="135" ht="15.75" customHeight="1">
      <c r="A135" s="1" t="s">
        <v>354</v>
      </c>
      <c r="B135" s="160">
        <f>AVERAGEIFS(135:135,$1:$1,"&gt;="&amp;DATE(YEAR(Current_Month),MONTH(Current_Month),DAY(Current_Month)),$1:$1,"&lt;="&amp;EOMONTH(Current_Month,0))</f>
        <v>500000</v>
      </c>
      <c r="D135" s="76">
        <f t="array" ref="D135">INDEX(INDIRECT("BS_"&amp;TEXT(D$1,"mmm")&amp;"_"&amp;TEXT(D$1,"yyyy")),MATCH(TRIM($A135),BS_Accounts,0))</f>
        <v>500000</v>
      </c>
      <c r="E135" s="76">
        <f t="array" ref="E135">INDEX(INDIRECT("BS_"&amp;TEXT(E$1,"mmm")&amp;"_"&amp;TEXT(E$1,"yyyy")),MATCH(TRIM($A135),BS_Accounts,0))</f>
        <v>500000</v>
      </c>
      <c r="F135" s="76">
        <f t="array" ref="F135">INDEX(INDIRECT("BS_"&amp;TEXT(F$1,"mmm")&amp;"_"&amp;TEXT(F$1,"yyyy")),MATCH(TRIM($A135),BS_Accounts,0))</f>
        <v>500000</v>
      </c>
      <c r="G135" s="76">
        <f t="array" ref="G135">INDEX(INDIRECT("BS_"&amp;TEXT(G$1,"mmm")&amp;"_"&amp;TEXT(G$1,"yyyy")),MATCH(TRIM($A135),BS_Accounts,0))</f>
        <v>500000</v>
      </c>
      <c r="H135" s="76">
        <f t="array" ref="H135">INDEX(INDIRECT("BS_"&amp;TEXT(H$1,"mmm")&amp;"_"&amp;TEXT(H$1,"yyyy")),MATCH(TRIM($A135),BS_Accounts,0))</f>
        <v>500000</v>
      </c>
      <c r="I135" s="76">
        <f t="array" ref="I135">INDEX(INDIRECT("BS_"&amp;TEXT(I$1,"mmm")&amp;"_"&amp;TEXT(I$1,"yyyy")),MATCH(TRIM($A135),BS_Accounts,0))</f>
        <v>500000</v>
      </c>
      <c r="J135" s="76">
        <f t="array" ref="J135">INDEX(INDIRECT("BS_"&amp;TEXT(J$1,"mmm")&amp;"_"&amp;TEXT(J$1,"yyyy")),MATCH(TRIM($A135),BS_Accounts,0))</f>
        <v>500000</v>
      </c>
      <c r="K135" s="76">
        <f t="array" ref="K135">INDEX(INDIRECT("BS_"&amp;TEXT(K$1,"mmm")&amp;"_"&amp;TEXT(K$1,"yyyy")),MATCH(TRIM($A135),BS_Accounts,0))</f>
        <v>500000</v>
      </c>
      <c r="L135" s="76">
        <f t="array" ref="L135">INDEX(INDIRECT("BS_"&amp;TEXT(L$1,"mmm")&amp;"_"&amp;TEXT(L$1,"yyyy")),MATCH(TRIM($A135),BS_Accounts,0))</f>
        <v>500000</v>
      </c>
      <c r="M135" s="76">
        <f t="array" ref="M135">INDEX(INDIRECT("BS_"&amp;TEXT(M$1,"mmm")&amp;"_"&amp;TEXT(M$1,"yyyy")),MATCH(TRIM($A135),BS_Accounts,0))</f>
        <v>500000</v>
      </c>
      <c r="N135" s="76">
        <f t="array" ref="N135">INDEX(INDIRECT("BS_"&amp;TEXT(N$1,"mmm")&amp;"_"&amp;TEXT(N$1,"yyyy")),MATCH(TRIM($A135),BS_Accounts,0))</f>
        <v>500000</v>
      </c>
      <c r="O135" s="76">
        <f t="array" ref="O135">INDEX(INDIRECT("BS_"&amp;TEXT(O$1,"mmm")&amp;"_"&amp;TEXT(O$1,"yyyy")),MATCH(TRIM($A135),BS_Accounts,0))</f>
        <v>500000</v>
      </c>
      <c r="P135" s="76">
        <f t="array" ref="P135">INDEX(INDIRECT("BS_"&amp;TEXT(P$1,"mmm")&amp;"_"&amp;TEXT(P$1,"yyyy")),MATCH(TRIM($A135),BS_Accounts,0))</f>
        <v>500000</v>
      </c>
      <c r="Q135" s="76">
        <f t="array" ref="Q135">INDEX(INDIRECT("BS_"&amp;TEXT(Q$1,"mmm")&amp;"_"&amp;TEXT(Q$1,"yyyy")),MATCH(TRIM($A135),BS_Accounts,0))</f>
        <v>500000</v>
      </c>
      <c r="R135" s="76">
        <f t="array" ref="R135">INDEX(INDIRECT("BS_"&amp;TEXT(R$1,"mmm")&amp;"_"&amp;TEXT(R$1,"yyyy")),MATCH(TRIM($A135),BS_Accounts,0))</f>
        <v>500000</v>
      </c>
      <c r="S135" s="76">
        <f t="array" ref="S135">INDEX(INDIRECT("BS_"&amp;TEXT(S$1,"mmm")&amp;"_"&amp;TEXT(S$1,"yyyy")),MATCH(TRIM($A135),BS_Accounts,0))</f>
        <v>500000</v>
      </c>
      <c r="T135" s="76">
        <f t="array" ref="T135">INDEX(INDIRECT("BS_"&amp;TEXT(T$1,"mmm")&amp;"_"&amp;TEXT(T$1,"yyyy")),MATCH(TRIM($A135),BS_Accounts,0))</f>
        <v>500000</v>
      </c>
      <c r="U135" s="76">
        <f t="array" ref="U135">INDEX(INDIRECT("BS_"&amp;TEXT(U$1,"mmm")&amp;"_"&amp;TEXT(U$1,"yyyy")),MATCH(TRIM($A135),BS_Accounts,0))</f>
        <v>500000</v>
      </c>
      <c r="V135" s="76">
        <f t="array" ref="V135">INDEX(INDIRECT("BS_"&amp;TEXT(V$1,"mmm")&amp;"_"&amp;TEXT(V$1,"yyyy")),MATCH(TRIM($A135),BS_Accounts,0))</f>
        <v>500000</v>
      </c>
      <c r="W135" s="76">
        <f t="array" ref="W135">INDEX(INDIRECT("BS_"&amp;TEXT(W$1,"mmm")&amp;"_"&amp;TEXT(W$1,"yyyy")),MATCH(TRIM($A135),BS_Accounts,0))</f>
        <v>500000</v>
      </c>
      <c r="X135" s="76">
        <f t="array" ref="X135">INDEX(INDIRECT("BS_"&amp;TEXT(X$1,"mmm")&amp;"_"&amp;TEXT(X$1,"yyyy")),MATCH(TRIM($A135),BS_Accounts,0))</f>
        <v>500000</v>
      </c>
      <c r="Y135" s="76">
        <f t="array" ref="Y135">INDEX(INDIRECT("BS_"&amp;TEXT(Y$1,"mmm")&amp;"_"&amp;TEXT(Y$1,"yyyy")),MATCH(TRIM($A135),BS_Accounts,0))</f>
        <v>500000</v>
      </c>
      <c r="Z135" s="76">
        <f t="array" ref="Z135">INDEX(INDIRECT("BS_"&amp;TEXT(Z$1,"mmm")&amp;"_"&amp;TEXT(Z$1,"yyyy")),MATCH(TRIM($A135),BS_Accounts,0))</f>
        <v>500000</v>
      </c>
      <c r="AA135" s="76">
        <f t="array" ref="AA135">INDEX(INDIRECT("BS_"&amp;TEXT(AA$1,"mmm")&amp;"_"&amp;TEXT(AA$1,"yyyy")),MATCH(TRIM($A135),BS_Accounts,0))</f>
        <v>500000</v>
      </c>
      <c r="AB135" s="76">
        <f t="array" ref="AB135">INDEX(INDIRECT("BS_"&amp;TEXT(AB$1,"mmm")&amp;"_"&amp;TEXT(AB$1,"yyyy")),MATCH(TRIM($A135),BS_Accounts,0))</f>
        <v>500000</v>
      </c>
      <c r="AC135" s="76">
        <f t="array" ref="AC135">INDEX(INDIRECT("BS_"&amp;TEXT(AC$1,"mmm")&amp;"_"&amp;TEXT(AC$1,"yyyy")),MATCH(TRIM($A135),BS_Accounts,0))</f>
        <v>500000</v>
      </c>
      <c r="AD135" s="76">
        <f t="array" ref="AD135">INDEX(INDIRECT("BS_"&amp;TEXT(AD$1,"mmm")&amp;"_"&amp;TEXT(AD$1,"yyyy")),MATCH(TRIM($A135),BS_Accounts,0))</f>
        <v>500000</v>
      </c>
      <c r="AE135" s="76">
        <f t="array" ref="AE135">INDEX(INDIRECT("BS_"&amp;TEXT(AE$1,"mmm")&amp;"_"&amp;TEXT(AE$1,"yyyy")),MATCH(TRIM($A135),BS_Accounts,0))</f>
        <v>500000</v>
      </c>
      <c r="AF135" s="96">
        <f t="shared" ref="AF135:BW135" si="70">$B135</f>
        <v>500000</v>
      </c>
      <c r="AG135" s="96">
        <f t="shared" si="70"/>
        <v>500000</v>
      </c>
      <c r="AH135" s="96">
        <f t="shared" si="70"/>
        <v>500000</v>
      </c>
      <c r="AI135" s="96">
        <f t="shared" si="70"/>
        <v>500000</v>
      </c>
      <c r="AJ135" s="96">
        <f t="shared" si="70"/>
        <v>500000</v>
      </c>
      <c r="AK135" s="96">
        <f t="shared" si="70"/>
        <v>500000</v>
      </c>
      <c r="AL135" s="96">
        <f t="shared" si="70"/>
        <v>500000</v>
      </c>
      <c r="AM135" s="96">
        <f t="shared" si="70"/>
        <v>500000</v>
      </c>
      <c r="AN135" s="96">
        <f t="shared" si="70"/>
        <v>500000</v>
      </c>
      <c r="AO135" s="96">
        <f t="shared" si="70"/>
        <v>500000</v>
      </c>
      <c r="AP135" s="96">
        <f t="shared" si="70"/>
        <v>500000</v>
      </c>
      <c r="AQ135" s="96">
        <f t="shared" si="70"/>
        <v>500000</v>
      </c>
      <c r="AR135" s="96">
        <f t="shared" si="70"/>
        <v>500000</v>
      </c>
      <c r="AS135" s="96">
        <f t="shared" si="70"/>
        <v>500000</v>
      </c>
      <c r="AT135" s="96">
        <f t="shared" si="70"/>
        <v>500000</v>
      </c>
      <c r="AU135" s="96">
        <f t="shared" si="70"/>
        <v>500000</v>
      </c>
      <c r="AV135" s="96">
        <f t="shared" si="70"/>
        <v>500000</v>
      </c>
      <c r="AW135" s="96">
        <f t="shared" si="70"/>
        <v>500000</v>
      </c>
      <c r="AX135" s="96">
        <f t="shared" si="70"/>
        <v>500000</v>
      </c>
      <c r="AY135" s="96">
        <f t="shared" si="70"/>
        <v>500000</v>
      </c>
      <c r="AZ135" s="96">
        <f t="shared" si="70"/>
        <v>500000</v>
      </c>
      <c r="BA135" s="96">
        <f t="shared" si="70"/>
        <v>500000</v>
      </c>
      <c r="BB135" s="96">
        <f t="shared" si="70"/>
        <v>500000</v>
      </c>
      <c r="BC135" s="96">
        <f t="shared" si="70"/>
        <v>500000</v>
      </c>
      <c r="BD135" s="96">
        <f t="shared" si="70"/>
        <v>500000</v>
      </c>
      <c r="BE135" s="96">
        <f t="shared" si="70"/>
        <v>500000</v>
      </c>
      <c r="BF135" s="96">
        <f t="shared" si="70"/>
        <v>500000</v>
      </c>
      <c r="BG135" s="96">
        <f t="shared" si="70"/>
        <v>500000</v>
      </c>
      <c r="BH135" s="96">
        <f t="shared" si="70"/>
        <v>500000</v>
      </c>
      <c r="BI135" s="96">
        <f t="shared" si="70"/>
        <v>500000</v>
      </c>
      <c r="BJ135" s="96">
        <f t="shared" si="70"/>
        <v>500000</v>
      </c>
      <c r="BK135" s="96">
        <f t="shared" si="70"/>
        <v>500000</v>
      </c>
      <c r="BL135" s="96">
        <f t="shared" si="70"/>
        <v>500000</v>
      </c>
      <c r="BM135" s="96">
        <f t="shared" si="70"/>
        <v>500000</v>
      </c>
      <c r="BN135" s="96">
        <f t="shared" si="70"/>
        <v>500000</v>
      </c>
      <c r="BO135" s="96">
        <f t="shared" si="70"/>
        <v>500000</v>
      </c>
      <c r="BP135" s="96">
        <f t="shared" si="70"/>
        <v>500000</v>
      </c>
      <c r="BQ135" s="96">
        <f t="shared" si="70"/>
        <v>500000</v>
      </c>
      <c r="BR135" s="96">
        <f t="shared" si="70"/>
        <v>500000</v>
      </c>
      <c r="BS135" s="96">
        <f t="shared" si="70"/>
        <v>500000</v>
      </c>
      <c r="BT135" s="96">
        <f t="shared" si="70"/>
        <v>500000</v>
      </c>
      <c r="BU135" s="96">
        <f t="shared" si="70"/>
        <v>500000</v>
      </c>
      <c r="BV135" s="96">
        <f t="shared" si="70"/>
        <v>500000</v>
      </c>
      <c r="BW135" s="96">
        <f t="shared" si="70"/>
        <v>500000</v>
      </c>
    </row>
    <row r="136" ht="15.75" customHeight="1">
      <c r="A136" s="1" t="s">
        <v>355</v>
      </c>
      <c r="B136" s="160">
        <f>AVERAGEIFS(136:136,$1:$1,"&gt;="&amp;DATE(YEAR(Current_Month),MONTH(Current_Month),DAY(Current_Month)),$1:$1,"&lt;="&amp;EOMONTH(Current_Month,0))</f>
        <v>0</v>
      </c>
      <c r="D136" s="76">
        <f t="array" ref="D136">INDEX(INDIRECT("BS_"&amp;TEXT(D$1,"mmm")&amp;"_"&amp;TEXT(D$1,"yyyy")),MATCH(TRIM($A136),BS_Accounts,0))</f>
        <v>0</v>
      </c>
      <c r="E136" s="76">
        <f t="array" ref="E136">INDEX(INDIRECT("BS_"&amp;TEXT(E$1,"mmm")&amp;"_"&amp;TEXT(E$1,"yyyy")),MATCH(TRIM($A136),BS_Accounts,0))</f>
        <v>0</v>
      </c>
      <c r="F136" s="76">
        <f t="array" ref="F136">INDEX(INDIRECT("BS_"&amp;TEXT(F$1,"mmm")&amp;"_"&amp;TEXT(F$1,"yyyy")),MATCH(TRIM($A136),BS_Accounts,0))</f>
        <v>0</v>
      </c>
      <c r="G136" s="76">
        <f t="array" ref="G136">INDEX(INDIRECT("BS_"&amp;TEXT(G$1,"mmm")&amp;"_"&amp;TEXT(G$1,"yyyy")),MATCH(TRIM($A136),BS_Accounts,0))</f>
        <v>0</v>
      </c>
      <c r="H136" s="76">
        <f t="array" ref="H136">INDEX(INDIRECT("BS_"&amp;TEXT(H$1,"mmm")&amp;"_"&amp;TEXT(H$1,"yyyy")),MATCH(TRIM($A136),BS_Accounts,0))</f>
        <v>0</v>
      </c>
      <c r="I136" s="76">
        <f t="array" ref="I136">INDEX(INDIRECT("BS_"&amp;TEXT(I$1,"mmm")&amp;"_"&amp;TEXT(I$1,"yyyy")),MATCH(TRIM($A136),BS_Accounts,0))</f>
        <v>0</v>
      </c>
      <c r="J136" s="76">
        <f t="array" ref="J136">INDEX(INDIRECT("BS_"&amp;TEXT(J$1,"mmm")&amp;"_"&amp;TEXT(J$1,"yyyy")),MATCH(TRIM($A136),BS_Accounts,0))</f>
        <v>0</v>
      </c>
      <c r="K136" s="76">
        <f t="array" ref="K136">INDEX(INDIRECT("BS_"&amp;TEXT(K$1,"mmm")&amp;"_"&amp;TEXT(K$1,"yyyy")),MATCH(TRIM($A136),BS_Accounts,0))</f>
        <v>0</v>
      </c>
      <c r="L136" s="76">
        <f t="array" ref="L136">INDEX(INDIRECT("BS_"&amp;TEXT(L$1,"mmm")&amp;"_"&amp;TEXT(L$1,"yyyy")),MATCH(TRIM($A136),BS_Accounts,0))</f>
        <v>0</v>
      </c>
      <c r="M136" s="76">
        <f t="array" ref="M136">INDEX(INDIRECT("BS_"&amp;TEXT(M$1,"mmm")&amp;"_"&amp;TEXT(M$1,"yyyy")),MATCH(TRIM($A136),BS_Accounts,0))</f>
        <v>0</v>
      </c>
      <c r="N136" s="76">
        <f t="array" ref="N136">INDEX(INDIRECT("BS_"&amp;TEXT(N$1,"mmm")&amp;"_"&amp;TEXT(N$1,"yyyy")),MATCH(TRIM($A136),BS_Accounts,0))</f>
        <v>0</v>
      </c>
      <c r="O136" s="76">
        <f t="array" ref="O136">INDEX(INDIRECT("BS_"&amp;TEXT(O$1,"mmm")&amp;"_"&amp;TEXT(O$1,"yyyy")),MATCH(TRIM($A136),BS_Accounts,0))</f>
        <v>0</v>
      </c>
      <c r="P136" s="76">
        <f t="array" ref="P136">INDEX(INDIRECT("BS_"&amp;TEXT(P$1,"mmm")&amp;"_"&amp;TEXT(P$1,"yyyy")),MATCH(TRIM($A136),BS_Accounts,0))</f>
        <v>0</v>
      </c>
      <c r="Q136" s="76">
        <f t="array" ref="Q136">INDEX(INDIRECT("BS_"&amp;TEXT(Q$1,"mmm")&amp;"_"&amp;TEXT(Q$1,"yyyy")),MATCH(TRIM($A136),BS_Accounts,0))</f>
        <v>0</v>
      </c>
      <c r="R136" s="76">
        <f t="array" ref="R136">INDEX(INDIRECT("BS_"&amp;TEXT(R$1,"mmm")&amp;"_"&amp;TEXT(R$1,"yyyy")),MATCH(TRIM($A136),BS_Accounts,0))</f>
        <v>0</v>
      </c>
      <c r="S136" s="76">
        <f t="array" ref="S136">INDEX(INDIRECT("BS_"&amp;TEXT(S$1,"mmm")&amp;"_"&amp;TEXT(S$1,"yyyy")),MATCH(TRIM($A136),BS_Accounts,0))</f>
        <v>0</v>
      </c>
      <c r="T136" s="76">
        <f t="array" ref="T136">INDEX(INDIRECT("BS_"&amp;TEXT(T$1,"mmm")&amp;"_"&amp;TEXT(T$1,"yyyy")),MATCH(TRIM($A136),BS_Accounts,0))</f>
        <v>0</v>
      </c>
      <c r="U136" s="76">
        <f t="array" ref="U136">INDEX(INDIRECT("BS_"&amp;TEXT(U$1,"mmm")&amp;"_"&amp;TEXT(U$1,"yyyy")),MATCH(TRIM($A136),BS_Accounts,0))</f>
        <v>0</v>
      </c>
      <c r="V136" s="76">
        <f t="array" ref="V136">INDEX(INDIRECT("BS_"&amp;TEXT(V$1,"mmm")&amp;"_"&amp;TEXT(V$1,"yyyy")),MATCH(TRIM($A136),BS_Accounts,0))</f>
        <v>0</v>
      </c>
      <c r="W136" s="76">
        <f t="array" ref="W136">INDEX(INDIRECT("BS_"&amp;TEXT(W$1,"mmm")&amp;"_"&amp;TEXT(W$1,"yyyy")),MATCH(TRIM($A136),BS_Accounts,0))</f>
        <v>0</v>
      </c>
      <c r="X136" s="76">
        <f t="array" ref="X136">INDEX(INDIRECT("BS_"&amp;TEXT(X$1,"mmm")&amp;"_"&amp;TEXT(X$1,"yyyy")),MATCH(TRIM($A136),BS_Accounts,0))</f>
        <v>0</v>
      </c>
      <c r="Y136" s="76">
        <f t="array" ref="Y136">INDEX(INDIRECT("BS_"&amp;TEXT(Y$1,"mmm")&amp;"_"&amp;TEXT(Y$1,"yyyy")),MATCH(TRIM($A136),BS_Accounts,0))</f>
        <v>0</v>
      </c>
      <c r="Z136" s="76">
        <f t="array" ref="Z136">INDEX(INDIRECT("BS_"&amp;TEXT(Z$1,"mmm")&amp;"_"&amp;TEXT(Z$1,"yyyy")),MATCH(TRIM($A136),BS_Accounts,0))</f>
        <v>0</v>
      </c>
      <c r="AA136" s="76">
        <f t="array" ref="AA136">INDEX(INDIRECT("BS_"&amp;TEXT(AA$1,"mmm")&amp;"_"&amp;TEXT(AA$1,"yyyy")),MATCH(TRIM($A136),BS_Accounts,0))</f>
        <v>0</v>
      </c>
      <c r="AB136" s="76">
        <f t="array" ref="AB136">INDEX(INDIRECT("BS_"&amp;TEXT(AB$1,"mmm")&amp;"_"&amp;TEXT(AB$1,"yyyy")),MATCH(TRIM($A136),BS_Accounts,0))</f>
        <v>0</v>
      </c>
      <c r="AC136" s="76">
        <f t="array" ref="AC136">INDEX(INDIRECT("BS_"&amp;TEXT(AC$1,"mmm")&amp;"_"&amp;TEXT(AC$1,"yyyy")),MATCH(TRIM($A136),BS_Accounts,0))</f>
        <v>0</v>
      </c>
      <c r="AD136" s="76">
        <f t="array" ref="AD136">INDEX(INDIRECT("BS_"&amp;TEXT(AD$1,"mmm")&amp;"_"&amp;TEXT(AD$1,"yyyy")),MATCH(TRIM($A136),BS_Accounts,0))</f>
        <v>0</v>
      </c>
      <c r="AE136" s="76">
        <f t="array" ref="AE136">INDEX(INDIRECT("BS_"&amp;TEXT(AE$1,"mmm")&amp;"_"&amp;TEXT(AE$1,"yyyy")),MATCH(TRIM($A136),BS_Accounts,0))</f>
        <v>0</v>
      </c>
      <c r="AF136" s="96">
        <f t="shared" ref="AF136:BW136" si="71">$B136</f>
        <v>0</v>
      </c>
      <c r="AG136" s="96">
        <f t="shared" si="71"/>
        <v>0</v>
      </c>
      <c r="AH136" s="96">
        <f t="shared" si="71"/>
        <v>0</v>
      </c>
      <c r="AI136" s="96">
        <f t="shared" si="71"/>
        <v>0</v>
      </c>
      <c r="AJ136" s="96">
        <f t="shared" si="71"/>
        <v>0</v>
      </c>
      <c r="AK136" s="96">
        <f t="shared" si="71"/>
        <v>0</v>
      </c>
      <c r="AL136" s="96">
        <f t="shared" si="71"/>
        <v>0</v>
      </c>
      <c r="AM136" s="96">
        <f t="shared" si="71"/>
        <v>0</v>
      </c>
      <c r="AN136" s="96">
        <f t="shared" si="71"/>
        <v>0</v>
      </c>
      <c r="AO136" s="96">
        <f t="shared" si="71"/>
        <v>0</v>
      </c>
      <c r="AP136" s="96">
        <f t="shared" si="71"/>
        <v>0</v>
      </c>
      <c r="AQ136" s="96">
        <f t="shared" si="71"/>
        <v>0</v>
      </c>
      <c r="AR136" s="96">
        <f t="shared" si="71"/>
        <v>0</v>
      </c>
      <c r="AS136" s="96">
        <f t="shared" si="71"/>
        <v>0</v>
      </c>
      <c r="AT136" s="96">
        <f t="shared" si="71"/>
        <v>0</v>
      </c>
      <c r="AU136" s="96">
        <f t="shared" si="71"/>
        <v>0</v>
      </c>
      <c r="AV136" s="96">
        <f t="shared" si="71"/>
        <v>0</v>
      </c>
      <c r="AW136" s="96">
        <f t="shared" si="71"/>
        <v>0</v>
      </c>
      <c r="AX136" s="96">
        <f t="shared" si="71"/>
        <v>0</v>
      </c>
      <c r="AY136" s="96">
        <f t="shared" si="71"/>
        <v>0</v>
      </c>
      <c r="AZ136" s="96">
        <f t="shared" si="71"/>
        <v>0</v>
      </c>
      <c r="BA136" s="96">
        <f t="shared" si="71"/>
        <v>0</v>
      </c>
      <c r="BB136" s="96">
        <f t="shared" si="71"/>
        <v>0</v>
      </c>
      <c r="BC136" s="96">
        <f t="shared" si="71"/>
        <v>0</v>
      </c>
      <c r="BD136" s="96">
        <f t="shared" si="71"/>
        <v>0</v>
      </c>
      <c r="BE136" s="96">
        <f t="shared" si="71"/>
        <v>0</v>
      </c>
      <c r="BF136" s="96">
        <f t="shared" si="71"/>
        <v>0</v>
      </c>
      <c r="BG136" s="96">
        <f t="shared" si="71"/>
        <v>0</v>
      </c>
      <c r="BH136" s="96">
        <f t="shared" si="71"/>
        <v>0</v>
      </c>
      <c r="BI136" s="96">
        <f t="shared" si="71"/>
        <v>0</v>
      </c>
      <c r="BJ136" s="96">
        <f t="shared" si="71"/>
        <v>0</v>
      </c>
      <c r="BK136" s="96">
        <f t="shared" si="71"/>
        <v>0</v>
      </c>
      <c r="BL136" s="96">
        <f t="shared" si="71"/>
        <v>0</v>
      </c>
      <c r="BM136" s="96">
        <f t="shared" si="71"/>
        <v>0</v>
      </c>
      <c r="BN136" s="96">
        <f t="shared" si="71"/>
        <v>0</v>
      </c>
      <c r="BO136" s="96">
        <f t="shared" si="71"/>
        <v>0</v>
      </c>
      <c r="BP136" s="96">
        <f t="shared" si="71"/>
        <v>0</v>
      </c>
      <c r="BQ136" s="96">
        <f t="shared" si="71"/>
        <v>0</v>
      </c>
      <c r="BR136" s="96">
        <f t="shared" si="71"/>
        <v>0</v>
      </c>
      <c r="BS136" s="96">
        <f t="shared" si="71"/>
        <v>0</v>
      </c>
      <c r="BT136" s="96">
        <f t="shared" si="71"/>
        <v>0</v>
      </c>
      <c r="BU136" s="96">
        <f t="shared" si="71"/>
        <v>0</v>
      </c>
      <c r="BV136" s="96">
        <f t="shared" si="71"/>
        <v>0</v>
      </c>
      <c r="BW136" s="96">
        <f t="shared" si="71"/>
        <v>0</v>
      </c>
    </row>
    <row r="137" ht="15.75" customHeight="1">
      <c r="A137" s="1" t="s">
        <v>356</v>
      </c>
      <c r="B137" s="160"/>
      <c r="D137" s="76"/>
      <c r="E137" s="76"/>
      <c r="F137" s="76"/>
      <c r="G137" s="76"/>
      <c r="H137" s="76"/>
      <c r="I137" s="76"/>
      <c r="J137" s="76"/>
      <c r="K137" s="76"/>
      <c r="L137" s="76"/>
      <c r="M137" s="76"/>
      <c r="N137" s="76"/>
      <c r="O137" s="76"/>
      <c r="P137" s="76"/>
      <c r="Q137" s="76"/>
      <c r="R137" s="76"/>
      <c r="S137" s="76"/>
      <c r="T137" s="76"/>
      <c r="U137" s="76"/>
      <c r="V137" s="76"/>
      <c r="W137" s="76"/>
      <c r="X137" s="76"/>
      <c r="Y137" s="76"/>
      <c r="Z137" s="76"/>
      <c r="AA137" s="76"/>
      <c r="AB137" s="76"/>
      <c r="AC137" s="76"/>
      <c r="AD137" s="76"/>
      <c r="AE137" s="76"/>
      <c r="AF137" s="39" t="str">
        <f t="array" ref="AF137">_xludf.IFNA(INDEX(Loans_Forgivable_Loan_Nonforgivable_Balance,MATCH(AF$1,Loans_Months,0)),0)</f>
        <v>#NAME?</v>
      </c>
      <c r="AG137" s="39" t="str">
        <f t="array" ref="AG137">_xludf.IFNA(INDEX(Loans_Forgivable_Loan_Nonforgivable_Balance,MATCH(AG$1,Loans_Months,0)),0)</f>
        <v>#NAME?</v>
      </c>
      <c r="AH137" s="39" t="str">
        <f t="array" ref="AH137">_xludf.IFNA(INDEX(Loans_Forgivable_Loan_Nonforgivable_Balance,MATCH(AH$1,Loans_Months,0)),0)</f>
        <v>#NAME?</v>
      </c>
      <c r="AI137" s="39" t="str">
        <f t="array" ref="AI137">_xludf.IFNA(INDEX(Loans_Forgivable_Loan_Nonforgivable_Balance,MATCH(AI$1,Loans_Months,0)),0)</f>
        <v>#NAME?</v>
      </c>
      <c r="AJ137" s="39" t="str">
        <f t="array" ref="AJ137">_xludf.IFNA(INDEX(Loans_Forgivable_Loan_Nonforgivable_Balance,MATCH(AJ$1,Loans_Months,0)),0)</f>
        <v>#NAME?</v>
      </c>
      <c r="AK137" s="39" t="str">
        <f t="array" ref="AK137">_xludf.IFNA(INDEX(Loans_Forgivable_Loan_Nonforgivable_Balance,MATCH(AK$1,Loans_Months,0)),0)</f>
        <v>#NAME?</v>
      </c>
      <c r="AL137" s="39" t="str">
        <f t="array" ref="AL137">_xludf.IFNA(INDEX(Loans_Forgivable_Loan_Nonforgivable_Balance,MATCH(AL$1,Loans_Months,0)),0)</f>
        <v>#NAME?</v>
      </c>
      <c r="AM137" s="39" t="str">
        <f t="array" ref="AM137">_xludf.IFNA(INDEX(Loans_Forgivable_Loan_Nonforgivable_Balance,MATCH(AM$1,Loans_Months,0)),0)</f>
        <v>#NAME?</v>
      </c>
      <c r="AN137" s="39" t="str">
        <f t="array" ref="AN137">_xludf.IFNA(INDEX(Loans_Forgivable_Loan_Nonforgivable_Balance,MATCH(AN$1,Loans_Months,0)),0)</f>
        <v>#NAME?</v>
      </c>
      <c r="AO137" s="39" t="str">
        <f t="array" ref="AO137">_xludf.IFNA(INDEX(Loans_Forgivable_Loan_Nonforgivable_Balance,MATCH(AO$1,Loans_Months,0)),0)</f>
        <v>#NAME?</v>
      </c>
      <c r="AP137" s="39" t="str">
        <f t="array" ref="AP137">_xludf.IFNA(INDEX(Loans_Forgivable_Loan_Nonforgivable_Balance,MATCH(AP$1,Loans_Months,0)),0)</f>
        <v>#NAME?</v>
      </c>
      <c r="AQ137" s="39" t="str">
        <f t="array" ref="AQ137">_xludf.IFNA(INDEX(Loans_Forgivable_Loan_Nonforgivable_Balance,MATCH(AQ$1,Loans_Months,0)),0)</f>
        <v>#NAME?</v>
      </c>
      <c r="AR137" s="39" t="str">
        <f t="array" ref="AR137">_xludf.IFNA(INDEX(Loans_Forgivable_Loan_Nonforgivable_Balance,MATCH(AR$1,Loans_Months,0)),0)</f>
        <v>#NAME?</v>
      </c>
      <c r="AS137" s="39" t="str">
        <f t="array" ref="AS137">_xludf.IFNA(INDEX(Loans_Forgivable_Loan_Nonforgivable_Balance,MATCH(AS$1,Loans_Months,0)),0)</f>
        <v>#NAME?</v>
      </c>
      <c r="AT137" s="39" t="str">
        <f t="array" ref="AT137">_xludf.IFNA(INDEX(Loans_Forgivable_Loan_Nonforgivable_Balance,MATCH(AT$1,Loans_Months,0)),0)</f>
        <v>#NAME?</v>
      </c>
      <c r="AU137" s="39" t="str">
        <f t="array" ref="AU137">_xludf.IFNA(INDEX(Loans_Forgivable_Loan_Nonforgivable_Balance,MATCH(AU$1,Loans_Months,0)),0)</f>
        <v>#NAME?</v>
      </c>
      <c r="AV137" s="39" t="str">
        <f t="array" ref="AV137">_xludf.IFNA(INDEX(Loans_Forgivable_Loan_Nonforgivable_Balance,MATCH(AV$1,Loans_Months,0)),0)</f>
        <v>#NAME?</v>
      </c>
      <c r="AW137" s="39" t="str">
        <f t="array" ref="AW137">_xludf.IFNA(INDEX(Loans_Forgivable_Loan_Nonforgivable_Balance,MATCH(AW$1,Loans_Months,0)),0)</f>
        <v>#NAME?</v>
      </c>
      <c r="AX137" s="39" t="str">
        <f t="array" ref="AX137">_xludf.IFNA(INDEX(Loans_Forgivable_Loan_Nonforgivable_Balance,MATCH(AX$1,Loans_Months,0)),0)</f>
        <v>#NAME?</v>
      </c>
      <c r="AY137" s="39" t="str">
        <f t="array" ref="AY137">_xludf.IFNA(INDEX(Loans_Forgivable_Loan_Nonforgivable_Balance,MATCH(AY$1,Loans_Months,0)),0)</f>
        <v>#NAME?</v>
      </c>
      <c r="AZ137" s="39" t="str">
        <f t="array" ref="AZ137">_xludf.IFNA(INDEX(Loans_Forgivable_Loan_Nonforgivable_Balance,MATCH(AZ$1,Loans_Months,0)),0)</f>
        <v>#NAME?</v>
      </c>
      <c r="BA137" s="39" t="str">
        <f t="array" ref="BA137">_xludf.IFNA(INDEX(Loans_Forgivable_Loan_Nonforgivable_Balance,MATCH(BA$1,Loans_Months,0)),0)</f>
        <v>#NAME?</v>
      </c>
      <c r="BB137" s="39" t="str">
        <f t="array" ref="BB137">_xludf.IFNA(INDEX(Loans_Forgivable_Loan_Nonforgivable_Balance,MATCH(BB$1,Loans_Months,0)),0)</f>
        <v>#NAME?</v>
      </c>
      <c r="BC137" s="39" t="str">
        <f t="array" ref="BC137">_xludf.IFNA(INDEX(Loans_Forgivable_Loan_Nonforgivable_Balance,MATCH(BC$1,Loans_Months,0)),0)</f>
        <v>#NAME?</v>
      </c>
      <c r="BD137" s="39" t="str">
        <f t="array" ref="BD137">_xludf.IFNA(INDEX(Loans_Forgivable_Loan_Nonforgivable_Balance,MATCH(BD$1,Loans_Months,0)),0)</f>
        <v>#NAME?</v>
      </c>
      <c r="BE137" s="39" t="str">
        <f t="array" ref="BE137">_xludf.IFNA(INDEX(Loans_Forgivable_Loan_Nonforgivable_Balance,MATCH(BE$1,Loans_Months,0)),0)</f>
        <v>#NAME?</v>
      </c>
      <c r="BF137" s="39" t="str">
        <f t="array" ref="BF137">_xludf.IFNA(INDEX(Loans_Forgivable_Loan_Nonforgivable_Balance,MATCH(BF$1,Loans_Months,0)),0)</f>
        <v>#NAME?</v>
      </c>
      <c r="BG137" s="39" t="str">
        <f t="array" ref="BG137">_xludf.IFNA(INDEX(Loans_Forgivable_Loan_Nonforgivable_Balance,MATCH(BG$1,Loans_Months,0)),0)</f>
        <v>#NAME?</v>
      </c>
      <c r="BH137" s="39" t="str">
        <f t="array" ref="BH137">_xludf.IFNA(INDEX(Loans_Forgivable_Loan_Nonforgivable_Balance,MATCH(BH$1,Loans_Months,0)),0)</f>
        <v>#NAME?</v>
      </c>
      <c r="BI137" s="39" t="str">
        <f t="array" ref="BI137">_xludf.IFNA(INDEX(Loans_Forgivable_Loan_Nonforgivable_Balance,MATCH(BI$1,Loans_Months,0)),0)</f>
        <v>#NAME?</v>
      </c>
      <c r="BJ137" s="39" t="str">
        <f t="array" ref="BJ137">_xludf.IFNA(INDEX(Loans_Forgivable_Loan_Nonforgivable_Balance,MATCH(BJ$1,Loans_Months,0)),0)</f>
        <v>#NAME?</v>
      </c>
      <c r="BK137" s="39" t="str">
        <f t="array" ref="BK137">_xludf.IFNA(INDEX(Loans_Forgivable_Loan_Nonforgivable_Balance,MATCH(BK$1,Loans_Months,0)),0)</f>
        <v>#NAME?</v>
      </c>
      <c r="BL137" s="39" t="str">
        <f t="array" ref="BL137">_xludf.IFNA(INDEX(Loans_Forgivable_Loan_Nonforgivable_Balance,MATCH(BL$1,Loans_Months,0)),0)</f>
        <v>#NAME?</v>
      </c>
      <c r="BM137" s="39" t="str">
        <f t="array" ref="BM137">_xludf.IFNA(INDEX(Loans_Forgivable_Loan_Nonforgivable_Balance,MATCH(BM$1,Loans_Months,0)),0)</f>
        <v>#NAME?</v>
      </c>
      <c r="BN137" s="39" t="str">
        <f t="array" ref="BN137">_xludf.IFNA(INDEX(Loans_Forgivable_Loan_Nonforgivable_Balance,MATCH(BN$1,Loans_Months,0)),0)</f>
        <v>#NAME?</v>
      </c>
      <c r="BO137" s="39" t="str">
        <f t="array" ref="BO137">_xludf.IFNA(INDEX(Loans_Forgivable_Loan_Nonforgivable_Balance,MATCH(BO$1,Loans_Months,0)),0)</f>
        <v>#NAME?</v>
      </c>
      <c r="BP137" s="39" t="str">
        <f t="array" ref="BP137">_xludf.IFNA(INDEX(Loans_Forgivable_Loan_Nonforgivable_Balance,MATCH(BP$1,Loans_Months,0)),0)</f>
        <v>#NAME?</v>
      </c>
      <c r="BQ137" s="39" t="str">
        <f t="array" ref="BQ137">_xludf.IFNA(INDEX(Loans_Forgivable_Loan_Nonforgivable_Balance,MATCH(BQ$1,Loans_Months,0)),0)</f>
        <v>#NAME?</v>
      </c>
      <c r="BR137" s="39" t="str">
        <f t="array" ref="BR137">_xludf.IFNA(INDEX(Loans_Forgivable_Loan_Nonforgivable_Balance,MATCH(BR$1,Loans_Months,0)),0)</f>
        <v>#NAME?</v>
      </c>
      <c r="BS137" s="39" t="str">
        <f t="array" ref="BS137">_xludf.IFNA(INDEX(Loans_Forgivable_Loan_Nonforgivable_Balance,MATCH(BS$1,Loans_Months,0)),0)</f>
        <v>#NAME?</v>
      </c>
      <c r="BT137" s="39" t="str">
        <f t="array" ref="BT137">_xludf.IFNA(INDEX(Loans_Forgivable_Loan_Nonforgivable_Balance,MATCH(BT$1,Loans_Months,0)),0)</f>
        <v>#NAME?</v>
      </c>
      <c r="BU137" s="39" t="str">
        <f t="array" ref="BU137">_xludf.IFNA(INDEX(Loans_Forgivable_Loan_Nonforgivable_Balance,MATCH(BU$1,Loans_Months,0)),0)</f>
        <v>#NAME?</v>
      </c>
      <c r="BV137" s="39" t="str">
        <f t="array" ref="BV137">_xludf.IFNA(INDEX(Loans_Forgivable_Loan_Nonforgivable_Balance,MATCH(BV$1,Loans_Months,0)),0)</f>
        <v>#NAME?</v>
      </c>
      <c r="BW137" s="39" t="str">
        <f t="array" ref="BW137">_xludf.IFNA(INDEX(Loans_Forgivable_Loan_Nonforgivable_Balance,MATCH(BW$1,Loans_Months,0)),0)</f>
        <v>#NAME?</v>
      </c>
    </row>
    <row r="138" ht="15.75" customHeight="1">
      <c r="A138" s="1" t="s">
        <v>357</v>
      </c>
      <c r="B138" s="160"/>
      <c r="D138" s="76"/>
      <c r="E138" s="76"/>
      <c r="F138" s="76"/>
      <c r="G138" s="76"/>
      <c r="H138" s="76"/>
      <c r="I138" s="76"/>
      <c r="J138" s="76"/>
      <c r="K138" s="76"/>
      <c r="L138" s="76"/>
      <c r="M138" s="76"/>
      <c r="N138" s="76"/>
      <c r="O138" s="76"/>
      <c r="P138" s="76"/>
      <c r="Q138" s="76"/>
      <c r="R138" s="76"/>
      <c r="S138" s="76"/>
      <c r="T138" s="76"/>
      <c r="U138" s="76"/>
      <c r="V138" s="76"/>
      <c r="W138" s="76"/>
      <c r="X138" s="76"/>
      <c r="Y138" s="76"/>
      <c r="Z138" s="76"/>
      <c r="AA138" s="76"/>
      <c r="AB138" s="76"/>
      <c r="AC138" s="76"/>
      <c r="AD138" s="76"/>
      <c r="AE138" s="76"/>
      <c r="AF138" s="39" t="str">
        <f t="array" ref="AF138">_xludf.IFNA(INDEX(Loans_Standard_Loan_Balance,MATCH(AF$1,Loans_Months,0)),0)</f>
        <v>#NAME?</v>
      </c>
      <c r="AG138" s="39" t="str">
        <f t="array" ref="AG138">_xludf.IFNA(INDEX(Loans_Standard_Loan_Balance,MATCH(AG$1,Loans_Months,0)),0)</f>
        <v>#NAME?</v>
      </c>
      <c r="AH138" s="39" t="str">
        <f t="array" ref="AH138">_xludf.IFNA(INDEX(Loans_Standard_Loan_Balance,MATCH(AH$1,Loans_Months,0)),0)</f>
        <v>#NAME?</v>
      </c>
      <c r="AI138" s="39" t="str">
        <f t="array" ref="AI138">_xludf.IFNA(INDEX(Loans_Standard_Loan_Balance,MATCH(AI$1,Loans_Months,0)),0)</f>
        <v>#NAME?</v>
      </c>
      <c r="AJ138" s="39" t="str">
        <f t="array" ref="AJ138">_xludf.IFNA(INDEX(Loans_Standard_Loan_Balance,MATCH(AJ$1,Loans_Months,0)),0)</f>
        <v>#NAME?</v>
      </c>
      <c r="AK138" s="39" t="str">
        <f t="array" ref="AK138">_xludf.IFNA(INDEX(Loans_Standard_Loan_Balance,MATCH(AK$1,Loans_Months,0)),0)</f>
        <v>#NAME?</v>
      </c>
      <c r="AL138" s="39" t="str">
        <f t="array" ref="AL138">_xludf.IFNA(INDEX(Loans_Standard_Loan_Balance,MATCH(AL$1,Loans_Months,0)),0)</f>
        <v>#NAME?</v>
      </c>
      <c r="AM138" s="39" t="str">
        <f t="array" ref="AM138">_xludf.IFNA(INDEX(Loans_Standard_Loan_Balance,MATCH(AM$1,Loans_Months,0)),0)</f>
        <v>#NAME?</v>
      </c>
      <c r="AN138" s="39" t="str">
        <f t="array" ref="AN138">_xludf.IFNA(INDEX(Loans_Standard_Loan_Balance,MATCH(AN$1,Loans_Months,0)),0)</f>
        <v>#NAME?</v>
      </c>
      <c r="AO138" s="39" t="str">
        <f t="array" ref="AO138">_xludf.IFNA(INDEX(Loans_Standard_Loan_Balance,MATCH(AO$1,Loans_Months,0)),0)</f>
        <v>#NAME?</v>
      </c>
      <c r="AP138" s="39" t="str">
        <f t="array" ref="AP138">_xludf.IFNA(INDEX(Loans_Standard_Loan_Balance,MATCH(AP$1,Loans_Months,0)),0)</f>
        <v>#NAME?</v>
      </c>
      <c r="AQ138" s="39" t="str">
        <f t="array" ref="AQ138">_xludf.IFNA(INDEX(Loans_Standard_Loan_Balance,MATCH(AQ$1,Loans_Months,0)),0)</f>
        <v>#NAME?</v>
      </c>
      <c r="AR138" s="39" t="str">
        <f t="array" ref="AR138">_xludf.IFNA(INDEX(Loans_Standard_Loan_Balance,MATCH(AR$1,Loans_Months,0)),0)</f>
        <v>#NAME?</v>
      </c>
      <c r="AS138" s="39" t="str">
        <f t="array" ref="AS138">_xludf.IFNA(INDEX(Loans_Standard_Loan_Balance,MATCH(AS$1,Loans_Months,0)),0)</f>
        <v>#NAME?</v>
      </c>
      <c r="AT138" s="39" t="str">
        <f t="array" ref="AT138">_xludf.IFNA(INDEX(Loans_Standard_Loan_Balance,MATCH(AT$1,Loans_Months,0)),0)</f>
        <v>#NAME?</v>
      </c>
      <c r="AU138" s="39" t="str">
        <f t="array" ref="AU138">_xludf.IFNA(INDEX(Loans_Standard_Loan_Balance,MATCH(AU$1,Loans_Months,0)),0)</f>
        <v>#NAME?</v>
      </c>
      <c r="AV138" s="39" t="str">
        <f t="array" ref="AV138">_xludf.IFNA(INDEX(Loans_Standard_Loan_Balance,MATCH(AV$1,Loans_Months,0)),0)</f>
        <v>#NAME?</v>
      </c>
      <c r="AW138" s="39" t="str">
        <f t="array" ref="AW138">_xludf.IFNA(INDEX(Loans_Standard_Loan_Balance,MATCH(AW$1,Loans_Months,0)),0)</f>
        <v>#NAME?</v>
      </c>
      <c r="AX138" s="39" t="str">
        <f t="array" ref="AX138">_xludf.IFNA(INDEX(Loans_Standard_Loan_Balance,MATCH(AX$1,Loans_Months,0)),0)</f>
        <v>#NAME?</v>
      </c>
      <c r="AY138" s="39" t="str">
        <f t="array" ref="AY138">_xludf.IFNA(INDEX(Loans_Standard_Loan_Balance,MATCH(AY$1,Loans_Months,0)),0)</f>
        <v>#NAME?</v>
      </c>
      <c r="AZ138" s="39" t="str">
        <f t="array" ref="AZ138">_xludf.IFNA(INDEX(Loans_Standard_Loan_Balance,MATCH(AZ$1,Loans_Months,0)),0)</f>
        <v>#NAME?</v>
      </c>
      <c r="BA138" s="39" t="str">
        <f t="array" ref="BA138">_xludf.IFNA(INDEX(Loans_Standard_Loan_Balance,MATCH(BA$1,Loans_Months,0)),0)</f>
        <v>#NAME?</v>
      </c>
      <c r="BB138" s="39" t="str">
        <f t="array" ref="BB138">_xludf.IFNA(INDEX(Loans_Standard_Loan_Balance,MATCH(BB$1,Loans_Months,0)),0)</f>
        <v>#NAME?</v>
      </c>
      <c r="BC138" s="39" t="str">
        <f t="array" ref="BC138">_xludf.IFNA(INDEX(Loans_Standard_Loan_Balance,MATCH(BC$1,Loans_Months,0)),0)</f>
        <v>#NAME?</v>
      </c>
      <c r="BD138" s="39" t="str">
        <f t="array" ref="BD138">_xludf.IFNA(INDEX(Loans_Standard_Loan_Balance,MATCH(BD$1,Loans_Months,0)),0)</f>
        <v>#NAME?</v>
      </c>
      <c r="BE138" s="39" t="str">
        <f t="array" ref="BE138">_xludf.IFNA(INDEX(Loans_Standard_Loan_Balance,MATCH(BE$1,Loans_Months,0)),0)</f>
        <v>#NAME?</v>
      </c>
      <c r="BF138" s="39" t="str">
        <f t="array" ref="BF138">_xludf.IFNA(INDEX(Loans_Standard_Loan_Balance,MATCH(BF$1,Loans_Months,0)),0)</f>
        <v>#NAME?</v>
      </c>
      <c r="BG138" s="39" t="str">
        <f t="array" ref="BG138">_xludf.IFNA(INDEX(Loans_Standard_Loan_Balance,MATCH(BG$1,Loans_Months,0)),0)</f>
        <v>#NAME?</v>
      </c>
      <c r="BH138" s="39" t="str">
        <f t="array" ref="BH138">_xludf.IFNA(INDEX(Loans_Standard_Loan_Balance,MATCH(BH$1,Loans_Months,0)),0)</f>
        <v>#NAME?</v>
      </c>
      <c r="BI138" s="39" t="str">
        <f t="array" ref="BI138">_xludf.IFNA(INDEX(Loans_Standard_Loan_Balance,MATCH(BI$1,Loans_Months,0)),0)</f>
        <v>#NAME?</v>
      </c>
      <c r="BJ138" s="39" t="str">
        <f t="array" ref="BJ138">_xludf.IFNA(INDEX(Loans_Standard_Loan_Balance,MATCH(BJ$1,Loans_Months,0)),0)</f>
        <v>#NAME?</v>
      </c>
      <c r="BK138" s="39" t="str">
        <f t="array" ref="BK138">_xludf.IFNA(INDEX(Loans_Standard_Loan_Balance,MATCH(BK$1,Loans_Months,0)),0)</f>
        <v>#NAME?</v>
      </c>
      <c r="BL138" s="39" t="str">
        <f t="array" ref="BL138">_xludf.IFNA(INDEX(Loans_Standard_Loan_Balance,MATCH(BL$1,Loans_Months,0)),0)</f>
        <v>#NAME?</v>
      </c>
      <c r="BM138" s="39" t="str">
        <f t="array" ref="BM138">_xludf.IFNA(INDEX(Loans_Standard_Loan_Balance,MATCH(BM$1,Loans_Months,0)),0)</f>
        <v>#NAME?</v>
      </c>
      <c r="BN138" s="39" t="str">
        <f t="array" ref="BN138">_xludf.IFNA(INDEX(Loans_Standard_Loan_Balance,MATCH(BN$1,Loans_Months,0)),0)</f>
        <v>#NAME?</v>
      </c>
      <c r="BO138" s="39" t="str">
        <f t="array" ref="BO138">_xludf.IFNA(INDEX(Loans_Standard_Loan_Balance,MATCH(BO$1,Loans_Months,0)),0)</f>
        <v>#NAME?</v>
      </c>
      <c r="BP138" s="39" t="str">
        <f t="array" ref="BP138">_xludf.IFNA(INDEX(Loans_Standard_Loan_Balance,MATCH(BP$1,Loans_Months,0)),0)</f>
        <v>#NAME?</v>
      </c>
      <c r="BQ138" s="39" t="str">
        <f t="array" ref="BQ138">_xludf.IFNA(INDEX(Loans_Standard_Loan_Balance,MATCH(BQ$1,Loans_Months,0)),0)</f>
        <v>#NAME?</v>
      </c>
      <c r="BR138" s="39" t="str">
        <f t="array" ref="BR138">_xludf.IFNA(INDEX(Loans_Standard_Loan_Balance,MATCH(BR$1,Loans_Months,0)),0)</f>
        <v>#NAME?</v>
      </c>
      <c r="BS138" s="39" t="str">
        <f t="array" ref="BS138">_xludf.IFNA(INDEX(Loans_Standard_Loan_Balance,MATCH(BS$1,Loans_Months,0)),0)</f>
        <v>#NAME?</v>
      </c>
      <c r="BT138" s="39" t="str">
        <f t="array" ref="BT138">_xludf.IFNA(INDEX(Loans_Standard_Loan_Balance,MATCH(BT$1,Loans_Months,0)),0)</f>
        <v>#NAME?</v>
      </c>
      <c r="BU138" s="39" t="str">
        <f t="array" ref="BU138">_xludf.IFNA(INDEX(Loans_Standard_Loan_Balance,MATCH(BU$1,Loans_Months,0)),0)</f>
        <v>#NAME?</v>
      </c>
      <c r="BV138" s="39" t="str">
        <f t="array" ref="BV138">_xludf.IFNA(INDEX(Loans_Standard_Loan_Balance,MATCH(BV$1,Loans_Months,0)),0)</f>
        <v>#NAME?</v>
      </c>
      <c r="BW138" s="39" t="str">
        <f t="array" ref="BW138">_xludf.IFNA(INDEX(Loans_Standard_Loan_Balance,MATCH(BW$1,Loans_Months,0)),0)</f>
        <v>#NAME?</v>
      </c>
    </row>
    <row r="139" ht="15.75" customHeight="1">
      <c r="A139" s="21" t="s">
        <v>358</v>
      </c>
      <c r="B139" s="163"/>
      <c r="C139" s="21"/>
      <c r="D139" s="147">
        <f t="shared" ref="D139:BW139" si="72">SUM(D134:D138)</f>
        <v>1050000</v>
      </c>
      <c r="E139" s="147">
        <f t="shared" si="72"/>
        <v>1150000</v>
      </c>
      <c r="F139" s="147">
        <f t="shared" si="72"/>
        <v>1150000</v>
      </c>
      <c r="G139" s="147">
        <f t="shared" si="72"/>
        <v>1150000</v>
      </c>
      <c r="H139" s="147">
        <f t="shared" si="72"/>
        <v>1150000</v>
      </c>
      <c r="I139" s="147">
        <f t="shared" si="72"/>
        <v>1150000</v>
      </c>
      <c r="J139" s="147">
        <f t="shared" si="72"/>
        <v>1150000</v>
      </c>
      <c r="K139" s="147">
        <f t="shared" si="72"/>
        <v>1150000</v>
      </c>
      <c r="L139" s="147">
        <f t="shared" si="72"/>
        <v>1150000</v>
      </c>
      <c r="M139" s="147">
        <f t="shared" si="72"/>
        <v>1750000</v>
      </c>
      <c r="N139" s="147">
        <f t="shared" si="72"/>
        <v>1750000</v>
      </c>
      <c r="O139" s="147">
        <f t="shared" si="72"/>
        <v>1750000</v>
      </c>
      <c r="P139" s="147">
        <f t="shared" si="72"/>
        <v>2250000</v>
      </c>
      <c r="Q139" s="147">
        <f t="shared" si="72"/>
        <v>2250000</v>
      </c>
      <c r="R139" s="147">
        <f t="shared" si="72"/>
        <v>2250000</v>
      </c>
      <c r="S139" s="147">
        <f t="shared" si="72"/>
        <v>2250000</v>
      </c>
      <c r="T139" s="147">
        <f t="shared" si="72"/>
        <v>2550000</v>
      </c>
      <c r="U139" s="147">
        <f t="shared" si="72"/>
        <v>2550000</v>
      </c>
      <c r="V139" s="147">
        <f t="shared" si="72"/>
        <v>2550000</v>
      </c>
      <c r="W139" s="147">
        <f t="shared" si="72"/>
        <v>2550000</v>
      </c>
      <c r="X139" s="147">
        <f t="shared" si="72"/>
        <v>2550000</v>
      </c>
      <c r="Y139" s="147">
        <f t="shared" si="72"/>
        <v>2850000</v>
      </c>
      <c r="Z139" s="147">
        <f t="shared" si="72"/>
        <v>2850000</v>
      </c>
      <c r="AA139" s="147">
        <f t="shared" si="72"/>
        <v>2850000</v>
      </c>
      <c r="AB139" s="147">
        <f t="shared" si="72"/>
        <v>2850000</v>
      </c>
      <c r="AC139" s="147">
        <f t="shared" si="72"/>
        <v>2850000</v>
      </c>
      <c r="AD139" s="147">
        <f t="shared" si="72"/>
        <v>2850000</v>
      </c>
      <c r="AE139" s="147">
        <f t="shared" si="72"/>
        <v>2850000</v>
      </c>
      <c r="AF139" s="147" t="str">
        <f t="shared" si="72"/>
        <v>#NAME?</v>
      </c>
      <c r="AG139" s="147" t="str">
        <f t="shared" si="72"/>
        <v>#NAME?</v>
      </c>
      <c r="AH139" s="147" t="str">
        <f t="shared" si="72"/>
        <v>#NAME?</v>
      </c>
      <c r="AI139" s="147" t="str">
        <f t="shared" si="72"/>
        <v>#NAME?</v>
      </c>
      <c r="AJ139" s="147" t="str">
        <f t="shared" si="72"/>
        <v>#NAME?</v>
      </c>
      <c r="AK139" s="147" t="str">
        <f t="shared" si="72"/>
        <v>#NAME?</v>
      </c>
      <c r="AL139" s="147" t="str">
        <f t="shared" si="72"/>
        <v>#NAME?</v>
      </c>
      <c r="AM139" s="147" t="str">
        <f t="shared" si="72"/>
        <v>#NAME?</v>
      </c>
      <c r="AN139" s="147" t="str">
        <f t="shared" si="72"/>
        <v>#NAME?</v>
      </c>
      <c r="AO139" s="147" t="str">
        <f t="shared" si="72"/>
        <v>#NAME?</v>
      </c>
      <c r="AP139" s="147" t="str">
        <f t="shared" si="72"/>
        <v>#NAME?</v>
      </c>
      <c r="AQ139" s="147" t="str">
        <f t="shared" si="72"/>
        <v>#NAME?</v>
      </c>
      <c r="AR139" s="147" t="str">
        <f t="shared" si="72"/>
        <v>#NAME?</v>
      </c>
      <c r="AS139" s="147" t="str">
        <f t="shared" si="72"/>
        <v>#NAME?</v>
      </c>
      <c r="AT139" s="147" t="str">
        <f t="shared" si="72"/>
        <v>#NAME?</v>
      </c>
      <c r="AU139" s="147" t="str">
        <f t="shared" si="72"/>
        <v>#NAME?</v>
      </c>
      <c r="AV139" s="147" t="str">
        <f t="shared" si="72"/>
        <v>#NAME?</v>
      </c>
      <c r="AW139" s="147" t="str">
        <f t="shared" si="72"/>
        <v>#NAME?</v>
      </c>
      <c r="AX139" s="147" t="str">
        <f t="shared" si="72"/>
        <v>#NAME?</v>
      </c>
      <c r="AY139" s="147" t="str">
        <f t="shared" si="72"/>
        <v>#NAME?</v>
      </c>
      <c r="AZ139" s="147" t="str">
        <f t="shared" si="72"/>
        <v>#NAME?</v>
      </c>
      <c r="BA139" s="147" t="str">
        <f t="shared" si="72"/>
        <v>#NAME?</v>
      </c>
      <c r="BB139" s="147" t="str">
        <f t="shared" si="72"/>
        <v>#NAME?</v>
      </c>
      <c r="BC139" s="147" t="str">
        <f t="shared" si="72"/>
        <v>#NAME?</v>
      </c>
      <c r="BD139" s="147" t="str">
        <f t="shared" si="72"/>
        <v>#NAME?</v>
      </c>
      <c r="BE139" s="147" t="str">
        <f t="shared" si="72"/>
        <v>#NAME?</v>
      </c>
      <c r="BF139" s="147" t="str">
        <f t="shared" si="72"/>
        <v>#NAME?</v>
      </c>
      <c r="BG139" s="147" t="str">
        <f t="shared" si="72"/>
        <v>#NAME?</v>
      </c>
      <c r="BH139" s="147" t="str">
        <f t="shared" si="72"/>
        <v>#NAME?</v>
      </c>
      <c r="BI139" s="147" t="str">
        <f t="shared" si="72"/>
        <v>#NAME?</v>
      </c>
      <c r="BJ139" s="147" t="str">
        <f t="shared" si="72"/>
        <v>#NAME?</v>
      </c>
      <c r="BK139" s="147" t="str">
        <f t="shared" si="72"/>
        <v>#NAME?</v>
      </c>
      <c r="BL139" s="147" t="str">
        <f t="shared" si="72"/>
        <v>#NAME?</v>
      </c>
      <c r="BM139" s="147" t="str">
        <f t="shared" si="72"/>
        <v>#NAME?</v>
      </c>
      <c r="BN139" s="147" t="str">
        <f t="shared" si="72"/>
        <v>#NAME?</v>
      </c>
      <c r="BO139" s="147" t="str">
        <f t="shared" si="72"/>
        <v>#NAME?</v>
      </c>
      <c r="BP139" s="147" t="str">
        <f t="shared" si="72"/>
        <v>#NAME?</v>
      </c>
      <c r="BQ139" s="147" t="str">
        <f t="shared" si="72"/>
        <v>#NAME?</v>
      </c>
      <c r="BR139" s="147" t="str">
        <f t="shared" si="72"/>
        <v>#NAME?</v>
      </c>
      <c r="BS139" s="147" t="str">
        <f t="shared" si="72"/>
        <v>#NAME?</v>
      </c>
      <c r="BT139" s="147" t="str">
        <f t="shared" si="72"/>
        <v>#NAME?</v>
      </c>
      <c r="BU139" s="147" t="str">
        <f t="shared" si="72"/>
        <v>#NAME?</v>
      </c>
      <c r="BV139" s="147" t="str">
        <f t="shared" si="72"/>
        <v>#NAME?</v>
      </c>
      <c r="BW139" s="147" t="str">
        <f t="shared" si="72"/>
        <v>#NAME?</v>
      </c>
    </row>
    <row r="140" ht="15.75" customHeight="1">
      <c r="A140" s="31" t="s">
        <v>244</v>
      </c>
      <c r="B140" s="159"/>
      <c r="D140" s="76">
        <f t="array" ref="D140">INDEX(INDIRECT("BS_"&amp;TEXT(D$1,"mmm")&amp;"_"&amp;TEXT(D$1,"yyyy")),MATCH(TRIM($A139),BS_Accounts,0))-D139</f>
        <v>0</v>
      </c>
      <c r="E140" s="76">
        <f t="array" ref="E140">INDEX(INDIRECT("BS_"&amp;TEXT(E$1,"mmm")&amp;"_"&amp;TEXT(E$1,"yyyy")),MATCH(TRIM($A139),BS_Accounts,0))-E139</f>
        <v>0</v>
      </c>
      <c r="F140" s="76">
        <f t="array" ref="F140">INDEX(INDIRECT("BS_"&amp;TEXT(F$1,"mmm")&amp;"_"&amp;TEXT(F$1,"yyyy")),MATCH(TRIM($A139),BS_Accounts,0))-F139</f>
        <v>0</v>
      </c>
      <c r="G140" s="76">
        <f t="array" ref="G140">INDEX(INDIRECT("BS_"&amp;TEXT(G$1,"mmm")&amp;"_"&amp;TEXT(G$1,"yyyy")),MATCH(TRIM($A139),BS_Accounts,0))-G139</f>
        <v>0</v>
      </c>
      <c r="H140" s="76">
        <f t="array" ref="H140">INDEX(INDIRECT("BS_"&amp;TEXT(H$1,"mmm")&amp;"_"&amp;TEXT(H$1,"yyyy")),MATCH(TRIM($A139),BS_Accounts,0))-H139</f>
        <v>0</v>
      </c>
      <c r="I140" s="76">
        <f t="array" ref="I140">INDEX(INDIRECT("BS_"&amp;TEXT(I$1,"mmm")&amp;"_"&amp;TEXT(I$1,"yyyy")),MATCH(TRIM($A139),BS_Accounts,0))-I139</f>
        <v>0</v>
      </c>
      <c r="J140" s="76">
        <f t="array" ref="J140">INDEX(INDIRECT("BS_"&amp;TEXT(J$1,"mmm")&amp;"_"&amp;TEXT(J$1,"yyyy")),MATCH(TRIM($A139),BS_Accounts,0))-J139</f>
        <v>0</v>
      </c>
      <c r="K140" s="76">
        <f t="array" ref="K140">INDEX(INDIRECT("BS_"&amp;TEXT(K$1,"mmm")&amp;"_"&amp;TEXT(K$1,"yyyy")),MATCH(TRIM($A139),BS_Accounts,0))-K139</f>
        <v>0</v>
      </c>
      <c r="L140" s="76">
        <f t="array" ref="L140">INDEX(INDIRECT("BS_"&amp;TEXT(L$1,"mmm")&amp;"_"&amp;TEXT(L$1,"yyyy")),MATCH(TRIM($A139),BS_Accounts,0))-L139</f>
        <v>0</v>
      </c>
      <c r="M140" s="76">
        <f t="array" ref="M140">INDEX(INDIRECT("BS_"&amp;TEXT(M$1,"mmm")&amp;"_"&amp;TEXT(M$1,"yyyy")),MATCH(TRIM($A139),BS_Accounts,0))-M139</f>
        <v>0</v>
      </c>
      <c r="N140" s="76">
        <f t="array" ref="N140">INDEX(INDIRECT("BS_"&amp;TEXT(N$1,"mmm")&amp;"_"&amp;TEXT(N$1,"yyyy")),MATCH(TRIM($A139),BS_Accounts,0))-N139</f>
        <v>0</v>
      </c>
      <c r="O140" s="76">
        <f t="array" ref="O140">INDEX(INDIRECT("BS_"&amp;TEXT(O$1,"mmm")&amp;"_"&amp;TEXT(O$1,"yyyy")),MATCH(TRIM($A139),BS_Accounts,0))-O139</f>
        <v>0</v>
      </c>
      <c r="P140" s="76">
        <f t="array" ref="P140">INDEX(INDIRECT("BS_"&amp;TEXT(P$1,"mmm")&amp;"_"&amp;TEXT(P$1,"yyyy")),MATCH(TRIM($A139),BS_Accounts,0))-P139</f>
        <v>0</v>
      </c>
      <c r="Q140" s="76">
        <f t="array" ref="Q140">INDEX(INDIRECT("BS_"&amp;TEXT(Q$1,"mmm")&amp;"_"&amp;TEXT(Q$1,"yyyy")),MATCH(TRIM($A139),BS_Accounts,0))-Q139</f>
        <v>0</v>
      </c>
      <c r="R140" s="76">
        <f t="array" ref="R140">INDEX(INDIRECT("BS_"&amp;TEXT(R$1,"mmm")&amp;"_"&amp;TEXT(R$1,"yyyy")),MATCH(TRIM($A139),BS_Accounts,0))-R139</f>
        <v>0</v>
      </c>
      <c r="S140" s="76">
        <f t="array" ref="S140">INDEX(INDIRECT("BS_"&amp;TEXT(S$1,"mmm")&amp;"_"&amp;TEXT(S$1,"yyyy")),MATCH(TRIM($A139),BS_Accounts,0))-S139</f>
        <v>0</v>
      </c>
      <c r="T140" s="76">
        <f t="array" ref="T140">INDEX(INDIRECT("BS_"&amp;TEXT(T$1,"mmm")&amp;"_"&amp;TEXT(T$1,"yyyy")),MATCH(TRIM($A139),BS_Accounts,0))-T139</f>
        <v>0</v>
      </c>
      <c r="U140" s="76">
        <f t="array" ref="U140">INDEX(INDIRECT("BS_"&amp;TEXT(U$1,"mmm")&amp;"_"&amp;TEXT(U$1,"yyyy")),MATCH(TRIM($A139),BS_Accounts,0))-U139</f>
        <v>0</v>
      </c>
      <c r="V140" s="76">
        <f t="array" ref="V140">INDEX(INDIRECT("BS_"&amp;TEXT(V$1,"mmm")&amp;"_"&amp;TEXT(V$1,"yyyy")),MATCH(TRIM($A139),BS_Accounts,0))-V139</f>
        <v>0</v>
      </c>
      <c r="W140" s="76">
        <f t="array" ref="W140">INDEX(INDIRECT("BS_"&amp;TEXT(W$1,"mmm")&amp;"_"&amp;TEXT(W$1,"yyyy")),MATCH(TRIM($A139),BS_Accounts,0))-W139</f>
        <v>0</v>
      </c>
      <c r="X140" s="76">
        <f t="array" ref="X140">INDEX(INDIRECT("BS_"&amp;TEXT(X$1,"mmm")&amp;"_"&amp;TEXT(X$1,"yyyy")),MATCH(TRIM($A139),BS_Accounts,0))-X139</f>
        <v>0</v>
      </c>
      <c r="Y140" s="76">
        <f t="array" ref="Y140">INDEX(INDIRECT("BS_"&amp;TEXT(Y$1,"mmm")&amp;"_"&amp;TEXT(Y$1,"yyyy")),MATCH(TRIM($A139),BS_Accounts,0))-Y139</f>
        <v>0</v>
      </c>
      <c r="Z140" s="76">
        <f t="array" ref="Z140">INDEX(INDIRECT("BS_"&amp;TEXT(Z$1,"mmm")&amp;"_"&amp;TEXT(Z$1,"yyyy")),MATCH(TRIM($A139),BS_Accounts,0))-Z139</f>
        <v>0</v>
      </c>
      <c r="AA140" s="76">
        <f t="array" ref="AA140">INDEX(INDIRECT("BS_"&amp;TEXT(AA$1,"mmm")&amp;"_"&amp;TEXT(AA$1,"yyyy")),MATCH(TRIM($A139),BS_Accounts,0))-AA139</f>
        <v>0</v>
      </c>
      <c r="AB140" s="76">
        <f t="array" ref="AB140">INDEX(INDIRECT("BS_"&amp;TEXT(AB$1,"mmm")&amp;"_"&amp;TEXT(AB$1,"yyyy")),MATCH(TRIM($A139),BS_Accounts,0))-AB139</f>
        <v>0</v>
      </c>
      <c r="AC140" s="76">
        <f t="array" ref="AC140">INDEX(INDIRECT("BS_"&amp;TEXT(AC$1,"mmm")&amp;"_"&amp;TEXT(AC$1,"yyyy")),MATCH(TRIM($A139),BS_Accounts,0))-AC139</f>
        <v>0</v>
      </c>
      <c r="AD140" s="76">
        <f t="array" ref="AD140">INDEX(INDIRECT("BS_"&amp;TEXT(AD$1,"mmm")&amp;"_"&amp;TEXT(AD$1,"yyyy")),MATCH(TRIM($A139),BS_Accounts,0))-AD139</f>
        <v>0</v>
      </c>
      <c r="AE140" s="76">
        <f t="array" ref="AE140">INDEX(INDIRECT("BS_"&amp;TEXT(AE$1,"mmm")&amp;"_"&amp;TEXT(AE$1,"yyyy")),MATCH(TRIM($A139),BS_Accounts,0))-AE139</f>
        <v>0</v>
      </c>
    </row>
    <row r="141" ht="15.75" customHeight="1">
      <c r="A141" s="21" t="s">
        <v>359</v>
      </c>
      <c r="B141" s="163"/>
      <c r="C141" s="21"/>
      <c r="D141" s="147">
        <f t="shared" ref="D141:BW141" si="73">SUM(D139,D131)</f>
        <v>1050118</v>
      </c>
      <c r="E141" s="147">
        <f t="shared" si="73"/>
        <v>1147892</v>
      </c>
      <c r="F141" s="147">
        <f t="shared" si="73"/>
        <v>1147892</v>
      </c>
      <c r="G141" s="147">
        <f t="shared" si="73"/>
        <v>1147892</v>
      </c>
      <c r="H141" s="147">
        <f t="shared" si="73"/>
        <v>1147892</v>
      </c>
      <c r="I141" s="147">
        <f t="shared" si="73"/>
        <v>1147892</v>
      </c>
      <c r="J141" s="147">
        <f t="shared" si="73"/>
        <v>1147892</v>
      </c>
      <c r="K141" s="147">
        <f t="shared" si="73"/>
        <v>1147892</v>
      </c>
      <c r="L141" s="147">
        <f t="shared" si="73"/>
        <v>1147892</v>
      </c>
      <c r="M141" s="147">
        <f t="shared" si="73"/>
        <v>1747892</v>
      </c>
      <c r="N141" s="147">
        <f t="shared" si="73"/>
        <v>1747892</v>
      </c>
      <c r="O141" s="147">
        <f t="shared" si="73"/>
        <v>1747892</v>
      </c>
      <c r="P141" s="147">
        <f t="shared" si="73"/>
        <v>2247892</v>
      </c>
      <c r="Q141" s="147">
        <f t="shared" si="73"/>
        <v>2247892</v>
      </c>
      <c r="R141" s="147">
        <f t="shared" si="73"/>
        <v>2247892</v>
      </c>
      <c r="S141" s="147">
        <f t="shared" si="73"/>
        <v>2247892</v>
      </c>
      <c r="T141" s="147">
        <f t="shared" si="73"/>
        <v>2547892</v>
      </c>
      <c r="U141" s="147">
        <f t="shared" si="73"/>
        <v>2547892</v>
      </c>
      <c r="V141" s="147">
        <f t="shared" si="73"/>
        <v>2547892</v>
      </c>
      <c r="W141" s="147">
        <f t="shared" si="73"/>
        <v>2547892</v>
      </c>
      <c r="X141" s="147">
        <f t="shared" si="73"/>
        <v>2547892</v>
      </c>
      <c r="Y141" s="147">
        <f t="shared" si="73"/>
        <v>2847892</v>
      </c>
      <c r="Z141" s="147">
        <f t="shared" si="73"/>
        <v>2847892</v>
      </c>
      <c r="AA141" s="147">
        <f t="shared" si="73"/>
        <v>2847892</v>
      </c>
      <c r="AB141" s="147">
        <f t="shared" si="73"/>
        <v>2847892</v>
      </c>
      <c r="AC141" s="147">
        <f t="shared" si="73"/>
        <v>2847892</v>
      </c>
      <c r="AD141" s="147">
        <f t="shared" si="73"/>
        <v>2847892</v>
      </c>
      <c r="AE141" s="147">
        <f t="shared" si="73"/>
        <v>2847892</v>
      </c>
      <c r="AF141" s="147" t="str">
        <f t="shared" si="73"/>
        <v>#NAME?</v>
      </c>
      <c r="AG141" s="147" t="str">
        <f t="shared" si="73"/>
        <v>#NAME?</v>
      </c>
      <c r="AH141" s="147" t="str">
        <f t="shared" si="73"/>
        <v>#NAME?</v>
      </c>
      <c r="AI141" s="147" t="str">
        <f t="shared" si="73"/>
        <v>#NAME?</v>
      </c>
      <c r="AJ141" s="147" t="str">
        <f t="shared" si="73"/>
        <v>#NAME?</v>
      </c>
      <c r="AK141" s="147" t="str">
        <f t="shared" si="73"/>
        <v>#NAME?</v>
      </c>
      <c r="AL141" s="147" t="str">
        <f t="shared" si="73"/>
        <v>#NAME?</v>
      </c>
      <c r="AM141" s="147" t="str">
        <f t="shared" si="73"/>
        <v>#NAME?</v>
      </c>
      <c r="AN141" s="147" t="str">
        <f t="shared" si="73"/>
        <v>#NAME?</v>
      </c>
      <c r="AO141" s="147" t="str">
        <f t="shared" si="73"/>
        <v>#NAME?</v>
      </c>
      <c r="AP141" s="147" t="str">
        <f t="shared" si="73"/>
        <v>#NAME?</v>
      </c>
      <c r="AQ141" s="147" t="str">
        <f t="shared" si="73"/>
        <v>#NAME?</v>
      </c>
      <c r="AR141" s="147" t="str">
        <f t="shared" si="73"/>
        <v>#NAME?</v>
      </c>
      <c r="AS141" s="147" t="str">
        <f t="shared" si="73"/>
        <v>#NAME?</v>
      </c>
      <c r="AT141" s="147" t="str">
        <f t="shared" si="73"/>
        <v>#NAME?</v>
      </c>
      <c r="AU141" s="147" t="str">
        <f t="shared" si="73"/>
        <v>#NAME?</v>
      </c>
      <c r="AV141" s="147" t="str">
        <f t="shared" si="73"/>
        <v>#NAME?</v>
      </c>
      <c r="AW141" s="147" t="str">
        <f t="shared" si="73"/>
        <v>#NAME?</v>
      </c>
      <c r="AX141" s="147" t="str">
        <f t="shared" si="73"/>
        <v>#NAME?</v>
      </c>
      <c r="AY141" s="147" t="str">
        <f t="shared" si="73"/>
        <v>#NAME?</v>
      </c>
      <c r="AZ141" s="147" t="str">
        <f t="shared" si="73"/>
        <v>#NAME?</v>
      </c>
      <c r="BA141" s="147" t="str">
        <f t="shared" si="73"/>
        <v>#NAME?</v>
      </c>
      <c r="BB141" s="147" t="str">
        <f t="shared" si="73"/>
        <v>#NAME?</v>
      </c>
      <c r="BC141" s="147" t="str">
        <f t="shared" si="73"/>
        <v>#NAME?</v>
      </c>
      <c r="BD141" s="147" t="str">
        <f t="shared" si="73"/>
        <v>#NAME?</v>
      </c>
      <c r="BE141" s="147" t="str">
        <f t="shared" si="73"/>
        <v>#NAME?</v>
      </c>
      <c r="BF141" s="147" t="str">
        <f t="shared" si="73"/>
        <v>#NAME?</v>
      </c>
      <c r="BG141" s="147" t="str">
        <f t="shared" si="73"/>
        <v>#NAME?</v>
      </c>
      <c r="BH141" s="147" t="str">
        <f t="shared" si="73"/>
        <v>#NAME?</v>
      </c>
      <c r="BI141" s="147" t="str">
        <f t="shared" si="73"/>
        <v>#NAME?</v>
      </c>
      <c r="BJ141" s="147" t="str">
        <f t="shared" si="73"/>
        <v>#NAME?</v>
      </c>
      <c r="BK141" s="147" t="str">
        <f t="shared" si="73"/>
        <v>#NAME?</v>
      </c>
      <c r="BL141" s="147" t="str">
        <f t="shared" si="73"/>
        <v>#NAME?</v>
      </c>
      <c r="BM141" s="147" t="str">
        <f t="shared" si="73"/>
        <v>#NAME?</v>
      </c>
      <c r="BN141" s="147" t="str">
        <f t="shared" si="73"/>
        <v>#NAME?</v>
      </c>
      <c r="BO141" s="147" t="str">
        <f t="shared" si="73"/>
        <v>#NAME?</v>
      </c>
      <c r="BP141" s="21" t="str">
        <f t="shared" si="73"/>
        <v>#NAME?</v>
      </c>
      <c r="BQ141" s="21" t="str">
        <f t="shared" si="73"/>
        <v>#NAME?</v>
      </c>
      <c r="BR141" s="21" t="str">
        <f t="shared" si="73"/>
        <v>#NAME?</v>
      </c>
      <c r="BS141" s="21" t="str">
        <f t="shared" si="73"/>
        <v>#NAME?</v>
      </c>
      <c r="BT141" s="21" t="str">
        <f t="shared" si="73"/>
        <v>#NAME?</v>
      </c>
      <c r="BU141" s="21" t="str">
        <f t="shared" si="73"/>
        <v>#NAME?</v>
      </c>
      <c r="BV141" s="21" t="str">
        <f t="shared" si="73"/>
        <v>#NAME?</v>
      </c>
      <c r="BW141" s="21" t="str">
        <f t="shared" si="73"/>
        <v>#NAME?</v>
      </c>
    </row>
    <row r="142" ht="15.75" customHeight="1">
      <c r="A142" s="31" t="s">
        <v>244</v>
      </c>
      <c r="B142" s="159"/>
      <c r="D142" s="76">
        <f t="array" ref="D142">INDEX(INDIRECT("BS_"&amp;TEXT(D$1,"mmm")&amp;"_"&amp;TEXT(D$1,"yyyy")),MATCH(TRIM($A141),BS_Accounts,0))-D141</f>
        <v>0</v>
      </c>
      <c r="E142" s="76">
        <f t="array" ref="E142">INDEX(INDIRECT("BS_"&amp;TEXT(E$1,"mmm")&amp;"_"&amp;TEXT(E$1,"yyyy")),MATCH(TRIM($A141),BS_Accounts,0))-E141</f>
        <v>0</v>
      </c>
      <c r="F142" s="76">
        <f t="array" ref="F142">INDEX(INDIRECT("BS_"&amp;TEXT(F$1,"mmm")&amp;"_"&amp;TEXT(F$1,"yyyy")),MATCH(TRIM($A141),BS_Accounts,0))-F141</f>
        <v>0</v>
      </c>
      <c r="G142" s="76">
        <f t="array" ref="G142">INDEX(INDIRECT("BS_"&amp;TEXT(G$1,"mmm")&amp;"_"&amp;TEXT(G$1,"yyyy")),MATCH(TRIM($A141),BS_Accounts,0))-G141</f>
        <v>0</v>
      </c>
      <c r="H142" s="76">
        <f t="array" ref="H142">INDEX(INDIRECT("BS_"&amp;TEXT(H$1,"mmm")&amp;"_"&amp;TEXT(H$1,"yyyy")),MATCH(TRIM($A141),BS_Accounts,0))-H141</f>
        <v>0</v>
      </c>
      <c r="I142" s="76">
        <f t="array" ref="I142">INDEX(INDIRECT("BS_"&amp;TEXT(I$1,"mmm")&amp;"_"&amp;TEXT(I$1,"yyyy")),MATCH(TRIM($A141),BS_Accounts,0))-I141</f>
        <v>0</v>
      </c>
      <c r="J142" s="76">
        <f t="array" ref="J142">INDEX(INDIRECT("BS_"&amp;TEXT(J$1,"mmm")&amp;"_"&amp;TEXT(J$1,"yyyy")),MATCH(TRIM($A141),BS_Accounts,0))-J141</f>
        <v>0</v>
      </c>
      <c r="K142" s="76">
        <f t="array" ref="K142">INDEX(INDIRECT("BS_"&amp;TEXT(K$1,"mmm")&amp;"_"&amp;TEXT(K$1,"yyyy")),MATCH(TRIM($A141),BS_Accounts,0))-K141</f>
        <v>0</v>
      </c>
      <c r="L142" s="76">
        <f t="array" ref="L142">INDEX(INDIRECT("BS_"&amp;TEXT(L$1,"mmm")&amp;"_"&amp;TEXT(L$1,"yyyy")),MATCH(TRIM($A141),BS_Accounts,0))-L141</f>
        <v>0</v>
      </c>
      <c r="M142" s="76">
        <f t="array" ref="M142">INDEX(INDIRECT("BS_"&amp;TEXT(M$1,"mmm")&amp;"_"&amp;TEXT(M$1,"yyyy")),MATCH(TRIM($A141),BS_Accounts,0))-M141</f>
        <v>0</v>
      </c>
      <c r="N142" s="76">
        <f t="array" ref="N142">INDEX(INDIRECT("BS_"&amp;TEXT(N$1,"mmm")&amp;"_"&amp;TEXT(N$1,"yyyy")),MATCH(TRIM($A141),BS_Accounts,0))-N141</f>
        <v>0</v>
      </c>
      <c r="O142" s="76">
        <f t="array" ref="O142">INDEX(INDIRECT("BS_"&amp;TEXT(O$1,"mmm")&amp;"_"&amp;TEXT(O$1,"yyyy")),MATCH(TRIM($A141),BS_Accounts,0))-O141</f>
        <v>0</v>
      </c>
      <c r="P142" s="76">
        <f t="array" ref="P142">INDEX(INDIRECT("BS_"&amp;TEXT(P$1,"mmm")&amp;"_"&amp;TEXT(P$1,"yyyy")),MATCH(TRIM($A141),BS_Accounts,0))-P141</f>
        <v>0</v>
      </c>
      <c r="Q142" s="76">
        <f t="array" ref="Q142">INDEX(INDIRECT("BS_"&amp;TEXT(Q$1,"mmm")&amp;"_"&amp;TEXT(Q$1,"yyyy")),MATCH(TRIM($A141),BS_Accounts,0))-Q141</f>
        <v>0</v>
      </c>
      <c r="R142" s="76">
        <f t="array" ref="R142">INDEX(INDIRECT("BS_"&amp;TEXT(R$1,"mmm")&amp;"_"&amp;TEXT(R$1,"yyyy")),MATCH(TRIM($A141),BS_Accounts,0))-R141</f>
        <v>0</v>
      </c>
      <c r="S142" s="76">
        <f t="array" ref="S142">INDEX(INDIRECT("BS_"&amp;TEXT(S$1,"mmm")&amp;"_"&amp;TEXT(S$1,"yyyy")),MATCH(TRIM($A141),BS_Accounts,0))-S141</f>
        <v>0</v>
      </c>
      <c r="T142" s="76">
        <f t="array" ref="T142">INDEX(INDIRECT("BS_"&amp;TEXT(T$1,"mmm")&amp;"_"&amp;TEXT(T$1,"yyyy")),MATCH(TRIM($A141),BS_Accounts,0))-T141</f>
        <v>0</v>
      </c>
      <c r="U142" s="76">
        <f t="array" ref="U142">INDEX(INDIRECT("BS_"&amp;TEXT(U$1,"mmm")&amp;"_"&amp;TEXT(U$1,"yyyy")),MATCH(TRIM($A141),BS_Accounts,0))-U141</f>
        <v>0</v>
      </c>
      <c r="V142" s="76">
        <f t="array" ref="V142">INDEX(INDIRECT("BS_"&amp;TEXT(V$1,"mmm")&amp;"_"&amp;TEXT(V$1,"yyyy")),MATCH(TRIM($A141),BS_Accounts,0))-V141</f>
        <v>0</v>
      </c>
      <c r="W142" s="76">
        <f t="array" ref="W142">INDEX(INDIRECT("BS_"&amp;TEXT(W$1,"mmm")&amp;"_"&amp;TEXT(W$1,"yyyy")),MATCH(TRIM($A141),BS_Accounts,0))-W141</f>
        <v>0</v>
      </c>
      <c r="X142" s="76">
        <f t="array" ref="X142">INDEX(INDIRECT("BS_"&amp;TEXT(X$1,"mmm")&amp;"_"&amp;TEXT(X$1,"yyyy")),MATCH(TRIM($A141),BS_Accounts,0))-X141</f>
        <v>0</v>
      </c>
      <c r="Y142" s="76">
        <f t="array" ref="Y142">INDEX(INDIRECT("BS_"&amp;TEXT(Y$1,"mmm")&amp;"_"&amp;TEXT(Y$1,"yyyy")),MATCH(TRIM($A141),BS_Accounts,0))-Y141</f>
        <v>0</v>
      </c>
      <c r="Z142" s="76">
        <f t="array" ref="Z142">INDEX(INDIRECT("BS_"&amp;TEXT(Z$1,"mmm")&amp;"_"&amp;TEXT(Z$1,"yyyy")),MATCH(TRIM($A141),BS_Accounts,0))-Z141</f>
        <v>0</v>
      </c>
      <c r="AA142" s="76">
        <f t="array" ref="AA142">INDEX(INDIRECT("BS_"&amp;TEXT(AA$1,"mmm")&amp;"_"&amp;TEXT(AA$1,"yyyy")),MATCH(TRIM($A141),BS_Accounts,0))-AA141</f>
        <v>0</v>
      </c>
      <c r="AB142" s="76">
        <f t="array" ref="AB142">INDEX(INDIRECT("BS_"&amp;TEXT(AB$1,"mmm")&amp;"_"&amp;TEXT(AB$1,"yyyy")),MATCH(TRIM($A141),BS_Accounts,0))-AB141</f>
        <v>0</v>
      </c>
      <c r="AC142" s="76">
        <f t="array" ref="AC142">INDEX(INDIRECT("BS_"&amp;TEXT(AC$1,"mmm")&amp;"_"&amp;TEXT(AC$1,"yyyy")),MATCH(TRIM($A141),BS_Accounts,0))-AC141</f>
        <v>0</v>
      </c>
      <c r="AD142" s="76">
        <f t="array" ref="AD142">INDEX(INDIRECT("BS_"&amp;TEXT(AD$1,"mmm")&amp;"_"&amp;TEXT(AD$1,"yyyy")),MATCH(TRIM($A141),BS_Accounts,0))-AD141</f>
        <v>0</v>
      </c>
      <c r="AE142" s="76">
        <f t="array" ref="AE142">INDEX(INDIRECT("BS_"&amp;TEXT(AE$1,"mmm")&amp;"_"&amp;TEXT(AE$1,"yyyy")),MATCH(TRIM($A141),BS_Accounts,0))-AE141</f>
        <v>0</v>
      </c>
    </row>
    <row r="143" ht="15.75" customHeight="1">
      <c r="A143" s="1" t="s">
        <v>360</v>
      </c>
      <c r="B143" s="159"/>
    </row>
    <row r="144" ht="15.75" customHeight="1">
      <c r="A144" s="1" t="s">
        <v>361</v>
      </c>
      <c r="B144" s="160">
        <f>AVERAGEIFS(144:144,$1:$1,"&gt;="&amp;DATE(YEAR(Current_Month),MONTH(Current_Month),DAY(Current_Month)),$1:$1,"&lt;="&amp;EOMONTH(Current_Month,0))</f>
        <v>0</v>
      </c>
      <c r="D144" s="76">
        <f t="array" ref="D144">INDEX(INDIRECT("BS_"&amp;TEXT(D$1,"mmm")&amp;"_"&amp;TEXT(D$1,"yyyy")),MATCH(TRIM($A144),BS_Accounts,0))</f>
        <v>0</v>
      </c>
      <c r="E144" s="76">
        <f t="array" ref="E144">INDEX(INDIRECT("BS_"&amp;TEXT(E$1,"mmm")&amp;"_"&amp;TEXT(E$1,"yyyy")),MATCH(TRIM($A144),BS_Accounts,0))</f>
        <v>0</v>
      </c>
      <c r="F144" s="76">
        <f t="array" ref="F144">INDEX(INDIRECT("BS_"&amp;TEXT(F$1,"mmm")&amp;"_"&amp;TEXT(F$1,"yyyy")),MATCH(TRIM($A144),BS_Accounts,0))</f>
        <v>0</v>
      </c>
      <c r="G144" s="76">
        <f t="array" ref="G144">INDEX(INDIRECT("BS_"&amp;TEXT(G$1,"mmm")&amp;"_"&amp;TEXT(G$1,"yyyy")),MATCH(TRIM($A144),BS_Accounts,0))</f>
        <v>0</v>
      </c>
      <c r="H144" s="76">
        <f t="array" ref="H144">INDEX(INDIRECT("BS_"&amp;TEXT(H$1,"mmm")&amp;"_"&amp;TEXT(H$1,"yyyy")),MATCH(TRIM($A144),BS_Accounts,0))</f>
        <v>0</v>
      </c>
      <c r="I144" s="76">
        <f t="array" ref="I144">INDEX(INDIRECT("BS_"&amp;TEXT(I$1,"mmm")&amp;"_"&amp;TEXT(I$1,"yyyy")),MATCH(TRIM($A144),BS_Accounts,0))</f>
        <v>0</v>
      </c>
      <c r="J144" s="76">
        <f t="array" ref="J144">INDEX(INDIRECT("BS_"&amp;TEXT(J$1,"mmm")&amp;"_"&amp;TEXT(J$1,"yyyy")),MATCH(TRIM($A144),BS_Accounts,0))</f>
        <v>0</v>
      </c>
      <c r="K144" s="76">
        <f t="array" ref="K144">INDEX(INDIRECT("BS_"&amp;TEXT(K$1,"mmm")&amp;"_"&amp;TEXT(K$1,"yyyy")),MATCH(TRIM($A144),BS_Accounts,0))</f>
        <v>0</v>
      </c>
      <c r="L144" s="76">
        <f t="array" ref="L144">INDEX(INDIRECT("BS_"&amp;TEXT(L$1,"mmm")&amp;"_"&amp;TEXT(L$1,"yyyy")),MATCH(TRIM($A144),BS_Accounts,0))</f>
        <v>0</v>
      </c>
      <c r="M144" s="76">
        <f t="array" ref="M144">INDEX(INDIRECT("BS_"&amp;TEXT(M$1,"mmm")&amp;"_"&amp;TEXT(M$1,"yyyy")),MATCH(TRIM($A144),BS_Accounts,0))</f>
        <v>0</v>
      </c>
      <c r="N144" s="76">
        <f t="array" ref="N144">INDEX(INDIRECT("BS_"&amp;TEXT(N$1,"mmm")&amp;"_"&amp;TEXT(N$1,"yyyy")),MATCH(TRIM($A144),BS_Accounts,0))</f>
        <v>0</v>
      </c>
      <c r="O144" s="76">
        <f t="array" ref="O144">INDEX(INDIRECT("BS_"&amp;TEXT(O$1,"mmm")&amp;"_"&amp;TEXT(O$1,"yyyy")),MATCH(TRIM($A144),BS_Accounts,0))</f>
        <v>0</v>
      </c>
      <c r="P144" s="76">
        <f t="array" ref="P144">INDEX(INDIRECT("BS_"&amp;TEXT(P$1,"mmm")&amp;"_"&amp;TEXT(P$1,"yyyy")),MATCH(TRIM($A144),BS_Accounts,0))</f>
        <v>0</v>
      </c>
      <c r="Q144" s="76">
        <f t="array" ref="Q144">INDEX(INDIRECT("BS_"&amp;TEXT(Q$1,"mmm")&amp;"_"&amp;TEXT(Q$1,"yyyy")),MATCH(TRIM($A144),BS_Accounts,0))</f>
        <v>0</v>
      </c>
      <c r="R144" s="76">
        <f t="array" ref="R144">INDEX(INDIRECT("BS_"&amp;TEXT(R$1,"mmm")&amp;"_"&amp;TEXT(R$1,"yyyy")),MATCH(TRIM($A144),BS_Accounts,0))</f>
        <v>0</v>
      </c>
      <c r="S144" s="76">
        <f t="array" ref="S144">INDEX(INDIRECT("BS_"&amp;TEXT(S$1,"mmm")&amp;"_"&amp;TEXT(S$1,"yyyy")),MATCH(TRIM($A144),BS_Accounts,0))</f>
        <v>0</v>
      </c>
      <c r="T144" s="76">
        <f t="array" ref="T144">INDEX(INDIRECT("BS_"&amp;TEXT(T$1,"mmm")&amp;"_"&amp;TEXT(T$1,"yyyy")),MATCH(TRIM($A144),BS_Accounts,0))</f>
        <v>0</v>
      </c>
      <c r="U144" s="76">
        <f t="array" ref="U144">INDEX(INDIRECT("BS_"&amp;TEXT(U$1,"mmm")&amp;"_"&amp;TEXT(U$1,"yyyy")),MATCH(TRIM($A144),BS_Accounts,0))</f>
        <v>0</v>
      </c>
      <c r="V144" s="76">
        <f t="array" ref="V144">INDEX(INDIRECT("BS_"&amp;TEXT(V$1,"mmm")&amp;"_"&amp;TEXT(V$1,"yyyy")),MATCH(TRIM($A144),BS_Accounts,0))</f>
        <v>0</v>
      </c>
      <c r="W144" s="76">
        <f t="array" ref="W144">INDEX(INDIRECT("BS_"&amp;TEXT(W$1,"mmm")&amp;"_"&amp;TEXT(W$1,"yyyy")),MATCH(TRIM($A144),BS_Accounts,0))</f>
        <v>0</v>
      </c>
      <c r="X144" s="76">
        <f t="array" ref="X144">INDEX(INDIRECT("BS_"&amp;TEXT(X$1,"mmm")&amp;"_"&amp;TEXT(X$1,"yyyy")),MATCH(TRIM($A144),BS_Accounts,0))</f>
        <v>0</v>
      </c>
      <c r="Y144" s="76">
        <f t="array" ref="Y144">INDEX(INDIRECT("BS_"&amp;TEXT(Y$1,"mmm")&amp;"_"&amp;TEXT(Y$1,"yyyy")),MATCH(TRIM($A144),BS_Accounts,0))</f>
        <v>0</v>
      </c>
      <c r="Z144" s="76">
        <f t="array" ref="Z144">INDEX(INDIRECT("BS_"&amp;TEXT(Z$1,"mmm")&amp;"_"&amp;TEXT(Z$1,"yyyy")),MATCH(TRIM($A144),BS_Accounts,0))</f>
        <v>0</v>
      </c>
      <c r="AA144" s="76">
        <f t="array" ref="AA144">INDEX(INDIRECT("BS_"&amp;TEXT(AA$1,"mmm")&amp;"_"&amp;TEXT(AA$1,"yyyy")),MATCH(TRIM($A144),BS_Accounts,0))</f>
        <v>0</v>
      </c>
      <c r="AB144" s="76">
        <f t="array" ref="AB144">INDEX(INDIRECT("BS_"&amp;TEXT(AB$1,"mmm")&amp;"_"&amp;TEXT(AB$1,"yyyy")),MATCH(TRIM($A144),BS_Accounts,0))</f>
        <v>0</v>
      </c>
      <c r="AC144" s="76">
        <f t="array" ref="AC144">INDEX(INDIRECT("BS_"&amp;TEXT(AC$1,"mmm")&amp;"_"&amp;TEXT(AC$1,"yyyy")),MATCH(TRIM($A144),BS_Accounts,0))</f>
        <v>0</v>
      </c>
      <c r="AD144" s="76">
        <f t="array" ref="AD144">INDEX(INDIRECT("BS_"&amp;TEXT(AD$1,"mmm")&amp;"_"&amp;TEXT(AD$1,"yyyy")),MATCH(TRIM($A144),BS_Accounts,0))</f>
        <v>0</v>
      </c>
      <c r="AE144" s="76">
        <f t="array" ref="AE144">INDEX(INDIRECT("BS_"&amp;TEXT(AE$1,"mmm")&amp;"_"&amp;TEXT(AE$1,"yyyy")),MATCH(TRIM($A144),BS_Accounts,0))</f>
        <v>0</v>
      </c>
      <c r="AF144" s="96">
        <f t="shared" ref="AF144:BW144" si="74">$B144</f>
        <v>0</v>
      </c>
      <c r="AG144" s="96">
        <f t="shared" si="74"/>
        <v>0</v>
      </c>
      <c r="AH144" s="96">
        <f t="shared" si="74"/>
        <v>0</v>
      </c>
      <c r="AI144" s="96">
        <f t="shared" si="74"/>
        <v>0</v>
      </c>
      <c r="AJ144" s="96">
        <f t="shared" si="74"/>
        <v>0</v>
      </c>
      <c r="AK144" s="96">
        <f t="shared" si="74"/>
        <v>0</v>
      </c>
      <c r="AL144" s="96">
        <f t="shared" si="74"/>
        <v>0</v>
      </c>
      <c r="AM144" s="96">
        <f t="shared" si="74"/>
        <v>0</v>
      </c>
      <c r="AN144" s="96">
        <f t="shared" si="74"/>
        <v>0</v>
      </c>
      <c r="AO144" s="96">
        <f t="shared" si="74"/>
        <v>0</v>
      </c>
      <c r="AP144" s="96">
        <f t="shared" si="74"/>
        <v>0</v>
      </c>
      <c r="AQ144" s="96">
        <f t="shared" si="74"/>
        <v>0</v>
      </c>
      <c r="AR144" s="96">
        <f t="shared" si="74"/>
        <v>0</v>
      </c>
      <c r="AS144" s="96">
        <f t="shared" si="74"/>
        <v>0</v>
      </c>
      <c r="AT144" s="96">
        <f t="shared" si="74"/>
        <v>0</v>
      </c>
      <c r="AU144" s="96">
        <f t="shared" si="74"/>
        <v>0</v>
      </c>
      <c r="AV144" s="96">
        <f t="shared" si="74"/>
        <v>0</v>
      </c>
      <c r="AW144" s="96">
        <f t="shared" si="74"/>
        <v>0</v>
      </c>
      <c r="AX144" s="96">
        <f t="shared" si="74"/>
        <v>0</v>
      </c>
      <c r="AY144" s="96">
        <f t="shared" si="74"/>
        <v>0</v>
      </c>
      <c r="AZ144" s="96">
        <f t="shared" si="74"/>
        <v>0</v>
      </c>
      <c r="BA144" s="96">
        <f t="shared" si="74"/>
        <v>0</v>
      </c>
      <c r="BB144" s="96">
        <f t="shared" si="74"/>
        <v>0</v>
      </c>
      <c r="BC144" s="96">
        <f t="shared" si="74"/>
        <v>0</v>
      </c>
      <c r="BD144" s="96">
        <f t="shared" si="74"/>
        <v>0</v>
      </c>
      <c r="BE144" s="96">
        <f t="shared" si="74"/>
        <v>0</v>
      </c>
      <c r="BF144" s="96">
        <f t="shared" si="74"/>
        <v>0</v>
      </c>
      <c r="BG144" s="96">
        <f t="shared" si="74"/>
        <v>0</v>
      </c>
      <c r="BH144" s="96">
        <f t="shared" si="74"/>
        <v>0</v>
      </c>
      <c r="BI144" s="96">
        <f t="shared" si="74"/>
        <v>0</v>
      </c>
      <c r="BJ144" s="96">
        <f t="shared" si="74"/>
        <v>0</v>
      </c>
      <c r="BK144" s="96">
        <f t="shared" si="74"/>
        <v>0</v>
      </c>
      <c r="BL144" s="96">
        <f t="shared" si="74"/>
        <v>0</v>
      </c>
      <c r="BM144" s="96">
        <f t="shared" si="74"/>
        <v>0</v>
      </c>
      <c r="BN144" s="96">
        <f t="shared" si="74"/>
        <v>0</v>
      </c>
      <c r="BO144" s="96">
        <f t="shared" si="74"/>
        <v>0</v>
      </c>
      <c r="BP144" s="96">
        <f t="shared" si="74"/>
        <v>0</v>
      </c>
      <c r="BQ144" s="96">
        <f t="shared" si="74"/>
        <v>0</v>
      </c>
      <c r="BR144" s="96">
        <f t="shared" si="74"/>
        <v>0</v>
      </c>
      <c r="BS144" s="96">
        <f t="shared" si="74"/>
        <v>0</v>
      </c>
      <c r="BT144" s="96">
        <f t="shared" si="74"/>
        <v>0</v>
      </c>
      <c r="BU144" s="96">
        <f t="shared" si="74"/>
        <v>0</v>
      </c>
      <c r="BV144" s="96">
        <f t="shared" si="74"/>
        <v>0</v>
      </c>
      <c r="BW144" s="96">
        <f t="shared" si="74"/>
        <v>0</v>
      </c>
    </row>
    <row r="145" ht="15.75" customHeight="1">
      <c r="A145" s="1" t="s">
        <v>362</v>
      </c>
      <c r="B145" s="160">
        <f>AVERAGEIFS(145:145,$1:$1,"&gt;="&amp;DATE(YEAR(Current_Month),MONTH(Current_Month),DAY(Current_Month)),$1:$1,"&lt;="&amp;EOMONTH(Current_Month,0))</f>
        <v>332421</v>
      </c>
      <c r="D145" s="76">
        <f t="array" ref="D145">INDEX(INDIRECT("BS_"&amp;TEXT(D$1,"mmm")&amp;"_"&amp;TEXT(D$1,"yyyy")),MATCH(TRIM($A145),BS_Accounts,0))</f>
        <v>332421</v>
      </c>
      <c r="E145" s="76">
        <f t="array" ref="E145">INDEX(INDIRECT("BS_"&amp;TEXT(E$1,"mmm")&amp;"_"&amp;TEXT(E$1,"yyyy")),MATCH(TRIM($A145),BS_Accounts,0))</f>
        <v>332421</v>
      </c>
      <c r="F145" s="76">
        <f t="array" ref="F145">INDEX(INDIRECT("BS_"&amp;TEXT(F$1,"mmm")&amp;"_"&amp;TEXT(F$1,"yyyy")),MATCH(TRIM($A145),BS_Accounts,0))</f>
        <v>332421</v>
      </c>
      <c r="G145" s="76">
        <f t="array" ref="G145">INDEX(INDIRECT("BS_"&amp;TEXT(G$1,"mmm")&amp;"_"&amp;TEXT(G$1,"yyyy")),MATCH(TRIM($A145),BS_Accounts,0))</f>
        <v>332421</v>
      </c>
      <c r="H145" s="76">
        <f t="array" ref="H145">INDEX(INDIRECT("BS_"&amp;TEXT(H$1,"mmm")&amp;"_"&amp;TEXT(H$1,"yyyy")),MATCH(TRIM($A145),BS_Accounts,0))</f>
        <v>332421</v>
      </c>
      <c r="I145" s="76">
        <f t="array" ref="I145">INDEX(INDIRECT("BS_"&amp;TEXT(I$1,"mmm")&amp;"_"&amp;TEXT(I$1,"yyyy")),MATCH(TRIM($A145),BS_Accounts,0))</f>
        <v>332421</v>
      </c>
      <c r="J145" s="76">
        <f t="array" ref="J145">INDEX(INDIRECT("BS_"&amp;TEXT(J$1,"mmm")&amp;"_"&amp;TEXT(J$1,"yyyy")),MATCH(TRIM($A145),BS_Accounts,0))</f>
        <v>332421</v>
      </c>
      <c r="K145" s="76">
        <f t="array" ref="K145">INDEX(INDIRECT("BS_"&amp;TEXT(K$1,"mmm")&amp;"_"&amp;TEXT(K$1,"yyyy")),MATCH(TRIM($A145),BS_Accounts,0))</f>
        <v>332421</v>
      </c>
      <c r="L145" s="76">
        <f t="array" ref="L145">INDEX(INDIRECT("BS_"&amp;TEXT(L$1,"mmm")&amp;"_"&amp;TEXT(L$1,"yyyy")),MATCH(TRIM($A145),BS_Accounts,0))</f>
        <v>332421</v>
      </c>
      <c r="M145" s="76">
        <f t="array" ref="M145">INDEX(INDIRECT("BS_"&amp;TEXT(M$1,"mmm")&amp;"_"&amp;TEXT(M$1,"yyyy")),MATCH(TRIM($A145),BS_Accounts,0))</f>
        <v>332421</v>
      </c>
      <c r="N145" s="76">
        <f t="array" ref="N145">INDEX(INDIRECT("BS_"&amp;TEXT(N$1,"mmm")&amp;"_"&amp;TEXT(N$1,"yyyy")),MATCH(TRIM($A145),BS_Accounts,0))</f>
        <v>332421</v>
      </c>
      <c r="O145" s="76">
        <f t="array" ref="O145">INDEX(INDIRECT("BS_"&amp;TEXT(O$1,"mmm")&amp;"_"&amp;TEXT(O$1,"yyyy")),MATCH(TRIM($A145),BS_Accounts,0))</f>
        <v>332421</v>
      </c>
      <c r="P145" s="76">
        <f t="array" ref="P145">INDEX(INDIRECT("BS_"&amp;TEXT(P$1,"mmm")&amp;"_"&amp;TEXT(P$1,"yyyy")),MATCH(TRIM($A145),BS_Accounts,0))</f>
        <v>332421</v>
      </c>
      <c r="Q145" s="76">
        <f t="array" ref="Q145">INDEX(INDIRECT("BS_"&amp;TEXT(Q$1,"mmm")&amp;"_"&amp;TEXT(Q$1,"yyyy")),MATCH(TRIM($A145),BS_Accounts,0))</f>
        <v>332421</v>
      </c>
      <c r="R145" s="76">
        <f t="array" ref="R145">INDEX(INDIRECT("BS_"&amp;TEXT(R$1,"mmm")&amp;"_"&amp;TEXT(R$1,"yyyy")),MATCH(TRIM($A145),BS_Accounts,0))</f>
        <v>332421</v>
      </c>
      <c r="S145" s="76">
        <f t="array" ref="S145">INDEX(INDIRECT("BS_"&amp;TEXT(S$1,"mmm")&amp;"_"&amp;TEXT(S$1,"yyyy")),MATCH(TRIM($A145),BS_Accounts,0))</f>
        <v>332421</v>
      </c>
      <c r="T145" s="76">
        <f t="array" ref="T145">INDEX(INDIRECT("BS_"&amp;TEXT(T$1,"mmm")&amp;"_"&amp;TEXT(T$1,"yyyy")),MATCH(TRIM($A145),BS_Accounts,0))</f>
        <v>332421</v>
      </c>
      <c r="U145" s="76">
        <f t="array" ref="U145">INDEX(INDIRECT("BS_"&amp;TEXT(U$1,"mmm")&amp;"_"&amp;TEXT(U$1,"yyyy")),MATCH(TRIM($A145),BS_Accounts,0))</f>
        <v>332421</v>
      </c>
      <c r="V145" s="76">
        <f t="array" ref="V145">INDEX(INDIRECT("BS_"&amp;TEXT(V$1,"mmm")&amp;"_"&amp;TEXT(V$1,"yyyy")),MATCH(TRIM($A145),BS_Accounts,0))</f>
        <v>332421</v>
      </c>
      <c r="W145" s="76">
        <f t="array" ref="W145">INDEX(INDIRECT("BS_"&amp;TEXT(W$1,"mmm")&amp;"_"&amp;TEXT(W$1,"yyyy")),MATCH(TRIM($A145),BS_Accounts,0))</f>
        <v>332421</v>
      </c>
      <c r="X145" s="76">
        <f t="array" ref="X145">INDEX(INDIRECT("BS_"&amp;TEXT(X$1,"mmm")&amp;"_"&amp;TEXT(X$1,"yyyy")),MATCH(TRIM($A145),BS_Accounts,0))</f>
        <v>332421</v>
      </c>
      <c r="Y145" s="76">
        <f t="array" ref="Y145">INDEX(INDIRECT("BS_"&amp;TEXT(Y$1,"mmm")&amp;"_"&amp;TEXT(Y$1,"yyyy")),MATCH(TRIM($A145),BS_Accounts,0))</f>
        <v>332421</v>
      </c>
      <c r="Z145" s="76">
        <f t="array" ref="Z145">INDEX(INDIRECT("BS_"&amp;TEXT(Z$1,"mmm")&amp;"_"&amp;TEXT(Z$1,"yyyy")),MATCH(TRIM($A145),BS_Accounts,0))</f>
        <v>332421</v>
      </c>
      <c r="AA145" s="76">
        <f t="array" ref="AA145">INDEX(INDIRECT("BS_"&amp;TEXT(AA$1,"mmm")&amp;"_"&amp;TEXT(AA$1,"yyyy")),MATCH(TRIM($A145),BS_Accounts,0))</f>
        <v>332421</v>
      </c>
      <c r="AB145" s="76">
        <f t="array" ref="AB145">INDEX(INDIRECT("BS_"&amp;TEXT(AB$1,"mmm")&amp;"_"&amp;TEXT(AB$1,"yyyy")),MATCH(TRIM($A145),BS_Accounts,0))</f>
        <v>332421</v>
      </c>
      <c r="AC145" s="76">
        <f t="array" ref="AC145">INDEX(INDIRECT("BS_"&amp;TEXT(AC$1,"mmm")&amp;"_"&amp;TEXT(AC$1,"yyyy")),MATCH(TRIM($A145),BS_Accounts,0))</f>
        <v>332421</v>
      </c>
      <c r="AD145" s="76">
        <f t="array" ref="AD145">INDEX(INDIRECT("BS_"&amp;TEXT(AD$1,"mmm")&amp;"_"&amp;TEXT(AD$1,"yyyy")),MATCH(TRIM($A145),BS_Accounts,0))</f>
        <v>332421</v>
      </c>
      <c r="AE145" s="76">
        <f t="array" ref="AE145">INDEX(INDIRECT("BS_"&amp;TEXT(AE$1,"mmm")&amp;"_"&amp;TEXT(AE$1,"yyyy")),MATCH(TRIM($A145),BS_Accounts,0))</f>
        <v>332421</v>
      </c>
      <c r="AF145" s="96">
        <f t="shared" ref="AF145:BW145" si="75">$B145</f>
        <v>332421</v>
      </c>
      <c r="AG145" s="96">
        <f t="shared" si="75"/>
        <v>332421</v>
      </c>
      <c r="AH145" s="96">
        <f t="shared" si="75"/>
        <v>332421</v>
      </c>
      <c r="AI145" s="96">
        <f t="shared" si="75"/>
        <v>332421</v>
      </c>
      <c r="AJ145" s="96">
        <f t="shared" si="75"/>
        <v>332421</v>
      </c>
      <c r="AK145" s="96">
        <f t="shared" si="75"/>
        <v>332421</v>
      </c>
      <c r="AL145" s="96">
        <f t="shared" si="75"/>
        <v>332421</v>
      </c>
      <c r="AM145" s="96">
        <f t="shared" si="75"/>
        <v>332421</v>
      </c>
      <c r="AN145" s="96">
        <f t="shared" si="75"/>
        <v>332421</v>
      </c>
      <c r="AO145" s="96">
        <f t="shared" si="75"/>
        <v>332421</v>
      </c>
      <c r="AP145" s="96">
        <f t="shared" si="75"/>
        <v>332421</v>
      </c>
      <c r="AQ145" s="96">
        <f t="shared" si="75"/>
        <v>332421</v>
      </c>
      <c r="AR145" s="96">
        <f t="shared" si="75"/>
        <v>332421</v>
      </c>
      <c r="AS145" s="96">
        <f t="shared" si="75"/>
        <v>332421</v>
      </c>
      <c r="AT145" s="96">
        <f t="shared" si="75"/>
        <v>332421</v>
      </c>
      <c r="AU145" s="96">
        <f t="shared" si="75"/>
        <v>332421</v>
      </c>
      <c r="AV145" s="96">
        <f t="shared" si="75"/>
        <v>332421</v>
      </c>
      <c r="AW145" s="96">
        <f t="shared" si="75"/>
        <v>332421</v>
      </c>
      <c r="AX145" s="96">
        <f t="shared" si="75"/>
        <v>332421</v>
      </c>
      <c r="AY145" s="96">
        <f t="shared" si="75"/>
        <v>332421</v>
      </c>
      <c r="AZ145" s="96">
        <f t="shared" si="75"/>
        <v>332421</v>
      </c>
      <c r="BA145" s="96">
        <f t="shared" si="75"/>
        <v>332421</v>
      </c>
      <c r="BB145" s="96">
        <f t="shared" si="75"/>
        <v>332421</v>
      </c>
      <c r="BC145" s="96">
        <f t="shared" si="75"/>
        <v>332421</v>
      </c>
      <c r="BD145" s="96">
        <f t="shared" si="75"/>
        <v>332421</v>
      </c>
      <c r="BE145" s="96">
        <f t="shared" si="75"/>
        <v>332421</v>
      </c>
      <c r="BF145" s="96">
        <f t="shared" si="75"/>
        <v>332421</v>
      </c>
      <c r="BG145" s="96">
        <f t="shared" si="75"/>
        <v>332421</v>
      </c>
      <c r="BH145" s="96">
        <f t="shared" si="75"/>
        <v>332421</v>
      </c>
      <c r="BI145" s="96">
        <f t="shared" si="75"/>
        <v>332421</v>
      </c>
      <c r="BJ145" s="96">
        <f t="shared" si="75"/>
        <v>332421</v>
      </c>
      <c r="BK145" s="96">
        <f t="shared" si="75"/>
        <v>332421</v>
      </c>
      <c r="BL145" s="96">
        <f t="shared" si="75"/>
        <v>332421</v>
      </c>
      <c r="BM145" s="96">
        <f t="shared" si="75"/>
        <v>332421</v>
      </c>
      <c r="BN145" s="96">
        <f t="shared" si="75"/>
        <v>332421</v>
      </c>
      <c r="BO145" s="96">
        <f t="shared" si="75"/>
        <v>332421</v>
      </c>
      <c r="BP145" s="96">
        <f t="shared" si="75"/>
        <v>332421</v>
      </c>
      <c r="BQ145" s="96">
        <f t="shared" si="75"/>
        <v>332421</v>
      </c>
      <c r="BR145" s="96">
        <f t="shared" si="75"/>
        <v>332421</v>
      </c>
      <c r="BS145" s="96">
        <f t="shared" si="75"/>
        <v>332421</v>
      </c>
      <c r="BT145" s="96">
        <f t="shared" si="75"/>
        <v>332421</v>
      </c>
      <c r="BU145" s="96">
        <f t="shared" si="75"/>
        <v>332421</v>
      </c>
      <c r="BV145" s="96">
        <f t="shared" si="75"/>
        <v>332421</v>
      </c>
      <c r="BW145" s="96">
        <f t="shared" si="75"/>
        <v>332421</v>
      </c>
    </row>
    <row r="146" ht="15.75" customHeight="1">
      <c r="A146" s="1" t="s">
        <v>363</v>
      </c>
      <c r="B146" s="160">
        <f>AVERAGEIFS(146:146,$1:$1,"&gt;="&amp;DATE(YEAR(Current_Month),MONTH(Current_Month),DAY(Current_Month)),$1:$1,"&lt;="&amp;EOMONTH(Current_Month,0))</f>
        <v>-2884910</v>
      </c>
      <c r="D146" s="76">
        <f t="array" ref="D146">INDEX(INDIRECT("BS_"&amp;TEXT(D$1,"mmm")&amp;"_"&amp;TEXT(D$1,"yyyy")),MATCH(TRIM($A146),BS_Accounts,0))</f>
        <v>-332421</v>
      </c>
      <c r="E146" s="76">
        <f t="array" ref="E146">INDEX(INDIRECT("BS_"&amp;TEXT(E$1,"mmm")&amp;"_"&amp;TEXT(E$1,"yyyy")),MATCH(TRIM($A146),BS_Accounts,0))</f>
        <v>-332421</v>
      </c>
      <c r="F146" s="76">
        <f t="array" ref="F146">INDEX(INDIRECT("BS_"&amp;TEXT(F$1,"mmm")&amp;"_"&amp;TEXT(F$1,"yyyy")),MATCH(TRIM($A146),BS_Accounts,0))</f>
        <v>-332421</v>
      </c>
      <c r="G146" s="76">
        <f t="array" ref="G146">INDEX(INDIRECT("BS_"&amp;TEXT(G$1,"mmm")&amp;"_"&amp;TEXT(G$1,"yyyy")),MATCH(TRIM($A146),BS_Accounts,0))</f>
        <v>-332421</v>
      </c>
      <c r="H146" s="76">
        <f t="array" ref="H146">INDEX(INDIRECT("BS_"&amp;TEXT(H$1,"mmm")&amp;"_"&amp;TEXT(H$1,"yyyy")),MATCH(TRIM($A146),BS_Accounts,0))</f>
        <v>-332421</v>
      </c>
      <c r="I146" s="76">
        <f t="array" ref="I146">INDEX(INDIRECT("BS_"&amp;TEXT(I$1,"mmm")&amp;"_"&amp;TEXT(I$1,"yyyy")),MATCH(TRIM($A146),BS_Accounts,0))</f>
        <v>-332421</v>
      </c>
      <c r="J146" s="76">
        <f t="array" ref="J146">INDEX(INDIRECT("BS_"&amp;TEXT(J$1,"mmm")&amp;"_"&amp;TEXT(J$1,"yyyy")),MATCH(TRIM($A146),BS_Accounts,0))</f>
        <v>-332421</v>
      </c>
      <c r="K146" s="76">
        <f t="array" ref="K146">INDEX(INDIRECT("BS_"&amp;TEXT(K$1,"mmm")&amp;"_"&amp;TEXT(K$1,"yyyy")),MATCH(TRIM($A146),BS_Accounts,0))</f>
        <v>-332421</v>
      </c>
      <c r="L146" s="76">
        <f t="array" ref="L146">INDEX(INDIRECT("BS_"&amp;TEXT(L$1,"mmm")&amp;"_"&amp;TEXT(L$1,"yyyy")),MATCH(TRIM($A146),BS_Accounts,0))</f>
        <v>-332421</v>
      </c>
      <c r="M146" s="76">
        <f t="array" ref="M146">INDEX(INDIRECT("BS_"&amp;TEXT(M$1,"mmm")&amp;"_"&amp;TEXT(M$1,"yyyy")),MATCH(TRIM($A146),BS_Accounts,0))</f>
        <v>-332421</v>
      </c>
      <c r="N146" s="76">
        <f t="array" ref="N146">INDEX(INDIRECT("BS_"&amp;TEXT(N$1,"mmm")&amp;"_"&amp;TEXT(N$1,"yyyy")),MATCH(TRIM($A146),BS_Accounts,0))</f>
        <v>-332421</v>
      </c>
      <c r="O146" s="76">
        <f t="array" ref="O146">INDEX(INDIRECT("BS_"&amp;TEXT(O$1,"mmm")&amp;"_"&amp;TEXT(O$1,"yyyy")),MATCH(TRIM($A146),BS_Accounts,0))</f>
        <v>-332421</v>
      </c>
      <c r="P146" s="76">
        <f t="array" ref="P146">INDEX(INDIRECT("BS_"&amp;TEXT(P$1,"mmm")&amp;"_"&amp;TEXT(P$1,"yyyy")),MATCH(TRIM($A146),BS_Accounts,0))</f>
        <v>-1615659</v>
      </c>
      <c r="Q146" s="76">
        <f t="array" ref="Q146">INDEX(INDIRECT("BS_"&amp;TEXT(Q$1,"mmm")&amp;"_"&amp;TEXT(Q$1,"yyyy")),MATCH(TRIM($A146),BS_Accounts,0))</f>
        <v>-1615659</v>
      </c>
      <c r="R146" s="76">
        <f t="array" ref="R146">INDEX(INDIRECT("BS_"&amp;TEXT(R$1,"mmm")&amp;"_"&amp;TEXT(R$1,"yyyy")),MATCH(TRIM($A146),BS_Accounts,0))</f>
        <v>-1615659</v>
      </c>
      <c r="S146" s="76">
        <f t="array" ref="S146">INDEX(INDIRECT("BS_"&amp;TEXT(S$1,"mmm")&amp;"_"&amp;TEXT(S$1,"yyyy")),MATCH(TRIM($A146),BS_Accounts,0))</f>
        <v>-1615659</v>
      </c>
      <c r="T146" s="76">
        <f t="array" ref="T146">INDEX(INDIRECT("BS_"&amp;TEXT(T$1,"mmm")&amp;"_"&amp;TEXT(T$1,"yyyy")),MATCH(TRIM($A146),BS_Accounts,0))</f>
        <v>-1615659</v>
      </c>
      <c r="U146" s="76">
        <f t="array" ref="U146">INDEX(INDIRECT("BS_"&amp;TEXT(U$1,"mmm")&amp;"_"&amp;TEXT(U$1,"yyyy")),MATCH(TRIM($A146),BS_Accounts,0))</f>
        <v>-1615659</v>
      </c>
      <c r="V146" s="76">
        <f t="array" ref="V146">INDEX(INDIRECT("BS_"&amp;TEXT(V$1,"mmm")&amp;"_"&amp;TEXT(V$1,"yyyy")),MATCH(TRIM($A146),BS_Accounts,0))</f>
        <v>-1615659</v>
      </c>
      <c r="W146" s="76">
        <f t="array" ref="W146">INDEX(INDIRECT("BS_"&amp;TEXT(W$1,"mmm")&amp;"_"&amp;TEXT(W$1,"yyyy")),MATCH(TRIM($A146),BS_Accounts,0))</f>
        <v>-1615659</v>
      </c>
      <c r="X146" s="76">
        <f t="array" ref="X146">INDEX(INDIRECT("BS_"&amp;TEXT(X$1,"mmm")&amp;"_"&amp;TEXT(X$1,"yyyy")),MATCH(TRIM($A146),BS_Accounts,0))</f>
        <v>-1615659</v>
      </c>
      <c r="Y146" s="76">
        <f t="array" ref="Y146">INDEX(INDIRECT("BS_"&amp;TEXT(Y$1,"mmm")&amp;"_"&amp;TEXT(Y$1,"yyyy")),MATCH(TRIM($A146),BS_Accounts,0))</f>
        <v>-1615659</v>
      </c>
      <c r="Z146" s="76">
        <f t="array" ref="Z146">INDEX(INDIRECT("BS_"&amp;TEXT(Z$1,"mmm")&amp;"_"&amp;TEXT(Z$1,"yyyy")),MATCH(TRIM($A146),BS_Accounts,0))</f>
        <v>-1615659</v>
      </c>
      <c r="AA146" s="76">
        <f t="array" ref="AA146">INDEX(INDIRECT("BS_"&amp;TEXT(AA$1,"mmm")&amp;"_"&amp;TEXT(AA$1,"yyyy")),MATCH(TRIM($A146),BS_Accounts,0))</f>
        <v>-1615659</v>
      </c>
      <c r="AB146" s="76">
        <f t="array" ref="AB146">INDEX(INDIRECT("BS_"&amp;TEXT(AB$1,"mmm")&amp;"_"&amp;TEXT(AB$1,"yyyy")),MATCH(TRIM($A146),BS_Accounts,0))</f>
        <v>-2884910</v>
      </c>
      <c r="AC146" s="76">
        <f t="array" ref="AC146">INDEX(INDIRECT("BS_"&amp;TEXT(AC$1,"mmm")&amp;"_"&amp;TEXT(AC$1,"yyyy")),MATCH(TRIM($A146),BS_Accounts,0))</f>
        <v>-2884910</v>
      </c>
      <c r="AD146" s="76">
        <f t="array" ref="AD146">INDEX(INDIRECT("BS_"&amp;TEXT(AD$1,"mmm")&amp;"_"&amp;TEXT(AD$1,"yyyy")),MATCH(TRIM($A146),BS_Accounts,0))</f>
        <v>-2884910</v>
      </c>
      <c r="AE146" s="76">
        <f t="array" ref="AE146">INDEX(INDIRECT("BS_"&amp;TEXT(AE$1,"mmm")&amp;"_"&amp;TEXT(AE$1,"yyyy")),MATCH(TRIM($A146),BS_Accounts,0))</f>
        <v>-2884910</v>
      </c>
      <c r="AF146" s="96">
        <f t="shared" ref="AF146:BW146" si="76">$B146</f>
        <v>-2884910</v>
      </c>
      <c r="AG146" s="96">
        <f t="shared" si="76"/>
        <v>-2884910</v>
      </c>
      <c r="AH146" s="96">
        <f t="shared" si="76"/>
        <v>-2884910</v>
      </c>
      <c r="AI146" s="96">
        <f t="shared" si="76"/>
        <v>-2884910</v>
      </c>
      <c r="AJ146" s="96">
        <f t="shared" si="76"/>
        <v>-2884910</v>
      </c>
      <c r="AK146" s="96">
        <f t="shared" si="76"/>
        <v>-2884910</v>
      </c>
      <c r="AL146" s="96">
        <f t="shared" si="76"/>
        <v>-2884910</v>
      </c>
      <c r="AM146" s="96">
        <f t="shared" si="76"/>
        <v>-2884910</v>
      </c>
      <c r="AN146" s="96">
        <f t="shared" si="76"/>
        <v>-2884910</v>
      </c>
      <c r="AO146" s="96">
        <f t="shared" si="76"/>
        <v>-2884910</v>
      </c>
      <c r="AP146" s="96">
        <f t="shared" si="76"/>
        <v>-2884910</v>
      </c>
      <c r="AQ146" s="96">
        <f t="shared" si="76"/>
        <v>-2884910</v>
      </c>
      <c r="AR146" s="96">
        <f t="shared" si="76"/>
        <v>-2884910</v>
      </c>
      <c r="AS146" s="96">
        <f t="shared" si="76"/>
        <v>-2884910</v>
      </c>
      <c r="AT146" s="96">
        <f t="shared" si="76"/>
        <v>-2884910</v>
      </c>
      <c r="AU146" s="96">
        <f t="shared" si="76"/>
        <v>-2884910</v>
      </c>
      <c r="AV146" s="96">
        <f t="shared" si="76"/>
        <v>-2884910</v>
      </c>
      <c r="AW146" s="96">
        <f t="shared" si="76"/>
        <v>-2884910</v>
      </c>
      <c r="AX146" s="96">
        <f t="shared" si="76"/>
        <v>-2884910</v>
      </c>
      <c r="AY146" s="96">
        <f t="shared" si="76"/>
        <v>-2884910</v>
      </c>
      <c r="AZ146" s="96">
        <f t="shared" si="76"/>
        <v>-2884910</v>
      </c>
      <c r="BA146" s="96">
        <f t="shared" si="76"/>
        <v>-2884910</v>
      </c>
      <c r="BB146" s="96">
        <f t="shared" si="76"/>
        <v>-2884910</v>
      </c>
      <c r="BC146" s="96">
        <f t="shared" si="76"/>
        <v>-2884910</v>
      </c>
      <c r="BD146" s="96">
        <f t="shared" si="76"/>
        <v>-2884910</v>
      </c>
      <c r="BE146" s="96">
        <f t="shared" si="76"/>
        <v>-2884910</v>
      </c>
      <c r="BF146" s="96">
        <f t="shared" si="76"/>
        <v>-2884910</v>
      </c>
      <c r="BG146" s="96">
        <f t="shared" si="76"/>
        <v>-2884910</v>
      </c>
      <c r="BH146" s="96">
        <f t="shared" si="76"/>
        <v>-2884910</v>
      </c>
      <c r="BI146" s="96">
        <f t="shared" si="76"/>
        <v>-2884910</v>
      </c>
      <c r="BJ146" s="96">
        <f t="shared" si="76"/>
        <v>-2884910</v>
      </c>
      <c r="BK146" s="96">
        <f t="shared" si="76"/>
        <v>-2884910</v>
      </c>
      <c r="BL146" s="96">
        <f t="shared" si="76"/>
        <v>-2884910</v>
      </c>
      <c r="BM146" s="96">
        <f t="shared" si="76"/>
        <v>-2884910</v>
      </c>
      <c r="BN146" s="96">
        <f t="shared" si="76"/>
        <v>-2884910</v>
      </c>
      <c r="BO146" s="96">
        <f t="shared" si="76"/>
        <v>-2884910</v>
      </c>
      <c r="BP146" s="96">
        <f t="shared" si="76"/>
        <v>-2884910</v>
      </c>
      <c r="BQ146" s="96">
        <f t="shared" si="76"/>
        <v>-2884910</v>
      </c>
      <c r="BR146" s="96">
        <f t="shared" si="76"/>
        <v>-2884910</v>
      </c>
      <c r="BS146" s="96">
        <f t="shared" si="76"/>
        <v>-2884910</v>
      </c>
      <c r="BT146" s="96">
        <f t="shared" si="76"/>
        <v>-2884910</v>
      </c>
      <c r="BU146" s="96">
        <f t="shared" si="76"/>
        <v>-2884910</v>
      </c>
      <c r="BV146" s="96">
        <f t="shared" si="76"/>
        <v>-2884910</v>
      </c>
      <c r="BW146" s="96">
        <f t="shared" si="76"/>
        <v>-2884910</v>
      </c>
    </row>
    <row r="147" ht="15.75" customHeight="1">
      <c r="A147" s="1" t="s">
        <v>364</v>
      </c>
      <c r="B147" s="159"/>
      <c r="D147" s="76">
        <f t="array" ref="D147">INDEX(INDIRECT("BS_"&amp;TEXT(D$1,"mmm")&amp;"_"&amp;TEXT(D$1,"yyyy")),MATCH(TRIM($A147),BS_Accounts,0))</f>
        <v>-89438</v>
      </c>
      <c r="E147" s="76">
        <f t="array" ref="E147">INDEX(INDIRECT("BS_"&amp;TEXT(E$1,"mmm")&amp;"_"&amp;TEXT(E$1,"yyyy")),MATCH(TRIM($A147),BS_Accounts,0))</f>
        <v>-177562</v>
      </c>
      <c r="F147" s="76">
        <f t="array" ref="F147">INDEX(INDIRECT("BS_"&amp;TEXT(F$1,"mmm")&amp;"_"&amp;TEXT(F$1,"yyyy")),MATCH(TRIM($A147),BS_Accounts,0))</f>
        <v>-280518</v>
      </c>
      <c r="G147" s="76">
        <f t="array" ref="G147">INDEX(INDIRECT("BS_"&amp;TEXT(G$1,"mmm")&amp;"_"&amp;TEXT(G$1,"yyyy")),MATCH(TRIM($A147),BS_Accounts,0))</f>
        <v>-375113</v>
      </c>
      <c r="H147" s="76">
        <f t="array" ref="H147">INDEX(INDIRECT("BS_"&amp;TEXT(H$1,"mmm")&amp;"_"&amp;TEXT(H$1,"yyyy")),MATCH(TRIM($A147),BS_Accounts,0))</f>
        <v>-457178</v>
      </c>
      <c r="I147" s="76">
        <f t="array" ref="I147">INDEX(INDIRECT("BS_"&amp;TEXT(I$1,"mmm")&amp;"_"&amp;TEXT(I$1,"yyyy")),MATCH(TRIM($A147),BS_Accounts,0))</f>
        <v>-535310</v>
      </c>
      <c r="J147" s="76">
        <f t="array" ref="J147">INDEX(INDIRECT("BS_"&amp;TEXT(J$1,"mmm")&amp;"_"&amp;TEXT(J$1,"yyyy")),MATCH(TRIM($A147),BS_Accounts,0))</f>
        <v>-629355</v>
      </c>
      <c r="K147" s="76">
        <f t="array" ref="K147">INDEX(INDIRECT("BS_"&amp;TEXT(K$1,"mmm")&amp;"_"&amp;TEXT(K$1,"yyyy")),MATCH(TRIM($A147),BS_Accounts,0))</f>
        <v>-719121</v>
      </c>
      <c r="L147" s="76">
        <f t="array" ref="L147">INDEX(INDIRECT("BS_"&amp;TEXT(L$1,"mmm")&amp;"_"&amp;TEXT(L$1,"yyyy")),MATCH(TRIM($A147),BS_Accounts,0))</f>
        <v>-833566</v>
      </c>
      <c r="M147" s="76">
        <f t="array" ref="M147">INDEX(INDIRECT("BS_"&amp;TEXT(M$1,"mmm")&amp;"_"&amp;TEXT(M$1,"yyyy")),MATCH(TRIM($A147),BS_Accounts,0))</f>
        <v>-965447</v>
      </c>
      <c r="N147" s="76">
        <f t="array" ref="N147">INDEX(INDIRECT("BS_"&amp;TEXT(N$1,"mmm")&amp;"_"&amp;TEXT(N$1,"yyyy")),MATCH(TRIM($A147),BS_Accounts,0))</f>
        <v>-1106044</v>
      </c>
      <c r="O147" s="76">
        <f t="array" ref="O147">INDEX(INDIRECT("BS_"&amp;TEXT(O$1,"mmm")&amp;"_"&amp;TEXT(O$1,"yyyy")),MATCH(TRIM($A147),BS_Accounts,0))</f>
        <v>-1283238</v>
      </c>
      <c r="P147" s="76">
        <f t="array" ref="P147">INDEX(INDIRECT("BS_"&amp;TEXT(P$1,"mmm")&amp;"_"&amp;TEXT(P$1,"yyyy")),MATCH(TRIM($A147),BS_Accounts,0))</f>
        <v>-177124</v>
      </c>
      <c r="Q147" s="76">
        <f t="array" ref="Q147">INDEX(INDIRECT("BS_"&amp;TEXT(Q$1,"mmm")&amp;"_"&amp;TEXT(Q$1,"yyyy")),MATCH(TRIM($A147),BS_Accounts,0))</f>
        <v>-366699</v>
      </c>
      <c r="R147" s="76">
        <f t="array" ref="R147">INDEX(INDIRECT("BS_"&amp;TEXT(R$1,"mmm")&amp;"_"&amp;TEXT(R$1,"yyyy")),MATCH(TRIM($A147),BS_Accounts,0))</f>
        <v>-550830</v>
      </c>
      <c r="S147" s="76">
        <f t="array" ref="S147">INDEX(INDIRECT("BS_"&amp;TEXT(S$1,"mmm")&amp;"_"&amp;TEXT(S$1,"yyyy")),MATCH(TRIM($A147),BS_Accounts,0))</f>
        <v>-679771</v>
      </c>
      <c r="T147" s="76">
        <f t="array" ref="T147">INDEX(INDIRECT("BS_"&amp;TEXT(T$1,"mmm")&amp;"_"&amp;TEXT(T$1,"yyyy")),MATCH(TRIM($A147),BS_Accounts,0))</f>
        <v>-831525</v>
      </c>
      <c r="U147" s="76">
        <f t="array" ref="U147">INDEX(INDIRECT("BS_"&amp;TEXT(U$1,"mmm")&amp;"_"&amp;TEXT(U$1,"yyyy")),MATCH(TRIM($A147),BS_Accounts,0))</f>
        <v>-953808</v>
      </c>
      <c r="V147" s="76">
        <f t="array" ref="V147">INDEX(INDIRECT("BS_"&amp;TEXT(V$1,"mmm")&amp;"_"&amp;TEXT(V$1,"yyyy")),MATCH(TRIM($A147),BS_Accounts,0))</f>
        <v>-1056282</v>
      </c>
      <c r="W147" s="76">
        <f t="array" ref="W147">INDEX(INDIRECT("BS_"&amp;TEXT(W$1,"mmm")&amp;"_"&amp;TEXT(W$1,"yyyy")),MATCH(TRIM($A147),BS_Accounts,0))</f>
        <v>-1138777</v>
      </c>
      <c r="X147" s="76">
        <f t="array" ref="X147">INDEX(INDIRECT("BS_"&amp;TEXT(X$1,"mmm")&amp;"_"&amp;TEXT(X$1,"yyyy")),MATCH(TRIM($A147),BS_Accounts,0))</f>
        <v>-1198815</v>
      </c>
      <c r="Y147" s="76">
        <f t="array" ref="Y147">INDEX(INDIRECT("BS_"&amp;TEXT(Y$1,"mmm")&amp;"_"&amp;TEXT(Y$1,"yyyy")),MATCH(TRIM($A147),BS_Accounts,0))</f>
        <v>-1226135</v>
      </c>
      <c r="Z147" s="76">
        <f t="array" ref="Z147">INDEX(INDIRECT("BS_"&amp;TEXT(Z$1,"mmm")&amp;"_"&amp;TEXT(Z$1,"yyyy")),MATCH(TRIM($A147),BS_Accounts,0))</f>
        <v>-1245040</v>
      </c>
      <c r="AA147" s="76">
        <f t="array" ref="AA147">INDEX(INDIRECT("BS_"&amp;TEXT(AA$1,"mmm")&amp;"_"&amp;TEXT(AA$1,"yyyy")),MATCH(TRIM($A147),BS_Accounts,0))</f>
        <v>-1269251</v>
      </c>
      <c r="AB147" s="76">
        <f t="array" ref="AB147">INDEX(INDIRECT("BS_"&amp;TEXT(AB$1,"mmm")&amp;"_"&amp;TEXT(AB$1,"yyyy")),MATCH(TRIM($A147),BS_Accounts,0))</f>
        <v>-13824</v>
      </c>
      <c r="AC147" s="76">
        <f t="array" ref="AC147">INDEX(INDIRECT("BS_"&amp;TEXT(AC$1,"mmm")&amp;"_"&amp;TEXT(AC$1,"yyyy")),MATCH(TRIM($A147),BS_Accounts,0))</f>
        <v>-39993</v>
      </c>
      <c r="AD147" s="76">
        <f t="array" ref="AD147">INDEX(INDIRECT("BS_"&amp;TEXT(AD$1,"mmm")&amp;"_"&amp;TEXT(AD$1,"yyyy")),MATCH(TRIM($A147),BS_Accounts,0))</f>
        <v>-31585.81</v>
      </c>
      <c r="AE147" s="76">
        <f t="array" ref="AE147">INDEX(INDIRECT("BS_"&amp;TEXT(AE$1,"mmm")&amp;"_"&amp;TEXT(AE$1,"yyyy")),MATCH(TRIM($A147),BS_Accounts,0))</f>
        <v>-31702.81</v>
      </c>
      <c r="AF147" s="76" t="str">
        <f t="shared" ref="AF147:BW147" si="77">AE147+AF97</f>
        <v>#NAME?</v>
      </c>
      <c r="AG147" s="76" t="str">
        <f t="shared" si="77"/>
        <v>#NAME?</v>
      </c>
      <c r="AH147" s="76" t="str">
        <f t="shared" si="77"/>
        <v>#NAME?</v>
      </c>
      <c r="AI147" s="76" t="str">
        <f t="shared" si="77"/>
        <v>#NAME?</v>
      </c>
      <c r="AJ147" s="76" t="str">
        <f t="shared" si="77"/>
        <v>#NAME?</v>
      </c>
      <c r="AK147" s="76" t="str">
        <f t="shared" si="77"/>
        <v>#NAME?</v>
      </c>
      <c r="AL147" s="76" t="str">
        <f t="shared" si="77"/>
        <v>#NAME?</v>
      </c>
      <c r="AM147" s="76" t="str">
        <f t="shared" si="77"/>
        <v>#NAME?</v>
      </c>
      <c r="AN147" s="76" t="str">
        <f t="shared" si="77"/>
        <v>#NAME?</v>
      </c>
      <c r="AO147" s="76" t="str">
        <f t="shared" si="77"/>
        <v>#NAME?</v>
      </c>
      <c r="AP147" s="76" t="str">
        <f t="shared" si="77"/>
        <v>#NAME?</v>
      </c>
      <c r="AQ147" s="76" t="str">
        <f t="shared" si="77"/>
        <v>#NAME?</v>
      </c>
      <c r="AR147" s="76" t="str">
        <f t="shared" si="77"/>
        <v>#NAME?</v>
      </c>
      <c r="AS147" s="76" t="str">
        <f t="shared" si="77"/>
        <v>#NAME?</v>
      </c>
      <c r="AT147" s="76" t="str">
        <f t="shared" si="77"/>
        <v>#NAME?</v>
      </c>
      <c r="AU147" s="76" t="str">
        <f t="shared" si="77"/>
        <v>#NAME?</v>
      </c>
      <c r="AV147" s="76" t="str">
        <f t="shared" si="77"/>
        <v>#NAME?</v>
      </c>
      <c r="AW147" s="76" t="str">
        <f t="shared" si="77"/>
        <v>#NAME?</v>
      </c>
      <c r="AX147" s="76" t="str">
        <f t="shared" si="77"/>
        <v>#NAME?</v>
      </c>
      <c r="AY147" s="76" t="str">
        <f t="shared" si="77"/>
        <v>#NAME?</v>
      </c>
      <c r="AZ147" s="76" t="str">
        <f t="shared" si="77"/>
        <v>#NAME?</v>
      </c>
      <c r="BA147" s="76" t="str">
        <f t="shared" si="77"/>
        <v>#NAME?</v>
      </c>
      <c r="BB147" s="76" t="str">
        <f t="shared" si="77"/>
        <v>#NAME?</v>
      </c>
      <c r="BC147" s="76" t="str">
        <f t="shared" si="77"/>
        <v>#NAME?</v>
      </c>
      <c r="BD147" s="76" t="str">
        <f t="shared" si="77"/>
        <v>#NAME?</v>
      </c>
      <c r="BE147" s="76" t="str">
        <f t="shared" si="77"/>
        <v>#NAME?</v>
      </c>
      <c r="BF147" s="76" t="str">
        <f t="shared" si="77"/>
        <v>#NAME?</v>
      </c>
      <c r="BG147" s="76" t="str">
        <f t="shared" si="77"/>
        <v>#NAME?</v>
      </c>
      <c r="BH147" s="76" t="str">
        <f t="shared" si="77"/>
        <v>#NAME?</v>
      </c>
      <c r="BI147" s="76" t="str">
        <f t="shared" si="77"/>
        <v>#NAME?</v>
      </c>
      <c r="BJ147" s="76" t="str">
        <f t="shared" si="77"/>
        <v>#NAME?</v>
      </c>
      <c r="BK147" s="76" t="str">
        <f t="shared" si="77"/>
        <v>#NAME?</v>
      </c>
      <c r="BL147" s="76" t="str">
        <f t="shared" si="77"/>
        <v>#NAME?</v>
      </c>
      <c r="BM147" s="76" t="str">
        <f t="shared" si="77"/>
        <v>#NAME?</v>
      </c>
      <c r="BN147" s="76" t="str">
        <f t="shared" si="77"/>
        <v>#NAME?</v>
      </c>
      <c r="BO147" s="76" t="str">
        <f t="shared" si="77"/>
        <v>#NAME?</v>
      </c>
      <c r="BP147" s="76" t="str">
        <f t="shared" si="77"/>
        <v>#NAME?</v>
      </c>
      <c r="BQ147" s="76" t="str">
        <f t="shared" si="77"/>
        <v>#NAME?</v>
      </c>
      <c r="BR147" s="76" t="str">
        <f t="shared" si="77"/>
        <v>#NAME?</v>
      </c>
      <c r="BS147" s="76" t="str">
        <f t="shared" si="77"/>
        <v>#NAME?</v>
      </c>
      <c r="BT147" s="76" t="str">
        <f t="shared" si="77"/>
        <v>#NAME?</v>
      </c>
      <c r="BU147" s="76" t="str">
        <f t="shared" si="77"/>
        <v>#NAME?</v>
      </c>
      <c r="BV147" s="76" t="str">
        <f t="shared" si="77"/>
        <v>#NAME?</v>
      </c>
      <c r="BW147" s="76" t="str">
        <f t="shared" si="77"/>
        <v>#NAME?</v>
      </c>
    </row>
    <row r="148" ht="15.75" customHeight="1">
      <c r="A148" s="21" t="s">
        <v>365</v>
      </c>
      <c r="B148" s="163"/>
      <c r="C148" s="21"/>
      <c r="D148" s="147">
        <f t="shared" ref="D148:BW148" si="78">SUM(D144:D147)</f>
        <v>-89438</v>
      </c>
      <c r="E148" s="147">
        <f t="shared" si="78"/>
        <v>-177562</v>
      </c>
      <c r="F148" s="147">
        <f t="shared" si="78"/>
        <v>-280518</v>
      </c>
      <c r="G148" s="147">
        <f t="shared" si="78"/>
        <v>-375113</v>
      </c>
      <c r="H148" s="147">
        <f t="shared" si="78"/>
        <v>-457178</v>
      </c>
      <c r="I148" s="147">
        <f t="shared" si="78"/>
        <v>-535310</v>
      </c>
      <c r="J148" s="147">
        <f t="shared" si="78"/>
        <v>-629355</v>
      </c>
      <c r="K148" s="147">
        <f t="shared" si="78"/>
        <v>-719121</v>
      </c>
      <c r="L148" s="147">
        <f t="shared" si="78"/>
        <v>-833566</v>
      </c>
      <c r="M148" s="147">
        <f t="shared" si="78"/>
        <v>-965447</v>
      </c>
      <c r="N148" s="147">
        <f t="shared" si="78"/>
        <v>-1106044</v>
      </c>
      <c r="O148" s="147">
        <f t="shared" si="78"/>
        <v>-1283238</v>
      </c>
      <c r="P148" s="147">
        <f t="shared" si="78"/>
        <v>-1460362</v>
      </c>
      <c r="Q148" s="147">
        <f t="shared" si="78"/>
        <v>-1649937</v>
      </c>
      <c r="R148" s="147">
        <f t="shared" si="78"/>
        <v>-1834068</v>
      </c>
      <c r="S148" s="147">
        <f t="shared" si="78"/>
        <v>-1963009</v>
      </c>
      <c r="T148" s="147">
        <f t="shared" si="78"/>
        <v>-2114763</v>
      </c>
      <c r="U148" s="147">
        <f t="shared" si="78"/>
        <v>-2237046</v>
      </c>
      <c r="V148" s="147">
        <f t="shared" si="78"/>
        <v>-2339520</v>
      </c>
      <c r="W148" s="147">
        <f t="shared" si="78"/>
        <v>-2422015</v>
      </c>
      <c r="X148" s="147">
        <f t="shared" si="78"/>
        <v>-2482053</v>
      </c>
      <c r="Y148" s="147">
        <f t="shared" si="78"/>
        <v>-2509373</v>
      </c>
      <c r="Z148" s="147">
        <f t="shared" si="78"/>
        <v>-2528278</v>
      </c>
      <c r="AA148" s="147">
        <f t="shared" si="78"/>
        <v>-2552489</v>
      </c>
      <c r="AB148" s="147">
        <f t="shared" si="78"/>
        <v>-2566313</v>
      </c>
      <c r="AC148" s="147">
        <f t="shared" si="78"/>
        <v>-2592482</v>
      </c>
      <c r="AD148" s="147">
        <f t="shared" si="78"/>
        <v>-2584074.81</v>
      </c>
      <c r="AE148" s="147">
        <f t="shared" si="78"/>
        <v>-2584191.81</v>
      </c>
      <c r="AF148" s="157" t="str">
        <f t="shared" si="78"/>
        <v>#NAME?</v>
      </c>
      <c r="AG148" s="157" t="str">
        <f t="shared" si="78"/>
        <v>#NAME?</v>
      </c>
      <c r="AH148" s="157" t="str">
        <f t="shared" si="78"/>
        <v>#NAME?</v>
      </c>
      <c r="AI148" s="157" t="str">
        <f t="shared" si="78"/>
        <v>#NAME?</v>
      </c>
      <c r="AJ148" s="157" t="str">
        <f t="shared" si="78"/>
        <v>#NAME?</v>
      </c>
      <c r="AK148" s="157" t="str">
        <f t="shared" si="78"/>
        <v>#NAME?</v>
      </c>
      <c r="AL148" s="157" t="str">
        <f t="shared" si="78"/>
        <v>#NAME?</v>
      </c>
      <c r="AM148" s="157" t="str">
        <f t="shared" si="78"/>
        <v>#NAME?</v>
      </c>
      <c r="AN148" s="157" t="str">
        <f t="shared" si="78"/>
        <v>#NAME?</v>
      </c>
      <c r="AO148" s="157" t="str">
        <f t="shared" si="78"/>
        <v>#NAME?</v>
      </c>
      <c r="AP148" s="157" t="str">
        <f t="shared" si="78"/>
        <v>#NAME?</v>
      </c>
      <c r="AQ148" s="157" t="str">
        <f t="shared" si="78"/>
        <v>#NAME?</v>
      </c>
      <c r="AR148" s="157" t="str">
        <f t="shared" si="78"/>
        <v>#NAME?</v>
      </c>
      <c r="AS148" s="157" t="str">
        <f t="shared" si="78"/>
        <v>#NAME?</v>
      </c>
      <c r="AT148" s="157" t="str">
        <f t="shared" si="78"/>
        <v>#NAME?</v>
      </c>
      <c r="AU148" s="157" t="str">
        <f t="shared" si="78"/>
        <v>#NAME?</v>
      </c>
      <c r="AV148" s="157" t="str">
        <f t="shared" si="78"/>
        <v>#NAME?</v>
      </c>
      <c r="AW148" s="157" t="str">
        <f t="shared" si="78"/>
        <v>#NAME?</v>
      </c>
      <c r="AX148" s="157" t="str">
        <f t="shared" si="78"/>
        <v>#NAME?</v>
      </c>
      <c r="AY148" s="157" t="str">
        <f t="shared" si="78"/>
        <v>#NAME?</v>
      </c>
      <c r="AZ148" s="157" t="str">
        <f t="shared" si="78"/>
        <v>#NAME?</v>
      </c>
      <c r="BA148" s="157" t="str">
        <f t="shared" si="78"/>
        <v>#NAME?</v>
      </c>
      <c r="BB148" s="157" t="str">
        <f t="shared" si="78"/>
        <v>#NAME?</v>
      </c>
      <c r="BC148" s="157" t="str">
        <f t="shared" si="78"/>
        <v>#NAME?</v>
      </c>
      <c r="BD148" s="157" t="str">
        <f t="shared" si="78"/>
        <v>#NAME?</v>
      </c>
      <c r="BE148" s="157" t="str">
        <f t="shared" si="78"/>
        <v>#NAME?</v>
      </c>
      <c r="BF148" s="157" t="str">
        <f t="shared" si="78"/>
        <v>#NAME?</v>
      </c>
      <c r="BG148" s="157" t="str">
        <f t="shared" si="78"/>
        <v>#NAME?</v>
      </c>
      <c r="BH148" s="157" t="str">
        <f t="shared" si="78"/>
        <v>#NAME?</v>
      </c>
      <c r="BI148" s="157" t="str">
        <f t="shared" si="78"/>
        <v>#NAME?</v>
      </c>
      <c r="BJ148" s="157" t="str">
        <f t="shared" si="78"/>
        <v>#NAME?</v>
      </c>
      <c r="BK148" s="157" t="str">
        <f t="shared" si="78"/>
        <v>#NAME?</v>
      </c>
      <c r="BL148" s="157" t="str">
        <f t="shared" si="78"/>
        <v>#NAME?</v>
      </c>
      <c r="BM148" s="157" t="str">
        <f t="shared" si="78"/>
        <v>#NAME?</v>
      </c>
      <c r="BN148" s="157" t="str">
        <f t="shared" si="78"/>
        <v>#NAME?</v>
      </c>
      <c r="BO148" s="157" t="str">
        <f t="shared" si="78"/>
        <v>#NAME?</v>
      </c>
      <c r="BP148" s="157" t="str">
        <f t="shared" si="78"/>
        <v>#NAME?</v>
      </c>
      <c r="BQ148" s="157" t="str">
        <f t="shared" si="78"/>
        <v>#NAME?</v>
      </c>
      <c r="BR148" s="157" t="str">
        <f t="shared" si="78"/>
        <v>#NAME?</v>
      </c>
      <c r="BS148" s="157" t="str">
        <f t="shared" si="78"/>
        <v>#NAME?</v>
      </c>
      <c r="BT148" s="157" t="str">
        <f t="shared" si="78"/>
        <v>#NAME?</v>
      </c>
      <c r="BU148" s="157" t="str">
        <f t="shared" si="78"/>
        <v>#NAME?</v>
      </c>
      <c r="BV148" s="157" t="str">
        <f t="shared" si="78"/>
        <v>#NAME?</v>
      </c>
      <c r="BW148" s="157" t="str">
        <f t="shared" si="78"/>
        <v>#NAME?</v>
      </c>
    </row>
    <row r="149" ht="15.75" customHeight="1">
      <c r="A149" s="31" t="s">
        <v>244</v>
      </c>
      <c r="B149" s="159"/>
      <c r="D149" s="76">
        <f t="array" ref="D149">INDEX(INDIRECT("BS_"&amp;TEXT(D$1,"mmm")&amp;"_"&amp;TEXT(D$1,"yyyy")),MATCH(TRIM($A148),BS_Accounts,0))-D148</f>
        <v>0</v>
      </c>
      <c r="E149" s="76">
        <f t="array" ref="E149">INDEX(INDIRECT("BS_"&amp;TEXT(E$1,"mmm")&amp;"_"&amp;TEXT(E$1,"yyyy")),MATCH(TRIM($A148),BS_Accounts,0))-E148</f>
        <v>0</v>
      </c>
      <c r="F149" s="76">
        <f t="array" ref="F149">INDEX(INDIRECT("BS_"&amp;TEXT(F$1,"mmm")&amp;"_"&amp;TEXT(F$1,"yyyy")),MATCH(TRIM($A148),BS_Accounts,0))-F148</f>
        <v>0</v>
      </c>
      <c r="G149" s="76">
        <f t="array" ref="G149">INDEX(INDIRECT("BS_"&amp;TEXT(G$1,"mmm")&amp;"_"&amp;TEXT(G$1,"yyyy")),MATCH(TRIM($A148),BS_Accounts,0))-G148</f>
        <v>0</v>
      </c>
      <c r="H149" s="76">
        <f t="array" ref="H149">INDEX(INDIRECT("BS_"&amp;TEXT(H$1,"mmm")&amp;"_"&amp;TEXT(H$1,"yyyy")),MATCH(TRIM($A148),BS_Accounts,0))-H148</f>
        <v>0</v>
      </c>
      <c r="I149" s="76">
        <f t="array" ref="I149">INDEX(INDIRECT("BS_"&amp;TEXT(I$1,"mmm")&amp;"_"&amp;TEXT(I$1,"yyyy")),MATCH(TRIM($A148),BS_Accounts,0))-I148</f>
        <v>0</v>
      </c>
      <c r="J149" s="76">
        <f t="array" ref="J149">INDEX(INDIRECT("BS_"&amp;TEXT(J$1,"mmm")&amp;"_"&amp;TEXT(J$1,"yyyy")),MATCH(TRIM($A148),BS_Accounts,0))-J148</f>
        <v>0</v>
      </c>
      <c r="K149" s="76">
        <f t="array" ref="K149">INDEX(INDIRECT("BS_"&amp;TEXT(K$1,"mmm")&amp;"_"&amp;TEXT(K$1,"yyyy")),MATCH(TRIM($A148),BS_Accounts,0))-K148</f>
        <v>0</v>
      </c>
      <c r="L149" s="76">
        <f t="array" ref="L149">INDEX(INDIRECT("BS_"&amp;TEXT(L$1,"mmm")&amp;"_"&amp;TEXT(L$1,"yyyy")),MATCH(TRIM($A148),BS_Accounts,0))-L148</f>
        <v>0</v>
      </c>
      <c r="M149" s="76">
        <f t="array" ref="M149">INDEX(INDIRECT("BS_"&amp;TEXT(M$1,"mmm")&amp;"_"&amp;TEXT(M$1,"yyyy")),MATCH(TRIM($A148),BS_Accounts,0))-M148</f>
        <v>0</v>
      </c>
      <c r="N149" s="76">
        <f t="array" ref="N149">INDEX(INDIRECT("BS_"&amp;TEXT(N$1,"mmm")&amp;"_"&amp;TEXT(N$1,"yyyy")),MATCH(TRIM($A148),BS_Accounts,0))-N148</f>
        <v>0</v>
      </c>
      <c r="O149" s="76">
        <f t="array" ref="O149">INDEX(INDIRECT("BS_"&amp;TEXT(O$1,"mmm")&amp;"_"&amp;TEXT(O$1,"yyyy")),MATCH(TRIM($A148),BS_Accounts,0))-O148</f>
        <v>0</v>
      </c>
      <c r="P149" s="76">
        <f t="array" ref="P149">INDEX(INDIRECT("BS_"&amp;TEXT(P$1,"mmm")&amp;"_"&amp;TEXT(P$1,"yyyy")),MATCH(TRIM($A148),BS_Accounts,0))-P148</f>
        <v>0</v>
      </c>
      <c r="Q149" s="76">
        <f t="array" ref="Q149">INDEX(INDIRECT("BS_"&amp;TEXT(Q$1,"mmm")&amp;"_"&amp;TEXT(Q$1,"yyyy")),MATCH(TRIM($A148),BS_Accounts,0))-Q148</f>
        <v>0</v>
      </c>
      <c r="R149" s="76">
        <f t="array" ref="R149">INDEX(INDIRECT("BS_"&amp;TEXT(R$1,"mmm")&amp;"_"&amp;TEXT(R$1,"yyyy")),MATCH(TRIM($A148),BS_Accounts,0))-R148</f>
        <v>0</v>
      </c>
      <c r="S149" s="76">
        <f t="array" ref="S149">INDEX(INDIRECT("BS_"&amp;TEXT(S$1,"mmm")&amp;"_"&amp;TEXT(S$1,"yyyy")),MATCH(TRIM($A148),BS_Accounts,0))-S148</f>
        <v>0</v>
      </c>
      <c r="T149" s="76">
        <f t="array" ref="T149">INDEX(INDIRECT("BS_"&amp;TEXT(T$1,"mmm")&amp;"_"&amp;TEXT(T$1,"yyyy")),MATCH(TRIM($A148),BS_Accounts,0))-T148</f>
        <v>0</v>
      </c>
      <c r="U149" s="76">
        <f t="array" ref="U149">INDEX(INDIRECT("BS_"&amp;TEXT(U$1,"mmm")&amp;"_"&amp;TEXT(U$1,"yyyy")),MATCH(TRIM($A148),BS_Accounts,0))-U148</f>
        <v>0</v>
      </c>
      <c r="V149" s="76">
        <f t="array" ref="V149">INDEX(INDIRECT("BS_"&amp;TEXT(V$1,"mmm")&amp;"_"&amp;TEXT(V$1,"yyyy")),MATCH(TRIM($A148),BS_Accounts,0))-V148</f>
        <v>0</v>
      </c>
      <c r="W149" s="76">
        <f t="array" ref="W149">INDEX(INDIRECT("BS_"&amp;TEXT(W$1,"mmm")&amp;"_"&amp;TEXT(W$1,"yyyy")),MATCH(TRIM($A148),BS_Accounts,0))-W148</f>
        <v>0</v>
      </c>
      <c r="X149" s="76">
        <f t="array" ref="X149">INDEX(INDIRECT("BS_"&amp;TEXT(X$1,"mmm")&amp;"_"&amp;TEXT(X$1,"yyyy")),MATCH(TRIM($A148),BS_Accounts,0))-X148</f>
        <v>0</v>
      </c>
      <c r="Y149" s="76">
        <f t="array" ref="Y149">INDEX(INDIRECT("BS_"&amp;TEXT(Y$1,"mmm")&amp;"_"&amp;TEXT(Y$1,"yyyy")),MATCH(TRIM($A148),BS_Accounts,0))-Y148</f>
        <v>0</v>
      </c>
      <c r="Z149" s="76">
        <f t="array" ref="Z149">INDEX(INDIRECT("BS_"&amp;TEXT(Z$1,"mmm")&amp;"_"&amp;TEXT(Z$1,"yyyy")),MATCH(TRIM($A148),BS_Accounts,0))-Z148</f>
        <v>0</v>
      </c>
      <c r="AA149" s="76">
        <f t="array" ref="AA149">INDEX(INDIRECT("BS_"&amp;TEXT(AA$1,"mmm")&amp;"_"&amp;TEXT(AA$1,"yyyy")),MATCH(TRIM($A148),BS_Accounts,0))-AA148</f>
        <v>0</v>
      </c>
      <c r="AB149" s="76">
        <f t="array" ref="AB149">INDEX(INDIRECT("BS_"&amp;TEXT(AB$1,"mmm")&amp;"_"&amp;TEXT(AB$1,"yyyy")),MATCH(TRIM($A148),BS_Accounts,0))-AB148</f>
        <v>0</v>
      </c>
      <c r="AC149" s="76">
        <f t="array" ref="AC149">INDEX(INDIRECT("BS_"&amp;TEXT(AC$1,"mmm")&amp;"_"&amp;TEXT(AC$1,"yyyy")),MATCH(TRIM($A148),BS_Accounts,0))-AC148</f>
        <v>0</v>
      </c>
      <c r="AD149" s="76">
        <f t="array" ref="AD149">INDEX(INDIRECT("BS_"&amp;TEXT(AD$1,"mmm")&amp;"_"&amp;TEXT(AD$1,"yyyy")),MATCH(TRIM($A148),BS_Accounts,0))-AD148</f>
        <v>0</v>
      </c>
      <c r="AE149" s="76">
        <f t="array" ref="AE149">INDEX(INDIRECT("BS_"&amp;TEXT(AE$1,"mmm")&amp;"_"&amp;TEXT(AE$1,"yyyy")),MATCH(TRIM($A148),BS_Accounts,0))-AE148</f>
        <v>0</v>
      </c>
    </row>
    <row r="150" ht="15.75" customHeight="1">
      <c r="A150" s="21" t="s">
        <v>366</v>
      </c>
      <c r="B150" s="163"/>
      <c r="C150" s="21"/>
      <c r="D150" s="147">
        <f t="shared" ref="D150:BW150" si="79">SUM(D148,D141)</f>
        <v>960680</v>
      </c>
      <c r="E150" s="147">
        <f t="shared" si="79"/>
        <v>970330</v>
      </c>
      <c r="F150" s="147">
        <f t="shared" si="79"/>
        <v>867374</v>
      </c>
      <c r="G150" s="147">
        <f t="shared" si="79"/>
        <v>772779</v>
      </c>
      <c r="H150" s="147">
        <f t="shared" si="79"/>
        <v>690714</v>
      </c>
      <c r="I150" s="147">
        <f t="shared" si="79"/>
        <v>612582</v>
      </c>
      <c r="J150" s="147">
        <f t="shared" si="79"/>
        <v>518537</v>
      </c>
      <c r="K150" s="147">
        <f t="shared" si="79"/>
        <v>428771</v>
      </c>
      <c r="L150" s="147">
        <f t="shared" si="79"/>
        <v>314326</v>
      </c>
      <c r="M150" s="147">
        <f t="shared" si="79"/>
        <v>782445</v>
      </c>
      <c r="N150" s="147">
        <f t="shared" si="79"/>
        <v>641848</v>
      </c>
      <c r="O150" s="147">
        <f t="shared" si="79"/>
        <v>464654</v>
      </c>
      <c r="P150" s="147">
        <f t="shared" si="79"/>
        <v>787530</v>
      </c>
      <c r="Q150" s="147">
        <f t="shared" si="79"/>
        <v>597955</v>
      </c>
      <c r="R150" s="147">
        <f t="shared" si="79"/>
        <v>413824</v>
      </c>
      <c r="S150" s="147">
        <f t="shared" si="79"/>
        <v>284883</v>
      </c>
      <c r="T150" s="147">
        <f t="shared" si="79"/>
        <v>433129</v>
      </c>
      <c r="U150" s="147">
        <f t="shared" si="79"/>
        <v>310846</v>
      </c>
      <c r="V150" s="147">
        <f t="shared" si="79"/>
        <v>208372</v>
      </c>
      <c r="W150" s="147">
        <f t="shared" si="79"/>
        <v>125877</v>
      </c>
      <c r="X150" s="147">
        <f t="shared" si="79"/>
        <v>65839</v>
      </c>
      <c r="Y150" s="147">
        <f t="shared" si="79"/>
        <v>338519</v>
      </c>
      <c r="Z150" s="147">
        <f t="shared" si="79"/>
        <v>319614</v>
      </c>
      <c r="AA150" s="147">
        <f t="shared" si="79"/>
        <v>295403</v>
      </c>
      <c r="AB150" s="147">
        <f t="shared" si="79"/>
        <v>281579</v>
      </c>
      <c r="AC150" s="147">
        <f t="shared" si="79"/>
        <v>255410</v>
      </c>
      <c r="AD150" s="147">
        <f t="shared" si="79"/>
        <v>263817.19</v>
      </c>
      <c r="AE150" s="147">
        <f t="shared" si="79"/>
        <v>263700.19</v>
      </c>
      <c r="AF150" s="147" t="str">
        <f t="shared" si="79"/>
        <v>#NAME?</v>
      </c>
      <c r="AG150" s="147" t="str">
        <f t="shared" si="79"/>
        <v>#NAME?</v>
      </c>
      <c r="AH150" s="147" t="str">
        <f t="shared" si="79"/>
        <v>#NAME?</v>
      </c>
      <c r="AI150" s="147" t="str">
        <f t="shared" si="79"/>
        <v>#NAME?</v>
      </c>
      <c r="AJ150" s="147" t="str">
        <f t="shared" si="79"/>
        <v>#NAME?</v>
      </c>
      <c r="AK150" s="147" t="str">
        <f t="shared" si="79"/>
        <v>#NAME?</v>
      </c>
      <c r="AL150" s="147" t="str">
        <f t="shared" si="79"/>
        <v>#NAME?</v>
      </c>
      <c r="AM150" s="147" t="str">
        <f t="shared" si="79"/>
        <v>#NAME?</v>
      </c>
      <c r="AN150" s="147" t="str">
        <f t="shared" si="79"/>
        <v>#NAME?</v>
      </c>
      <c r="AO150" s="147" t="str">
        <f t="shared" si="79"/>
        <v>#NAME?</v>
      </c>
      <c r="AP150" s="147" t="str">
        <f t="shared" si="79"/>
        <v>#NAME?</v>
      </c>
      <c r="AQ150" s="147" t="str">
        <f t="shared" si="79"/>
        <v>#NAME?</v>
      </c>
      <c r="AR150" s="147" t="str">
        <f t="shared" si="79"/>
        <v>#NAME?</v>
      </c>
      <c r="AS150" s="147" t="str">
        <f t="shared" si="79"/>
        <v>#NAME?</v>
      </c>
      <c r="AT150" s="147" t="str">
        <f t="shared" si="79"/>
        <v>#NAME?</v>
      </c>
      <c r="AU150" s="147" t="str">
        <f t="shared" si="79"/>
        <v>#NAME?</v>
      </c>
      <c r="AV150" s="147" t="str">
        <f t="shared" si="79"/>
        <v>#NAME?</v>
      </c>
      <c r="AW150" s="147" t="str">
        <f t="shared" si="79"/>
        <v>#NAME?</v>
      </c>
      <c r="AX150" s="147" t="str">
        <f t="shared" si="79"/>
        <v>#NAME?</v>
      </c>
      <c r="AY150" s="147" t="str">
        <f t="shared" si="79"/>
        <v>#NAME?</v>
      </c>
      <c r="AZ150" s="147" t="str">
        <f t="shared" si="79"/>
        <v>#NAME?</v>
      </c>
      <c r="BA150" s="147" t="str">
        <f t="shared" si="79"/>
        <v>#NAME?</v>
      </c>
      <c r="BB150" s="147" t="str">
        <f t="shared" si="79"/>
        <v>#NAME?</v>
      </c>
      <c r="BC150" s="147" t="str">
        <f t="shared" si="79"/>
        <v>#NAME?</v>
      </c>
      <c r="BD150" s="147" t="str">
        <f t="shared" si="79"/>
        <v>#NAME?</v>
      </c>
      <c r="BE150" s="147" t="str">
        <f t="shared" si="79"/>
        <v>#NAME?</v>
      </c>
      <c r="BF150" s="147" t="str">
        <f t="shared" si="79"/>
        <v>#NAME?</v>
      </c>
      <c r="BG150" s="147" t="str">
        <f t="shared" si="79"/>
        <v>#NAME?</v>
      </c>
      <c r="BH150" s="147" t="str">
        <f t="shared" si="79"/>
        <v>#NAME?</v>
      </c>
      <c r="BI150" s="147" t="str">
        <f t="shared" si="79"/>
        <v>#NAME?</v>
      </c>
      <c r="BJ150" s="147" t="str">
        <f t="shared" si="79"/>
        <v>#NAME?</v>
      </c>
      <c r="BK150" s="147" t="str">
        <f t="shared" si="79"/>
        <v>#NAME?</v>
      </c>
      <c r="BL150" s="147" t="str">
        <f t="shared" si="79"/>
        <v>#NAME?</v>
      </c>
      <c r="BM150" s="147" t="str">
        <f t="shared" si="79"/>
        <v>#NAME?</v>
      </c>
      <c r="BN150" s="147" t="str">
        <f t="shared" si="79"/>
        <v>#NAME?</v>
      </c>
      <c r="BO150" s="147" t="str">
        <f t="shared" si="79"/>
        <v>#NAME?</v>
      </c>
      <c r="BP150" s="147" t="str">
        <f t="shared" si="79"/>
        <v>#NAME?</v>
      </c>
      <c r="BQ150" s="147" t="str">
        <f t="shared" si="79"/>
        <v>#NAME?</v>
      </c>
      <c r="BR150" s="147" t="str">
        <f t="shared" si="79"/>
        <v>#NAME?</v>
      </c>
      <c r="BS150" s="147" t="str">
        <f t="shared" si="79"/>
        <v>#NAME?</v>
      </c>
      <c r="BT150" s="147" t="str">
        <f t="shared" si="79"/>
        <v>#NAME?</v>
      </c>
      <c r="BU150" s="147" t="str">
        <f t="shared" si="79"/>
        <v>#NAME?</v>
      </c>
      <c r="BV150" s="147" t="str">
        <f t="shared" si="79"/>
        <v>#NAME?</v>
      </c>
      <c r="BW150" s="147" t="str">
        <f t="shared" si="79"/>
        <v>#NAME?</v>
      </c>
    </row>
    <row r="151" ht="15.75" customHeight="1">
      <c r="A151" s="31" t="s">
        <v>244</v>
      </c>
      <c r="B151" s="159"/>
      <c r="D151" s="76">
        <f t="array" ref="D151">ROUND(INDEX(INDIRECT("BS_"&amp;TEXT(D$1,"mmm")&amp;"_"&amp;TEXT(D$1,"yyyy")),MATCH(TRIM($A150),BS_Accounts,0))-D150,2)</f>
        <v>0</v>
      </c>
      <c r="E151" s="76">
        <f t="array" ref="E151">ROUND(INDEX(INDIRECT("BS_"&amp;TEXT(E$1,"mmm")&amp;"_"&amp;TEXT(E$1,"yyyy")),MATCH(TRIM($A150),BS_Accounts,0))-E150,2)</f>
        <v>0</v>
      </c>
      <c r="F151" s="76">
        <f t="array" ref="F151">ROUND(INDEX(INDIRECT("BS_"&amp;TEXT(F$1,"mmm")&amp;"_"&amp;TEXT(F$1,"yyyy")),MATCH(TRIM($A150),BS_Accounts,0))-F150,2)</f>
        <v>0</v>
      </c>
      <c r="G151" s="76">
        <f t="array" ref="G151">ROUND(INDEX(INDIRECT("BS_"&amp;TEXT(G$1,"mmm")&amp;"_"&amp;TEXT(G$1,"yyyy")),MATCH(TRIM($A150),BS_Accounts,0))-G150,2)</f>
        <v>0</v>
      </c>
      <c r="H151" s="76">
        <f t="array" ref="H151">ROUND(INDEX(INDIRECT("BS_"&amp;TEXT(H$1,"mmm")&amp;"_"&amp;TEXT(H$1,"yyyy")),MATCH(TRIM($A150),BS_Accounts,0))-H150,2)</f>
        <v>0</v>
      </c>
      <c r="I151" s="76">
        <f t="array" ref="I151">ROUND(INDEX(INDIRECT("BS_"&amp;TEXT(I$1,"mmm")&amp;"_"&amp;TEXT(I$1,"yyyy")),MATCH(TRIM($A150),BS_Accounts,0))-I150,2)</f>
        <v>0</v>
      </c>
      <c r="J151" s="76">
        <f t="array" ref="J151">ROUND(INDEX(INDIRECT("BS_"&amp;TEXT(J$1,"mmm")&amp;"_"&amp;TEXT(J$1,"yyyy")),MATCH(TRIM($A150),BS_Accounts,0))-J150,2)</f>
        <v>0</v>
      </c>
      <c r="K151" s="76">
        <f t="array" ref="K151">ROUND(INDEX(INDIRECT("BS_"&amp;TEXT(K$1,"mmm")&amp;"_"&amp;TEXT(K$1,"yyyy")),MATCH(TRIM($A150),BS_Accounts,0))-K150,2)</f>
        <v>0</v>
      </c>
      <c r="L151" s="76">
        <f t="array" ref="L151">ROUND(INDEX(INDIRECT("BS_"&amp;TEXT(L$1,"mmm")&amp;"_"&amp;TEXT(L$1,"yyyy")),MATCH(TRIM($A150),BS_Accounts,0))-L150,2)</f>
        <v>0</v>
      </c>
      <c r="M151" s="76">
        <f t="array" ref="M151">ROUND(INDEX(INDIRECT("BS_"&amp;TEXT(M$1,"mmm")&amp;"_"&amp;TEXT(M$1,"yyyy")),MATCH(TRIM($A150),BS_Accounts,0))-M150,2)</f>
        <v>0</v>
      </c>
      <c r="N151" s="76">
        <f t="array" ref="N151">ROUND(INDEX(INDIRECT("BS_"&amp;TEXT(N$1,"mmm")&amp;"_"&amp;TEXT(N$1,"yyyy")),MATCH(TRIM($A150),BS_Accounts,0))-N150,2)</f>
        <v>0</v>
      </c>
      <c r="O151" s="76">
        <f t="array" ref="O151">ROUND(INDEX(INDIRECT("BS_"&amp;TEXT(O$1,"mmm")&amp;"_"&amp;TEXT(O$1,"yyyy")),MATCH(TRIM($A150),BS_Accounts,0))-O150,2)</f>
        <v>0</v>
      </c>
      <c r="P151" s="76">
        <f t="array" ref="P151">ROUND(INDEX(INDIRECT("BS_"&amp;TEXT(P$1,"mmm")&amp;"_"&amp;TEXT(P$1,"yyyy")),MATCH(TRIM($A150),BS_Accounts,0))-P150,2)</f>
        <v>0</v>
      </c>
      <c r="Q151" s="76">
        <f t="array" ref="Q151">ROUND(INDEX(INDIRECT("BS_"&amp;TEXT(Q$1,"mmm")&amp;"_"&amp;TEXT(Q$1,"yyyy")),MATCH(TRIM($A150),BS_Accounts,0))-Q150,2)</f>
        <v>0</v>
      </c>
      <c r="R151" s="76">
        <f t="array" ref="R151">ROUND(INDEX(INDIRECT("BS_"&amp;TEXT(R$1,"mmm")&amp;"_"&amp;TEXT(R$1,"yyyy")),MATCH(TRIM($A150),BS_Accounts,0))-R150,2)</f>
        <v>0</v>
      </c>
      <c r="S151" s="76">
        <f t="array" ref="S151">ROUND(INDEX(INDIRECT("BS_"&amp;TEXT(S$1,"mmm")&amp;"_"&amp;TEXT(S$1,"yyyy")),MATCH(TRIM($A150),BS_Accounts,0))-S150,2)</f>
        <v>0</v>
      </c>
      <c r="T151" s="76">
        <f t="array" ref="T151">ROUND(INDEX(INDIRECT("BS_"&amp;TEXT(T$1,"mmm")&amp;"_"&amp;TEXT(T$1,"yyyy")),MATCH(TRIM($A150),BS_Accounts,0))-T150,2)</f>
        <v>0</v>
      </c>
      <c r="U151" s="76">
        <f t="array" ref="U151">ROUND(INDEX(INDIRECT("BS_"&amp;TEXT(U$1,"mmm")&amp;"_"&amp;TEXT(U$1,"yyyy")),MATCH(TRIM($A150),BS_Accounts,0))-U150,2)</f>
        <v>0</v>
      </c>
      <c r="V151" s="76">
        <f t="array" ref="V151">ROUND(INDEX(INDIRECT("BS_"&amp;TEXT(V$1,"mmm")&amp;"_"&amp;TEXT(V$1,"yyyy")),MATCH(TRIM($A150),BS_Accounts,0))-V150,2)</f>
        <v>0</v>
      </c>
      <c r="W151" s="76">
        <f t="array" ref="W151">ROUND(INDEX(INDIRECT("BS_"&amp;TEXT(W$1,"mmm")&amp;"_"&amp;TEXT(W$1,"yyyy")),MATCH(TRIM($A150),BS_Accounts,0))-W150,2)</f>
        <v>0</v>
      </c>
      <c r="X151" s="76">
        <f t="array" ref="X151">ROUND(INDEX(INDIRECT("BS_"&amp;TEXT(X$1,"mmm")&amp;"_"&amp;TEXT(X$1,"yyyy")),MATCH(TRIM($A150),BS_Accounts,0))-X150,2)</f>
        <v>0</v>
      </c>
      <c r="Y151" s="76">
        <f t="array" ref="Y151">ROUND(INDEX(INDIRECT("BS_"&amp;TEXT(Y$1,"mmm")&amp;"_"&amp;TEXT(Y$1,"yyyy")),MATCH(TRIM($A150),BS_Accounts,0))-Y150,2)</f>
        <v>0</v>
      </c>
      <c r="Z151" s="76">
        <f t="array" ref="Z151">ROUND(INDEX(INDIRECT("BS_"&amp;TEXT(Z$1,"mmm")&amp;"_"&amp;TEXT(Z$1,"yyyy")),MATCH(TRIM($A150),BS_Accounts,0))-Z150,2)</f>
        <v>0</v>
      </c>
      <c r="AA151" s="76">
        <f t="array" ref="AA151">ROUND(INDEX(INDIRECT("BS_"&amp;TEXT(AA$1,"mmm")&amp;"_"&amp;TEXT(AA$1,"yyyy")),MATCH(TRIM($A150),BS_Accounts,0))-AA150,2)</f>
        <v>0</v>
      </c>
      <c r="AB151" s="76">
        <f t="array" ref="AB151">ROUND(INDEX(INDIRECT("BS_"&amp;TEXT(AB$1,"mmm")&amp;"_"&amp;TEXT(AB$1,"yyyy")),MATCH(TRIM($A150),BS_Accounts,0))-AB150,2)</f>
        <v>0</v>
      </c>
      <c r="AC151" s="76">
        <f t="array" ref="AC151">ROUND(INDEX(INDIRECT("BS_"&amp;TEXT(AC$1,"mmm")&amp;"_"&amp;TEXT(AC$1,"yyyy")),MATCH(TRIM($A150),BS_Accounts,0))-AC150,2)</f>
        <v>0</v>
      </c>
      <c r="AD151" s="76">
        <f t="array" ref="AD151">ROUND(INDEX(INDIRECT("BS_"&amp;TEXT(AD$1,"mmm")&amp;"_"&amp;TEXT(AD$1,"yyyy")),MATCH(TRIM($A150),BS_Accounts,0))-AD150,2)</f>
        <v>0</v>
      </c>
      <c r="AE151" s="76">
        <f t="array" ref="AE151">ROUND(INDEX(INDIRECT("BS_"&amp;TEXT(AE$1,"mmm")&amp;"_"&amp;TEXT(AE$1,"yyyy")),MATCH(TRIM($A150),BS_Accounts,0))-AE150,2)</f>
        <v>0</v>
      </c>
    </row>
    <row r="152" ht="15.75" customHeight="1">
      <c r="A152" s="31" t="s">
        <v>367</v>
      </c>
      <c r="B152" s="159"/>
      <c r="D152" s="76">
        <f t="shared" ref="D152:BW152" si="80">ROUND(D150-D119,2)</f>
        <v>0</v>
      </c>
      <c r="E152" s="76">
        <f t="shared" si="80"/>
        <v>0</v>
      </c>
      <c r="F152" s="76">
        <f t="shared" si="80"/>
        <v>0</v>
      </c>
      <c r="G152" s="76">
        <f t="shared" si="80"/>
        <v>0</v>
      </c>
      <c r="H152" s="76">
        <f t="shared" si="80"/>
        <v>0</v>
      </c>
      <c r="I152" s="76">
        <f t="shared" si="80"/>
        <v>0</v>
      </c>
      <c r="J152" s="76">
        <f t="shared" si="80"/>
        <v>0</v>
      </c>
      <c r="K152" s="76">
        <f t="shared" si="80"/>
        <v>0</v>
      </c>
      <c r="L152" s="76">
        <f t="shared" si="80"/>
        <v>0</v>
      </c>
      <c r="M152" s="76">
        <f t="shared" si="80"/>
        <v>0</v>
      </c>
      <c r="N152" s="76">
        <f t="shared" si="80"/>
        <v>0</v>
      </c>
      <c r="O152" s="76">
        <f t="shared" si="80"/>
        <v>0</v>
      </c>
      <c r="P152" s="76">
        <f t="shared" si="80"/>
        <v>0</v>
      </c>
      <c r="Q152" s="76">
        <f t="shared" si="80"/>
        <v>0</v>
      </c>
      <c r="R152" s="76">
        <f t="shared" si="80"/>
        <v>0</v>
      </c>
      <c r="S152" s="76">
        <f t="shared" si="80"/>
        <v>0</v>
      </c>
      <c r="T152" s="76">
        <f t="shared" si="80"/>
        <v>0</v>
      </c>
      <c r="U152" s="76">
        <f t="shared" si="80"/>
        <v>0</v>
      </c>
      <c r="V152" s="76">
        <f t="shared" si="80"/>
        <v>0</v>
      </c>
      <c r="W152" s="76">
        <f t="shared" si="80"/>
        <v>0</v>
      </c>
      <c r="X152" s="76">
        <f t="shared" si="80"/>
        <v>0</v>
      </c>
      <c r="Y152" s="76">
        <f t="shared" si="80"/>
        <v>0</v>
      </c>
      <c r="Z152" s="76">
        <f t="shared" si="80"/>
        <v>0</v>
      </c>
      <c r="AA152" s="76">
        <f t="shared" si="80"/>
        <v>0</v>
      </c>
      <c r="AB152" s="76">
        <f t="shared" si="80"/>
        <v>0</v>
      </c>
      <c r="AC152" s="76">
        <f t="shared" si="80"/>
        <v>0</v>
      </c>
      <c r="AD152" s="76">
        <f t="shared" si="80"/>
        <v>0</v>
      </c>
      <c r="AE152" s="76">
        <f t="shared" si="80"/>
        <v>0</v>
      </c>
      <c r="AF152" s="76" t="str">
        <f t="shared" si="80"/>
        <v>#NAME?</v>
      </c>
      <c r="AG152" s="76" t="str">
        <f t="shared" si="80"/>
        <v>#NAME?</v>
      </c>
      <c r="AH152" s="76" t="str">
        <f t="shared" si="80"/>
        <v>#NAME?</v>
      </c>
      <c r="AI152" s="76" t="str">
        <f t="shared" si="80"/>
        <v>#NAME?</v>
      </c>
      <c r="AJ152" s="76" t="str">
        <f t="shared" si="80"/>
        <v>#NAME?</v>
      </c>
      <c r="AK152" s="76" t="str">
        <f t="shared" si="80"/>
        <v>#NAME?</v>
      </c>
      <c r="AL152" s="76" t="str">
        <f t="shared" si="80"/>
        <v>#NAME?</v>
      </c>
      <c r="AM152" s="76" t="str">
        <f t="shared" si="80"/>
        <v>#NAME?</v>
      </c>
      <c r="AN152" s="76" t="str">
        <f t="shared" si="80"/>
        <v>#NAME?</v>
      </c>
      <c r="AO152" s="76" t="str">
        <f t="shared" si="80"/>
        <v>#NAME?</v>
      </c>
      <c r="AP152" s="76" t="str">
        <f t="shared" si="80"/>
        <v>#NAME?</v>
      </c>
      <c r="AQ152" s="76" t="str">
        <f t="shared" si="80"/>
        <v>#NAME?</v>
      </c>
      <c r="AR152" s="76" t="str">
        <f t="shared" si="80"/>
        <v>#NAME?</v>
      </c>
      <c r="AS152" s="76" t="str">
        <f t="shared" si="80"/>
        <v>#NAME?</v>
      </c>
      <c r="AT152" s="76" t="str">
        <f t="shared" si="80"/>
        <v>#NAME?</v>
      </c>
      <c r="AU152" s="76" t="str">
        <f t="shared" si="80"/>
        <v>#NAME?</v>
      </c>
      <c r="AV152" s="76" t="str">
        <f t="shared" si="80"/>
        <v>#NAME?</v>
      </c>
      <c r="AW152" s="76" t="str">
        <f t="shared" si="80"/>
        <v>#NAME?</v>
      </c>
      <c r="AX152" s="76" t="str">
        <f t="shared" si="80"/>
        <v>#NAME?</v>
      </c>
      <c r="AY152" s="76" t="str">
        <f t="shared" si="80"/>
        <v>#NAME?</v>
      </c>
      <c r="AZ152" s="76" t="str">
        <f t="shared" si="80"/>
        <v>#NAME?</v>
      </c>
      <c r="BA152" s="76" t="str">
        <f t="shared" si="80"/>
        <v>#NAME?</v>
      </c>
      <c r="BB152" s="76" t="str">
        <f t="shared" si="80"/>
        <v>#NAME?</v>
      </c>
      <c r="BC152" s="76" t="str">
        <f t="shared" si="80"/>
        <v>#NAME?</v>
      </c>
      <c r="BD152" s="76" t="str">
        <f t="shared" si="80"/>
        <v>#NAME?</v>
      </c>
      <c r="BE152" s="76" t="str">
        <f t="shared" si="80"/>
        <v>#NAME?</v>
      </c>
      <c r="BF152" s="76" t="str">
        <f t="shared" si="80"/>
        <v>#NAME?</v>
      </c>
      <c r="BG152" s="76" t="str">
        <f t="shared" si="80"/>
        <v>#NAME?</v>
      </c>
      <c r="BH152" s="76" t="str">
        <f t="shared" si="80"/>
        <v>#NAME?</v>
      </c>
      <c r="BI152" s="76" t="str">
        <f t="shared" si="80"/>
        <v>#NAME?</v>
      </c>
      <c r="BJ152" s="76" t="str">
        <f t="shared" si="80"/>
        <v>#NAME?</v>
      </c>
      <c r="BK152" s="76" t="str">
        <f t="shared" si="80"/>
        <v>#NAME?</v>
      </c>
      <c r="BL152" s="76" t="str">
        <f t="shared" si="80"/>
        <v>#NAME?</v>
      </c>
      <c r="BM152" s="76" t="str">
        <f t="shared" si="80"/>
        <v>#NAME?</v>
      </c>
      <c r="BN152" s="76" t="str">
        <f t="shared" si="80"/>
        <v>#NAME?</v>
      </c>
      <c r="BO152" s="76" t="str">
        <f t="shared" si="80"/>
        <v>#NAME?</v>
      </c>
      <c r="BP152" s="76" t="str">
        <f t="shared" si="80"/>
        <v>#NAME?</v>
      </c>
      <c r="BQ152" s="76" t="str">
        <f t="shared" si="80"/>
        <v>#NAME?</v>
      </c>
      <c r="BR152" s="76" t="str">
        <f t="shared" si="80"/>
        <v>#NAME?</v>
      </c>
      <c r="BS152" s="76" t="str">
        <f t="shared" si="80"/>
        <v>#NAME?</v>
      </c>
      <c r="BT152" s="76" t="str">
        <f t="shared" si="80"/>
        <v>#NAME?</v>
      </c>
      <c r="BU152" s="76" t="str">
        <f t="shared" si="80"/>
        <v>#NAME?</v>
      </c>
      <c r="BV152" s="76" t="str">
        <f t="shared" si="80"/>
        <v>#NAME?</v>
      </c>
      <c r="BW152" s="76" t="str">
        <f t="shared" si="80"/>
        <v>#NAME?</v>
      </c>
    </row>
    <row r="153" ht="15.75" customHeight="1">
      <c r="B153" s="159"/>
    </row>
    <row r="154" ht="15.75" customHeight="1">
      <c r="A154" s="7" t="s">
        <v>368</v>
      </c>
      <c r="B154" s="159"/>
    </row>
    <row r="155" ht="15.75" customHeight="1">
      <c r="A155" s="1" t="s">
        <v>369</v>
      </c>
      <c r="B155" s="159"/>
    </row>
    <row r="156" ht="15.75" customHeight="1">
      <c r="A156" s="1" t="s">
        <v>370</v>
      </c>
      <c r="B156" s="159"/>
      <c r="D156" s="96">
        <f t="shared" ref="D156:BW156" si="81">D$97</f>
        <v>-89438</v>
      </c>
      <c r="E156" s="96">
        <f t="shared" si="81"/>
        <v>-88124</v>
      </c>
      <c r="F156" s="96">
        <f t="shared" si="81"/>
        <v>-102956</v>
      </c>
      <c r="G156" s="96">
        <f t="shared" si="81"/>
        <v>-94595</v>
      </c>
      <c r="H156" s="96">
        <f t="shared" si="81"/>
        <v>-82065</v>
      </c>
      <c r="I156" s="96">
        <f t="shared" si="81"/>
        <v>-78132</v>
      </c>
      <c r="J156" s="96">
        <f t="shared" si="81"/>
        <v>-94045</v>
      </c>
      <c r="K156" s="96">
        <f t="shared" si="81"/>
        <v>-89766</v>
      </c>
      <c r="L156" s="96">
        <f t="shared" si="81"/>
        <v>-114445</v>
      </c>
      <c r="M156" s="96">
        <f t="shared" si="81"/>
        <v>-131881</v>
      </c>
      <c r="N156" s="96">
        <f t="shared" si="81"/>
        <v>-140597</v>
      </c>
      <c r="O156" s="96">
        <f t="shared" si="81"/>
        <v>-177194</v>
      </c>
      <c r="P156" s="96">
        <f t="shared" si="81"/>
        <v>-177124</v>
      </c>
      <c r="Q156" s="96">
        <f t="shared" si="81"/>
        <v>-189575</v>
      </c>
      <c r="R156" s="96">
        <f t="shared" si="81"/>
        <v>-184131</v>
      </c>
      <c r="S156" s="96">
        <f t="shared" si="81"/>
        <v>-128941</v>
      </c>
      <c r="T156" s="96">
        <f t="shared" si="81"/>
        <v>-151754</v>
      </c>
      <c r="U156" s="96">
        <f t="shared" si="81"/>
        <v>-122283</v>
      </c>
      <c r="V156" s="96">
        <f t="shared" si="81"/>
        <v>-102474</v>
      </c>
      <c r="W156" s="96">
        <f t="shared" si="81"/>
        <v>-82495</v>
      </c>
      <c r="X156" s="96">
        <f t="shared" si="81"/>
        <v>-60038</v>
      </c>
      <c r="Y156" s="96">
        <f t="shared" si="81"/>
        <v>-27320</v>
      </c>
      <c r="Z156" s="96">
        <f t="shared" si="81"/>
        <v>-18905</v>
      </c>
      <c r="AA156" s="96">
        <f t="shared" si="81"/>
        <v>-24211</v>
      </c>
      <c r="AB156" s="96">
        <f t="shared" si="81"/>
        <v>-13824</v>
      </c>
      <c r="AC156" s="96">
        <f t="shared" si="81"/>
        <v>-26169</v>
      </c>
      <c r="AD156" s="96">
        <f t="shared" si="81"/>
        <v>8407.19</v>
      </c>
      <c r="AE156" s="96">
        <f t="shared" si="81"/>
        <v>-117</v>
      </c>
      <c r="AF156" s="96" t="str">
        <f t="shared" si="81"/>
        <v>#NAME?</v>
      </c>
      <c r="AG156" s="96" t="str">
        <f t="shared" si="81"/>
        <v>#NAME?</v>
      </c>
      <c r="AH156" s="96" t="str">
        <f t="shared" si="81"/>
        <v>#NAME?</v>
      </c>
      <c r="AI156" s="96" t="str">
        <f t="shared" si="81"/>
        <v>#NAME?</v>
      </c>
      <c r="AJ156" s="96" t="str">
        <f t="shared" si="81"/>
        <v>#NAME?</v>
      </c>
      <c r="AK156" s="96" t="str">
        <f t="shared" si="81"/>
        <v>#NAME?</v>
      </c>
      <c r="AL156" s="96" t="str">
        <f t="shared" si="81"/>
        <v>#NAME?</v>
      </c>
      <c r="AM156" s="96" t="str">
        <f t="shared" si="81"/>
        <v>#NAME?</v>
      </c>
      <c r="AN156" s="96" t="str">
        <f t="shared" si="81"/>
        <v>#NAME?</v>
      </c>
      <c r="AO156" s="96" t="str">
        <f t="shared" si="81"/>
        <v>#NAME?</v>
      </c>
      <c r="AP156" s="96" t="str">
        <f t="shared" si="81"/>
        <v>#NAME?</v>
      </c>
      <c r="AQ156" s="96" t="str">
        <f t="shared" si="81"/>
        <v>#NAME?</v>
      </c>
      <c r="AR156" s="96" t="str">
        <f t="shared" si="81"/>
        <v>#NAME?</v>
      </c>
      <c r="AS156" s="96" t="str">
        <f t="shared" si="81"/>
        <v>#NAME?</v>
      </c>
      <c r="AT156" s="96" t="str">
        <f t="shared" si="81"/>
        <v>#NAME?</v>
      </c>
      <c r="AU156" s="96" t="str">
        <f t="shared" si="81"/>
        <v>#NAME?</v>
      </c>
      <c r="AV156" s="96" t="str">
        <f t="shared" si="81"/>
        <v>#NAME?</v>
      </c>
      <c r="AW156" s="96" t="str">
        <f t="shared" si="81"/>
        <v>#NAME?</v>
      </c>
      <c r="AX156" s="96" t="str">
        <f t="shared" si="81"/>
        <v>#NAME?</v>
      </c>
      <c r="AY156" s="96" t="str">
        <f t="shared" si="81"/>
        <v>#NAME?</v>
      </c>
      <c r="AZ156" s="96" t="str">
        <f t="shared" si="81"/>
        <v>#NAME?</v>
      </c>
      <c r="BA156" s="96" t="str">
        <f t="shared" si="81"/>
        <v>#NAME?</v>
      </c>
      <c r="BB156" s="96" t="str">
        <f t="shared" si="81"/>
        <v>#NAME?</v>
      </c>
      <c r="BC156" s="96" t="str">
        <f t="shared" si="81"/>
        <v>#NAME?</v>
      </c>
      <c r="BD156" s="96" t="str">
        <f t="shared" si="81"/>
        <v>#NAME?</v>
      </c>
      <c r="BE156" s="96" t="str">
        <f t="shared" si="81"/>
        <v>#NAME?</v>
      </c>
      <c r="BF156" s="96" t="str">
        <f t="shared" si="81"/>
        <v>#NAME?</v>
      </c>
      <c r="BG156" s="96" t="str">
        <f t="shared" si="81"/>
        <v>#NAME?</v>
      </c>
      <c r="BH156" s="96" t="str">
        <f t="shared" si="81"/>
        <v>#NAME?</v>
      </c>
      <c r="BI156" s="96" t="str">
        <f t="shared" si="81"/>
        <v>#NAME?</v>
      </c>
      <c r="BJ156" s="96" t="str">
        <f t="shared" si="81"/>
        <v>#NAME?</v>
      </c>
      <c r="BK156" s="96" t="str">
        <f t="shared" si="81"/>
        <v>#NAME?</v>
      </c>
      <c r="BL156" s="96" t="str">
        <f t="shared" si="81"/>
        <v>#NAME?</v>
      </c>
      <c r="BM156" s="96" t="str">
        <f t="shared" si="81"/>
        <v>#NAME?</v>
      </c>
      <c r="BN156" s="96" t="str">
        <f t="shared" si="81"/>
        <v>#NAME?</v>
      </c>
      <c r="BO156" s="96" t="str">
        <f t="shared" si="81"/>
        <v>#NAME?</v>
      </c>
      <c r="BP156" s="96" t="str">
        <f t="shared" si="81"/>
        <v>#NAME?</v>
      </c>
      <c r="BQ156" s="96" t="str">
        <f t="shared" si="81"/>
        <v>#NAME?</v>
      </c>
      <c r="BR156" s="96" t="str">
        <f t="shared" si="81"/>
        <v>#NAME?</v>
      </c>
      <c r="BS156" s="96" t="str">
        <f t="shared" si="81"/>
        <v>#NAME?</v>
      </c>
      <c r="BT156" s="96" t="str">
        <f t="shared" si="81"/>
        <v>#NAME?</v>
      </c>
      <c r="BU156" s="96" t="str">
        <f t="shared" si="81"/>
        <v>#NAME?</v>
      </c>
      <c r="BV156" s="96" t="str">
        <f t="shared" si="81"/>
        <v>#NAME?</v>
      </c>
      <c r="BW156" s="96" t="str">
        <f t="shared" si="81"/>
        <v>#NAME?</v>
      </c>
    </row>
    <row r="157" ht="15.75" customHeight="1">
      <c r="A157" s="1" t="s">
        <v>371</v>
      </c>
      <c r="B157" s="159"/>
    </row>
    <row r="158" ht="15.75" customHeight="1">
      <c r="A158" s="1" t="s">
        <v>332</v>
      </c>
      <c r="B158" s="159"/>
      <c r="D158" s="96">
        <f t="shared" ref="D158:BW158" si="82">-D114+C114</f>
        <v>0</v>
      </c>
      <c r="E158" s="96">
        <f t="shared" si="82"/>
        <v>0</v>
      </c>
      <c r="F158" s="96">
        <f t="shared" si="82"/>
        <v>0</v>
      </c>
      <c r="G158" s="96">
        <f t="shared" si="82"/>
        <v>0</v>
      </c>
      <c r="H158" s="96">
        <f t="shared" si="82"/>
        <v>0</v>
      </c>
      <c r="I158" s="96">
        <f t="shared" si="82"/>
        <v>0</v>
      </c>
      <c r="J158" s="96">
        <f t="shared" si="82"/>
        <v>0</v>
      </c>
      <c r="K158" s="96">
        <f t="shared" si="82"/>
        <v>0</v>
      </c>
      <c r="L158" s="96">
        <f t="shared" si="82"/>
        <v>0</v>
      </c>
      <c r="M158" s="96">
        <f t="shared" si="82"/>
        <v>0</v>
      </c>
      <c r="N158" s="96">
        <f t="shared" si="82"/>
        <v>0</v>
      </c>
      <c r="O158" s="96">
        <f t="shared" si="82"/>
        <v>0</v>
      </c>
      <c r="P158" s="96">
        <f t="shared" si="82"/>
        <v>0</v>
      </c>
      <c r="Q158" s="96">
        <f t="shared" si="82"/>
        <v>0</v>
      </c>
      <c r="R158" s="96">
        <f t="shared" si="82"/>
        <v>0</v>
      </c>
      <c r="S158" s="96">
        <f t="shared" si="82"/>
        <v>0</v>
      </c>
      <c r="T158" s="96">
        <f t="shared" si="82"/>
        <v>0</v>
      </c>
      <c r="U158" s="96">
        <f t="shared" si="82"/>
        <v>0</v>
      </c>
      <c r="V158" s="96">
        <f t="shared" si="82"/>
        <v>0</v>
      </c>
      <c r="W158" s="96">
        <f t="shared" si="82"/>
        <v>0</v>
      </c>
      <c r="X158" s="96">
        <f t="shared" si="82"/>
        <v>0</v>
      </c>
      <c r="Y158" s="96">
        <f t="shared" si="82"/>
        <v>0</v>
      </c>
      <c r="Z158" s="96">
        <f t="shared" si="82"/>
        <v>0</v>
      </c>
      <c r="AA158" s="96">
        <f t="shared" si="82"/>
        <v>0</v>
      </c>
      <c r="AB158" s="96">
        <f t="shared" si="82"/>
        <v>0</v>
      </c>
      <c r="AC158" s="96">
        <f t="shared" si="82"/>
        <v>0</v>
      </c>
      <c r="AD158" s="96">
        <f t="shared" si="82"/>
        <v>0</v>
      </c>
      <c r="AE158" s="96">
        <f t="shared" si="82"/>
        <v>0</v>
      </c>
      <c r="AF158" s="96">
        <f t="shared" si="82"/>
        <v>0</v>
      </c>
      <c r="AG158" s="96">
        <f t="shared" si="82"/>
        <v>0</v>
      </c>
      <c r="AH158" s="96">
        <f t="shared" si="82"/>
        <v>0</v>
      </c>
      <c r="AI158" s="96">
        <f t="shared" si="82"/>
        <v>0</v>
      </c>
      <c r="AJ158" s="96">
        <f t="shared" si="82"/>
        <v>0</v>
      </c>
      <c r="AK158" s="96">
        <f t="shared" si="82"/>
        <v>0</v>
      </c>
      <c r="AL158" s="96">
        <f t="shared" si="82"/>
        <v>0</v>
      </c>
      <c r="AM158" s="96">
        <f t="shared" si="82"/>
        <v>0</v>
      </c>
      <c r="AN158" s="96">
        <f t="shared" si="82"/>
        <v>0</v>
      </c>
      <c r="AO158" s="96">
        <f t="shared" si="82"/>
        <v>0</v>
      </c>
      <c r="AP158" s="96">
        <f t="shared" si="82"/>
        <v>0</v>
      </c>
      <c r="AQ158" s="96">
        <f t="shared" si="82"/>
        <v>0</v>
      </c>
      <c r="AR158" s="96">
        <f t="shared" si="82"/>
        <v>0</v>
      </c>
      <c r="AS158" s="96">
        <f t="shared" si="82"/>
        <v>0</v>
      </c>
      <c r="AT158" s="96">
        <f t="shared" si="82"/>
        <v>0</v>
      </c>
      <c r="AU158" s="96">
        <f t="shared" si="82"/>
        <v>0</v>
      </c>
      <c r="AV158" s="96">
        <f t="shared" si="82"/>
        <v>0</v>
      </c>
      <c r="AW158" s="96">
        <f t="shared" si="82"/>
        <v>0</v>
      </c>
      <c r="AX158" s="96">
        <f t="shared" si="82"/>
        <v>0</v>
      </c>
      <c r="AY158" s="96">
        <f t="shared" si="82"/>
        <v>0</v>
      </c>
      <c r="AZ158" s="96">
        <f t="shared" si="82"/>
        <v>0</v>
      </c>
      <c r="BA158" s="96">
        <f t="shared" si="82"/>
        <v>0</v>
      </c>
      <c r="BB158" s="96">
        <f t="shared" si="82"/>
        <v>0</v>
      </c>
      <c r="BC158" s="96">
        <f t="shared" si="82"/>
        <v>0</v>
      </c>
      <c r="BD158" s="96">
        <f t="shared" si="82"/>
        <v>0</v>
      </c>
      <c r="BE158" s="96">
        <f t="shared" si="82"/>
        <v>0</v>
      </c>
      <c r="BF158" s="96">
        <f t="shared" si="82"/>
        <v>0</v>
      </c>
      <c r="BG158" s="96">
        <f t="shared" si="82"/>
        <v>0</v>
      </c>
      <c r="BH158" s="96">
        <f t="shared" si="82"/>
        <v>0</v>
      </c>
      <c r="BI158" s="96">
        <f t="shared" si="82"/>
        <v>0</v>
      </c>
      <c r="BJ158" s="96">
        <f t="shared" si="82"/>
        <v>0</v>
      </c>
      <c r="BK158" s="96">
        <f t="shared" si="82"/>
        <v>0</v>
      </c>
      <c r="BL158" s="96">
        <f t="shared" si="82"/>
        <v>0</v>
      </c>
      <c r="BM158" s="96">
        <f t="shared" si="82"/>
        <v>0</v>
      </c>
      <c r="BN158" s="96">
        <f t="shared" si="82"/>
        <v>0</v>
      </c>
      <c r="BO158" s="96">
        <f t="shared" si="82"/>
        <v>0</v>
      </c>
      <c r="BP158" s="96">
        <f t="shared" si="82"/>
        <v>0</v>
      </c>
      <c r="BQ158" s="96">
        <f t="shared" si="82"/>
        <v>0</v>
      </c>
      <c r="BR158" s="96">
        <f t="shared" si="82"/>
        <v>0</v>
      </c>
      <c r="BS158" s="96">
        <f t="shared" si="82"/>
        <v>0</v>
      </c>
      <c r="BT158" s="96">
        <f t="shared" si="82"/>
        <v>0</v>
      </c>
      <c r="BU158" s="96">
        <f t="shared" si="82"/>
        <v>0</v>
      </c>
      <c r="BV158" s="96">
        <f t="shared" si="82"/>
        <v>0</v>
      </c>
      <c r="BW158" s="96">
        <f t="shared" si="82"/>
        <v>0</v>
      </c>
    </row>
    <row r="159" ht="15.75" customHeight="1">
      <c r="A159" s="1" t="s">
        <v>336</v>
      </c>
      <c r="B159" s="159"/>
      <c r="D159" s="96">
        <f t="shared" ref="D159:BW159" si="83">-D109+C109</f>
        <v>0</v>
      </c>
      <c r="E159" s="96">
        <f t="shared" si="83"/>
        <v>0</v>
      </c>
      <c r="F159" s="96">
        <f t="shared" si="83"/>
        <v>0</v>
      </c>
      <c r="G159" s="96">
        <f t="shared" si="83"/>
        <v>0</v>
      </c>
      <c r="H159" s="96">
        <f t="shared" si="83"/>
        <v>0</v>
      </c>
      <c r="I159" s="96">
        <f t="shared" si="83"/>
        <v>0</v>
      </c>
      <c r="J159" s="96">
        <f t="shared" si="83"/>
        <v>0</v>
      </c>
      <c r="K159" s="96">
        <f t="shared" si="83"/>
        <v>0</v>
      </c>
      <c r="L159" s="96">
        <f t="shared" si="83"/>
        <v>0</v>
      </c>
      <c r="M159" s="96">
        <f t="shared" si="83"/>
        <v>0</v>
      </c>
      <c r="N159" s="96">
        <f t="shared" si="83"/>
        <v>0</v>
      </c>
      <c r="O159" s="96">
        <f t="shared" si="83"/>
        <v>0</v>
      </c>
      <c r="P159" s="96">
        <f t="shared" si="83"/>
        <v>0</v>
      </c>
      <c r="Q159" s="96">
        <f t="shared" si="83"/>
        <v>0</v>
      </c>
      <c r="R159" s="96">
        <f t="shared" si="83"/>
        <v>0</v>
      </c>
      <c r="S159" s="96">
        <f t="shared" si="83"/>
        <v>0</v>
      </c>
      <c r="T159" s="96">
        <f t="shared" si="83"/>
        <v>0</v>
      </c>
      <c r="U159" s="96">
        <f t="shared" si="83"/>
        <v>0</v>
      </c>
      <c r="V159" s="96">
        <f t="shared" si="83"/>
        <v>0</v>
      </c>
      <c r="W159" s="96">
        <f t="shared" si="83"/>
        <v>0</v>
      </c>
      <c r="X159" s="96">
        <f t="shared" si="83"/>
        <v>0</v>
      </c>
      <c r="Y159" s="96">
        <f t="shared" si="83"/>
        <v>0</v>
      </c>
      <c r="Z159" s="96">
        <f t="shared" si="83"/>
        <v>0</v>
      </c>
      <c r="AA159" s="96">
        <f t="shared" si="83"/>
        <v>0</v>
      </c>
      <c r="AB159" s="96">
        <f t="shared" si="83"/>
        <v>0</v>
      </c>
      <c r="AC159" s="96">
        <f t="shared" si="83"/>
        <v>0</v>
      </c>
      <c r="AD159" s="96">
        <f t="shared" si="83"/>
        <v>0</v>
      </c>
      <c r="AE159" s="96">
        <f t="shared" si="83"/>
        <v>0</v>
      </c>
      <c r="AF159" s="96">
        <f t="shared" si="83"/>
        <v>0</v>
      </c>
      <c r="AG159" s="96">
        <f t="shared" si="83"/>
        <v>0</v>
      </c>
      <c r="AH159" s="96">
        <f t="shared" si="83"/>
        <v>0</v>
      </c>
      <c r="AI159" s="96">
        <f t="shared" si="83"/>
        <v>0</v>
      </c>
      <c r="AJ159" s="96">
        <f t="shared" si="83"/>
        <v>0</v>
      </c>
      <c r="AK159" s="96">
        <f t="shared" si="83"/>
        <v>0</v>
      </c>
      <c r="AL159" s="96">
        <f t="shared" si="83"/>
        <v>0</v>
      </c>
      <c r="AM159" s="96">
        <f t="shared" si="83"/>
        <v>0</v>
      </c>
      <c r="AN159" s="96">
        <f t="shared" si="83"/>
        <v>0</v>
      </c>
      <c r="AO159" s="96">
        <f t="shared" si="83"/>
        <v>0</v>
      </c>
      <c r="AP159" s="96">
        <f t="shared" si="83"/>
        <v>0</v>
      </c>
      <c r="AQ159" s="96">
        <f t="shared" si="83"/>
        <v>0</v>
      </c>
      <c r="AR159" s="96">
        <f t="shared" si="83"/>
        <v>0</v>
      </c>
      <c r="AS159" s="96">
        <f t="shared" si="83"/>
        <v>0</v>
      </c>
      <c r="AT159" s="96">
        <f t="shared" si="83"/>
        <v>0</v>
      </c>
      <c r="AU159" s="96">
        <f t="shared" si="83"/>
        <v>0</v>
      </c>
      <c r="AV159" s="96">
        <f t="shared" si="83"/>
        <v>0</v>
      </c>
      <c r="AW159" s="96">
        <f t="shared" si="83"/>
        <v>0</v>
      </c>
      <c r="AX159" s="96">
        <f t="shared" si="83"/>
        <v>0</v>
      </c>
      <c r="AY159" s="96">
        <f t="shared" si="83"/>
        <v>0</v>
      </c>
      <c r="AZ159" s="96">
        <f t="shared" si="83"/>
        <v>0</v>
      </c>
      <c r="BA159" s="96">
        <f t="shared" si="83"/>
        <v>0</v>
      </c>
      <c r="BB159" s="96">
        <f t="shared" si="83"/>
        <v>0</v>
      </c>
      <c r="BC159" s="96">
        <f t="shared" si="83"/>
        <v>0</v>
      </c>
      <c r="BD159" s="96">
        <f t="shared" si="83"/>
        <v>0</v>
      </c>
      <c r="BE159" s="96">
        <f t="shared" si="83"/>
        <v>0</v>
      </c>
      <c r="BF159" s="96">
        <f t="shared" si="83"/>
        <v>0</v>
      </c>
      <c r="BG159" s="96">
        <f t="shared" si="83"/>
        <v>0</v>
      </c>
      <c r="BH159" s="96">
        <f t="shared" si="83"/>
        <v>0</v>
      </c>
      <c r="BI159" s="96">
        <f t="shared" si="83"/>
        <v>0</v>
      </c>
      <c r="BJ159" s="96">
        <f t="shared" si="83"/>
        <v>0</v>
      </c>
      <c r="BK159" s="96">
        <f t="shared" si="83"/>
        <v>0</v>
      </c>
      <c r="BL159" s="96">
        <f t="shared" si="83"/>
        <v>0</v>
      </c>
      <c r="BM159" s="96">
        <f t="shared" si="83"/>
        <v>0</v>
      </c>
      <c r="BN159" s="96">
        <f t="shared" si="83"/>
        <v>0</v>
      </c>
      <c r="BO159" s="96">
        <f t="shared" si="83"/>
        <v>0</v>
      </c>
      <c r="BP159" s="96">
        <f t="shared" si="83"/>
        <v>0</v>
      </c>
      <c r="BQ159" s="96">
        <f t="shared" si="83"/>
        <v>0</v>
      </c>
      <c r="BR159" s="96">
        <f t="shared" si="83"/>
        <v>0</v>
      </c>
      <c r="BS159" s="96">
        <f t="shared" si="83"/>
        <v>0</v>
      </c>
      <c r="BT159" s="96">
        <f t="shared" si="83"/>
        <v>0</v>
      </c>
      <c r="BU159" s="96">
        <f t="shared" si="83"/>
        <v>0</v>
      </c>
      <c r="BV159" s="96">
        <f t="shared" si="83"/>
        <v>0</v>
      </c>
      <c r="BW159" s="96">
        <f t="shared" si="83"/>
        <v>0</v>
      </c>
    </row>
    <row r="160" ht="15.75" customHeight="1">
      <c r="A160" s="1" t="s">
        <v>372</v>
      </c>
      <c r="B160" s="159"/>
      <c r="D160" s="96">
        <f t="shared" ref="D160:BW160" si="84">D125-C125</f>
        <v>357</v>
      </c>
      <c r="E160" s="96">
        <f t="shared" si="84"/>
        <v>-2113</v>
      </c>
      <c r="F160" s="96">
        <f t="shared" si="84"/>
        <v>0</v>
      </c>
      <c r="G160" s="96">
        <f t="shared" si="84"/>
        <v>0</v>
      </c>
      <c r="H160" s="96">
        <f t="shared" si="84"/>
        <v>0</v>
      </c>
      <c r="I160" s="96">
        <f t="shared" si="84"/>
        <v>0</v>
      </c>
      <c r="J160" s="96">
        <f t="shared" si="84"/>
        <v>0</v>
      </c>
      <c r="K160" s="96">
        <f t="shared" si="84"/>
        <v>0</v>
      </c>
      <c r="L160" s="96">
        <f t="shared" si="84"/>
        <v>0</v>
      </c>
      <c r="M160" s="96">
        <f t="shared" si="84"/>
        <v>0</v>
      </c>
      <c r="N160" s="96">
        <f t="shared" si="84"/>
        <v>0</v>
      </c>
      <c r="O160" s="96">
        <f t="shared" si="84"/>
        <v>0</v>
      </c>
      <c r="P160" s="96">
        <f t="shared" si="84"/>
        <v>0</v>
      </c>
      <c r="Q160" s="96">
        <f t="shared" si="84"/>
        <v>0</v>
      </c>
      <c r="R160" s="96">
        <f t="shared" si="84"/>
        <v>0</v>
      </c>
      <c r="S160" s="96">
        <f t="shared" si="84"/>
        <v>0</v>
      </c>
      <c r="T160" s="96">
        <f t="shared" si="84"/>
        <v>0</v>
      </c>
      <c r="U160" s="96">
        <f t="shared" si="84"/>
        <v>0</v>
      </c>
      <c r="V160" s="96">
        <f t="shared" si="84"/>
        <v>0</v>
      </c>
      <c r="W160" s="96">
        <f t="shared" si="84"/>
        <v>0</v>
      </c>
      <c r="X160" s="96">
        <f t="shared" si="84"/>
        <v>0</v>
      </c>
      <c r="Y160" s="96">
        <f t="shared" si="84"/>
        <v>0</v>
      </c>
      <c r="Z160" s="96">
        <f t="shared" si="84"/>
        <v>0</v>
      </c>
      <c r="AA160" s="96">
        <f t="shared" si="84"/>
        <v>0</v>
      </c>
      <c r="AB160" s="96">
        <f t="shared" si="84"/>
        <v>0</v>
      </c>
      <c r="AC160" s="96">
        <f t="shared" si="84"/>
        <v>0</v>
      </c>
      <c r="AD160" s="96">
        <f t="shared" si="84"/>
        <v>0</v>
      </c>
      <c r="AE160" s="96">
        <f t="shared" si="84"/>
        <v>0</v>
      </c>
      <c r="AF160" s="96">
        <f t="shared" si="84"/>
        <v>0</v>
      </c>
      <c r="AG160" s="96">
        <f t="shared" si="84"/>
        <v>0</v>
      </c>
      <c r="AH160" s="96">
        <f t="shared" si="84"/>
        <v>0</v>
      </c>
      <c r="AI160" s="96">
        <f t="shared" si="84"/>
        <v>0</v>
      </c>
      <c r="AJ160" s="96">
        <f t="shared" si="84"/>
        <v>0</v>
      </c>
      <c r="AK160" s="96">
        <f t="shared" si="84"/>
        <v>0</v>
      </c>
      <c r="AL160" s="96">
        <f t="shared" si="84"/>
        <v>0</v>
      </c>
      <c r="AM160" s="96">
        <f t="shared" si="84"/>
        <v>0</v>
      </c>
      <c r="AN160" s="96">
        <f t="shared" si="84"/>
        <v>0</v>
      </c>
      <c r="AO160" s="96">
        <f t="shared" si="84"/>
        <v>0</v>
      </c>
      <c r="AP160" s="96">
        <f t="shared" si="84"/>
        <v>0</v>
      </c>
      <c r="AQ160" s="96">
        <f t="shared" si="84"/>
        <v>0</v>
      </c>
      <c r="AR160" s="96">
        <f t="shared" si="84"/>
        <v>0</v>
      </c>
      <c r="AS160" s="96">
        <f t="shared" si="84"/>
        <v>0</v>
      </c>
      <c r="AT160" s="96">
        <f t="shared" si="84"/>
        <v>0</v>
      </c>
      <c r="AU160" s="96">
        <f t="shared" si="84"/>
        <v>0</v>
      </c>
      <c r="AV160" s="96">
        <f t="shared" si="84"/>
        <v>0</v>
      </c>
      <c r="AW160" s="96">
        <f t="shared" si="84"/>
        <v>0</v>
      </c>
      <c r="AX160" s="96">
        <f t="shared" si="84"/>
        <v>0</v>
      </c>
      <c r="AY160" s="96">
        <f t="shared" si="84"/>
        <v>0</v>
      </c>
      <c r="AZ160" s="96">
        <f t="shared" si="84"/>
        <v>0</v>
      </c>
      <c r="BA160" s="96">
        <f t="shared" si="84"/>
        <v>0</v>
      </c>
      <c r="BB160" s="96">
        <f t="shared" si="84"/>
        <v>0</v>
      </c>
      <c r="BC160" s="96">
        <f t="shared" si="84"/>
        <v>0</v>
      </c>
      <c r="BD160" s="96">
        <f t="shared" si="84"/>
        <v>0</v>
      </c>
      <c r="BE160" s="96">
        <f t="shared" si="84"/>
        <v>0</v>
      </c>
      <c r="BF160" s="96">
        <f t="shared" si="84"/>
        <v>0</v>
      </c>
      <c r="BG160" s="96">
        <f t="shared" si="84"/>
        <v>0</v>
      </c>
      <c r="BH160" s="96">
        <f t="shared" si="84"/>
        <v>0</v>
      </c>
      <c r="BI160" s="96">
        <f t="shared" si="84"/>
        <v>0</v>
      </c>
      <c r="BJ160" s="96">
        <f t="shared" si="84"/>
        <v>0</v>
      </c>
      <c r="BK160" s="96">
        <f t="shared" si="84"/>
        <v>0</v>
      </c>
      <c r="BL160" s="96">
        <f t="shared" si="84"/>
        <v>0</v>
      </c>
      <c r="BM160" s="96">
        <f t="shared" si="84"/>
        <v>0</v>
      </c>
      <c r="BN160" s="96">
        <f t="shared" si="84"/>
        <v>0</v>
      </c>
      <c r="BO160" s="96">
        <f t="shared" si="84"/>
        <v>0</v>
      </c>
      <c r="BP160" s="96">
        <f t="shared" si="84"/>
        <v>0</v>
      </c>
      <c r="BQ160" s="96">
        <f t="shared" si="84"/>
        <v>0</v>
      </c>
      <c r="BR160" s="96">
        <f t="shared" si="84"/>
        <v>0</v>
      </c>
      <c r="BS160" s="96">
        <f t="shared" si="84"/>
        <v>0</v>
      </c>
      <c r="BT160" s="96">
        <f t="shared" si="84"/>
        <v>0</v>
      </c>
      <c r="BU160" s="96">
        <f t="shared" si="84"/>
        <v>0</v>
      </c>
      <c r="BV160" s="96">
        <f t="shared" si="84"/>
        <v>0</v>
      </c>
      <c r="BW160" s="96">
        <f t="shared" si="84"/>
        <v>0</v>
      </c>
    </row>
    <row r="161" ht="15.75" customHeight="1">
      <c r="A161" s="1" t="s">
        <v>373</v>
      </c>
      <c r="B161" s="159"/>
      <c r="D161" s="96"/>
      <c r="E161" s="96"/>
      <c r="F161" s="96"/>
      <c r="G161" s="96"/>
      <c r="H161" s="96"/>
      <c r="I161" s="96"/>
      <c r="J161" s="96"/>
      <c r="K161" s="96"/>
      <c r="L161" s="96"/>
      <c r="M161" s="96"/>
      <c r="N161" s="96"/>
      <c r="O161" s="96"/>
      <c r="P161" s="96"/>
      <c r="Q161" s="96"/>
      <c r="R161" s="96"/>
      <c r="S161" s="96"/>
      <c r="T161" s="96"/>
      <c r="U161" s="96"/>
      <c r="V161" s="96"/>
      <c r="W161" s="96"/>
      <c r="X161" s="96"/>
      <c r="Y161" s="96"/>
      <c r="Z161" s="96"/>
      <c r="AA161" s="96"/>
      <c r="AB161" s="96"/>
      <c r="AC161" s="96"/>
      <c r="AD161" s="96"/>
      <c r="AE161" s="96"/>
      <c r="AF161" s="96">
        <f t="shared" ref="AF161:BW161" si="85">AF128-AE128</f>
        <v>0</v>
      </c>
      <c r="AG161" s="96">
        <f t="shared" si="85"/>
        <v>0</v>
      </c>
      <c r="AH161" s="96">
        <f t="shared" si="85"/>
        <v>0</v>
      </c>
      <c r="AI161" s="96">
        <f t="shared" si="85"/>
        <v>0</v>
      </c>
      <c r="AJ161" s="96">
        <f t="shared" si="85"/>
        <v>0</v>
      </c>
      <c r="AK161" s="96">
        <f t="shared" si="85"/>
        <v>0</v>
      </c>
      <c r="AL161" s="96">
        <f t="shared" si="85"/>
        <v>0</v>
      </c>
      <c r="AM161" s="96">
        <f t="shared" si="85"/>
        <v>0</v>
      </c>
      <c r="AN161" s="96">
        <f t="shared" si="85"/>
        <v>0</v>
      </c>
      <c r="AO161" s="96">
        <f t="shared" si="85"/>
        <v>0</v>
      </c>
      <c r="AP161" s="96">
        <f t="shared" si="85"/>
        <v>0</v>
      </c>
      <c r="AQ161" s="96">
        <f t="shared" si="85"/>
        <v>0</v>
      </c>
      <c r="AR161" s="96">
        <f t="shared" si="85"/>
        <v>0</v>
      </c>
      <c r="AS161" s="96">
        <f t="shared" si="85"/>
        <v>0</v>
      </c>
      <c r="AT161" s="96">
        <f t="shared" si="85"/>
        <v>0</v>
      </c>
      <c r="AU161" s="96">
        <f t="shared" si="85"/>
        <v>0</v>
      </c>
      <c r="AV161" s="96">
        <f t="shared" si="85"/>
        <v>0</v>
      </c>
      <c r="AW161" s="96">
        <f t="shared" si="85"/>
        <v>0</v>
      </c>
      <c r="AX161" s="96">
        <f t="shared" si="85"/>
        <v>0</v>
      </c>
      <c r="AY161" s="96">
        <f t="shared" si="85"/>
        <v>0</v>
      </c>
      <c r="AZ161" s="96">
        <f t="shared" si="85"/>
        <v>0</v>
      </c>
      <c r="BA161" s="96">
        <f t="shared" si="85"/>
        <v>0</v>
      </c>
      <c r="BB161" s="96">
        <f t="shared" si="85"/>
        <v>0</v>
      </c>
      <c r="BC161" s="96">
        <f t="shared" si="85"/>
        <v>0</v>
      </c>
      <c r="BD161" s="96">
        <f t="shared" si="85"/>
        <v>0</v>
      </c>
      <c r="BE161" s="96">
        <f t="shared" si="85"/>
        <v>0</v>
      </c>
      <c r="BF161" s="96">
        <f t="shared" si="85"/>
        <v>0</v>
      </c>
      <c r="BG161" s="96">
        <f t="shared" si="85"/>
        <v>0</v>
      </c>
      <c r="BH161" s="96">
        <f t="shared" si="85"/>
        <v>0</v>
      </c>
      <c r="BI161" s="96">
        <f t="shared" si="85"/>
        <v>0</v>
      </c>
      <c r="BJ161" s="96">
        <f t="shared" si="85"/>
        <v>0</v>
      </c>
      <c r="BK161" s="96">
        <f t="shared" si="85"/>
        <v>0</v>
      </c>
      <c r="BL161" s="96">
        <f t="shared" si="85"/>
        <v>0</v>
      </c>
      <c r="BM161" s="96">
        <f t="shared" si="85"/>
        <v>0</v>
      </c>
      <c r="BN161" s="96">
        <f t="shared" si="85"/>
        <v>0</v>
      </c>
      <c r="BO161" s="96">
        <f t="shared" si="85"/>
        <v>0</v>
      </c>
      <c r="BP161" s="96" t="str">
        <f t="shared" si="85"/>
        <v>#N/A</v>
      </c>
      <c r="BQ161" s="96" t="str">
        <f t="shared" si="85"/>
        <v>#N/A</v>
      </c>
      <c r="BR161" s="96" t="str">
        <f t="shared" si="85"/>
        <v>#N/A</v>
      </c>
      <c r="BS161" s="96" t="str">
        <f t="shared" si="85"/>
        <v>#N/A</v>
      </c>
      <c r="BT161" s="96" t="str">
        <f t="shared" si="85"/>
        <v>#N/A</v>
      </c>
      <c r="BU161" s="96" t="str">
        <f t="shared" si="85"/>
        <v>#N/A</v>
      </c>
      <c r="BV161" s="96" t="str">
        <f t="shared" si="85"/>
        <v>#N/A</v>
      </c>
      <c r="BW161" s="96" t="str">
        <f t="shared" si="85"/>
        <v>#N/A</v>
      </c>
    </row>
    <row r="162" ht="15.75" customHeight="1">
      <c r="A162" s="1" t="s">
        <v>374</v>
      </c>
      <c r="B162" s="159"/>
      <c r="D162" s="96">
        <f t="shared" ref="D162:BW162" si="86">D129-C129</f>
        <v>-239</v>
      </c>
      <c r="E162" s="96">
        <f t="shared" si="86"/>
        <v>-113</v>
      </c>
      <c r="F162" s="96">
        <f t="shared" si="86"/>
        <v>0</v>
      </c>
      <c r="G162" s="96">
        <f t="shared" si="86"/>
        <v>0</v>
      </c>
      <c r="H162" s="96">
        <f t="shared" si="86"/>
        <v>0</v>
      </c>
      <c r="I162" s="96">
        <f t="shared" si="86"/>
        <v>0</v>
      </c>
      <c r="J162" s="96">
        <f t="shared" si="86"/>
        <v>0</v>
      </c>
      <c r="K162" s="96">
        <f t="shared" si="86"/>
        <v>0</v>
      </c>
      <c r="L162" s="96">
        <f t="shared" si="86"/>
        <v>0</v>
      </c>
      <c r="M162" s="96">
        <f t="shared" si="86"/>
        <v>0</v>
      </c>
      <c r="N162" s="96">
        <f t="shared" si="86"/>
        <v>0</v>
      </c>
      <c r="O162" s="96">
        <f t="shared" si="86"/>
        <v>0</v>
      </c>
      <c r="P162" s="96">
        <f t="shared" si="86"/>
        <v>0</v>
      </c>
      <c r="Q162" s="96">
        <f t="shared" si="86"/>
        <v>0</v>
      </c>
      <c r="R162" s="96">
        <f t="shared" si="86"/>
        <v>0</v>
      </c>
      <c r="S162" s="96">
        <f t="shared" si="86"/>
        <v>0</v>
      </c>
      <c r="T162" s="96">
        <f t="shared" si="86"/>
        <v>0</v>
      </c>
      <c r="U162" s="96">
        <f t="shared" si="86"/>
        <v>0</v>
      </c>
      <c r="V162" s="96">
        <f t="shared" si="86"/>
        <v>0</v>
      </c>
      <c r="W162" s="96">
        <f t="shared" si="86"/>
        <v>0</v>
      </c>
      <c r="X162" s="96">
        <f t="shared" si="86"/>
        <v>0</v>
      </c>
      <c r="Y162" s="96">
        <f t="shared" si="86"/>
        <v>0</v>
      </c>
      <c r="Z162" s="96">
        <f t="shared" si="86"/>
        <v>0</v>
      </c>
      <c r="AA162" s="96">
        <f t="shared" si="86"/>
        <v>0</v>
      </c>
      <c r="AB162" s="96">
        <f t="shared" si="86"/>
        <v>0</v>
      </c>
      <c r="AC162" s="96">
        <f t="shared" si="86"/>
        <v>0</v>
      </c>
      <c r="AD162" s="96">
        <f t="shared" si="86"/>
        <v>0</v>
      </c>
      <c r="AE162" s="96">
        <f t="shared" si="86"/>
        <v>0</v>
      </c>
      <c r="AF162" s="96">
        <f t="shared" si="86"/>
        <v>0</v>
      </c>
      <c r="AG162" s="96">
        <f t="shared" si="86"/>
        <v>0</v>
      </c>
      <c r="AH162" s="96">
        <f t="shared" si="86"/>
        <v>0</v>
      </c>
      <c r="AI162" s="96">
        <f t="shared" si="86"/>
        <v>0</v>
      </c>
      <c r="AJ162" s="96">
        <f t="shared" si="86"/>
        <v>0</v>
      </c>
      <c r="AK162" s="96">
        <f t="shared" si="86"/>
        <v>0</v>
      </c>
      <c r="AL162" s="96">
        <f t="shared" si="86"/>
        <v>0</v>
      </c>
      <c r="AM162" s="96">
        <f t="shared" si="86"/>
        <v>0</v>
      </c>
      <c r="AN162" s="96">
        <f t="shared" si="86"/>
        <v>0</v>
      </c>
      <c r="AO162" s="96">
        <f t="shared" si="86"/>
        <v>0</v>
      </c>
      <c r="AP162" s="96">
        <f t="shared" si="86"/>
        <v>0</v>
      </c>
      <c r="AQ162" s="96">
        <f t="shared" si="86"/>
        <v>0</v>
      </c>
      <c r="AR162" s="96">
        <f t="shared" si="86"/>
        <v>0</v>
      </c>
      <c r="AS162" s="96">
        <f t="shared" si="86"/>
        <v>0</v>
      </c>
      <c r="AT162" s="96">
        <f t="shared" si="86"/>
        <v>0</v>
      </c>
      <c r="AU162" s="96">
        <f t="shared" si="86"/>
        <v>0</v>
      </c>
      <c r="AV162" s="96">
        <f t="shared" si="86"/>
        <v>0</v>
      </c>
      <c r="AW162" s="96">
        <f t="shared" si="86"/>
        <v>0</v>
      </c>
      <c r="AX162" s="96">
        <f t="shared" si="86"/>
        <v>0</v>
      </c>
      <c r="AY162" s="96">
        <f t="shared" si="86"/>
        <v>0</v>
      </c>
      <c r="AZ162" s="96">
        <f t="shared" si="86"/>
        <v>0</v>
      </c>
      <c r="BA162" s="96">
        <f t="shared" si="86"/>
        <v>0</v>
      </c>
      <c r="BB162" s="96">
        <f t="shared" si="86"/>
        <v>0</v>
      </c>
      <c r="BC162" s="96">
        <f t="shared" si="86"/>
        <v>0</v>
      </c>
      <c r="BD162" s="96">
        <f t="shared" si="86"/>
        <v>0</v>
      </c>
      <c r="BE162" s="96">
        <f t="shared" si="86"/>
        <v>0</v>
      </c>
      <c r="BF162" s="96">
        <f t="shared" si="86"/>
        <v>0</v>
      </c>
      <c r="BG162" s="96">
        <f t="shared" si="86"/>
        <v>0</v>
      </c>
      <c r="BH162" s="96">
        <f t="shared" si="86"/>
        <v>0</v>
      </c>
      <c r="BI162" s="96">
        <f t="shared" si="86"/>
        <v>0</v>
      </c>
      <c r="BJ162" s="96">
        <f t="shared" si="86"/>
        <v>0</v>
      </c>
      <c r="BK162" s="96">
        <f t="shared" si="86"/>
        <v>0</v>
      </c>
      <c r="BL162" s="96">
        <f t="shared" si="86"/>
        <v>0</v>
      </c>
      <c r="BM162" s="96">
        <f t="shared" si="86"/>
        <v>0</v>
      </c>
      <c r="BN162" s="96">
        <f t="shared" si="86"/>
        <v>0</v>
      </c>
      <c r="BO162" s="96">
        <f t="shared" si="86"/>
        <v>0</v>
      </c>
      <c r="BP162" s="96">
        <f t="shared" si="86"/>
        <v>0</v>
      </c>
      <c r="BQ162" s="96">
        <f t="shared" si="86"/>
        <v>0</v>
      </c>
      <c r="BR162" s="96">
        <f t="shared" si="86"/>
        <v>0</v>
      </c>
      <c r="BS162" s="96">
        <f t="shared" si="86"/>
        <v>0</v>
      </c>
      <c r="BT162" s="96">
        <f t="shared" si="86"/>
        <v>0</v>
      </c>
      <c r="BU162" s="96">
        <f t="shared" si="86"/>
        <v>0</v>
      </c>
      <c r="BV162" s="96">
        <f t="shared" si="86"/>
        <v>0</v>
      </c>
      <c r="BW162" s="96">
        <f t="shared" si="86"/>
        <v>0</v>
      </c>
    </row>
    <row r="163" ht="15.75" customHeight="1">
      <c r="A163" s="21" t="s">
        <v>375</v>
      </c>
      <c r="B163" s="163"/>
      <c r="C163" s="21"/>
      <c r="D163" s="147">
        <f t="shared" ref="D163:BW163" si="87">SUM(D157:D162)</f>
        <v>118</v>
      </c>
      <c r="E163" s="147">
        <f t="shared" si="87"/>
        <v>-2226</v>
      </c>
      <c r="F163" s="147">
        <f t="shared" si="87"/>
        <v>0</v>
      </c>
      <c r="G163" s="147">
        <f t="shared" si="87"/>
        <v>0</v>
      </c>
      <c r="H163" s="147">
        <f t="shared" si="87"/>
        <v>0</v>
      </c>
      <c r="I163" s="147">
        <f t="shared" si="87"/>
        <v>0</v>
      </c>
      <c r="J163" s="147">
        <f t="shared" si="87"/>
        <v>0</v>
      </c>
      <c r="K163" s="147">
        <f t="shared" si="87"/>
        <v>0</v>
      </c>
      <c r="L163" s="147">
        <f t="shared" si="87"/>
        <v>0</v>
      </c>
      <c r="M163" s="147">
        <f t="shared" si="87"/>
        <v>0</v>
      </c>
      <c r="N163" s="147">
        <f t="shared" si="87"/>
        <v>0</v>
      </c>
      <c r="O163" s="147">
        <f t="shared" si="87"/>
        <v>0</v>
      </c>
      <c r="P163" s="147">
        <f t="shared" si="87"/>
        <v>0</v>
      </c>
      <c r="Q163" s="147">
        <f t="shared" si="87"/>
        <v>0</v>
      </c>
      <c r="R163" s="147">
        <f t="shared" si="87"/>
        <v>0</v>
      </c>
      <c r="S163" s="147">
        <f t="shared" si="87"/>
        <v>0</v>
      </c>
      <c r="T163" s="147">
        <f t="shared" si="87"/>
        <v>0</v>
      </c>
      <c r="U163" s="147">
        <f t="shared" si="87"/>
        <v>0</v>
      </c>
      <c r="V163" s="147">
        <f t="shared" si="87"/>
        <v>0</v>
      </c>
      <c r="W163" s="147">
        <f t="shared" si="87"/>
        <v>0</v>
      </c>
      <c r="X163" s="147">
        <f t="shared" si="87"/>
        <v>0</v>
      </c>
      <c r="Y163" s="147">
        <f t="shared" si="87"/>
        <v>0</v>
      </c>
      <c r="Z163" s="147">
        <f t="shared" si="87"/>
        <v>0</v>
      </c>
      <c r="AA163" s="147">
        <f t="shared" si="87"/>
        <v>0</v>
      </c>
      <c r="AB163" s="147">
        <f t="shared" si="87"/>
        <v>0</v>
      </c>
      <c r="AC163" s="147">
        <f t="shared" si="87"/>
        <v>0</v>
      </c>
      <c r="AD163" s="147">
        <f t="shared" si="87"/>
        <v>0</v>
      </c>
      <c r="AE163" s="147">
        <f t="shared" si="87"/>
        <v>0</v>
      </c>
      <c r="AF163" s="147">
        <f t="shared" si="87"/>
        <v>0</v>
      </c>
      <c r="AG163" s="147">
        <f t="shared" si="87"/>
        <v>0</v>
      </c>
      <c r="AH163" s="147">
        <f t="shared" si="87"/>
        <v>0</v>
      </c>
      <c r="AI163" s="147">
        <f t="shared" si="87"/>
        <v>0</v>
      </c>
      <c r="AJ163" s="147">
        <f t="shared" si="87"/>
        <v>0</v>
      </c>
      <c r="AK163" s="147">
        <f t="shared" si="87"/>
        <v>0</v>
      </c>
      <c r="AL163" s="147">
        <f t="shared" si="87"/>
        <v>0</v>
      </c>
      <c r="AM163" s="147">
        <f t="shared" si="87"/>
        <v>0</v>
      </c>
      <c r="AN163" s="147">
        <f t="shared" si="87"/>
        <v>0</v>
      </c>
      <c r="AO163" s="147">
        <f t="shared" si="87"/>
        <v>0</v>
      </c>
      <c r="AP163" s="147">
        <f t="shared" si="87"/>
        <v>0</v>
      </c>
      <c r="AQ163" s="147">
        <f t="shared" si="87"/>
        <v>0</v>
      </c>
      <c r="AR163" s="147">
        <f t="shared" si="87"/>
        <v>0</v>
      </c>
      <c r="AS163" s="147">
        <f t="shared" si="87"/>
        <v>0</v>
      </c>
      <c r="AT163" s="147">
        <f t="shared" si="87"/>
        <v>0</v>
      </c>
      <c r="AU163" s="147">
        <f t="shared" si="87"/>
        <v>0</v>
      </c>
      <c r="AV163" s="147">
        <f t="shared" si="87"/>
        <v>0</v>
      </c>
      <c r="AW163" s="147">
        <f t="shared" si="87"/>
        <v>0</v>
      </c>
      <c r="AX163" s="147">
        <f t="shared" si="87"/>
        <v>0</v>
      </c>
      <c r="AY163" s="147">
        <f t="shared" si="87"/>
        <v>0</v>
      </c>
      <c r="AZ163" s="147">
        <f t="shared" si="87"/>
        <v>0</v>
      </c>
      <c r="BA163" s="147">
        <f t="shared" si="87"/>
        <v>0</v>
      </c>
      <c r="BB163" s="147">
        <f t="shared" si="87"/>
        <v>0</v>
      </c>
      <c r="BC163" s="147">
        <f t="shared" si="87"/>
        <v>0</v>
      </c>
      <c r="BD163" s="147">
        <f t="shared" si="87"/>
        <v>0</v>
      </c>
      <c r="BE163" s="147">
        <f t="shared" si="87"/>
        <v>0</v>
      </c>
      <c r="BF163" s="147">
        <f t="shared" si="87"/>
        <v>0</v>
      </c>
      <c r="BG163" s="147">
        <f t="shared" si="87"/>
        <v>0</v>
      </c>
      <c r="BH163" s="147">
        <f t="shared" si="87"/>
        <v>0</v>
      </c>
      <c r="BI163" s="147">
        <f t="shared" si="87"/>
        <v>0</v>
      </c>
      <c r="BJ163" s="147">
        <f t="shared" si="87"/>
        <v>0</v>
      </c>
      <c r="BK163" s="147">
        <f t="shared" si="87"/>
        <v>0</v>
      </c>
      <c r="BL163" s="147">
        <f t="shared" si="87"/>
        <v>0</v>
      </c>
      <c r="BM163" s="147">
        <f t="shared" si="87"/>
        <v>0</v>
      </c>
      <c r="BN163" s="147">
        <f t="shared" si="87"/>
        <v>0</v>
      </c>
      <c r="BO163" s="147">
        <f t="shared" si="87"/>
        <v>0</v>
      </c>
      <c r="BP163" s="147" t="str">
        <f t="shared" si="87"/>
        <v>#N/A</v>
      </c>
      <c r="BQ163" s="147" t="str">
        <f t="shared" si="87"/>
        <v>#N/A</v>
      </c>
      <c r="BR163" s="147" t="str">
        <f t="shared" si="87"/>
        <v>#N/A</v>
      </c>
      <c r="BS163" s="147" t="str">
        <f t="shared" si="87"/>
        <v>#N/A</v>
      </c>
      <c r="BT163" s="147" t="str">
        <f t="shared" si="87"/>
        <v>#N/A</v>
      </c>
      <c r="BU163" s="147" t="str">
        <f t="shared" si="87"/>
        <v>#N/A</v>
      </c>
      <c r="BV163" s="147" t="str">
        <f t="shared" si="87"/>
        <v>#N/A</v>
      </c>
      <c r="BW163" s="147" t="str">
        <f t="shared" si="87"/>
        <v>#N/A</v>
      </c>
    </row>
    <row r="164" ht="15.75" customHeight="1">
      <c r="A164" s="21" t="s">
        <v>376</v>
      </c>
      <c r="B164" s="163"/>
      <c r="C164" s="21"/>
      <c r="D164" s="147">
        <f t="shared" ref="D164:BW164" si="88">SUM(D163,D156)</f>
        <v>-89320</v>
      </c>
      <c r="E164" s="147">
        <f t="shared" si="88"/>
        <v>-90350</v>
      </c>
      <c r="F164" s="147">
        <f t="shared" si="88"/>
        <v>-102956</v>
      </c>
      <c r="G164" s="147">
        <f t="shared" si="88"/>
        <v>-94595</v>
      </c>
      <c r="H164" s="147">
        <f t="shared" si="88"/>
        <v>-82065</v>
      </c>
      <c r="I164" s="147">
        <f t="shared" si="88"/>
        <v>-78132</v>
      </c>
      <c r="J164" s="147">
        <f t="shared" si="88"/>
        <v>-94045</v>
      </c>
      <c r="K164" s="147">
        <f t="shared" si="88"/>
        <v>-89766</v>
      </c>
      <c r="L164" s="147">
        <f t="shared" si="88"/>
        <v>-114445</v>
      </c>
      <c r="M164" s="147">
        <f t="shared" si="88"/>
        <v>-131881</v>
      </c>
      <c r="N164" s="147">
        <f t="shared" si="88"/>
        <v>-140597</v>
      </c>
      <c r="O164" s="147">
        <f t="shared" si="88"/>
        <v>-177194</v>
      </c>
      <c r="P164" s="147">
        <f t="shared" si="88"/>
        <v>-177124</v>
      </c>
      <c r="Q164" s="147">
        <f t="shared" si="88"/>
        <v>-189575</v>
      </c>
      <c r="R164" s="147">
        <f t="shared" si="88"/>
        <v>-184131</v>
      </c>
      <c r="S164" s="147">
        <f t="shared" si="88"/>
        <v>-128941</v>
      </c>
      <c r="T164" s="147">
        <f t="shared" si="88"/>
        <v>-151754</v>
      </c>
      <c r="U164" s="147">
        <f t="shared" si="88"/>
        <v>-122283</v>
      </c>
      <c r="V164" s="147">
        <f t="shared" si="88"/>
        <v>-102474</v>
      </c>
      <c r="W164" s="147">
        <f t="shared" si="88"/>
        <v>-82495</v>
      </c>
      <c r="X164" s="147">
        <f t="shared" si="88"/>
        <v>-60038</v>
      </c>
      <c r="Y164" s="147">
        <f t="shared" si="88"/>
        <v>-27320</v>
      </c>
      <c r="Z164" s="147">
        <f t="shared" si="88"/>
        <v>-18905</v>
      </c>
      <c r="AA164" s="147">
        <f t="shared" si="88"/>
        <v>-24211</v>
      </c>
      <c r="AB164" s="147">
        <f t="shared" si="88"/>
        <v>-13824</v>
      </c>
      <c r="AC164" s="147">
        <f t="shared" si="88"/>
        <v>-26169</v>
      </c>
      <c r="AD164" s="147">
        <f t="shared" si="88"/>
        <v>8407.19</v>
      </c>
      <c r="AE164" s="147">
        <f t="shared" si="88"/>
        <v>-117</v>
      </c>
      <c r="AF164" s="147" t="str">
        <f t="shared" si="88"/>
        <v>#NAME?</v>
      </c>
      <c r="AG164" s="147" t="str">
        <f t="shared" si="88"/>
        <v>#NAME?</v>
      </c>
      <c r="AH164" s="147" t="str">
        <f t="shared" si="88"/>
        <v>#NAME?</v>
      </c>
      <c r="AI164" s="147" t="str">
        <f t="shared" si="88"/>
        <v>#NAME?</v>
      </c>
      <c r="AJ164" s="147" t="str">
        <f t="shared" si="88"/>
        <v>#NAME?</v>
      </c>
      <c r="AK164" s="147" t="str">
        <f t="shared" si="88"/>
        <v>#NAME?</v>
      </c>
      <c r="AL164" s="147" t="str">
        <f t="shared" si="88"/>
        <v>#NAME?</v>
      </c>
      <c r="AM164" s="147" t="str">
        <f t="shared" si="88"/>
        <v>#NAME?</v>
      </c>
      <c r="AN164" s="147" t="str">
        <f t="shared" si="88"/>
        <v>#NAME?</v>
      </c>
      <c r="AO164" s="147" t="str">
        <f t="shared" si="88"/>
        <v>#NAME?</v>
      </c>
      <c r="AP164" s="147" t="str">
        <f t="shared" si="88"/>
        <v>#NAME?</v>
      </c>
      <c r="AQ164" s="147" t="str">
        <f t="shared" si="88"/>
        <v>#NAME?</v>
      </c>
      <c r="AR164" s="147" t="str">
        <f t="shared" si="88"/>
        <v>#NAME?</v>
      </c>
      <c r="AS164" s="147" t="str">
        <f t="shared" si="88"/>
        <v>#NAME?</v>
      </c>
      <c r="AT164" s="147" t="str">
        <f t="shared" si="88"/>
        <v>#NAME?</v>
      </c>
      <c r="AU164" s="147" t="str">
        <f t="shared" si="88"/>
        <v>#NAME?</v>
      </c>
      <c r="AV164" s="147" t="str">
        <f t="shared" si="88"/>
        <v>#NAME?</v>
      </c>
      <c r="AW164" s="147" t="str">
        <f t="shared" si="88"/>
        <v>#NAME?</v>
      </c>
      <c r="AX164" s="147" t="str">
        <f t="shared" si="88"/>
        <v>#NAME?</v>
      </c>
      <c r="AY164" s="147" t="str">
        <f t="shared" si="88"/>
        <v>#NAME?</v>
      </c>
      <c r="AZ164" s="147" t="str">
        <f t="shared" si="88"/>
        <v>#NAME?</v>
      </c>
      <c r="BA164" s="147" t="str">
        <f t="shared" si="88"/>
        <v>#NAME?</v>
      </c>
      <c r="BB164" s="147" t="str">
        <f t="shared" si="88"/>
        <v>#NAME?</v>
      </c>
      <c r="BC164" s="147" t="str">
        <f t="shared" si="88"/>
        <v>#NAME?</v>
      </c>
      <c r="BD164" s="147" t="str">
        <f t="shared" si="88"/>
        <v>#NAME?</v>
      </c>
      <c r="BE164" s="147" t="str">
        <f t="shared" si="88"/>
        <v>#NAME?</v>
      </c>
      <c r="BF164" s="147" t="str">
        <f t="shared" si="88"/>
        <v>#NAME?</v>
      </c>
      <c r="BG164" s="147" t="str">
        <f t="shared" si="88"/>
        <v>#NAME?</v>
      </c>
      <c r="BH164" s="147" t="str">
        <f t="shared" si="88"/>
        <v>#NAME?</v>
      </c>
      <c r="BI164" s="147" t="str">
        <f t="shared" si="88"/>
        <v>#NAME?</v>
      </c>
      <c r="BJ164" s="147" t="str">
        <f t="shared" si="88"/>
        <v>#NAME?</v>
      </c>
      <c r="BK164" s="147" t="str">
        <f t="shared" si="88"/>
        <v>#NAME?</v>
      </c>
      <c r="BL164" s="147" t="str">
        <f t="shared" si="88"/>
        <v>#NAME?</v>
      </c>
      <c r="BM164" s="147" t="str">
        <f t="shared" si="88"/>
        <v>#NAME?</v>
      </c>
      <c r="BN164" s="147" t="str">
        <f t="shared" si="88"/>
        <v>#NAME?</v>
      </c>
      <c r="BO164" s="147" t="str">
        <f t="shared" si="88"/>
        <v>#NAME?</v>
      </c>
      <c r="BP164" s="21" t="str">
        <f t="shared" si="88"/>
        <v>#N/A</v>
      </c>
      <c r="BQ164" s="21" t="str">
        <f t="shared" si="88"/>
        <v>#N/A</v>
      </c>
      <c r="BR164" s="21" t="str">
        <f t="shared" si="88"/>
        <v>#N/A</v>
      </c>
      <c r="BS164" s="21" t="str">
        <f t="shared" si="88"/>
        <v>#N/A</v>
      </c>
      <c r="BT164" s="21" t="str">
        <f t="shared" si="88"/>
        <v>#N/A</v>
      </c>
      <c r="BU164" s="21" t="str">
        <f t="shared" si="88"/>
        <v>#N/A</v>
      </c>
      <c r="BV164" s="21" t="str">
        <f t="shared" si="88"/>
        <v>#N/A</v>
      </c>
      <c r="BW164" s="21" t="str">
        <f t="shared" si="88"/>
        <v>#N/A</v>
      </c>
    </row>
    <row r="165" ht="15.75" customHeight="1">
      <c r="A165" s="31" t="s">
        <v>244</v>
      </c>
      <c r="B165" s="159"/>
      <c r="D165" s="76">
        <f t="array" ref="D165">ROUND(INDEX(INDIRECT("CFS_"&amp;TEXT(D$1,"mmm")&amp;"_"&amp;TEXT(D$1,"yyyy")),MATCH(TRIM($A164),CFS_Accounts,0))-D164,2)</f>
        <v>0</v>
      </c>
      <c r="E165" s="76">
        <f t="array" ref="E165">ROUND(INDEX(INDIRECT("CFS_"&amp;TEXT(E$1,"mmm")&amp;"_"&amp;TEXT(E$1,"yyyy")),MATCH(TRIM($A164),CFS_Accounts,0))-E164,2)</f>
        <v>0</v>
      </c>
      <c r="F165" s="76">
        <f t="array" ref="F165">ROUND(INDEX(INDIRECT("CFS_"&amp;TEXT(F$1,"mmm")&amp;"_"&amp;TEXT(F$1,"yyyy")),MATCH(TRIM($A164),CFS_Accounts,0))-F164,2)</f>
        <v>0</v>
      </c>
      <c r="G165" s="76">
        <f t="array" ref="G165">ROUND(INDEX(INDIRECT("CFS_"&amp;TEXT(G$1,"mmm")&amp;"_"&amp;TEXT(G$1,"yyyy")),MATCH(TRIM($A164),CFS_Accounts,0))-G164,2)</f>
        <v>0</v>
      </c>
      <c r="H165" s="76">
        <f t="array" ref="H165">ROUND(INDEX(INDIRECT("CFS_"&amp;TEXT(H$1,"mmm")&amp;"_"&amp;TEXT(H$1,"yyyy")),MATCH(TRIM($A164),CFS_Accounts,0))-H164,2)</f>
        <v>0</v>
      </c>
      <c r="I165" s="76">
        <f t="array" ref="I165">ROUND(INDEX(INDIRECT("CFS_"&amp;TEXT(I$1,"mmm")&amp;"_"&amp;TEXT(I$1,"yyyy")),MATCH(TRIM($A164),CFS_Accounts,0))-I164,2)</f>
        <v>0</v>
      </c>
      <c r="J165" s="76">
        <f t="array" ref="J165">ROUND(INDEX(INDIRECT("CFS_"&amp;TEXT(J$1,"mmm")&amp;"_"&amp;TEXT(J$1,"yyyy")),MATCH(TRIM($A164),CFS_Accounts,0))-J164,2)</f>
        <v>0</v>
      </c>
      <c r="K165" s="76">
        <f t="array" ref="K165">ROUND(INDEX(INDIRECT("CFS_"&amp;TEXT(K$1,"mmm")&amp;"_"&amp;TEXT(K$1,"yyyy")),MATCH(TRIM($A164),CFS_Accounts,0))-K164,2)</f>
        <v>0</v>
      </c>
      <c r="L165" s="76">
        <f t="array" ref="L165">ROUND(INDEX(INDIRECT("CFS_"&amp;TEXT(L$1,"mmm")&amp;"_"&amp;TEXT(L$1,"yyyy")),MATCH(TRIM($A164),CFS_Accounts,0))-L164,2)</f>
        <v>0</v>
      </c>
      <c r="M165" s="76">
        <f t="array" ref="M165">ROUND(INDEX(INDIRECT("CFS_"&amp;TEXT(M$1,"mmm")&amp;"_"&amp;TEXT(M$1,"yyyy")),MATCH(TRIM($A164),CFS_Accounts,0))-M164,2)</f>
        <v>0</v>
      </c>
      <c r="N165" s="76">
        <f t="array" ref="N165">ROUND(INDEX(INDIRECT("CFS_"&amp;TEXT(N$1,"mmm")&amp;"_"&amp;TEXT(N$1,"yyyy")),MATCH(TRIM($A164),CFS_Accounts,0))-N164,2)</f>
        <v>0</v>
      </c>
      <c r="O165" s="76">
        <f t="array" ref="O165">ROUND(INDEX(INDIRECT("CFS_"&amp;TEXT(O$1,"mmm")&amp;"_"&amp;TEXT(O$1,"yyyy")),MATCH(TRIM($A164),CFS_Accounts,0))-O164,2)</f>
        <v>0</v>
      </c>
      <c r="P165" s="76">
        <f t="array" ref="P165">ROUND(INDEX(INDIRECT("CFS_"&amp;TEXT(P$1,"mmm")&amp;"_"&amp;TEXT(P$1,"yyyy")),MATCH(TRIM($A164),CFS_Accounts,0))-P164,2)</f>
        <v>0</v>
      </c>
      <c r="Q165" s="76">
        <f t="array" ref="Q165">ROUND(INDEX(INDIRECT("CFS_"&amp;TEXT(Q$1,"mmm")&amp;"_"&amp;TEXT(Q$1,"yyyy")),MATCH(TRIM($A164),CFS_Accounts,0))-Q164,2)</f>
        <v>0</v>
      </c>
      <c r="R165" s="76">
        <f t="array" ref="R165">ROUND(INDEX(INDIRECT("CFS_"&amp;TEXT(R$1,"mmm")&amp;"_"&amp;TEXT(R$1,"yyyy")),MATCH(TRIM($A164),CFS_Accounts,0))-R164,2)</f>
        <v>0</v>
      </c>
      <c r="S165" s="76">
        <f t="array" ref="S165">ROUND(INDEX(INDIRECT("CFS_"&amp;TEXT(S$1,"mmm")&amp;"_"&amp;TEXT(S$1,"yyyy")),MATCH(TRIM($A164),CFS_Accounts,0))-S164,2)</f>
        <v>0</v>
      </c>
      <c r="T165" s="76">
        <f t="array" ref="T165">ROUND(INDEX(INDIRECT("CFS_"&amp;TEXT(T$1,"mmm")&amp;"_"&amp;TEXT(T$1,"yyyy")),MATCH(TRIM($A164),CFS_Accounts,0))-T164,2)</f>
        <v>0</v>
      </c>
      <c r="U165" s="76">
        <f t="array" ref="U165">ROUND(INDEX(INDIRECT("CFS_"&amp;TEXT(U$1,"mmm")&amp;"_"&amp;TEXT(U$1,"yyyy")),MATCH(TRIM($A164),CFS_Accounts,0))-U164,2)</f>
        <v>0</v>
      </c>
      <c r="V165" s="76">
        <f t="array" ref="V165">ROUND(INDEX(INDIRECT("CFS_"&amp;TEXT(V$1,"mmm")&amp;"_"&amp;TEXT(V$1,"yyyy")),MATCH(TRIM($A164),CFS_Accounts,0))-V164,2)</f>
        <v>0</v>
      </c>
      <c r="W165" s="76">
        <f t="array" ref="W165">ROUND(INDEX(INDIRECT("CFS_"&amp;TEXT(W$1,"mmm")&amp;"_"&amp;TEXT(W$1,"yyyy")),MATCH(TRIM($A164),CFS_Accounts,0))-W164,2)</f>
        <v>0</v>
      </c>
      <c r="X165" s="76">
        <f t="array" ref="X165">ROUND(INDEX(INDIRECT("CFS_"&amp;TEXT(X$1,"mmm")&amp;"_"&amp;TEXT(X$1,"yyyy")),MATCH(TRIM($A164),CFS_Accounts,0))-X164,2)</f>
        <v>0</v>
      </c>
      <c r="Y165" s="76">
        <f t="array" ref="Y165">ROUND(INDEX(INDIRECT("CFS_"&amp;TEXT(Y$1,"mmm")&amp;"_"&amp;TEXT(Y$1,"yyyy")),MATCH(TRIM($A164),CFS_Accounts,0))-Y164,2)</f>
        <v>0</v>
      </c>
      <c r="Z165" s="76">
        <f t="array" ref="Z165">ROUND(INDEX(INDIRECT("CFS_"&amp;TEXT(Z$1,"mmm")&amp;"_"&amp;TEXT(Z$1,"yyyy")),MATCH(TRIM($A164),CFS_Accounts,0))-Z164,2)</f>
        <v>0</v>
      </c>
      <c r="AA165" s="76">
        <f t="array" ref="AA165">ROUND(INDEX(INDIRECT("CFS_"&amp;TEXT(AA$1,"mmm")&amp;"_"&amp;TEXT(AA$1,"yyyy")),MATCH(TRIM($A164),CFS_Accounts,0))-AA164,2)</f>
        <v>0</v>
      </c>
      <c r="AB165" s="76">
        <f t="array" ref="AB165">ROUND(INDEX(INDIRECT("CFS_"&amp;TEXT(AB$1,"mmm")&amp;"_"&amp;TEXT(AB$1,"yyyy")),MATCH(TRIM($A164),CFS_Accounts,0))-AB164,2)</f>
        <v>0</v>
      </c>
      <c r="AC165" s="76">
        <f t="array" ref="AC165">ROUND(INDEX(INDIRECT("CFS_"&amp;TEXT(AC$1,"mmm")&amp;"_"&amp;TEXT(AC$1,"yyyy")),MATCH(TRIM($A164),CFS_Accounts,0))-AC164,2)</f>
        <v>0</v>
      </c>
      <c r="AD165" s="76">
        <f t="array" ref="AD165">ROUND(INDEX(INDIRECT("CFS_"&amp;TEXT(AD$1,"mmm")&amp;"_"&amp;TEXT(AD$1,"yyyy")),MATCH(TRIM($A164),CFS_Accounts,0))-AD164,2)</f>
        <v>0</v>
      </c>
      <c r="AE165" s="76">
        <f t="array" ref="AE165">ROUND(INDEX(INDIRECT("CFS_"&amp;TEXT(AE$1,"mmm")&amp;"_"&amp;TEXT(AE$1,"yyyy")),MATCH(TRIM($A164),CFS_Accounts,0))-AE164,2)</f>
        <v>0</v>
      </c>
    </row>
    <row r="166" ht="15.75" customHeight="1">
      <c r="A166" s="1" t="s">
        <v>377</v>
      </c>
      <c r="B166" s="159"/>
    </row>
    <row r="167" ht="15.75" customHeight="1">
      <c r="A167" s="1" t="s">
        <v>378</v>
      </c>
      <c r="B167" s="159"/>
      <c r="D167" s="96">
        <f t="shared" ref="D167:BW167" si="89">-D110+C110</f>
        <v>0</v>
      </c>
      <c r="E167" s="96">
        <f t="shared" si="89"/>
        <v>0</v>
      </c>
      <c r="F167" s="96">
        <f t="shared" si="89"/>
        <v>0</v>
      </c>
      <c r="G167" s="96">
        <f t="shared" si="89"/>
        <v>0</v>
      </c>
      <c r="H167" s="96">
        <f t="shared" si="89"/>
        <v>0</v>
      </c>
      <c r="I167" s="96">
        <f t="shared" si="89"/>
        <v>0</v>
      </c>
      <c r="J167" s="96">
        <f t="shared" si="89"/>
        <v>0</v>
      </c>
      <c r="K167" s="96">
        <f t="shared" si="89"/>
        <v>0</v>
      </c>
      <c r="L167" s="96">
        <f t="shared" si="89"/>
        <v>0</v>
      </c>
      <c r="M167" s="96">
        <f t="shared" si="89"/>
        <v>0</v>
      </c>
      <c r="N167" s="96">
        <f t="shared" si="89"/>
        <v>0</v>
      </c>
      <c r="O167" s="96">
        <f t="shared" si="89"/>
        <v>0</v>
      </c>
      <c r="P167" s="96">
        <f t="shared" si="89"/>
        <v>0</v>
      </c>
      <c r="Q167" s="96">
        <f t="shared" si="89"/>
        <v>0</v>
      </c>
      <c r="R167" s="96">
        <f t="shared" si="89"/>
        <v>0</v>
      </c>
      <c r="S167" s="96">
        <f t="shared" si="89"/>
        <v>0</v>
      </c>
      <c r="T167" s="96">
        <f t="shared" si="89"/>
        <v>0</v>
      </c>
      <c r="U167" s="96">
        <f t="shared" si="89"/>
        <v>0</v>
      </c>
      <c r="V167" s="96">
        <f t="shared" si="89"/>
        <v>0</v>
      </c>
      <c r="W167" s="96">
        <f t="shared" si="89"/>
        <v>0</v>
      </c>
      <c r="X167" s="96">
        <f t="shared" si="89"/>
        <v>0</v>
      </c>
      <c r="Y167" s="96">
        <f t="shared" si="89"/>
        <v>0</v>
      </c>
      <c r="Z167" s="96">
        <f t="shared" si="89"/>
        <v>0</v>
      </c>
      <c r="AA167" s="96">
        <f t="shared" si="89"/>
        <v>0</v>
      </c>
      <c r="AB167" s="96">
        <f t="shared" si="89"/>
        <v>0</v>
      </c>
      <c r="AC167" s="96">
        <f t="shared" si="89"/>
        <v>0</v>
      </c>
      <c r="AD167" s="96">
        <f t="shared" si="89"/>
        <v>0</v>
      </c>
      <c r="AE167" s="96">
        <f t="shared" si="89"/>
        <v>0</v>
      </c>
      <c r="AF167" s="96">
        <f t="shared" si="89"/>
        <v>0</v>
      </c>
      <c r="AG167" s="96">
        <f t="shared" si="89"/>
        <v>0</v>
      </c>
      <c r="AH167" s="96">
        <f t="shared" si="89"/>
        <v>0</v>
      </c>
      <c r="AI167" s="96">
        <f t="shared" si="89"/>
        <v>0</v>
      </c>
      <c r="AJ167" s="96">
        <f t="shared" si="89"/>
        <v>0</v>
      </c>
      <c r="AK167" s="96">
        <f t="shared" si="89"/>
        <v>0</v>
      </c>
      <c r="AL167" s="96">
        <f t="shared" si="89"/>
        <v>0</v>
      </c>
      <c r="AM167" s="96">
        <f t="shared" si="89"/>
        <v>0</v>
      </c>
      <c r="AN167" s="96">
        <f t="shared" si="89"/>
        <v>0</v>
      </c>
      <c r="AO167" s="96">
        <f t="shared" si="89"/>
        <v>0</v>
      </c>
      <c r="AP167" s="96">
        <f t="shared" si="89"/>
        <v>0</v>
      </c>
      <c r="AQ167" s="96">
        <f t="shared" si="89"/>
        <v>0</v>
      </c>
      <c r="AR167" s="96">
        <f t="shared" si="89"/>
        <v>0</v>
      </c>
      <c r="AS167" s="96">
        <f t="shared" si="89"/>
        <v>0</v>
      </c>
      <c r="AT167" s="96">
        <f t="shared" si="89"/>
        <v>0</v>
      </c>
      <c r="AU167" s="96">
        <f t="shared" si="89"/>
        <v>0</v>
      </c>
      <c r="AV167" s="96">
        <f t="shared" si="89"/>
        <v>0</v>
      </c>
      <c r="AW167" s="96">
        <f t="shared" si="89"/>
        <v>0</v>
      </c>
      <c r="AX167" s="96">
        <f t="shared" si="89"/>
        <v>0</v>
      </c>
      <c r="AY167" s="96">
        <f t="shared" si="89"/>
        <v>0</v>
      </c>
      <c r="AZ167" s="96">
        <f t="shared" si="89"/>
        <v>0</v>
      </c>
      <c r="BA167" s="96">
        <f t="shared" si="89"/>
        <v>0</v>
      </c>
      <c r="BB167" s="96">
        <f t="shared" si="89"/>
        <v>0</v>
      </c>
      <c r="BC167" s="96">
        <f t="shared" si="89"/>
        <v>0</v>
      </c>
      <c r="BD167" s="96">
        <f t="shared" si="89"/>
        <v>0</v>
      </c>
      <c r="BE167" s="96">
        <f t="shared" si="89"/>
        <v>0</v>
      </c>
      <c r="BF167" s="96">
        <f t="shared" si="89"/>
        <v>0</v>
      </c>
      <c r="BG167" s="96">
        <f t="shared" si="89"/>
        <v>0</v>
      </c>
      <c r="BH167" s="96">
        <f t="shared" si="89"/>
        <v>0</v>
      </c>
      <c r="BI167" s="96">
        <f t="shared" si="89"/>
        <v>0</v>
      </c>
      <c r="BJ167" s="96">
        <f t="shared" si="89"/>
        <v>0</v>
      </c>
      <c r="BK167" s="96">
        <f t="shared" si="89"/>
        <v>0</v>
      </c>
      <c r="BL167" s="96">
        <f t="shared" si="89"/>
        <v>0</v>
      </c>
      <c r="BM167" s="96">
        <f t="shared" si="89"/>
        <v>0</v>
      </c>
      <c r="BN167" s="96">
        <f t="shared" si="89"/>
        <v>0</v>
      </c>
      <c r="BO167" s="96">
        <f t="shared" si="89"/>
        <v>0</v>
      </c>
      <c r="BP167" s="96">
        <f t="shared" si="89"/>
        <v>0</v>
      </c>
      <c r="BQ167" s="96">
        <f t="shared" si="89"/>
        <v>0</v>
      </c>
      <c r="BR167" s="96">
        <f t="shared" si="89"/>
        <v>0</v>
      </c>
      <c r="BS167" s="96">
        <f t="shared" si="89"/>
        <v>0</v>
      </c>
      <c r="BT167" s="96">
        <f t="shared" si="89"/>
        <v>0</v>
      </c>
      <c r="BU167" s="96">
        <f t="shared" si="89"/>
        <v>0</v>
      </c>
      <c r="BV167" s="96">
        <f t="shared" si="89"/>
        <v>0</v>
      </c>
      <c r="BW167" s="96">
        <f t="shared" si="89"/>
        <v>0</v>
      </c>
    </row>
    <row r="168" ht="15.75" customHeight="1">
      <c r="A168" s="1" t="s">
        <v>379</v>
      </c>
      <c r="B168" s="159"/>
      <c r="D168" s="96">
        <f t="shared" ref="D168:BW168" si="90">-D115+C115</f>
        <v>0</v>
      </c>
      <c r="E168" s="96">
        <f t="shared" si="90"/>
        <v>0</v>
      </c>
      <c r="F168" s="96">
        <f t="shared" si="90"/>
        <v>0</v>
      </c>
      <c r="G168" s="96">
        <f t="shared" si="90"/>
        <v>0</v>
      </c>
      <c r="H168" s="96">
        <f t="shared" si="90"/>
        <v>0</v>
      </c>
      <c r="I168" s="96">
        <f t="shared" si="90"/>
        <v>0</v>
      </c>
      <c r="J168" s="96">
        <f t="shared" si="90"/>
        <v>0</v>
      </c>
      <c r="K168" s="96">
        <f t="shared" si="90"/>
        <v>0</v>
      </c>
      <c r="L168" s="96">
        <f t="shared" si="90"/>
        <v>0</v>
      </c>
      <c r="M168" s="96">
        <f t="shared" si="90"/>
        <v>0</v>
      </c>
      <c r="N168" s="96">
        <f t="shared" si="90"/>
        <v>0</v>
      </c>
      <c r="O168" s="96">
        <f t="shared" si="90"/>
        <v>0</v>
      </c>
      <c r="P168" s="96">
        <f t="shared" si="90"/>
        <v>0</v>
      </c>
      <c r="Q168" s="96">
        <f t="shared" si="90"/>
        <v>0</v>
      </c>
      <c r="R168" s="96">
        <f t="shared" si="90"/>
        <v>0</v>
      </c>
      <c r="S168" s="96">
        <f t="shared" si="90"/>
        <v>0</v>
      </c>
      <c r="T168" s="96">
        <f t="shared" si="90"/>
        <v>0</v>
      </c>
      <c r="U168" s="96">
        <f t="shared" si="90"/>
        <v>0</v>
      </c>
      <c r="V168" s="96">
        <f t="shared" si="90"/>
        <v>0</v>
      </c>
      <c r="W168" s="96">
        <f t="shared" si="90"/>
        <v>0</v>
      </c>
      <c r="X168" s="96">
        <f t="shared" si="90"/>
        <v>0</v>
      </c>
      <c r="Y168" s="96">
        <f t="shared" si="90"/>
        <v>0</v>
      </c>
      <c r="Z168" s="96">
        <f t="shared" si="90"/>
        <v>0</v>
      </c>
      <c r="AA168" s="96">
        <f t="shared" si="90"/>
        <v>0</v>
      </c>
      <c r="AB168" s="96">
        <f t="shared" si="90"/>
        <v>0</v>
      </c>
      <c r="AC168" s="96">
        <f t="shared" si="90"/>
        <v>0</v>
      </c>
      <c r="AD168" s="96">
        <f t="shared" si="90"/>
        <v>0</v>
      </c>
      <c r="AE168" s="96">
        <f t="shared" si="90"/>
        <v>0</v>
      </c>
      <c r="AF168" s="96">
        <f t="shared" si="90"/>
        <v>0</v>
      </c>
      <c r="AG168" s="96">
        <f t="shared" si="90"/>
        <v>0</v>
      </c>
      <c r="AH168" s="96">
        <f t="shared" si="90"/>
        <v>0</v>
      </c>
      <c r="AI168" s="96">
        <f t="shared" si="90"/>
        <v>0</v>
      </c>
      <c r="AJ168" s="96">
        <f t="shared" si="90"/>
        <v>0</v>
      </c>
      <c r="AK168" s="96">
        <f t="shared" si="90"/>
        <v>0</v>
      </c>
      <c r="AL168" s="96">
        <f t="shared" si="90"/>
        <v>0</v>
      </c>
      <c r="AM168" s="96">
        <f t="shared" si="90"/>
        <v>0</v>
      </c>
      <c r="AN168" s="96">
        <f t="shared" si="90"/>
        <v>0</v>
      </c>
      <c r="AO168" s="96">
        <f t="shared" si="90"/>
        <v>0</v>
      </c>
      <c r="AP168" s="96">
        <f t="shared" si="90"/>
        <v>0</v>
      </c>
      <c r="AQ168" s="96">
        <f t="shared" si="90"/>
        <v>0</v>
      </c>
      <c r="AR168" s="96">
        <f t="shared" si="90"/>
        <v>0</v>
      </c>
      <c r="AS168" s="96">
        <f t="shared" si="90"/>
        <v>0</v>
      </c>
      <c r="AT168" s="96">
        <f t="shared" si="90"/>
        <v>0</v>
      </c>
      <c r="AU168" s="96">
        <f t="shared" si="90"/>
        <v>0</v>
      </c>
      <c r="AV168" s="96">
        <f t="shared" si="90"/>
        <v>0</v>
      </c>
      <c r="AW168" s="96">
        <f t="shared" si="90"/>
        <v>0</v>
      </c>
      <c r="AX168" s="96">
        <f t="shared" si="90"/>
        <v>0</v>
      </c>
      <c r="AY168" s="96">
        <f t="shared" si="90"/>
        <v>0</v>
      </c>
      <c r="AZ168" s="96">
        <f t="shared" si="90"/>
        <v>0</v>
      </c>
      <c r="BA168" s="96">
        <f t="shared" si="90"/>
        <v>0</v>
      </c>
      <c r="BB168" s="96">
        <f t="shared" si="90"/>
        <v>0</v>
      </c>
      <c r="BC168" s="96">
        <f t="shared" si="90"/>
        <v>0</v>
      </c>
      <c r="BD168" s="96">
        <f t="shared" si="90"/>
        <v>0</v>
      </c>
      <c r="BE168" s="96">
        <f t="shared" si="90"/>
        <v>0</v>
      </c>
      <c r="BF168" s="96">
        <f t="shared" si="90"/>
        <v>0</v>
      </c>
      <c r="BG168" s="96">
        <f t="shared" si="90"/>
        <v>0</v>
      </c>
      <c r="BH168" s="96">
        <f t="shared" si="90"/>
        <v>0</v>
      </c>
      <c r="BI168" s="96">
        <f t="shared" si="90"/>
        <v>0</v>
      </c>
      <c r="BJ168" s="96">
        <f t="shared" si="90"/>
        <v>0</v>
      </c>
      <c r="BK168" s="96">
        <f t="shared" si="90"/>
        <v>0</v>
      </c>
      <c r="BL168" s="96">
        <f t="shared" si="90"/>
        <v>0</v>
      </c>
      <c r="BM168" s="96">
        <f t="shared" si="90"/>
        <v>0</v>
      </c>
      <c r="BN168" s="96">
        <f t="shared" si="90"/>
        <v>0</v>
      </c>
      <c r="BO168" s="96">
        <f t="shared" si="90"/>
        <v>0</v>
      </c>
      <c r="BP168" s="96">
        <f t="shared" si="90"/>
        <v>0</v>
      </c>
      <c r="BQ168" s="96">
        <f t="shared" si="90"/>
        <v>0</v>
      </c>
      <c r="BR168" s="96">
        <f t="shared" si="90"/>
        <v>0</v>
      </c>
      <c r="BS168" s="96">
        <f t="shared" si="90"/>
        <v>0</v>
      </c>
      <c r="BT168" s="96">
        <f t="shared" si="90"/>
        <v>0</v>
      </c>
      <c r="BU168" s="96">
        <f t="shared" si="90"/>
        <v>0</v>
      </c>
      <c r="BV168" s="96">
        <f t="shared" si="90"/>
        <v>0</v>
      </c>
      <c r="BW168" s="96">
        <f t="shared" si="90"/>
        <v>0</v>
      </c>
    </row>
    <row r="169" ht="15.75" customHeight="1">
      <c r="A169" s="1" t="s">
        <v>380</v>
      </c>
      <c r="B169" s="159"/>
      <c r="D169" s="96">
        <f t="shared" ref="D169:BW169" si="91">-D116+C116</f>
        <v>0</v>
      </c>
      <c r="E169" s="96">
        <f t="shared" si="91"/>
        <v>0</v>
      </c>
      <c r="F169" s="96">
        <f t="shared" si="91"/>
        <v>0</v>
      </c>
      <c r="G169" s="96">
        <f t="shared" si="91"/>
        <v>0</v>
      </c>
      <c r="H169" s="96">
        <f t="shared" si="91"/>
        <v>0</v>
      </c>
      <c r="I169" s="96">
        <f t="shared" si="91"/>
        <v>0</v>
      </c>
      <c r="J169" s="96">
        <f t="shared" si="91"/>
        <v>0</v>
      </c>
      <c r="K169" s="96">
        <f t="shared" si="91"/>
        <v>0</v>
      </c>
      <c r="L169" s="96">
        <f t="shared" si="91"/>
        <v>0</v>
      </c>
      <c r="M169" s="96">
        <f t="shared" si="91"/>
        <v>0</v>
      </c>
      <c r="N169" s="96">
        <f t="shared" si="91"/>
        <v>0</v>
      </c>
      <c r="O169" s="96">
        <f t="shared" si="91"/>
        <v>0</v>
      </c>
      <c r="P169" s="96">
        <f t="shared" si="91"/>
        <v>0</v>
      </c>
      <c r="Q169" s="96">
        <f t="shared" si="91"/>
        <v>0</v>
      </c>
      <c r="R169" s="96">
        <f t="shared" si="91"/>
        <v>0</v>
      </c>
      <c r="S169" s="96">
        <f t="shared" si="91"/>
        <v>0</v>
      </c>
      <c r="T169" s="96">
        <f t="shared" si="91"/>
        <v>0</v>
      </c>
      <c r="U169" s="96">
        <f t="shared" si="91"/>
        <v>0</v>
      </c>
      <c r="V169" s="96">
        <f t="shared" si="91"/>
        <v>0</v>
      </c>
      <c r="W169" s="96">
        <f t="shared" si="91"/>
        <v>0</v>
      </c>
      <c r="X169" s="96">
        <f t="shared" si="91"/>
        <v>0</v>
      </c>
      <c r="Y169" s="96">
        <f t="shared" si="91"/>
        <v>0</v>
      </c>
      <c r="Z169" s="96">
        <f t="shared" si="91"/>
        <v>0</v>
      </c>
      <c r="AA169" s="96">
        <f t="shared" si="91"/>
        <v>0</v>
      </c>
      <c r="AB169" s="96">
        <f t="shared" si="91"/>
        <v>0</v>
      </c>
      <c r="AC169" s="96">
        <f t="shared" si="91"/>
        <v>0</v>
      </c>
      <c r="AD169" s="96">
        <f t="shared" si="91"/>
        <v>0</v>
      </c>
      <c r="AE169" s="96">
        <f t="shared" si="91"/>
        <v>0</v>
      </c>
      <c r="AF169" s="96">
        <f t="shared" si="91"/>
        <v>0</v>
      </c>
      <c r="AG169" s="96">
        <f t="shared" si="91"/>
        <v>0</v>
      </c>
      <c r="AH169" s="96">
        <f t="shared" si="91"/>
        <v>0</v>
      </c>
      <c r="AI169" s="96">
        <f t="shared" si="91"/>
        <v>0</v>
      </c>
      <c r="AJ169" s="96">
        <f t="shared" si="91"/>
        <v>0</v>
      </c>
      <c r="AK169" s="96">
        <f t="shared" si="91"/>
        <v>0</v>
      </c>
      <c r="AL169" s="96">
        <f t="shared" si="91"/>
        <v>0</v>
      </c>
      <c r="AM169" s="96">
        <f t="shared" si="91"/>
        <v>0</v>
      </c>
      <c r="AN169" s="96">
        <f t="shared" si="91"/>
        <v>0</v>
      </c>
      <c r="AO169" s="96">
        <f t="shared" si="91"/>
        <v>0</v>
      </c>
      <c r="AP169" s="96">
        <f t="shared" si="91"/>
        <v>0</v>
      </c>
      <c r="AQ169" s="96">
        <f t="shared" si="91"/>
        <v>0</v>
      </c>
      <c r="AR169" s="96">
        <f t="shared" si="91"/>
        <v>0</v>
      </c>
      <c r="AS169" s="96">
        <f t="shared" si="91"/>
        <v>0</v>
      </c>
      <c r="AT169" s="96">
        <f t="shared" si="91"/>
        <v>0</v>
      </c>
      <c r="AU169" s="96">
        <f t="shared" si="91"/>
        <v>0</v>
      </c>
      <c r="AV169" s="96">
        <f t="shared" si="91"/>
        <v>0</v>
      </c>
      <c r="AW169" s="96">
        <f t="shared" si="91"/>
        <v>0</v>
      </c>
      <c r="AX169" s="96">
        <f t="shared" si="91"/>
        <v>0</v>
      </c>
      <c r="AY169" s="96">
        <f t="shared" si="91"/>
        <v>0</v>
      </c>
      <c r="AZ169" s="96">
        <f t="shared" si="91"/>
        <v>0</v>
      </c>
      <c r="BA169" s="96">
        <f t="shared" si="91"/>
        <v>0</v>
      </c>
      <c r="BB169" s="96">
        <f t="shared" si="91"/>
        <v>0</v>
      </c>
      <c r="BC169" s="96">
        <f t="shared" si="91"/>
        <v>0</v>
      </c>
      <c r="BD169" s="96">
        <f t="shared" si="91"/>
        <v>0</v>
      </c>
      <c r="BE169" s="96">
        <f t="shared" si="91"/>
        <v>0</v>
      </c>
      <c r="BF169" s="96">
        <f t="shared" si="91"/>
        <v>0</v>
      </c>
      <c r="BG169" s="96">
        <f t="shared" si="91"/>
        <v>0</v>
      </c>
      <c r="BH169" s="96">
        <f t="shared" si="91"/>
        <v>0</v>
      </c>
      <c r="BI169" s="96">
        <f t="shared" si="91"/>
        <v>0</v>
      </c>
      <c r="BJ169" s="96">
        <f t="shared" si="91"/>
        <v>0</v>
      </c>
      <c r="BK169" s="96">
        <f t="shared" si="91"/>
        <v>0</v>
      </c>
      <c r="BL169" s="96">
        <f t="shared" si="91"/>
        <v>0</v>
      </c>
      <c r="BM169" s="96">
        <f t="shared" si="91"/>
        <v>0</v>
      </c>
      <c r="BN169" s="96">
        <f t="shared" si="91"/>
        <v>0</v>
      </c>
      <c r="BO169" s="96">
        <f t="shared" si="91"/>
        <v>0</v>
      </c>
      <c r="BP169" s="96">
        <f t="shared" si="91"/>
        <v>0</v>
      </c>
      <c r="BQ169" s="96">
        <f t="shared" si="91"/>
        <v>0</v>
      </c>
      <c r="BR169" s="96">
        <f t="shared" si="91"/>
        <v>0</v>
      </c>
      <c r="BS169" s="96">
        <f t="shared" si="91"/>
        <v>0</v>
      </c>
      <c r="BT169" s="96">
        <f t="shared" si="91"/>
        <v>0</v>
      </c>
      <c r="BU169" s="96">
        <f t="shared" si="91"/>
        <v>0</v>
      </c>
      <c r="BV169" s="96">
        <f t="shared" si="91"/>
        <v>0</v>
      </c>
      <c r="BW169" s="96">
        <f t="shared" si="91"/>
        <v>0</v>
      </c>
    </row>
    <row r="170" ht="15.75" customHeight="1">
      <c r="A170" s="21" t="s">
        <v>381</v>
      </c>
      <c r="B170" s="163"/>
      <c r="C170" s="21"/>
      <c r="D170" s="147">
        <f t="shared" ref="D170:BW170" si="92">SUM(D167:D169)</f>
        <v>0</v>
      </c>
      <c r="E170" s="147">
        <f t="shared" si="92"/>
        <v>0</v>
      </c>
      <c r="F170" s="147">
        <f t="shared" si="92"/>
        <v>0</v>
      </c>
      <c r="G170" s="147">
        <f t="shared" si="92"/>
        <v>0</v>
      </c>
      <c r="H170" s="147">
        <f t="shared" si="92"/>
        <v>0</v>
      </c>
      <c r="I170" s="147">
        <f t="shared" si="92"/>
        <v>0</v>
      </c>
      <c r="J170" s="147">
        <f t="shared" si="92"/>
        <v>0</v>
      </c>
      <c r="K170" s="147">
        <f t="shared" si="92"/>
        <v>0</v>
      </c>
      <c r="L170" s="147">
        <f t="shared" si="92"/>
        <v>0</v>
      </c>
      <c r="M170" s="147">
        <f t="shared" si="92"/>
        <v>0</v>
      </c>
      <c r="N170" s="147">
        <f t="shared" si="92"/>
        <v>0</v>
      </c>
      <c r="O170" s="147">
        <f t="shared" si="92"/>
        <v>0</v>
      </c>
      <c r="P170" s="147">
        <f t="shared" si="92"/>
        <v>0</v>
      </c>
      <c r="Q170" s="147">
        <f t="shared" si="92"/>
        <v>0</v>
      </c>
      <c r="R170" s="147">
        <f t="shared" si="92"/>
        <v>0</v>
      </c>
      <c r="S170" s="147">
        <f t="shared" si="92"/>
        <v>0</v>
      </c>
      <c r="T170" s="147">
        <f t="shared" si="92"/>
        <v>0</v>
      </c>
      <c r="U170" s="147">
        <f t="shared" si="92"/>
        <v>0</v>
      </c>
      <c r="V170" s="147">
        <f t="shared" si="92"/>
        <v>0</v>
      </c>
      <c r="W170" s="147">
        <f t="shared" si="92"/>
        <v>0</v>
      </c>
      <c r="X170" s="147">
        <f t="shared" si="92"/>
        <v>0</v>
      </c>
      <c r="Y170" s="147">
        <f t="shared" si="92"/>
        <v>0</v>
      </c>
      <c r="Z170" s="147">
        <f t="shared" si="92"/>
        <v>0</v>
      </c>
      <c r="AA170" s="147">
        <f t="shared" si="92"/>
        <v>0</v>
      </c>
      <c r="AB170" s="147">
        <f t="shared" si="92"/>
        <v>0</v>
      </c>
      <c r="AC170" s="147">
        <f t="shared" si="92"/>
        <v>0</v>
      </c>
      <c r="AD170" s="147">
        <f t="shared" si="92"/>
        <v>0</v>
      </c>
      <c r="AE170" s="147">
        <f t="shared" si="92"/>
        <v>0</v>
      </c>
      <c r="AF170" s="147">
        <f t="shared" si="92"/>
        <v>0</v>
      </c>
      <c r="AG170" s="147">
        <f t="shared" si="92"/>
        <v>0</v>
      </c>
      <c r="AH170" s="147">
        <f t="shared" si="92"/>
        <v>0</v>
      </c>
      <c r="AI170" s="147">
        <f t="shared" si="92"/>
        <v>0</v>
      </c>
      <c r="AJ170" s="147">
        <f t="shared" si="92"/>
        <v>0</v>
      </c>
      <c r="AK170" s="147">
        <f t="shared" si="92"/>
        <v>0</v>
      </c>
      <c r="AL170" s="147">
        <f t="shared" si="92"/>
        <v>0</v>
      </c>
      <c r="AM170" s="147">
        <f t="shared" si="92"/>
        <v>0</v>
      </c>
      <c r="AN170" s="147">
        <f t="shared" si="92"/>
        <v>0</v>
      </c>
      <c r="AO170" s="147">
        <f t="shared" si="92"/>
        <v>0</v>
      </c>
      <c r="AP170" s="147">
        <f t="shared" si="92"/>
        <v>0</v>
      </c>
      <c r="AQ170" s="147">
        <f t="shared" si="92"/>
        <v>0</v>
      </c>
      <c r="AR170" s="147">
        <f t="shared" si="92"/>
        <v>0</v>
      </c>
      <c r="AS170" s="147">
        <f t="shared" si="92"/>
        <v>0</v>
      </c>
      <c r="AT170" s="147">
        <f t="shared" si="92"/>
        <v>0</v>
      </c>
      <c r="AU170" s="147">
        <f t="shared" si="92"/>
        <v>0</v>
      </c>
      <c r="AV170" s="147">
        <f t="shared" si="92"/>
        <v>0</v>
      </c>
      <c r="AW170" s="147">
        <f t="shared" si="92"/>
        <v>0</v>
      </c>
      <c r="AX170" s="147">
        <f t="shared" si="92"/>
        <v>0</v>
      </c>
      <c r="AY170" s="147">
        <f t="shared" si="92"/>
        <v>0</v>
      </c>
      <c r="AZ170" s="147">
        <f t="shared" si="92"/>
        <v>0</v>
      </c>
      <c r="BA170" s="147">
        <f t="shared" si="92"/>
        <v>0</v>
      </c>
      <c r="BB170" s="147">
        <f t="shared" si="92"/>
        <v>0</v>
      </c>
      <c r="BC170" s="147">
        <f t="shared" si="92"/>
        <v>0</v>
      </c>
      <c r="BD170" s="147">
        <f t="shared" si="92"/>
        <v>0</v>
      </c>
      <c r="BE170" s="147">
        <f t="shared" si="92"/>
        <v>0</v>
      </c>
      <c r="BF170" s="147">
        <f t="shared" si="92"/>
        <v>0</v>
      </c>
      <c r="BG170" s="147">
        <f t="shared" si="92"/>
        <v>0</v>
      </c>
      <c r="BH170" s="147">
        <f t="shared" si="92"/>
        <v>0</v>
      </c>
      <c r="BI170" s="147">
        <f t="shared" si="92"/>
        <v>0</v>
      </c>
      <c r="BJ170" s="147">
        <f t="shared" si="92"/>
        <v>0</v>
      </c>
      <c r="BK170" s="147">
        <f t="shared" si="92"/>
        <v>0</v>
      </c>
      <c r="BL170" s="147">
        <f t="shared" si="92"/>
        <v>0</v>
      </c>
      <c r="BM170" s="147">
        <f t="shared" si="92"/>
        <v>0</v>
      </c>
      <c r="BN170" s="147">
        <f t="shared" si="92"/>
        <v>0</v>
      </c>
      <c r="BO170" s="147">
        <f t="shared" si="92"/>
        <v>0</v>
      </c>
      <c r="BP170" s="147">
        <f t="shared" si="92"/>
        <v>0</v>
      </c>
      <c r="BQ170" s="147">
        <f t="shared" si="92"/>
        <v>0</v>
      </c>
      <c r="BR170" s="147">
        <f t="shared" si="92"/>
        <v>0</v>
      </c>
      <c r="BS170" s="147">
        <f t="shared" si="92"/>
        <v>0</v>
      </c>
      <c r="BT170" s="147">
        <f t="shared" si="92"/>
        <v>0</v>
      </c>
      <c r="BU170" s="147">
        <f t="shared" si="92"/>
        <v>0</v>
      </c>
      <c r="BV170" s="147">
        <f t="shared" si="92"/>
        <v>0</v>
      </c>
      <c r="BW170" s="147">
        <f t="shared" si="92"/>
        <v>0</v>
      </c>
    </row>
    <row r="171" ht="15.75" customHeight="1">
      <c r="A171" s="31" t="s">
        <v>244</v>
      </c>
      <c r="B171" s="159"/>
      <c r="D171" s="76">
        <f t="array" ref="D171">ROUND(INDEX(INDIRECT("CFS_"&amp;TEXT(D$1,"mmm")&amp;"_"&amp;TEXT(D$1,"yyyy")),MATCH(TRIM($A170),CFS_Accounts,0))-D170,2)</f>
        <v>0</v>
      </c>
      <c r="E171" s="76">
        <f t="array" ref="E171">ROUND(INDEX(INDIRECT("CFS_"&amp;TEXT(E$1,"mmm")&amp;"_"&amp;TEXT(E$1,"yyyy")),MATCH(TRIM($A170),CFS_Accounts,0))-E170,2)</f>
        <v>0</v>
      </c>
      <c r="F171" s="76">
        <f t="array" ref="F171">ROUND(INDEX(INDIRECT("CFS_"&amp;TEXT(F$1,"mmm")&amp;"_"&amp;TEXT(F$1,"yyyy")),MATCH(TRIM($A170),CFS_Accounts,0))-F170,2)</f>
        <v>0</v>
      </c>
      <c r="G171" s="76">
        <f t="array" ref="G171">ROUND(INDEX(INDIRECT("CFS_"&amp;TEXT(G$1,"mmm")&amp;"_"&amp;TEXT(G$1,"yyyy")),MATCH(TRIM($A170),CFS_Accounts,0))-G170,2)</f>
        <v>0</v>
      </c>
      <c r="H171" s="76">
        <f t="array" ref="H171">ROUND(INDEX(INDIRECT("CFS_"&amp;TEXT(H$1,"mmm")&amp;"_"&amp;TEXT(H$1,"yyyy")),MATCH(TRIM($A170),CFS_Accounts,0))-H170,2)</f>
        <v>0</v>
      </c>
      <c r="I171" s="76">
        <f t="array" ref="I171">ROUND(INDEX(INDIRECT("CFS_"&amp;TEXT(I$1,"mmm")&amp;"_"&amp;TEXT(I$1,"yyyy")),MATCH(TRIM($A170),CFS_Accounts,0))-I170,2)</f>
        <v>0</v>
      </c>
      <c r="J171" s="76">
        <f t="array" ref="J171">ROUND(INDEX(INDIRECT("CFS_"&amp;TEXT(J$1,"mmm")&amp;"_"&amp;TEXT(J$1,"yyyy")),MATCH(TRIM($A170),CFS_Accounts,0))-J170,2)</f>
        <v>0</v>
      </c>
      <c r="K171" s="76">
        <f t="array" ref="K171">ROUND(INDEX(INDIRECT("CFS_"&amp;TEXT(K$1,"mmm")&amp;"_"&amp;TEXT(K$1,"yyyy")),MATCH(TRIM($A170),CFS_Accounts,0))-K170,2)</f>
        <v>0</v>
      </c>
      <c r="L171" s="76">
        <f t="array" ref="L171">ROUND(INDEX(INDIRECT("CFS_"&amp;TEXT(L$1,"mmm")&amp;"_"&amp;TEXT(L$1,"yyyy")),MATCH(TRIM($A170),CFS_Accounts,0))-L170,2)</f>
        <v>0</v>
      </c>
      <c r="M171" s="76">
        <f t="array" ref="M171">ROUND(INDEX(INDIRECT("CFS_"&amp;TEXT(M$1,"mmm")&amp;"_"&amp;TEXT(M$1,"yyyy")),MATCH(TRIM($A170),CFS_Accounts,0))-M170,2)</f>
        <v>0</v>
      </c>
      <c r="N171" s="76">
        <f t="array" ref="N171">ROUND(INDEX(INDIRECT("CFS_"&amp;TEXT(N$1,"mmm")&amp;"_"&amp;TEXT(N$1,"yyyy")),MATCH(TRIM($A170),CFS_Accounts,0))-N170,2)</f>
        <v>0</v>
      </c>
      <c r="O171" s="76">
        <f t="array" ref="O171">ROUND(INDEX(INDIRECT("CFS_"&amp;TEXT(O$1,"mmm")&amp;"_"&amp;TEXT(O$1,"yyyy")),MATCH(TRIM($A170),CFS_Accounts,0))-O170,2)</f>
        <v>0</v>
      </c>
      <c r="P171" s="76">
        <f t="array" ref="P171">ROUND(INDEX(INDIRECT("CFS_"&amp;TEXT(P$1,"mmm")&amp;"_"&amp;TEXT(P$1,"yyyy")),MATCH(TRIM($A170),CFS_Accounts,0))-P170,2)</f>
        <v>0</v>
      </c>
      <c r="Q171" s="76">
        <f t="array" ref="Q171">ROUND(INDEX(INDIRECT("CFS_"&amp;TEXT(Q$1,"mmm")&amp;"_"&amp;TEXT(Q$1,"yyyy")),MATCH(TRIM($A170),CFS_Accounts,0))-Q170,2)</f>
        <v>0</v>
      </c>
      <c r="R171" s="76">
        <f t="array" ref="R171">ROUND(INDEX(INDIRECT("CFS_"&amp;TEXT(R$1,"mmm")&amp;"_"&amp;TEXT(R$1,"yyyy")),MATCH(TRIM($A170),CFS_Accounts,0))-R170,2)</f>
        <v>0</v>
      </c>
      <c r="S171" s="76">
        <f t="array" ref="S171">ROUND(INDEX(INDIRECT("CFS_"&amp;TEXT(S$1,"mmm")&amp;"_"&amp;TEXT(S$1,"yyyy")),MATCH(TRIM($A170),CFS_Accounts,0))-S170,2)</f>
        <v>0</v>
      </c>
      <c r="T171" s="76">
        <f t="array" ref="T171">ROUND(INDEX(INDIRECT("CFS_"&amp;TEXT(T$1,"mmm")&amp;"_"&amp;TEXT(T$1,"yyyy")),MATCH(TRIM($A170),CFS_Accounts,0))-T170,2)</f>
        <v>0</v>
      </c>
      <c r="U171" s="76">
        <f t="array" ref="U171">ROUND(INDEX(INDIRECT("CFS_"&amp;TEXT(U$1,"mmm")&amp;"_"&amp;TEXT(U$1,"yyyy")),MATCH(TRIM($A170),CFS_Accounts,0))-U170,2)</f>
        <v>0</v>
      </c>
      <c r="V171" s="76">
        <f t="array" ref="V171">ROUND(INDEX(INDIRECT("CFS_"&amp;TEXT(V$1,"mmm")&amp;"_"&amp;TEXT(V$1,"yyyy")),MATCH(TRIM($A170),CFS_Accounts,0))-V170,2)</f>
        <v>0</v>
      </c>
      <c r="W171" s="76">
        <f t="array" ref="W171">ROUND(INDEX(INDIRECT("CFS_"&amp;TEXT(W$1,"mmm")&amp;"_"&amp;TEXT(W$1,"yyyy")),MATCH(TRIM($A170),CFS_Accounts,0))-W170,2)</f>
        <v>0</v>
      </c>
      <c r="X171" s="76">
        <f t="array" ref="X171">ROUND(INDEX(INDIRECT("CFS_"&amp;TEXT(X$1,"mmm")&amp;"_"&amp;TEXT(X$1,"yyyy")),MATCH(TRIM($A170),CFS_Accounts,0))-X170,2)</f>
        <v>0</v>
      </c>
      <c r="Y171" s="76">
        <f t="array" ref="Y171">ROUND(INDEX(INDIRECT("CFS_"&amp;TEXT(Y$1,"mmm")&amp;"_"&amp;TEXT(Y$1,"yyyy")),MATCH(TRIM($A170),CFS_Accounts,0))-Y170,2)</f>
        <v>0</v>
      </c>
      <c r="Z171" s="76">
        <f t="array" ref="Z171">ROUND(INDEX(INDIRECT("CFS_"&amp;TEXT(Z$1,"mmm")&amp;"_"&amp;TEXT(Z$1,"yyyy")),MATCH(TRIM($A170),CFS_Accounts,0))-Z170,2)</f>
        <v>0</v>
      </c>
      <c r="AA171" s="76">
        <f t="array" ref="AA171">ROUND(INDEX(INDIRECT("CFS_"&amp;TEXT(AA$1,"mmm")&amp;"_"&amp;TEXT(AA$1,"yyyy")),MATCH(TRIM($A170),CFS_Accounts,0))-AA170,2)</f>
        <v>0</v>
      </c>
      <c r="AB171" s="76">
        <f t="array" ref="AB171">ROUND(INDEX(INDIRECT("CFS_"&amp;TEXT(AB$1,"mmm")&amp;"_"&amp;TEXT(AB$1,"yyyy")),MATCH(TRIM($A170),CFS_Accounts,0))-AB170,2)</f>
        <v>0</v>
      </c>
      <c r="AC171" s="76">
        <f t="array" ref="AC171">ROUND(INDEX(INDIRECT("CFS_"&amp;TEXT(AC$1,"mmm")&amp;"_"&amp;TEXT(AC$1,"yyyy")),MATCH(TRIM($A170),CFS_Accounts,0))-AC170,2)</f>
        <v>0</v>
      </c>
      <c r="AD171" s="76">
        <f t="array" ref="AD171">ROUND(INDEX(INDIRECT("CFS_"&amp;TEXT(AD$1,"mmm")&amp;"_"&amp;TEXT(AD$1,"yyyy")),MATCH(TRIM($A170),CFS_Accounts,0))-AD170,2)</f>
        <v>0</v>
      </c>
      <c r="AE171" s="76">
        <f t="array" ref="AE171">ROUND(INDEX(INDIRECT("CFS_"&amp;TEXT(AE$1,"mmm")&amp;"_"&amp;TEXT(AE$1,"yyyy")),MATCH(TRIM($A170),CFS_Accounts,0))-AE170,2)</f>
        <v>0</v>
      </c>
    </row>
    <row r="172" ht="15.75" customHeight="1">
      <c r="A172" s="1" t="s">
        <v>382</v>
      </c>
      <c r="B172" s="159"/>
    </row>
    <row r="173" ht="15.75" customHeight="1">
      <c r="A173" s="1" t="s">
        <v>383</v>
      </c>
      <c r="B173" s="159"/>
      <c r="D173" s="96">
        <f t="shared" ref="D173:BW173" si="93">D134-C134</f>
        <v>550000</v>
      </c>
      <c r="E173" s="96">
        <f t="shared" si="93"/>
        <v>100000</v>
      </c>
      <c r="F173" s="96">
        <f t="shared" si="93"/>
        <v>0</v>
      </c>
      <c r="G173" s="96">
        <f t="shared" si="93"/>
        <v>0</v>
      </c>
      <c r="H173" s="96">
        <f t="shared" si="93"/>
        <v>0</v>
      </c>
      <c r="I173" s="96">
        <f t="shared" si="93"/>
        <v>0</v>
      </c>
      <c r="J173" s="96">
        <f t="shared" si="93"/>
        <v>0</v>
      </c>
      <c r="K173" s="96">
        <f t="shared" si="93"/>
        <v>0</v>
      </c>
      <c r="L173" s="96">
        <f t="shared" si="93"/>
        <v>0</v>
      </c>
      <c r="M173" s="96">
        <f t="shared" si="93"/>
        <v>600000</v>
      </c>
      <c r="N173" s="96">
        <f t="shared" si="93"/>
        <v>0</v>
      </c>
      <c r="O173" s="96">
        <f t="shared" si="93"/>
        <v>0</v>
      </c>
      <c r="P173" s="96">
        <f t="shared" si="93"/>
        <v>500000</v>
      </c>
      <c r="Q173" s="96">
        <f t="shared" si="93"/>
        <v>0</v>
      </c>
      <c r="R173" s="96">
        <f t="shared" si="93"/>
        <v>0</v>
      </c>
      <c r="S173" s="96">
        <f t="shared" si="93"/>
        <v>0</v>
      </c>
      <c r="T173" s="96">
        <f t="shared" si="93"/>
        <v>300000</v>
      </c>
      <c r="U173" s="96">
        <f t="shared" si="93"/>
        <v>0</v>
      </c>
      <c r="V173" s="96">
        <f t="shared" si="93"/>
        <v>0</v>
      </c>
      <c r="W173" s="96">
        <f t="shared" si="93"/>
        <v>0</v>
      </c>
      <c r="X173" s="96">
        <f t="shared" si="93"/>
        <v>0</v>
      </c>
      <c r="Y173" s="96">
        <f t="shared" si="93"/>
        <v>300000</v>
      </c>
      <c r="Z173" s="96">
        <f t="shared" si="93"/>
        <v>0</v>
      </c>
      <c r="AA173" s="96">
        <f t="shared" si="93"/>
        <v>0</v>
      </c>
      <c r="AB173" s="96">
        <f t="shared" si="93"/>
        <v>0</v>
      </c>
      <c r="AC173" s="96">
        <f t="shared" si="93"/>
        <v>0</v>
      </c>
      <c r="AD173" s="96">
        <f t="shared" si="93"/>
        <v>0</v>
      </c>
      <c r="AE173" s="96">
        <f t="shared" si="93"/>
        <v>0</v>
      </c>
      <c r="AF173" s="96">
        <f t="shared" si="93"/>
        <v>0</v>
      </c>
      <c r="AG173" s="96">
        <f t="shared" si="93"/>
        <v>0</v>
      </c>
      <c r="AH173" s="96">
        <f t="shared" si="93"/>
        <v>0</v>
      </c>
      <c r="AI173" s="96">
        <f t="shared" si="93"/>
        <v>0</v>
      </c>
      <c r="AJ173" s="96">
        <f t="shared" si="93"/>
        <v>0</v>
      </c>
      <c r="AK173" s="96">
        <f t="shared" si="93"/>
        <v>0</v>
      </c>
      <c r="AL173" s="96">
        <f t="shared" si="93"/>
        <v>0</v>
      </c>
      <c r="AM173" s="96">
        <f t="shared" si="93"/>
        <v>0</v>
      </c>
      <c r="AN173" s="96">
        <f t="shared" si="93"/>
        <v>0</v>
      </c>
      <c r="AO173" s="96">
        <f t="shared" si="93"/>
        <v>0</v>
      </c>
      <c r="AP173" s="96">
        <f t="shared" si="93"/>
        <v>0</v>
      </c>
      <c r="AQ173" s="96">
        <f t="shared" si="93"/>
        <v>0</v>
      </c>
      <c r="AR173" s="96">
        <f t="shared" si="93"/>
        <v>0</v>
      </c>
      <c r="AS173" s="96">
        <f t="shared" si="93"/>
        <v>0</v>
      </c>
      <c r="AT173" s="96">
        <f t="shared" si="93"/>
        <v>0</v>
      </c>
      <c r="AU173" s="96">
        <f t="shared" si="93"/>
        <v>0</v>
      </c>
      <c r="AV173" s="96">
        <f t="shared" si="93"/>
        <v>0</v>
      </c>
      <c r="AW173" s="96">
        <f t="shared" si="93"/>
        <v>0</v>
      </c>
      <c r="AX173" s="96">
        <f t="shared" si="93"/>
        <v>0</v>
      </c>
      <c r="AY173" s="96">
        <f t="shared" si="93"/>
        <v>0</v>
      </c>
      <c r="AZ173" s="96">
        <f t="shared" si="93"/>
        <v>0</v>
      </c>
      <c r="BA173" s="96">
        <f t="shared" si="93"/>
        <v>0</v>
      </c>
      <c r="BB173" s="96">
        <f t="shared" si="93"/>
        <v>0</v>
      </c>
      <c r="BC173" s="96">
        <f t="shared" si="93"/>
        <v>0</v>
      </c>
      <c r="BD173" s="96">
        <f t="shared" si="93"/>
        <v>0</v>
      </c>
      <c r="BE173" s="96">
        <f t="shared" si="93"/>
        <v>0</v>
      </c>
      <c r="BF173" s="96">
        <f t="shared" si="93"/>
        <v>0</v>
      </c>
      <c r="BG173" s="96">
        <f t="shared" si="93"/>
        <v>0</v>
      </c>
      <c r="BH173" s="96">
        <f t="shared" si="93"/>
        <v>0</v>
      </c>
      <c r="BI173" s="96">
        <f t="shared" si="93"/>
        <v>0</v>
      </c>
      <c r="BJ173" s="96">
        <f t="shared" si="93"/>
        <v>0</v>
      </c>
      <c r="BK173" s="96">
        <f t="shared" si="93"/>
        <v>0</v>
      </c>
      <c r="BL173" s="96">
        <f t="shared" si="93"/>
        <v>0</v>
      </c>
      <c r="BM173" s="96">
        <f t="shared" si="93"/>
        <v>0</v>
      </c>
      <c r="BN173" s="96">
        <f t="shared" si="93"/>
        <v>0</v>
      </c>
      <c r="BO173" s="96">
        <f t="shared" si="93"/>
        <v>0</v>
      </c>
      <c r="BP173" s="96">
        <f t="shared" si="93"/>
        <v>0</v>
      </c>
      <c r="BQ173" s="96">
        <f t="shared" si="93"/>
        <v>0</v>
      </c>
      <c r="BR173" s="96">
        <f t="shared" si="93"/>
        <v>0</v>
      </c>
      <c r="BS173" s="96">
        <f t="shared" si="93"/>
        <v>0</v>
      </c>
      <c r="BT173" s="96">
        <f t="shared" si="93"/>
        <v>0</v>
      </c>
      <c r="BU173" s="96">
        <f t="shared" si="93"/>
        <v>0</v>
      </c>
      <c r="BV173" s="96">
        <f t="shared" si="93"/>
        <v>0</v>
      </c>
      <c r="BW173" s="96">
        <f t="shared" si="93"/>
        <v>0</v>
      </c>
    </row>
    <row r="174" ht="15.75" customHeight="1">
      <c r="A174" s="1" t="s">
        <v>384</v>
      </c>
      <c r="B174" s="159"/>
      <c r="D174" s="96">
        <f t="shared" ref="D174:BW174" si="94">D135-C135</f>
        <v>500000</v>
      </c>
      <c r="E174" s="96">
        <f t="shared" si="94"/>
        <v>0</v>
      </c>
      <c r="F174" s="96">
        <f t="shared" si="94"/>
        <v>0</v>
      </c>
      <c r="G174" s="96">
        <f t="shared" si="94"/>
        <v>0</v>
      </c>
      <c r="H174" s="96">
        <f t="shared" si="94"/>
        <v>0</v>
      </c>
      <c r="I174" s="96">
        <f t="shared" si="94"/>
        <v>0</v>
      </c>
      <c r="J174" s="96">
        <f t="shared" si="94"/>
        <v>0</v>
      </c>
      <c r="K174" s="96">
        <f t="shared" si="94"/>
        <v>0</v>
      </c>
      <c r="L174" s="96">
        <f t="shared" si="94"/>
        <v>0</v>
      </c>
      <c r="M174" s="96">
        <f t="shared" si="94"/>
        <v>0</v>
      </c>
      <c r="N174" s="96">
        <f t="shared" si="94"/>
        <v>0</v>
      </c>
      <c r="O174" s="96">
        <f t="shared" si="94"/>
        <v>0</v>
      </c>
      <c r="P174" s="96">
        <f t="shared" si="94"/>
        <v>0</v>
      </c>
      <c r="Q174" s="96">
        <f t="shared" si="94"/>
        <v>0</v>
      </c>
      <c r="R174" s="96">
        <f t="shared" si="94"/>
        <v>0</v>
      </c>
      <c r="S174" s="96">
        <f t="shared" si="94"/>
        <v>0</v>
      </c>
      <c r="T174" s="96">
        <f t="shared" si="94"/>
        <v>0</v>
      </c>
      <c r="U174" s="96">
        <f t="shared" si="94"/>
        <v>0</v>
      </c>
      <c r="V174" s="96">
        <f t="shared" si="94"/>
        <v>0</v>
      </c>
      <c r="W174" s="96">
        <f t="shared" si="94"/>
        <v>0</v>
      </c>
      <c r="X174" s="96">
        <f t="shared" si="94"/>
        <v>0</v>
      </c>
      <c r="Y174" s="96">
        <f t="shared" si="94"/>
        <v>0</v>
      </c>
      <c r="Z174" s="96">
        <f t="shared" si="94"/>
        <v>0</v>
      </c>
      <c r="AA174" s="96">
        <f t="shared" si="94"/>
        <v>0</v>
      </c>
      <c r="AB174" s="96">
        <f t="shared" si="94"/>
        <v>0</v>
      </c>
      <c r="AC174" s="96">
        <f t="shared" si="94"/>
        <v>0</v>
      </c>
      <c r="AD174" s="96">
        <f t="shared" si="94"/>
        <v>0</v>
      </c>
      <c r="AE174" s="96">
        <f t="shared" si="94"/>
        <v>0</v>
      </c>
      <c r="AF174" s="96">
        <f t="shared" si="94"/>
        <v>0</v>
      </c>
      <c r="AG174" s="96">
        <f t="shared" si="94"/>
        <v>0</v>
      </c>
      <c r="AH174" s="96">
        <f t="shared" si="94"/>
        <v>0</v>
      </c>
      <c r="AI174" s="96">
        <f t="shared" si="94"/>
        <v>0</v>
      </c>
      <c r="AJ174" s="96">
        <f t="shared" si="94"/>
        <v>0</v>
      </c>
      <c r="AK174" s="96">
        <f t="shared" si="94"/>
        <v>0</v>
      </c>
      <c r="AL174" s="96">
        <f t="shared" si="94"/>
        <v>0</v>
      </c>
      <c r="AM174" s="96">
        <f t="shared" si="94"/>
        <v>0</v>
      </c>
      <c r="AN174" s="96">
        <f t="shared" si="94"/>
        <v>0</v>
      </c>
      <c r="AO174" s="96">
        <f t="shared" si="94"/>
        <v>0</v>
      </c>
      <c r="AP174" s="96">
        <f t="shared" si="94"/>
        <v>0</v>
      </c>
      <c r="AQ174" s="96">
        <f t="shared" si="94"/>
        <v>0</v>
      </c>
      <c r="AR174" s="96">
        <f t="shared" si="94"/>
        <v>0</v>
      </c>
      <c r="AS174" s="96">
        <f t="shared" si="94"/>
        <v>0</v>
      </c>
      <c r="AT174" s="96">
        <f t="shared" si="94"/>
        <v>0</v>
      </c>
      <c r="AU174" s="96">
        <f t="shared" si="94"/>
        <v>0</v>
      </c>
      <c r="AV174" s="96">
        <f t="shared" si="94"/>
        <v>0</v>
      </c>
      <c r="AW174" s="96">
        <f t="shared" si="94"/>
        <v>0</v>
      </c>
      <c r="AX174" s="96">
        <f t="shared" si="94"/>
        <v>0</v>
      </c>
      <c r="AY174" s="96">
        <f t="shared" si="94"/>
        <v>0</v>
      </c>
      <c r="AZ174" s="96">
        <f t="shared" si="94"/>
        <v>0</v>
      </c>
      <c r="BA174" s="96">
        <f t="shared" si="94"/>
        <v>0</v>
      </c>
      <c r="BB174" s="96">
        <f t="shared" si="94"/>
        <v>0</v>
      </c>
      <c r="BC174" s="96">
        <f t="shared" si="94"/>
        <v>0</v>
      </c>
      <c r="BD174" s="96">
        <f t="shared" si="94"/>
        <v>0</v>
      </c>
      <c r="BE174" s="96">
        <f t="shared" si="94"/>
        <v>0</v>
      </c>
      <c r="BF174" s="96">
        <f t="shared" si="94"/>
        <v>0</v>
      </c>
      <c r="BG174" s="96">
        <f t="shared" si="94"/>
        <v>0</v>
      </c>
      <c r="BH174" s="96">
        <f t="shared" si="94"/>
        <v>0</v>
      </c>
      <c r="BI174" s="96">
        <f t="shared" si="94"/>
        <v>0</v>
      </c>
      <c r="BJ174" s="96">
        <f t="shared" si="94"/>
        <v>0</v>
      </c>
      <c r="BK174" s="96">
        <f t="shared" si="94"/>
        <v>0</v>
      </c>
      <c r="BL174" s="96">
        <f t="shared" si="94"/>
        <v>0</v>
      </c>
      <c r="BM174" s="96">
        <f t="shared" si="94"/>
        <v>0</v>
      </c>
      <c r="BN174" s="96">
        <f t="shared" si="94"/>
        <v>0</v>
      </c>
      <c r="BO174" s="96">
        <f t="shared" si="94"/>
        <v>0</v>
      </c>
      <c r="BP174" s="96">
        <f t="shared" si="94"/>
        <v>0</v>
      </c>
      <c r="BQ174" s="96">
        <f t="shared" si="94"/>
        <v>0</v>
      </c>
      <c r="BR174" s="96">
        <f t="shared" si="94"/>
        <v>0</v>
      </c>
      <c r="BS174" s="96">
        <f t="shared" si="94"/>
        <v>0</v>
      </c>
      <c r="BT174" s="96">
        <f t="shared" si="94"/>
        <v>0</v>
      </c>
      <c r="BU174" s="96">
        <f t="shared" si="94"/>
        <v>0</v>
      </c>
      <c r="BV174" s="96">
        <f t="shared" si="94"/>
        <v>0</v>
      </c>
      <c r="BW174" s="96">
        <f t="shared" si="94"/>
        <v>0</v>
      </c>
    </row>
    <row r="175" ht="15.75" customHeight="1">
      <c r="A175" s="1" t="s">
        <v>385</v>
      </c>
      <c r="B175" s="159"/>
      <c r="D175" s="96">
        <f t="shared" ref="D175:BW175" si="95">D136-C136</f>
        <v>0</v>
      </c>
      <c r="E175" s="96">
        <f t="shared" si="95"/>
        <v>0</v>
      </c>
      <c r="F175" s="96">
        <f t="shared" si="95"/>
        <v>0</v>
      </c>
      <c r="G175" s="96">
        <f t="shared" si="95"/>
        <v>0</v>
      </c>
      <c r="H175" s="96">
        <f t="shared" si="95"/>
        <v>0</v>
      </c>
      <c r="I175" s="96">
        <f t="shared" si="95"/>
        <v>0</v>
      </c>
      <c r="J175" s="96">
        <f t="shared" si="95"/>
        <v>0</v>
      </c>
      <c r="K175" s="96">
        <f t="shared" si="95"/>
        <v>0</v>
      </c>
      <c r="L175" s="96">
        <f t="shared" si="95"/>
        <v>0</v>
      </c>
      <c r="M175" s="96">
        <f t="shared" si="95"/>
        <v>0</v>
      </c>
      <c r="N175" s="96">
        <f t="shared" si="95"/>
        <v>0</v>
      </c>
      <c r="O175" s="96">
        <f t="shared" si="95"/>
        <v>0</v>
      </c>
      <c r="P175" s="96">
        <f t="shared" si="95"/>
        <v>0</v>
      </c>
      <c r="Q175" s="96">
        <f t="shared" si="95"/>
        <v>0</v>
      </c>
      <c r="R175" s="96">
        <f t="shared" si="95"/>
        <v>0</v>
      </c>
      <c r="S175" s="96">
        <f t="shared" si="95"/>
        <v>0</v>
      </c>
      <c r="T175" s="96">
        <f t="shared" si="95"/>
        <v>0</v>
      </c>
      <c r="U175" s="96">
        <f t="shared" si="95"/>
        <v>0</v>
      </c>
      <c r="V175" s="96">
        <f t="shared" si="95"/>
        <v>0</v>
      </c>
      <c r="W175" s="96">
        <f t="shared" si="95"/>
        <v>0</v>
      </c>
      <c r="X175" s="96">
        <f t="shared" si="95"/>
        <v>0</v>
      </c>
      <c r="Y175" s="96">
        <f t="shared" si="95"/>
        <v>0</v>
      </c>
      <c r="Z175" s="96">
        <f t="shared" si="95"/>
        <v>0</v>
      </c>
      <c r="AA175" s="96">
        <f t="shared" si="95"/>
        <v>0</v>
      </c>
      <c r="AB175" s="96">
        <f t="shared" si="95"/>
        <v>0</v>
      </c>
      <c r="AC175" s="96">
        <f t="shared" si="95"/>
        <v>0</v>
      </c>
      <c r="AD175" s="96">
        <f t="shared" si="95"/>
        <v>0</v>
      </c>
      <c r="AE175" s="96">
        <f t="shared" si="95"/>
        <v>0</v>
      </c>
      <c r="AF175" s="96">
        <f t="shared" si="95"/>
        <v>0</v>
      </c>
      <c r="AG175" s="96">
        <f t="shared" si="95"/>
        <v>0</v>
      </c>
      <c r="AH175" s="96">
        <f t="shared" si="95"/>
        <v>0</v>
      </c>
      <c r="AI175" s="96">
        <f t="shared" si="95"/>
        <v>0</v>
      </c>
      <c r="AJ175" s="96">
        <f t="shared" si="95"/>
        <v>0</v>
      </c>
      <c r="AK175" s="96">
        <f t="shared" si="95"/>
        <v>0</v>
      </c>
      <c r="AL175" s="96">
        <f t="shared" si="95"/>
        <v>0</v>
      </c>
      <c r="AM175" s="96">
        <f t="shared" si="95"/>
        <v>0</v>
      </c>
      <c r="AN175" s="96">
        <f t="shared" si="95"/>
        <v>0</v>
      </c>
      <c r="AO175" s="96">
        <f t="shared" si="95"/>
        <v>0</v>
      </c>
      <c r="AP175" s="96">
        <f t="shared" si="95"/>
        <v>0</v>
      </c>
      <c r="AQ175" s="96">
        <f t="shared" si="95"/>
        <v>0</v>
      </c>
      <c r="AR175" s="96">
        <f t="shared" si="95"/>
        <v>0</v>
      </c>
      <c r="AS175" s="96">
        <f t="shared" si="95"/>
        <v>0</v>
      </c>
      <c r="AT175" s="96">
        <f t="shared" si="95"/>
        <v>0</v>
      </c>
      <c r="AU175" s="96">
        <f t="shared" si="95"/>
        <v>0</v>
      </c>
      <c r="AV175" s="96">
        <f t="shared" si="95"/>
        <v>0</v>
      </c>
      <c r="AW175" s="96">
        <f t="shared" si="95"/>
        <v>0</v>
      </c>
      <c r="AX175" s="96">
        <f t="shared" si="95"/>
        <v>0</v>
      </c>
      <c r="AY175" s="96">
        <f t="shared" si="95"/>
        <v>0</v>
      </c>
      <c r="AZ175" s="96">
        <f t="shared" si="95"/>
        <v>0</v>
      </c>
      <c r="BA175" s="96">
        <f t="shared" si="95"/>
        <v>0</v>
      </c>
      <c r="BB175" s="96">
        <f t="shared" si="95"/>
        <v>0</v>
      </c>
      <c r="BC175" s="96">
        <f t="shared" si="95"/>
        <v>0</v>
      </c>
      <c r="BD175" s="96">
        <f t="shared" si="95"/>
        <v>0</v>
      </c>
      <c r="BE175" s="96">
        <f t="shared" si="95"/>
        <v>0</v>
      </c>
      <c r="BF175" s="96">
        <f t="shared" si="95"/>
        <v>0</v>
      </c>
      <c r="BG175" s="96">
        <f t="shared" si="95"/>
        <v>0</v>
      </c>
      <c r="BH175" s="96">
        <f t="shared" si="95"/>
        <v>0</v>
      </c>
      <c r="BI175" s="96">
        <f t="shared" si="95"/>
        <v>0</v>
      </c>
      <c r="BJ175" s="96">
        <f t="shared" si="95"/>
        <v>0</v>
      </c>
      <c r="BK175" s="96">
        <f t="shared" si="95"/>
        <v>0</v>
      </c>
      <c r="BL175" s="96">
        <f t="shared" si="95"/>
        <v>0</v>
      </c>
      <c r="BM175" s="96">
        <f t="shared" si="95"/>
        <v>0</v>
      </c>
      <c r="BN175" s="96">
        <f t="shared" si="95"/>
        <v>0</v>
      </c>
      <c r="BO175" s="96">
        <f t="shared" si="95"/>
        <v>0</v>
      </c>
      <c r="BP175" s="96">
        <f t="shared" si="95"/>
        <v>0</v>
      </c>
      <c r="BQ175" s="96">
        <f t="shared" si="95"/>
        <v>0</v>
      </c>
      <c r="BR175" s="96">
        <f t="shared" si="95"/>
        <v>0</v>
      </c>
      <c r="BS175" s="96">
        <f t="shared" si="95"/>
        <v>0</v>
      </c>
      <c r="BT175" s="96">
        <f t="shared" si="95"/>
        <v>0</v>
      </c>
      <c r="BU175" s="96">
        <f t="shared" si="95"/>
        <v>0</v>
      </c>
      <c r="BV175" s="96">
        <f t="shared" si="95"/>
        <v>0</v>
      </c>
      <c r="BW175" s="96">
        <f t="shared" si="95"/>
        <v>0</v>
      </c>
    </row>
    <row r="176" ht="15.75" customHeight="1">
      <c r="A176" s="1" t="s">
        <v>386</v>
      </c>
      <c r="B176" s="159"/>
      <c r="D176" s="96">
        <f t="shared" ref="D176:BW176" si="96">D137-C137</f>
        <v>0</v>
      </c>
      <c r="E176" s="96">
        <f t="shared" si="96"/>
        <v>0</v>
      </c>
      <c r="F176" s="96">
        <f t="shared" si="96"/>
        <v>0</v>
      </c>
      <c r="G176" s="96">
        <f t="shared" si="96"/>
        <v>0</v>
      </c>
      <c r="H176" s="96">
        <f t="shared" si="96"/>
        <v>0</v>
      </c>
      <c r="I176" s="96">
        <f t="shared" si="96"/>
        <v>0</v>
      </c>
      <c r="J176" s="96">
        <f t="shared" si="96"/>
        <v>0</v>
      </c>
      <c r="K176" s="96">
        <f t="shared" si="96"/>
        <v>0</v>
      </c>
      <c r="L176" s="96">
        <f t="shared" si="96"/>
        <v>0</v>
      </c>
      <c r="M176" s="96">
        <f t="shared" si="96"/>
        <v>0</v>
      </c>
      <c r="N176" s="96">
        <f t="shared" si="96"/>
        <v>0</v>
      </c>
      <c r="O176" s="96">
        <f t="shared" si="96"/>
        <v>0</v>
      </c>
      <c r="P176" s="96">
        <f t="shared" si="96"/>
        <v>0</v>
      </c>
      <c r="Q176" s="96">
        <f t="shared" si="96"/>
        <v>0</v>
      </c>
      <c r="R176" s="96">
        <f t="shared" si="96"/>
        <v>0</v>
      </c>
      <c r="S176" s="96">
        <f t="shared" si="96"/>
        <v>0</v>
      </c>
      <c r="T176" s="96">
        <f t="shared" si="96"/>
        <v>0</v>
      </c>
      <c r="U176" s="96">
        <f t="shared" si="96"/>
        <v>0</v>
      </c>
      <c r="V176" s="96">
        <f t="shared" si="96"/>
        <v>0</v>
      </c>
      <c r="W176" s="96">
        <f t="shared" si="96"/>
        <v>0</v>
      </c>
      <c r="X176" s="96">
        <f t="shared" si="96"/>
        <v>0</v>
      </c>
      <c r="Y176" s="96">
        <f t="shared" si="96"/>
        <v>0</v>
      </c>
      <c r="Z176" s="96">
        <f t="shared" si="96"/>
        <v>0</v>
      </c>
      <c r="AA176" s="96">
        <f t="shared" si="96"/>
        <v>0</v>
      </c>
      <c r="AB176" s="96">
        <f t="shared" si="96"/>
        <v>0</v>
      </c>
      <c r="AC176" s="96">
        <f t="shared" si="96"/>
        <v>0</v>
      </c>
      <c r="AD176" s="96">
        <f t="shared" si="96"/>
        <v>0</v>
      </c>
      <c r="AE176" s="96">
        <f t="shared" si="96"/>
        <v>0</v>
      </c>
      <c r="AF176" s="96" t="str">
        <f t="shared" si="96"/>
        <v>#NAME?</v>
      </c>
      <c r="AG176" s="96" t="str">
        <f t="shared" si="96"/>
        <v>#NAME?</v>
      </c>
      <c r="AH176" s="96" t="str">
        <f t="shared" si="96"/>
        <v>#NAME?</v>
      </c>
      <c r="AI176" s="96" t="str">
        <f t="shared" si="96"/>
        <v>#NAME?</v>
      </c>
      <c r="AJ176" s="96" t="str">
        <f t="shared" si="96"/>
        <v>#NAME?</v>
      </c>
      <c r="AK176" s="96" t="str">
        <f t="shared" si="96"/>
        <v>#NAME?</v>
      </c>
      <c r="AL176" s="96" t="str">
        <f t="shared" si="96"/>
        <v>#NAME?</v>
      </c>
      <c r="AM176" s="96" t="str">
        <f t="shared" si="96"/>
        <v>#NAME?</v>
      </c>
      <c r="AN176" s="96" t="str">
        <f t="shared" si="96"/>
        <v>#NAME?</v>
      </c>
      <c r="AO176" s="96" t="str">
        <f t="shared" si="96"/>
        <v>#NAME?</v>
      </c>
      <c r="AP176" s="96" t="str">
        <f t="shared" si="96"/>
        <v>#NAME?</v>
      </c>
      <c r="AQ176" s="96" t="str">
        <f t="shared" si="96"/>
        <v>#NAME?</v>
      </c>
      <c r="AR176" s="96" t="str">
        <f t="shared" si="96"/>
        <v>#NAME?</v>
      </c>
      <c r="AS176" s="96" t="str">
        <f t="shared" si="96"/>
        <v>#NAME?</v>
      </c>
      <c r="AT176" s="96" t="str">
        <f t="shared" si="96"/>
        <v>#NAME?</v>
      </c>
      <c r="AU176" s="96" t="str">
        <f t="shared" si="96"/>
        <v>#NAME?</v>
      </c>
      <c r="AV176" s="96" t="str">
        <f t="shared" si="96"/>
        <v>#NAME?</v>
      </c>
      <c r="AW176" s="96" t="str">
        <f t="shared" si="96"/>
        <v>#NAME?</v>
      </c>
      <c r="AX176" s="96" t="str">
        <f t="shared" si="96"/>
        <v>#NAME?</v>
      </c>
      <c r="AY176" s="96" t="str">
        <f t="shared" si="96"/>
        <v>#NAME?</v>
      </c>
      <c r="AZ176" s="96" t="str">
        <f t="shared" si="96"/>
        <v>#NAME?</v>
      </c>
      <c r="BA176" s="96" t="str">
        <f t="shared" si="96"/>
        <v>#NAME?</v>
      </c>
      <c r="BB176" s="96" t="str">
        <f t="shared" si="96"/>
        <v>#NAME?</v>
      </c>
      <c r="BC176" s="96" t="str">
        <f t="shared" si="96"/>
        <v>#NAME?</v>
      </c>
      <c r="BD176" s="96" t="str">
        <f t="shared" si="96"/>
        <v>#NAME?</v>
      </c>
      <c r="BE176" s="96" t="str">
        <f t="shared" si="96"/>
        <v>#NAME?</v>
      </c>
      <c r="BF176" s="96" t="str">
        <f t="shared" si="96"/>
        <v>#NAME?</v>
      </c>
      <c r="BG176" s="96" t="str">
        <f t="shared" si="96"/>
        <v>#NAME?</v>
      </c>
      <c r="BH176" s="96" t="str">
        <f t="shared" si="96"/>
        <v>#NAME?</v>
      </c>
      <c r="BI176" s="96" t="str">
        <f t="shared" si="96"/>
        <v>#NAME?</v>
      </c>
      <c r="BJ176" s="96" t="str">
        <f t="shared" si="96"/>
        <v>#NAME?</v>
      </c>
      <c r="BK176" s="96" t="str">
        <f t="shared" si="96"/>
        <v>#NAME?</v>
      </c>
      <c r="BL176" s="96" t="str">
        <f t="shared" si="96"/>
        <v>#NAME?</v>
      </c>
      <c r="BM176" s="96" t="str">
        <f t="shared" si="96"/>
        <v>#NAME?</v>
      </c>
      <c r="BN176" s="96" t="str">
        <f t="shared" si="96"/>
        <v>#NAME?</v>
      </c>
      <c r="BO176" s="96" t="str">
        <f t="shared" si="96"/>
        <v>#NAME?</v>
      </c>
      <c r="BP176" s="96" t="str">
        <f t="shared" si="96"/>
        <v>#NAME?</v>
      </c>
      <c r="BQ176" s="96" t="str">
        <f t="shared" si="96"/>
        <v>#NAME?</v>
      </c>
      <c r="BR176" s="96" t="str">
        <f t="shared" si="96"/>
        <v>#NAME?</v>
      </c>
      <c r="BS176" s="96" t="str">
        <f t="shared" si="96"/>
        <v>#NAME?</v>
      </c>
      <c r="BT176" s="96" t="str">
        <f t="shared" si="96"/>
        <v>#NAME?</v>
      </c>
      <c r="BU176" s="96" t="str">
        <f t="shared" si="96"/>
        <v>#NAME?</v>
      </c>
      <c r="BV176" s="96" t="str">
        <f t="shared" si="96"/>
        <v>#NAME?</v>
      </c>
      <c r="BW176" s="96" t="str">
        <f t="shared" si="96"/>
        <v>#NAME?</v>
      </c>
    </row>
    <row r="177" ht="15.75" customHeight="1">
      <c r="A177" s="1" t="s">
        <v>387</v>
      </c>
      <c r="B177" s="159"/>
      <c r="D177" s="96">
        <f t="shared" ref="D177:BW177" si="97">D138-C138</f>
        <v>0</v>
      </c>
      <c r="E177" s="96">
        <f t="shared" si="97"/>
        <v>0</v>
      </c>
      <c r="F177" s="96">
        <f t="shared" si="97"/>
        <v>0</v>
      </c>
      <c r="G177" s="96">
        <f t="shared" si="97"/>
        <v>0</v>
      </c>
      <c r="H177" s="96">
        <f t="shared" si="97"/>
        <v>0</v>
      </c>
      <c r="I177" s="96">
        <f t="shared" si="97"/>
        <v>0</v>
      </c>
      <c r="J177" s="96">
        <f t="shared" si="97"/>
        <v>0</v>
      </c>
      <c r="K177" s="96">
        <f t="shared" si="97"/>
        <v>0</v>
      </c>
      <c r="L177" s="96">
        <f t="shared" si="97"/>
        <v>0</v>
      </c>
      <c r="M177" s="96">
        <f t="shared" si="97"/>
        <v>0</v>
      </c>
      <c r="N177" s="96">
        <f t="shared" si="97"/>
        <v>0</v>
      </c>
      <c r="O177" s="96">
        <f t="shared" si="97"/>
        <v>0</v>
      </c>
      <c r="P177" s="96">
        <f t="shared" si="97"/>
        <v>0</v>
      </c>
      <c r="Q177" s="96">
        <f t="shared" si="97"/>
        <v>0</v>
      </c>
      <c r="R177" s="96">
        <f t="shared" si="97"/>
        <v>0</v>
      </c>
      <c r="S177" s="96">
        <f t="shared" si="97"/>
        <v>0</v>
      </c>
      <c r="T177" s="96">
        <f t="shared" si="97"/>
        <v>0</v>
      </c>
      <c r="U177" s="96">
        <f t="shared" si="97"/>
        <v>0</v>
      </c>
      <c r="V177" s="96">
        <f t="shared" si="97"/>
        <v>0</v>
      </c>
      <c r="W177" s="96">
        <f t="shared" si="97"/>
        <v>0</v>
      </c>
      <c r="X177" s="96">
        <f t="shared" si="97"/>
        <v>0</v>
      </c>
      <c r="Y177" s="96">
        <f t="shared" si="97"/>
        <v>0</v>
      </c>
      <c r="Z177" s="96">
        <f t="shared" si="97"/>
        <v>0</v>
      </c>
      <c r="AA177" s="96">
        <f t="shared" si="97"/>
        <v>0</v>
      </c>
      <c r="AB177" s="96">
        <f t="shared" si="97"/>
        <v>0</v>
      </c>
      <c r="AC177" s="96">
        <f t="shared" si="97"/>
        <v>0</v>
      </c>
      <c r="AD177" s="96">
        <f t="shared" si="97"/>
        <v>0</v>
      </c>
      <c r="AE177" s="96">
        <f t="shared" si="97"/>
        <v>0</v>
      </c>
      <c r="AF177" s="96" t="str">
        <f t="shared" si="97"/>
        <v>#NAME?</v>
      </c>
      <c r="AG177" s="96" t="str">
        <f t="shared" si="97"/>
        <v>#NAME?</v>
      </c>
      <c r="AH177" s="96" t="str">
        <f t="shared" si="97"/>
        <v>#NAME?</v>
      </c>
      <c r="AI177" s="96" t="str">
        <f t="shared" si="97"/>
        <v>#NAME?</v>
      </c>
      <c r="AJ177" s="96" t="str">
        <f t="shared" si="97"/>
        <v>#NAME?</v>
      </c>
      <c r="AK177" s="96" t="str">
        <f t="shared" si="97"/>
        <v>#NAME?</v>
      </c>
      <c r="AL177" s="96" t="str">
        <f t="shared" si="97"/>
        <v>#NAME?</v>
      </c>
      <c r="AM177" s="96" t="str">
        <f t="shared" si="97"/>
        <v>#NAME?</v>
      </c>
      <c r="AN177" s="96" t="str">
        <f t="shared" si="97"/>
        <v>#NAME?</v>
      </c>
      <c r="AO177" s="96" t="str">
        <f t="shared" si="97"/>
        <v>#NAME?</v>
      </c>
      <c r="AP177" s="96" t="str">
        <f t="shared" si="97"/>
        <v>#NAME?</v>
      </c>
      <c r="AQ177" s="96" t="str">
        <f t="shared" si="97"/>
        <v>#NAME?</v>
      </c>
      <c r="AR177" s="96" t="str">
        <f t="shared" si="97"/>
        <v>#NAME?</v>
      </c>
      <c r="AS177" s="96" t="str">
        <f t="shared" si="97"/>
        <v>#NAME?</v>
      </c>
      <c r="AT177" s="96" t="str">
        <f t="shared" si="97"/>
        <v>#NAME?</v>
      </c>
      <c r="AU177" s="96" t="str">
        <f t="shared" si="97"/>
        <v>#NAME?</v>
      </c>
      <c r="AV177" s="96" t="str">
        <f t="shared" si="97"/>
        <v>#NAME?</v>
      </c>
      <c r="AW177" s="96" t="str">
        <f t="shared" si="97"/>
        <v>#NAME?</v>
      </c>
      <c r="AX177" s="96" t="str">
        <f t="shared" si="97"/>
        <v>#NAME?</v>
      </c>
      <c r="AY177" s="96" t="str">
        <f t="shared" si="97"/>
        <v>#NAME?</v>
      </c>
      <c r="AZ177" s="96" t="str">
        <f t="shared" si="97"/>
        <v>#NAME?</v>
      </c>
      <c r="BA177" s="96" t="str">
        <f t="shared" si="97"/>
        <v>#NAME?</v>
      </c>
      <c r="BB177" s="96" t="str">
        <f t="shared" si="97"/>
        <v>#NAME?</v>
      </c>
      <c r="BC177" s="96" t="str">
        <f t="shared" si="97"/>
        <v>#NAME?</v>
      </c>
      <c r="BD177" s="96" t="str">
        <f t="shared" si="97"/>
        <v>#NAME?</v>
      </c>
      <c r="BE177" s="96" t="str">
        <f t="shared" si="97"/>
        <v>#NAME?</v>
      </c>
      <c r="BF177" s="96" t="str">
        <f t="shared" si="97"/>
        <v>#NAME?</v>
      </c>
      <c r="BG177" s="96" t="str">
        <f t="shared" si="97"/>
        <v>#NAME?</v>
      </c>
      <c r="BH177" s="96" t="str">
        <f t="shared" si="97"/>
        <v>#NAME?</v>
      </c>
      <c r="BI177" s="96" t="str">
        <f t="shared" si="97"/>
        <v>#NAME?</v>
      </c>
      <c r="BJ177" s="96" t="str">
        <f t="shared" si="97"/>
        <v>#NAME?</v>
      </c>
      <c r="BK177" s="96" t="str">
        <f t="shared" si="97"/>
        <v>#NAME?</v>
      </c>
      <c r="BL177" s="96" t="str">
        <f t="shared" si="97"/>
        <v>#NAME?</v>
      </c>
      <c r="BM177" s="96" t="str">
        <f t="shared" si="97"/>
        <v>#NAME?</v>
      </c>
      <c r="BN177" s="96" t="str">
        <f t="shared" si="97"/>
        <v>#NAME?</v>
      </c>
      <c r="BO177" s="96" t="str">
        <f t="shared" si="97"/>
        <v>#NAME?</v>
      </c>
      <c r="BP177" s="96" t="str">
        <f t="shared" si="97"/>
        <v>#NAME?</v>
      </c>
      <c r="BQ177" s="96" t="str">
        <f t="shared" si="97"/>
        <v>#NAME?</v>
      </c>
      <c r="BR177" s="96" t="str">
        <f t="shared" si="97"/>
        <v>#NAME?</v>
      </c>
      <c r="BS177" s="96" t="str">
        <f t="shared" si="97"/>
        <v>#NAME?</v>
      </c>
      <c r="BT177" s="96" t="str">
        <f t="shared" si="97"/>
        <v>#NAME?</v>
      </c>
      <c r="BU177" s="96" t="str">
        <f t="shared" si="97"/>
        <v>#NAME?</v>
      </c>
      <c r="BV177" s="96" t="str">
        <f t="shared" si="97"/>
        <v>#NAME?</v>
      </c>
      <c r="BW177" s="96" t="str">
        <f t="shared" si="97"/>
        <v>#NAME?</v>
      </c>
    </row>
    <row r="178" ht="15.75" customHeight="1">
      <c r="A178" s="1" t="s">
        <v>388</v>
      </c>
      <c r="B178" s="159"/>
      <c r="D178" s="96">
        <f t="shared" ref="D178:BW178" si="98">D136-C136</f>
        <v>0</v>
      </c>
      <c r="E178" s="96">
        <f t="shared" si="98"/>
        <v>0</v>
      </c>
      <c r="F178" s="96">
        <f t="shared" si="98"/>
        <v>0</v>
      </c>
      <c r="G178" s="96">
        <f t="shared" si="98"/>
        <v>0</v>
      </c>
      <c r="H178" s="96">
        <f t="shared" si="98"/>
        <v>0</v>
      </c>
      <c r="I178" s="96">
        <f t="shared" si="98"/>
        <v>0</v>
      </c>
      <c r="J178" s="96">
        <f t="shared" si="98"/>
        <v>0</v>
      </c>
      <c r="K178" s="96">
        <f t="shared" si="98"/>
        <v>0</v>
      </c>
      <c r="L178" s="96">
        <f t="shared" si="98"/>
        <v>0</v>
      </c>
      <c r="M178" s="96">
        <f t="shared" si="98"/>
        <v>0</v>
      </c>
      <c r="N178" s="96">
        <f t="shared" si="98"/>
        <v>0</v>
      </c>
      <c r="O178" s="96">
        <f t="shared" si="98"/>
        <v>0</v>
      </c>
      <c r="P178" s="96">
        <f t="shared" si="98"/>
        <v>0</v>
      </c>
      <c r="Q178" s="96">
        <f t="shared" si="98"/>
        <v>0</v>
      </c>
      <c r="R178" s="96">
        <f t="shared" si="98"/>
        <v>0</v>
      </c>
      <c r="S178" s="96">
        <f t="shared" si="98"/>
        <v>0</v>
      </c>
      <c r="T178" s="96">
        <f t="shared" si="98"/>
        <v>0</v>
      </c>
      <c r="U178" s="96">
        <f t="shared" si="98"/>
        <v>0</v>
      </c>
      <c r="V178" s="96">
        <f t="shared" si="98"/>
        <v>0</v>
      </c>
      <c r="W178" s="96">
        <f t="shared" si="98"/>
        <v>0</v>
      </c>
      <c r="X178" s="96">
        <f t="shared" si="98"/>
        <v>0</v>
      </c>
      <c r="Y178" s="96">
        <f t="shared" si="98"/>
        <v>0</v>
      </c>
      <c r="Z178" s="96">
        <f t="shared" si="98"/>
        <v>0</v>
      </c>
      <c r="AA178" s="96">
        <f t="shared" si="98"/>
        <v>0</v>
      </c>
      <c r="AB178" s="96">
        <f t="shared" si="98"/>
        <v>0</v>
      </c>
      <c r="AC178" s="96">
        <f t="shared" si="98"/>
        <v>0</v>
      </c>
      <c r="AD178" s="96">
        <f t="shared" si="98"/>
        <v>0</v>
      </c>
      <c r="AE178" s="96">
        <f t="shared" si="98"/>
        <v>0</v>
      </c>
      <c r="AF178" s="96">
        <f t="shared" si="98"/>
        <v>0</v>
      </c>
      <c r="AG178" s="96">
        <f t="shared" si="98"/>
        <v>0</v>
      </c>
      <c r="AH178" s="96">
        <f t="shared" si="98"/>
        <v>0</v>
      </c>
      <c r="AI178" s="96">
        <f t="shared" si="98"/>
        <v>0</v>
      </c>
      <c r="AJ178" s="96">
        <f t="shared" si="98"/>
        <v>0</v>
      </c>
      <c r="AK178" s="96">
        <f t="shared" si="98"/>
        <v>0</v>
      </c>
      <c r="AL178" s="96">
        <f t="shared" si="98"/>
        <v>0</v>
      </c>
      <c r="AM178" s="96">
        <f t="shared" si="98"/>
        <v>0</v>
      </c>
      <c r="AN178" s="96">
        <f t="shared" si="98"/>
        <v>0</v>
      </c>
      <c r="AO178" s="96">
        <f t="shared" si="98"/>
        <v>0</v>
      </c>
      <c r="AP178" s="96">
        <f t="shared" si="98"/>
        <v>0</v>
      </c>
      <c r="AQ178" s="96">
        <f t="shared" si="98"/>
        <v>0</v>
      </c>
      <c r="AR178" s="96">
        <f t="shared" si="98"/>
        <v>0</v>
      </c>
      <c r="AS178" s="96">
        <f t="shared" si="98"/>
        <v>0</v>
      </c>
      <c r="AT178" s="96">
        <f t="shared" si="98"/>
        <v>0</v>
      </c>
      <c r="AU178" s="96">
        <f t="shared" si="98"/>
        <v>0</v>
      </c>
      <c r="AV178" s="96">
        <f t="shared" si="98"/>
        <v>0</v>
      </c>
      <c r="AW178" s="96">
        <f t="shared" si="98"/>
        <v>0</v>
      </c>
      <c r="AX178" s="96">
        <f t="shared" si="98"/>
        <v>0</v>
      </c>
      <c r="AY178" s="96">
        <f t="shared" si="98"/>
        <v>0</v>
      </c>
      <c r="AZ178" s="96">
        <f t="shared" si="98"/>
        <v>0</v>
      </c>
      <c r="BA178" s="96">
        <f t="shared" si="98"/>
        <v>0</v>
      </c>
      <c r="BB178" s="96">
        <f t="shared" si="98"/>
        <v>0</v>
      </c>
      <c r="BC178" s="96">
        <f t="shared" si="98"/>
        <v>0</v>
      </c>
      <c r="BD178" s="96">
        <f t="shared" si="98"/>
        <v>0</v>
      </c>
      <c r="BE178" s="96">
        <f t="shared" si="98"/>
        <v>0</v>
      </c>
      <c r="BF178" s="96">
        <f t="shared" si="98"/>
        <v>0</v>
      </c>
      <c r="BG178" s="96">
        <f t="shared" si="98"/>
        <v>0</v>
      </c>
      <c r="BH178" s="96">
        <f t="shared" si="98"/>
        <v>0</v>
      </c>
      <c r="BI178" s="96">
        <f t="shared" si="98"/>
        <v>0</v>
      </c>
      <c r="BJ178" s="96">
        <f t="shared" si="98"/>
        <v>0</v>
      </c>
      <c r="BK178" s="96">
        <f t="shared" si="98"/>
        <v>0</v>
      </c>
      <c r="BL178" s="96">
        <f t="shared" si="98"/>
        <v>0</v>
      </c>
      <c r="BM178" s="96">
        <f t="shared" si="98"/>
        <v>0</v>
      </c>
      <c r="BN178" s="96">
        <f t="shared" si="98"/>
        <v>0</v>
      </c>
      <c r="BO178" s="96">
        <f t="shared" si="98"/>
        <v>0</v>
      </c>
      <c r="BP178" s="96">
        <f t="shared" si="98"/>
        <v>0</v>
      </c>
      <c r="BQ178" s="96">
        <f t="shared" si="98"/>
        <v>0</v>
      </c>
      <c r="BR178" s="96">
        <f t="shared" si="98"/>
        <v>0</v>
      </c>
      <c r="BS178" s="96">
        <f t="shared" si="98"/>
        <v>0</v>
      </c>
      <c r="BT178" s="96">
        <f t="shared" si="98"/>
        <v>0</v>
      </c>
      <c r="BU178" s="96">
        <f t="shared" si="98"/>
        <v>0</v>
      </c>
      <c r="BV178" s="96">
        <f t="shared" si="98"/>
        <v>0</v>
      </c>
      <c r="BW178" s="96">
        <f t="shared" si="98"/>
        <v>0</v>
      </c>
    </row>
    <row r="179" ht="15.75" customHeight="1">
      <c r="A179" s="21" t="s">
        <v>389</v>
      </c>
      <c r="B179" s="163"/>
      <c r="C179" s="21"/>
      <c r="D179" s="147">
        <f t="shared" ref="D179:BW179" si="99">SUM(D173:D178)</f>
        <v>1050000</v>
      </c>
      <c r="E179" s="147">
        <f t="shared" si="99"/>
        <v>100000</v>
      </c>
      <c r="F179" s="147">
        <f t="shared" si="99"/>
        <v>0</v>
      </c>
      <c r="G179" s="147">
        <f t="shared" si="99"/>
        <v>0</v>
      </c>
      <c r="H179" s="147">
        <f t="shared" si="99"/>
        <v>0</v>
      </c>
      <c r="I179" s="147">
        <f t="shared" si="99"/>
        <v>0</v>
      </c>
      <c r="J179" s="147">
        <f t="shared" si="99"/>
        <v>0</v>
      </c>
      <c r="K179" s="147">
        <f t="shared" si="99"/>
        <v>0</v>
      </c>
      <c r="L179" s="147">
        <f t="shared" si="99"/>
        <v>0</v>
      </c>
      <c r="M179" s="147">
        <f t="shared" si="99"/>
        <v>600000</v>
      </c>
      <c r="N179" s="147">
        <f t="shared" si="99"/>
        <v>0</v>
      </c>
      <c r="O179" s="147">
        <f t="shared" si="99"/>
        <v>0</v>
      </c>
      <c r="P179" s="147">
        <f t="shared" si="99"/>
        <v>500000</v>
      </c>
      <c r="Q179" s="147">
        <f t="shared" si="99"/>
        <v>0</v>
      </c>
      <c r="R179" s="147">
        <f t="shared" si="99"/>
        <v>0</v>
      </c>
      <c r="S179" s="147">
        <f t="shared" si="99"/>
        <v>0</v>
      </c>
      <c r="T179" s="147">
        <f t="shared" si="99"/>
        <v>300000</v>
      </c>
      <c r="U179" s="147">
        <f t="shared" si="99"/>
        <v>0</v>
      </c>
      <c r="V179" s="147">
        <f t="shared" si="99"/>
        <v>0</v>
      </c>
      <c r="W179" s="147">
        <f t="shared" si="99"/>
        <v>0</v>
      </c>
      <c r="X179" s="147">
        <f t="shared" si="99"/>
        <v>0</v>
      </c>
      <c r="Y179" s="147">
        <f t="shared" si="99"/>
        <v>300000</v>
      </c>
      <c r="Z179" s="147">
        <f t="shared" si="99"/>
        <v>0</v>
      </c>
      <c r="AA179" s="147">
        <f t="shared" si="99"/>
        <v>0</v>
      </c>
      <c r="AB179" s="147">
        <f t="shared" si="99"/>
        <v>0</v>
      </c>
      <c r="AC179" s="147">
        <f t="shared" si="99"/>
        <v>0</v>
      </c>
      <c r="AD179" s="147">
        <f t="shared" si="99"/>
        <v>0</v>
      </c>
      <c r="AE179" s="147">
        <f t="shared" si="99"/>
        <v>0</v>
      </c>
      <c r="AF179" s="147" t="str">
        <f t="shared" si="99"/>
        <v>#NAME?</v>
      </c>
      <c r="AG179" s="147" t="str">
        <f t="shared" si="99"/>
        <v>#NAME?</v>
      </c>
      <c r="AH179" s="147" t="str">
        <f t="shared" si="99"/>
        <v>#NAME?</v>
      </c>
      <c r="AI179" s="147" t="str">
        <f t="shared" si="99"/>
        <v>#NAME?</v>
      </c>
      <c r="AJ179" s="147" t="str">
        <f t="shared" si="99"/>
        <v>#NAME?</v>
      </c>
      <c r="AK179" s="147" t="str">
        <f t="shared" si="99"/>
        <v>#NAME?</v>
      </c>
      <c r="AL179" s="147" t="str">
        <f t="shared" si="99"/>
        <v>#NAME?</v>
      </c>
      <c r="AM179" s="147" t="str">
        <f t="shared" si="99"/>
        <v>#NAME?</v>
      </c>
      <c r="AN179" s="147" t="str">
        <f t="shared" si="99"/>
        <v>#NAME?</v>
      </c>
      <c r="AO179" s="147" t="str">
        <f t="shared" si="99"/>
        <v>#NAME?</v>
      </c>
      <c r="AP179" s="147" t="str">
        <f t="shared" si="99"/>
        <v>#NAME?</v>
      </c>
      <c r="AQ179" s="147" t="str">
        <f t="shared" si="99"/>
        <v>#NAME?</v>
      </c>
      <c r="AR179" s="147" t="str">
        <f t="shared" si="99"/>
        <v>#NAME?</v>
      </c>
      <c r="AS179" s="147" t="str">
        <f t="shared" si="99"/>
        <v>#NAME?</v>
      </c>
      <c r="AT179" s="147" t="str">
        <f t="shared" si="99"/>
        <v>#NAME?</v>
      </c>
      <c r="AU179" s="147" t="str">
        <f t="shared" si="99"/>
        <v>#NAME?</v>
      </c>
      <c r="AV179" s="147" t="str">
        <f t="shared" si="99"/>
        <v>#NAME?</v>
      </c>
      <c r="AW179" s="147" t="str">
        <f t="shared" si="99"/>
        <v>#NAME?</v>
      </c>
      <c r="AX179" s="147" t="str">
        <f t="shared" si="99"/>
        <v>#NAME?</v>
      </c>
      <c r="AY179" s="147" t="str">
        <f t="shared" si="99"/>
        <v>#NAME?</v>
      </c>
      <c r="AZ179" s="147" t="str">
        <f t="shared" si="99"/>
        <v>#NAME?</v>
      </c>
      <c r="BA179" s="147" t="str">
        <f t="shared" si="99"/>
        <v>#NAME?</v>
      </c>
      <c r="BB179" s="147" t="str">
        <f t="shared" si="99"/>
        <v>#NAME?</v>
      </c>
      <c r="BC179" s="147" t="str">
        <f t="shared" si="99"/>
        <v>#NAME?</v>
      </c>
      <c r="BD179" s="147" t="str">
        <f t="shared" si="99"/>
        <v>#NAME?</v>
      </c>
      <c r="BE179" s="147" t="str">
        <f t="shared" si="99"/>
        <v>#NAME?</v>
      </c>
      <c r="BF179" s="147" t="str">
        <f t="shared" si="99"/>
        <v>#NAME?</v>
      </c>
      <c r="BG179" s="147" t="str">
        <f t="shared" si="99"/>
        <v>#NAME?</v>
      </c>
      <c r="BH179" s="147" t="str">
        <f t="shared" si="99"/>
        <v>#NAME?</v>
      </c>
      <c r="BI179" s="147" t="str">
        <f t="shared" si="99"/>
        <v>#NAME?</v>
      </c>
      <c r="BJ179" s="147" t="str">
        <f t="shared" si="99"/>
        <v>#NAME?</v>
      </c>
      <c r="BK179" s="147" t="str">
        <f t="shared" si="99"/>
        <v>#NAME?</v>
      </c>
      <c r="BL179" s="147" t="str">
        <f t="shared" si="99"/>
        <v>#NAME?</v>
      </c>
      <c r="BM179" s="147" t="str">
        <f t="shared" si="99"/>
        <v>#NAME?</v>
      </c>
      <c r="BN179" s="147" t="str">
        <f t="shared" si="99"/>
        <v>#NAME?</v>
      </c>
      <c r="BO179" s="147" t="str">
        <f t="shared" si="99"/>
        <v>#NAME?</v>
      </c>
      <c r="BP179" s="147" t="str">
        <f t="shared" si="99"/>
        <v>#NAME?</v>
      </c>
      <c r="BQ179" s="147" t="str">
        <f t="shared" si="99"/>
        <v>#NAME?</v>
      </c>
      <c r="BR179" s="147" t="str">
        <f t="shared" si="99"/>
        <v>#NAME?</v>
      </c>
      <c r="BS179" s="147" t="str">
        <f t="shared" si="99"/>
        <v>#NAME?</v>
      </c>
      <c r="BT179" s="147" t="str">
        <f t="shared" si="99"/>
        <v>#NAME?</v>
      </c>
      <c r="BU179" s="147" t="str">
        <f t="shared" si="99"/>
        <v>#NAME?</v>
      </c>
      <c r="BV179" s="147" t="str">
        <f t="shared" si="99"/>
        <v>#NAME?</v>
      </c>
      <c r="BW179" s="147" t="str">
        <f t="shared" si="99"/>
        <v>#NAME?</v>
      </c>
    </row>
    <row r="180" ht="15.75" customHeight="1">
      <c r="A180" s="31" t="s">
        <v>244</v>
      </c>
      <c r="B180" s="159"/>
      <c r="D180" s="76">
        <f t="array" ref="D180">ROUND(INDEX(INDIRECT("CFS_"&amp;TEXT(D$1,"mmm")&amp;"_"&amp;TEXT(D$1,"yyyy")),MATCH(TRIM($A179),CFS_Accounts,0))-D179,2)</f>
        <v>0</v>
      </c>
      <c r="E180" s="76">
        <f t="array" ref="E180">ROUND(INDEX(INDIRECT("CFS_"&amp;TEXT(E$1,"mmm")&amp;"_"&amp;TEXT(E$1,"yyyy")),MATCH(TRIM($A179),CFS_Accounts,0))-E179,2)</f>
        <v>0</v>
      </c>
      <c r="F180" s="76">
        <f t="array" ref="F180">ROUND(INDEX(INDIRECT("CFS_"&amp;TEXT(F$1,"mmm")&amp;"_"&amp;TEXT(F$1,"yyyy")),MATCH(TRIM($A179),CFS_Accounts,0))-F179,2)</f>
        <v>0</v>
      </c>
      <c r="G180" s="76">
        <f t="array" ref="G180">ROUND(INDEX(INDIRECT("CFS_"&amp;TEXT(G$1,"mmm")&amp;"_"&amp;TEXT(G$1,"yyyy")),MATCH(TRIM($A179),CFS_Accounts,0))-G179,2)</f>
        <v>0</v>
      </c>
      <c r="H180" s="76">
        <f t="array" ref="H180">ROUND(INDEX(INDIRECT("CFS_"&amp;TEXT(H$1,"mmm")&amp;"_"&amp;TEXT(H$1,"yyyy")),MATCH(TRIM($A179),CFS_Accounts,0))-H179,2)</f>
        <v>0</v>
      </c>
      <c r="I180" s="76">
        <f t="array" ref="I180">ROUND(INDEX(INDIRECT("CFS_"&amp;TEXT(I$1,"mmm")&amp;"_"&amp;TEXT(I$1,"yyyy")),MATCH(TRIM($A179),CFS_Accounts,0))-I179,2)</f>
        <v>0</v>
      </c>
      <c r="J180" s="76">
        <f t="array" ref="J180">ROUND(INDEX(INDIRECT("CFS_"&amp;TEXT(J$1,"mmm")&amp;"_"&amp;TEXT(J$1,"yyyy")),MATCH(TRIM($A179),CFS_Accounts,0))-J179,2)</f>
        <v>0</v>
      </c>
      <c r="K180" s="76">
        <f t="array" ref="K180">ROUND(INDEX(INDIRECT("CFS_"&amp;TEXT(K$1,"mmm")&amp;"_"&amp;TEXT(K$1,"yyyy")),MATCH(TRIM($A179),CFS_Accounts,0))-K179,2)</f>
        <v>0</v>
      </c>
      <c r="L180" s="76">
        <f t="array" ref="L180">ROUND(INDEX(INDIRECT("CFS_"&amp;TEXT(L$1,"mmm")&amp;"_"&amp;TEXT(L$1,"yyyy")),MATCH(TRIM($A179),CFS_Accounts,0))-L179,2)</f>
        <v>0</v>
      </c>
      <c r="M180" s="76">
        <f t="array" ref="M180">ROUND(INDEX(INDIRECT("CFS_"&amp;TEXT(M$1,"mmm")&amp;"_"&amp;TEXT(M$1,"yyyy")),MATCH(TRIM($A179),CFS_Accounts,0))-M179,2)</f>
        <v>0</v>
      </c>
      <c r="N180" s="76">
        <f t="array" ref="N180">ROUND(INDEX(INDIRECT("CFS_"&amp;TEXT(N$1,"mmm")&amp;"_"&amp;TEXT(N$1,"yyyy")),MATCH(TRIM($A179),CFS_Accounts,0))-N179,2)</f>
        <v>0</v>
      </c>
      <c r="O180" s="76">
        <f t="array" ref="O180">ROUND(INDEX(INDIRECT("CFS_"&amp;TEXT(O$1,"mmm")&amp;"_"&amp;TEXT(O$1,"yyyy")),MATCH(TRIM($A179),CFS_Accounts,0))-O179,2)</f>
        <v>0</v>
      </c>
      <c r="P180" s="76">
        <f t="array" ref="P180">ROUND(INDEX(INDIRECT("CFS_"&amp;TEXT(P$1,"mmm")&amp;"_"&amp;TEXT(P$1,"yyyy")),MATCH(TRIM($A179),CFS_Accounts,0))-P179,2)</f>
        <v>0</v>
      </c>
      <c r="Q180" s="76">
        <f t="array" ref="Q180">ROUND(INDEX(INDIRECT("CFS_"&amp;TEXT(Q$1,"mmm")&amp;"_"&amp;TEXT(Q$1,"yyyy")),MATCH(TRIM($A179),CFS_Accounts,0))-Q179,2)</f>
        <v>0</v>
      </c>
      <c r="R180" s="76">
        <f t="array" ref="R180">ROUND(INDEX(INDIRECT("CFS_"&amp;TEXT(R$1,"mmm")&amp;"_"&amp;TEXT(R$1,"yyyy")),MATCH(TRIM($A179),CFS_Accounts,0))-R179,2)</f>
        <v>0</v>
      </c>
      <c r="S180" s="76">
        <f t="array" ref="S180">ROUND(INDEX(INDIRECT("CFS_"&amp;TEXT(S$1,"mmm")&amp;"_"&amp;TEXT(S$1,"yyyy")),MATCH(TRIM($A179),CFS_Accounts,0))-S179,2)</f>
        <v>0</v>
      </c>
      <c r="T180" s="76">
        <f t="array" ref="T180">ROUND(INDEX(INDIRECT("CFS_"&amp;TEXT(T$1,"mmm")&amp;"_"&amp;TEXT(T$1,"yyyy")),MATCH(TRIM($A179),CFS_Accounts,0))-T179,2)</f>
        <v>0</v>
      </c>
      <c r="U180" s="76">
        <f t="array" ref="U180">ROUND(INDEX(INDIRECT("CFS_"&amp;TEXT(U$1,"mmm")&amp;"_"&amp;TEXT(U$1,"yyyy")),MATCH(TRIM($A179),CFS_Accounts,0))-U179,2)</f>
        <v>0</v>
      </c>
      <c r="V180" s="76">
        <f t="array" ref="V180">ROUND(INDEX(INDIRECT("CFS_"&amp;TEXT(V$1,"mmm")&amp;"_"&amp;TEXT(V$1,"yyyy")),MATCH(TRIM($A179),CFS_Accounts,0))-V179,2)</f>
        <v>0</v>
      </c>
      <c r="W180" s="76">
        <f t="array" ref="W180">ROUND(INDEX(INDIRECT("CFS_"&amp;TEXT(W$1,"mmm")&amp;"_"&amp;TEXT(W$1,"yyyy")),MATCH(TRIM($A179),CFS_Accounts,0))-W179,2)</f>
        <v>0</v>
      </c>
      <c r="X180" s="76">
        <f t="array" ref="X180">ROUND(INDEX(INDIRECT("CFS_"&amp;TEXT(X$1,"mmm")&amp;"_"&amp;TEXT(X$1,"yyyy")),MATCH(TRIM($A179),CFS_Accounts,0))-X179,2)</f>
        <v>0</v>
      </c>
      <c r="Y180" s="76">
        <f t="array" ref="Y180">ROUND(INDEX(INDIRECT("CFS_"&amp;TEXT(Y$1,"mmm")&amp;"_"&amp;TEXT(Y$1,"yyyy")),MATCH(TRIM($A179),CFS_Accounts,0))-Y179,2)</f>
        <v>0</v>
      </c>
      <c r="Z180" s="76">
        <f t="array" ref="Z180">ROUND(INDEX(INDIRECT("CFS_"&amp;TEXT(Z$1,"mmm")&amp;"_"&amp;TEXT(Z$1,"yyyy")),MATCH(TRIM($A179),CFS_Accounts,0))-Z179,2)</f>
        <v>0</v>
      </c>
      <c r="AA180" s="76">
        <f t="array" ref="AA180">ROUND(INDEX(INDIRECT("CFS_"&amp;TEXT(AA$1,"mmm")&amp;"_"&amp;TEXT(AA$1,"yyyy")),MATCH(TRIM($A179),CFS_Accounts,0))-AA179,2)</f>
        <v>0</v>
      </c>
      <c r="AB180" s="76">
        <f t="array" ref="AB180">ROUND(INDEX(INDIRECT("CFS_"&amp;TEXT(AB$1,"mmm")&amp;"_"&amp;TEXT(AB$1,"yyyy")),MATCH(TRIM($A179),CFS_Accounts,0))-AB179,2)</f>
        <v>0</v>
      </c>
      <c r="AC180" s="76">
        <f t="array" ref="AC180">ROUND(INDEX(INDIRECT("CFS_"&amp;TEXT(AC$1,"mmm")&amp;"_"&amp;TEXT(AC$1,"yyyy")),MATCH(TRIM($A179),CFS_Accounts,0))-AC179,2)</f>
        <v>0</v>
      </c>
      <c r="AD180" s="76">
        <f t="array" ref="AD180">ROUND(INDEX(INDIRECT("CFS_"&amp;TEXT(AD$1,"mmm")&amp;"_"&amp;TEXT(AD$1,"yyyy")),MATCH(TRIM($A179),CFS_Accounts,0))-AD179,2)</f>
        <v>0</v>
      </c>
      <c r="AE180" s="76">
        <f t="array" ref="AE180">ROUND(INDEX(INDIRECT("CFS_"&amp;TEXT(AE$1,"mmm")&amp;"_"&amp;TEXT(AE$1,"yyyy")),MATCH(TRIM($A179),CFS_Accounts,0))-AE179,2)</f>
        <v>0</v>
      </c>
    </row>
    <row r="181" ht="15.75" customHeight="1">
      <c r="A181" s="21" t="s">
        <v>390</v>
      </c>
      <c r="B181" s="163"/>
      <c r="C181" s="21"/>
      <c r="D181" s="147">
        <f t="shared" ref="D181:BW181" si="100">SUM(D179,D170,D164)</f>
        <v>960680</v>
      </c>
      <c r="E181" s="147">
        <f t="shared" si="100"/>
        <v>9650</v>
      </c>
      <c r="F181" s="147">
        <f t="shared" si="100"/>
        <v>-102956</v>
      </c>
      <c r="G181" s="147">
        <f t="shared" si="100"/>
        <v>-94595</v>
      </c>
      <c r="H181" s="147">
        <f t="shared" si="100"/>
        <v>-82065</v>
      </c>
      <c r="I181" s="147">
        <f t="shared" si="100"/>
        <v>-78132</v>
      </c>
      <c r="J181" s="147">
        <f t="shared" si="100"/>
        <v>-94045</v>
      </c>
      <c r="K181" s="147">
        <f t="shared" si="100"/>
        <v>-89766</v>
      </c>
      <c r="L181" s="147">
        <f t="shared" si="100"/>
        <v>-114445</v>
      </c>
      <c r="M181" s="147">
        <f t="shared" si="100"/>
        <v>468119</v>
      </c>
      <c r="N181" s="147">
        <f t="shared" si="100"/>
        <v>-140597</v>
      </c>
      <c r="O181" s="147">
        <f t="shared" si="100"/>
        <v>-177194</v>
      </c>
      <c r="P181" s="147">
        <f t="shared" si="100"/>
        <v>322876</v>
      </c>
      <c r="Q181" s="147">
        <f t="shared" si="100"/>
        <v>-189575</v>
      </c>
      <c r="R181" s="147">
        <f t="shared" si="100"/>
        <v>-184131</v>
      </c>
      <c r="S181" s="147">
        <f t="shared" si="100"/>
        <v>-128941</v>
      </c>
      <c r="T181" s="147">
        <f t="shared" si="100"/>
        <v>148246</v>
      </c>
      <c r="U181" s="147">
        <f t="shared" si="100"/>
        <v>-122283</v>
      </c>
      <c r="V181" s="147">
        <f t="shared" si="100"/>
        <v>-102474</v>
      </c>
      <c r="W181" s="147">
        <f t="shared" si="100"/>
        <v>-82495</v>
      </c>
      <c r="X181" s="147">
        <f t="shared" si="100"/>
        <v>-60038</v>
      </c>
      <c r="Y181" s="147">
        <f t="shared" si="100"/>
        <v>272680</v>
      </c>
      <c r="Z181" s="147">
        <f t="shared" si="100"/>
        <v>-18905</v>
      </c>
      <c r="AA181" s="147">
        <f t="shared" si="100"/>
        <v>-24211</v>
      </c>
      <c r="AB181" s="147">
        <f t="shared" si="100"/>
        <v>-13824</v>
      </c>
      <c r="AC181" s="147">
        <f t="shared" si="100"/>
        <v>-26169</v>
      </c>
      <c r="AD181" s="147">
        <f t="shared" si="100"/>
        <v>8407.19</v>
      </c>
      <c r="AE181" s="147">
        <f t="shared" si="100"/>
        <v>-117</v>
      </c>
      <c r="AF181" s="147" t="str">
        <f t="shared" si="100"/>
        <v>#NAME?</v>
      </c>
      <c r="AG181" s="147" t="str">
        <f t="shared" si="100"/>
        <v>#NAME?</v>
      </c>
      <c r="AH181" s="147" t="str">
        <f t="shared" si="100"/>
        <v>#NAME?</v>
      </c>
      <c r="AI181" s="147" t="str">
        <f t="shared" si="100"/>
        <v>#NAME?</v>
      </c>
      <c r="AJ181" s="147" t="str">
        <f t="shared" si="100"/>
        <v>#NAME?</v>
      </c>
      <c r="AK181" s="147" t="str">
        <f t="shared" si="100"/>
        <v>#NAME?</v>
      </c>
      <c r="AL181" s="147" t="str">
        <f t="shared" si="100"/>
        <v>#NAME?</v>
      </c>
      <c r="AM181" s="147" t="str">
        <f t="shared" si="100"/>
        <v>#NAME?</v>
      </c>
      <c r="AN181" s="147" t="str">
        <f t="shared" si="100"/>
        <v>#NAME?</v>
      </c>
      <c r="AO181" s="147" t="str">
        <f t="shared" si="100"/>
        <v>#NAME?</v>
      </c>
      <c r="AP181" s="147" t="str">
        <f t="shared" si="100"/>
        <v>#NAME?</v>
      </c>
      <c r="AQ181" s="147" t="str">
        <f t="shared" si="100"/>
        <v>#NAME?</v>
      </c>
      <c r="AR181" s="147" t="str">
        <f t="shared" si="100"/>
        <v>#NAME?</v>
      </c>
      <c r="AS181" s="147" t="str">
        <f t="shared" si="100"/>
        <v>#NAME?</v>
      </c>
      <c r="AT181" s="147" t="str">
        <f t="shared" si="100"/>
        <v>#NAME?</v>
      </c>
      <c r="AU181" s="147" t="str">
        <f t="shared" si="100"/>
        <v>#NAME?</v>
      </c>
      <c r="AV181" s="147" t="str">
        <f t="shared" si="100"/>
        <v>#NAME?</v>
      </c>
      <c r="AW181" s="147" t="str">
        <f t="shared" si="100"/>
        <v>#NAME?</v>
      </c>
      <c r="AX181" s="147" t="str">
        <f t="shared" si="100"/>
        <v>#NAME?</v>
      </c>
      <c r="AY181" s="147" t="str">
        <f t="shared" si="100"/>
        <v>#NAME?</v>
      </c>
      <c r="AZ181" s="147" t="str">
        <f t="shared" si="100"/>
        <v>#NAME?</v>
      </c>
      <c r="BA181" s="147" t="str">
        <f t="shared" si="100"/>
        <v>#NAME?</v>
      </c>
      <c r="BB181" s="147" t="str">
        <f t="shared" si="100"/>
        <v>#NAME?</v>
      </c>
      <c r="BC181" s="147" t="str">
        <f t="shared" si="100"/>
        <v>#NAME?</v>
      </c>
      <c r="BD181" s="147" t="str">
        <f t="shared" si="100"/>
        <v>#NAME?</v>
      </c>
      <c r="BE181" s="147" t="str">
        <f t="shared" si="100"/>
        <v>#NAME?</v>
      </c>
      <c r="BF181" s="147" t="str">
        <f t="shared" si="100"/>
        <v>#NAME?</v>
      </c>
      <c r="BG181" s="147" t="str">
        <f t="shared" si="100"/>
        <v>#NAME?</v>
      </c>
      <c r="BH181" s="147" t="str">
        <f t="shared" si="100"/>
        <v>#NAME?</v>
      </c>
      <c r="BI181" s="147" t="str">
        <f t="shared" si="100"/>
        <v>#NAME?</v>
      </c>
      <c r="BJ181" s="147" t="str">
        <f t="shared" si="100"/>
        <v>#NAME?</v>
      </c>
      <c r="BK181" s="147" t="str">
        <f t="shared" si="100"/>
        <v>#NAME?</v>
      </c>
      <c r="BL181" s="147" t="str">
        <f t="shared" si="100"/>
        <v>#NAME?</v>
      </c>
      <c r="BM181" s="147" t="str">
        <f t="shared" si="100"/>
        <v>#NAME?</v>
      </c>
      <c r="BN181" s="147" t="str">
        <f t="shared" si="100"/>
        <v>#NAME?</v>
      </c>
      <c r="BO181" s="147" t="str">
        <f t="shared" si="100"/>
        <v>#NAME?</v>
      </c>
      <c r="BP181" s="21" t="str">
        <f t="shared" si="100"/>
        <v>#NAME?</v>
      </c>
      <c r="BQ181" s="21" t="str">
        <f t="shared" si="100"/>
        <v>#NAME?</v>
      </c>
      <c r="BR181" s="21" t="str">
        <f t="shared" si="100"/>
        <v>#NAME?</v>
      </c>
      <c r="BS181" s="21" t="str">
        <f t="shared" si="100"/>
        <v>#NAME?</v>
      </c>
      <c r="BT181" s="21" t="str">
        <f t="shared" si="100"/>
        <v>#NAME?</v>
      </c>
      <c r="BU181" s="21" t="str">
        <f t="shared" si="100"/>
        <v>#NAME?</v>
      </c>
      <c r="BV181" s="21" t="str">
        <f t="shared" si="100"/>
        <v>#NAME?</v>
      </c>
      <c r="BW181" s="21" t="str">
        <f t="shared" si="100"/>
        <v>#NAME?</v>
      </c>
    </row>
    <row r="182" ht="15.75" customHeight="1">
      <c r="A182" s="31" t="s">
        <v>244</v>
      </c>
      <c r="B182" s="159"/>
      <c r="D182" s="76">
        <f t="array" ref="D182">ROUND(INDEX(INDIRECT("CFS_"&amp;TEXT(D$1,"mmm")&amp;"_"&amp;TEXT(D$1,"yyyy")),MATCH(TRIM($A181),CFS_Accounts,0))-D181,2)</f>
        <v>0</v>
      </c>
      <c r="E182" s="76">
        <f t="array" ref="E182">ROUND(INDEX(INDIRECT("CFS_"&amp;TEXT(E$1,"mmm")&amp;"_"&amp;TEXT(E$1,"yyyy")),MATCH(TRIM($A181),CFS_Accounts,0))-E181,2)</f>
        <v>0</v>
      </c>
      <c r="F182" s="76">
        <f t="array" ref="F182">ROUND(INDEX(INDIRECT("CFS_"&amp;TEXT(F$1,"mmm")&amp;"_"&amp;TEXT(F$1,"yyyy")),MATCH(TRIM($A181),CFS_Accounts,0))-F181,2)</f>
        <v>0</v>
      </c>
      <c r="G182" s="76">
        <f t="array" ref="G182">ROUND(INDEX(INDIRECT("CFS_"&amp;TEXT(G$1,"mmm")&amp;"_"&amp;TEXT(G$1,"yyyy")),MATCH(TRIM($A181),CFS_Accounts,0))-G181,2)</f>
        <v>0</v>
      </c>
      <c r="H182" s="76">
        <f t="array" ref="H182">ROUND(INDEX(INDIRECT("CFS_"&amp;TEXT(H$1,"mmm")&amp;"_"&amp;TEXT(H$1,"yyyy")),MATCH(TRIM($A181),CFS_Accounts,0))-H181,2)</f>
        <v>0</v>
      </c>
      <c r="I182" s="76">
        <f t="array" ref="I182">ROUND(INDEX(INDIRECT("CFS_"&amp;TEXT(I$1,"mmm")&amp;"_"&amp;TEXT(I$1,"yyyy")),MATCH(TRIM($A181),CFS_Accounts,0))-I181,2)</f>
        <v>0</v>
      </c>
      <c r="J182" s="76">
        <f t="array" ref="J182">ROUND(INDEX(INDIRECT("CFS_"&amp;TEXT(J$1,"mmm")&amp;"_"&amp;TEXT(J$1,"yyyy")),MATCH(TRIM($A181),CFS_Accounts,0))-J181,2)</f>
        <v>0</v>
      </c>
      <c r="K182" s="76">
        <f t="array" ref="K182">ROUND(INDEX(INDIRECT("CFS_"&amp;TEXT(K$1,"mmm")&amp;"_"&amp;TEXT(K$1,"yyyy")),MATCH(TRIM($A181),CFS_Accounts,0))-K181,2)</f>
        <v>0</v>
      </c>
      <c r="L182" s="76">
        <f t="array" ref="L182">ROUND(INDEX(INDIRECT("CFS_"&amp;TEXT(L$1,"mmm")&amp;"_"&amp;TEXT(L$1,"yyyy")),MATCH(TRIM($A181),CFS_Accounts,0))-L181,2)</f>
        <v>0</v>
      </c>
      <c r="M182" s="76">
        <f t="array" ref="M182">ROUND(INDEX(INDIRECT("CFS_"&amp;TEXT(M$1,"mmm")&amp;"_"&amp;TEXT(M$1,"yyyy")),MATCH(TRIM($A181),CFS_Accounts,0))-M181,2)</f>
        <v>0</v>
      </c>
      <c r="N182" s="76">
        <f t="array" ref="N182">ROUND(INDEX(INDIRECT("CFS_"&amp;TEXT(N$1,"mmm")&amp;"_"&amp;TEXT(N$1,"yyyy")),MATCH(TRIM($A181),CFS_Accounts,0))-N181,2)</f>
        <v>0</v>
      </c>
      <c r="O182" s="76">
        <f t="array" ref="O182">ROUND(INDEX(INDIRECT("CFS_"&amp;TEXT(O$1,"mmm")&amp;"_"&amp;TEXT(O$1,"yyyy")),MATCH(TRIM($A181),CFS_Accounts,0))-O181,2)</f>
        <v>0</v>
      </c>
      <c r="P182" s="76">
        <f t="array" ref="P182">ROUND(INDEX(INDIRECT("CFS_"&amp;TEXT(P$1,"mmm")&amp;"_"&amp;TEXT(P$1,"yyyy")),MATCH(TRIM($A181),CFS_Accounts,0))-P181,2)</f>
        <v>0</v>
      </c>
      <c r="Q182" s="76">
        <f t="array" ref="Q182">ROUND(INDEX(INDIRECT("CFS_"&amp;TEXT(Q$1,"mmm")&amp;"_"&amp;TEXT(Q$1,"yyyy")),MATCH(TRIM($A181),CFS_Accounts,0))-Q181,2)</f>
        <v>0</v>
      </c>
      <c r="R182" s="76">
        <f t="array" ref="R182">ROUND(INDEX(INDIRECT("CFS_"&amp;TEXT(R$1,"mmm")&amp;"_"&amp;TEXT(R$1,"yyyy")),MATCH(TRIM($A181),CFS_Accounts,0))-R181,2)</f>
        <v>0</v>
      </c>
      <c r="S182" s="76">
        <f t="array" ref="S182">ROUND(INDEX(INDIRECT("CFS_"&amp;TEXT(S$1,"mmm")&amp;"_"&amp;TEXT(S$1,"yyyy")),MATCH(TRIM($A181),CFS_Accounts,0))-S181,2)</f>
        <v>0</v>
      </c>
      <c r="T182" s="76">
        <f t="array" ref="T182">ROUND(INDEX(INDIRECT("CFS_"&amp;TEXT(T$1,"mmm")&amp;"_"&amp;TEXT(T$1,"yyyy")),MATCH(TRIM($A181),CFS_Accounts,0))-T181,2)</f>
        <v>0</v>
      </c>
      <c r="U182" s="76">
        <f t="array" ref="U182">ROUND(INDEX(INDIRECT("CFS_"&amp;TEXT(U$1,"mmm")&amp;"_"&amp;TEXT(U$1,"yyyy")),MATCH(TRIM($A181),CFS_Accounts,0))-U181,2)</f>
        <v>0</v>
      </c>
      <c r="V182" s="76">
        <f t="array" ref="V182">ROUND(INDEX(INDIRECT("CFS_"&amp;TEXT(V$1,"mmm")&amp;"_"&amp;TEXT(V$1,"yyyy")),MATCH(TRIM($A181),CFS_Accounts,0))-V181,2)</f>
        <v>0</v>
      </c>
      <c r="W182" s="76">
        <f t="array" ref="W182">ROUND(INDEX(INDIRECT("CFS_"&amp;TEXT(W$1,"mmm")&amp;"_"&amp;TEXT(W$1,"yyyy")),MATCH(TRIM($A181),CFS_Accounts,0))-W181,2)</f>
        <v>0</v>
      </c>
      <c r="X182" s="76">
        <f t="array" ref="X182">ROUND(INDEX(INDIRECT("CFS_"&amp;TEXT(X$1,"mmm")&amp;"_"&amp;TEXT(X$1,"yyyy")),MATCH(TRIM($A181),CFS_Accounts,0))-X181,2)</f>
        <v>0</v>
      </c>
      <c r="Y182" s="76">
        <f t="array" ref="Y182">ROUND(INDEX(INDIRECT("CFS_"&amp;TEXT(Y$1,"mmm")&amp;"_"&amp;TEXT(Y$1,"yyyy")),MATCH(TRIM($A181),CFS_Accounts,0))-Y181,2)</f>
        <v>0</v>
      </c>
      <c r="Z182" s="76">
        <f t="array" ref="Z182">ROUND(INDEX(INDIRECT("CFS_"&amp;TEXT(Z$1,"mmm")&amp;"_"&amp;TEXT(Z$1,"yyyy")),MATCH(TRIM($A181),CFS_Accounts,0))-Z181,2)</f>
        <v>0</v>
      </c>
      <c r="AA182" s="76">
        <f t="array" ref="AA182">ROUND(INDEX(INDIRECT("CFS_"&amp;TEXT(AA$1,"mmm")&amp;"_"&amp;TEXT(AA$1,"yyyy")),MATCH(TRIM($A181),CFS_Accounts,0))-AA181,2)</f>
        <v>0</v>
      </c>
      <c r="AB182" s="76">
        <f t="array" ref="AB182">ROUND(INDEX(INDIRECT("CFS_"&amp;TEXT(AB$1,"mmm")&amp;"_"&amp;TEXT(AB$1,"yyyy")),MATCH(TRIM($A181),CFS_Accounts,0))-AB181,2)</f>
        <v>0</v>
      </c>
      <c r="AC182" s="76">
        <f t="array" ref="AC182">ROUND(INDEX(INDIRECT("CFS_"&amp;TEXT(AC$1,"mmm")&amp;"_"&amp;TEXT(AC$1,"yyyy")),MATCH(TRIM($A181),CFS_Accounts,0))-AC181,2)</f>
        <v>0</v>
      </c>
      <c r="AD182" s="76">
        <f t="array" ref="AD182">ROUND(INDEX(INDIRECT("CFS_"&amp;TEXT(AD$1,"mmm")&amp;"_"&amp;TEXT(AD$1,"yyyy")),MATCH(TRIM($A181),CFS_Accounts,0))-AD181,2)</f>
        <v>0</v>
      </c>
      <c r="AE182" s="76">
        <f t="array" ref="AE182">ROUND(INDEX(INDIRECT("CFS_"&amp;TEXT(AE$1,"mmm")&amp;"_"&amp;TEXT(AE$1,"yyyy")),MATCH(TRIM($A181),CFS_Accounts,0))-AE181,2)</f>
        <v>0</v>
      </c>
    </row>
    <row r="183" ht="15.75" customHeight="1">
      <c r="B183" s="159"/>
    </row>
    <row r="184" ht="15.75" customHeight="1">
      <c r="B184" s="159"/>
    </row>
    <row r="185" ht="15.75" customHeight="1">
      <c r="B185" s="159"/>
    </row>
    <row r="186" ht="15.75" customHeight="1">
      <c r="B186" s="159"/>
    </row>
    <row r="187" ht="15.75" customHeight="1">
      <c r="B187" s="159"/>
    </row>
    <row r="188" ht="15.75" customHeight="1">
      <c r="B188" s="159"/>
    </row>
    <row r="189" ht="15.75" customHeight="1">
      <c r="B189" s="159"/>
    </row>
    <row r="190" ht="15.75" customHeight="1">
      <c r="B190" s="159"/>
    </row>
    <row r="191" ht="15.75" customHeight="1">
      <c r="B191" s="159"/>
    </row>
    <row r="192" ht="15.75" customHeight="1">
      <c r="B192" s="159"/>
    </row>
    <row r="193" ht="15.75" customHeight="1">
      <c r="B193" s="159"/>
    </row>
    <row r="194" ht="15.75" customHeight="1">
      <c r="B194" s="159"/>
    </row>
    <row r="195" ht="15.75" customHeight="1">
      <c r="B195" s="159"/>
    </row>
    <row r="196" ht="15.75" customHeight="1">
      <c r="B196" s="159"/>
    </row>
    <row r="197" ht="15.75" customHeight="1">
      <c r="B197" s="159"/>
    </row>
    <row r="198" ht="15.75" customHeight="1">
      <c r="B198" s="159"/>
    </row>
    <row r="199" ht="15.75" customHeight="1">
      <c r="B199" s="159"/>
    </row>
    <row r="200" ht="15.75" customHeight="1">
      <c r="B200" s="159"/>
    </row>
    <row r="201" ht="15.75" customHeight="1">
      <c r="B201" s="159"/>
    </row>
    <row r="202" ht="15.75" customHeight="1">
      <c r="B202" s="159"/>
    </row>
    <row r="203" ht="15.75" customHeight="1">
      <c r="B203" s="159"/>
    </row>
    <row r="204" ht="15.75" customHeight="1">
      <c r="B204" s="159"/>
    </row>
    <row r="205" ht="15.75" customHeight="1">
      <c r="B205" s="159"/>
    </row>
    <row r="206" ht="15.75" customHeight="1">
      <c r="B206" s="159"/>
    </row>
    <row r="207" ht="15.75" customHeight="1">
      <c r="B207" s="159"/>
    </row>
    <row r="208" ht="15.75" customHeight="1">
      <c r="B208" s="159"/>
    </row>
    <row r="209" ht="15.75" customHeight="1">
      <c r="B209" s="159"/>
    </row>
    <row r="210" ht="15.75" customHeight="1">
      <c r="B210" s="159"/>
    </row>
    <row r="211" ht="15.75" customHeight="1">
      <c r="B211" s="159"/>
    </row>
    <row r="212" ht="15.75" customHeight="1">
      <c r="B212" s="159"/>
    </row>
    <row r="213" ht="15.75" customHeight="1">
      <c r="B213" s="159"/>
    </row>
    <row r="214" ht="15.75" customHeight="1">
      <c r="B214" s="159"/>
    </row>
    <row r="215" ht="15.75" customHeight="1">
      <c r="B215" s="159"/>
    </row>
    <row r="216" ht="15.75" customHeight="1">
      <c r="B216" s="159"/>
    </row>
    <row r="217" ht="15.75" customHeight="1">
      <c r="B217" s="159"/>
    </row>
    <row r="218" ht="15.75" customHeight="1">
      <c r="B218" s="159"/>
    </row>
    <row r="219" ht="15.75" customHeight="1">
      <c r="B219" s="159"/>
    </row>
    <row r="220" ht="15.75" customHeight="1">
      <c r="B220" s="159"/>
    </row>
    <row r="221" ht="15.75" customHeight="1">
      <c r="B221" s="159"/>
    </row>
    <row r="222" ht="15.75" customHeight="1">
      <c r="B222" s="159"/>
    </row>
    <row r="223" ht="15.75" customHeight="1">
      <c r="B223" s="159"/>
    </row>
    <row r="224" ht="15.75" customHeight="1">
      <c r="B224" s="159"/>
    </row>
    <row r="225" ht="15.75" customHeight="1">
      <c r="B225" s="159"/>
    </row>
    <row r="226" ht="15.75" customHeight="1">
      <c r="B226" s="159"/>
    </row>
    <row r="227" ht="15.75" customHeight="1">
      <c r="B227" s="159"/>
    </row>
    <row r="228" ht="15.75" customHeight="1">
      <c r="B228" s="159"/>
    </row>
    <row r="229" ht="15.75" customHeight="1">
      <c r="B229" s="159"/>
    </row>
    <row r="230" ht="15.75" customHeight="1">
      <c r="B230" s="159"/>
    </row>
    <row r="231" ht="15.75" customHeight="1">
      <c r="B231" s="159"/>
    </row>
    <row r="232" ht="15.75" customHeight="1">
      <c r="B232" s="159"/>
    </row>
    <row r="233" ht="15.75" customHeight="1">
      <c r="B233" s="159"/>
    </row>
    <row r="234" ht="15.75" customHeight="1">
      <c r="B234" s="159"/>
    </row>
    <row r="235" ht="15.75" customHeight="1">
      <c r="B235" s="159"/>
    </row>
    <row r="236" ht="15.75" customHeight="1">
      <c r="B236" s="159"/>
    </row>
    <row r="237" ht="15.75" customHeight="1">
      <c r="B237" s="159"/>
    </row>
    <row r="238" ht="15.75" customHeight="1">
      <c r="B238" s="159"/>
    </row>
    <row r="239" ht="15.75" customHeight="1">
      <c r="B239" s="159"/>
    </row>
    <row r="240" ht="15.75" customHeight="1">
      <c r="B240" s="159"/>
    </row>
    <row r="241" ht="15.75" customHeight="1">
      <c r="B241" s="159"/>
    </row>
    <row r="242" ht="15.75" customHeight="1">
      <c r="B242" s="159"/>
    </row>
    <row r="243" ht="15.75" customHeight="1">
      <c r="B243" s="159"/>
    </row>
    <row r="244" ht="15.75" customHeight="1">
      <c r="B244" s="159"/>
    </row>
    <row r="245" ht="15.75" customHeight="1">
      <c r="B245" s="159"/>
    </row>
    <row r="246" ht="15.75" customHeight="1">
      <c r="B246" s="159"/>
    </row>
    <row r="247" ht="15.75" customHeight="1">
      <c r="B247" s="159"/>
    </row>
    <row r="248" ht="15.75" customHeight="1">
      <c r="B248" s="159"/>
    </row>
    <row r="249" ht="15.75" customHeight="1">
      <c r="B249" s="159"/>
    </row>
    <row r="250" ht="15.75" customHeight="1">
      <c r="B250" s="159"/>
    </row>
    <row r="251" ht="15.75" customHeight="1">
      <c r="B251" s="159"/>
    </row>
    <row r="252" ht="15.75" customHeight="1">
      <c r="B252" s="159"/>
    </row>
    <row r="253" ht="15.75" customHeight="1">
      <c r="B253" s="159"/>
    </row>
    <row r="254" ht="15.75" customHeight="1">
      <c r="B254" s="159"/>
    </row>
    <row r="255" ht="15.75" customHeight="1">
      <c r="B255" s="159"/>
    </row>
    <row r="256" ht="15.75" customHeight="1">
      <c r="B256" s="159"/>
    </row>
    <row r="257" ht="15.75" customHeight="1">
      <c r="B257" s="159"/>
    </row>
    <row r="258" ht="15.75" customHeight="1">
      <c r="B258" s="159"/>
    </row>
    <row r="259" ht="15.75" customHeight="1">
      <c r="B259" s="159"/>
    </row>
    <row r="260" ht="15.75" customHeight="1">
      <c r="B260" s="159"/>
    </row>
    <row r="261" ht="15.75" customHeight="1">
      <c r="B261" s="159"/>
    </row>
    <row r="262" ht="15.75" customHeight="1">
      <c r="B262" s="159"/>
    </row>
    <row r="263" ht="15.75" customHeight="1">
      <c r="B263" s="159"/>
    </row>
    <row r="264" ht="15.75" customHeight="1">
      <c r="B264" s="159"/>
    </row>
    <row r="265" ht="15.75" customHeight="1">
      <c r="B265" s="159"/>
    </row>
    <row r="266" ht="15.75" customHeight="1">
      <c r="B266" s="159"/>
    </row>
    <row r="267" ht="15.75" customHeight="1">
      <c r="B267" s="159"/>
    </row>
    <row r="268" ht="15.75" customHeight="1">
      <c r="B268" s="159"/>
    </row>
    <row r="269" ht="15.75" customHeight="1">
      <c r="B269" s="159"/>
    </row>
    <row r="270" ht="15.75" customHeight="1">
      <c r="B270" s="159"/>
    </row>
    <row r="271" ht="15.75" customHeight="1">
      <c r="B271" s="159"/>
    </row>
    <row r="272" ht="15.75" customHeight="1">
      <c r="B272" s="159"/>
    </row>
    <row r="273" ht="15.75" customHeight="1">
      <c r="B273" s="159"/>
    </row>
    <row r="274" ht="15.75" customHeight="1">
      <c r="B274" s="159"/>
    </row>
    <row r="275" ht="15.75" customHeight="1">
      <c r="B275" s="159"/>
    </row>
    <row r="276" ht="15.75" customHeight="1">
      <c r="B276" s="159"/>
    </row>
    <row r="277" ht="15.75" customHeight="1">
      <c r="B277" s="159"/>
    </row>
    <row r="278" ht="15.75" customHeight="1">
      <c r="B278" s="159"/>
    </row>
    <row r="279" ht="15.75" customHeight="1">
      <c r="B279" s="159"/>
    </row>
    <row r="280" ht="15.75" customHeight="1">
      <c r="B280" s="159"/>
    </row>
    <row r="281" ht="15.75" customHeight="1">
      <c r="B281" s="159"/>
    </row>
    <row r="282" ht="15.75" customHeight="1">
      <c r="B282" s="159"/>
    </row>
    <row r="283" ht="15.75" customHeight="1">
      <c r="B283" s="159"/>
    </row>
    <row r="284" ht="15.75" customHeight="1">
      <c r="B284" s="159"/>
    </row>
    <row r="285" ht="15.75" customHeight="1">
      <c r="B285" s="159"/>
    </row>
    <row r="286" ht="15.75" customHeight="1">
      <c r="B286" s="159"/>
    </row>
    <row r="287" ht="15.75" customHeight="1">
      <c r="B287" s="159"/>
    </row>
    <row r="288" ht="15.75" customHeight="1">
      <c r="B288" s="159"/>
    </row>
    <row r="289" ht="15.75" customHeight="1">
      <c r="B289" s="159"/>
    </row>
    <row r="290" ht="15.75" customHeight="1">
      <c r="B290" s="159"/>
    </row>
    <row r="291" ht="15.75" customHeight="1">
      <c r="B291" s="159"/>
    </row>
    <row r="292" ht="15.75" customHeight="1">
      <c r="B292" s="159"/>
    </row>
    <row r="293" ht="15.75" customHeight="1">
      <c r="B293" s="159"/>
    </row>
    <row r="294" ht="15.75" customHeight="1">
      <c r="B294" s="159"/>
    </row>
    <row r="295" ht="15.75" customHeight="1">
      <c r="B295" s="159"/>
    </row>
    <row r="296" ht="15.75" customHeight="1">
      <c r="B296" s="159"/>
    </row>
    <row r="297" ht="15.75" customHeight="1">
      <c r="B297" s="159"/>
    </row>
    <row r="298" ht="15.75" customHeight="1">
      <c r="B298" s="159"/>
    </row>
    <row r="299" ht="15.75" customHeight="1">
      <c r="B299" s="159"/>
    </row>
    <row r="300" ht="15.75" customHeight="1">
      <c r="B300" s="159"/>
    </row>
    <row r="301" ht="15.75" customHeight="1">
      <c r="B301" s="159"/>
    </row>
    <row r="302" ht="15.75" customHeight="1">
      <c r="B302" s="159"/>
    </row>
    <row r="303" ht="15.75" customHeight="1">
      <c r="B303" s="159"/>
    </row>
    <row r="304" ht="15.75" customHeight="1">
      <c r="B304" s="159"/>
    </row>
    <row r="305" ht="15.75" customHeight="1">
      <c r="B305" s="159"/>
    </row>
    <row r="306" ht="15.75" customHeight="1">
      <c r="B306" s="159"/>
    </row>
    <row r="307" ht="15.75" customHeight="1">
      <c r="B307" s="159"/>
    </row>
    <row r="308" ht="15.75" customHeight="1">
      <c r="B308" s="159"/>
    </row>
    <row r="309" ht="15.75" customHeight="1">
      <c r="B309" s="159"/>
    </row>
    <row r="310" ht="15.75" customHeight="1">
      <c r="B310" s="159"/>
    </row>
    <row r="311" ht="15.75" customHeight="1">
      <c r="B311" s="159"/>
    </row>
    <row r="312" ht="15.75" customHeight="1">
      <c r="B312" s="159"/>
    </row>
    <row r="313" ht="15.75" customHeight="1">
      <c r="B313" s="159"/>
    </row>
    <row r="314" ht="15.75" customHeight="1">
      <c r="B314" s="159"/>
    </row>
    <row r="315" ht="15.75" customHeight="1">
      <c r="B315" s="159"/>
    </row>
    <row r="316" ht="15.75" customHeight="1">
      <c r="B316" s="159"/>
    </row>
    <row r="317" ht="15.75" customHeight="1">
      <c r="B317" s="159"/>
    </row>
    <row r="318" ht="15.75" customHeight="1">
      <c r="B318" s="159"/>
    </row>
    <row r="319" ht="15.75" customHeight="1">
      <c r="B319" s="159"/>
    </row>
    <row r="320" ht="15.75" customHeight="1">
      <c r="B320" s="159"/>
    </row>
    <row r="321" ht="15.75" customHeight="1">
      <c r="B321" s="159"/>
    </row>
    <row r="322" ht="15.75" customHeight="1">
      <c r="B322" s="159"/>
    </row>
    <row r="323" ht="15.75" customHeight="1">
      <c r="B323" s="159"/>
    </row>
    <row r="324" ht="15.75" customHeight="1">
      <c r="B324" s="159"/>
    </row>
    <row r="325" ht="15.75" customHeight="1">
      <c r="B325" s="159"/>
    </row>
    <row r="326" ht="15.75" customHeight="1">
      <c r="B326" s="159"/>
    </row>
    <row r="327" ht="15.75" customHeight="1">
      <c r="B327" s="159"/>
    </row>
    <row r="328" ht="15.75" customHeight="1">
      <c r="B328" s="159"/>
    </row>
    <row r="329" ht="15.75" customHeight="1">
      <c r="B329" s="159"/>
    </row>
    <row r="330" ht="15.75" customHeight="1">
      <c r="B330" s="159"/>
    </row>
    <row r="331" ht="15.75" customHeight="1">
      <c r="B331" s="159"/>
    </row>
    <row r="332" ht="15.75" customHeight="1">
      <c r="B332" s="159"/>
    </row>
    <row r="333" ht="15.75" customHeight="1">
      <c r="B333" s="159"/>
    </row>
    <row r="334" ht="15.75" customHeight="1">
      <c r="B334" s="159"/>
    </row>
    <row r="335" ht="15.75" customHeight="1">
      <c r="B335" s="159"/>
    </row>
    <row r="336" ht="15.75" customHeight="1">
      <c r="B336" s="159"/>
    </row>
    <row r="337" ht="15.75" customHeight="1">
      <c r="B337" s="159"/>
    </row>
    <row r="338" ht="15.75" customHeight="1">
      <c r="B338" s="159"/>
    </row>
    <row r="339" ht="15.75" customHeight="1">
      <c r="B339" s="159"/>
    </row>
    <row r="340" ht="15.75" customHeight="1">
      <c r="B340" s="159"/>
    </row>
    <row r="341" ht="15.75" customHeight="1">
      <c r="B341" s="159"/>
    </row>
    <row r="342" ht="15.75" customHeight="1">
      <c r="B342" s="159"/>
    </row>
    <row r="343" ht="15.75" customHeight="1">
      <c r="B343" s="159"/>
    </row>
    <row r="344" ht="15.75" customHeight="1">
      <c r="B344" s="159"/>
    </row>
    <row r="345" ht="15.75" customHeight="1">
      <c r="B345" s="159"/>
    </row>
    <row r="346" ht="15.75" customHeight="1">
      <c r="B346" s="159"/>
    </row>
    <row r="347" ht="15.75" customHeight="1">
      <c r="B347" s="159"/>
    </row>
    <row r="348" ht="15.75" customHeight="1">
      <c r="B348" s="159"/>
    </row>
    <row r="349" ht="15.75" customHeight="1">
      <c r="B349" s="159"/>
    </row>
    <row r="350" ht="15.75" customHeight="1">
      <c r="B350" s="159"/>
    </row>
    <row r="351" ht="15.75" customHeight="1">
      <c r="B351" s="159"/>
    </row>
    <row r="352" ht="15.75" customHeight="1">
      <c r="B352" s="159"/>
    </row>
    <row r="353" ht="15.75" customHeight="1">
      <c r="B353" s="159"/>
    </row>
    <row r="354" ht="15.75" customHeight="1">
      <c r="B354" s="159"/>
    </row>
    <row r="355" ht="15.75" customHeight="1">
      <c r="B355" s="159"/>
    </row>
    <row r="356" ht="15.75" customHeight="1">
      <c r="B356" s="159"/>
    </row>
    <row r="357" ht="15.75" customHeight="1">
      <c r="B357" s="159"/>
    </row>
    <row r="358" ht="15.75" customHeight="1">
      <c r="B358" s="159"/>
    </row>
    <row r="359" ht="15.75" customHeight="1">
      <c r="B359" s="159"/>
    </row>
    <row r="360" ht="15.75" customHeight="1">
      <c r="B360" s="159"/>
    </row>
    <row r="361" ht="15.75" customHeight="1">
      <c r="B361" s="159"/>
    </row>
    <row r="362" ht="15.75" customHeight="1">
      <c r="B362" s="159"/>
    </row>
    <row r="363" ht="15.75" customHeight="1">
      <c r="B363" s="159"/>
    </row>
    <row r="364" ht="15.75" customHeight="1">
      <c r="B364" s="159"/>
    </row>
    <row r="365" ht="15.75" customHeight="1">
      <c r="B365" s="159"/>
    </row>
    <row r="366" ht="15.75" customHeight="1">
      <c r="B366" s="159"/>
    </row>
    <row r="367" ht="15.75" customHeight="1">
      <c r="B367" s="159"/>
    </row>
    <row r="368" ht="15.75" customHeight="1">
      <c r="B368" s="159"/>
    </row>
    <row r="369" ht="15.75" customHeight="1">
      <c r="B369" s="159"/>
    </row>
    <row r="370" ht="15.75" customHeight="1">
      <c r="B370" s="159"/>
    </row>
    <row r="371" ht="15.75" customHeight="1">
      <c r="B371" s="159"/>
    </row>
    <row r="372" ht="15.75" customHeight="1">
      <c r="B372" s="159"/>
    </row>
    <row r="373" ht="15.75" customHeight="1">
      <c r="B373" s="159"/>
    </row>
    <row r="374" ht="15.75" customHeight="1">
      <c r="B374" s="159"/>
    </row>
    <row r="375" ht="15.75" customHeight="1">
      <c r="B375" s="159"/>
    </row>
    <row r="376" ht="15.75" customHeight="1">
      <c r="B376" s="159"/>
    </row>
    <row r="377" ht="15.75" customHeight="1">
      <c r="B377" s="159"/>
    </row>
    <row r="378" ht="15.75" customHeight="1">
      <c r="B378" s="159"/>
    </row>
    <row r="379" ht="15.75" customHeight="1">
      <c r="B379" s="159"/>
    </row>
    <row r="380" ht="15.75" customHeight="1">
      <c r="B380" s="159"/>
    </row>
    <row r="381" ht="15.75" customHeight="1">
      <c r="B381" s="159"/>
    </row>
    <row r="382" ht="15.75" customHeight="1">
      <c r="B382" s="159"/>
    </row>
  </sheetData>
  <conditionalFormatting sqref="D6:AE6 D21:AE21 D31:AE31 D63:AE63 D85:AE85 D88:AE88 D98:AE98 D107:AE107 D112:AE112 D118:AE118 D120:AE120 D132:AE132 D140:AE140 D142:AE142 D149:AE149 D151:AE152 D165:AE165 D171:AE171 D180:AE180 D182:AE182 AF152:BW152">
    <cfRule type="cellIs" dxfId="4" priority="1" operator="equal">
      <formula>0</formula>
    </cfRule>
  </conditionalFormatting>
  <conditionalFormatting sqref="D6:AE6 D21:AE21 D31:AE31 D63:AE63 D85:AE85 D88:AE88 D98:AE98 D107:AE107 D112:AE112 D118:AE118 D120:AE120 D132:AE132 D140:AE140 D142:AE142 D149:AE149 D151:AE152 D165:AE165 D171:AE171 D180:AE180 D182:AE182 AF152:BW152">
    <cfRule type="cellIs" dxfId="5" priority="2" operator="notEqual">
      <formula>0</formula>
    </cfRule>
  </conditionalFormatting>
  <printOptions/>
  <pageMargins bottom="0.75" footer="0.0" header="0.0" left="0.7" right="0.7" top="0.75"/>
  <pageSetup orientation="landscape"/>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outlinePr summaryBelow="0" summaryRight="0"/>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36.0"/>
    <col customWidth="1" min="2" max="2" width="14.38"/>
    <col customWidth="1" min="3" max="3" width="2.63"/>
    <col customWidth="1" min="4" max="75" width="14.38"/>
  </cols>
  <sheetData>
    <row r="1" ht="22.5" customHeight="1">
      <c r="A1" s="36" t="s">
        <v>391</v>
      </c>
      <c r="B1" s="135" t="s">
        <v>238</v>
      </c>
      <c r="C1" s="135"/>
      <c r="D1" s="37">
        <v>43101.0</v>
      </c>
      <c r="E1" s="37">
        <f t="shared" ref="E1:BW1" si="1">EDATE(D1,1)</f>
        <v>43132</v>
      </c>
      <c r="F1" s="37">
        <f t="shared" si="1"/>
        <v>43160</v>
      </c>
      <c r="G1" s="37">
        <f t="shared" si="1"/>
        <v>43191</v>
      </c>
      <c r="H1" s="37">
        <f t="shared" si="1"/>
        <v>43221</v>
      </c>
      <c r="I1" s="37">
        <f t="shared" si="1"/>
        <v>43252</v>
      </c>
      <c r="J1" s="37">
        <f t="shared" si="1"/>
        <v>43282</v>
      </c>
      <c r="K1" s="37">
        <f t="shared" si="1"/>
        <v>43313</v>
      </c>
      <c r="L1" s="37">
        <f t="shared" si="1"/>
        <v>43344</v>
      </c>
      <c r="M1" s="37">
        <f t="shared" si="1"/>
        <v>43374</v>
      </c>
      <c r="N1" s="37">
        <f t="shared" si="1"/>
        <v>43405</v>
      </c>
      <c r="O1" s="37">
        <f t="shared" si="1"/>
        <v>43435</v>
      </c>
      <c r="P1" s="37">
        <f t="shared" si="1"/>
        <v>43466</v>
      </c>
      <c r="Q1" s="37">
        <f t="shared" si="1"/>
        <v>43497</v>
      </c>
      <c r="R1" s="37">
        <f t="shared" si="1"/>
        <v>43525</v>
      </c>
      <c r="S1" s="37">
        <f t="shared" si="1"/>
        <v>43556</v>
      </c>
      <c r="T1" s="37">
        <f t="shared" si="1"/>
        <v>43586</v>
      </c>
      <c r="U1" s="37">
        <f t="shared" si="1"/>
        <v>43617</v>
      </c>
      <c r="V1" s="37">
        <f t="shared" si="1"/>
        <v>43647</v>
      </c>
      <c r="W1" s="37">
        <f t="shared" si="1"/>
        <v>43678</v>
      </c>
      <c r="X1" s="37">
        <f t="shared" si="1"/>
        <v>43709</v>
      </c>
      <c r="Y1" s="37">
        <f t="shared" si="1"/>
        <v>43739</v>
      </c>
      <c r="Z1" s="37">
        <f t="shared" si="1"/>
        <v>43770</v>
      </c>
      <c r="AA1" s="37">
        <f t="shared" si="1"/>
        <v>43800</v>
      </c>
      <c r="AB1" s="37">
        <f t="shared" si="1"/>
        <v>43831</v>
      </c>
      <c r="AC1" s="37">
        <f t="shared" si="1"/>
        <v>43862</v>
      </c>
      <c r="AD1" s="37">
        <f t="shared" si="1"/>
        <v>43891</v>
      </c>
      <c r="AE1" s="37">
        <f t="shared" si="1"/>
        <v>43922</v>
      </c>
      <c r="AF1" s="37">
        <f t="shared" si="1"/>
        <v>43952</v>
      </c>
      <c r="AG1" s="37">
        <f t="shared" si="1"/>
        <v>43983</v>
      </c>
      <c r="AH1" s="37">
        <f t="shared" si="1"/>
        <v>44013</v>
      </c>
      <c r="AI1" s="37">
        <f t="shared" si="1"/>
        <v>44044</v>
      </c>
      <c r="AJ1" s="37">
        <f t="shared" si="1"/>
        <v>44075</v>
      </c>
      <c r="AK1" s="37">
        <f t="shared" si="1"/>
        <v>44105</v>
      </c>
      <c r="AL1" s="37">
        <f t="shared" si="1"/>
        <v>44136</v>
      </c>
      <c r="AM1" s="37">
        <f t="shared" si="1"/>
        <v>44166</v>
      </c>
      <c r="AN1" s="37">
        <f t="shared" si="1"/>
        <v>44197</v>
      </c>
      <c r="AO1" s="37">
        <f t="shared" si="1"/>
        <v>44228</v>
      </c>
      <c r="AP1" s="37">
        <f t="shared" si="1"/>
        <v>44256</v>
      </c>
      <c r="AQ1" s="37">
        <f t="shared" si="1"/>
        <v>44287</v>
      </c>
      <c r="AR1" s="37">
        <f t="shared" si="1"/>
        <v>44317</v>
      </c>
      <c r="AS1" s="37">
        <f t="shared" si="1"/>
        <v>44348</v>
      </c>
      <c r="AT1" s="37">
        <f t="shared" si="1"/>
        <v>44378</v>
      </c>
      <c r="AU1" s="37">
        <f t="shared" si="1"/>
        <v>44409</v>
      </c>
      <c r="AV1" s="37">
        <f t="shared" si="1"/>
        <v>44440</v>
      </c>
      <c r="AW1" s="37">
        <f t="shared" si="1"/>
        <v>44470</v>
      </c>
      <c r="AX1" s="37">
        <f t="shared" si="1"/>
        <v>44501</v>
      </c>
      <c r="AY1" s="37">
        <f t="shared" si="1"/>
        <v>44531</v>
      </c>
      <c r="AZ1" s="37">
        <f t="shared" si="1"/>
        <v>44562</v>
      </c>
      <c r="BA1" s="37">
        <f t="shared" si="1"/>
        <v>44593</v>
      </c>
      <c r="BB1" s="37">
        <f t="shared" si="1"/>
        <v>44621</v>
      </c>
      <c r="BC1" s="37">
        <f t="shared" si="1"/>
        <v>44652</v>
      </c>
      <c r="BD1" s="37">
        <f t="shared" si="1"/>
        <v>44682</v>
      </c>
      <c r="BE1" s="37">
        <f t="shared" si="1"/>
        <v>44713</v>
      </c>
      <c r="BF1" s="37">
        <f t="shared" si="1"/>
        <v>44743</v>
      </c>
      <c r="BG1" s="37">
        <f t="shared" si="1"/>
        <v>44774</v>
      </c>
      <c r="BH1" s="37">
        <f t="shared" si="1"/>
        <v>44805</v>
      </c>
      <c r="BI1" s="37">
        <f t="shared" si="1"/>
        <v>44835</v>
      </c>
      <c r="BJ1" s="37">
        <f t="shared" si="1"/>
        <v>44866</v>
      </c>
      <c r="BK1" s="37">
        <f t="shared" si="1"/>
        <v>44896</v>
      </c>
      <c r="BL1" s="37">
        <f t="shared" si="1"/>
        <v>44927</v>
      </c>
      <c r="BM1" s="37">
        <f t="shared" si="1"/>
        <v>44958</v>
      </c>
      <c r="BN1" s="37">
        <f t="shared" si="1"/>
        <v>44986</v>
      </c>
      <c r="BO1" s="37">
        <f t="shared" si="1"/>
        <v>45017</v>
      </c>
      <c r="BP1" s="37">
        <f t="shared" si="1"/>
        <v>45047</v>
      </c>
      <c r="BQ1" s="37">
        <f t="shared" si="1"/>
        <v>45078</v>
      </c>
      <c r="BR1" s="37">
        <f t="shared" si="1"/>
        <v>45108</v>
      </c>
      <c r="BS1" s="37">
        <f t="shared" si="1"/>
        <v>45139</v>
      </c>
      <c r="BT1" s="37">
        <f t="shared" si="1"/>
        <v>45170</v>
      </c>
      <c r="BU1" s="37">
        <f t="shared" si="1"/>
        <v>45200</v>
      </c>
      <c r="BV1" s="37">
        <f t="shared" si="1"/>
        <v>45231</v>
      </c>
      <c r="BW1" s="37">
        <f t="shared" si="1"/>
        <v>45261</v>
      </c>
    </row>
    <row r="2" ht="15.75" customHeight="1">
      <c r="A2" s="7" t="s">
        <v>239</v>
      </c>
      <c r="B2" s="159"/>
    </row>
    <row r="3" ht="15.75" customHeight="1">
      <c r="A3" s="31" t="s">
        <v>241</v>
      </c>
      <c r="B3" s="159"/>
    </row>
    <row r="4" ht="15.75" customHeight="1">
      <c r="A4" s="1" t="s">
        <v>242</v>
      </c>
      <c r="B4" s="160">
        <f>AVERAGEIFS(4:4,$1:$1,"&gt;="&amp;DATE(YEAR(Current_Month),MONTH(Current_Month)-2,DAY(Current_Month)),$1:$1,"&lt;="&amp;EOMONTH(Current_Month,0))</f>
        <v>820098.3967</v>
      </c>
      <c r="D4" s="76">
        <f t="array" ref="D4">INDEX(INDIRECT("PnL_"&amp;TEXT(D$1,"mmm")&amp;"_"&amp;TEXT(D$1,"yyyy")),MATCH(TRIM($A4),PnL_Accounts,0))</f>
        <v>303373</v>
      </c>
      <c r="E4" s="76">
        <f t="array" ref="E4">INDEX(INDIRECT("PnL_"&amp;TEXT(E$1,"mmm")&amp;"_"&amp;TEXT(E$1,"yyyy")),MATCH(TRIM($A4),PnL_Accounts,0))</f>
        <v>321057</v>
      </c>
      <c r="F4" s="76">
        <f t="array" ref="F4">INDEX(INDIRECT("PnL_"&amp;TEXT(F$1,"mmm")&amp;"_"&amp;TEXT(F$1,"yyyy")),MATCH(TRIM($A4),PnL_Accounts,0))</f>
        <v>340521</v>
      </c>
      <c r="G4" s="76">
        <f t="array" ref="G4">INDEX(INDIRECT("PnL_"&amp;TEXT(G$1,"mmm")&amp;"_"&amp;TEXT(G$1,"yyyy")),MATCH(TRIM($A4),PnL_Accounts,0))</f>
        <v>360770</v>
      </c>
      <c r="H4" s="76">
        <f t="array" ref="H4">INDEX(INDIRECT("PnL_"&amp;TEXT(H$1,"mmm")&amp;"_"&amp;TEXT(H$1,"yyyy")),MATCH(TRIM($A4),PnL_Accounts,0))</f>
        <v>386024</v>
      </c>
      <c r="I4" s="76">
        <f t="array" ref="I4">INDEX(INDIRECT("PnL_"&amp;TEXT(I$1,"mmm")&amp;"_"&amp;TEXT(I$1,"yyyy")),MATCH(TRIM($A4),PnL_Accounts,0))</f>
        <v>401465</v>
      </c>
      <c r="J4" s="76">
        <f t="array" ref="J4">INDEX(INDIRECT("PnL_"&amp;TEXT(J$1,"mmm")&amp;"_"&amp;TEXT(J$1,"yyyy")),MATCH(TRIM($A4),PnL_Accounts,0))</f>
        <v>424939</v>
      </c>
      <c r="K4" s="76">
        <f t="array" ref="K4">INDEX(INDIRECT("PnL_"&amp;TEXT(K$1,"mmm")&amp;"_"&amp;TEXT(K$1,"yyyy")),MATCH(TRIM($A4),PnL_Accounts,0))</f>
        <v>438925</v>
      </c>
      <c r="L4" s="76">
        <f t="array" ref="L4">INDEX(INDIRECT("PnL_"&amp;TEXT(L$1,"mmm")&amp;"_"&amp;TEXT(L$1,"yyyy")),MATCH(TRIM($A4),PnL_Accounts,0))</f>
        <v>452768</v>
      </c>
      <c r="M4" s="76">
        <f t="array" ref="M4">INDEX(INDIRECT("PnL_"&amp;TEXT(M$1,"mmm")&amp;"_"&amp;TEXT(M$1,"yyyy")),MATCH(TRIM($A4),PnL_Accounts,0))</f>
        <v>465957</v>
      </c>
      <c r="N4" s="76">
        <f t="array" ref="N4">INDEX(INDIRECT("PnL_"&amp;TEXT(N$1,"mmm")&amp;"_"&amp;TEXT(N$1,"yyyy")),MATCH(TRIM($A4),PnL_Accounts,0))</f>
        <v>479118</v>
      </c>
      <c r="O4" s="76">
        <f t="array" ref="O4">INDEX(INDIRECT("PnL_"&amp;TEXT(O$1,"mmm")&amp;"_"&amp;TEXT(O$1,"yyyy")),MATCH(TRIM($A4),PnL_Accounts,0))</f>
        <v>491501</v>
      </c>
      <c r="P4" s="76">
        <f t="array" ref="P4">INDEX(INDIRECT("PnL_"&amp;TEXT(P$1,"mmm")&amp;"_"&amp;TEXT(P$1,"yyyy")),MATCH(TRIM($A4),PnL_Accounts,0))</f>
        <v>505058</v>
      </c>
      <c r="Q4" s="76">
        <f t="array" ref="Q4">INDEX(INDIRECT("PnL_"&amp;TEXT(Q$1,"mmm")&amp;"_"&amp;TEXT(Q$1,"yyyy")),MATCH(TRIM($A4),PnL_Accounts,0))</f>
        <v>525437</v>
      </c>
      <c r="R4" s="76">
        <f t="array" ref="R4">INDEX(INDIRECT("PnL_"&amp;TEXT(R$1,"mmm")&amp;"_"&amp;TEXT(R$1,"yyyy")),MATCH(TRIM($A4),PnL_Accounts,0))</f>
        <v>542733</v>
      </c>
      <c r="S4" s="76">
        <f t="array" ref="S4">INDEX(INDIRECT("PnL_"&amp;TEXT(S$1,"mmm")&amp;"_"&amp;TEXT(S$1,"yyyy")),MATCH(TRIM($A4),PnL_Accounts,0))</f>
        <v>598887</v>
      </c>
      <c r="T4" s="76">
        <f t="array" ref="T4">INDEX(INDIRECT("PnL_"&amp;TEXT(T$1,"mmm")&amp;"_"&amp;TEXT(T$1,"yyyy")),MATCH(TRIM($A4),PnL_Accounts,0))</f>
        <v>614053</v>
      </c>
      <c r="U4" s="76">
        <f t="array" ref="U4">INDEX(INDIRECT("PnL_"&amp;TEXT(U$1,"mmm")&amp;"_"&amp;TEXT(U$1,"yyyy")),MATCH(TRIM($A4),PnL_Accounts,0))</f>
        <v>637488</v>
      </c>
      <c r="V4" s="76">
        <f t="array" ref="V4">INDEX(INDIRECT("PnL_"&amp;TEXT(V$1,"mmm")&amp;"_"&amp;TEXT(V$1,"yyyy")),MATCH(TRIM($A4),PnL_Accounts,0))</f>
        <v>657516</v>
      </c>
      <c r="W4" s="76">
        <f t="array" ref="W4">INDEX(INDIRECT("PnL_"&amp;TEXT(W$1,"mmm")&amp;"_"&amp;TEXT(W$1,"yyyy")),MATCH(TRIM($A4),PnL_Accounts,0))</f>
        <v>685483</v>
      </c>
      <c r="X4" s="76">
        <f t="array" ref="X4">INDEX(INDIRECT("PnL_"&amp;TEXT(X$1,"mmm")&amp;"_"&amp;TEXT(X$1,"yyyy")),MATCH(TRIM($A4),PnL_Accounts,0))</f>
        <v>718774</v>
      </c>
      <c r="Y4" s="76">
        <f t="array" ref="Y4">INDEX(INDIRECT("PnL_"&amp;TEXT(Y$1,"mmm")&amp;"_"&amp;TEXT(Y$1,"yyyy")),MATCH(TRIM($A4),PnL_Accounts,0))</f>
        <v>754542</v>
      </c>
      <c r="Z4" s="76">
        <f t="array" ref="Z4">INDEX(INDIRECT("PnL_"&amp;TEXT(Z$1,"mmm")&amp;"_"&amp;TEXT(Z$1,"yyyy")),MATCH(TRIM($A4),PnL_Accounts,0))</f>
        <v>787554</v>
      </c>
      <c r="AA4" s="76">
        <f t="array" ref="AA4">INDEX(INDIRECT("PnL_"&amp;TEXT(AA$1,"mmm")&amp;"_"&amp;TEXT(AA$1,"yyyy")),MATCH(TRIM($A4),PnL_Accounts,0))</f>
        <v>808046</v>
      </c>
      <c r="AB4" s="76">
        <f t="array" ref="AB4">INDEX(INDIRECT("PnL_"&amp;TEXT(AB$1,"mmm")&amp;"_"&amp;TEXT(AB$1,"yyyy")),MATCH(TRIM($A4),PnL_Accounts,0))</f>
        <v>824529</v>
      </c>
      <c r="AC4" s="76">
        <f t="array" ref="AC4">INDEX(INDIRECT("PnL_"&amp;TEXT(AC$1,"mmm")&amp;"_"&amp;TEXT(AC$1,"yyyy")),MATCH(TRIM($A4),PnL_Accounts,0))</f>
        <v>844626</v>
      </c>
      <c r="AD4" s="76">
        <f t="array" ref="AD4">INDEX(INDIRECT("PnL_"&amp;TEXT(AD$1,"mmm")&amp;"_"&amp;TEXT(AD$1,"yyyy")),MATCH(TRIM($A4),PnL_Accounts,0))</f>
        <v>819162.19</v>
      </c>
      <c r="AE4" s="76">
        <f t="array" ref="AE4">INDEX(INDIRECT("PnL_"&amp;TEXT(AE$1,"mmm")&amp;"_"&amp;TEXT(AE$1,"yyyy")),MATCH(TRIM($A4),PnL_Accounts,0))</f>
        <v>796507</v>
      </c>
      <c r="AF4" s="39">
        <f t="array" ref="AF4">INDEX(Revenue_Model_MRR_Worst_Case,MATCH(AF$1,Revenue_Model_Months_Worst_Case,0))</f>
        <v>751351.1689</v>
      </c>
      <c r="AG4" s="39">
        <f t="array" ref="AG4">INDEX(Revenue_Model_MRR_Worst_Case,MATCH(AG$1,Revenue_Model_Months_Worst_Case,0))</f>
        <v>719265.3906</v>
      </c>
      <c r="AH4" s="39">
        <f t="array" ref="AH4">INDEX(Revenue_Model_MRR_Worst_Case,MATCH(AH$1,Revenue_Model_Months_Worst_Case,0))</f>
        <v>698975.914</v>
      </c>
      <c r="AI4" s="39">
        <f t="array" ref="AI4">INDEX(Revenue_Model_MRR_Worst_Case,MATCH(AI$1,Revenue_Model_Months_Worst_Case,0))</f>
        <v>695909.3046</v>
      </c>
      <c r="AJ4" s="39">
        <f t="array" ref="AJ4">INDEX(Revenue_Model_MRR_Worst_Case,MATCH(AJ$1,Revenue_Model_Months_Worst_Case,0))</f>
        <v>701273.8902</v>
      </c>
      <c r="AK4" s="39">
        <f t="array" ref="AK4">INDEX(Revenue_Model_MRR_Worst_Case,MATCH(AK$1,Revenue_Model_Months_Worst_Case,0))</f>
        <v>708129.5599</v>
      </c>
      <c r="AL4" s="39">
        <f t="array" ref="AL4">INDEX(Revenue_Model_MRR_Worst_Case,MATCH(AL$1,Revenue_Model_Months_Worst_Case,0))</f>
        <v>714263.8005</v>
      </c>
      <c r="AM4" s="39">
        <f t="array" ref="AM4">INDEX(Revenue_Model_MRR_Worst_Case,MATCH(AM$1,Revenue_Model_Months_Worst_Case,0))</f>
        <v>721233.1456</v>
      </c>
      <c r="AN4" s="39">
        <f t="array" ref="AN4">INDEX(Revenue_Model_MRR_Worst_Case,MATCH(AN$1,Revenue_Model_Months_Worst_Case,0))</f>
        <v>727877.0234</v>
      </c>
      <c r="AO4" s="39">
        <f t="array" ref="AO4">INDEX(Revenue_Model_MRR_Worst_Case,MATCH(AO$1,Revenue_Model_Months_Worst_Case,0))</f>
        <v>735442.1007</v>
      </c>
      <c r="AP4" s="39">
        <f t="array" ref="AP4">INDEX(Revenue_Model_MRR_Worst_Case,MATCH(AP$1,Revenue_Model_Months_Worst_Case,0))</f>
        <v>742622.7021</v>
      </c>
      <c r="AQ4" s="39">
        <f t="array" ref="AQ4">INDEX(Revenue_Model_MRR_Worst_Case,MATCH(AQ$1,Revenue_Model_Months_Worst_Case,0))</f>
        <v>750695.624</v>
      </c>
      <c r="AR4" s="39">
        <f t="array" ref="AR4">INDEX(Revenue_Model_MRR_Worst_Case,MATCH(AR$1,Revenue_Model_Months_Worst_Case,0))</f>
        <v>759632.5881</v>
      </c>
      <c r="AS4" s="39">
        <f t="array" ref="AS4">INDEX(Revenue_Model_MRR_Worst_Case,MATCH(AS$1,Revenue_Model_Months_Worst_Case,0))</f>
        <v>768157.6205</v>
      </c>
      <c r="AT4" s="39">
        <f t="array" ref="AT4">INDEX(Revenue_Model_MRR_Worst_Case,MATCH(AT$1,Revenue_Model_Months_Worst_Case,0))</f>
        <v>777528.2852</v>
      </c>
      <c r="AU4" s="39">
        <f t="array" ref="AU4">INDEX(Revenue_Model_MRR_Worst_Case,MATCH(AU$1,Revenue_Model_Months_Worst_Case,0))</f>
        <v>786472.115</v>
      </c>
      <c r="AV4" s="39">
        <f t="array" ref="AV4">INDEX(Revenue_Model_MRR_Worst_Case,MATCH(AV$1,Revenue_Model_Months_Worst_Case,0))</f>
        <v>796241.2033</v>
      </c>
      <c r="AW4" s="39">
        <f t="array" ref="AW4">INDEX(Revenue_Model_MRR_Worst_Case,MATCH(AW$1,Revenue_Model_Months_Worst_Case,0))</f>
        <v>806813.9473</v>
      </c>
      <c r="AX4" s="39">
        <f t="array" ref="AX4">INDEX(Revenue_Model_MRR_Worst_Case,MATCH(AX$1,Revenue_Model_Months_Worst_Case,0))</f>
        <v>816919.591</v>
      </c>
      <c r="AY4" s="39">
        <f t="array" ref="AY4">INDEX(Revenue_Model_MRR_Worst_Case,MATCH(AY$1,Revenue_Model_Months_Worst_Case,0))</f>
        <v>827811.2219</v>
      </c>
      <c r="AZ4" s="39">
        <f t="array" ref="AZ4">INDEX(Revenue_Model_MRR_Worst_Case,MATCH(AZ$1,Revenue_Model_Months_Worst_Case,0))</f>
        <v>852645.5585</v>
      </c>
      <c r="BA4" s="39">
        <f t="array" ref="BA4">INDEX(Revenue_Model_MRR_Worst_Case,MATCH(BA$1,Revenue_Model_Months_Worst_Case,0))</f>
        <v>878224.9253</v>
      </c>
      <c r="BB4" s="39">
        <f t="array" ref="BB4">INDEX(Revenue_Model_MRR_Worst_Case,MATCH(BB$1,Revenue_Model_Months_Worst_Case,0))</f>
        <v>904571.673</v>
      </c>
      <c r="BC4" s="39">
        <f t="array" ref="BC4">INDEX(Revenue_Model_MRR_Worst_Case,MATCH(BC$1,Revenue_Model_Months_Worst_Case,0))</f>
        <v>931708.8232</v>
      </c>
      <c r="BD4" s="39">
        <f t="array" ref="BD4">INDEX(Revenue_Model_MRR_Worst_Case,MATCH(BD$1,Revenue_Model_Months_Worst_Case,0))</f>
        <v>959660.0879</v>
      </c>
      <c r="BE4" s="39">
        <f t="array" ref="BE4">INDEX(Revenue_Model_MRR_Worst_Case,MATCH(BE$1,Revenue_Model_Months_Worst_Case,0))</f>
        <v>988449.8906</v>
      </c>
      <c r="BF4" s="39">
        <f t="array" ref="BF4">INDEX(Revenue_Model_MRR_Worst_Case,MATCH(BF$1,Revenue_Model_Months_Worst_Case,0))</f>
        <v>1018103.387</v>
      </c>
      <c r="BG4" s="39">
        <f t="array" ref="BG4">INDEX(Revenue_Model_MRR_Worst_Case,MATCH(BG$1,Revenue_Model_Months_Worst_Case,0))</f>
        <v>1048646.489</v>
      </c>
      <c r="BH4" s="39">
        <f t="array" ref="BH4">INDEX(Revenue_Model_MRR_Worst_Case,MATCH(BH$1,Revenue_Model_Months_Worst_Case,0))</f>
        <v>1080105.884</v>
      </c>
      <c r="BI4" s="39">
        <f t="array" ref="BI4">INDEX(Revenue_Model_MRR_Worst_Case,MATCH(BI$1,Revenue_Model_Months_Worst_Case,0))</f>
        <v>1112509.06</v>
      </c>
      <c r="BJ4" s="39">
        <f t="array" ref="BJ4">INDEX(Revenue_Model_MRR_Worst_Case,MATCH(BJ$1,Revenue_Model_Months_Worst_Case,0))</f>
        <v>1145884.332</v>
      </c>
      <c r="BK4" s="39">
        <f t="array" ref="BK4">INDEX(Revenue_Model_MRR_Worst_Case,MATCH(BK$1,Revenue_Model_Months_Worst_Case,0))</f>
        <v>1180260.862</v>
      </c>
      <c r="BL4" s="39">
        <f t="array" ref="BL4">INDEX(Revenue_Model_MRR_Worst_Case,MATCH(BL$1,Revenue_Model_Months_Worst_Case,0))</f>
        <v>1215668.688</v>
      </c>
      <c r="BM4" s="39">
        <f t="array" ref="BM4">INDEX(Revenue_Model_MRR_Worst_Case,MATCH(BM$1,Revenue_Model_Months_Worst_Case,0))</f>
        <v>1252138.748</v>
      </c>
      <c r="BN4" s="39">
        <f t="array" ref="BN4">INDEX(Revenue_Model_MRR_Worst_Case,MATCH(BN$1,Revenue_Model_Months_Worst_Case,0))</f>
        <v>1289702.911</v>
      </c>
      <c r="BO4" s="39">
        <f t="array" ref="BO4">INDEX(Revenue_Model_MRR_Worst_Case,MATCH(BO$1,Revenue_Model_Months_Worst_Case,0))</f>
        <v>1328393.998</v>
      </c>
      <c r="BP4" s="39">
        <f t="array" ref="BP4">INDEX(Revenue_Model_MRR_Worst_Case,MATCH(BP$1,Revenue_Model_Months_Worst_Case,0))</f>
        <v>1368245.818</v>
      </c>
      <c r="BQ4" s="39">
        <f t="array" ref="BQ4">INDEX(Revenue_Model_MRR_Worst_Case,MATCH(BQ$1,Revenue_Model_Months_Worst_Case,0))</f>
        <v>1409293.193</v>
      </c>
      <c r="BR4" s="39">
        <f t="array" ref="BR4">INDEX(Revenue_Model_MRR_Worst_Case,MATCH(BR$1,Revenue_Model_Months_Worst_Case,0))</f>
        <v>1451571.988</v>
      </c>
      <c r="BS4" s="39">
        <f t="array" ref="BS4">INDEX(Revenue_Model_MRR_Worst_Case,MATCH(BS$1,Revenue_Model_Months_Worst_Case,0))</f>
        <v>1495119.148</v>
      </c>
      <c r="BT4" s="39">
        <f t="array" ref="BT4">INDEX(Revenue_Model_MRR_Worst_Case,MATCH(BT$1,Revenue_Model_Months_Worst_Case,0))</f>
        <v>1539972.722</v>
      </c>
      <c r="BU4" s="39">
        <f t="array" ref="BU4">INDEX(Revenue_Model_MRR_Worst_Case,MATCH(BU$1,Revenue_Model_Months_Worst_Case,0))</f>
        <v>1586171.904</v>
      </c>
      <c r="BV4" s="39">
        <f t="array" ref="BV4">INDEX(Revenue_Model_MRR_Worst_Case,MATCH(BV$1,Revenue_Model_Months_Worst_Case,0))</f>
        <v>1633757.061</v>
      </c>
      <c r="BW4" s="39">
        <f t="array" ref="BW4">INDEX(Revenue_Model_MRR_Worst_Case,MATCH(BW$1,Revenue_Model_Months_Worst_Case,0))</f>
        <v>1682769.773</v>
      </c>
    </row>
    <row r="5" ht="15.75" customHeight="1">
      <c r="A5" s="21" t="s">
        <v>243</v>
      </c>
      <c r="B5" s="161"/>
      <c r="C5" s="157"/>
      <c r="D5" s="157">
        <f t="shared" ref="D5:BW5" si="2">SUM(D3:D4)</f>
        <v>303373</v>
      </c>
      <c r="E5" s="157">
        <f t="shared" si="2"/>
        <v>321057</v>
      </c>
      <c r="F5" s="157">
        <f t="shared" si="2"/>
        <v>340521</v>
      </c>
      <c r="G5" s="157">
        <f t="shared" si="2"/>
        <v>360770</v>
      </c>
      <c r="H5" s="157">
        <f t="shared" si="2"/>
        <v>386024</v>
      </c>
      <c r="I5" s="157">
        <f t="shared" si="2"/>
        <v>401465</v>
      </c>
      <c r="J5" s="157">
        <f t="shared" si="2"/>
        <v>424939</v>
      </c>
      <c r="K5" s="157">
        <f t="shared" si="2"/>
        <v>438925</v>
      </c>
      <c r="L5" s="157">
        <f t="shared" si="2"/>
        <v>452768</v>
      </c>
      <c r="M5" s="157">
        <f t="shared" si="2"/>
        <v>465957</v>
      </c>
      <c r="N5" s="157">
        <f t="shared" si="2"/>
        <v>479118</v>
      </c>
      <c r="O5" s="157">
        <f t="shared" si="2"/>
        <v>491501</v>
      </c>
      <c r="P5" s="157">
        <f t="shared" si="2"/>
        <v>505058</v>
      </c>
      <c r="Q5" s="157">
        <f t="shared" si="2"/>
        <v>525437</v>
      </c>
      <c r="R5" s="157">
        <f t="shared" si="2"/>
        <v>542733</v>
      </c>
      <c r="S5" s="157">
        <f t="shared" si="2"/>
        <v>598887</v>
      </c>
      <c r="T5" s="157">
        <f t="shared" si="2"/>
        <v>614053</v>
      </c>
      <c r="U5" s="157">
        <f t="shared" si="2"/>
        <v>637488</v>
      </c>
      <c r="V5" s="157">
        <f t="shared" si="2"/>
        <v>657516</v>
      </c>
      <c r="W5" s="157">
        <f t="shared" si="2"/>
        <v>685483</v>
      </c>
      <c r="X5" s="157">
        <f t="shared" si="2"/>
        <v>718774</v>
      </c>
      <c r="Y5" s="157">
        <f t="shared" si="2"/>
        <v>754542</v>
      </c>
      <c r="Z5" s="157">
        <f t="shared" si="2"/>
        <v>787554</v>
      </c>
      <c r="AA5" s="157">
        <f t="shared" si="2"/>
        <v>808046</v>
      </c>
      <c r="AB5" s="157">
        <f t="shared" si="2"/>
        <v>824529</v>
      </c>
      <c r="AC5" s="157">
        <f t="shared" si="2"/>
        <v>844626</v>
      </c>
      <c r="AD5" s="157">
        <f t="shared" si="2"/>
        <v>819162.19</v>
      </c>
      <c r="AE5" s="157">
        <f t="shared" si="2"/>
        <v>796507</v>
      </c>
      <c r="AF5" s="157">
        <f t="shared" si="2"/>
        <v>751351.1689</v>
      </c>
      <c r="AG5" s="157">
        <f t="shared" si="2"/>
        <v>719265.3906</v>
      </c>
      <c r="AH5" s="157">
        <f t="shared" si="2"/>
        <v>698975.914</v>
      </c>
      <c r="AI5" s="157">
        <f t="shared" si="2"/>
        <v>695909.3046</v>
      </c>
      <c r="AJ5" s="157">
        <f t="shared" si="2"/>
        <v>701273.8902</v>
      </c>
      <c r="AK5" s="157">
        <f t="shared" si="2"/>
        <v>708129.5599</v>
      </c>
      <c r="AL5" s="157">
        <f t="shared" si="2"/>
        <v>714263.8005</v>
      </c>
      <c r="AM5" s="157">
        <f t="shared" si="2"/>
        <v>721233.1456</v>
      </c>
      <c r="AN5" s="157">
        <f t="shared" si="2"/>
        <v>727877.0234</v>
      </c>
      <c r="AO5" s="157">
        <f t="shared" si="2"/>
        <v>735442.1007</v>
      </c>
      <c r="AP5" s="157">
        <f t="shared" si="2"/>
        <v>742622.7021</v>
      </c>
      <c r="AQ5" s="157">
        <f t="shared" si="2"/>
        <v>750695.624</v>
      </c>
      <c r="AR5" s="157">
        <f t="shared" si="2"/>
        <v>759632.5881</v>
      </c>
      <c r="AS5" s="157">
        <f t="shared" si="2"/>
        <v>768157.6205</v>
      </c>
      <c r="AT5" s="157">
        <f t="shared" si="2"/>
        <v>777528.2852</v>
      </c>
      <c r="AU5" s="157">
        <f t="shared" si="2"/>
        <v>786472.115</v>
      </c>
      <c r="AV5" s="157">
        <f t="shared" si="2"/>
        <v>796241.2033</v>
      </c>
      <c r="AW5" s="157">
        <f t="shared" si="2"/>
        <v>806813.9473</v>
      </c>
      <c r="AX5" s="157">
        <f t="shared" si="2"/>
        <v>816919.591</v>
      </c>
      <c r="AY5" s="157">
        <f t="shared" si="2"/>
        <v>827811.2219</v>
      </c>
      <c r="AZ5" s="157">
        <f t="shared" si="2"/>
        <v>852645.5585</v>
      </c>
      <c r="BA5" s="157">
        <f t="shared" si="2"/>
        <v>878224.9253</v>
      </c>
      <c r="BB5" s="157">
        <f t="shared" si="2"/>
        <v>904571.673</v>
      </c>
      <c r="BC5" s="157">
        <f t="shared" si="2"/>
        <v>931708.8232</v>
      </c>
      <c r="BD5" s="157">
        <f t="shared" si="2"/>
        <v>959660.0879</v>
      </c>
      <c r="BE5" s="157">
        <f t="shared" si="2"/>
        <v>988449.8906</v>
      </c>
      <c r="BF5" s="157">
        <f t="shared" si="2"/>
        <v>1018103.387</v>
      </c>
      <c r="BG5" s="157">
        <f t="shared" si="2"/>
        <v>1048646.489</v>
      </c>
      <c r="BH5" s="157">
        <f t="shared" si="2"/>
        <v>1080105.884</v>
      </c>
      <c r="BI5" s="157">
        <f t="shared" si="2"/>
        <v>1112509.06</v>
      </c>
      <c r="BJ5" s="157">
        <f t="shared" si="2"/>
        <v>1145884.332</v>
      </c>
      <c r="BK5" s="157">
        <f t="shared" si="2"/>
        <v>1180260.862</v>
      </c>
      <c r="BL5" s="157">
        <f t="shared" si="2"/>
        <v>1215668.688</v>
      </c>
      <c r="BM5" s="157">
        <f t="shared" si="2"/>
        <v>1252138.748</v>
      </c>
      <c r="BN5" s="157">
        <f t="shared" si="2"/>
        <v>1289702.911</v>
      </c>
      <c r="BO5" s="157">
        <f t="shared" si="2"/>
        <v>1328393.998</v>
      </c>
      <c r="BP5" s="157">
        <f t="shared" si="2"/>
        <v>1368245.818</v>
      </c>
      <c r="BQ5" s="157">
        <f t="shared" si="2"/>
        <v>1409293.193</v>
      </c>
      <c r="BR5" s="157">
        <f t="shared" si="2"/>
        <v>1451571.988</v>
      </c>
      <c r="BS5" s="157">
        <f t="shared" si="2"/>
        <v>1495119.148</v>
      </c>
      <c r="BT5" s="157">
        <f t="shared" si="2"/>
        <v>1539972.722</v>
      </c>
      <c r="BU5" s="157">
        <f t="shared" si="2"/>
        <v>1586171.904</v>
      </c>
      <c r="BV5" s="157">
        <f t="shared" si="2"/>
        <v>1633757.061</v>
      </c>
      <c r="BW5" s="157">
        <f t="shared" si="2"/>
        <v>1682769.773</v>
      </c>
    </row>
    <row r="6" ht="15.75" customHeight="1">
      <c r="A6" s="31" t="s">
        <v>244</v>
      </c>
      <c r="B6" s="159"/>
      <c r="D6" s="76">
        <f t="array" ref="D6">INDEX(INDIRECT("PnL_"&amp;TEXT(D$1,"mmm")&amp;"_"&amp;TEXT(D$1,"yyyy")),MATCH(TRIM($A5),PnL_Accounts,0))-D5</f>
        <v>0</v>
      </c>
      <c r="E6" s="76">
        <f t="array" ref="E6">INDEX(INDIRECT("PnL_"&amp;TEXT(E$1,"mmm")&amp;"_"&amp;TEXT(E$1,"yyyy")),MATCH(TRIM($A5),PnL_Accounts,0))-E5</f>
        <v>0</v>
      </c>
      <c r="F6" s="76">
        <f t="array" ref="F6">INDEX(INDIRECT("PnL_"&amp;TEXT(F$1,"mmm")&amp;"_"&amp;TEXT(F$1,"yyyy")),MATCH(TRIM($A5),PnL_Accounts,0))-F5</f>
        <v>0</v>
      </c>
      <c r="G6" s="76">
        <f t="array" ref="G6">INDEX(INDIRECT("PnL_"&amp;TEXT(G$1,"mmm")&amp;"_"&amp;TEXT(G$1,"yyyy")),MATCH(TRIM($A5),PnL_Accounts,0))-G5</f>
        <v>0</v>
      </c>
      <c r="H6" s="76">
        <f t="array" ref="H6">INDEX(INDIRECT("PnL_"&amp;TEXT(H$1,"mmm")&amp;"_"&amp;TEXT(H$1,"yyyy")),MATCH(TRIM($A5),PnL_Accounts,0))-H5</f>
        <v>0</v>
      </c>
      <c r="I6" s="76">
        <f t="array" ref="I6">INDEX(INDIRECT("PnL_"&amp;TEXT(I$1,"mmm")&amp;"_"&amp;TEXT(I$1,"yyyy")),MATCH(TRIM($A5),PnL_Accounts,0))-I5</f>
        <v>0</v>
      </c>
      <c r="J6" s="76">
        <f t="array" ref="J6">INDEX(INDIRECT("PnL_"&amp;TEXT(J$1,"mmm")&amp;"_"&amp;TEXT(J$1,"yyyy")),MATCH(TRIM($A5),PnL_Accounts,0))-J5</f>
        <v>0</v>
      </c>
      <c r="K6" s="76">
        <f t="array" ref="K6">INDEX(INDIRECT("PnL_"&amp;TEXT(K$1,"mmm")&amp;"_"&amp;TEXT(K$1,"yyyy")),MATCH(TRIM($A5),PnL_Accounts,0))-K5</f>
        <v>0</v>
      </c>
      <c r="L6" s="76">
        <f t="array" ref="L6">INDEX(INDIRECT("PnL_"&amp;TEXT(L$1,"mmm")&amp;"_"&amp;TEXT(L$1,"yyyy")),MATCH(TRIM($A5),PnL_Accounts,0))-L5</f>
        <v>0</v>
      </c>
      <c r="M6" s="76">
        <f t="array" ref="M6">INDEX(INDIRECT("PnL_"&amp;TEXT(M$1,"mmm")&amp;"_"&amp;TEXT(M$1,"yyyy")),MATCH(TRIM($A5),PnL_Accounts,0))-M5</f>
        <v>0</v>
      </c>
      <c r="N6" s="76">
        <f t="array" ref="N6">INDEX(INDIRECT("PnL_"&amp;TEXT(N$1,"mmm")&amp;"_"&amp;TEXT(N$1,"yyyy")),MATCH(TRIM($A5),PnL_Accounts,0))-N5</f>
        <v>0</v>
      </c>
      <c r="O6" s="76">
        <f t="array" ref="O6">INDEX(INDIRECT("PnL_"&amp;TEXT(O$1,"mmm")&amp;"_"&amp;TEXT(O$1,"yyyy")),MATCH(TRIM($A5),PnL_Accounts,0))-O5</f>
        <v>0</v>
      </c>
      <c r="P6" s="76">
        <f t="array" ref="P6">INDEX(INDIRECT("PnL_"&amp;TEXT(P$1,"mmm")&amp;"_"&amp;TEXT(P$1,"yyyy")),MATCH(TRIM($A5),PnL_Accounts,0))-P5</f>
        <v>0</v>
      </c>
      <c r="Q6" s="76">
        <f t="array" ref="Q6">INDEX(INDIRECT("PnL_"&amp;TEXT(Q$1,"mmm")&amp;"_"&amp;TEXT(Q$1,"yyyy")),MATCH(TRIM($A5),PnL_Accounts,0))-Q5</f>
        <v>0</v>
      </c>
      <c r="R6" s="76">
        <f t="array" ref="R6">INDEX(INDIRECT("PnL_"&amp;TEXT(R$1,"mmm")&amp;"_"&amp;TEXT(R$1,"yyyy")),MATCH(TRIM($A5),PnL_Accounts,0))-R5</f>
        <v>0</v>
      </c>
      <c r="S6" s="76">
        <f t="array" ref="S6">INDEX(INDIRECT("PnL_"&amp;TEXT(S$1,"mmm")&amp;"_"&amp;TEXT(S$1,"yyyy")),MATCH(TRIM($A5),PnL_Accounts,0))-S5</f>
        <v>0</v>
      </c>
      <c r="T6" s="76">
        <f t="array" ref="T6">INDEX(INDIRECT("PnL_"&amp;TEXT(T$1,"mmm")&amp;"_"&amp;TEXT(T$1,"yyyy")),MATCH(TRIM($A5),PnL_Accounts,0))-T5</f>
        <v>0</v>
      </c>
      <c r="U6" s="76">
        <f t="array" ref="U6">INDEX(INDIRECT("PnL_"&amp;TEXT(U$1,"mmm")&amp;"_"&amp;TEXT(U$1,"yyyy")),MATCH(TRIM($A5),PnL_Accounts,0))-U5</f>
        <v>0</v>
      </c>
      <c r="V6" s="76">
        <f t="array" ref="V6">INDEX(INDIRECT("PnL_"&amp;TEXT(V$1,"mmm")&amp;"_"&amp;TEXT(V$1,"yyyy")),MATCH(TRIM($A5),PnL_Accounts,0))-V5</f>
        <v>0</v>
      </c>
      <c r="W6" s="76">
        <f t="array" ref="W6">INDEX(INDIRECT("PnL_"&amp;TEXT(W$1,"mmm")&amp;"_"&amp;TEXT(W$1,"yyyy")),MATCH(TRIM($A5),PnL_Accounts,0))-W5</f>
        <v>0</v>
      </c>
      <c r="X6" s="76">
        <f t="array" ref="X6">INDEX(INDIRECT("PnL_"&amp;TEXT(X$1,"mmm")&amp;"_"&amp;TEXT(X$1,"yyyy")),MATCH(TRIM($A5),PnL_Accounts,0))-X5</f>
        <v>0</v>
      </c>
      <c r="Y6" s="76">
        <f t="array" ref="Y6">INDEX(INDIRECT("PnL_"&amp;TEXT(Y$1,"mmm")&amp;"_"&amp;TEXT(Y$1,"yyyy")),MATCH(TRIM($A5),PnL_Accounts,0))-Y5</f>
        <v>0</v>
      </c>
      <c r="Z6" s="76">
        <f t="array" ref="Z6">INDEX(INDIRECT("PnL_"&amp;TEXT(Z$1,"mmm")&amp;"_"&amp;TEXT(Z$1,"yyyy")),MATCH(TRIM($A5),PnL_Accounts,0))-Z5</f>
        <v>0</v>
      </c>
      <c r="AA6" s="76">
        <f t="array" ref="AA6">INDEX(INDIRECT("PnL_"&amp;TEXT(AA$1,"mmm")&amp;"_"&amp;TEXT(AA$1,"yyyy")),MATCH(TRIM($A5),PnL_Accounts,0))-AA5</f>
        <v>0</v>
      </c>
      <c r="AB6" s="76">
        <f t="array" ref="AB6">INDEX(INDIRECT("PnL_"&amp;TEXT(AB$1,"mmm")&amp;"_"&amp;TEXT(AB$1,"yyyy")),MATCH(TRIM($A5),PnL_Accounts,0))-AB5</f>
        <v>0</v>
      </c>
      <c r="AC6" s="76">
        <f t="array" ref="AC6">INDEX(INDIRECT("PnL_"&amp;TEXT(AC$1,"mmm")&amp;"_"&amp;TEXT(AC$1,"yyyy")),MATCH(TRIM($A5),PnL_Accounts,0))-AC5</f>
        <v>0</v>
      </c>
      <c r="AD6" s="76">
        <f t="array" ref="AD6">INDEX(INDIRECT("PnL_"&amp;TEXT(AD$1,"mmm")&amp;"_"&amp;TEXT(AD$1,"yyyy")),MATCH(TRIM($A5),PnL_Accounts,0))-AD5</f>
        <v>0</v>
      </c>
      <c r="AE6" s="76">
        <f t="array" ref="AE6">INDEX(INDIRECT("PnL_"&amp;TEXT(AE$1,"mmm")&amp;"_"&amp;TEXT(AE$1,"yyyy")),MATCH(TRIM($A5),PnL_Accounts,0))-AE5</f>
        <v>0</v>
      </c>
    </row>
    <row r="7" ht="15.75" customHeight="1">
      <c r="A7" s="31" t="s">
        <v>245</v>
      </c>
      <c r="B7" s="159"/>
    </row>
    <row r="8" ht="15.75" customHeight="1">
      <c r="A8" s="1" t="s">
        <v>246</v>
      </c>
      <c r="B8" s="159"/>
      <c r="D8" s="76" t="str">
        <f t="array" ref="D8">INDEX(INDIRECT("PnL_"&amp;TEXT(D$1,"mmm")&amp;"_"&amp;TEXT(D$1,"yyyy")),MATCH(TRIM($A8),PnL_Accounts,0))</f>
        <v/>
      </c>
      <c r="E8" s="76" t="str">
        <f t="array" ref="E8">INDEX(INDIRECT("PnL_"&amp;TEXT(E$1,"mmm")&amp;"_"&amp;TEXT(E$1,"yyyy")),MATCH(TRIM($A8),PnL_Accounts,0))</f>
        <v/>
      </c>
      <c r="F8" s="76" t="str">
        <f t="array" ref="F8">INDEX(INDIRECT("PnL_"&amp;TEXT(F$1,"mmm")&amp;"_"&amp;TEXT(F$1,"yyyy")),MATCH(TRIM($A8),PnL_Accounts,0))</f>
        <v/>
      </c>
      <c r="G8" s="76" t="str">
        <f t="array" ref="G8">INDEX(INDIRECT("PnL_"&amp;TEXT(G$1,"mmm")&amp;"_"&amp;TEXT(G$1,"yyyy")),MATCH(TRIM($A8),PnL_Accounts,0))</f>
        <v/>
      </c>
      <c r="H8" s="76" t="str">
        <f t="array" ref="H8">INDEX(INDIRECT("PnL_"&amp;TEXT(H$1,"mmm")&amp;"_"&amp;TEXT(H$1,"yyyy")),MATCH(TRIM($A8),PnL_Accounts,0))</f>
        <v/>
      </c>
      <c r="I8" s="76" t="str">
        <f t="array" ref="I8">INDEX(INDIRECT("PnL_"&amp;TEXT(I$1,"mmm")&amp;"_"&amp;TEXT(I$1,"yyyy")),MATCH(TRIM($A8),PnL_Accounts,0))</f>
        <v/>
      </c>
      <c r="J8" s="76" t="str">
        <f t="array" ref="J8">INDEX(INDIRECT("PnL_"&amp;TEXT(J$1,"mmm")&amp;"_"&amp;TEXT(J$1,"yyyy")),MATCH(TRIM($A8),PnL_Accounts,0))</f>
        <v/>
      </c>
      <c r="K8" s="76" t="str">
        <f t="array" ref="K8">INDEX(INDIRECT("PnL_"&amp;TEXT(K$1,"mmm")&amp;"_"&amp;TEXT(K$1,"yyyy")),MATCH(TRIM($A8),PnL_Accounts,0))</f>
        <v/>
      </c>
      <c r="L8" s="76" t="str">
        <f t="array" ref="L8">INDEX(INDIRECT("PnL_"&amp;TEXT(L$1,"mmm")&amp;"_"&amp;TEXT(L$1,"yyyy")),MATCH(TRIM($A8),PnL_Accounts,0))</f>
        <v/>
      </c>
      <c r="M8" s="76" t="str">
        <f t="array" ref="M8">INDEX(INDIRECT("PnL_"&amp;TEXT(M$1,"mmm")&amp;"_"&amp;TEXT(M$1,"yyyy")),MATCH(TRIM($A8),PnL_Accounts,0))</f>
        <v/>
      </c>
      <c r="N8" s="76" t="str">
        <f t="array" ref="N8">INDEX(INDIRECT("PnL_"&amp;TEXT(N$1,"mmm")&amp;"_"&amp;TEXT(N$1,"yyyy")),MATCH(TRIM($A8),PnL_Accounts,0))</f>
        <v/>
      </c>
      <c r="O8" s="76" t="str">
        <f t="array" ref="O8">INDEX(INDIRECT("PnL_"&amp;TEXT(O$1,"mmm")&amp;"_"&amp;TEXT(O$1,"yyyy")),MATCH(TRIM($A8),PnL_Accounts,0))</f>
        <v/>
      </c>
      <c r="P8" s="76" t="str">
        <f t="array" ref="P8">INDEX(INDIRECT("PnL_"&amp;TEXT(P$1,"mmm")&amp;"_"&amp;TEXT(P$1,"yyyy")),MATCH(TRIM($A8),PnL_Accounts,0))</f>
        <v/>
      </c>
      <c r="Q8" s="76" t="str">
        <f t="array" ref="Q8">INDEX(INDIRECT("PnL_"&amp;TEXT(Q$1,"mmm")&amp;"_"&amp;TEXT(Q$1,"yyyy")),MATCH(TRIM($A8),PnL_Accounts,0))</f>
        <v/>
      </c>
      <c r="R8" s="76" t="str">
        <f t="array" ref="R8">INDEX(INDIRECT("PnL_"&amp;TEXT(R$1,"mmm")&amp;"_"&amp;TEXT(R$1,"yyyy")),MATCH(TRIM($A8),PnL_Accounts,0))</f>
        <v/>
      </c>
      <c r="S8" s="76" t="str">
        <f t="array" ref="S8">INDEX(INDIRECT("PnL_"&amp;TEXT(S$1,"mmm")&amp;"_"&amp;TEXT(S$1,"yyyy")),MATCH(TRIM($A8),PnL_Accounts,0))</f>
        <v/>
      </c>
      <c r="T8" s="76" t="str">
        <f t="array" ref="T8">INDEX(INDIRECT("PnL_"&amp;TEXT(T$1,"mmm")&amp;"_"&amp;TEXT(T$1,"yyyy")),MATCH(TRIM($A8),PnL_Accounts,0))</f>
        <v/>
      </c>
      <c r="U8" s="76" t="str">
        <f t="array" ref="U8">INDEX(INDIRECT("PnL_"&amp;TEXT(U$1,"mmm")&amp;"_"&amp;TEXT(U$1,"yyyy")),MATCH(TRIM($A8),PnL_Accounts,0))</f>
        <v/>
      </c>
      <c r="V8" s="76" t="str">
        <f t="array" ref="V8">INDEX(INDIRECT("PnL_"&amp;TEXT(V$1,"mmm")&amp;"_"&amp;TEXT(V$1,"yyyy")),MATCH(TRIM($A8),PnL_Accounts,0))</f>
        <v/>
      </c>
      <c r="W8" s="76" t="str">
        <f t="array" ref="W8">INDEX(INDIRECT("PnL_"&amp;TEXT(W$1,"mmm")&amp;"_"&amp;TEXT(W$1,"yyyy")),MATCH(TRIM($A8),PnL_Accounts,0))</f>
        <v/>
      </c>
      <c r="X8" s="76" t="str">
        <f t="array" ref="X8">INDEX(INDIRECT("PnL_"&amp;TEXT(X$1,"mmm")&amp;"_"&amp;TEXT(X$1,"yyyy")),MATCH(TRIM($A8),PnL_Accounts,0))</f>
        <v/>
      </c>
      <c r="Y8" s="76" t="str">
        <f t="array" ref="Y8">INDEX(INDIRECT("PnL_"&amp;TEXT(Y$1,"mmm")&amp;"_"&amp;TEXT(Y$1,"yyyy")),MATCH(TRIM($A8),PnL_Accounts,0))</f>
        <v/>
      </c>
      <c r="Z8" s="76" t="str">
        <f t="array" ref="Z8">INDEX(INDIRECT("PnL_"&amp;TEXT(Z$1,"mmm")&amp;"_"&amp;TEXT(Z$1,"yyyy")),MATCH(TRIM($A8),PnL_Accounts,0))</f>
        <v/>
      </c>
      <c r="AA8" s="76" t="str">
        <f t="array" ref="AA8">INDEX(INDIRECT("PnL_"&amp;TEXT(AA$1,"mmm")&amp;"_"&amp;TEXT(AA$1,"yyyy")),MATCH(TRIM($A8),PnL_Accounts,0))</f>
        <v/>
      </c>
      <c r="AB8" s="76" t="str">
        <f t="array" ref="AB8">INDEX(INDIRECT("PnL_"&amp;TEXT(AB$1,"mmm")&amp;"_"&amp;TEXT(AB$1,"yyyy")),MATCH(TRIM($A8),PnL_Accounts,0))</f>
        <v/>
      </c>
      <c r="AC8" s="76" t="str">
        <f t="array" ref="AC8">INDEX(INDIRECT("PnL_"&amp;TEXT(AC$1,"mmm")&amp;"_"&amp;TEXT(AC$1,"yyyy")),MATCH(TRIM($A8),PnL_Accounts,0))</f>
        <v/>
      </c>
      <c r="AD8" s="76" t="str">
        <f t="array" ref="AD8">INDEX(INDIRECT("PnL_"&amp;TEXT(AD$1,"mmm")&amp;"_"&amp;TEXT(AD$1,"yyyy")),MATCH(TRIM($A8),PnL_Accounts,0))</f>
        <v/>
      </c>
      <c r="AE8" s="76" t="str">
        <f t="array" ref="AE8">INDEX(INDIRECT("PnL_"&amp;TEXT(AE$1,"mmm")&amp;"_"&amp;TEXT(AE$1,"yyyy")),MATCH(TRIM($A8),PnL_Accounts,0))</f>
        <v/>
      </c>
    </row>
    <row r="9" ht="15.75" customHeight="1">
      <c r="A9" s="1" t="s">
        <v>247</v>
      </c>
      <c r="B9" s="159"/>
      <c r="D9" s="76" t="str">
        <f t="array" ref="D9">INDEX(INDIRECT("PnL_"&amp;TEXT(D$1,"mmm")&amp;"_"&amp;TEXT(D$1,"yyyy")),MATCH(TRIM($A9),PnL_Accounts,0))</f>
        <v/>
      </c>
      <c r="E9" s="76" t="str">
        <f t="array" ref="E9">INDEX(INDIRECT("PnL_"&amp;TEXT(E$1,"mmm")&amp;"_"&amp;TEXT(E$1,"yyyy")),MATCH(TRIM($A9),PnL_Accounts,0))</f>
        <v/>
      </c>
      <c r="F9" s="76" t="str">
        <f t="array" ref="F9">INDEX(INDIRECT("PnL_"&amp;TEXT(F$1,"mmm")&amp;"_"&amp;TEXT(F$1,"yyyy")),MATCH(TRIM($A9),PnL_Accounts,0))</f>
        <v/>
      </c>
      <c r="G9" s="76" t="str">
        <f t="array" ref="G9">INDEX(INDIRECT("PnL_"&amp;TEXT(G$1,"mmm")&amp;"_"&amp;TEXT(G$1,"yyyy")),MATCH(TRIM($A9),PnL_Accounts,0))</f>
        <v/>
      </c>
      <c r="H9" s="76" t="str">
        <f t="array" ref="H9">INDEX(INDIRECT("PnL_"&amp;TEXT(H$1,"mmm")&amp;"_"&amp;TEXT(H$1,"yyyy")),MATCH(TRIM($A9),PnL_Accounts,0))</f>
        <v/>
      </c>
      <c r="I9" s="76" t="str">
        <f t="array" ref="I9">INDEX(INDIRECT("PnL_"&amp;TEXT(I$1,"mmm")&amp;"_"&amp;TEXT(I$1,"yyyy")),MATCH(TRIM($A9),PnL_Accounts,0))</f>
        <v/>
      </c>
      <c r="J9" s="76" t="str">
        <f t="array" ref="J9">INDEX(INDIRECT("PnL_"&amp;TEXT(J$1,"mmm")&amp;"_"&amp;TEXT(J$1,"yyyy")),MATCH(TRIM($A9),PnL_Accounts,0))</f>
        <v/>
      </c>
      <c r="K9" s="76" t="str">
        <f t="array" ref="K9">INDEX(INDIRECT("PnL_"&amp;TEXT(K$1,"mmm")&amp;"_"&amp;TEXT(K$1,"yyyy")),MATCH(TRIM($A9),PnL_Accounts,0))</f>
        <v/>
      </c>
      <c r="L9" s="76" t="str">
        <f t="array" ref="L9">INDEX(INDIRECT("PnL_"&amp;TEXT(L$1,"mmm")&amp;"_"&amp;TEXT(L$1,"yyyy")),MATCH(TRIM($A9),PnL_Accounts,0))</f>
        <v/>
      </c>
      <c r="M9" s="76" t="str">
        <f t="array" ref="M9">INDEX(INDIRECT("PnL_"&amp;TEXT(M$1,"mmm")&amp;"_"&amp;TEXT(M$1,"yyyy")),MATCH(TRIM($A9),PnL_Accounts,0))</f>
        <v/>
      </c>
      <c r="N9" s="76" t="str">
        <f t="array" ref="N9">INDEX(INDIRECT("PnL_"&amp;TEXT(N$1,"mmm")&amp;"_"&amp;TEXT(N$1,"yyyy")),MATCH(TRIM($A9),PnL_Accounts,0))</f>
        <v/>
      </c>
      <c r="O9" s="76" t="str">
        <f t="array" ref="O9">INDEX(INDIRECT("PnL_"&amp;TEXT(O$1,"mmm")&amp;"_"&amp;TEXT(O$1,"yyyy")),MATCH(TRIM($A9),PnL_Accounts,0))</f>
        <v/>
      </c>
      <c r="P9" s="76" t="str">
        <f t="array" ref="P9">INDEX(INDIRECT("PnL_"&amp;TEXT(P$1,"mmm")&amp;"_"&amp;TEXT(P$1,"yyyy")),MATCH(TRIM($A9),PnL_Accounts,0))</f>
        <v/>
      </c>
      <c r="Q9" s="76" t="str">
        <f t="array" ref="Q9">INDEX(INDIRECT("PnL_"&amp;TEXT(Q$1,"mmm")&amp;"_"&amp;TEXT(Q$1,"yyyy")),MATCH(TRIM($A9),PnL_Accounts,0))</f>
        <v/>
      </c>
      <c r="R9" s="76" t="str">
        <f t="array" ref="R9">INDEX(INDIRECT("PnL_"&amp;TEXT(R$1,"mmm")&amp;"_"&amp;TEXT(R$1,"yyyy")),MATCH(TRIM($A9),PnL_Accounts,0))</f>
        <v/>
      </c>
      <c r="S9" s="76" t="str">
        <f t="array" ref="S9">INDEX(INDIRECT("PnL_"&amp;TEXT(S$1,"mmm")&amp;"_"&amp;TEXT(S$1,"yyyy")),MATCH(TRIM($A9),PnL_Accounts,0))</f>
        <v/>
      </c>
      <c r="T9" s="76" t="str">
        <f t="array" ref="T9">INDEX(INDIRECT("PnL_"&amp;TEXT(T$1,"mmm")&amp;"_"&amp;TEXT(T$1,"yyyy")),MATCH(TRIM($A9),PnL_Accounts,0))</f>
        <v/>
      </c>
      <c r="U9" s="76" t="str">
        <f t="array" ref="U9">INDEX(INDIRECT("PnL_"&amp;TEXT(U$1,"mmm")&amp;"_"&amp;TEXT(U$1,"yyyy")),MATCH(TRIM($A9),PnL_Accounts,0))</f>
        <v/>
      </c>
      <c r="V9" s="76" t="str">
        <f t="array" ref="V9">INDEX(INDIRECT("PnL_"&amp;TEXT(V$1,"mmm")&amp;"_"&amp;TEXT(V$1,"yyyy")),MATCH(TRIM($A9),PnL_Accounts,0))</f>
        <v/>
      </c>
      <c r="W9" s="76" t="str">
        <f t="array" ref="W9">INDEX(INDIRECT("PnL_"&amp;TEXT(W$1,"mmm")&amp;"_"&amp;TEXT(W$1,"yyyy")),MATCH(TRIM($A9),PnL_Accounts,0))</f>
        <v/>
      </c>
      <c r="X9" s="76" t="str">
        <f t="array" ref="X9">INDEX(INDIRECT("PnL_"&amp;TEXT(X$1,"mmm")&amp;"_"&amp;TEXT(X$1,"yyyy")),MATCH(TRIM($A9),PnL_Accounts,0))</f>
        <v/>
      </c>
      <c r="Y9" s="76" t="str">
        <f t="array" ref="Y9">INDEX(INDIRECT("PnL_"&amp;TEXT(Y$1,"mmm")&amp;"_"&amp;TEXT(Y$1,"yyyy")),MATCH(TRIM($A9),PnL_Accounts,0))</f>
        <v/>
      </c>
      <c r="Z9" s="76" t="str">
        <f t="array" ref="Z9">INDEX(INDIRECT("PnL_"&amp;TEXT(Z$1,"mmm")&amp;"_"&amp;TEXT(Z$1,"yyyy")),MATCH(TRIM($A9),PnL_Accounts,0))</f>
        <v/>
      </c>
      <c r="AA9" s="76" t="str">
        <f t="array" ref="AA9">INDEX(INDIRECT("PnL_"&amp;TEXT(AA$1,"mmm")&amp;"_"&amp;TEXT(AA$1,"yyyy")),MATCH(TRIM($A9),PnL_Accounts,0))</f>
        <v/>
      </c>
      <c r="AB9" s="76" t="str">
        <f t="array" ref="AB9">INDEX(INDIRECT("PnL_"&amp;TEXT(AB$1,"mmm")&amp;"_"&amp;TEXT(AB$1,"yyyy")),MATCH(TRIM($A9),PnL_Accounts,0))</f>
        <v/>
      </c>
      <c r="AC9" s="76" t="str">
        <f t="array" ref="AC9">INDEX(INDIRECT("PnL_"&amp;TEXT(AC$1,"mmm")&amp;"_"&amp;TEXT(AC$1,"yyyy")),MATCH(TRIM($A9),PnL_Accounts,0))</f>
        <v/>
      </c>
      <c r="AD9" s="76" t="str">
        <f t="array" ref="AD9">INDEX(INDIRECT("PnL_"&amp;TEXT(AD$1,"mmm")&amp;"_"&amp;TEXT(AD$1,"yyyy")),MATCH(TRIM($A9),PnL_Accounts,0))</f>
        <v/>
      </c>
      <c r="AE9" s="76" t="str">
        <f t="array" ref="AE9">INDEX(INDIRECT("PnL_"&amp;TEXT(AE$1,"mmm")&amp;"_"&amp;TEXT(AE$1,"yyyy")),MATCH(TRIM($A9),PnL_Accounts,0))</f>
        <v/>
      </c>
    </row>
    <row r="10" ht="15.75" customHeight="1">
      <c r="A10" s="1" t="s">
        <v>248</v>
      </c>
      <c r="B10" s="160">
        <f>AVERAGEIFS(10:10,$1:$1,"&gt;="&amp;DATE(YEAR(Current_Month),MONTH(Current_Month)-2,DAY(Current_Month)),$1:$1,"&lt;="&amp;EOMONTH(Current_Month,0))</f>
        <v>2973</v>
      </c>
      <c r="D10" s="76">
        <f t="array" ref="D10">INDEX(INDIRECT("PnL_"&amp;TEXT(D$1,"mmm")&amp;"_"&amp;TEXT(D$1,"yyyy")),MATCH(TRIM($A10),PnL_Accounts,0))</f>
        <v>985</v>
      </c>
      <c r="E10" s="76">
        <f t="array" ref="E10">INDEX(INDIRECT("PnL_"&amp;TEXT(E$1,"mmm")&amp;"_"&amp;TEXT(E$1,"yyyy")),MATCH(TRIM($A10),PnL_Accounts,0))</f>
        <v>985</v>
      </c>
      <c r="F10" s="76">
        <f t="array" ref="F10">INDEX(INDIRECT("PnL_"&amp;TEXT(F$1,"mmm")&amp;"_"&amp;TEXT(F$1,"yyyy")),MATCH(TRIM($A10),PnL_Accounts,0))</f>
        <v>985</v>
      </c>
      <c r="G10" s="76">
        <f t="array" ref="G10">INDEX(INDIRECT("PnL_"&amp;TEXT(G$1,"mmm")&amp;"_"&amp;TEXT(G$1,"yyyy")),MATCH(TRIM($A10),PnL_Accounts,0))</f>
        <v>1182</v>
      </c>
      <c r="H10" s="76">
        <f t="array" ref="H10">INDEX(INDIRECT("PnL_"&amp;TEXT(H$1,"mmm")&amp;"_"&amp;TEXT(H$1,"yyyy")),MATCH(TRIM($A10),PnL_Accounts,0))</f>
        <v>1182</v>
      </c>
      <c r="I10" s="76">
        <f t="array" ref="I10">INDEX(INDIRECT("PnL_"&amp;TEXT(I$1,"mmm")&amp;"_"&amp;TEXT(I$1,"yyyy")),MATCH(TRIM($A10),PnL_Accounts,0))</f>
        <v>1182</v>
      </c>
      <c r="J10" s="76">
        <f t="array" ref="J10">INDEX(INDIRECT("PnL_"&amp;TEXT(J$1,"mmm")&amp;"_"&amp;TEXT(J$1,"yyyy")),MATCH(TRIM($A10),PnL_Accounts,0))</f>
        <v>1379</v>
      </c>
      <c r="K10" s="76">
        <f t="array" ref="K10">INDEX(INDIRECT("PnL_"&amp;TEXT(K$1,"mmm")&amp;"_"&amp;TEXT(K$1,"yyyy")),MATCH(TRIM($A10),PnL_Accounts,0))</f>
        <v>1379</v>
      </c>
      <c r="L10" s="76">
        <f t="array" ref="L10">INDEX(INDIRECT("PnL_"&amp;TEXT(L$1,"mmm")&amp;"_"&amp;TEXT(L$1,"yyyy")),MATCH(TRIM($A10),PnL_Accounts,0))</f>
        <v>1576</v>
      </c>
      <c r="M10" s="76">
        <f t="array" ref="M10">INDEX(INDIRECT("PnL_"&amp;TEXT(M$1,"mmm")&amp;"_"&amp;TEXT(M$1,"yyyy")),MATCH(TRIM($A10),PnL_Accounts,0))</f>
        <v>1576</v>
      </c>
      <c r="N10" s="76">
        <f t="array" ref="N10">INDEX(INDIRECT("PnL_"&amp;TEXT(N$1,"mmm")&amp;"_"&amp;TEXT(N$1,"yyyy")),MATCH(TRIM($A10),PnL_Accounts,0))</f>
        <v>1576</v>
      </c>
      <c r="O10" s="76">
        <f t="array" ref="O10">INDEX(INDIRECT("PnL_"&amp;TEXT(O$1,"mmm")&amp;"_"&amp;TEXT(O$1,"yyyy")),MATCH(TRIM($A10),PnL_Accounts,0))</f>
        <v>1773</v>
      </c>
      <c r="P10" s="76">
        <f t="array" ref="P10">INDEX(INDIRECT("PnL_"&amp;TEXT(P$1,"mmm")&amp;"_"&amp;TEXT(P$1,"yyyy")),MATCH(TRIM($A10),PnL_Accounts,0))</f>
        <v>1773</v>
      </c>
      <c r="Q10" s="76">
        <f t="array" ref="Q10">INDEX(INDIRECT("PnL_"&amp;TEXT(Q$1,"mmm")&amp;"_"&amp;TEXT(Q$1,"yyyy")),MATCH(TRIM($A10),PnL_Accounts,0))</f>
        <v>1773</v>
      </c>
      <c r="R10" s="76">
        <f t="array" ref="R10">INDEX(INDIRECT("PnL_"&amp;TEXT(R$1,"mmm")&amp;"_"&amp;TEXT(R$1,"yyyy")),MATCH(TRIM($A10),PnL_Accounts,0))</f>
        <v>1773</v>
      </c>
      <c r="S10" s="76">
        <f t="array" ref="S10">INDEX(INDIRECT("PnL_"&amp;TEXT(S$1,"mmm")&amp;"_"&amp;TEXT(S$1,"yyyy")),MATCH(TRIM($A10),PnL_Accounts,0))</f>
        <v>2773</v>
      </c>
      <c r="T10" s="76">
        <f t="array" ref="T10">INDEX(INDIRECT("PnL_"&amp;TEXT(T$1,"mmm")&amp;"_"&amp;TEXT(T$1,"yyyy")),MATCH(TRIM($A10),PnL_Accounts,0))</f>
        <v>2973</v>
      </c>
      <c r="U10" s="76">
        <f t="array" ref="U10">INDEX(INDIRECT("PnL_"&amp;TEXT(U$1,"mmm")&amp;"_"&amp;TEXT(U$1,"yyyy")),MATCH(TRIM($A10),PnL_Accounts,0))</f>
        <v>2973</v>
      </c>
      <c r="V10" s="76">
        <f t="array" ref="V10">INDEX(INDIRECT("PnL_"&amp;TEXT(V$1,"mmm")&amp;"_"&amp;TEXT(V$1,"yyyy")),MATCH(TRIM($A10),PnL_Accounts,0))</f>
        <v>2973</v>
      </c>
      <c r="W10" s="76">
        <f t="array" ref="W10">INDEX(INDIRECT("PnL_"&amp;TEXT(W$1,"mmm")&amp;"_"&amp;TEXT(W$1,"yyyy")),MATCH(TRIM($A10),PnL_Accounts,0))</f>
        <v>2973</v>
      </c>
      <c r="X10" s="76">
        <f t="array" ref="X10">INDEX(INDIRECT("PnL_"&amp;TEXT(X$1,"mmm")&amp;"_"&amp;TEXT(X$1,"yyyy")),MATCH(TRIM($A10),PnL_Accounts,0))</f>
        <v>2973</v>
      </c>
      <c r="Y10" s="76">
        <f t="array" ref="Y10">INDEX(INDIRECT("PnL_"&amp;TEXT(Y$1,"mmm")&amp;"_"&amp;TEXT(Y$1,"yyyy")),MATCH(TRIM($A10),PnL_Accounts,0))</f>
        <v>2973</v>
      </c>
      <c r="Z10" s="76">
        <f t="array" ref="Z10">INDEX(INDIRECT("PnL_"&amp;TEXT(Z$1,"mmm")&amp;"_"&amp;TEXT(Z$1,"yyyy")),MATCH(TRIM($A10),PnL_Accounts,0))</f>
        <v>2973</v>
      </c>
      <c r="AA10" s="76">
        <f t="array" ref="AA10">INDEX(INDIRECT("PnL_"&amp;TEXT(AA$1,"mmm")&amp;"_"&amp;TEXT(AA$1,"yyyy")),MATCH(TRIM($A10),PnL_Accounts,0))</f>
        <v>2973</v>
      </c>
      <c r="AB10" s="76">
        <f t="array" ref="AB10">INDEX(INDIRECT("PnL_"&amp;TEXT(AB$1,"mmm")&amp;"_"&amp;TEXT(AB$1,"yyyy")),MATCH(TRIM($A10),PnL_Accounts,0))</f>
        <v>2973</v>
      </c>
      <c r="AC10" s="76">
        <f t="array" ref="AC10">INDEX(INDIRECT("PnL_"&amp;TEXT(AC$1,"mmm")&amp;"_"&amp;TEXT(AC$1,"yyyy")),MATCH(TRIM($A10),PnL_Accounts,0))</f>
        <v>2973</v>
      </c>
      <c r="AD10" s="76">
        <f t="array" ref="AD10">INDEX(INDIRECT("PnL_"&amp;TEXT(AD$1,"mmm")&amp;"_"&amp;TEXT(AD$1,"yyyy")),MATCH(TRIM($A10),PnL_Accounts,0))</f>
        <v>2973</v>
      </c>
      <c r="AE10" s="76">
        <f t="array" ref="AE10">INDEX(INDIRECT("PnL_"&amp;TEXT(AE$1,"mmm")&amp;"_"&amp;TEXT(AE$1,"yyyy")),MATCH(TRIM($A10),PnL_Accounts,0))</f>
        <v>2973</v>
      </c>
      <c r="AF10" s="39">
        <f t="array" ref="AF10">INDEX(Hiring_Plan_Benefits_Support_Worst_Case,MATCH(AF$1,Hiring_Plan_Months_Worst_Case,0))</f>
        <v>5315</v>
      </c>
      <c r="AG10" s="39">
        <f t="array" ref="AG10">INDEX(Hiring_Plan_Benefits_Support_Worst_Case,MATCH(AG$1,Hiring_Plan_Months_Worst_Case,0))</f>
        <v>5315</v>
      </c>
      <c r="AH10" s="39">
        <f t="array" ref="AH10">INDEX(Hiring_Plan_Benefits_Support_Worst_Case,MATCH(AH$1,Hiring_Plan_Months_Worst_Case,0))</f>
        <v>5315</v>
      </c>
      <c r="AI10" s="39">
        <f t="array" ref="AI10">INDEX(Hiring_Plan_Benefits_Support_Worst_Case,MATCH(AI$1,Hiring_Plan_Months_Worst_Case,0))</f>
        <v>5315</v>
      </c>
      <c r="AJ10" s="39">
        <f t="array" ref="AJ10">INDEX(Hiring_Plan_Benefits_Support_Worst_Case,MATCH(AJ$1,Hiring_Plan_Months_Worst_Case,0))</f>
        <v>5315</v>
      </c>
      <c r="AK10" s="39">
        <f t="array" ref="AK10">INDEX(Hiring_Plan_Benefits_Support_Worst_Case,MATCH(AK$1,Hiring_Plan_Months_Worst_Case,0))</f>
        <v>5315</v>
      </c>
      <c r="AL10" s="39">
        <f t="array" ref="AL10">INDEX(Hiring_Plan_Benefits_Support_Worst_Case,MATCH(AL$1,Hiring_Plan_Months_Worst_Case,0))</f>
        <v>5315</v>
      </c>
      <c r="AM10" s="39">
        <f t="array" ref="AM10">INDEX(Hiring_Plan_Benefits_Support_Worst_Case,MATCH(AM$1,Hiring_Plan_Months_Worst_Case,0))</f>
        <v>5315</v>
      </c>
      <c r="AN10" s="39">
        <f t="array" ref="AN10">INDEX(Hiring_Plan_Benefits_Support_Worst_Case,MATCH(AN$1,Hiring_Plan_Months_Worst_Case,0))</f>
        <v>5315</v>
      </c>
      <c r="AO10" s="39">
        <f t="array" ref="AO10">INDEX(Hiring_Plan_Benefits_Support_Worst_Case,MATCH(AO$1,Hiring_Plan_Months_Worst_Case,0))</f>
        <v>5315</v>
      </c>
      <c r="AP10" s="39">
        <f t="array" ref="AP10">INDEX(Hiring_Plan_Benefits_Support_Worst_Case,MATCH(AP$1,Hiring_Plan_Months_Worst_Case,0))</f>
        <v>5315</v>
      </c>
      <c r="AQ10" s="39">
        <f t="array" ref="AQ10">INDEX(Hiring_Plan_Benefits_Support_Worst_Case,MATCH(AQ$1,Hiring_Plan_Months_Worst_Case,0))</f>
        <v>5315</v>
      </c>
      <c r="AR10" s="39">
        <f t="array" ref="AR10">INDEX(Hiring_Plan_Benefits_Support_Worst_Case,MATCH(AR$1,Hiring_Plan_Months_Worst_Case,0))</f>
        <v>5315</v>
      </c>
      <c r="AS10" s="39">
        <f t="array" ref="AS10">INDEX(Hiring_Plan_Benefits_Support_Worst_Case,MATCH(AS$1,Hiring_Plan_Months_Worst_Case,0))</f>
        <v>5315</v>
      </c>
      <c r="AT10" s="39">
        <f t="array" ref="AT10">INDEX(Hiring_Plan_Benefits_Support_Worst_Case,MATCH(AT$1,Hiring_Plan_Months_Worst_Case,0))</f>
        <v>5315</v>
      </c>
      <c r="AU10" s="39">
        <f t="array" ref="AU10">INDEX(Hiring_Plan_Benefits_Support_Worst_Case,MATCH(AU$1,Hiring_Plan_Months_Worst_Case,0))</f>
        <v>5315</v>
      </c>
      <c r="AV10" s="39">
        <f t="array" ref="AV10">INDEX(Hiring_Plan_Benefits_Support_Worst_Case,MATCH(AV$1,Hiring_Plan_Months_Worst_Case,0))</f>
        <v>5315</v>
      </c>
      <c r="AW10" s="39">
        <f t="array" ref="AW10">INDEX(Hiring_Plan_Benefits_Support_Worst_Case,MATCH(AW$1,Hiring_Plan_Months_Worst_Case,0))</f>
        <v>5315</v>
      </c>
      <c r="AX10" s="39">
        <f t="array" ref="AX10">INDEX(Hiring_Plan_Benefits_Support_Worst_Case,MATCH(AX$1,Hiring_Plan_Months_Worst_Case,0))</f>
        <v>5315</v>
      </c>
      <c r="AY10" s="39">
        <f t="array" ref="AY10">INDEX(Hiring_Plan_Benefits_Support_Worst_Case,MATCH(AY$1,Hiring_Plan_Months_Worst_Case,0))</f>
        <v>5315</v>
      </c>
      <c r="AZ10" s="39">
        <f t="array" ref="AZ10">INDEX(Hiring_Plan_Benefits_Support_Worst_Case,MATCH(AZ$1,Hiring_Plan_Months_Worst_Case,0))</f>
        <v>5315</v>
      </c>
      <c r="BA10" s="39">
        <f t="array" ref="BA10">INDEX(Hiring_Plan_Benefits_Support_Worst_Case,MATCH(BA$1,Hiring_Plan_Months_Worst_Case,0))</f>
        <v>5315</v>
      </c>
      <c r="BB10" s="39">
        <f t="array" ref="BB10">INDEX(Hiring_Plan_Benefits_Support_Worst_Case,MATCH(BB$1,Hiring_Plan_Months_Worst_Case,0))</f>
        <v>5315</v>
      </c>
      <c r="BC10" s="39">
        <f t="array" ref="BC10">INDEX(Hiring_Plan_Benefits_Support_Worst_Case,MATCH(BC$1,Hiring_Plan_Months_Worst_Case,0))</f>
        <v>5315</v>
      </c>
      <c r="BD10" s="39">
        <f t="array" ref="BD10">INDEX(Hiring_Plan_Benefits_Support_Worst_Case,MATCH(BD$1,Hiring_Plan_Months_Worst_Case,0))</f>
        <v>5315</v>
      </c>
      <c r="BE10" s="39">
        <f t="array" ref="BE10">INDEX(Hiring_Plan_Benefits_Support_Worst_Case,MATCH(BE$1,Hiring_Plan_Months_Worst_Case,0))</f>
        <v>5315</v>
      </c>
      <c r="BF10" s="39">
        <f t="array" ref="BF10">INDEX(Hiring_Plan_Benefits_Support_Worst_Case,MATCH(BF$1,Hiring_Plan_Months_Worst_Case,0))</f>
        <v>5315</v>
      </c>
      <c r="BG10" s="39">
        <f t="array" ref="BG10">INDEX(Hiring_Plan_Benefits_Support_Worst_Case,MATCH(BG$1,Hiring_Plan_Months_Worst_Case,0))</f>
        <v>5315</v>
      </c>
      <c r="BH10" s="39">
        <f t="array" ref="BH10">INDEX(Hiring_Plan_Benefits_Support_Worst_Case,MATCH(BH$1,Hiring_Plan_Months_Worst_Case,0))</f>
        <v>5315</v>
      </c>
      <c r="BI10" s="39">
        <f t="array" ref="BI10">INDEX(Hiring_Plan_Benefits_Support_Worst_Case,MATCH(BI$1,Hiring_Plan_Months_Worst_Case,0))</f>
        <v>5315</v>
      </c>
      <c r="BJ10" s="39">
        <f t="array" ref="BJ10">INDEX(Hiring_Plan_Benefits_Support_Worst_Case,MATCH(BJ$1,Hiring_Plan_Months_Worst_Case,0))</f>
        <v>5315</v>
      </c>
      <c r="BK10" s="39">
        <f t="array" ref="BK10">INDEX(Hiring_Plan_Benefits_Support_Worst_Case,MATCH(BK$1,Hiring_Plan_Months_Worst_Case,0))</f>
        <v>5315</v>
      </c>
      <c r="BL10" s="39">
        <f t="array" ref="BL10">INDEX(Hiring_Plan_Benefits_Support_Worst_Case,MATCH(BL$1,Hiring_Plan_Months_Worst_Case,0))</f>
        <v>5315</v>
      </c>
      <c r="BM10" s="39">
        <f t="array" ref="BM10">INDEX(Hiring_Plan_Benefits_Support_Worst_Case,MATCH(BM$1,Hiring_Plan_Months_Worst_Case,0))</f>
        <v>5315</v>
      </c>
      <c r="BN10" s="39">
        <f t="array" ref="BN10">INDEX(Hiring_Plan_Benefits_Support_Worst_Case,MATCH(BN$1,Hiring_Plan_Months_Worst_Case,0))</f>
        <v>5315</v>
      </c>
      <c r="BO10" s="39">
        <f t="array" ref="BO10">INDEX(Hiring_Plan_Benefits_Support_Worst_Case,MATCH(BO$1,Hiring_Plan_Months_Worst_Case,0))</f>
        <v>5315</v>
      </c>
      <c r="BP10" s="39">
        <f t="array" ref="BP10">INDEX(Hiring_Plan_Benefits_Support_Worst_Case,MATCH(BP$1,Hiring_Plan_Months_Worst_Case,0))</f>
        <v>5315</v>
      </c>
      <c r="BQ10" s="39">
        <f t="array" ref="BQ10">INDEX(Hiring_Plan_Benefits_Support_Worst_Case,MATCH(BQ$1,Hiring_Plan_Months_Worst_Case,0))</f>
        <v>5315</v>
      </c>
      <c r="BR10" s="39">
        <f t="array" ref="BR10">INDEX(Hiring_Plan_Benefits_Support_Worst_Case,MATCH(BR$1,Hiring_Plan_Months_Worst_Case,0))</f>
        <v>5315</v>
      </c>
      <c r="BS10" s="39">
        <f t="array" ref="BS10">INDEX(Hiring_Plan_Benefits_Support_Worst_Case,MATCH(BS$1,Hiring_Plan_Months_Worst_Case,0))</f>
        <v>5315</v>
      </c>
      <c r="BT10" s="39">
        <f t="array" ref="BT10">INDEX(Hiring_Plan_Benefits_Support_Worst_Case,MATCH(BT$1,Hiring_Plan_Months_Worst_Case,0))</f>
        <v>5315</v>
      </c>
      <c r="BU10" s="39">
        <f t="array" ref="BU10">INDEX(Hiring_Plan_Benefits_Support_Worst_Case,MATCH(BU$1,Hiring_Plan_Months_Worst_Case,0))</f>
        <v>5315</v>
      </c>
      <c r="BV10" s="39">
        <f t="array" ref="BV10">INDEX(Hiring_Plan_Benefits_Support_Worst_Case,MATCH(BV$1,Hiring_Plan_Months_Worst_Case,0))</f>
        <v>5315</v>
      </c>
      <c r="BW10" s="39">
        <f t="array" ref="BW10">INDEX(Hiring_Plan_Benefits_Support_Worst_Case,MATCH(BW$1,Hiring_Plan_Months_Worst_Case,0))</f>
        <v>5315</v>
      </c>
    </row>
    <row r="11" ht="15.75" customHeight="1">
      <c r="A11" s="1" t="s">
        <v>249</v>
      </c>
      <c r="B11" s="160">
        <f>AVERAGEIFS(11:11,$1:$1,"&gt;="&amp;DATE(YEAR(Current_Month),MONTH(Current_Month)-2,DAY(Current_Month)),$1:$1,"&lt;="&amp;EOMONTH(Current_Month,0))</f>
        <v>5567</v>
      </c>
      <c r="D11" s="76">
        <f t="array" ref="D11">INDEX(INDIRECT("PnL_"&amp;TEXT(D$1,"mmm")&amp;"_"&amp;TEXT(D$1,"yyyy")),MATCH(TRIM($A11),PnL_Accounts,0))</f>
        <v>2340</v>
      </c>
      <c r="E11" s="76">
        <f t="array" ref="E11">INDEX(INDIRECT("PnL_"&amp;TEXT(E$1,"mmm")&amp;"_"&amp;TEXT(E$1,"yyyy")),MATCH(TRIM($A11),PnL_Accounts,0))</f>
        <v>2340</v>
      </c>
      <c r="F11" s="76">
        <f t="array" ref="F11">INDEX(INDIRECT("PnL_"&amp;TEXT(F$1,"mmm")&amp;"_"&amp;TEXT(F$1,"yyyy")),MATCH(TRIM($A11),PnL_Accounts,0))</f>
        <v>2340</v>
      </c>
      <c r="G11" s="76">
        <f t="array" ref="G11">INDEX(INDIRECT("PnL_"&amp;TEXT(G$1,"mmm")&amp;"_"&amp;TEXT(G$1,"yyyy")),MATCH(TRIM($A11),PnL_Accounts,0))</f>
        <v>2808</v>
      </c>
      <c r="H11" s="76">
        <f t="array" ref="H11">INDEX(INDIRECT("PnL_"&amp;TEXT(H$1,"mmm")&amp;"_"&amp;TEXT(H$1,"yyyy")),MATCH(TRIM($A11),PnL_Accounts,0))</f>
        <v>2808</v>
      </c>
      <c r="I11" s="76">
        <f t="array" ref="I11">INDEX(INDIRECT("PnL_"&amp;TEXT(I$1,"mmm")&amp;"_"&amp;TEXT(I$1,"yyyy")),MATCH(TRIM($A11),PnL_Accounts,0))</f>
        <v>2808</v>
      </c>
      <c r="J11" s="76">
        <f t="array" ref="J11">INDEX(INDIRECT("PnL_"&amp;TEXT(J$1,"mmm")&amp;"_"&amp;TEXT(J$1,"yyyy")),MATCH(TRIM($A11),PnL_Accounts,0))</f>
        <v>3258</v>
      </c>
      <c r="K11" s="76">
        <f t="array" ref="K11">INDEX(INDIRECT("PnL_"&amp;TEXT(K$1,"mmm")&amp;"_"&amp;TEXT(K$1,"yyyy")),MATCH(TRIM($A11),PnL_Accounts,0))</f>
        <v>3258</v>
      </c>
      <c r="L11" s="76">
        <f t="array" ref="L11">INDEX(INDIRECT("PnL_"&amp;TEXT(L$1,"mmm")&amp;"_"&amp;TEXT(L$1,"yyyy")),MATCH(TRIM($A11),PnL_Accounts,0))</f>
        <v>3699</v>
      </c>
      <c r="M11" s="76">
        <f t="array" ref="M11">INDEX(INDIRECT("PnL_"&amp;TEXT(M$1,"mmm")&amp;"_"&amp;TEXT(M$1,"yyyy")),MATCH(TRIM($A11),PnL_Accounts,0))</f>
        <v>3699</v>
      </c>
      <c r="N11" s="76">
        <f t="array" ref="N11">INDEX(INDIRECT("PnL_"&amp;TEXT(N$1,"mmm")&amp;"_"&amp;TEXT(N$1,"yyyy")),MATCH(TRIM($A11),PnL_Accounts,0))</f>
        <v>3699</v>
      </c>
      <c r="O11" s="76">
        <f t="array" ref="O11">INDEX(INDIRECT("PnL_"&amp;TEXT(O$1,"mmm")&amp;"_"&amp;TEXT(O$1,"yyyy")),MATCH(TRIM($A11),PnL_Accounts,0))</f>
        <v>5067</v>
      </c>
      <c r="P11" s="76">
        <f t="array" ref="P11">INDEX(INDIRECT("PnL_"&amp;TEXT(P$1,"mmm")&amp;"_"&amp;TEXT(P$1,"yyyy")),MATCH(TRIM($A11),PnL_Accounts,0))</f>
        <v>5067</v>
      </c>
      <c r="Q11" s="76">
        <f t="array" ref="Q11">INDEX(INDIRECT("PnL_"&amp;TEXT(Q$1,"mmm")&amp;"_"&amp;TEXT(Q$1,"yyyy")),MATCH(TRIM($A11),PnL_Accounts,0))</f>
        <v>5067</v>
      </c>
      <c r="R11" s="76">
        <f t="array" ref="R11">INDEX(INDIRECT("PnL_"&amp;TEXT(R$1,"mmm")&amp;"_"&amp;TEXT(R$1,"yyyy")),MATCH(TRIM($A11),PnL_Accounts,0))</f>
        <v>5067</v>
      </c>
      <c r="S11" s="76">
        <f t="array" ref="S11">INDEX(INDIRECT("PnL_"&amp;TEXT(S$1,"mmm")&amp;"_"&amp;TEXT(S$1,"yyyy")),MATCH(TRIM($A11),PnL_Accounts,0))</f>
        <v>5067</v>
      </c>
      <c r="T11" s="76">
        <f t="array" ref="T11">INDEX(INDIRECT("PnL_"&amp;TEXT(T$1,"mmm")&amp;"_"&amp;TEXT(T$1,"yyyy")),MATCH(TRIM($A11),PnL_Accounts,0))</f>
        <v>5567</v>
      </c>
      <c r="U11" s="76">
        <f t="array" ref="U11">INDEX(INDIRECT("PnL_"&amp;TEXT(U$1,"mmm")&amp;"_"&amp;TEXT(U$1,"yyyy")),MATCH(TRIM($A11),PnL_Accounts,0))</f>
        <v>5567</v>
      </c>
      <c r="V11" s="76">
        <f t="array" ref="V11">INDEX(INDIRECT("PnL_"&amp;TEXT(V$1,"mmm")&amp;"_"&amp;TEXT(V$1,"yyyy")),MATCH(TRIM($A11),PnL_Accounts,0))</f>
        <v>5567</v>
      </c>
      <c r="W11" s="76">
        <f t="array" ref="W11">INDEX(INDIRECT("PnL_"&amp;TEXT(W$1,"mmm")&amp;"_"&amp;TEXT(W$1,"yyyy")),MATCH(TRIM($A11),PnL_Accounts,0))</f>
        <v>5567</v>
      </c>
      <c r="X11" s="76">
        <f t="array" ref="X11">INDEX(INDIRECT("PnL_"&amp;TEXT(X$1,"mmm")&amp;"_"&amp;TEXT(X$1,"yyyy")),MATCH(TRIM($A11),PnL_Accounts,0))</f>
        <v>5567</v>
      </c>
      <c r="Y11" s="76">
        <f t="array" ref="Y11">INDEX(INDIRECT("PnL_"&amp;TEXT(Y$1,"mmm")&amp;"_"&amp;TEXT(Y$1,"yyyy")),MATCH(TRIM($A11),PnL_Accounts,0))</f>
        <v>5567</v>
      </c>
      <c r="Z11" s="76">
        <f t="array" ref="Z11">INDEX(INDIRECT("PnL_"&amp;TEXT(Z$1,"mmm")&amp;"_"&amp;TEXT(Z$1,"yyyy")),MATCH(TRIM($A11),PnL_Accounts,0))</f>
        <v>5567</v>
      </c>
      <c r="AA11" s="76">
        <f t="array" ref="AA11">INDEX(INDIRECT("PnL_"&amp;TEXT(AA$1,"mmm")&amp;"_"&amp;TEXT(AA$1,"yyyy")),MATCH(TRIM($A11),PnL_Accounts,0))</f>
        <v>5567</v>
      </c>
      <c r="AB11" s="76">
        <f t="array" ref="AB11">INDEX(INDIRECT("PnL_"&amp;TEXT(AB$1,"mmm")&amp;"_"&amp;TEXT(AB$1,"yyyy")),MATCH(TRIM($A11),PnL_Accounts,0))</f>
        <v>5567</v>
      </c>
      <c r="AC11" s="76">
        <f t="array" ref="AC11">INDEX(INDIRECT("PnL_"&amp;TEXT(AC$1,"mmm")&amp;"_"&amp;TEXT(AC$1,"yyyy")),MATCH(TRIM($A11),PnL_Accounts,0))</f>
        <v>5567</v>
      </c>
      <c r="AD11" s="76">
        <f t="array" ref="AD11">INDEX(INDIRECT("PnL_"&amp;TEXT(AD$1,"mmm")&amp;"_"&amp;TEXT(AD$1,"yyyy")),MATCH(TRIM($A11),PnL_Accounts,0))</f>
        <v>5567</v>
      </c>
      <c r="AE11" s="76">
        <f t="array" ref="AE11">INDEX(INDIRECT("PnL_"&amp;TEXT(AE$1,"mmm")&amp;"_"&amp;TEXT(AE$1,"yyyy")),MATCH(TRIM($A11),PnL_Accounts,0))</f>
        <v>5567</v>
      </c>
      <c r="AF11" s="39">
        <f t="array" ref="AF11">INDEX(Hiring_Plan_Payroll_Taxes_Support_Worst_Case,MATCH(AF$1,Hiring_Plan_Months_Worst_Case,0))</f>
        <v>4083.75</v>
      </c>
      <c r="AG11" s="39">
        <f t="array" ref="AG11">INDEX(Hiring_Plan_Payroll_Taxes_Support_Worst_Case,MATCH(AG$1,Hiring_Plan_Months_Worst_Case,0))</f>
        <v>4083.75</v>
      </c>
      <c r="AH11" s="39">
        <f t="array" ref="AH11">INDEX(Hiring_Plan_Payroll_Taxes_Support_Worst_Case,MATCH(AH$1,Hiring_Plan_Months_Worst_Case,0))</f>
        <v>4083.75</v>
      </c>
      <c r="AI11" s="39">
        <f t="array" ref="AI11">INDEX(Hiring_Plan_Payroll_Taxes_Support_Worst_Case,MATCH(AI$1,Hiring_Plan_Months_Worst_Case,0))</f>
        <v>4083.75</v>
      </c>
      <c r="AJ11" s="39">
        <f t="array" ref="AJ11">INDEX(Hiring_Plan_Payroll_Taxes_Support_Worst_Case,MATCH(AJ$1,Hiring_Plan_Months_Worst_Case,0))</f>
        <v>4083.75</v>
      </c>
      <c r="AK11" s="39">
        <f t="array" ref="AK11">INDEX(Hiring_Plan_Payroll_Taxes_Support_Worst_Case,MATCH(AK$1,Hiring_Plan_Months_Worst_Case,0))</f>
        <v>4083.75</v>
      </c>
      <c r="AL11" s="39">
        <f t="array" ref="AL11">INDEX(Hiring_Plan_Payroll_Taxes_Support_Worst_Case,MATCH(AL$1,Hiring_Plan_Months_Worst_Case,0))</f>
        <v>4083.75</v>
      </c>
      <c r="AM11" s="39">
        <f t="array" ref="AM11">INDEX(Hiring_Plan_Payroll_Taxes_Support_Worst_Case,MATCH(AM$1,Hiring_Plan_Months_Worst_Case,0))</f>
        <v>4083.75</v>
      </c>
      <c r="AN11" s="39">
        <f t="array" ref="AN11">INDEX(Hiring_Plan_Payroll_Taxes_Support_Worst_Case,MATCH(AN$1,Hiring_Plan_Months_Worst_Case,0))</f>
        <v>4083.75</v>
      </c>
      <c r="AO11" s="39">
        <f t="array" ref="AO11">INDEX(Hiring_Plan_Payroll_Taxes_Support_Worst_Case,MATCH(AO$1,Hiring_Plan_Months_Worst_Case,0))</f>
        <v>4083.75</v>
      </c>
      <c r="AP11" s="39">
        <f t="array" ref="AP11">INDEX(Hiring_Plan_Payroll_Taxes_Support_Worst_Case,MATCH(AP$1,Hiring_Plan_Months_Worst_Case,0))</f>
        <v>4083.75</v>
      </c>
      <c r="AQ11" s="39">
        <f t="array" ref="AQ11">INDEX(Hiring_Plan_Payroll_Taxes_Support_Worst_Case,MATCH(AQ$1,Hiring_Plan_Months_Worst_Case,0))</f>
        <v>4083.75</v>
      </c>
      <c r="AR11" s="39">
        <f t="array" ref="AR11">INDEX(Hiring_Plan_Payroll_Taxes_Support_Worst_Case,MATCH(AR$1,Hiring_Plan_Months_Worst_Case,0))</f>
        <v>4083.75</v>
      </c>
      <c r="AS11" s="39">
        <f t="array" ref="AS11">INDEX(Hiring_Plan_Payroll_Taxes_Support_Worst_Case,MATCH(AS$1,Hiring_Plan_Months_Worst_Case,0))</f>
        <v>4083.75</v>
      </c>
      <c r="AT11" s="39">
        <f t="array" ref="AT11">INDEX(Hiring_Plan_Payroll_Taxes_Support_Worst_Case,MATCH(AT$1,Hiring_Plan_Months_Worst_Case,0))</f>
        <v>4083.75</v>
      </c>
      <c r="AU11" s="39">
        <f t="array" ref="AU11">INDEX(Hiring_Plan_Payroll_Taxes_Support_Worst_Case,MATCH(AU$1,Hiring_Plan_Months_Worst_Case,0))</f>
        <v>4083.75</v>
      </c>
      <c r="AV11" s="39">
        <f t="array" ref="AV11">INDEX(Hiring_Plan_Payroll_Taxes_Support_Worst_Case,MATCH(AV$1,Hiring_Plan_Months_Worst_Case,0))</f>
        <v>4083.75</v>
      </c>
      <c r="AW11" s="39">
        <f t="array" ref="AW11">INDEX(Hiring_Plan_Payroll_Taxes_Support_Worst_Case,MATCH(AW$1,Hiring_Plan_Months_Worst_Case,0))</f>
        <v>4083.75</v>
      </c>
      <c r="AX11" s="39">
        <f t="array" ref="AX11">INDEX(Hiring_Plan_Payroll_Taxes_Support_Worst_Case,MATCH(AX$1,Hiring_Plan_Months_Worst_Case,0))</f>
        <v>4083.75</v>
      </c>
      <c r="AY11" s="39">
        <f t="array" ref="AY11">INDEX(Hiring_Plan_Payroll_Taxes_Support_Worst_Case,MATCH(AY$1,Hiring_Plan_Months_Worst_Case,0))</f>
        <v>4083.75</v>
      </c>
      <c r="AZ11" s="39">
        <f t="array" ref="AZ11">INDEX(Hiring_Plan_Payroll_Taxes_Support_Worst_Case,MATCH(AZ$1,Hiring_Plan_Months_Worst_Case,0))</f>
        <v>4083.75</v>
      </c>
      <c r="BA11" s="39">
        <f t="array" ref="BA11">INDEX(Hiring_Plan_Payroll_Taxes_Support_Worst_Case,MATCH(BA$1,Hiring_Plan_Months_Worst_Case,0))</f>
        <v>4083.75</v>
      </c>
      <c r="BB11" s="39">
        <f t="array" ref="BB11">INDEX(Hiring_Plan_Payroll_Taxes_Support_Worst_Case,MATCH(BB$1,Hiring_Plan_Months_Worst_Case,0))</f>
        <v>4083.75</v>
      </c>
      <c r="BC11" s="39">
        <f t="array" ref="BC11">INDEX(Hiring_Plan_Payroll_Taxes_Support_Worst_Case,MATCH(BC$1,Hiring_Plan_Months_Worst_Case,0))</f>
        <v>4083.75</v>
      </c>
      <c r="BD11" s="39">
        <f t="array" ref="BD11">INDEX(Hiring_Plan_Payroll_Taxes_Support_Worst_Case,MATCH(BD$1,Hiring_Plan_Months_Worst_Case,0))</f>
        <v>4083.75</v>
      </c>
      <c r="BE11" s="39">
        <f t="array" ref="BE11">INDEX(Hiring_Plan_Payroll_Taxes_Support_Worst_Case,MATCH(BE$1,Hiring_Plan_Months_Worst_Case,0))</f>
        <v>4083.75</v>
      </c>
      <c r="BF11" s="39">
        <f t="array" ref="BF11">INDEX(Hiring_Plan_Payroll_Taxes_Support_Worst_Case,MATCH(BF$1,Hiring_Plan_Months_Worst_Case,0))</f>
        <v>4083.75</v>
      </c>
      <c r="BG11" s="39">
        <f t="array" ref="BG11">INDEX(Hiring_Plan_Payroll_Taxes_Support_Worst_Case,MATCH(BG$1,Hiring_Plan_Months_Worst_Case,0))</f>
        <v>4083.75</v>
      </c>
      <c r="BH11" s="39">
        <f t="array" ref="BH11">INDEX(Hiring_Plan_Payroll_Taxes_Support_Worst_Case,MATCH(BH$1,Hiring_Plan_Months_Worst_Case,0))</f>
        <v>4083.75</v>
      </c>
      <c r="BI11" s="39">
        <f t="array" ref="BI11">INDEX(Hiring_Plan_Payroll_Taxes_Support_Worst_Case,MATCH(BI$1,Hiring_Plan_Months_Worst_Case,0))</f>
        <v>4083.75</v>
      </c>
      <c r="BJ11" s="39">
        <f t="array" ref="BJ11">INDEX(Hiring_Plan_Payroll_Taxes_Support_Worst_Case,MATCH(BJ$1,Hiring_Plan_Months_Worst_Case,0))</f>
        <v>4083.75</v>
      </c>
      <c r="BK11" s="39">
        <f t="array" ref="BK11">INDEX(Hiring_Plan_Payroll_Taxes_Support_Worst_Case,MATCH(BK$1,Hiring_Plan_Months_Worst_Case,0))</f>
        <v>4083.75</v>
      </c>
      <c r="BL11" s="39">
        <f t="array" ref="BL11">INDEX(Hiring_Plan_Payroll_Taxes_Support_Worst_Case,MATCH(BL$1,Hiring_Plan_Months_Worst_Case,0))</f>
        <v>4083.75</v>
      </c>
      <c r="BM11" s="39">
        <f t="array" ref="BM11">INDEX(Hiring_Plan_Payroll_Taxes_Support_Worst_Case,MATCH(BM$1,Hiring_Plan_Months_Worst_Case,0))</f>
        <v>4083.75</v>
      </c>
      <c r="BN11" s="39">
        <f t="array" ref="BN11">INDEX(Hiring_Plan_Payroll_Taxes_Support_Worst_Case,MATCH(BN$1,Hiring_Plan_Months_Worst_Case,0))</f>
        <v>4083.75</v>
      </c>
      <c r="BO11" s="39">
        <f t="array" ref="BO11">INDEX(Hiring_Plan_Payroll_Taxes_Support_Worst_Case,MATCH(BO$1,Hiring_Plan_Months_Worst_Case,0))</f>
        <v>4083.75</v>
      </c>
      <c r="BP11" s="39">
        <f t="array" ref="BP11">INDEX(Hiring_Plan_Payroll_Taxes_Support_Worst_Case,MATCH(BP$1,Hiring_Plan_Months_Worst_Case,0))</f>
        <v>4083.75</v>
      </c>
      <c r="BQ11" s="39">
        <f t="array" ref="BQ11">INDEX(Hiring_Plan_Payroll_Taxes_Support_Worst_Case,MATCH(BQ$1,Hiring_Plan_Months_Worst_Case,0))</f>
        <v>4083.75</v>
      </c>
      <c r="BR11" s="39">
        <f t="array" ref="BR11">INDEX(Hiring_Plan_Payroll_Taxes_Support_Worst_Case,MATCH(BR$1,Hiring_Plan_Months_Worst_Case,0))</f>
        <v>4083.75</v>
      </c>
      <c r="BS11" s="39">
        <f t="array" ref="BS11">INDEX(Hiring_Plan_Payroll_Taxes_Support_Worst_Case,MATCH(BS$1,Hiring_Plan_Months_Worst_Case,0))</f>
        <v>4083.75</v>
      </c>
      <c r="BT11" s="39">
        <f t="array" ref="BT11">INDEX(Hiring_Plan_Payroll_Taxes_Support_Worst_Case,MATCH(BT$1,Hiring_Plan_Months_Worst_Case,0))</f>
        <v>4083.75</v>
      </c>
      <c r="BU11" s="39">
        <f t="array" ref="BU11">INDEX(Hiring_Plan_Payroll_Taxes_Support_Worst_Case,MATCH(BU$1,Hiring_Plan_Months_Worst_Case,0))</f>
        <v>4083.75</v>
      </c>
      <c r="BV11" s="39">
        <f t="array" ref="BV11">INDEX(Hiring_Plan_Payroll_Taxes_Support_Worst_Case,MATCH(BV$1,Hiring_Plan_Months_Worst_Case,0))</f>
        <v>4083.75</v>
      </c>
      <c r="BW11" s="39">
        <f t="array" ref="BW11">INDEX(Hiring_Plan_Payroll_Taxes_Support_Worst_Case,MATCH(BW$1,Hiring_Plan_Months_Worst_Case,0))</f>
        <v>4083.75</v>
      </c>
    </row>
    <row r="12" ht="15.75" customHeight="1">
      <c r="A12" s="1" t="s">
        <v>250</v>
      </c>
      <c r="B12" s="160">
        <f>AVERAGEIFS(12:12,$1:$1,"&gt;="&amp;DATE(YEAR(Current_Month),MONTH(Current_Month)-2,DAY(Current_Month)),$1:$1,"&lt;="&amp;EOMONTH(Current_Month,0))</f>
        <v>59501</v>
      </c>
      <c r="D12" s="76">
        <f t="array" ref="D12">INDEX(INDIRECT("PnL_"&amp;TEXT(D$1,"mmm")&amp;"_"&amp;TEXT(D$1,"yyyy")),MATCH(TRIM($A12),PnL_Accounts,0))</f>
        <v>26000</v>
      </c>
      <c r="E12" s="76">
        <f t="array" ref="E12">INDEX(INDIRECT("PnL_"&amp;TEXT(E$1,"mmm")&amp;"_"&amp;TEXT(E$1,"yyyy")),MATCH(TRIM($A12),PnL_Accounts,0))</f>
        <v>26000</v>
      </c>
      <c r="F12" s="76">
        <f t="array" ref="F12">INDEX(INDIRECT("PnL_"&amp;TEXT(F$1,"mmm")&amp;"_"&amp;TEXT(F$1,"yyyy")),MATCH(TRIM($A12),PnL_Accounts,0))</f>
        <v>26000</v>
      </c>
      <c r="G12" s="76">
        <f t="array" ref="G12">INDEX(INDIRECT("PnL_"&amp;TEXT(G$1,"mmm")&amp;"_"&amp;TEXT(G$1,"yyyy")),MATCH(TRIM($A12),PnL_Accounts,0))</f>
        <v>31200</v>
      </c>
      <c r="H12" s="76">
        <f t="array" ref="H12">INDEX(INDIRECT("PnL_"&amp;TEXT(H$1,"mmm")&amp;"_"&amp;TEXT(H$1,"yyyy")),MATCH(TRIM($A12),PnL_Accounts,0))</f>
        <v>31200</v>
      </c>
      <c r="I12" s="76">
        <f t="array" ref="I12">INDEX(INDIRECT("PnL_"&amp;TEXT(I$1,"mmm")&amp;"_"&amp;TEXT(I$1,"yyyy")),MATCH(TRIM($A12),PnL_Accounts,0))</f>
        <v>31200</v>
      </c>
      <c r="J12" s="76">
        <f t="array" ref="J12">INDEX(INDIRECT("PnL_"&amp;TEXT(J$1,"mmm")&amp;"_"&amp;TEXT(J$1,"yyyy")),MATCH(TRIM($A12),PnL_Accounts,0))</f>
        <v>36200</v>
      </c>
      <c r="K12" s="76">
        <f t="array" ref="K12">INDEX(INDIRECT("PnL_"&amp;TEXT(K$1,"mmm")&amp;"_"&amp;TEXT(K$1,"yyyy")),MATCH(TRIM($A12),PnL_Accounts,0))</f>
        <v>36200</v>
      </c>
      <c r="L12" s="76">
        <f t="array" ref="L12">INDEX(INDIRECT("PnL_"&amp;TEXT(L$1,"mmm")&amp;"_"&amp;TEXT(L$1,"yyyy")),MATCH(TRIM($A12),PnL_Accounts,0))</f>
        <v>41100</v>
      </c>
      <c r="M12" s="76">
        <f t="array" ref="M12">INDEX(INDIRECT("PnL_"&amp;TEXT(M$1,"mmm")&amp;"_"&amp;TEXT(M$1,"yyyy")),MATCH(TRIM($A12),PnL_Accounts,0))</f>
        <v>41100</v>
      </c>
      <c r="N12" s="76">
        <f t="array" ref="N12">INDEX(INDIRECT("PnL_"&amp;TEXT(N$1,"mmm")&amp;"_"&amp;TEXT(N$1,"yyyy")),MATCH(TRIM($A12),PnL_Accounts,0))</f>
        <v>41100</v>
      </c>
      <c r="O12" s="76">
        <f t="array" ref="O12">INDEX(INDIRECT("PnL_"&amp;TEXT(O$1,"mmm")&amp;"_"&amp;TEXT(O$1,"yyyy")),MATCH(TRIM($A12),PnL_Accounts,0))</f>
        <v>56300</v>
      </c>
      <c r="P12" s="76">
        <f t="array" ref="P12">INDEX(INDIRECT("PnL_"&amp;TEXT(P$1,"mmm")&amp;"_"&amp;TEXT(P$1,"yyyy")),MATCH(TRIM($A12),PnL_Accounts,0))</f>
        <v>56300</v>
      </c>
      <c r="Q12" s="76">
        <f t="array" ref="Q12">INDEX(INDIRECT("PnL_"&amp;TEXT(Q$1,"mmm")&amp;"_"&amp;TEXT(Q$1,"yyyy")),MATCH(TRIM($A12),PnL_Accounts,0))</f>
        <v>56500</v>
      </c>
      <c r="R12" s="76">
        <f t="array" ref="R12">INDEX(INDIRECT("PnL_"&amp;TEXT(R$1,"mmm")&amp;"_"&amp;TEXT(R$1,"yyyy")),MATCH(TRIM($A12),PnL_Accounts,0))</f>
        <v>56500</v>
      </c>
      <c r="S12" s="76">
        <f t="array" ref="S12">INDEX(INDIRECT("PnL_"&amp;TEXT(S$1,"mmm")&amp;"_"&amp;TEXT(S$1,"yyyy")),MATCH(TRIM($A12),PnL_Accounts,0))</f>
        <v>56500</v>
      </c>
      <c r="T12" s="76">
        <f t="array" ref="T12">INDEX(INDIRECT("PnL_"&amp;TEXT(T$1,"mmm")&amp;"_"&amp;TEXT(T$1,"yyyy")),MATCH(TRIM($A12),PnL_Accounts,0))</f>
        <v>59501</v>
      </c>
      <c r="U12" s="76">
        <f t="array" ref="U12">INDEX(INDIRECT("PnL_"&amp;TEXT(U$1,"mmm")&amp;"_"&amp;TEXT(U$1,"yyyy")),MATCH(TRIM($A12),PnL_Accounts,0))</f>
        <v>59501</v>
      </c>
      <c r="V12" s="76">
        <f t="array" ref="V12">INDEX(INDIRECT("PnL_"&amp;TEXT(V$1,"mmm")&amp;"_"&amp;TEXT(V$1,"yyyy")),MATCH(TRIM($A12),PnL_Accounts,0))</f>
        <v>59501</v>
      </c>
      <c r="W12" s="76">
        <f t="array" ref="W12">INDEX(INDIRECT("PnL_"&amp;TEXT(W$1,"mmm")&amp;"_"&amp;TEXT(W$1,"yyyy")),MATCH(TRIM($A12),PnL_Accounts,0))</f>
        <v>59501</v>
      </c>
      <c r="X12" s="76">
        <f t="array" ref="X12">INDEX(INDIRECT("PnL_"&amp;TEXT(X$1,"mmm")&amp;"_"&amp;TEXT(X$1,"yyyy")),MATCH(TRIM($A12),PnL_Accounts,0))</f>
        <v>59501</v>
      </c>
      <c r="Y12" s="76">
        <f t="array" ref="Y12">INDEX(INDIRECT("PnL_"&amp;TEXT(Y$1,"mmm")&amp;"_"&amp;TEXT(Y$1,"yyyy")),MATCH(TRIM($A12),PnL_Accounts,0))</f>
        <v>59501</v>
      </c>
      <c r="Z12" s="76">
        <f t="array" ref="Z12">INDEX(INDIRECT("PnL_"&amp;TEXT(Z$1,"mmm")&amp;"_"&amp;TEXT(Z$1,"yyyy")),MATCH(TRIM($A12),PnL_Accounts,0))</f>
        <v>59501</v>
      </c>
      <c r="AA12" s="76">
        <f t="array" ref="AA12">INDEX(INDIRECT("PnL_"&amp;TEXT(AA$1,"mmm")&amp;"_"&amp;TEXT(AA$1,"yyyy")),MATCH(TRIM($A12),PnL_Accounts,0))</f>
        <v>59501</v>
      </c>
      <c r="AB12" s="76">
        <f t="array" ref="AB12">INDEX(INDIRECT("PnL_"&amp;TEXT(AB$1,"mmm")&amp;"_"&amp;TEXT(AB$1,"yyyy")),MATCH(TRIM($A12),PnL_Accounts,0))</f>
        <v>59501</v>
      </c>
      <c r="AC12" s="76">
        <f t="array" ref="AC12">INDEX(INDIRECT("PnL_"&amp;TEXT(AC$1,"mmm")&amp;"_"&amp;TEXT(AC$1,"yyyy")),MATCH(TRIM($A12),PnL_Accounts,0))</f>
        <v>59501</v>
      </c>
      <c r="AD12" s="76">
        <f t="array" ref="AD12">INDEX(INDIRECT("PnL_"&amp;TEXT(AD$1,"mmm")&amp;"_"&amp;TEXT(AD$1,"yyyy")),MATCH(TRIM($A12),PnL_Accounts,0))</f>
        <v>59501</v>
      </c>
      <c r="AE12" s="76">
        <f t="array" ref="AE12">INDEX(INDIRECT("PnL_"&amp;TEXT(AE$1,"mmm")&amp;"_"&amp;TEXT(AE$1,"yyyy")),MATCH(TRIM($A12),PnL_Accounts,0))</f>
        <v>59501</v>
      </c>
      <c r="AF12" s="39">
        <f t="array" ref="AF12">INDEX(Hiring_Plan_Salaries_Support_Worst_Case,MATCH(AF$1,Hiring_Plan_Months_Worst_Case,0))</f>
        <v>45375</v>
      </c>
      <c r="AG12" s="39">
        <f t="array" ref="AG12">INDEX(Hiring_Plan_Salaries_Support_Worst_Case,MATCH(AG$1,Hiring_Plan_Months_Worst_Case,0))</f>
        <v>45375</v>
      </c>
      <c r="AH12" s="39">
        <f t="array" ref="AH12">INDEX(Hiring_Plan_Salaries_Support_Worst_Case,MATCH(AH$1,Hiring_Plan_Months_Worst_Case,0))</f>
        <v>45375</v>
      </c>
      <c r="AI12" s="39">
        <f t="array" ref="AI12">INDEX(Hiring_Plan_Salaries_Support_Worst_Case,MATCH(AI$1,Hiring_Plan_Months_Worst_Case,0))</f>
        <v>45375</v>
      </c>
      <c r="AJ12" s="39">
        <f t="array" ref="AJ12">INDEX(Hiring_Plan_Salaries_Support_Worst_Case,MATCH(AJ$1,Hiring_Plan_Months_Worst_Case,0))</f>
        <v>45375</v>
      </c>
      <c r="AK12" s="39">
        <f t="array" ref="AK12">INDEX(Hiring_Plan_Salaries_Support_Worst_Case,MATCH(AK$1,Hiring_Plan_Months_Worst_Case,0))</f>
        <v>45375</v>
      </c>
      <c r="AL12" s="39">
        <f t="array" ref="AL12">INDEX(Hiring_Plan_Salaries_Support_Worst_Case,MATCH(AL$1,Hiring_Plan_Months_Worst_Case,0))</f>
        <v>45375</v>
      </c>
      <c r="AM12" s="39">
        <f t="array" ref="AM12">INDEX(Hiring_Plan_Salaries_Support_Worst_Case,MATCH(AM$1,Hiring_Plan_Months_Worst_Case,0))</f>
        <v>45375</v>
      </c>
      <c r="AN12" s="39">
        <f t="array" ref="AN12">INDEX(Hiring_Plan_Salaries_Support_Worst_Case,MATCH(AN$1,Hiring_Plan_Months_Worst_Case,0))</f>
        <v>45375</v>
      </c>
      <c r="AO12" s="39">
        <f t="array" ref="AO12">INDEX(Hiring_Plan_Salaries_Support_Worst_Case,MATCH(AO$1,Hiring_Plan_Months_Worst_Case,0))</f>
        <v>45375</v>
      </c>
      <c r="AP12" s="39">
        <f t="array" ref="AP12">INDEX(Hiring_Plan_Salaries_Support_Worst_Case,MATCH(AP$1,Hiring_Plan_Months_Worst_Case,0))</f>
        <v>45375</v>
      </c>
      <c r="AQ12" s="39">
        <f t="array" ref="AQ12">INDEX(Hiring_Plan_Salaries_Support_Worst_Case,MATCH(AQ$1,Hiring_Plan_Months_Worst_Case,0))</f>
        <v>45375</v>
      </c>
      <c r="AR12" s="39">
        <f t="array" ref="AR12">INDEX(Hiring_Plan_Salaries_Support_Worst_Case,MATCH(AR$1,Hiring_Plan_Months_Worst_Case,0))</f>
        <v>45375</v>
      </c>
      <c r="AS12" s="39">
        <f t="array" ref="AS12">INDEX(Hiring_Plan_Salaries_Support_Worst_Case,MATCH(AS$1,Hiring_Plan_Months_Worst_Case,0))</f>
        <v>45375</v>
      </c>
      <c r="AT12" s="39">
        <f t="array" ref="AT12">INDEX(Hiring_Plan_Salaries_Support_Worst_Case,MATCH(AT$1,Hiring_Plan_Months_Worst_Case,0))</f>
        <v>45375</v>
      </c>
      <c r="AU12" s="39">
        <f t="array" ref="AU12">INDEX(Hiring_Plan_Salaries_Support_Worst_Case,MATCH(AU$1,Hiring_Plan_Months_Worst_Case,0))</f>
        <v>45375</v>
      </c>
      <c r="AV12" s="39">
        <f t="array" ref="AV12">INDEX(Hiring_Plan_Salaries_Support_Worst_Case,MATCH(AV$1,Hiring_Plan_Months_Worst_Case,0))</f>
        <v>45375</v>
      </c>
      <c r="AW12" s="39">
        <f t="array" ref="AW12">INDEX(Hiring_Plan_Salaries_Support_Worst_Case,MATCH(AW$1,Hiring_Plan_Months_Worst_Case,0))</f>
        <v>45375</v>
      </c>
      <c r="AX12" s="39">
        <f t="array" ref="AX12">INDEX(Hiring_Plan_Salaries_Support_Worst_Case,MATCH(AX$1,Hiring_Plan_Months_Worst_Case,0))</f>
        <v>45375</v>
      </c>
      <c r="AY12" s="39">
        <f t="array" ref="AY12">INDEX(Hiring_Plan_Salaries_Support_Worst_Case,MATCH(AY$1,Hiring_Plan_Months_Worst_Case,0))</f>
        <v>45375</v>
      </c>
      <c r="AZ12" s="39">
        <f t="array" ref="AZ12">INDEX(Hiring_Plan_Salaries_Support_Worst_Case,MATCH(AZ$1,Hiring_Plan_Months_Worst_Case,0))</f>
        <v>45375</v>
      </c>
      <c r="BA12" s="39">
        <f t="array" ref="BA12">INDEX(Hiring_Plan_Salaries_Support_Worst_Case,MATCH(BA$1,Hiring_Plan_Months_Worst_Case,0))</f>
        <v>45375</v>
      </c>
      <c r="BB12" s="39">
        <f t="array" ref="BB12">INDEX(Hiring_Plan_Salaries_Support_Worst_Case,MATCH(BB$1,Hiring_Plan_Months_Worst_Case,0))</f>
        <v>45375</v>
      </c>
      <c r="BC12" s="39">
        <f t="array" ref="BC12">INDEX(Hiring_Plan_Salaries_Support_Worst_Case,MATCH(BC$1,Hiring_Plan_Months_Worst_Case,0))</f>
        <v>45375</v>
      </c>
      <c r="BD12" s="39">
        <f t="array" ref="BD12">INDEX(Hiring_Plan_Salaries_Support_Worst_Case,MATCH(BD$1,Hiring_Plan_Months_Worst_Case,0))</f>
        <v>45375</v>
      </c>
      <c r="BE12" s="39">
        <f t="array" ref="BE12">INDEX(Hiring_Plan_Salaries_Support_Worst_Case,MATCH(BE$1,Hiring_Plan_Months_Worst_Case,0))</f>
        <v>45375</v>
      </c>
      <c r="BF12" s="39">
        <f t="array" ref="BF12">INDEX(Hiring_Plan_Salaries_Support_Worst_Case,MATCH(BF$1,Hiring_Plan_Months_Worst_Case,0))</f>
        <v>45375</v>
      </c>
      <c r="BG12" s="39">
        <f t="array" ref="BG12">INDEX(Hiring_Plan_Salaries_Support_Worst_Case,MATCH(BG$1,Hiring_Plan_Months_Worst_Case,0))</f>
        <v>45375</v>
      </c>
      <c r="BH12" s="39">
        <f t="array" ref="BH12">INDEX(Hiring_Plan_Salaries_Support_Worst_Case,MATCH(BH$1,Hiring_Plan_Months_Worst_Case,0))</f>
        <v>45375</v>
      </c>
      <c r="BI12" s="39">
        <f t="array" ref="BI12">INDEX(Hiring_Plan_Salaries_Support_Worst_Case,MATCH(BI$1,Hiring_Plan_Months_Worst_Case,0))</f>
        <v>45375</v>
      </c>
      <c r="BJ12" s="39">
        <f t="array" ref="BJ12">INDEX(Hiring_Plan_Salaries_Support_Worst_Case,MATCH(BJ$1,Hiring_Plan_Months_Worst_Case,0))</f>
        <v>45375</v>
      </c>
      <c r="BK12" s="39">
        <f t="array" ref="BK12">INDEX(Hiring_Plan_Salaries_Support_Worst_Case,MATCH(BK$1,Hiring_Plan_Months_Worst_Case,0))</f>
        <v>45375</v>
      </c>
      <c r="BL12" s="39">
        <f t="array" ref="BL12">INDEX(Hiring_Plan_Salaries_Support_Worst_Case,MATCH(BL$1,Hiring_Plan_Months_Worst_Case,0))</f>
        <v>45375</v>
      </c>
      <c r="BM12" s="39">
        <f t="array" ref="BM12">INDEX(Hiring_Plan_Salaries_Support_Worst_Case,MATCH(BM$1,Hiring_Plan_Months_Worst_Case,0))</f>
        <v>45375</v>
      </c>
      <c r="BN12" s="39">
        <f t="array" ref="BN12">INDEX(Hiring_Plan_Salaries_Support_Worst_Case,MATCH(BN$1,Hiring_Plan_Months_Worst_Case,0))</f>
        <v>45375</v>
      </c>
      <c r="BO12" s="39">
        <f t="array" ref="BO12">INDEX(Hiring_Plan_Salaries_Support_Worst_Case,MATCH(BO$1,Hiring_Plan_Months_Worst_Case,0))</f>
        <v>45375</v>
      </c>
      <c r="BP12" s="39">
        <f t="array" ref="BP12">INDEX(Hiring_Plan_Salaries_Support_Worst_Case,MATCH(BP$1,Hiring_Plan_Months_Worst_Case,0))</f>
        <v>45375</v>
      </c>
      <c r="BQ12" s="39">
        <f t="array" ref="BQ12">INDEX(Hiring_Plan_Salaries_Support_Worst_Case,MATCH(BQ$1,Hiring_Plan_Months_Worst_Case,0))</f>
        <v>45375</v>
      </c>
      <c r="BR12" s="39">
        <f t="array" ref="BR12">INDEX(Hiring_Plan_Salaries_Support_Worst_Case,MATCH(BR$1,Hiring_Plan_Months_Worst_Case,0))</f>
        <v>45375</v>
      </c>
      <c r="BS12" s="39">
        <f t="array" ref="BS12">INDEX(Hiring_Plan_Salaries_Support_Worst_Case,MATCH(BS$1,Hiring_Plan_Months_Worst_Case,0))</f>
        <v>45375</v>
      </c>
      <c r="BT12" s="39">
        <f t="array" ref="BT12">INDEX(Hiring_Plan_Salaries_Support_Worst_Case,MATCH(BT$1,Hiring_Plan_Months_Worst_Case,0))</f>
        <v>45375</v>
      </c>
      <c r="BU12" s="39">
        <f t="array" ref="BU12">INDEX(Hiring_Plan_Salaries_Support_Worst_Case,MATCH(BU$1,Hiring_Plan_Months_Worst_Case,0))</f>
        <v>45375</v>
      </c>
      <c r="BV12" s="39">
        <f t="array" ref="BV12">INDEX(Hiring_Plan_Salaries_Support_Worst_Case,MATCH(BV$1,Hiring_Plan_Months_Worst_Case,0))</f>
        <v>45375</v>
      </c>
      <c r="BW12" s="39">
        <f t="array" ref="BW12">INDEX(Hiring_Plan_Salaries_Support_Worst_Case,MATCH(BW$1,Hiring_Plan_Months_Worst_Case,0))</f>
        <v>45375</v>
      </c>
    </row>
    <row r="13" ht="15.75" customHeight="1">
      <c r="A13" s="21" t="s">
        <v>251</v>
      </c>
      <c r="B13" s="163"/>
      <c r="C13" s="21"/>
      <c r="D13" s="157">
        <f t="shared" ref="D13:BW13" si="3">SUM(D9:D12)</f>
        <v>29325</v>
      </c>
      <c r="E13" s="157">
        <f t="shared" si="3"/>
        <v>29325</v>
      </c>
      <c r="F13" s="157">
        <f t="shared" si="3"/>
        <v>29325</v>
      </c>
      <c r="G13" s="157">
        <f t="shared" si="3"/>
        <v>35190</v>
      </c>
      <c r="H13" s="157">
        <f t="shared" si="3"/>
        <v>35190</v>
      </c>
      <c r="I13" s="157">
        <f t="shared" si="3"/>
        <v>35190</v>
      </c>
      <c r="J13" s="157">
        <f t="shared" si="3"/>
        <v>40837</v>
      </c>
      <c r="K13" s="157">
        <f t="shared" si="3"/>
        <v>40837</v>
      </c>
      <c r="L13" s="157">
        <f t="shared" si="3"/>
        <v>46375</v>
      </c>
      <c r="M13" s="157">
        <f t="shared" si="3"/>
        <v>46375</v>
      </c>
      <c r="N13" s="157">
        <f t="shared" si="3"/>
        <v>46375</v>
      </c>
      <c r="O13" s="157">
        <f t="shared" si="3"/>
        <v>63140</v>
      </c>
      <c r="P13" s="157">
        <f t="shared" si="3"/>
        <v>63140</v>
      </c>
      <c r="Q13" s="157">
        <f t="shared" si="3"/>
        <v>63340</v>
      </c>
      <c r="R13" s="157">
        <f t="shared" si="3"/>
        <v>63340</v>
      </c>
      <c r="S13" s="157">
        <f t="shared" si="3"/>
        <v>64340</v>
      </c>
      <c r="T13" s="157">
        <f t="shared" si="3"/>
        <v>68041</v>
      </c>
      <c r="U13" s="157">
        <f t="shared" si="3"/>
        <v>68041</v>
      </c>
      <c r="V13" s="157">
        <f t="shared" si="3"/>
        <v>68041</v>
      </c>
      <c r="W13" s="157">
        <f t="shared" si="3"/>
        <v>68041</v>
      </c>
      <c r="X13" s="157">
        <f t="shared" si="3"/>
        <v>68041</v>
      </c>
      <c r="Y13" s="157">
        <f t="shared" si="3"/>
        <v>68041</v>
      </c>
      <c r="Z13" s="157">
        <f t="shared" si="3"/>
        <v>68041</v>
      </c>
      <c r="AA13" s="157">
        <f t="shared" si="3"/>
        <v>68041</v>
      </c>
      <c r="AB13" s="157">
        <f t="shared" si="3"/>
        <v>68041</v>
      </c>
      <c r="AC13" s="157">
        <f t="shared" si="3"/>
        <v>68041</v>
      </c>
      <c r="AD13" s="157">
        <f t="shared" si="3"/>
        <v>68041</v>
      </c>
      <c r="AE13" s="157">
        <f t="shared" si="3"/>
        <v>68041</v>
      </c>
      <c r="AF13" s="157">
        <f t="shared" si="3"/>
        <v>54773.75</v>
      </c>
      <c r="AG13" s="157">
        <f t="shared" si="3"/>
        <v>54773.75</v>
      </c>
      <c r="AH13" s="157">
        <f t="shared" si="3"/>
        <v>54773.75</v>
      </c>
      <c r="AI13" s="157">
        <f t="shared" si="3"/>
        <v>54773.75</v>
      </c>
      <c r="AJ13" s="157">
        <f t="shared" si="3"/>
        <v>54773.75</v>
      </c>
      <c r="AK13" s="157">
        <f t="shared" si="3"/>
        <v>54773.75</v>
      </c>
      <c r="AL13" s="157">
        <f t="shared" si="3"/>
        <v>54773.75</v>
      </c>
      <c r="AM13" s="157">
        <f t="shared" si="3"/>
        <v>54773.75</v>
      </c>
      <c r="AN13" s="157">
        <f t="shared" si="3"/>
        <v>54773.75</v>
      </c>
      <c r="AO13" s="157">
        <f t="shared" si="3"/>
        <v>54773.75</v>
      </c>
      <c r="AP13" s="157">
        <f t="shared" si="3"/>
        <v>54773.75</v>
      </c>
      <c r="AQ13" s="157">
        <f t="shared" si="3"/>
        <v>54773.75</v>
      </c>
      <c r="AR13" s="157">
        <f t="shared" si="3"/>
        <v>54773.75</v>
      </c>
      <c r="AS13" s="157">
        <f t="shared" si="3"/>
        <v>54773.75</v>
      </c>
      <c r="AT13" s="157">
        <f t="shared" si="3"/>
        <v>54773.75</v>
      </c>
      <c r="AU13" s="157">
        <f t="shared" si="3"/>
        <v>54773.75</v>
      </c>
      <c r="AV13" s="157">
        <f t="shared" si="3"/>
        <v>54773.75</v>
      </c>
      <c r="AW13" s="157">
        <f t="shared" si="3"/>
        <v>54773.75</v>
      </c>
      <c r="AX13" s="157">
        <f t="shared" si="3"/>
        <v>54773.75</v>
      </c>
      <c r="AY13" s="157">
        <f t="shared" si="3"/>
        <v>54773.75</v>
      </c>
      <c r="AZ13" s="157">
        <f t="shared" si="3"/>
        <v>54773.75</v>
      </c>
      <c r="BA13" s="157">
        <f t="shared" si="3"/>
        <v>54773.75</v>
      </c>
      <c r="BB13" s="157">
        <f t="shared" si="3"/>
        <v>54773.75</v>
      </c>
      <c r="BC13" s="157">
        <f t="shared" si="3"/>
        <v>54773.75</v>
      </c>
      <c r="BD13" s="157">
        <f t="shared" si="3"/>
        <v>54773.75</v>
      </c>
      <c r="BE13" s="157">
        <f t="shared" si="3"/>
        <v>54773.75</v>
      </c>
      <c r="BF13" s="157">
        <f t="shared" si="3"/>
        <v>54773.75</v>
      </c>
      <c r="BG13" s="157">
        <f t="shared" si="3"/>
        <v>54773.75</v>
      </c>
      <c r="BH13" s="157">
        <f t="shared" si="3"/>
        <v>54773.75</v>
      </c>
      <c r="BI13" s="157">
        <f t="shared" si="3"/>
        <v>54773.75</v>
      </c>
      <c r="BJ13" s="157">
        <f t="shared" si="3"/>
        <v>54773.75</v>
      </c>
      <c r="BK13" s="157">
        <f t="shared" si="3"/>
        <v>54773.75</v>
      </c>
      <c r="BL13" s="157">
        <f t="shared" si="3"/>
        <v>54773.75</v>
      </c>
      <c r="BM13" s="157">
        <f t="shared" si="3"/>
        <v>54773.75</v>
      </c>
      <c r="BN13" s="157">
        <f t="shared" si="3"/>
        <v>54773.75</v>
      </c>
      <c r="BO13" s="157">
        <f t="shared" si="3"/>
        <v>54773.75</v>
      </c>
      <c r="BP13" s="157">
        <f t="shared" si="3"/>
        <v>54773.75</v>
      </c>
      <c r="BQ13" s="157">
        <f t="shared" si="3"/>
        <v>54773.75</v>
      </c>
      <c r="BR13" s="157">
        <f t="shared" si="3"/>
        <v>54773.75</v>
      </c>
      <c r="BS13" s="157">
        <f t="shared" si="3"/>
        <v>54773.75</v>
      </c>
      <c r="BT13" s="157">
        <f t="shared" si="3"/>
        <v>54773.75</v>
      </c>
      <c r="BU13" s="157">
        <f t="shared" si="3"/>
        <v>54773.75</v>
      </c>
      <c r="BV13" s="157">
        <f t="shared" si="3"/>
        <v>54773.75</v>
      </c>
      <c r="BW13" s="157">
        <f t="shared" si="3"/>
        <v>54773.75</v>
      </c>
    </row>
    <row r="14" ht="15.75" customHeight="1">
      <c r="A14" s="1" t="s">
        <v>252</v>
      </c>
      <c r="B14" s="164">
        <f>AVERAGEIFS(14:14,$1:$1,"&gt;="&amp;DATE(YEAR(Current_Month),MONTH(Current_Month)-2,DAY(Current_Month)),$1:$1,"&lt;="&amp;EOMONTH(Current_Month,0))/AVERAGEIFS(Oper_Model_Revenue,$1:$1,"&gt;="&amp;DATE(YEAR(Current_Month),MONTH(Current_Month)-2,DAY(Current_Month)),$1:$1,"&lt;="&amp;EOMONTH(Current_Month,0))</f>
        <v>0.009057449728</v>
      </c>
      <c r="D14" s="76">
        <f t="array" ref="D14">INDEX(INDIRECT("PnL_"&amp;TEXT(D$1,"mmm")&amp;"_"&amp;TEXT(D$1,"yyyy")),MATCH(TRIM($A14),PnL_Accounts,0))</f>
        <v>4958</v>
      </c>
      <c r="E14" s="76">
        <f t="array" ref="E14">INDEX(INDIRECT("PnL_"&amp;TEXT(E$1,"mmm")&amp;"_"&amp;TEXT(E$1,"yyyy")),MATCH(TRIM($A14),PnL_Accounts,0))</f>
        <v>5068</v>
      </c>
      <c r="F14" s="76">
        <f t="array" ref="F14">INDEX(INDIRECT("PnL_"&amp;TEXT(F$1,"mmm")&amp;"_"&amp;TEXT(F$1,"yyyy")),MATCH(TRIM($A14),PnL_Accounts,0))</f>
        <v>5152</v>
      </c>
      <c r="G14" s="76">
        <f t="array" ref="G14">INDEX(INDIRECT("PnL_"&amp;TEXT(G$1,"mmm")&amp;"_"&amp;TEXT(G$1,"yyyy")),MATCH(TRIM($A14),PnL_Accounts,0))</f>
        <v>5195</v>
      </c>
      <c r="H14" s="76">
        <f t="array" ref="H14">INDEX(INDIRECT("PnL_"&amp;TEXT(H$1,"mmm")&amp;"_"&amp;TEXT(H$1,"yyyy")),MATCH(TRIM($A14),PnL_Accounts,0))</f>
        <v>5317</v>
      </c>
      <c r="I14" s="76">
        <f t="array" ref="I14">INDEX(INDIRECT("PnL_"&amp;TEXT(I$1,"mmm")&amp;"_"&amp;TEXT(I$1,"yyyy")),MATCH(TRIM($A14),PnL_Accounts,0))</f>
        <v>5443</v>
      </c>
      <c r="J14" s="76">
        <f t="array" ref="J14">INDEX(INDIRECT("PnL_"&amp;TEXT(J$1,"mmm")&amp;"_"&amp;TEXT(J$1,"yyyy")),MATCH(TRIM($A14),PnL_Accounts,0))</f>
        <v>5525</v>
      </c>
      <c r="K14" s="76">
        <f t="array" ref="K14">INDEX(INDIRECT("PnL_"&amp;TEXT(K$1,"mmm")&amp;"_"&amp;TEXT(K$1,"yyyy")),MATCH(TRIM($A14),PnL_Accounts,0))</f>
        <v>5460</v>
      </c>
      <c r="L14" s="76">
        <f t="array" ref="L14">INDEX(INDIRECT("PnL_"&amp;TEXT(L$1,"mmm")&amp;"_"&amp;TEXT(L$1,"yyyy")),MATCH(TRIM($A14),PnL_Accounts,0))</f>
        <v>5320</v>
      </c>
      <c r="M14" s="76">
        <f t="array" ref="M14">INDEX(INDIRECT("PnL_"&amp;TEXT(M$1,"mmm")&amp;"_"&amp;TEXT(M$1,"yyyy")),MATCH(TRIM($A14),PnL_Accounts,0))</f>
        <v>5497</v>
      </c>
      <c r="N14" s="76">
        <f t="array" ref="N14">INDEX(INDIRECT("PnL_"&amp;TEXT(N$1,"mmm")&amp;"_"&amp;TEXT(N$1,"yyyy")),MATCH(TRIM($A14),PnL_Accounts,0))</f>
        <v>5687</v>
      </c>
      <c r="O14" s="76">
        <f t="array" ref="O14">INDEX(INDIRECT("PnL_"&amp;TEXT(O$1,"mmm")&amp;"_"&amp;TEXT(O$1,"yyyy")),MATCH(TRIM($A14),PnL_Accounts,0))</f>
        <v>5824</v>
      </c>
      <c r="P14" s="76">
        <f t="array" ref="P14">INDEX(INDIRECT("PnL_"&amp;TEXT(P$1,"mmm")&amp;"_"&amp;TEXT(P$1,"yyyy")),MATCH(TRIM($A14),PnL_Accounts,0))</f>
        <v>4830</v>
      </c>
      <c r="Q14" s="76">
        <f t="array" ref="Q14">INDEX(INDIRECT("PnL_"&amp;TEXT(Q$1,"mmm")&amp;"_"&amp;TEXT(Q$1,"yyyy")),MATCH(TRIM($A14),PnL_Accounts,0))</f>
        <v>6476</v>
      </c>
      <c r="R14" s="76">
        <f t="array" ref="R14">INDEX(INDIRECT("PnL_"&amp;TEXT(R$1,"mmm")&amp;"_"&amp;TEXT(R$1,"yyyy")),MATCH(TRIM($A14),PnL_Accounts,0))</f>
        <v>6788</v>
      </c>
      <c r="S14" s="76">
        <f t="array" ref="S14">INDEX(INDIRECT("PnL_"&amp;TEXT(S$1,"mmm")&amp;"_"&amp;TEXT(S$1,"yyyy")),MATCH(TRIM($A14),PnL_Accounts,0))</f>
        <v>6788</v>
      </c>
      <c r="T14" s="76">
        <f t="array" ref="T14">INDEX(INDIRECT("PnL_"&amp;TEXT(T$1,"mmm")&amp;"_"&amp;TEXT(T$1,"yyyy")),MATCH(TRIM($A14),PnL_Accounts,0))</f>
        <v>7214</v>
      </c>
      <c r="U14" s="76">
        <f t="array" ref="U14">INDEX(INDIRECT("PnL_"&amp;TEXT(U$1,"mmm")&amp;"_"&amp;TEXT(U$1,"yyyy")),MATCH(TRIM($A14),PnL_Accounts,0))</f>
        <v>7433</v>
      </c>
      <c r="V14" s="76">
        <f t="array" ref="V14">INDEX(INDIRECT("PnL_"&amp;TEXT(V$1,"mmm")&amp;"_"&amp;TEXT(V$1,"yyyy")),MATCH(TRIM($A14),PnL_Accounts,0))</f>
        <v>7296</v>
      </c>
      <c r="W14" s="76">
        <f t="array" ref="W14">INDEX(INDIRECT("PnL_"&amp;TEXT(W$1,"mmm")&amp;"_"&amp;TEXT(W$1,"yyyy")),MATCH(TRIM($A14),PnL_Accounts,0))</f>
        <v>7521</v>
      </c>
      <c r="X14" s="76">
        <f t="array" ref="X14">INDEX(INDIRECT("PnL_"&amp;TEXT(X$1,"mmm")&amp;"_"&amp;TEXT(X$1,"yyyy")),MATCH(TRIM($A14),PnL_Accounts,0))</f>
        <v>7521</v>
      </c>
      <c r="Y14" s="76">
        <f t="array" ref="Y14">INDEX(INDIRECT("PnL_"&amp;TEXT(Y$1,"mmm")&amp;"_"&amp;TEXT(Y$1,"yyyy")),MATCH(TRIM($A14),PnL_Accounts,0))</f>
        <v>7521</v>
      </c>
      <c r="Z14" s="76">
        <f t="array" ref="Z14">INDEX(INDIRECT("PnL_"&amp;TEXT(Z$1,"mmm")&amp;"_"&amp;TEXT(Z$1,"yyyy")),MATCH(TRIM($A14),PnL_Accounts,0))</f>
        <v>7599</v>
      </c>
      <c r="AA14" s="76">
        <f t="array" ref="AA14">INDEX(INDIRECT("PnL_"&amp;TEXT(AA$1,"mmm")&amp;"_"&amp;TEXT(AA$1,"yyyy")),MATCH(TRIM($A14),PnL_Accounts,0))</f>
        <v>8976</v>
      </c>
      <c r="AB14" s="76">
        <f t="array" ref="AB14">INDEX(INDIRECT("PnL_"&amp;TEXT(AB$1,"mmm")&amp;"_"&amp;TEXT(AB$1,"yyyy")),MATCH(TRIM($A14),PnL_Accounts,0))</f>
        <v>8976</v>
      </c>
      <c r="AC14" s="76">
        <f t="array" ref="AC14">INDEX(INDIRECT("PnL_"&amp;TEXT(AC$1,"mmm")&amp;"_"&amp;TEXT(AC$1,"yyyy")),MATCH(TRIM($A14),PnL_Accounts,0))</f>
        <v>8155</v>
      </c>
      <c r="AD14" s="76">
        <f t="array" ref="AD14">INDEX(INDIRECT("PnL_"&amp;TEXT(AD$1,"mmm")&amp;"_"&amp;TEXT(AD$1,"yyyy")),MATCH(TRIM($A14),PnL_Accounts,0))</f>
        <v>7155</v>
      </c>
      <c r="AE14" s="76">
        <f t="array" ref="AE14">INDEX(INDIRECT("PnL_"&amp;TEXT(AE$1,"mmm")&amp;"_"&amp;TEXT(AE$1,"yyyy")),MATCH(TRIM($A14),PnL_Accounts,0))</f>
        <v>6974</v>
      </c>
      <c r="AF14" s="76">
        <f t="shared" ref="AF14:BW14" si="4">$B14*AF$5</f>
        <v>6805.32544</v>
      </c>
      <c r="AG14" s="76">
        <f t="shared" si="4"/>
        <v>6514.710117</v>
      </c>
      <c r="AH14" s="76">
        <f t="shared" si="4"/>
        <v>6330.939202</v>
      </c>
      <c r="AI14" s="76">
        <f t="shared" si="4"/>
        <v>6303.163541</v>
      </c>
      <c r="AJ14" s="76">
        <f t="shared" si="4"/>
        <v>6351.753006</v>
      </c>
      <c r="AK14" s="76">
        <f t="shared" si="4"/>
        <v>6413.847889</v>
      </c>
      <c r="AL14" s="76">
        <f t="shared" si="4"/>
        <v>6469.408466</v>
      </c>
      <c r="AM14" s="76">
        <f t="shared" si="4"/>
        <v>6532.532959</v>
      </c>
      <c r="AN14" s="76">
        <f t="shared" si="4"/>
        <v>6592.709548</v>
      </c>
      <c r="AO14" s="76">
        <f t="shared" si="4"/>
        <v>6661.229855</v>
      </c>
      <c r="AP14" s="76">
        <f t="shared" si="4"/>
        <v>6726.267792</v>
      </c>
      <c r="AQ14" s="76">
        <f t="shared" si="4"/>
        <v>6799.387875</v>
      </c>
      <c r="AR14" s="76">
        <f t="shared" si="4"/>
        <v>6880.333979</v>
      </c>
      <c r="AS14" s="76">
        <f t="shared" si="4"/>
        <v>6957.549031</v>
      </c>
      <c r="AT14" s="76">
        <f t="shared" si="4"/>
        <v>7042.423355</v>
      </c>
      <c r="AU14" s="76">
        <f t="shared" si="4"/>
        <v>7123.431645</v>
      </c>
      <c r="AV14" s="76">
        <f t="shared" si="4"/>
        <v>7211.91467</v>
      </c>
      <c r="AW14" s="76">
        <f t="shared" si="4"/>
        <v>7307.676768</v>
      </c>
      <c r="AX14" s="76">
        <f t="shared" si="4"/>
        <v>7399.208127</v>
      </c>
      <c r="AY14" s="76">
        <f t="shared" si="4"/>
        <v>7497.858526</v>
      </c>
      <c r="AZ14" s="76">
        <f t="shared" si="4"/>
        <v>7722.794282</v>
      </c>
      <c r="BA14" s="76">
        <f t="shared" si="4"/>
        <v>7954.478111</v>
      </c>
      <c r="BB14" s="76">
        <f t="shared" si="4"/>
        <v>8193.112454</v>
      </c>
      <c r="BC14" s="76">
        <f t="shared" si="4"/>
        <v>8438.905828</v>
      </c>
      <c r="BD14" s="76">
        <f t="shared" si="4"/>
        <v>8692.073002</v>
      </c>
      <c r="BE14" s="76">
        <f t="shared" si="4"/>
        <v>8952.835193</v>
      </c>
      <c r="BF14" s="76">
        <f t="shared" si="4"/>
        <v>9221.420248</v>
      </c>
      <c r="BG14" s="76">
        <f t="shared" si="4"/>
        <v>9498.062856</v>
      </c>
      <c r="BH14" s="76">
        <f t="shared" si="4"/>
        <v>9783.004741</v>
      </c>
      <c r="BI14" s="76">
        <f t="shared" si="4"/>
        <v>10076.49488</v>
      </c>
      <c r="BJ14" s="76">
        <f t="shared" si="4"/>
        <v>10378.78973</v>
      </c>
      <c r="BK14" s="76">
        <f t="shared" si="4"/>
        <v>10690.15342</v>
      </c>
      <c r="BL14" s="76">
        <f t="shared" si="4"/>
        <v>11010.85802</v>
      </c>
      <c r="BM14" s="76">
        <f t="shared" si="4"/>
        <v>11341.18377</v>
      </c>
      <c r="BN14" s="76">
        <f t="shared" si="4"/>
        <v>11681.41928</v>
      </c>
      <c r="BO14" s="76">
        <f t="shared" si="4"/>
        <v>12031.86186</v>
      </c>
      <c r="BP14" s="76">
        <f t="shared" si="4"/>
        <v>12392.81771</v>
      </c>
      <c r="BQ14" s="76">
        <f t="shared" si="4"/>
        <v>12764.60224</v>
      </c>
      <c r="BR14" s="76">
        <f t="shared" si="4"/>
        <v>13147.54031</v>
      </c>
      <c r="BS14" s="76">
        <f t="shared" si="4"/>
        <v>13541.96652</v>
      </c>
      <c r="BT14" s="76">
        <f t="shared" si="4"/>
        <v>13948.22552</v>
      </c>
      <c r="BU14" s="76">
        <f t="shared" si="4"/>
        <v>14366.67228</v>
      </c>
      <c r="BV14" s="76">
        <f t="shared" si="4"/>
        <v>14797.67245</v>
      </c>
      <c r="BW14" s="76">
        <f t="shared" si="4"/>
        <v>15241.60262</v>
      </c>
    </row>
    <row r="15" ht="15.75" customHeight="1">
      <c r="A15" s="21" t="s">
        <v>253</v>
      </c>
      <c r="B15" s="163"/>
      <c r="C15" s="21"/>
      <c r="D15" s="157">
        <f t="shared" ref="D15:BW15" si="5">SUM(D14,D13)</f>
        <v>34283</v>
      </c>
      <c r="E15" s="157">
        <f t="shared" si="5"/>
        <v>34393</v>
      </c>
      <c r="F15" s="157">
        <f t="shared" si="5"/>
        <v>34477</v>
      </c>
      <c r="G15" s="157">
        <f t="shared" si="5"/>
        <v>40385</v>
      </c>
      <c r="H15" s="157">
        <f t="shared" si="5"/>
        <v>40507</v>
      </c>
      <c r="I15" s="157">
        <f t="shared" si="5"/>
        <v>40633</v>
      </c>
      <c r="J15" s="157">
        <f t="shared" si="5"/>
        <v>46362</v>
      </c>
      <c r="K15" s="157">
        <f t="shared" si="5"/>
        <v>46297</v>
      </c>
      <c r="L15" s="157">
        <f t="shared" si="5"/>
        <v>51695</v>
      </c>
      <c r="M15" s="157">
        <f t="shared" si="5"/>
        <v>51872</v>
      </c>
      <c r="N15" s="157">
        <f t="shared" si="5"/>
        <v>52062</v>
      </c>
      <c r="O15" s="157">
        <f t="shared" si="5"/>
        <v>68964</v>
      </c>
      <c r="P15" s="157">
        <f t="shared" si="5"/>
        <v>67970</v>
      </c>
      <c r="Q15" s="157">
        <f t="shared" si="5"/>
        <v>69816</v>
      </c>
      <c r="R15" s="157">
        <f t="shared" si="5"/>
        <v>70128</v>
      </c>
      <c r="S15" s="157">
        <f t="shared" si="5"/>
        <v>71128</v>
      </c>
      <c r="T15" s="157">
        <f t="shared" si="5"/>
        <v>75255</v>
      </c>
      <c r="U15" s="157">
        <f t="shared" si="5"/>
        <v>75474</v>
      </c>
      <c r="V15" s="157">
        <f t="shared" si="5"/>
        <v>75337</v>
      </c>
      <c r="W15" s="157">
        <f t="shared" si="5"/>
        <v>75562</v>
      </c>
      <c r="X15" s="157">
        <f t="shared" si="5"/>
        <v>75562</v>
      </c>
      <c r="Y15" s="157">
        <f t="shared" si="5"/>
        <v>75562</v>
      </c>
      <c r="Z15" s="157">
        <f t="shared" si="5"/>
        <v>75640</v>
      </c>
      <c r="AA15" s="157">
        <f t="shared" si="5"/>
        <v>77017</v>
      </c>
      <c r="AB15" s="157">
        <f t="shared" si="5"/>
        <v>77017</v>
      </c>
      <c r="AC15" s="157">
        <f t="shared" si="5"/>
        <v>76196</v>
      </c>
      <c r="AD15" s="157">
        <f t="shared" si="5"/>
        <v>75196</v>
      </c>
      <c r="AE15" s="157">
        <f t="shared" si="5"/>
        <v>75015</v>
      </c>
      <c r="AF15" s="157">
        <f t="shared" si="5"/>
        <v>61579.07544</v>
      </c>
      <c r="AG15" s="157">
        <f t="shared" si="5"/>
        <v>61288.46012</v>
      </c>
      <c r="AH15" s="157">
        <f t="shared" si="5"/>
        <v>61104.6892</v>
      </c>
      <c r="AI15" s="157">
        <f t="shared" si="5"/>
        <v>61076.91354</v>
      </c>
      <c r="AJ15" s="157">
        <f t="shared" si="5"/>
        <v>61125.50301</v>
      </c>
      <c r="AK15" s="157">
        <f t="shared" si="5"/>
        <v>61187.59789</v>
      </c>
      <c r="AL15" s="157">
        <f t="shared" si="5"/>
        <v>61243.15847</v>
      </c>
      <c r="AM15" s="157">
        <f t="shared" si="5"/>
        <v>61306.28296</v>
      </c>
      <c r="AN15" s="157">
        <f t="shared" si="5"/>
        <v>61366.45955</v>
      </c>
      <c r="AO15" s="157">
        <f t="shared" si="5"/>
        <v>61434.97985</v>
      </c>
      <c r="AP15" s="157">
        <f t="shared" si="5"/>
        <v>61500.01779</v>
      </c>
      <c r="AQ15" s="157">
        <f t="shared" si="5"/>
        <v>61573.13788</v>
      </c>
      <c r="AR15" s="157">
        <f t="shared" si="5"/>
        <v>61654.08398</v>
      </c>
      <c r="AS15" s="157">
        <f t="shared" si="5"/>
        <v>61731.29903</v>
      </c>
      <c r="AT15" s="157">
        <f t="shared" si="5"/>
        <v>61816.17336</v>
      </c>
      <c r="AU15" s="157">
        <f t="shared" si="5"/>
        <v>61897.18164</v>
      </c>
      <c r="AV15" s="157">
        <f t="shared" si="5"/>
        <v>61985.66467</v>
      </c>
      <c r="AW15" s="157">
        <f t="shared" si="5"/>
        <v>62081.42677</v>
      </c>
      <c r="AX15" s="157">
        <f t="shared" si="5"/>
        <v>62172.95813</v>
      </c>
      <c r="AY15" s="157">
        <f t="shared" si="5"/>
        <v>62271.60853</v>
      </c>
      <c r="AZ15" s="157">
        <f t="shared" si="5"/>
        <v>62496.54428</v>
      </c>
      <c r="BA15" s="157">
        <f t="shared" si="5"/>
        <v>62728.22811</v>
      </c>
      <c r="BB15" s="157">
        <f t="shared" si="5"/>
        <v>62966.86245</v>
      </c>
      <c r="BC15" s="157">
        <f t="shared" si="5"/>
        <v>63212.65583</v>
      </c>
      <c r="BD15" s="157">
        <f t="shared" si="5"/>
        <v>63465.823</v>
      </c>
      <c r="BE15" s="157">
        <f t="shared" si="5"/>
        <v>63726.58519</v>
      </c>
      <c r="BF15" s="157">
        <f t="shared" si="5"/>
        <v>63995.17025</v>
      </c>
      <c r="BG15" s="157">
        <f t="shared" si="5"/>
        <v>64271.81286</v>
      </c>
      <c r="BH15" s="157">
        <f t="shared" si="5"/>
        <v>64556.75474</v>
      </c>
      <c r="BI15" s="157">
        <f t="shared" si="5"/>
        <v>64850.24488</v>
      </c>
      <c r="BJ15" s="157">
        <f t="shared" si="5"/>
        <v>65152.53973</v>
      </c>
      <c r="BK15" s="157">
        <f t="shared" si="5"/>
        <v>65463.90342</v>
      </c>
      <c r="BL15" s="157">
        <f t="shared" si="5"/>
        <v>65784.60802</v>
      </c>
      <c r="BM15" s="157">
        <f t="shared" si="5"/>
        <v>66114.93377</v>
      </c>
      <c r="BN15" s="157">
        <f t="shared" si="5"/>
        <v>66455.16928</v>
      </c>
      <c r="BO15" s="157">
        <f t="shared" si="5"/>
        <v>66805.61186</v>
      </c>
      <c r="BP15" s="157">
        <f t="shared" si="5"/>
        <v>67166.56771</v>
      </c>
      <c r="BQ15" s="157">
        <f t="shared" si="5"/>
        <v>67538.35224</v>
      </c>
      <c r="BR15" s="157">
        <f t="shared" si="5"/>
        <v>67921.29031</v>
      </c>
      <c r="BS15" s="157">
        <f t="shared" si="5"/>
        <v>68315.71652</v>
      </c>
      <c r="BT15" s="157">
        <f t="shared" si="5"/>
        <v>68721.97552</v>
      </c>
      <c r="BU15" s="157">
        <f t="shared" si="5"/>
        <v>69140.42228</v>
      </c>
      <c r="BV15" s="157">
        <f t="shared" si="5"/>
        <v>69571.42245</v>
      </c>
      <c r="BW15" s="157">
        <f t="shared" si="5"/>
        <v>70015.35262</v>
      </c>
    </row>
    <row r="16" ht="15.75" customHeight="1">
      <c r="A16" s="1" t="s">
        <v>254</v>
      </c>
      <c r="B16" s="159"/>
      <c r="D16" s="76" t="str">
        <f t="array" ref="D16">INDEX(INDIRECT("PnL_"&amp;TEXT(D$1,"mmm")&amp;"_"&amp;TEXT(D$1,"yyyy")),MATCH(TRIM($A16),PnL_Accounts,0))</f>
        <v/>
      </c>
      <c r="E16" s="76" t="str">
        <f t="array" ref="E16">INDEX(INDIRECT("PnL_"&amp;TEXT(E$1,"mmm")&amp;"_"&amp;TEXT(E$1,"yyyy")),MATCH(TRIM($A16),PnL_Accounts,0))</f>
        <v/>
      </c>
      <c r="F16" s="76" t="str">
        <f t="array" ref="F16">INDEX(INDIRECT("PnL_"&amp;TEXT(F$1,"mmm")&amp;"_"&amp;TEXT(F$1,"yyyy")),MATCH(TRIM($A16),PnL_Accounts,0))</f>
        <v/>
      </c>
      <c r="G16" s="76" t="str">
        <f t="array" ref="G16">INDEX(INDIRECT("PnL_"&amp;TEXT(G$1,"mmm")&amp;"_"&amp;TEXT(G$1,"yyyy")),MATCH(TRIM($A16),PnL_Accounts,0))</f>
        <v/>
      </c>
      <c r="H16" s="76" t="str">
        <f t="array" ref="H16">INDEX(INDIRECT("PnL_"&amp;TEXT(H$1,"mmm")&amp;"_"&amp;TEXT(H$1,"yyyy")),MATCH(TRIM($A16),PnL_Accounts,0))</f>
        <v/>
      </c>
      <c r="I16" s="76" t="str">
        <f t="array" ref="I16">INDEX(INDIRECT("PnL_"&amp;TEXT(I$1,"mmm")&amp;"_"&amp;TEXT(I$1,"yyyy")),MATCH(TRIM($A16),PnL_Accounts,0))</f>
        <v/>
      </c>
      <c r="J16" s="76" t="str">
        <f t="array" ref="J16">INDEX(INDIRECT("PnL_"&amp;TEXT(J$1,"mmm")&amp;"_"&amp;TEXT(J$1,"yyyy")),MATCH(TRIM($A16),PnL_Accounts,0))</f>
        <v/>
      </c>
      <c r="K16" s="76" t="str">
        <f t="array" ref="K16">INDEX(INDIRECT("PnL_"&amp;TEXT(K$1,"mmm")&amp;"_"&amp;TEXT(K$1,"yyyy")),MATCH(TRIM($A16),PnL_Accounts,0))</f>
        <v/>
      </c>
      <c r="L16" s="76" t="str">
        <f t="array" ref="L16">INDEX(INDIRECT("PnL_"&amp;TEXT(L$1,"mmm")&amp;"_"&amp;TEXT(L$1,"yyyy")),MATCH(TRIM($A16),PnL_Accounts,0))</f>
        <v/>
      </c>
      <c r="M16" s="76" t="str">
        <f t="array" ref="M16">INDEX(INDIRECT("PnL_"&amp;TEXT(M$1,"mmm")&amp;"_"&amp;TEXT(M$1,"yyyy")),MATCH(TRIM($A16),PnL_Accounts,0))</f>
        <v/>
      </c>
      <c r="N16" s="76" t="str">
        <f t="array" ref="N16">INDEX(INDIRECT("PnL_"&amp;TEXT(N$1,"mmm")&amp;"_"&amp;TEXT(N$1,"yyyy")),MATCH(TRIM($A16),PnL_Accounts,0))</f>
        <v/>
      </c>
      <c r="O16" s="76" t="str">
        <f t="array" ref="O16">INDEX(INDIRECT("PnL_"&amp;TEXT(O$1,"mmm")&amp;"_"&amp;TEXT(O$1,"yyyy")),MATCH(TRIM($A16),PnL_Accounts,0))</f>
        <v/>
      </c>
      <c r="P16" s="76" t="str">
        <f t="array" ref="P16">INDEX(INDIRECT("PnL_"&amp;TEXT(P$1,"mmm")&amp;"_"&amp;TEXT(P$1,"yyyy")),MATCH(TRIM($A16),PnL_Accounts,0))</f>
        <v/>
      </c>
      <c r="Q16" s="76" t="str">
        <f t="array" ref="Q16">INDEX(INDIRECT("PnL_"&amp;TEXT(Q$1,"mmm")&amp;"_"&amp;TEXT(Q$1,"yyyy")),MATCH(TRIM($A16),PnL_Accounts,0))</f>
        <v/>
      </c>
      <c r="R16" s="76" t="str">
        <f t="array" ref="R16">INDEX(INDIRECT("PnL_"&amp;TEXT(R$1,"mmm")&amp;"_"&amp;TEXT(R$1,"yyyy")),MATCH(TRIM($A16),PnL_Accounts,0))</f>
        <v/>
      </c>
      <c r="S16" s="76" t="str">
        <f t="array" ref="S16">INDEX(INDIRECT("PnL_"&amp;TEXT(S$1,"mmm")&amp;"_"&amp;TEXT(S$1,"yyyy")),MATCH(TRIM($A16),PnL_Accounts,0))</f>
        <v/>
      </c>
      <c r="T16" s="76" t="str">
        <f t="array" ref="T16">INDEX(INDIRECT("PnL_"&amp;TEXT(T$1,"mmm")&amp;"_"&amp;TEXT(T$1,"yyyy")),MATCH(TRIM($A16),PnL_Accounts,0))</f>
        <v/>
      </c>
      <c r="U16" s="76" t="str">
        <f t="array" ref="U16">INDEX(INDIRECT("PnL_"&amp;TEXT(U$1,"mmm")&amp;"_"&amp;TEXT(U$1,"yyyy")),MATCH(TRIM($A16),PnL_Accounts,0))</f>
        <v/>
      </c>
      <c r="V16" s="76" t="str">
        <f t="array" ref="V16">INDEX(INDIRECT("PnL_"&amp;TEXT(V$1,"mmm")&amp;"_"&amp;TEXT(V$1,"yyyy")),MATCH(TRIM($A16),PnL_Accounts,0))</f>
        <v/>
      </c>
      <c r="W16" s="76" t="str">
        <f t="array" ref="W16">INDEX(INDIRECT("PnL_"&amp;TEXT(W$1,"mmm")&amp;"_"&amp;TEXT(W$1,"yyyy")),MATCH(TRIM($A16),PnL_Accounts,0))</f>
        <v/>
      </c>
      <c r="X16" s="76" t="str">
        <f t="array" ref="X16">INDEX(INDIRECT("PnL_"&amp;TEXT(X$1,"mmm")&amp;"_"&amp;TEXT(X$1,"yyyy")),MATCH(TRIM($A16),PnL_Accounts,0))</f>
        <v/>
      </c>
      <c r="Y16" s="76" t="str">
        <f t="array" ref="Y16">INDEX(INDIRECT("PnL_"&amp;TEXT(Y$1,"mmm")&amp;"_"&amp;TEXT(Y$1,"yyyy")),MATCH(TRIM($A16),PnL_Accounts,0))</f>
        <v/>
      </c>
      <c r="Z16" s="76" t="str">
        <f t="array" ref="Z16">INDEX(INDIRECT("PnL_"&amp;TEXT(Z$1,"mmm")&amp;"_"&amp;TEXT(Z$1,"yyyy")),MATCH(TRIM($A16),PnL_Accounts,0))</f>
        <v/>
      </c>
      <c r="AA16" s="76" t="str">
        <f t="array" ref="AA16">INDEX(INDIRECT("PnL_"&amp;TEXT(AA$1,"mmm")&amp;"_"&amp;TEXT(AA$1,"yyyy")),MATCH(TRIM($A16),PnL_Accounts,0))</f>
        <v/>
      </c>
      <c r="AB16" s="76" t="str">
        <f t="array" ref="AB16">INDEX(INDIRECT("PnL_"&amp;TEXT(AB$1,"mmm")&amp;"_"&amp;TEXT(AB$1,"yyyy")),MATCH(TRIM($A16),PnL_Accounts,0))</f>
        <v/>
      </c>
      <c r="AC16" s="76" t="str">
        <f t="array" ref="AC16">INDEX(INDIRECT("PnL_"&amp;TEXT(AC$1,"mmm")&amp;"_"&amp;TEXT(AC$1,"yyyy")),MATCH(TRIM($A16),PnL_Accounts,0))</f>
        <v/>
      </c>
      <c r="AD16" s="76" t="str">
        <f t="array" ref="AD16">INDEX(INDIRECT("PnL_"&amp;TEXT(AD$1,"mmm")&amp;"_"&amp;TEXT(AD$1,"yyyy")),MATCH(TRIM($A16),PnL_Accounts,0))</f>
        <v/>
      </c>
      <c r="AE16" s="76" t="str">
        <f t="array" ref="AE16">INDEX(INDIRECT("PnL_"&amp;TEXT(AE$1,"mmm")&amp;"_"&amp;TEXT(AE$1,"yyyy")),MATCH(TRIM($A16),PnL_Accounts,0))</f>
        <v/>
      </c>
    </row>
    <row r="17" ht="15.75" customHeight="1">
      <c r="A17" s="1" t="s">
        <v>255</v>
      </c>
      <c r="B17" s="164">
        <f>AVERAGEIFS(17:17,$1:$1,"&gt;="&amp;DATE(YEAR(Current_Month),MONTH(Current_Month)-2,DAY(Current_Month)),$1:$1,"&lt;="&amp;EOMONTH(Current_Month,0))/AVERAGEIFS(Oper_Model_Revenue,$1:$1,"&gt;="&amp;DATE(YEAR(Current_Month),MONTH(Current_Month)-2,DAY(Current_Month)),$1:$1,"&lt;="&amp;EOMONTH(Current_Month,0))</f>
        <v>0.08685096035</v>
      </c>
      <c r="D17" s="76">
        <f t="array" ref="D17">INDEX(INDIRECT("PnL_"&amp;TEXT(D$1,"mmm")&amp;"_"&amp;TEXT(D$1,"yyyy")),MATCH(TRIM($A17),PnL_Accounts,0))</f>
        <v>30517</v>
      </c>
      <c r="E17" s="76">
        <f t="array" ref="E17">INDEX(INDIRECT("PnL_"&amp;TEXT(E$1,"mmm")&amp;"_"&amp;TEXT(E$1,"yyyy")),MATCH(TRIM($A17),PnL_Accounts,0))</f>
        <v>32284</v>
      </c>
      <c r="F17" s="76">
        <f t="array" ref="F17">INDEX(INDIRECT("PnL_"&amp;TEXT(F$1,"mmm")&amp;"_"&amp;TEXT(F$1,"yyyy")),MATCH(TRIM($A17),PnL_Accounts,0))</f>
        <v>35963</v>
      </c>
      <c r="G17" s="76">
        <f t="array" ref="G17">INDEX(INDIRECT("PnL_"&amp;TEXT(G$1,"mmm")&amp;"_"&amp;TEXT(G$1,"yyyy")),MATCH(TRIM($A17),PnL_Accounts,0))</f>
        <v>36287</v>
      </c>
      <c r="H17" s="76">
        <f t="array" ref="H17">INDEX(INDIRECT("PnL_"&amp;TEXT(H$1,"mmm")&amp;"_"&amp;TEXT(H$1,"yyyy")),MATCH(TRIM($A17),PnL_Accounts,0))</f>
        <v>38013</v>
      </c>
      <c r="I17" s="76">
        <f t="array" ref="I17">INDEX(INDIRECT("PnL_"&amp;TEXT(I$1,"mmm")&amp;"_"&amp;TEXT(I$1,"yyyy")),MATCH(TRIM($A17),PnL_Accounts,0))</f>
        <v>38336</v>
      </c>
      <c r="J17" s="76">
        <f t="array" ref="J17">INDEX(INDIRECT("PnL_"&amp;TEXT(J$1,"mmm")&amp;"_"&amp;TEXT(J$1,"yyyy")),MATCH(TRIM($A17),PnL_Accounts,0))</f>
        <v>39177</v>
      </c>
      <c r="K17" s="76">
        <f t="array" ref="K17">INDEX(INDIRECT("PnL_"&amp;TEXT(K$1,"mmm")&amp;"_"&amp;TEXT(K$1,"yyyy")),MATCH(TRIM($A17),PnL_Accounts,0))</f>
        <v>40408</v>
      </c>
      <c r="L17" s="76">
        <f t="array" ref="L17">INDEX(INDIRECT("PnL_"&amp;TEXT(L$1,"mmm")&amp;"_"&amp;TEXT(L$1,"yyyy")),MATCH(TRIM($A17),PnL_Accounts,0))</f>
        <v>38739</v>
      </c>
      <c r="M17" s="76">
        <f t="array" ref="M17">INDEX(INDIRECT("PnL_"&amp;TEXT(M$1,"mmm")&amp;"_"&amp;TEXT(M$1,"yyyy")),MATCH(TRIM($A17),PnL_Accounts,0))</f>
        <v>44005</v>
      </c>
      <c r="N17" s="76">
        <f t="array" ref="N17">INDEX(INDIRECT("PnL_"&amp;TEXT(N$1,"mmm")&amp;"_"&amp;TEXT(N$1,"yyyy")),MATCH(TRIM($A17),PnL_Accounts,0))</f>
        <v>44227</v>
      </c>
      <c r="O17" s="76">
        <f t="array" ref="O17">INDEX(INDIRECT("PnL_"&amp;TEXT(O$1,"mmm")&amp;"_"&amp;TEXT(O$1,"yyyy")),MATCH(TRIM($A17),PnL_Accounts,0))</f>
        <v>44405</v>
      </c>
      <c r="P17" s="76">
        <f t="array" ref="P17">INDEX(INDIRECT("PnL_"&amp;TEXT(P$1,"mmm")&amp;"_"&amp;TEXT(P$1,"yyyy")),MATCH(TRIM($A17),PnL_Accounts,0))</f>
        <v>43894</v>
      </c>
      <c r="Q17" s="76">
        <f t="array" ref="Q17">INDEX(INDIRECT("PnL_"&amp;TEXT(Q$1,"mmm")&amp;"_"&amp;TEXT(Q$1,"yyyy")),MATCH(TRIM($A17),PnL_Accounts,0))</f>
        <v>41517</v>
      </c>
      <c r="R17" s="76">
        <f t="array" ref="R17">INDEX(INDIRECT("PnL_"&amp;TEXT(R$1,"mmm")&amp;"_"&amp;TEXT(R$1,"yyyy")),MATCH(TRIM($A17),PnL_Accounts,0))</f>
        <v>44678</v>
      </c>
      <c r="S17" s="76">
        <f t="array" ref="S17">INDEX(INDIRECT("PnL_"&amp;TEXT(S$1,"mmm")&amp;"_"&amp;TEXT(S$1,"yyyy")),MATCH(TRIM($A17),PnL_Accounts,0))</f>
        <v>44685</v>
      </c>
      <c r="T17" s="76">
        <f t="array" ref="T17">INDEX(INDIRECT("PnL_"&amp;TEXT(T$1,"mmm")&amp;"_"&amp;TEXT(T$1,"yyyy")),MATCH(TRIM($A17),PnL_Accounts,0))</f>
        <v>48061</v>
      </c>
      <c r="U17" s="76">
        <f t="array" ref="U17">INDEX(INDIRECT("PnL_"&amp;TEXT(U$1,"mmm")&amp;"_"&amp;TEXT(U$1,"yyyy")),MATCH(TRIM($A17),PnL_Accounts,0))</f>
        <v>46218</v>
      </c>
      <c r="V17" s="76">
        <f t="array" ref="V17">INDEX(INDIRECT("PnL_"&amp;TEXT(V$1,"mmm")&amp;"_"&amp;TEXT(V$1,"yyyy")),MATCH(TRIM($A17),PnL_Accounts,0))</f>
        <v>47477</v>
      </c>
      <c r="W17" s="76">
        <f t="array" ref="W17">INDEX(INDIRECT("PnL_"&amp;TEXT(W$1,"mmm")&amp;"_"&amp;TEXT(W$1,"yyyy")),MATCH(TRIM($A17),PnL_Accounts,0))</f>
        <v>49233</v>
      </c>
      <c r="X17" s="76">
        <f t="array" ref="X17">INDEX(INDIRECT("PnL_"&amp;TEXT(X$1,"mmm")&amp;"_"&amp;TEXT(X$1,"yyyy")),MATCH(TRIM($A17),PnL_Accounts,0))</f>
        <v>51225</v>
      </c>
      <c r="Y17" s="76">
        <f t="array" ref="Y17">INDEX(INDIRECT("PnL_"&amp;TEXT(Y$1,"mmm")&amp;"_"&amp;TEXT(Y$1,"yyyy")),MATCH(TRIM($A17),PnL_Accounts,0))</f>
        <v>57243</v>
      </c>
      <c r="Z17" s="76">
        <f t="array" ref="Z17">INDEX(INDIRECT("PnL_"&amp;TEXT(Z$1,"mmm")&amp;"_"&amp;TEXT(Z$1,"yyyy")),MATCH(TRIM($A17),PnL_Accounts,0))</f>
        <v>62451</v>
      </c>
      <c r="AA17" s="76">
        <f t="array" ref="AA17">INDEX(INDIRECT("PnL_"&amp;TEXT(AA$1,"mmm")&amp;"_"&amp;TEXT(AA$1,"yyyy")),MATCH(TRIM($A17),PnL_Accounts,0))</f>
        <v>65739</v>
      </c>
      <c r="AB17" s="76">
        <f t="array" ref="AB17">INDEX(INDIRECT("PnL_"&amp;TEXT(AB$1,"mmm")&amp;"_"&amp;TEXT(AB$1,"yyyy")),MATCH(TRIM($A17),PnL_Accounts,0))</f>
        <v>67542</v>
      </c>
      <c r="AC17" s="76">
        <f t="array" ref="AC17">INDEX(INDIRECT("PnL_"&amp;TEXT(AC$1,"mmm")&amp;"_"&amp;TEXT(AC$1,"yyyy")),MATCH(TRIM($A17),PnL_Accounts,0))</f>
        <v>71275</v>
      </c>
      <c r="AD17" s="76">
        <f t="array" ref="AD17">INDEX(INDIRECT("PnL_"&amp;TEXT(AD$1,"mmm")&amp;"_"&amp;TEXT(AD$1,"yyyy")),MATCH(TRIM($A17),PnL_Accounts,0))</f>
        <v>71648</v>
      </c>
      <c r="AE17" s="76">
        <f t="array" ref="AE17">INDEX(INDIRECT("PnL_"&amp;TEXT(AE$1,"mmm")&amp;"_"&amp;TEXT(AE$1,"yyyy")),MATCH(TRIM($A17),PnL_Accounts,0))</f>
        <v>70756</v>
      </c>
      <c r="AF17" s="76">
        <f t="shared" ref="AF17:BW17" si="6">$B17*AF$5</f>
        <v>65255.57058</v>
      </c>
      <c r="AG17" s="76">
        <f t="shared" si="6"/>
        <v>62468.88992</v>
      </c>
      <c r="AH17" s="76">
        <f t="shared" si="6"/>
        <v>60706.72939</v>
      </c>
      <c r="AI17" s="76">
        <f t="shared" si="6"/>
        <v>60440.39142</v>
      </c>
      <c r="AJ17" s="76">
        <f t="shared" si="6"/>
        <v>60906.31083</v>
      </c>
      <c r="AK17" s="76">
        <f t="shared" si="6"/>
        <v>61501.73233</v>
      </c>
      <c r="AL17" s="76">
        <f t="shared" si="6"/>
        <v>62034.49702</v>
      </c>
      <c r="AM17" s="76">
        <f t="shared" si="6"/>
        <v>62639.79133</v>
      </c>
      <c r="AN17" s="76">
        <f t="shared" si="6"/>
        <v>63216.8185</v>
      </c>
      <c r="AO17" s="76">
        <f t="shared" si="6"/>
        <v>63873.85273</v>
      </c>
      <c r="AP17" s="76">
        <f t="shared" si="6"/>
        <v>64497.49486</v>
      </c>
      <c r="AQ17" s="76">
        <f t="shared" si="6"/>
        <v>65198.63587</v>
      </c>
      <c r="AR17" s="76">
        <f t="shared" si="6"/>
        <v>65974.81979</v>
      </c>
      <c r="AS17" s="76">
        <f t="shared" si="6"/>
        <v>66715.22704</v>
      </c>
      <c r="AT17" s="76">
        <f t="shared" si="6"/>
        <v>67529.07827</v>
      </c>
      <c r="AU17" s="76">
        <f t="shared" si="6"/>
        <v>68305.85848</v>
      </c>
      <c r="AV17" s="76">
        <f t="shared" si="6"/>
        <v>69154.31318</v>
      </c>
      <c r="AW17" s="76">
        <f t="shared" si="6"/>
        <v>70072.56615</v>
      </c>
      <c r="AX17" s="76">
        <f t="shared" si="6"/>
        <v>70950.25101</v>
      </c>
      <c r="AY17" s="76">
        <f t="shared" si="6"/>
        <v>71896.19961</v>
      </c>
      <c r="AZ17" s="76">
        <f t="shared" si="6"/>
        <v>74053.0856</v>
      </c>
      <c r="BA17" s="76">
        <f t="shared" si="6"/>
        <v>76274.67816</v>
      </c>
      <c r="BB17" s="76">
        <f t="shared" si="6"/>
        <v>78562.91851</v>
      </c>
      <c r="BC17" s="76">
        <f t="shared" si="6"/>
        <v>80919.80606</v>
      </c>
      <c r="BD17" s="76">
        <f t="shared" si="6"/>
        <v>83347.40025</v>
      </c>
      <c r="BE17" s="76">
        <f t="shared" si="6"/>
        <v>85847.82225</v>
      </c>
      <c r="BF17" s="76">
        <f t="shared" si="6"/>
        <v>88423.25692</v>
      </c>
      <c r="BG17" s="76">
        <f t="shared" si="6"/>
        <v>91075.95463</v>
      </c>
      <c r="BH17" s="76">
        <f t="shared" si="6"/>
        <v>93808.23327</v>
      </c>
      <c r="BI17" s="76">
        <f t="shared" si="6"/>
        <v>96622.48027</v>
      </c>
      <c r="BJ17" s="76">
        <f t="shared" si="6"/>
        <v>99521.15467</v>
      </c>
      <c r="BK17" s="76">
        <f t="shared" si="6"/>
        <v>102506.7893</v>
      </c>
      <c r="BL17" s="76">
        <f t="shared" si="6"/>
        <v>105581.993</v>
      </c>
      <c r="BM17" s="76">
        <f t="shared" si="6"/>
        <v>108749.4528</v>
      </c>
      <c r="BN17" s="76">
        <f t="shared" si="6"/>
        <v>112011.9364</v>
      </c>
      <c r="BO17" s="76">
        <f t="shared" si="6"/>
        <v>115372.2945</v>
      </c>
      <c r="BP17" s="76">
        <f t="shared" si="6"/>
        <v>118833.4633</v>
      </c>
      <c r="BQ17" s="76">
        <f t="shared" si="6"/>
        <v>122398.4672</v>
      </c>
      <c r="BR17" s="76">
        <f t="shared" si="6"/>
        <v>126070.4212</v>
      </c>
      <c r="BS17" s="76">
        <f t="shared" si="6"/>
        <v>129852.5338</v>
      </c>
      <c r="BT17" s="76">
        <f t="shared" si="6"/>
        <v>133748.1099</v>
      </c>
      <c r="BU17" s="76">
        <f t="shared" si="6"/>
        <v>137760.5532</v>
      </c>
      <c r="BV17" s="76">
        <f t="shared" si="6"/>
        <v>141893.3697</v>
      </c>
      <c r="BW17" s="76">
        <f t="shared" si="6"/>
        <v>146150.1708</v>
      </c>
    </row>
    <row r="18" ht="15.75" customHeight="1">
      <c r="A18" s="21" t="s">
        <v>256</v>
      </c>
      <c r="B18" s="163"/>
      <c r="C18" s="21"/>
      <c r="D18" s="157">
        <f t="shared" ref="D18:BW18" si="7">SUM(D16:D17)</f>
        <v>30517</v>
      </c>
      <c r="E18" s="157">
        <f t="shared" si="7"/>
        <v>32284</v>
      </c>
      <c r="F18" s="157">
        <f t="shared" si="7"/>
        <v>35963</v>
      </c>
      <c r="G18" s="157">
        <f t="shared" si="7"/>
        <v>36287</v>
      </c>
      <c r="H18" s="157">
        <f t="shared" si="7"/>
        <v>38013</v>
      </c>
      <c r="I18" s="157">
        <f t="shared" si="7"/>
        <v>38336</v>
      </c>
      <c r="J18" s="157">
        <f t="shared" si="7"/>
        <v>39177</v>
      </c>
      <c r="K18" s="157">
        <f t="shared" si="7"/>
        <v>40408</v>
      </c>
      <c r="L18" s="157">
        <f t="shared" si="7"/>
        <v>38739</v>
      </c>
      <c r="M18" s="157">
        <f t="shared" si="7"/>
        <v>44005</v>
      </c>
      <c r="N18" s="157">
        <f t="shared" si="7"/>
        <v>44227</v>
      </c>
      <c r="O18" s="157">
        <f t="shared" si="7"/>
        <v>44405</v>
      </c>
      <c r="P18" s="157">
        <f t="shared" si="7"/>
        <v>43894</v>
      </c>
      <c r="Q18" s="157">
        <f t="shared" si="7"/>
        <v>41517</v>
      </c>
      <c r="R18" s="157">
        <f t="shared" si="7"/>
        <v>44678</v>
      </c>
      <c r="S18" s="157">
        <f t="shared" si="7"/>
        <v>44685</v>
      </c>
      <c r="T18" s="157">
        <f t="shared" si="7"/>
        <v>48061</v>
      </c>
      <c r="U18" s="157">
        <f t="shared" si="7"/>
        <v>46218</v>
      </c>
      <c r="V18" s="157">
        <f t="shared" si="7"/>
        <v>47477</v>
      </c>
      <c r="W18" s="157">
        <f t="shared" si="7"/>
        <v>49233</v>
      </c>
      <c r="X18" s="157">
        <f t="shared" si="7"/>
        <v>51225</v>
      </c>
      <c r="Y18" s="157">
        <f t="shared" si="7"/>
        <v>57243</v>
      </c>
      <c r="Z18" s="157">
        <f t="shared" si="7"/>
        <v>62451</v>
      </c>
      <c r="AA18" s="157">
        <f t="shared" si="7"/>
        <v>65739</v>
      </c>
      <c r="AB18" s="157">
        <f t="shared" si="7"/>
        <v>67542</v>
      </c>
      <c r="AC18" s="157">
        <f t="shared" si="7"/>
        <v>71275</v>
      </c>
      <c r="AD18" s="157">
        <f t="shared" si="7"/>
        <v>71648</v>
      </c>
      <c r="AE18" s="157">
        <f t="shared" si="7"/>
        <v>70756</v>
      </c>
      <c r="AF18" s="157">
        <f t="shared" si="7"/>
        <v>65255.57058</v>
      </c>
      <c r="AG18" s="157">
        <f t="shared" si="7"/>
        <v>62468.88992</v>
      </c>
      <c r="AH18" s="157">
        <f t="shared" si="7"/>
        <v>60706.72939</v>
      </c>
      <c r="AI18" s="157">
        <f t="shared" si="7"/>
        <v>60440.39142</v>
      </c>
      <c r="AJ18" s="157">
        <f t="shared" si="7"/>
        <v>60906.31083</v>
      </c>
      <c r="AK18" s="157">
        <f t="shared" si="7"/>
        <v>61501.73233</v>
      </c>
      <c r="AL18" s="157">
        <f t="shared" si="7"/>
        <v>62034.49702</v>
      </c>
      <c r="AM18" s="157">
        <f t="shared" si="7"/>
        <v>62639.79133</v>
      </c>
      <c r="AN18" s="157">
        <f t="shared" si="7"/>
        <v>63216.8185</v>
      </c>
      <c r="AO18" s="157">
        <f t="shared" si="7"/>
        <v>63873.85273</v>
      </c>
      <c r="AP18" s="157">
        <f t="shared" si="7"/>
        <v>64497.49486</v>
      </c>
      <c r="AQ18" s="157">
        <f t="shared" si="7"/>
        <v>65198.63587</v>
      </c>
      <c r="AR18" s="157">
        <f t="shared" si="7"/>
        <v>65974.81979</v>
      </c>
      <c r="AS18" s="157">
        <f t="shared" si="7"/>
        <v>66715.22704</v>
      </c>
      <c r="AT18" s="157">
        <f t="shared" si="7"/>
        <v>67529.07827</v>
      </c>
      <c r="AU18" s="157">
        <f t="shared" si="7"/>
        <v>68305.85848</v>
      </c>
      <c r="AV18" s="157">
        <f t="shared" si="7"/>
        <v>69154.31318</v>
      </c>
      <c r="AW18" s="157">
        <f t="shared" si="7"/>
        <v>70072.56615</v>
      </c>
      <c r="AX18" s="157">
        <f t="shared" si="7"/>
        <v>70950.25101</v>
      </c>
      <c r="AY18" s="157">
        <f t="shared" si="7"/>
        <v>71896.19961</v>
      </c>
      <c r="AZ18" s="157">
        <f t="shared" si="7"/>
        <v>74053.0856</v>
      </c>
      <c r="BA18" s="157">
        <f t="shared" si="7"/>
        <v>76274.67816</v>
      </c>
      <c r="BB18" s="157">
        <f t="shared" si="7"/>
        <v>78562.91851</v>
      </c>
      <c r="BC18" s="157">
        <f t="shared" si="7"/>
        <v>80919.80606</v>
      </c>
      <c r="BD18" s="157">
        <f t="shared" si="7"/>
        <v>83347.40025</v>
      </c>
      <c r="BE18" s="157">
        <f t="shared" si="7"/>
        <v>85847.82225</v>
      </c>
      <c r="BF18" s="157">
        <f t="shared" si="7"/>
        <v>88423.25692</v>
      </c>
      <c r="BG18" s="157">
        <f t="shared" si="7"/>
        <v>91075.95463</v>
      </c>
      <c r="BH18" s="157">
        <f t="shared" si="7"/>
        <v>93808.23327</v>
      </c>
      <c r="BI18" s="157">
        <f t="shared" si="7"/>
        <v>96622.48027</v>
      </c>
      <c r="BJ18" s="157">
        <f t="shared" si="7"/>
        <v>99521.15467</v>
      </c>
      <c r="BK18" s="157">
        <f t="shared" si="7"/>
        <v>102506.7893</v>
      </c>
      <c r="BL18" s="157">
        <f t="shared" si="7"/>
        <v>105581.993</v>
      </c>
      <c r="BM18" s="157">
        <f t="shared" si="7"/>
        <v>108749.4528</v>
      </c>
      <c r="BN18" s="157">
        <f t="shared" si="7"/>
        <v>112011.9364</v>
      </c>
      <c r="BO18" s="157">
        <f t="shared" si="7"/>
        <v>115372.2945</v>
      </c>
      <c r="BP18" s="157">
        <f t="shared" si="7"/>
        <v>118833.4633</v>
      </c>
      <c r="BQ18" s="157">
        <f t="shared" si="7"/>
        <v>122398.4672</v>
      </c>
      <c r="BR18" s="157">
        <f t="shared" si="7"/>
        <v>126070.4212</v>
      </c>
      <c r="BS18" s="157">
        <f t="shared" si="7"/>
        <v>129852.5338</v>
      </c>
      <c r="BT18" s="157">
        <f t="shared" si="7"/>
        <v>133748.1099</v>
      </c>
      <c r="BU18" s="157">
        <f t="shared" si="7"/>
        <v>137760.5532</v>
      </c>
      <c r="BV18" s="157">
        <f t="shared" si="7"/>
        <v>141893.3697</v>
      </c>
      <c r="BW18" s="157">
        <f t="shared" si="7"/>
        <v>146150.1708</v>
      </c>
    </row>
    <row r="19" ht="15.75" customHeight="1">
      <c r="A19" s="21" t="s">
        <v>257</v>
      </c>
      <c r="B19" s="161"/>
      <c r="C19" s="157"/>
      <c r="D19" s="157">
        <f t="shared" ref="D19:BW19" si="8">SUM(D18,D15)</f>
        <v>64800</v>
      </c>
      <c r="E19" s="157">
        <f t="shared" si="8"/>
        <v>66677</v>
      </c>
      <c r="F19" s="157">
        <f t="shared" si="8"/>
        <v>70440</v>
      </c>
      <c r="G19" s="157">
        <f t="shared" si="8"/>
        <v>76672</v>
      </c>
      <c r="H19" s="157">
        <f t="shared" si="8"/>
        <v>78520</v>
      </c>
      <c r="I19" s="157">
        <f t="shared" si="8"/>
        <v>78969</v>
      </c>
      <c r="J19" s="157">
        <f t="shared" si="8"/>
        <v>85539</v>
      </c>
      <c r="K19" s="157">
        <f t="shared" si="8"/>
        <v>86705</v>
      </c>
      <c r="L19" s="157">
        <f t="shared" si="8"/>
        <v>90434</v>
      </c>
      <c r="M19" s="157">
        <f t="shared" si="8"/>
        <v>95877</v>
      </c>
      <c r="N19" s="157">
        <f t="shared" si="8"/>
        <v>96289</v>
      </c>
      <c r="O19" s="157">
        <f t="shared" si="8"/>
        <v>113369</v>
      </c>
      <c r="P19" s="157">
        <f t="shared" si="8"/>
        <v>111864</v>
      </c>
      <c r="Q19" s="157">
        <f t="shared" si="8"/>
        <v>111333</v>
      </c>
      <c r="R19" s="157">
        <f t="shared" si="8"/>
        <v>114806</v>
      </c>
      <c r="S19" s="157">
        <f t="shared" si="8"/>
        <v>115813</v>
      </c>
      <c r="T19" s="157">
        <f t="shared" si="8"/>
        <v>123316</v>
      </c>
      <c r="U19" s="157">
        <f t="shared" si="8"/>
        <v>121692</v>
      </c>
      <c r="V19" s="157">
        <f t="shared" si="8"/>
        <v>122814</v>
      </c>
      <c r="W19" s="157">
        <f t="shared" si="8"/>
        <v>124795</v>
      </c>
      <c r="X19" s="157">
        <f t="shared" si="8"/>
        <v>126787</v>
      </c>
      <c r="Y19" s="157">
        <f t="shared" si="8"/>
        <v>132805</v>
      </c>
      <c r="Z19" s="157">
        <f t="shared" si="8"/>
        <v>138091</v>
      </c>
      <c r="AA19" s="157">
        <f t="shared" si="8"/>
        <v>142756</v>
      </c>
      <c r="AB19" s="157">
        <f t="shared" si="8"/>
        <v>144559</v>
      </c>
      <c r="AC19" s="157">
        <f t="shared" si="8"/>
        <v>147471</v>
      </c>
      <c r="AD19" s="157">
        <f t="shared" si="8"/>
        <v>146844</v>
      </c>
      <c r="AE19" s="157">
        <f t="shared" si="8"/>
        <v>145771</v>
      </c>
      <c r="AF19" s="157">
        <f t="shared" si="8"/>
        <v>126834.646</v>
      </c>
      <c r="AG19" s="157">
        <f t="shared" si="8"/>
        <v>123757.35</v>
      </c>
      <c r="AH19" s="157">
        <f t="shared" si="8"/>
        <v>121811.4186</v>
      </c>
      <c r="AI19" s="157">
        <f t="shared" si="8"/>
        <v>121517.305</v>
      </c>
      <c r="AJ19" s="157">
        <f t="shared" si="8"/>
        <v>122031.8138</v>
      </c>
      <c r="AK19" s="157">
        <f t="shared" si="8"/>
        <v>122689.3302</v>
      </c>
      <c r="AL19" s="157">
        <f t="shared" si="8"/>
        <v>123277.6555</v>
      </c>
      <c r="AM19" s="157">
        <f t="shared" si="8"/>
        <v>123946.0743</v>
      </c>
      <c r="AN19" s="157">
        <f t="shared" si="8"/>
        <v>124583.278</v>
      </c>
      <c r="AO19" s="157">
        <f t="shared" si="8"/>
        <v>125308.8326</v>
      </c>
      <c r="AP19" s="157">
        <f t="shared" si="8"/>
        <v>125997.5127</v>
      </c>
      <c r="AQ19" s="157">
        <f t="shared" si="8"/>
        <v>126771.7737</v>
      </c>
      <c r="AR19" s="157">
        <f t="shared" si="8"/>
        <v>127628.9038</v>
      </c>
      <c r="AS19" s="157">
        <f t="shared" si="8"/>
        <v>128446.5261</v>
      </c>
      <c r="AT19" s="157">
        <f t="shared" si="8"/>
        <v>129345.2516</v>
      </c>
      <c r="AU19" s="157">
        <f t="shared" si="8"/>
        <v>130203.0401</v>
      </c>
      <c r="AV19" s="157">
        <f t="shared" si="8"/>
        <v>131139.9778</v>
      </c>
      <c r="AW19" s="157">
        <f t="shared" si="8"/>
        <v>132153.9929</v>
      </c>
      <c r="AX19" s="157">
        <f t="shared" si="8"/>
        <v>133123.2091</v>
      </c>
      <c r="AY19" s="157">
        <f t="shared" si="8"/>
        <v>134167.8081</v>
      </c>
      <c r="AZ19" s="157">
        <f t="shared" si="8"/>
        <v>136549.6299</v>
      </c>
      <c r="BA19" s="157">
        <f t="shared" si="8"/>
        <v>139002.9063</v>
      </c>
      <c r="BB19" s="157">
        <f t="shared" si="8"/>
        <v>141529.781</v>
      </c>
      <c r="BC19" s="157">
        <f t="shared" si="8"/>
        <v>144132.4619</v>
      </c>
      <c r="BD19" s="157">
        <f t="shared" si="8"/>
        <v>146813.2232</v>
      </c>
      <c r="BE19" s="157">
        <f t="shared" si="8"/>
        <v>149574.4074</v>
      </c>
      <c r="BF19" s="157">
        <f t="shared" si="8"/>
        <v>152418.4272</v>
      </c>
      <c r="BG19" s="157">
        <f t="shared" si="8"/>
        <v>155347.7675</v>
      </c>
      <c r="BH19" s="157">
        <f t="shared" si="8"/>
        <v>158364.988</v>
      </c>
      <c r="BI19" s="157">
        <f t="shared" si="8"/>
        <v>161472.7251</v>
      </c>
      <c r="BJ19" s="157">
        <f t="shared" si="8"/>
        <v>164673.6944</v>
      </c>
      <c r="BK19" s="157">
        <f t="shared" si="8"/>
        <v>167970.6927</v>
      </c>
      <c r="BL19" s="157">
        <f t="shared" si="8"/>
        <v>171366.601</v>
      </c>
      <c r="BM19" s="157">
        <f t="shared" si="8"/>
        <v>174864.3865</v>
      </c>
      <c r="BN19" s="157">
        <f t="shared" si="8"/>
        <v>178467.1056</v>
      </c>
      <c r="BO19" s="157">
        <f t="shared" si="8"/>
        <v>182177.9063</v>
      </c>
      <c r="BP19" s="157">
        <f t="shared" si="8"/>
        <v>186000.031</v>
      </c>
      <c r="BQ19" s="157">
        <f t="shared" si="8"/>
        <v>189936.8194</v>
      </c>
      <c r="BR19" s="157">
        <f t="shared" si="8"/>
        <v>193991.7115</v>
      </c>
      <c r="BS19" s="157">
        <f t="shared" si="8"/>
        <v>198168.2504</v>
      </c>
      <c r="BT19" s="157">
        <f t="shared" si="8"/>
        <v>202470.0854</v>
      </c>
      <c r="BU19" s="157">
        <f t="shared" si="8"/>
        <v>206900.9754</v>
      </c>
      <c r="BV19" s="157">
        <f t="shared" si="8"/>
        <v>211464.7922</v>
      </c>
      <c r="BW19" s="157">
        <f t="shared" si="8"/>
        <v>216165.5235</v>
      </c>
    </row>
    <row r="20" ht="15.75" customHeight="1">
      <c r="A20" s="21" t="s">
        <v>12</v>
      </c>
      <c r="B20" s="161"/>
      <c r="C20" s="157"/>
      <c r="D20" s="157">
        <f t="shared" ref="D20:BW20" si="9">D5-D19</f>
        <v>238573</v>
      </c>
      <c r="E20" s="157">
        <f t="shared" si="9"/>
        <v>254380</v>
      </c>
      <c r="F20" s="157">
        <f t="shared" si="9"/>
        <v>270081</v>
      </c>
      <c r="G20" s="157">
        <f t="shared" si="9"/>
        <v>284098</v>
      </c>
      <c r="H20" s="157">
        <f t="shared" si="9"/>
        <v>307504</v>
      </c>
      <c r="I20" s="157">
        <f t="shared" si="9"/>
        <v>322496</v>
      </c>
      <c r="J20" s="157">
        <f t="shared" si="9"/>
        <v>339400</v>
      </c>
      <c r="K20" s="157">
        <f t="shared" si="9"/>
        <v>352220</v>
      </c>
      <c r="L20" s="157">
        <f t="shared" si="9"/>
        <v>362334</v>
      </c>
      <c r="M20" s="157">
        <f t="shared" si="9"/>
        <v>370080</v>
      </c>
      <c r="N20" s="157">
        <f t="shared" si="9"/>
        <v>382829</v>
      </c>
      <c r="O20" s="157">
        <f t="shared" si="9"/>
        <v>378132</v>
      </c>
      <c r="P20" s="157">
        <f t="shared" si="9"/>
        <v>393194</v>
      </c>
      <c r="Q20" s="157">
        <f t="shared" si="9"/>
        <v>414104</v>
      </c>
      <c r="R20" s="157">
        <f t="shared" si="9"/>
        <v>427927</v>
      </c>
      <c r="S20" s="157">
        <f t="shared" si="9"/>
        <v>483074</v>
      </c>
      <c r="T20" s="157">
        <f t="shared" si="9"/>
        <v>490737</v>
      </c>
      <c r="U20" s="157">
        <f t="shared" si="9"/>
        <v>515796</v>
      </c>
      <c r="V20" s="157">
        <f t="shared" si="9"/>
        <v>534702</v>
      </c>
      <c r="W20" s="157">
        <f t="shared" si="9"/>
        <v>560688</v>
      </c>
      <c r="X20" s="157">
        <f t="shared" si="9"/>
        <v>591987</v>
      </c>
      <c r="Y20" s="157">
        <f t="shared" si="9"/>
        <v>621737</v>
      </c>
      <c r="Z20" s="157">
        <f t="shared" si="9"/>
        <v>649463</v>
      </c>
      <c r="AA20" s="157">
        <f t="shared" si="9"/>
        <v>665290</v>
      </c>
      <c r="AB20" s="157">
        <f t="shared" si="9"/>
        <v>679970</v>
      </c>
      <c r="AC20" s="157">
        <f t="shared" si="9"/>
        <v>697155</v>
      </c>
      <c r="AD20" s="157">
        <f t="shared" si="9"/>
        <v>672318.19</v>
      </c>
      <c r="AE20" s="157">
        <f t="shared" si="9"/>
        <v>650736</v>
      </c>
      <c r="AF20" s="157">
        <f t="shared" si="9"/>
        <v>624516.5228</v>
      </c>
      <c r="AG20" s="157">
        <f t="shared" si="9"/>
        <v>595508.0406</v>
      </c>
      <c r="AH20" s="157">
        <f t="shared" si="9"/>
        <v>577164.4954</v>
      </c>
      <c r="AI20" s="157">
        <f t="shared" si="9"/>
        <v>574391.9996</v>
      </c>
      <c r="AJ20" s="157">
        <f t="shared" si="9"/>
        <v>579242.0764</v>
      </c>
      <c r="AK20" s="157">
        <f t="shared" si="9"/>
        <v>585440.2296</v>
      </c>
      <c r="AL20" s="157">
        <f t="shared" si="9"/>
        <v>590986.145</v>
      </c>
      <c r="AM20" s="157">
        <f t="shared" si="9"/>
        <v>597287.0713</v>
      </c>
      <c r="AN20" s="157">
        <f t="shared" si="9"/>
        <v>603293.7453</v>
      </c>
      <c r="AO20" s="157">
        <f t="shared" si="9"/>
        <v>610133.2681</v>
      </c>
      <c r="AP20" s="157">
        <f t="shared" si="9"/>
        <v>616625.1895</v>
      </c>
      <c r="AQ20" s="157">
        <f t="shared" si="9"/>
        <v>623923.8502</v>
      </c>
      <c r="AR20" s="157">
        <f t="shared" si="9"/>
        <v>632003.6843</v>
      </c>
      <c r="AS20" s="157">
        <f t="shared" si="9"/>
        <v>639711.0944</v>
      </c>
      <c r="AT20" s="157">
        <f t="shared" si="9"/>
        <v>648183.0335</v>
      </c>
      <c r="AU20" s="157">
        <f t="shared" si="9"/>
        <v>656269.0749</v>
      </c>
      <c r="AV20" s="157">
        <f t="shared" si="9"/>
        <v>665101.2255</v>
      </c>
      <c r="AW20" s="157">
        <f t="shared" si="9"/>
        <v>674659.9544</v>
      </c>
      <c r="AX20" s="157">
        <f t="shared" si="9"/>
        <v>683796.3818</v>
      </c>
      <c r="AY20" s="157">
        <f t="shared" si="9"/>
        <v>693643.4137</v>
      </c>
      <c r="AZ20" s="157">
        <f t="shared" si="9"/>
        <v>716095.9286</v>
      </c>
      <c r="BA20" s="157">
        <f t="shared" si="9"/>
        <v>739222.019</v>
      </c>
      <c r="BB20" s="157">
        <f t="shared" si="9"/>
        <v>763041.8921</v>
      </c>
      <c r="BC20" s="157">
        <f t="shared" si="9"/>
        <v>787576.3613</v>
      </c>
      <c r="BD20" s="157">
        <f t="shared" si="9"/>
        <v>812846.8647</v>
      </c>
      <c r="BE20" s="157">
        <f t="shared" si="9"/>
        <v>838875.4831</v>
      </c>
      <c r="BF20" s="157">
        <f t="shared" si="9"/>
        <v>865684.9601</v>
      </c>
      <c r="BG20" s="157">
        <f t="shared" si="9"/>
        <v>893298.7214</v>
      </c>
      <c r="BH20" s="157">
        <f t="shared" si="9"/>
        <v>921740.8955</v>
      </c>
      <c r="BI20" s="157">
        <f t="shared" si="9"/>
        <v>951036.3349</v>
      </c>
      <c r="BJ20" s="157">
        <f t="shared" si="9"/>
        <v>981210.6375</v>
      </c>
      <c r="BK20" s="157">
        <f t="shared" si="9"/>
        <v>1012290.169</v>
      </c>
      <c r="BL20" s="157">
        <f t="shared" si="9"/>
        <v>1044302.087</v>
      </c>
      <c r="BM20" s="157">
        <f t="shared" si="9"/>
        <v>1077274.362</v>
      </c>
      <c r="BN20" s="157">
        <f t="shared" si="9"/>
        <v>1111235.805</v>
      </c>
      <c r="BO20" s="157">
        <f t="shared" si="9"/>
        <v>1146216.092</v>
      </c>
      <c r="BP20" s="157">
        <f t="shared" si="9"/>
        <v>1182245.787</v>
      </c>
      <c r="BQ20" s="157">
        <f t="shared" si="9"/>
        <v>1219356.373</v>
      </c>
      <c r="BR20" s="157">
        <f t="shared" si="9"/>
        <v>1257580.277</v>
      </c>
      <c r="BS20" s="157">
        <f t="shared" si="9"/>
        <v>1296950.898</v>
      </c>
      <c r="BT20" s="157">
        <f t="shared" si="9"/>
        <v>1337502.637</v>
      </c>
      <c r="BU20" s="157">
        <f t="shared" si="9"/>
        <v>1379270.929</v>
      </c>
      <c r="BV20" s="157">
        <f t="shared" si="9"/>
        <v>1422292.269</v>
      </c>
      <c r="BW20" s="157">
        <f t="shared" si="9"/>
        <v>1466604.25</v>
      </c>
    </row>
    <row r="21" ht="15.75" customHeight="1">
      <c r="A21" s="31" t="s">
        <v>244</v>
      </c>
      <c r="B21" s="159"/>
      <c r="D21" s="76">
        <f t="array" ref="D21">INDEX(INDIRECT("PnL_"&amp;TEXT(D$1,"mmm")&amp;"_"&amp;TEXT(D$1,"yyyy")),MATCH(TRIM($A20),PnL_Accounts,0))-D20</f>
        <v>0</v>
      </c>
      <c r="E21" s="76">
        <f t="array" ref="E21">INDEX(INDIRECT("PnL_"&amp;TEXT(E$1,"mmm")&amp;"_"&amp;TEXT(E$1,"yyyy")),MATCH(TRIM($A20),PnL_Accounts,0))-E20</f>
        <v>0</v>
      </c>
      <c r="F21" s="76">
        <f t="array" ref="F21">INDEX(INDIRECT("PnL_"&amp;TEXT(F$1,"mmm")&amp;"_"&amp;TEXT(F$1,"yyyy")),MATCH(TRIM($A20),PnL_Accounts,0))-F20</f>
        <v>0</v>
      </c>
      <c r="G21" s="76">
        <f t="array" ref="G21">INDEX(INDIRECT("PnL_"&amp;TEXT(G$1,"mmm")&amp;"_"&amp;TEXT(G$1,"yyyy")),MATCH(TRIM($A20),PnL_Accounts,0))-G20</f>
        <v>0</v>
      </c>
      <c r="H21" s="76">
        <f t="array" ref="H21">INDEX(INDIRECT("PnL_"&amp;TEXT(H$1,"mmm")&amp;"_"&amp;TEXT(H$1,"yyyy")),MATCH(TRIM($A20),PnL_Accounts,0))-H20</f>
        <v>0</v>
      </c>
      <c r="I21" s="76">
        <f t="array" ref="I21">INDEX(INDIRECT("PnL_"&amp;TEXT(I$1,"mmm")&amp;"_"&amp;TEXT(I$1,"yyyy")),MATCH(TRIM($A20),PnL_Accounts,0))-I20</f>
        <v>0</v>
      </c>
      <c r="J21" s="76">
        <f t="array" ref="J21">INDEX(INDIRECT("PnL_"&amp;TEXT(J$1,"mmm")&amp;"_"&amp;TEXT(J$1,"yyyy")),MATCH(TRIM($A20),PnL_Accounts,0))-J20</f>
        <v>0</v>
      </c>
      <c r="K21" s="76">
        <f t="array" ref="K21">INDEX(INDIRECT("PnL_"&amp;TEXT(K$1,"mmm")&amp;"_"&amp;TEXT(K$1,"yyyy")),MATCH(TRIM($A20),PnL_Accounts,0))-K20</f>
        <v>0</v>
      </c>
      <c r="L21" s="76">
        <f t="array" ref="L21">INDEX(INDIRECT("PnL_"&amp;TEXT(L$1,"mmm")&amp;"_"&amp;TEXT(L$1,"yyyy")),MATCH(TRIM($A20),PnL_Accounts,0))-L20</f>
        <v>0</v>
      </c>
      <c r="M21" s="76">
        <f t="array" ref="M21">INDEX(INDIRECT("PnL_"&amp;TEXT(M$1,"mmm")&amp;"_"&amp;TEXT(M$1,"yyyy")),MATCH(TRIM($A20),PnL_Accounts,0))-M20</f>
        <v>0</v>
      </c>
      <c r="N21" s="76">
        <f t="array" ref="N21">INDEX(INDIRECT("PnL_"&amp;TEXT(N$1,"mmm")&amp;"_"&amp;TEXT(N$1,"yyyy")),MATCH(TRIM($A20),PnL_Accounts,0))-N20</f>
        <v>0</v>
      </c>
      <c r="O21" s="76">
        <f t="array" ref="O21">INDEX(INDIRECT("PnL_"&amp;TEXT(O$1,"mmm")&amp;"_"&amp;TEXT(O$1,"yyyy")),MATCH(TRIM($A20),PnL_Accounts,0))-O20</f>
        <v>0</v>
      </c>
      <c r="P21" s="76">
        <f t="array" ref="P21">INDEX(INDIRECT("PnL_"&amp;TEXT(P$1,"mmm")&amp;"_"&amp;TEXT(P$1,"yyyy")),MATCH(TRIM($A20),PnL_Accounts,0))-P20</f>
        <v>0</v>
      </c>
      <c r="Q21" s="76">
        <f t="array" ref="Q21">INDEX(INDIRECT("PnL_"&amp;TEXT(Q$1,"mmm")&amp;"_"&amp;TEXT(Q$1,"yyyy")),MATCH(TRIM($A20),PnL_Accounts,0))-Q20</f>
        <v>0</v>
      </c>
      <c r="R21" s="76">
        <f t="array" ref="R21">INDEX(INDIRECT("PnL_"&amp;TEXT(R$1,"mmm")&amp;"_"&amp;TEXT(R$1,"yyyy")),MATCH(TRIM($A20),PnL_Accounts,0))-R20</f>
        <v>0</v>
      </c>
      <c r="S21" s="76">
        <f t="array" ref="S21">INDEX(INDIRECT("PnL_"&amp;TEXT(S$1,"mmm")&amp;"_"&amp;TEXT(S$1,"yyyy")),MATCH(TRIM($A20),PnL_Accounts,0))-S20</f>
        <v>0</v>
      </c>
      <c r="T21" s="76">
        <f t="array" ref="T21">INDEX(INDIRECT("PnL_"&amp;TEXT(T$1,"mmm")&amp;"_"&amp;TEXT(T$1,"yyyy")),MATCH(TRIM($A20),PnL_Accounts,0))-T20</f>
        <v>0</v>
      </c>
      <c r="U21" s="76">
        <f t="array" ref="U21">INDEX(INDIRECT("PnL_"&amp;TEXT(U$1,"mmm")&amp;"_"&amp;TEXT(U$1,"yyyy")),MATCH(TRIM($A20),PnL_Accounts,0))-U20</f>
        <v>0</v>
      </c>
      <c r="V21" s="76">
        <f t="array" ref="V21">INDEX(INDIRECT("PnL_"&amp;TEXT(V$1,"mmm")&amp;"_"&amp;TEXT(V$1,"yyyy")),MATCH(TRIM($A20),PnL_Accounts,0))-V20</f>
        <v>0</v>
      </c>
      <c r="W21" s="76">
        <f t="array" ref="W21">INDEX(INDIRECT("PnL_"&amp;TEXT(W$1,"mmm")&amp;"_"&amp;TEXT(W$1,"yyyy")),MATCH(TRIM($A20),PnL_Accounts,0))-W20</f>
        <v>0</v>
      </c>
      <c r="X21" s="76">
        <f t="array" ref="X21">INDEX(INDIRECT("PnL_"&amp;TEXT(X$1,"mmm")&amp;"_"&amp;TEXT(X$1,"yyyy")),MATCH(TRIM($A20),PnL_Accounts,0))-X20</f>
        <v>0</v>
      </c>
      <c r="Y21" s="76">
        <f t="array" ref="Y21">INDEX(INDIRECT("PnL_"&amp;TEXT(Y$1,"mmm")&amp;"_"&amp;TEXT(Y$1,"yyyy")),MATCH(TRIM($A20),PnL_Accounts,0))-Y20</f>
        <v>0</v>
      </c>
      <c r="Z21" s="76">
        <f t="array" ref="Z21">INDEX(INDIRECT("PnL_"&amp;TEXT(Z$1,"mmm")&amp;"_"&amp;TEXT(Z$1,"yyyy")),MATCH(TRIM($A20),PnL_Accounts,0))-Z20</f>
        <v>0</v>
      </c>
      <c r="AA21" s="76">
        <f t="array" ref="AA21">INDEX(INDIRECT("PnL_"&amp;TEXT(AA$1,"mmm")&amp;"_"&amp;TEXT(AA$1,"yyyy")),MATCH(TRIM($A20),PnL_Accounts,0))-AA20</f>
        <v>0</v>
      </c>
      <c r="AB21" s="76">
        <f t="array" ref="AB21">INDEX(INDIRECT("PnL_"&amp;TEXT(AB$1,"mmm")&amp;"_"&amp;TEXT(AB$1,"yyyy")),MATCH(TRIM($A20),PnL_Accounts,0))-AB20</f>
        <v>0</v>
      </c>
      <c r="AC21" s="76">
        <f t="array" ref="AC21">INDEX(INDIRECT("PnL_"&amp;TEXT(AC$1,"mmm")&amp;"_"&amp;TEXT(AC$1,"yyyy")),MATCH(TRIM($A20),PnL_Accounts,0))-AC20</f>
        <v>0</v>
      </c>
      <c r="AD21" s="76">
        <f t="array" ref="AD21">INDEX(INDIRECT("PnL_"&amp;TEXT(AD$1,"mmm")&amp;"_"&amp;TEXT(AD$1,"yyyy")),MATCH(TRIM($A20),PnL_Accounts,0))-AD20</f>
        <v>0</v>
      </c>
      <c r="AE21" s="76">
        <f t="array" ref="AE21">INDEX(INDIRECT("PnL_"&amp;TEXT(AE$1,"mmm")&amp;"_"&amp;TEXT(AE$1,"yyyy")),MATCH(TRIM($A20),PnL_Accounts,0))-AE20</f>
        <v>0</v>
      </c>
    </row>
    <row r="22" ht="15.75" customHeight="1">
      <c r="A22" s="31" t="s">
        <v>14</v>
      </c>
      <c r="B22" s="159"/>
    </row>
    <row r="23" ht="15.75" customHeight="1">
      <c r="A23" s="1" t="s">
        <v>258</v>
      </c>
      <c r="B23" s="159"/>
    </row>
    <row r="24" ht="15.75" customHeight="1">
      <c r="A24" s="1" t="s">
        <v>259</v>
      </c>
      <c r="B24" s="160">
        <f>AVERAGEIFS(24:24,$1:$1,"&gt;="&amp;DATE(YEAR(Current_Month),MONTH(Current_Month)-2,DAY(Current_Month)),$1:$1,"&lt;="&amp;EOMONTH(Current_Month,0))</f>
        <v>32396.33333</v>
      </c>
      <c r="D24" s="165">
        <f t="array" ref="D24">INDEX(INDIRECT("PnL_"&amp;TEXT(D$1,"mmm")&amp;"_"&amp;TEXT(D$1,"yyyy")),MATCH(TRIM($A24),PnL_Accounts,0))</f>
        <v>20800</v>
      </c>
      <c r="E24" s="165">
        <f t="array" ref="E24">INDEX(INDIRECT("PnL_"&amp;TEXT(E$1,"mmm")&amp;"_"&amp;TEXT(E$1,"yyyy")),MATCH(TRIM($A24),PnL_Accounts,0))</f>
        <v>21162</v>
      </c>
      <c r="F24" s="165">
        <f t="array" ref="F24">INDEX(INDIRECT("PnL_"&amp;TEXT(F$1,"mmm")&amp;"_"&amp;TEXT(F$1,"yyyy")),MATCH(TRIM($A24),PnL_Accounts,0))</f>
        <v>24016</v>
      </c>
      <c r="G24" s="165">
        <f t="array" ref="G24">INDEX(INDIRECT("PnL_"&amp;TEXT(G$1,"mmm")&amp;"_"&amp;TEXT(G$1,"yyyy")),MATCH(TRIM($A24),PnL_Accounts,0))</f>
        <v>24060</v>
      </c>
      <c r="H24" s="165">
        <f t="array" ref="H24">INDEX(INDIRECT("PnL_"&amp;TEXT(H$1,"mmm")&amp;"_"&amp;TEXT(H$1,"yyyy")),MATCH(TRIM($A24),PnL_Accounts,0))</f>
        <v>23821</v>
      </c>
      <c r="I24" s="165">
        <f t="array" ref="I24">INDEX(INDIRECT("PnL_"&amp;TEXT(I$1,"mmm")&amp;"_"&amp;TEXT(I$1,"yyyy")),MATCH(TRIM($A24),PnL_Accounts,0))</f>
        <v>23226</v>
      </c>
      <c r="J24" s="165">
        <f t="array" ref="J24">INDEX(INDIRECT("PnL_"&amp;TEXT(J$1,"mmm")&amp;"_"&amp;TEXT(J$1,"yyyy")),MATCH(TRIM($A24),PnL_Accounts,0))</f>
        <v>24060</v>
      </c>
      <c r="K24" s="165">
        <f t="array" ref="K24">INDEX(INDIRECT("PnL_"&amp;TEXT(K$1,"mmm")&amp;"_"&amp;TEXT(K$1,"yyyy")),MATCH(TRIM($A24),PnL_Accounts,0))</f>
        <v>26430</v>
      </c>
      <c r="L24" s="165">
        <f t="array" ref="L24">INDEX(INDIRECT("PnL_"&amp;TEXT(L$1,"mmm")&amp;"_"&amp;TEXT(L$1,"yyyy")),MATCH(TRIM($A24),PnL_Accounts,0))</f>
        <v>23500</v>
      </c>
      <c r="M24" s="165">
        <f t="array" ref="M24">INDEX(INDIRECT("PnL_"&amp;TEXT(M$1,"mmm")&amp;"_"&amp;TEXT(M$1,"yyyy")),MATCH(TRIM($A24),PnL_Accounts,0))</f>
        <v>27820</v>
      </c>
      <c r="N24" s="165">
        <f t="array" ref="N24">INDEX(INDIRECT("PnL_"&amp;TEXT(N$1,"mmm")&amp;"_"&amp;TEXT(N$1,"yyyy")),MATCH(TRIM($A24),PnL_Accounts,0))</f>
        <v>29340</v>
      </c>
      <c r="O24" s="165">
        <f t="array" ref="O24">INDEX(INDIRECT("PnL_"&amp;TEXT(O$1,"mmm")&amp;"_"&amp;TEXT(O$1,"yyyy")),MATCH(TRIM($A24),PnL_Accounts,0))</f>
        <v>27420</v>
      </c>
      <c r="P24" s="165">
        <f t="array" ref="P24">INDEX(INDIRECT("PnL_"&amp;TEXT(P$1,"mmm")&amp;"_"&amp;TEXT(P$1,"yyyy")),MATCH(TRIM($A24),PnL_Accounts,0))</f>
        <v>26920</v>
      </c>
      <c r="Q24" s="165">
        <f t="array" ref="Q24">INDEX(INDIRECT("PnL_"&amp;TEXT(Q$1,"mmm")&amp;"_"&amp;TEXT(Q$1,"yyyy")),MATCH(TRIM($A24),PnL_Accounts,0))</f>
        <v>27893</v>
      </c>
      <c r="R24" s="165">
        <f t="array" ref="R24">INDEX(INDIRECT("PnL_"&amp;TEXT(R$1,"mmm")&amp;"_"&amp;TEXT(R$1,"yyyy")),MATCH(TRIM($A24),PnL_Accounts,0))</f>
        <v>27893</v>
      </c>
      <c r="S24" s="165">
        <f t="array" ref="S24">INDEX(INDIRECT("PnL_"&amp;TEXT(S$1,"mmm")&amp;"_"&amp;TEXT(S$1,"yyyy")),MATCH(TRIM($A24),PnL_Accounts,0))</f>
        <v>29881</v>
      </c>
      <c r="T24" s="165">
        <f t="array" ref="T24">INDEX(INDIRECT("PnL_"&amp;TEXT(T$1,"mmm")&amp;"_"&amp;TEXT(T$1,"yyyy")),MATCH(TRIM($A24),PnL_Accounts,0))</f>
        <v>28893</v>
      </c>
      <c r="U24" s="165">
        <f t="array" ref="U24">INDEX(INDIRECT("PnL_"&amp;TEXT(U$1,"mmm")&amp;"_"&amp;TEXT(U$1,"yyyy")),MATCH(TRIM($A24),PnL_Accounts,0))</f>
        <v>27658</v>
      </c>
      <c r="V24" s="165">
        <f t="array" ref="V24">INDEX(INDIRECT("PnL_"&amp;TEXT(V$1,"mmm")&amp;"_"&amp;TEXT(V$1,"yyyy")),MATCH(TRIM($A24),PnL_Accounts,0))</f>
        <v>27287</v>
      </c>
      <c r="W24" s="165">
        <f t="array" ref="W24">INDEX(INDIRECT("PnL_"&amp;TEXT(W$1,"mmm")&amp;"_"&amp;TEXT(W$1,"yyyy")),MATCH(TRIM($A24),PnL_Accounts,0))</f>
        <v>29822</v>
      </c>
      <c r="X24" s="165">
        <f t="array" ref="X24">INDEX(INDIRECT("PnL_"&amp;TEXT(X$1,"mmm")&amp;"_"&amp;TEXT(X$1,"yyyy")),MATCH(TRIM($A24),PnL_Accounts,0))</f>
        <v>29822</v>
      </c>
      <c r="Y24" s="165">
        <f t="array" ref="Y24">INDEX(INDIRECT("PnL_"&amp;TEXT(Y$1,"mmm")&amp;"_"&amp;TEXT(Y$1,"yyyy")),MATCH(TRIM($A24),PnL_Accounts,0))</f>
        <v>29822</v>
      </c>
      <c r="Z24" s="165">
        <f t="array" ref="Z24">INDEX(INDIRECT("PnL_"&amp;TEXT(Z$1,"mmm")&amp;"_"&amp;TEXT(Z$1,"yyyy")),MATCH(TRIM($A24),PnL_Accounts,0))</f>
        <v>29822</v>
      </c>
      <c r="AA24" s="165">
        <f t="array" ref="AA24">INDEX(INDIRECT("PnL_"&amp;TEXT(AA$1,"mmm")&amp;"_"&amp;TEXT(AA$1,"yyyy")),MATCH(TRIM($A24),PnL_Accounts,0))</f>
        <v>29822</v>
      </c>
      <c r="AB24" s="165">
        <f t="array" ref="AB24">INDEX(INDIRECT("PnL_"&amp;TEXT(AB$1,"mmm")&amp;"_"&amp;TEXT(AB$1,"yyyy")),MATCH(TRIM($A24),PnL_Accounts,0))</f>
        <v>29822</v>
      </c>
      <c r="AC24" s="165">
        <f t="array" ref="AC24">INDEX(INDIRECT("PnL_"&amp;TEXT(AC$1,"mmm")&amp;"_"&amp;TEXT(AC$1,"yyyy")),MATCH(TRIM($A24),PnL_Accounts,0))</f>
        <v>35789</v>
      </c>
      <c r="AD24" s="165">
        <f t="array" ref="AD24">INDEX(INDIRECT("PnL_"&amp;TEXT(AD$1,"mmm")&amp;"_"&amp;TEXT(AD$1,"yyyy")),MATCH(TRIM($A24),PnL_Accounts,0))</f>
        <v>32000</v>
      </c>
      <c r="AE24" s="165">
        <f t="array" ref="AE24">INDEX(INDIRECT("PnL_"&amp;TEXT(AE$1,"mmm")&amp;"_"&amp;TEXT(AE$1,"yyyy")),MATCH(TRIM($A24),PnL_Accounts,0))</f>
        <v>29400</v>
      </c>
      <c r="AF24" s="39">
        <f t="array" ref="AF24">INDEX(Hiring_Plan_Contractors_Engineering_Worst_Case,MATCH(AF$1,Hiring_Plan_Months_Worst_Case,0))</f>
        <v>0</v>
      </c>
      <c r="AG24" s="39">
        <f t="array" ref="AG24">INDEX(Hiring_Plan_Contractors_Engineering_Worst_Case,MATCH(AG$1,Hiring_Plan_Months_Worst_Case,0))</f>
        <v>0</v>
      </c>
      <c r="AH24" s="39">
        <f t="array" ref="AH24">INDEX(Hiring_Plan_Contractors_Engineering_Worst_Case,MATCH(AH$1,Hiring_Plan_Months_Worst_Case,0))</f>
        <v>0</v>
      </c>
      <c r="AI24" s="39">
        <f t="array" ref="AI24">INDEX(Hiring_Plan_Contractors_Engineering_Worst_Case,MATCH(AI$1,Hiring_Plan_Months_Worst_Case,0))</f>
        <v>0</v>
      </c>
      <c r="AJ24" s="39">
        <f t="array" ref="AJ24">INDEX(Hiring_Plan_Contractors_Engineering_Worst_Case,MATCH(AJ$1,Hiring_Plan_Months_Worst_Case,0))</f>
        <v>0</v>
      </c>
      <c r="AK24" s="39">
        <f t="array" ref="AK24">INDEX(Hiring_Plan_Contractors_Engineering_Worst_Case,MATCH(AK$1,Hiring_Plan_Months_Worst_Case,0))</f>
        <v>0</v>
      </c>
      <c r="AL24" s="39">
        <f t="array" ref="AL24">INDEX(Hiring_Plan_Contractors_Engineering_Worst_Case,MATCH(AL$1,Hiring_Plan_Months_Worst_Case,0))</f>
        <v>0</v>
      </c>
      <c r="AM24" s="39">
        <f t="array" ref="AM24">INDEX(Hiring_Plan_Contractors_Engineering_Worst_Case,MATCH(AM$1,Hiring_Plan_Months_Worst_Case,0))</f>
        <v>0</v>
      </c>
      <c r="AN24" s="39">
        <f t="array" ref="AN24">INDEX(Hiring_Plan_Contractors_Engineering_Worst_Case,MATCH(AN$1,Hiring_Plan_Months_Worst_Case,0))</f>
        <v>0</v>
      </c>
      <c r="AO24" s="39">
        <f t="array" ref="AO24">INDEX(Hiring_Plan_Contractors_Engineering_Worst_Case,MATCH(AO$1,Hiring_Plan_Months_Worst_Case,0))</f>
        <v>0</v>
      </c>
      <c r="AP24" s="39">
        <f t="array" ref="AP24">INDEX(Hiring_Plan_Contractors_Engineering_Worst_Case,MATCH(AP$1,Hiring_Plan_Months_Worst_Case,0))</f>
        <v>0</v>
      </c>
      <c r="AQ24" s="39">
        <f t="array" ref="AQ24">INDEX(Hiring_Plan_Contractors_Engineering_Worst_Case,MATCH(AQ$1,Hiring_Plan_Months_Worst_Case,0))</f>
        <v>0</v>
      </c>
      <c r="AR24" s="39">
        <f t="array" ref="AR24">INDEX(Hiring_Plan_Contractors_Engineering_Worst_Case,MATCH(AR$1,Hiring_Plan_Months_Worst_Case,0))</f>
        <v>0</v>
      </c>
      <c r="AS24" s="39">
        <f t="array" ref="AS24">INDEX(Hiring_Plan_Contractors_Engineering_Worst_Case,MATCH(AS$1,Hiring_Plan_Months_Worst_Case,0))</f>
        <v>0</v>
      </c>
      <c r="AT24" s="39">
        <f t="array" ref="AT24">INDEX(Hiring_Plan_Contractors_Engineering_Worst_Case,MATCH(AT$1,Hiring_Plan_Months_Worst_Case,0))</f>
        <v>0</v>
      </c>
      <c r="AU24" s="39">
        <f t="array" ref="AU24">INDEX(Hiring_Plan_Contractors_Engineering_Worst_Case,MATCH(AU$1,Hiring_Plan_Months_Worst_Case,0))</f>
        <v>0</v>
      </c>
      <c r="AV24" s="39">
        <f t="array" ref="AV24">INDEX(Hiring_Plan_Contractors_Engineering_Worst_Case,MATCH(AV$1,Hiring_Plan_Months_Worst_Case,0))</f>
        <v>0</v>
      </c>
      <c r="AW24" s="39">
        <f t="array" ref="AW24">INDEX(Hiring_Plan_Contractors_Engineering_Worst_Case,MATCH(AW$1,Hiring_Plan_Months_Worst_Case,0))</f>
        <v>0</v>
      </c>
      <c r="AX24" s="39">
        <f t="array" ref="AX24">INDEX(Hiring_Plan_Contractors_Engineering_Worst_Case,MATCH(AX$1,Hiring_Plan_Months_Worst_Case,0))</f>
        <v>0</v>
      </c>
      <c r="AY24" s="39">
        <f t="array" ref="AY24">INDEX(Hiring_Plan_Contractors_Engineering_Worst_Case,MATCH(AY$1,Hiring_Plan_Months_Worst_Case,0))</f>
        <v>0</v>
      </c>
      <c r="AZ24" s="39">
        <f t="array" ref="AZ24">INDEX(Hiring_Plan_Contractors_Engineering_Worst_Case,MATCH(AZ$1,Hiring_Plan_Months_Worst_Case,0))</f>
        <v>0</v>
      </c>
      <c r="BA24" s="39">
        <f t="array" ref="BA24">INDEX(Hiring_Plan_Contractors_Engineering_Worst_Case,MATCH(BA$1,Hiring_Plan_Months_Worst_Case,0))</f>
        <v>0</v>
      </c>
      <c r="BB24" s="39">
        <f t="array" ref="BB24">INDEX(Hiring_Plan_Contractors_Engineering_Worst_Case,MATCH(BB$1,Hiring_Plan_Months_Worst_Case,0))</f>
        <v>0</v>
      </c>
      <c r="BC24" s="39">
        <f t="array" ref="BC24">INDEX(Hiring_Plan_Contractors_Engineering_Worst_Case,MATCH(BC$1,Hiring_Plan_Months_Worst_Case,0))</f>
        <v>0</v>
      </c>
      <c r="BD24" s="39">
        <f t="array" ref="BD24">INDEX(Hiring_Plan_Contractors_Engineering_Worst_Case,MATCH(BD$1,Hiring_Plan_Months_Worst_Case,0))</f>
        <v>0</v>
      </c>
      <c r="BE24" s="39">
        <f t="array" ref="BE24">INDEX(Hiring_Plan_Contractors_Engineering_Worst_Case,MATCH(BE$1,Hiring_Plan_Months_Worst_Case,0))</f>
        <v>0</v>
      </c>
      <c r="BF24" s="39">
        <f t="array" ref="BF24">INDEX(Hiring_Plan_Contractors_Engineering_Worst_Case,MATCH(BF$1,Hiring_Plan_Months_Worst_Case,0))</f>
        <v>0</v>
      </c>
      <c r="BG24" s="39">
        <f t="array" ref="BG24">INDEX(Hiring_Plan_Contractors_Engineering_Worst_Case,MATCH(BG$1,Hiring_Plan_Months_Worst_Case,0))</f>
        <v>0</v>
      </c>
      <c r="BH24" s="39">
        <f t="array" ref="BH24">INDEX(Hiring_Plan_Contractors_Engineering_Worst_Case,MATCH(BH$1,Hiring_Plan_Months_Worst_Case,0))</f>
        <v>0</v>
      </c>
      <c r="BI24" s="39">
        <f t="array" ref="BI24">INDEX(Hiring_Plan_Contractors_Engineering_Worst_Case,MATCH(BI$1,Hiring_Plan_Months_Worst_Case,0))</f>
        <v>0</v>
      </c>
      <c r="BJ24" s="39">
        <f t="array" ref="BJ24">INDEX(Hiring_Plan_Contractors_Engineering_Worst_Case,MATCH(BJ$1,Hiring_Plan_Months_Worst_Case,0))</f>
        <v>0</v>
      </c>
      <c r="BK24" s="39">
        <f t="array" ref="BK24">INDEX(Hiring_Plan_Contractors_Engineering_Worst_Case,MATCH(BK$1,Hiring_Plan_Months_Worst_Case,0))</f>
        <v>0</v>
      </c>
      <c r="BL24" s="39">
        <f t="array" ref="BL24">INDEX(Hiring_Plan_Contractors_Engineering_Worst_Case,MATCH(BL$1,Hiring_Plan_Months_Worst_Case,0))</f>
        <v>0</v>
      </c>
      <c r="BM24" s="39">
        <f t="array" ref="BM24">INDEX(Hiring_Plan_Contractors_Engineering_Worst_Case,MATCH(BM$1,Hiring_Plan_Months_Worst_Case,0))</f>
        <v>0</v>
      </c>
      <c r="BN24" s="39">
        <f t="array" ref="BN24">INDEX(Hiring_Plan_Contractors_Engineering_Worst_Case,MATCH(BN$1,Hiring_Plan_Months_Worst_Case,0))</f>
        <v>0</v>
      </c>
      <c r="BO24" s="39">
        <f t="array" ref="BO24">INDEX(Hiring_Plan_Contractors_Engineering_Worst_Case,MATCH(BO$1,Hiring_Plan_Months_Worst_Case,0))</f>
        <v>0</v>
      </c>
      <c r="BP24" s="39">
        <f t="array" ref="BP24">INDEX(Hiring_Plan_Contractors_Engineering_Worst_Case,MATCH(BP$1,Hiring_Plan_Months_Worst_Case,0))</f>
        <v>0</v>
      </c>
      <c r="BQ24" s="39">
        <f t="array" ref="BQ24">INDEX(Hiring_Plan_Contractors_Engineering_Worst_Case,MATCH(BQ$1,Hiring_Plan_Months_Worst_Case,0))</f>
        <v>0</v>
      </c>
      <c r="BR24" s="39">
        <f t="array" ref="BR24">INDEX(Hiring_Plan_Contractors_Engineering_Worst_Case,MATCH(BR$1,Hiring_Plan_Months_Worst_Case,0))</f>
        <v>0</v>
      </c>
      <c r="BS24" s="39">
        <f t="array" ref="BS24">INDEX(Hiring_Plan_Contractors_Engineering_Worst_Case,MATCH(BS$1,Hiring_Plan_Months_Worst_Case,0))</f>
        <v>0</v>
      </c>
      <c r="BT24" s="39">
        <f t="array" ref="BT24">INDEX(Hiring_Plan_Contractors_Engineering_Worst_Case,MATCH(BT$1,Hiring_Plan_Months_Worst_Case,0))</f>
        <v>0</v>
      </c>
      <c r="BU24" s="39">
        <f t="array" ref="BU24">INDEX(Hiring_Plan_Contractors_Engineering_Worst_Case,MATCH(BU$1,Hiring_Plan_Months_Worst_Case,0))</f>
        <v>0</v>
      </c>
      <c r="BV24" s="39">
        <f t="array" ref="BV24">INDEX(Hiring_Plan_Contractors_Engineering_Worst_Case,MATCH(BV$1,Hiring_Plan_Months_Worst_Case,0))</f>
        <v>0</v>
      </c>
      <c r="BW24" s="39">
        <f t="array" ref="BW24">INDEX(Hiring_Plan_Contractors_Engineering_Worst_Case,MATCH(BW$1,Hiring_Plan_Months_Worst_Case,0))</f>
        <v>0</v>
      </c>
    </row>
    <row r="25" ht="15.75" customHeight="1">
      <c r="A25" s="1" t="s">
        <v>260</v>
      </c>
      <c r="B25" s="159"/>
      <c r="D25" s="76" t="str">
        <f t="array" ref="D25">INDEX(INDIRECT("PnL_"&amp;TEXT(D$1,"mmm")&amp;"_"&amp;TEXT(D$1,"yyyy")),MATCH(TRIM($A25),PnL_Accounts,0))</f>
        <v/>
      </c>
      <c r="E25" s="76" t="str">
        <f t="array" ref="E25">INDEX(INDIRECT("PnL_"&amp;TEXT(E$1,"mmm")&amp;"_"&amp;TEXT(E$1,"yyyy")),MATCH(TRIM($A25),PnL_Accounts,0))</f>
        <v/>
      </c>
      <c r="F25" s="76" t="str">
        <f t="array" ref="F25">INDEX(INDIRECT("PnL_"&amp;TEXT(F$1,"mmm")&amp;"_"&amp;TEXT(F$1,"yyyy")),MATCH(TRIM($A25),PnL_Accounts,0))</f>
        <v/>
      </c>
      <c r="G25" s="76" t="str">
        <f t="array" ref="G25">INDEX(INDIRECT("PnL_"&amp;TEXT(G$1,"mmm")&amp;"_"&amp;TEXT(G$1,"yyyy")),MATCH(TRIM($A25),PnL_Accounts,0))</f>
        <v/>
      </c>
      <c r="H25" s="76" t="str">
        <f t="array" ref="H25">INDEX(INDIRECT("PnL_"&amp;TEXT(H$1,"mmm")&amp;"_"&amp;TEXT(H$1,"yyyy")),MATCH(TRIM($A25),PnL_Accounts,0))</f>
        <v/>
      </c>
      <c r="I25" s="76" t="str">
        <f t="array" ref="I25">INDEX(INDIRECT("PnL_"&amp;TEXT(I$1,"mmm")&amp;"_"&amp;TEXT(I$1,"yyyy")),MATCH(TRIM($A25),PnL_Accounts,0))</f>
        <v/>
      </c>
      <c r="J25" s="76" t="str">
        <f t="array" ref="J25">INDEX(INDIRECT("PnL_"&amp;TEXT(J$1,"mmm")&amp;"_"&amp;TEXT(J$1,"yyyy")),MATCH(TRIM($A25),PnL_Accounts,0))</f>
        <v/>
      </c>
      <c r="K25" s="76" t="str">
        <f t="array" ref="K25">INDEX(INDIRECT("PnL_"&amp;TEXT(K$1,"mmm")&amp;"_"&amp;TEXT(K$1,"yyyy")),MATCH(TRIM($A25),PnL_Accounts,0))</f>
        <v/>
      </c>
      <c r="L25" s="76" t="str">
        <f t="array" ref="L25">INDEX(INDIRECT("PnL_"&amp;TEXT(L$1,"mmm")&amp;"_"&amp;TEXT(L$1,"yyyy")),MATCH(TRIM($A25),PnL_Accounts,0))</f>
        <v/>
      </c>
      <c r="M25" s="76" t="str">
        <f t="array" ref="M25">INDEX(INDIRECT("PnL_"&amp;TEXT(M$1,"mmm")&amp;"_"&amp;TEXT(M$1,"yyyy")),MATCH(TRIM($A25),PnL_Accounts,0))</f>
        <v/>
      </c>
      <c r="N25" s="76" t="str">
        <f t="array" ref="N25">INDEX(INDIRECT("PnL_"&amp;TEXT(N$1,"mmm")&amp;"_"&amp;TEXT(N$1,"yyyy")),MATCH(TRIM($A25),PnL_Accounts,0))</f>
        <v/>
      </c>
      <c r="O25" s="76" t="str">
        <f t="array" ref="O25">INDEX(INDIRECT("PnL_"&amp;TEXT(O$1,"mmm")&amp;"_"&amp;TEXT(O$1,"yyyy")),MATCH(TRIM($A25),PnL_Accounts,0))</f>
        <v/>
      </c>
      <c r="P25" s="76" t="str">
        <f t="array" ref="P25">INDEX(INDIRECT("PnL_"&amp;TEXT(P$1,"mmm")&amp;"_"&amp;TEXT(P$1,"yyyy")),MATCH(TRIM($A25),PnL_Accounts,0))</f>
        <v/>
      </c>
      <c r="Q25" s="76" t="str">
        <f t="array" ref="Q25">INDEX(INDIRECT("PnL_"&amp;TEXT(Q$1,"mmm")&amp;"_"&amp;TEXT(Q$1,"yyyy")),MATCH(TRIM($A25),PnL_Accounts,0))</f>
        <v/>
      </c>
      <c r="R25" s="76" t="str">
        <f t="array" ref="R25">INDEX(INDIRECT("PnL_"&amp;TEXT(R$1,"mmm")&amp;"_"&amp;TEXT(R$1,"yyyy")),MATCH(TRIM($A25),PnL_Accounts,0))</f>
        <v/>
      </c>
      <c r="S25" s="76" t="str">
        <f t="array" ref="S25">INDEX(INDIRECT("PnL_"&amp;TEXT(S$1,"mmm")&amp;"_"&amp;TEXT(S$1,"yyyy")),MATCH(TRIM($A25),PnL_Accounts,0))</f>
        <v/>
      </c>
      <c r="T25" s="76" t="str">
        <f t="array" ref="T25">INDEX(INDIRECT("PnL_"&amp;TEXT(T$1,"mmm")&amp;"_"&amp;TEXT(T$1,"yyyy")),MATCH(TRIM($A25),PnL_Accounts,0))</f>
        <v/>
      </c>
      <c r="U25" s="76" t="str">
        <f t="array" ref="U25">INDEX(INDIRECT("PnL_"&amp;TEXT(U$1,"mmm")&amp;"_"&amp;TEXT(U$1,"yyyy")),MATCH(TRIM($A25),PnL_Accounts,0))</f>
        <v/>
      </c>
      <c r="V25" s="76" t="str">
        <f t="array" ref="V25">INDEX(INDIRECT("PnL_"&amp;TEXT(V$1,"mmm")&amp;"_"&amp;TEXT(V$1,"yyyy")),MATCH(TRIM($A25),PnL_Accounts,0))</f>
        <v/>
      </c>
      <c r="W25" s="76" t="str">
        <f t="array" ref="W25">INDEX(INDIRECT("PnL_"&amp;TEXT(W$1,"mmm")&amp;"_"&amp;TEXT(W$1,"yyyy")),MATCH(TRIM($A25),PnL_Accounts,0))</f>
        <v/>
      </c>
      <c r="X25" s="76" t="str">
        <f t="array" ref="X25">INDEX(INDIRECT("PnL_"&amp;TEXT(X$1,"mmm")&amp;"_"&amp;TEXT(X$1,"yyyy")),MATCH(TRIM($A25),PnL_Accounts,0))</f>
        <v/>
      </c>
      <c r="Y25" s="76" t="str">
        <f t="array" ref="Y25">INDEX(INDIRECT("PnL_"&amp;TEXT(Y$1,"mmm")&amp;"_"&amp;TEXT(Y$1,"yyyy")),MATCH(TRIM($A25),PnL_Accounts,0))</f>
        <v/>
      </c>
      <c r="Z25" s="76" t="str">
        <f t="array" ref="Z25">INDEX(INDIRECT("PnL_"&amp;TEXT(Z$1,"mmm")&amp;"_"&amp;TEXT(Z$1,"yyyy")),MATCH(TRIM($A25),PnL_Accounts,0))</f>
        <v/>
      </c>
      <c r="AA25" s="76" t="str">
        <f t="array" ref="AA25">INDEX(INDIRECT("PnL_"&amp;TEXT(AA$1,"mmm")&amp;"_"&amp;TEXT(AA$1,"yyyy")),MATCH(TRIM($A25),PnL_Accounts,0))</f>
        <v/>
      </c>
      <c r="AB25" s="76" t="str">
        <f t="array" ref="AB25">INDEX(INDIRECT("PnL_"&amp;TEXT(AB$1,"mmm")&amp;"_"&amp;TEXT(AB$1,"yyyy")),MATCH(TRIM($A25),PnL_Accounts,0))</f>
        <v/>
      </c>
      <c r="AC25" s="76" t="str">
        <f t="array" ref="AC25">INDEX(INDIRECT("PnL_"&amp;TEXT(AC$1,"mmm")&amp;"_"&amp;TEXT(AC$1,"yyyy")),MATCH(TRIM($A25),PnL_Accounts,0))</f>
        <v/>
      </c>
      <c r="AD25" s="76" t="str">
        <f t="array" ref="AD25">INDEX(INDIRECT("PnL_"&amp;TEXT(AD$1,"mmm")&amp;"_"&amp;TEXT(AD$1,"yyyy")),MATCH(TRIM($A25),PnL_Accounts,0))</f>
        <v/>
      </c>
      <c r="AE25" s="76" t="str">
        <f t="array" ref="AE25">INDEX(INDIRECT("PnL_"&amp;TEXT(AE$1,"mmm")&amp;"_"&amp;TEXT(AE$1,"yyyy")),MATCH(TRIM($A25),PnL_Accounts,0))</f>
        <v/>
      </c>
    </row>
    <row r="26" ht="15.75" customHeight="1">
      <c r="A26" s="1" t="s">
        <v>261</v>
      </c>
      <c r="B26" s="160">
        <f>AVERAGEIFS(26:26,$1:$1,"&gt;="&amp;DATE(YEAR(Current_Month),MONTH(Current_Month)-2,DAY(Current_Month)),$1:$1,"&lt;="&amp;EOMONTH(Current_Month,0))</f>
        <v>4450</v>
      </c>
      <c r="D26" s="76">
        <f t="array" ref="D26">INDEX(INDIRECT("PnL_"&amp;TEXT(D$1,"mmm")&amp;"_"&amp;TEXT(D$1,"yyyy")),MATCH(TRIM($A26),PnL_Accounts,0))</f>
        <v>2966</v>
      </c>
      <c r="E26" s="76">
        <f t="array" ref="E26">INDEX(INDIRECT("PnL_"&amp;TEXT(E$1,"mmm")&amp;"_"&amp;TEXT(E$1,"yyyy")),MATCH(TRIM($A26),PnL_Accounts,0))</f>
        <v>3164</v>
      </c>
      <c r="F26" s="76">
        <f t="array" ref="F26">INDEX(INDIRECT("PnL_"&amp;TEXT(F$1,"mmm")&amp;"_"&amp;TEXT(F$1,"yyyy")),MATCH(TRIM($A26),PnL_Accounts,0))</f>
        <v>3361</v>
      </c>
      <c r="G26" s="76">
        <f t="array" ref="G26">INDEX(INDIRECT("PnL_"&amp;TEXT(G$1,"mmm")&amp;"_"&amp;TEXT(G$1,"yyyy")),MATCH(TRIM($A26),PnL_Accounts,0))</f>
        <v>3361</v>
      </c>
      <c r="H26" s="76">
        <f t="array" ref="H26">INDEX(INDIRECT("PnL_"&amp;TEXT(H$1,"mmm")&amp;"_"&amp;TEXT(H$1,"yyyy")),MATCH(TRIM($A26),PnL_Accounts,0))</f>
        <v>3361</v>
      </c>
      <c r="I26" s="76">
        <f t="array" ref="I26">INDEX(INDIRECT("PnL_"&amp;TEXT(I$1,"mmm")&amp;"_"&amp;TEXT(I$1,"yyyy")),MATCH(TRIM($A26),PnL_Accounts,0))</f>
        <v>3559</v>
      </c>
      <c r="J26" s="76">
        <f t="array" ref="J26">INDEX(INDIRECT("PnL_"&amp;TEXT(J$1,"mmm")&amp;"_"&amp;TEXT(J$1,"yyyy")),MATCH(TRIM($A26),PnL_Accounts,0))</f>
        <v>3559</v>
      </c>
      <c r="K26" s="76">
        <f t="array" ref="K26">INDEX(INDIRECT("PnL_"&amp;TEXT(K$1,"mmm")&amp;"_"&amp;TEXT(K$1,"yyyy")),MATCH(TRIM($A26),PnL_Accounts,0))</f>
        <v>3559</v>
      </c>
      <c r="L26" s="76">
        <f t="array" ref="L26">INDEX(INDIRECT("PnL_"&amp;TEXT(L$1,"mmm")&amp;"_"&amp;TEXT(L$1,"yyyy")),MATCH(TRIM($A26),PnL_Accounts,0))</f>
        <v>3756</v>
      </c>
      <c r="M26" s="76">
        <f t="array" ref="M26">INDEX(INDIRECT("PnL_"&amp;TEXT(M$1,"mmm")&amp;"_"&amp;TEXT(M$1,"yyyy")),MATCH(TRIM($A26),PnL_Accounts,0))</f>
        <v>3756</v>
      </c>
      <c r="N26" s="76">
        <f t="array" ref="N26">INDEX(INDIRECT("PnL_"&amp;TEXT(N$1,"mmm")&amp;"_"&amp;TEXT(N$1,"yyyy")),MATCH(TRIM($A26),PnL_Accounts,0))</f>
        <v>3756</v>
      </c>
      <c r="O26" s="76">
        <f t="array" ref="O26">INDEX(INDIRECT("PnL_"&amp;TEXT(O$1,"mmm")&amp;"_"&amp;TEXT(O$1,"yyyy")),MATCH(TRIM($A26),PnL_Accounts,0))</f>
        <v>4150</v>
      </c>
      <c r="P26" s="76">
        <f t="array" ref="P26">INDEX(INDIRECT("PnL_"&amp;TEXT(P$1,"mmm")&amp;"_"&amp;TEXT(P$1,"yyyy")),MATCH(TRIM($A26),PnL_Accounts,0))</f>
        <v>4150</v>
      </c>
      <c r="Q26" s="76">
        <f t="array" ref="Q26">INDEX(INDIRECT("PnL_"&amp;TEXT(Q$1,"mmm")&amp;"_"&amp;TEXT(Q$1,"yyyy")),MATCH(TRIM($A26),PnL_Accounts,0))</f>
        <v>4150</v>
      </c>
      <c r="R26" s="76">
        <f t="array" ref="R26">INDEX(INDIRECT("PnL_"&amp;TEXT(R$1,"mmm")&amp;"_"&amp;TEXT(R$1,"yyyy")),MATCH(TRIM($A26),PnL_Accounts,0))</f>
        <v>4150</v>
      </c>
      <c r="S26" s="76">
        <f t="array" ref="S26">INDEX(INDIRECT("PnL_"&amp;TEXT(S$1,"mmm")&amp;"_"&amp;TEXT(S$1,"yyyy")),MATCH(TRIM($A26),PnL_Accounts,0))</f>
        <v>4150</v>
      </c>
      <c r="T26" s="76">
        <f t="array" ref="T26">INDEX(INDIRECT("PnL_"&amp;TEXT(T$1,"mmm")&amp;"_"&amp;TEXT(T$1,"yyyy")),MATCH(TRIM($A26),PnL_Accounts,0))</f>
        <v>4450</v>
      </c>
      <c r="U26" s="76">
        <f t="array" ref="U26">INDEX(INDIRECT("PnL_"&amp;TEXT(U$1,"mmm")&amp;"_"&amp;TEXT(U$1,"yyyy")),MATCH(TRIM($A26),PnL_Accounts,0))</f>
        <v>4450</v>
      </c>
      <c r="V26" s="76">
        <f t="array" ref="V26">INDEX(INDIRECT("PnL_"&amp;TEXT(V$1,"mmm")&amp;"_"&amp;TEXT(V$1,"yyyy")),MATCH(TRIM($A26),PnL_Accounts,0))</f>
        <v>4450</v>
      </c>
      <c r="W26" s="76">
        <f t="array" ref="W26">INDEX(INDIRECT("PnL_"&amp;TEXT(W$1,"mmm")&amp;"_"&amp;TEXT(W$1,"yyyy")),MATCH(TRIM($A26),PnL_Accounts,0))</f>
        <v>4450</v>
      </c>
      <c r="X26" s="76">
        <f t="array" ref="X26">INDEX(INDIRECT("PnL_"&amp;TEXT(X$1,"mmm")&amp;"_"&amp;TEXT(X$1,"yyyy")),MATCH(TRIM($A26),PnL_Accounts,0))</f>
        <v>4450</v>
      </c>
      <c r="Y26" s="76">
        <f t="array" ref="Y26">INDEX(INDIRECT("PnL_"&amp;TEXT(Y$1,"mmm")&amp;"_"&amp;TEXT(Y$1,"yyyy")),MATCH(TRIM($A26),PnL_Accounts,0))</f>
        <v>4450</v>
      </c>
      <c r="Z26" s="76">
        <f t="array" ref="Z26">INDEX(INDIRECT("PnL_"&amp;TEXT(Z$1,"mmm")&amp;"_"&amp;TEXT(Z$1,"yyyy")),MATCH(TRIM($A26),PnL_Accounts,0))</f>
        <v>4450</v>
      </c>
      <c r="AA26" s="76">
        <f t="array" ref="AA26">INDEX(INDIRECT("PnL_"&amp;TEXT(AA$1,"mmm")&amp;"_"&amp;TEXT(AA$1,"yyyy")),MATCH(TRIM($A26),PnL_Accounts,0))</f>
        <v>4450</v>
      </c>
      <c r="AB26" s="76">
        <f t="array" ref="AB26">INDEX(INDIRECT("PnL_"&amp;TEXT(AB$1,"mmm")&amp;"_"&amp;TEXT(AB$1,"yyyy")),MATCH(TRIM($A26),PnL_Accounts,0))</f>
        <v>4450</v>
      </c>
      <c r="AC26" s="76">
        <f t="array" ref="AC26">INDEX(INDIRECT("PnL_"&amp;TEXT(AC$1,"mmm")&amp;"_"&amp;TEXT(AC$1,"yyyy")),MATCH(TRIM($A26),PnL_Accounts,0))</f>
        <v>4450</v>
      </c>
      <c r="AD26" s="76">
        <f t="array" ref="AD26">INDEX(INDIRECT("PnL_"&amp;TEXT(AD$1,"mmm")&amp;"_"&amp;TEXT(AD$1,"yyyy")),MATCH(TRIM($A26),PnL_Accounts,0))</f>
        <v>4450</v>
      </c>
      <c r="AE26" s="76">
        <f t="array" ref="AE26">INDEX(INDIRECT("PnL_"&amp;TEXT(AE$1,"mmm")&amp;"_"&amp;TEXT(AE$1,"yyyy")),MATCH(TRIM($A26),PnL_Accounts,0))</f>
        <v>4450</v>
      </c>
      <c r="AF26" s="39">
        <f t="array" ref="AF26">INDEX(Hiring_Plan_Benefits_Engineering_Worst_Case,MATCH(AF$1,Hiring_Plan_Months_Worst_Case,0))</f>
        <v>13265</v>
      </c>
      <c r="AG26" s="39">
        <f t="array" ref="AG26">INDEX(Hiring_Plan_Benefits_Engineering_Worst_Case,MATCH(AG$1,Hiring_Plan_Months_Worst_Case,0))</f>
        <v>13265</v>
      </c>
      <c r="AH26" s="39">
        <f t="array" ref="AH26">INDEX(Hiring_Plan_Benefits_Engineering_Worst_Case,MATCH(AH$1,Hiring_Plan_Months_Worst_Case,0))</f>
        <v>13265</v>
      </c>
      <c r="AI26" s="39">
        <f t="array" ref="AI26">INDEX(Hiring_Plan_Benefits_Engineering_Worst_Case,MATCH(AI$1,Hiring_Plan_Months_Worst_Case,0))</f>
        <v>13265</v>
      </c>
      <c r="AJ26" s="39">
        <f t="array" ref="AJ26">INDEX(Hiring_Plan_Benefits_Engineering_Worst_Case,MATCH(AJ$1,Hiring_Plan_Months_Worst_Case,0))</f>
        <v>13265</v>
      </c>
      <c r="AK26" s="39">
        <f t="array" ref="AK26">INDEX(Hiring_Plan_Benefits_Engineering_Worst_Case,MATCH(AK$1,Hiring_Plan_Months_Worst_Case,0))</f>
        <v>13265</v>
      </c>
      <c r="AL26" s="39">
        <f t="array" ref="AL26">INDEX(Hiring_Plan_Benefits_Engineering_Worst_Case,MATCH(AL$1,Hiring_Plan_Months_Worst_Case,0))</f>
        <v>13265</v>
      </c>
      <c r="AM26" s="39">
        <f t="array" ref="AM26">INDEX(Hiring_Plan_Benefits_Engineering_Worst_Case,MATCH(AM$1,Hiring_Plan_Months_Worst_Case,0))</f>
        <v>13265</v>
      </c>
      <c r="AN26" s="39">
        <f t="array" ref="AN26">INDEX(Hiring_Plan_Benefits_Engineering_Worst_Case,MATCH(AN$1,Hiring_Plan_Months_Worst_Case,0))</f>
        <v>13265</v>
      </c>
      <c r="AO26" s="39">
        <f t="array" ref="AO26">INDEX(Hiring_Plan_Benefits_Engineering_Worst_Case,MATCH(AO$1,Hiring_Plan_Months_Worst_Case,0))</f>
        <v>13265</v>
      </c>
      <c r="AP26" s="39">
        <f t="array" ref="AP26">INDEX(Hiring_Plan_Benefits_Engineering_Worst_Case,MATCH(AP$1,Hiring_Plan_Months_Worst_Case,0))</f>
        <v>13265</v>
      </c>
      <c r="AQ26" s="39">
        <f t="array" ref="AQ26">INDEX(Hiring_Plan_Benefits_Engineering_Worst_Case,MATCH(AQ$1,Hiring_Plan_Months_Worst_Case,0))</f>
        <v>13265</v>
      </c>
      <c r="AR26" s="39">
        <f t="array" ref="AR26">INDEX(Hiring_Plan_Benefits_Engineering_Worst_Case,MATCH(AR$1,Hiring_Plan_Months_Worst_Case,0))</f>
        <v>13265</v>
      </c>
      <c r="AS26" s="39">
        <f t="array" ref="AS26">INDEX(Hiring_Plan_Benefits_Engineering_Worst_Case,MATCH(AS$1,Hiring_Plan_Months_Worst_Case,0))</f>
        <v>13265</v>
      </c>
      <c r="AT26" s="39">
        <f t="array" ref="AT26">INDEX(Hiring_Plan_Benefits_Engineering_Worst_Case,MATCH(AT$1,Hiring_Plan_Months_Worst_Case,0))</f>
        <v>13265</v>
      </c>
      <c r="AU26" s="39">
        <f t="array" ref="AU26">INDEX(Hiring_Plan_Benefits_Engineering_Worst_Case,MATCH(AU$1,Hiring_Plan_Months_Worst_Case,0))</f>
        <v>13265</v>
      </c>
      <c r="AV26" s="39">
        <f t="array" ref="AV26">INDEX(Hiring_Plan_Benefits_Engineering_Worst_Case,MATCH(AV$1,Hiring_Plan_Months_Worst_Case,0))</f>
        <v>13265</v>
      </c>
      <c r="AW26" s="39">
        <f t="array" ref="AW26">INDEX(Hiring_Plan_Benefits_Engineering_Worst_Case,MATCH(AW$1,Hiring_Plan_Months_Worst_Case,0))</f>
        <v>13265</v>
      </c>
      <c r="AX26" s="39">
        <f t="array" ref="AX26">INDEX(Hiring_Plan_Benefits_Engineering_Worst_Case,MATCH(AX$1,Hiring_Plan_Months_Worst_Case,0))</f>
        <v>13265</v>
      </c>
      <c r="AY26" s="39">
        <f t="array" ref="AY26">INDEX(Hiring_Plan_Benefits_Engineering_Worst_Case,MATCH(AY$1,Hiring_Plan_Months_Worst_Case,0))</f>
        <v>13265</v>
      </c>
      <c r="AZ26" s="39">
        <f t="array" ref="AZ26">INDEX(Hiring_Plan_Benefits_Engineering_Worst_Case,MATCH(AZ$1,Hiring_Plan_Months_Worst_Case,0))</f>
        <v>13265</v>
      </c>
      <c r="BA26" s="39">
        <f t="array" ref="BA26">INDEX(Hiring_Plan_Benefits_Engineering_Worst_Case,MATCH(BA$1,Hiring_Plan_Months_Worst_Case,0))</f>
        <v>13265</v>
      </c>
      <c r="BB26" s="39">
        <f t="array" ref="BB26">INDEX(Hiring_Plan_Benefits_Engineering_Worst_Case,MATCH(BB$1,Hiring_Plan_Months_Worst_Case,0))</f>
        <v>13265</v>
      </c>
      <c r="BC26" s="39">
        <f t="array" ref="BC26">INDEX(Hiring_Plan_Benefits_Engineering_Worst_Case,MATCH(BC$1,Hiring_Plan_Months_Worst_Case,0))</f>
        <v>13265</v>
      </c>
      <c r="BD26" s="39">
        <f t="array" ref="BD26">INDEX(Hiring_Plan_Benefits_Engineering_Worst_Case,MATCH(BD$1,Hiring_Plan_Months_Worst_Case,0))</f>
        <v>13265</v>
      </c>
      <c r="BE26" s="39">
        <f t="array" ref="BE26">INDEX(Hiring_Plan_Benefits_Engineering_Worst_Case,MATCH(BE$1,Hiring_Plan_Months_Worst_Case,0))</f>
        <v>13265</v>
      </c>
      <c r="BF26" s="39">
        <f t="array" ref="BF26">INDEX(Hiring_Plan_Benefits_Engineering_Worst_Case,MATCH(BF$1,Hiring_Plan_Months_Worst_Case,0))</f>
        <v>13265</v>
      </c>
      <c r="BG26" s="39">
        <f t="array" ref="BG26">INDEX(Hiring_Plan_Benefits_Engineering_Worst_Case,MATCH(BG$1,Hiring_Plan_Months_Worst_Case,0))</f>
        <v>13265</v>
      </c>
      <c r="BH26" s="39">
        <f t="array" ref="BH26">INDEX(Hiring_Plan_Benefits_Engineering_Worst_Case,MATCH(BH$1,Hiring_Plan_Months_Worst_Case,0))</f>
        <v>13265</v>
      </c>
      <c r="BI26" s="39">
        <f t="array" ref="BI26">INDEX(Hiring_Plan_Benefits_Engineering_Worst_Case,MATCH(BI$1,Hiring_Plan_Months_Worst_Case,0))</f>
        <v>13265</v>
      </c>
      <c r="BJ26" s="39">
        <f t="array" ref="BJ26">INDEX(Hiring_Plan_Benefits_Engineering_Worst_Case,MATCH(BJ$1,Hiring_Plan_Months_Worst_Case,0))</f>
        <v>13265</v>
      </c>
      <c r="BK26" s="39">
        <f t="array" ref="BK26">INDEX(Hiring_Plan_Benefits_Engineering_Worst_Case,MATCH(BK$1,Hiring_Plan_Months_Worst_Case,0))</f>
        <v>13265</v>
      </c>
      <c r="BL26" s="39">
        <f t="array" ref="BL26">INDEX(Hiring_Plan_Benefits_Engineering_Worst_Case,MATCH(BL$1,Hiring_Plan_Months_Worst_Case,0))</f>
        <v>13265</v>
      </c>
      <c r="BM26" s="39">
        <f t="array" ref="BM26">INDEX(Hiring_Plan_Benefits_Engineering_Worst_Case,MATCH(BM$1,Hiring_Plan_Months_Worst_Case,0))</f>
        <v>13265</v>
      </c>
      <c r="BN26" s="39">
        <f t="array" ref="BN26">INDEX(Hiring_Plan_Benefits_Engineering_Worst_Case,MATCH(BN$1,Hiring_Plan_Months_Worst_Case,0))</f>
        <v>13265</v>
      </c>
      <c r="BO26" s="39">
        <f t="array" ref="BO26">INDEX(Hiring_Plan_Benefits_Engineering_Worst_Case,MATCH(BO$1,Hiring_Plan_Months_Worst_Case,0))</f>
        <v>13265</v>
      </c>
      <c r="BP26" s="39">
        <f t="array" ref="BP26">INDEX(Hiring_Plan_Benefits_Engineering_Worst_Case,MATCH(BP$1,Hiring_Plan_Months_Worst_Case,0))</f>
        <v>13265</v>
      </c>
      <c r="BQ26" s="39">
        <f t="array" ref="BQ26">INDEX(Hiring_Plan_Benefits_Engineering_Worst_Case,MATCH(BQ$1,Hiring_Plan_Months_Worst_Case,0))</f>
        <v>13265</v>
      </c>
      <c r="BR26" s="39">
        <f t="array" ref="BR26">INDEX(Hiring_Plan_Benefits_Engineering_Worst_Case,MATCH(BR$1,Hiring_Plan_Months_Worst_Case,0))</f>
        <v>13265</v>
      </c>
      <c r="BS26" s="39">
        <f t="array" ref="BS26">INDEX(Hiring_Plan_Benefits_Engineering_Worst_Case,MATCH(BS$1,Hiring_Plan_Months_Worst_Case,0))</f>
        <v>13265</v>
      </c>
      <c r="BT26" s="39">
        <f t="array" ref="BT26">INDEX(Hiring_Plan_Benefits_Engineering_Worst_Case,MATCH(BT$1,Hiring_Plan_Months_Worst_Case,0))</f>
        <v>13265</v>
      </c>
      <c r="BU26" s="39">
        <f t="array" ref="BU26">INDEX(Hiring_Plan_Benefits_Engineering_Worst_Case,MATCH(BU$1,Hiring_Plan_Months_Worst_Case,0))</f>
        <v>13265</v>
      </c>
      <c r="BV26" s="39">
        <f t="array" ref="BV26">INDEX(Hiring_Plan_Benefits_Engineering_Worst_Case,MATCH(BV$1,Hiring_Plan_Months_Worst_Case,0))</f>
        <v>13265</v>
      </c>
      <c r="BW26" s="39">
        <f t="array" ref="BW26">INDEX(Hiring_Plan_Benefits_Engineering_Worst_Case,MATCH(BW$1,Hiring_Plan_Months_Worst_Case,0))</f>
        <v>13265</v>
      </c>
    </row>
    <row r="27" ht="15.75" customHeight="1">
      <c r="A27" s="1" t="s">
        <v>262</v>
      </c>
      <c r="B27" s="160">
        <f>AVERAGEIFS(27:27,$1:$1,"&gt;="&amp;DATE(YEAR(Current_Month),MONTH(Current_Month)-2,DAY(Current_Month)),$1:$1,"&lt;="&amp;EOMONTH(Current_Month,0))</f>
        <v>19450</v>
      </c>
      <c r="D27" s="76">
        <f t="array" ref="D27">INDEX(INDIRECT("PnL_"&amp;TEXT(D$1,"mmm")&amp;"_"&amp;TEXT(D$1,"yyyy")),MATCH(TRIM($A27),PnL_Accounts,0))</f>
        <v>14850</v>
      </c>
      <c r="E27" s="76">
        <f t="array" ref="E27">INDEX(INDIRECT("PnL_"&amp;TEXT(E$1,"mmm")&amp;"_"&amp;TEXT(E$1,"yyyy")),MATCH(TRIM($A27),PnL_Accounts,0))</f>
        <v>15600</v>
      </c>
      <c r="F27" s="76">
        <f t="array" ref="F27">INDEX(INDIRECT("PnL_"&amp;TEXT(F$1,"mmm")&amp;"_"&amp;TEXT(F$1,"yyyy")),MATCH(TRIM($A27),PnL_Accounts,0))</f>
        <v>16574</v>
      </c>
      <c r="G27" s="76">
        <f t="array" ref="G27">INDEX(INDIRECT("PnL_"&amp;TEXT(G$1,"mmm")&amp;"_"&amp;TEXT(G$1,"yyyy")),MATCH(TRIM($A27),PnL_Accounts,0))</f>
        <v>16574</v>
      </c>
      <c r="H27" s="76">
        <f t="array" ref="H27">INDEX(INDIRECT("PnL_"&amp;TEXT(H$1,"mmm")&amp;"_"&amp;TEXT(H$1,"yyyy")),MATCH(TRIM($A27),PnL_Accounts,0))</f>
        <v>16574</v>
      </c>
      <c r="I27" s="76">
        <f t="array" ref="I27">INDEX(INDIRECT("PnL_"&amp;TEXT(I$1,"mmm")&amp;"_"&amp;TEXT(I$1,"yyyy")),MATCH(TRIM($A27),PnL_Accounts,0))</f>
        <v>17549</v>
      </c>
      <c r="J27" s="76">
        <f t="array" ref="J27">INDEX(INDIRECT("PnL_"&amp;TEXT(J$1,"mmm")&amp;"_"&amp;TEXT(J$1,"yyyy")),MATCH(TRIM($A27),PnL_Accounts,0))</f>
        <v>17549</v>
      </c>
      <c r="K27" s="76">
        <f t="array" ref="K27">INDEX(INDIRECT("PnL_"&amp;TEXT(K$1,"mmm")&amp;"_"&amp;TEXT(K$1,"yyyy")),MATCH(TRIM($A27),PnL_Accounts,0))</f>
        <v>17549</v>
      </c>
      <c r="L27" s="76">
        <f t="array" ref="L27">INDEX(INDIRECT("PnL_"&amp;TEXT(L$1,"mmm")&amp;"_"&amp;TEXT(L$1,"yyyy")),MATCH(TRIM($A27),PnL_Accounts,0))</f>
        <v>18017</v>
      </c>
      <c r="M27" s="76">
        <f t="array" ref="M27">INDEX(INDIRECT("PnL_"&amp;TEXT(M$1,"mmm")&amp;"_"&amp;TEXT(M$1,"yyyy")),MATCH(TRIM($A27),PnL_Accounts,0))</f>
        <v>18017</v>
      </c>
      <c r="N27" s="76">
        <f t="array" ref="N27">INDEX(INDIRECT("PnL_"&amp;TEXT(N$1,"mmm")&amp;"_"&amp;TEXT(N$1,"yyyy")),MATCH(TRIM($A27),PnL_Accounts,0))</f>
        <v>18017</v>
      </c>
      <c r="O27" s="76">
        <f t="array" ref="O27">INDEX(INDIRECT("PnL_"&amp;TEXT(O$1,"mmm")&amp;"_"&amp;TEXT(O$1,"yyyy")),MATCH(TRIM($A27),PnL_Accounts,0))</f>
        <v>18962</v>
      </c>
      <c r="P27" s="76">
        <f t="array" ref="P27">INDEX(INDIRECT("PnL_"&amp;TEXT(P$1,"mmm")&amp;"_"&amp;TEXT(P$1,"yyyy")),MATCH(TRIM($A27),PnL_Accounts,0))</f>
        <v>18962</v>
      </c>
      <c r="Q27" s="76">
        <f t="array" ref="Q27">INDEX(INDIRECT("PnL_"&amp;TEXT(Q$1,"mmm")&amp;"_"&amp;TEXT(Q$1,"yyyy")),MATCH(TRIM($A27),PnL_Accounts,0))</f>
        <v>18962</v>
      </c>
      <c r="R27" s="76">
        <f t="array" ref="R27">INDEX(INDIRECT("PnL_"&amp;TEXT(R$1,"mmm")&amp;"_"&amp;TEXT(R$1,"yyyy")),MATCH(TRIM($A27),PnL_Accounts,0))</f>
        <v>18962</v>
      </c>
      <c r="S27" s="76">
        <f t="array" ref="S27">INDEX(INDIRECT("PnL_"&amp;TEXT(S$1,"mmm")&amp;"_"&amp;TEXT(S$1,"yyyy")),MATCH(TRIM($A27),PnL_Accounts,0))</f>
        <v>18962</v>
      </c>
      <c r="T27" s="76">
        <f t="array" ref="T27">INDEX(INDIRECT("PnL_"&amp;TEXT(T$1,"mmm")&amp;"_"&amp;TEXT(T$1,"yyyy")),MATCH(TRIM($A27),PnL_Accounts,0))</f>
        <v>19450</v>
      </c>
      <c r="U27" s="76">
        <f t="array" ref="U27">INDEX(INDIRECT("PnL_"&amp;TEXT(U$1,"mmm")&amp;"_"&amp;TEXT(U$1,"yyyy")),MATCH(TRIM($A27),PnL_Accounts,0))</f>
        <v>19450</v>
      </c>
      <c r="V27" s="76">
        <f t="array" ref="V27">INDEX(INDIRECT("PnL_"&amp;TEXT(V$1,"mmm")&amp;"_"&amp;TEXT(V$1,"yyyy")),MATCH(TRIM($A27),PnL_Accounts,0))</f>
        <v>19450</v>
      </c>
      <c r="W27" s="76">
        <f t="array" ref="W27">INDEX(INDIRECT("PnL_"&amp;TEXT(W$1,"mmm")&amp;"_"&amp;TEXT(W$1,"yyyy")),MATCH(TRIM($A27),PnL_Accounts,0))</f>
        <v>19450</v>
      </c>
      <c r="X27" s="76">
        <f t="array" ref="X27">INDEX(INDIRECT("PnL_"&amp;TEXT(X$1,"mmm")&amp;"_"&amp;TEXT(X$1,"yyyy")),MATCH(TRIM($A27),PnL_Accounts,0))</f>
        <v>19450</v>
      </c>
      <c r="Y27" s="76">
        <f t="array" ref="Y27">INDEX(INDIRECT("PnL_"&amp;TEXT(Y$1,"mmm")&amp;"_"&amp;TEXT(Y$1,"yyyy")),MATCH(TRIM($A27),PnL_Accounts,0))</f>
        <v>19450</v>
      </c>
      <c r="Z27" s="76">
        <f t="array" ref="Z27">INDEX(INDIRECT("PnL_"&amp;TEXT(Z$1,"mmm")&amp;"_"&amp;TEXT(Z$1,"yyyy")),MATCH(TRIM($A27),PnL_Accounts,0))</f>
        <v>19450</v>
      </c>
      <c r="AA27" s="76">
        <f t="array" ref="AA27">INDEX(INDIRECT("PnL_"&amp;TEXT(AA$1,"mmm")&amp;"_"&amp;TEXT(AA$1,"yyyy")),MATCH(TRIM($A27),PnL_Accounts,0))</f>
        <v>19450</v>
      </c>
      <c r="AB27" s="76">
        <f t="array" ref="AB27">INDEX(INDIRECT("PnL_"&amp;TEXT(AB$1,"mmm")&amp;"_"&amp;TEXT(AB$1,"yyyy")),MATCH(TRIM($A27),PnL_Accounts,0))</f>
        <v>19450</v>
      </c>
      <c r="AC27" s="76">
        <f t="array" ref="AC27">INDEX(INDIRECT("PnL_"&amp;TEXT(AC$1,"mmm")&amp;"_"&amp;TEXT(AC$1,"yyyy")),MATCH(TRIM($A27),PnL_Accounts,0))</f>
        <v>19450</v>
      </c>
      <c r="AD27" s="76">
        <f t="array" ref="AD27">INDEX(INDIRECT("PnL_"&amp;TEXT(AD$1,"mmm")&amp;"_"&amp;TEXT(AD$1,"yyyy")),MATCH(TRIM($A27),PnL_Accounts,0))</f>
        <v>19450</v>
      </c>
      <c r="AE27" s="76">
        <f t="array" ref="AE27">INDEX(INDIRECT("PnL_"&amp;TEXT(AE$1,"mmm")&amp;"_"&amp;TEXT(AE$1,"yyyy")),MATCH(TRIM($A27),PnL_Accounts,0))</f>
        <v>19450</v>
      </c>
      <c r="AF27" s="39">
        <f t="array" ref="AF27">INDEX(Hiring_Plan_Payroll_Taxes_Engineering_Worst_Case,MATCH(AF$1,Hiring_Plan_Months_Worst_Case,0))</f>
        <v>16346.25</v>
      </c>
      <c r="AG27" s="39">
        <f t="array" ref="AG27">INDEX(Hiring_Plan_Payroll_Taxes_Engineering_Worst_Case,MATCH(AG$1,Hiring_Plan_Months_Worst_Case,0))</f>
        <v>16346.25</v>
      </c>
      <c r="AH27" s="39">
        <f t="array" ref="AH27">INDEX(Hiring_Plan_Payroll_Taxes_Engineering_Worst_Case,MATCH(AH$1,Hiring_Plan_Months_Worst_Case,0))</f>
        <v>16346.25</v>
      </c>
      <c r="AI27" s="39">
        <f t="array" ref="AI27">INDEX(Hiring_Plan_Payroll_Taxes_Engineering_Worst_Case,MATCH(AI$1,Hiring_Plan_Months_Worst_Case,0))</f>
        <v>16346.25</v>
      </c>
      <c r="AJ27" s="39">
        <f t="array" ref="AJ27">INDEX(Hiring_Plan_Payroll_Taxes_Engineering_Worst_Case,MATCH(AJ$1,Hiring_Plan_Months_Worst_Case,0))</f>
        <v>16346.25</v>
      </c>
      <c r="AK27" s="39">
        <f t="array" ref="AK27">INDEX(Hiring_Plan_Payroll_Taxes_Engineering_Worst_Case,MATCH(AK$1,Hiring_Plan_Months_Worst_Case,0))</f>
        <v>16346.25</v>
      </c>
      <c r="AL27" s="39">
        <f t="array" ref="AL27">INDEX(Hiring_Plan_Payroll_Taxes_Engineering_Worst_Case,MATCH(AL$1,Hiring_Plan_Months_Worst_Case,0))</f>
        <v>16346.25</v>
      </c>
      <c r="AM27" s="39">
        <f t="array" ref="AM27">INDEX(Hiring_Plan_Payroll_Taxes_Engineering_Worst_Case,MATCH(AM$1,Hiring_Plan_Months_Worst_Case,0))</f>
        <v>16346.25</v>
      </c>
      <c r="AN27" s="39">
        <f t="array" ref="AN27">INDEX(Hiring_Plan_Payroll_Taxes_Engineering_Worst_Case,MATCH(AN$1,Hiring_Plan_Months_Worst_Case,0))</f>
        <v>16346.25</v>
      </c>
      <c r="AO27" s="39">
        <f t="array" ref="AO27">INDEX(Hiring_Plan_Payroll_Taxes_Engineering_Worst_Case,MATCH(AO$1,Hiring_Plan_Months_Worst_Case,0))</f>
        <v>16346.25</v>
      </c>
      <c r="AP27" s="39">
        <f t="array" ref="AP27">INDEX(Hiring_Plan_Payroll_Taxes_Engineering_Worst_Case,MATCH(AP$1,Hiring_Plan_Months_Worst_Case,0))</f>
        <v>16346.25</v>
      </c>
      <c r="AQ27" s="39">
        <f t="array" ref="AQ27">INDEX(Hiring_Plan_Payroll_Taxes_Engineering_Worst_Case,MATCH(AQ$1,Hiring_Plan_Months_Worst_Case,0))</f>
        <v>16346.25</v>
      </c>
      <c r="AR27" s="39">
        <f t="array" ref="AR27">INDEX(Hiring_Plan_Payroll_Taxes_Engineering_Worst_Case,MATCH(AR$1,Hiring_Plan_Months_Worst_Case,0))</f>
        <v>16346.25</v>
      </c>
      <c r="AS27" s="39">
        <f t="array" ref="AS27">INDEX(Hiring_Plan_Payroll_Taxes_Engineering_Worst_Case,MATCH(AS$1,Hiring_Plan_Months_Worst_Case,0))</f>
        <v>16346.25</v>
      </c>
      <c r="AT27" s="39">
        <f t="array" ref="AT27">INDEX(Hiring_Plan_Payroll_Taxes_Engineering_Worst_Case,MATCH(AT$1,Hiring_Plan_Months_Worst_Case,0))</f>
        <v>16346.25</v>
      </c>
      <c r="AU27" s="39">
        <f t="array" ref="AU27">INDEX(Hiring_Plan_Payroll_Taxes_Engineering_Worst_Case,MATCH(AU$1,Hiring_Plan_Months_Worst_Case,0))</f>
        <v>16346.25</v>
      </c>
      <c r="AV27" s="39">
        <f t="array" ref="AV27">INDEX(Hiring_Plan_Payroll_Taxes_Engineering_Worst_Case,MATCH(AV$1,Hiring_Plan_Months_Worst_Case,0))</f>
        <v>16346.25</v>
      </c>
      <c r="AW27" s="39">
        <f t="array" ref="AW27">INDEX(Hiring_Plan_Payroll_Taxes_Engineering_Worst_Case,MATCH(AW$1,Hiring_Plan_Months_Worst_Case,0))</f>
        <v>16346.25</v>
      </c>
      <c r="AX27" s="39">
        <f t="array" ref="AX27">INDEX(Hiring_Plan_Payroll_Taxes_Engineering_Worst_Case,MATCH(AX$1,Hiring_Plan_Months_Worst_Case,0))</f>
        <v>16346.25</v>
      </c>
      <c r="AY27" s="39">
        <f t="array" ref="AY27">INDEX(Hiring_Plan_Payroll_Taxes_Engineering_Worst_Case,MATCH(AY$1,Hiring_Plan_Months_Worst_Case,0))</f>
        <v>16346.25</v>
      </c>
      <c r="AZ27" s="39">
        <f t="array" ref="AZ27">INDEX(Hiring_Plan_Payroll_Taxes_Engineering_Worst_Case,MATCH(AZ$1,Hiring_Plan_Months_Worst_Case,0))</f>
        <v>16346.25</v>
      </c>
      <c r="BA27" s="39">
        <f t="array" ref="BA27">INDEX(Hiring_Plan_Payroll_Taxes_Engineering_Worst_Case,MATCH(BA$1,Hiring_Plan_Months_Worst_Case,0))</f>
        <v>16346.25</v>
      </c>
      <c r="BB27" s="39">
        <f t="array" ref="BB27">INDEX(Hiring_Plan_Payroll_Taxes_Engineering_Worst_Case,MATCH(BB$1,Hiring_Plan_Months_Worst_Case,0))</f>
        <v>16346.25</v>
      </c>
      <c r="BC27" s="39">
        <f t="array" ref="BC27">INDEX(Hiring_Plan_Payroll_Taxes_Engineering_Worst_Case,MATCH(BC$1,Hiring_Plan_Months_Worst_Case,0))</f>
        <v>16346.25</v>
      </c>
      <c r="BD27" s="39">
        <f t="array" ref="BD27">INDEX(Hiring_Plan_Payroll_Taxes_Engineering_Worst_Case,MATCH(BD$1,Hiring_Plan_Months_Worst_Case,0))</f>
        <v>16346.25</v>
      </c>
      <c r="BE27" s="39">
        <f t="array" ref="BE27">INDEX(Hiring_Plan_Payroll_Taxes_Engineering_Worst_Case,MATCH(BE$1,Hiring_Plan_Months_Worst_Case,0))</f>
        <v>16346.25</v>
      </c>
      <c r="BF27" s="39">
        <f t="array" ref="BF27">INDEX(Hiring_Plan_Payroll_Taxes_Engineering_Worst_Case,MATCH(BF$1,Hiring_Plan_Months_Worst_Case,0))</f>
        <v>16346.25</v>
      </c>
      <c r="BG27" s="39">
        <f t="array" ref="BG27">INDEX(Hiring_Plan_Payroll_Taxes_Engineering_Worst_Case,MATCH(BG$1,Hiring_Plan_Months_Worst_Case,0))</f>
        <v>16346.25</v>
      </c>
      <c r="BH27" s="39">
        <f t="array" ref="BH27">INDEX(Hiring_Plan_Payroll_Taxes_Engineering_Worst_Case,MATCH(BH$1,Hiring_Plan_Months_Worst_Case,0))</f>
        <v>16346.25</v>
      </c>
      <c r="BI27" s="39">
        <f t="array" ref="BI27">INDEX(Hiring_Plan_Payroll_Taxes_Engineering_Worst_Case,MATCH(BI$1,Hiring_Plan_Months_Worst_Case,0))</f>
        <v>16346.25</v>
      </c>
      <c r="BJ27" s="39">
        <f t="array" ref="BJ27">INDEX(Hiring_Plan_Payroll_Taxes_Engineering_Worst_Case,MATCH(BJ$1,Hiring_Plan_Months_Worst_Case,0))</f>
        <v>16346.25</v>
      </c>
      <c r="BK27" s="39">
        <f t="array" ref="BK27">INDEX(Hiring_Plan_Payroll_Taxes_Engineering_Worst_Case,MATCH(BK$1,Hiring_Plan_Months_Worst_Case,0))</f>
        <v>16346.25</v>
      </c>
      <c r="BL27" s="39">
        <f t="array" ref="BL27">INDEX(Hiring_Plan_Payroll_Taxes_Engineering_Worst_Case,MATCH(BL$1,Hiring_Plan_Months_Worst_Case,0))</f>
        <v>16346.25</v>
      </c>
      <c r="BM27" s="39">
        <f t="array" ref="BM27">INDEX(Hiring_Plan_Payroll_Taxes_Engineering_Worst_Case,MATCH(BM$1,Hiring_Plan_Months_Worst_Case,0))</f>
        <v>16346.25</v>
      </c>
      <c r="BN27" s="39">
        <f t="array" ref="BN27">INDEX(Hiring_Plan_Payroll_Taxes_Engineering_Worst_Case,MATCH(BN$1,Hiring_Plan_Months_Worst_Case,0))</f>
        <v>16346.25</v>
      </c>
      <c r="BO27" s="39">
        <f t="array" ref="BO27">INDEX(Hiring_Plan_Payroll_Taxes_Engineering_Worst_Case,MATCH(BO$1,Hiring_Plan_Months_Worst_Case,0))</f>
        <v>16346.25</v>
      </c>
      <c r="BP27" s="39">
        <f t="array" ref="BP27">INDEX(Hiring_Plan_Payroll_Taxes_Engineering_Worst_Case,MATCH(BP$1,Hiring_Plan_Months_Worst_Case,0))</f>
        <v>16346.25</v>
      </c>
      <c r="BQ27" s="39">
        <f t="array" ref="BQ27">INDEX(Hiring_Plan_Payroll_Taxes_Engineering_Worst_Case,MATCH(BQ$1,Hiring_Plan_Months_Worst_Case,0))</f>
        <v>16346.25</v>
      </c>
      <c r="BR27" s="39">
        <f t="array" ref="BR27">INDEX(Hiring_Plan_Payroll_Taxes_Engineering_Worst_Case,MATCH(BR$1,Hiring_Plan_Months_Worst_Case,0))</f>
        <v>16346.25</v>
      </c>
      <c r="BS27" s="39">
        <f t="array" ref="BS27">INDEX(Hiring_Plan_Payroll_Taxes_Engineering_Worst_Case,MATCH(BS$1,Hiring_Plan_Months_Worst_Case,0))</f>
        <v>16346.25</v>
      </c>
      <c r="BT27" s="39">
        <f t="array" ref="BT27">INDEX(Hiring_Plan_Payroll_Taxes_Engineering_Worst_Case,MATCH(BT$1,Hiring_Plan_Months_Worst_Case,0))</f>
        <v>16346.25</v>
      </c>
      <c r="BU27" s="39">
        <f t="array" ref="BU27">INDEX(Hiring_Plan_Payroll_Taxes_Engineering_Worst_Case,MATCH(BU$1,Hiring_Plan_Months_Worst_Case,0))</f>
        <v>16346.25</v>
      </c>
      <c r="BV27" s="39">
        <f t="array" ref="BV27">INDEX(Hiring_Plan_Payroll_Taxes_Engineering_Worst_Case,MATCH(BV$1,Hiring_Plan_Months_Worst_Case,0))</f>
        <v>16346.25</v>
      </c>
      <c r="BW27" s="39">
        <f t="array" ref="BW27">INDEX(Hiring_Plan_Payroll_Taxes_Engineering_Worst_Case,MATCH(BW$1,Hiring_Plan_Months_Worst_Case,0))</f>
        <v>16346.25</v>
      </c>
    </row>
    <row r="28" ht="15.75" customHeight="1">
      <c r="A28" s="1" t="s">
        <v>263</v>
      </c>
      <c r="B28" s="160">
        <f>AVERAGEIFS(28:28,$1:$1,"&gt;="&amp;DATE(YEAR(Current_Month),MONTH(Current_Month)-2,DAY(Current_Month)),$1:$1,"&lt;="&amp;EOMONTH(Current_Month,0))</f>
        <v>225052</v>
      </c>
      <c r="D28" s="76">
        <f t="array" ref="D28">INDEX(INDIRECT("PnL_"&amp;TEXT(D$1,"mmm")&amp;"_"&amp;TEXT(D$1,"yyyy")),MATCH(TRIM($A28),PnL_Accounts,0))</f>
        <v>165000</v>
      </c>
      <c r="E28" s="76">
        <f t="array" ref="E28">INDEX(INDIRECT("PnL_"&amp;TEXT(E$1,"mmm")&amp;"_"&amp;TEXT(E$1,"yyyy")),MATCH(TRIM($A28),PnL_Accounts,0))</f>
        <v>173328</v>
      </c>
      <c r="F28" s="76">
        <f t="array" ref="F28">INDEX(INDIRECT("PnL_"&amp;TEXT(F$1,"mmm")&amp;"_"&amp;TEXT(F$1,"yyyy")),MATCH(TRIM($A28),PnL_Accounts,0))</f>
        <v>184161</v>
      </c>
      <c r="G28" s="76">
        <f t="array" ref="G28">INDEX(INDIRECT("PnL_"&amp;TEXT(G$1,"mmm")&amp;"_"&amp;TEXT(G$1,"yyyy")),MATCH(TRIM($A28),PnL_Accounts,0))</f>
        <v>184161</v>
      </c>
      <c r="H28" s="76">
        <f t="array" ref="H28">INDEX(INDIRECT("PnL_"&amp;TEXT(H$1,"mmm")&amp;"_"&amp;TEXT(H$1,"yyyy")),MATCH(TRIM($A28),PnL_Accounts,0))</f>
        <v>184161</v>
      </c>
      <c r="I28" s="76">
        <f t="array" ref="I28">INDEX(INDIRECT("PnL_"&amp;TEXT(I$1,"mmm")&amp;"_"&amp;TEXT(I$1,"yyyy")),MATCH(TRIM($A28),PnL_Accounts,0))</f>
        <v>194994</v>
      </c>
      <c r="J28" s="76">
        <f t="array" ref="J28">INDEX(INDIRECT("PnL_"&amp;TEXT(J$1,"mmm")&amp;"_"&amp;TEXT(J$1,"yyyy")),MATCH(TRIM($A28),PnL_Accounts,0))</f>
        <v>194994</v>
      </c>
      <c r="K28" s="76">
        <f t="array" ref="K28">INDEX(INDIRECT("PnL_"&amp;TEXT(K$1,"mmm")&amp;"_"&amp;TEXT(K$1,"yyyy")),MATCH(TRIM($A28),PnL_Accounts,0))</f>
        <v>194994</v>
      </c>
      <c r="L28" s="76">
        <f t="array" ref="L28">INDEX(INDIRECT("PnL_"&amp;TEXT(L$1,"mmm")&amp;"_"&amp;TEXT(L$1,"yyyy")),MATCH(TRIM($A28),PnL_Accounts,0))</f>
        <v>200194</v>
      </c>
      <c r="M28" s="76">
        <f t="array" ref="M28">INDEX(INDIRECT("PnL_"&amp;TEXT(M$1,"mmm")&amp;"_"&amp;TEXT(M$1,"yyyy")),MATCH(TRIM($A28),PnL_Accounts,0))</f>
        <v>200194</v>
      </c>
      <c r="N28" s="76">
        <f t="array" ref="N28">INDEX(INDIRECT("PnL_"&amp;TEXT(N$1,"mmm")&amp;"_"&amp;TEXT(N$1,"yyyy")),MATCH(TRIM($A28),PnL_Accounts,0))</f>
        <v>200194</v>
      </c>
      <c r="O28" s="76">
        <f t="array" ref="O28">INDEX(INDIRECT("PnL_"&amp;TEXT(O$1,"mmm")&amp;"_"&amp;TEXT(O$1,"yyyy")),MATCH(TRIM($A28),PnL_Accounts,0))</f>
        <v>210694</v>
      </c>
      <c r="P28" s="76">
        <f t="array" ref="P28">INDEX(INDIRECT("PnL_"&amp;TEXT(P$1,"mmm")&amp;"_"&amp;TEXT(P$1,"yyyy")),MATCH(TRIM($A28),PnL_Accounts,0))</f>
        <v>210694</v>
      </c>
      <c r="Q28" s="76">
        <f t="array" ref="Q28">INDEX(INDIRECT("PnL_"&amp;TEXT(Q$1,"mmm")&amp;"_"&amp;TEXT(Q$1,"yyyy")),MATCH(TRIM($A28),PnL_Accounts,0))</f>
        <v>210694</v>
      </c>
      <c r="R28" s="76">
        <f t="array" ref="R28">INDEX(INDIRECT("PnL_"&amp;TEXT(R$1,"mmm")&amp;"_"&amp;TEXT(R$1,"yyyy")),MATCH(TRIM($A28),PnL_Accounts,0))</f>
        <v>210694</v>
      </c>
      <c r="S28" s="76">
        <f t="array" ref="S28">INDEX(INDIRECT("PnL_"&amp;TEXT(S$1,"mmm")&amp;"_"&amp;TEXT(S$1,"yyyy")),MATCH(TRIM($A28),PnL_Accounts,0))</f>
        <v>210694</v>
      </c>
      <c r="T28" s="76">
        <f t="array" ref="T28">INDEX(INDIRECT("PnL_"&amp;TEXT(T$1,"mmm")&amp;"_"&amp;TEXT(T$1,"yyyy")),MATCH(TRIM($A28),PnL_Accounts,0))</f>
        <v>215694</v>
      </c>
      <c r="U28" s="76">
        <f t="array" ref="U28">INDEX(INDIRECT("PnL_"&amp;TEXT(U$1,"mmm")&amp;"_"&amp;TEXT(U$1,"yyyy")),MATCH(TRIM($A28),PnL_Accounts,0))</f>
        <v>215694</v>
      </c>
      <c r="V28" s="76">
        <f t="array" ref="V28">INDEX(INDIRECT("PnL_"&amp;TEXT(V$1,"mmm")&amp;"_"&amp;TEXT(V$1,"yyyy")),MATCH(TRIM($A28),PnL_Accounts,0))</f>
        <v>215694</v>
      </c>
      <c r="W28" s="76">
        <f t="array" ref="W28">INDEX(INDIRECT("PnL_"&amp;TEXT(W$1,"mmm")&amp;"_"&amp;TEXT(W$1,"yyyy")),MATCH(TRIM($A28),PnL_Accounts,0))</f>
        <v>215694</v>
      </c>
      <c r="X28" s="76">
        <f t="array" ref="X28">INDEX(INDIRECT("PnL_"&amp;TEXT(X$1,"mmm")&amp;"_"&amp;TEXT(X$1,"yyyy")),MATCH(TRIM($A28),PnL_Accounts,0))</f>
        <v>215694</v>
      </c>
      <c r="Y28" s="76">
        <f t="array" ref="Y28">INDEX(INDIRECT("PnL_"&amp;TEXT(Y$1,"mmm")&amp;"_"&amp;TEXT(Y$1,"yyyy")),MATCH(TRIM($A28),PnL_Accounts,0))</f>
        <v>225052</v>
      </c>
      <c r="Z28" s="76">
        <f t="array" ref="Z28">INDEX(INDIRECT("PnL_"&amp;TEXT(Z$1,"mmm")&amp;"_"&amp;TEXT(Z$1,"yyyy")),MATCH(TRIM($A28),PnL_Accounts,0))</f>
        <v>225052</v>
      </c>
      <c r="AA28" s="76">
        <f t="array" ref="AA28">INDEX(INDIRECT("PnL_"&amp;TEXT(AA$1,"mmm")&amp;"_"&amp;TEXT(AA$1,"yyyy")),MATCH(TRIM($A28),PnL_Accounts,0))</f>
        <v>225052</v>
      </c>
      <c r="AB28" s="76">
        <f t="array" ref="AB28">INDEX(INDIRECT("PnL_"&amp;TEXT(AB$1,"mmm")&amp;"_"&amp;TEXT(AB$1,"yyyy")),MATCH(TRIM($A28),PnL_Accounts,0))</f>
        <v>225052</v>
      </c>
      <c r="AC28" s="76">
        <f t="array" ref="AC28">INDEX(INDIRECT("PnL_"&amp;TEXT(AC$1,"mmm")&amp;"_"&amp;TEXT(AC$1,"yyyy")),MATCH(TRIM($A28),PnL_Accounts,0))</f>
        <v>225052</v>
      </c>
      <c r="AD28" s="76">
        <f t="array" ref="AD28">INDEX(INDIRECT("PnL_"&amp;TEXT(AD$1,"mmm")&amp;"_"&amp;TEXT(AD$1,"yyyy")),MATCH(TRIM($A28),PnL_Accounts,0))</f>
        <v>225052</v>
      </c>
      <c r="AE28" s="76">
        <f t="array" ref="AE28">INDEX(INDIRECT("PnL_"&amp;TEXT(AE$1,"mmm")&amp;"_"&amp;TEXT(AE$1,"yyyy")),MATCH(TRIM($A28),PnL_Accounts,0))</f>
        <v>225052</v>
      </c>
      <c r="AF28" s="39">
        <f t="array" ref="AF28">INDEX(Hiring_Plan_Salaries_Engineering_Worst_Case,MATCH(AF$1,Hiring_Plan_Months_Worst_Case,0))</f>
        <v>181625</v>
      </c>
      <c r="AG28" s="39">
        <f t="array" ref="AG28">INDEX(Hiring_Plan_Salaries_Engineering_Worst_Case,MATCH(AG$1,Hiring_Plan_Months_Worst_Case,0))</f>
        <v>181625</v>
      </c>
      <c r="AH28" s="39">
        <f t="array" ref="AH28">INDEX(Hiring_Plan_Salaries_Engineering_Worst_Case,MATCH(AH$1,Hiring_Plan_Months_Worst_Case,0))</f>
        <v>181625</v>
      </c>
      <c r="AI28" s="39">
        <f t="array" ref="AI28">INDEX(Hiring_Plan_Salaries_Engineering_Worst_Case,MATCH(AI$1,Hiring_Plan_Months_Worst_Case,0))</f>
        <v>181625</v>
      </c>
      <c r="AJ28" s="39">
        <f t="array" ref="AJ28">INDEX(Hiring_Plan_Salaries_Engineering_Worst_Case,MATCH(AJ$1,Hiring_Plan_Months_Worst_Case,0))</f>
        <v>181625</v>
      </c>
      <c r="AK28" s="39">
        <f t="array" ref="AK28">INDEX(Hiring_Plan_Salaries_Engineering_Worst_Case,MATCH(AK$1,Hiring_Plan_Months_Worst_Case,0))</f>
        <v>181625</v>
      </c>
      <c r="AL28" s="39">
        <f t="array" ref="AL28">INDEX(Hiring_Plan_Salaries_Engineering_Worst_Case,MATCH(AL$1,Hiring_Plan_Months_Worst_Case,0))</f>
        <v>181625</v>
      </c>
      <c r="AM28" s="39">
        <f t="array" ref="AM28">INDEX(Hiring_Plan_Salaries_Engineering_Worst_Case,MATCH(AM$1,Hiring_Plan_Months_Worst_Case,0))</f>
        <v>181625</v>
      </c>
      <c r="AN28" s="39">
        <f t="array" ref="AN28">INDEX(Hiring_Plan_Salaries_Engineering_Worst_Case,MATCH(AN$1,Hiring_Plan_Months_Worst_Case,0))</f>
        <v>181625</v>
      </c>
      <c r="AO28" s="39">
        <f t="array" ref="AO28">INDEX(Hiring_Plan_Salaries_Engineering_Worst_Case,MATCH(AO$1,Hiring_Plan_Months_Worst_Case,0))</f>
        <v>181625</v>
      </c>
      <c r="AP28" s="39">
        <f t="array" ref="AP28">INDEX(Hiring_Plan_Salaries_Engineering_Worst_Case,MATCH(AP$1,Hiring_Plan_Months_Worst_Case,0))</f>
        <v>181625</v>
      </c>
      <c r="AQ28" s="39">
        <f t="array" ref="AQ28">INDEX(Hiring_Plan_Salaries_Engineering_Worst_Case,MATCH(AQ$1,Hiring_Plan_Months_Worst_Case,0))</f>
        <v>181625</v>
      </c>
      <c r="AR28" s="39">
        <f t="array" ref="AR28">INDEX(Hiring_Plan_Salaries_Engineering_Worst_Case,MATCH(AR$1,Hiring_Plan_Months_Worst_Case,0))</f>
        <v>181625</v>
      </c>
      <c r="AS28" s="39">
        <f t="array" ref="AS28">INDEX(Hiring_Plan_Salaries_Engineering_Worst_Case,MATCH(AS$1,Hiring_Plan_Months_Worst_Case,0))</f>
        <v>181625</v>
      </c>
      <c r="AT28" s="39">
        <f t="array" ref="AT28">INDEX(Hiring_Plan_Salaries_Engineering_Worst_Case,MATCH(AT$1,Hiring_Plan_Months_Worst_Case,0))</f>
        <v>181625</v>
      </c>
      <c r="AU28" s="39">
        <f t="array" ref="AU28">INDEX(Hiring_Plan_Salaries_Engineering_Worst_Case,MATCH(AU$1,Hiring_Plan_Months_Worst_Case,0))</f>
        <v>181625</v>
      </c>
      <c r="AV28" s="39">
        <f t="array" ref="AV28">INDEX(Hiring_Plan_Salaries_Engineering_Worst_Case,MATCH(AV$1,Hiring_Plan_Months_Worst_Case,0))</f>
        <v>181625</v>
      </c>
      <c r="AW28" s="39">
        <f t="array" ref="AW28">INDEX(Hiring_Plan_Salaries_Engineering_Worst_Case,MATCH(AW$1,Hiring_Plan_Months_Worst_Case,0))</f>
        <v>181625</v>
      </c>
      <c r="AX28" s="39">
        <f t="array" ref="AX28">INDEX(Hiring_Plan_Salaries_Engineering_Worst_Case,MATCH(AX$1,Hiring_Plan_Months_Worst_Case,0))</f>
        <v>181625</v>
      </c>
      <c r="AY28" s="39">
        <f t="array" ref="AY28">INDEX(Hiring_Plan_Salaries_Engineering_Worst_Case,MATCH(AY$1,Hiring_Plan_Months_Worst_Case,0))</f>
        <v>181625</v>
      </c>
      <c r="AZ28" s="39">
        <f t="array" ref="AZ28">INDEX(Hiring_Plan_Salaries_Engineering_Worst_Case,MATCH(AZ$1,Hiring_Plan_Months_Worst_Case,0))</f>
        <v>181625</v>
      </c>
      <c r="BA28" s="39">
        <f t="array" ref="BA28">INDEX(Hiring_Plan_Salaries_Engineering_Worst_Case,MATCH(BA$1,Hiring_Plan_Months_Worst_Case,0))</f>
        <v>181625</v>
      </c>
      <c r="BB28" s="39">
        <f t="array" ref="BB28">INDEX(Hiring_Plan_Salaries_Engineering_Worst_Case,MATCH(BB$1,Hiring_Plan_Months_Worst_Case,0))</f>
        <v>181625</v>
      </c>
      <c r="BC28" s="39">
        <f t="array" ref="BC28">INDEX(Hiring_Plan_Salaries_Engineering_Worst_Case,MATCH(BC$1,Hiring_Plan_Months_Worst_Case,0))</f>
        <v>181625</v>
      </c>
      <c r="BD28" s="39">
        <f t="array" ref="BD28">INDEX(Hiring_Plan_Salaries_Engineering_Worst_Case,MATCH(BD$1,Hiring_Plan_Months_Worst_Case,0))</f>
        <v>181625</v>
      </c>
      <c r="BE28" s="39">
        <f t="array" ref="BE28">INDEX(Hiring_Plan_Salaries_Engineering_Worst_Case,MATCH(BE$1,Hiring_Plan_Months_Worst_Case,0))</f>
        <v>181625</v>
      </c>
      <c r="BF28" s="39">
        <f t="array" ref="BF28">INDEX(Hiring_Plan_Salaries_Engineering_Worst_Case,MATCH(BF$1,Hiring_Plan_Months_Worst_Case,0))</f>
        <v>181625</v>
      </c>
      <c r="BG28" s="39">
        <f t="array" ref="BG28">INDEX(Hiring_Plan_Salaries_Engineering_Worst_Case,MATCH(BG$1,Hiring_Plan_Months_Worst_Case,0))</f>
        <v>181625</v>
      </c>
      <c r="BH28" s="39">
        <f t="array" ref="BH28">INDEX(Hiring_Plan_Salaries_Engineering_Worst_Case,MATCH(BH$1,Hiring_Plan_Months_Worst_Case,0))</f>
        <v>181625</v>
      </c>
      <c r="BI28" s="39">
        <f t="array" ref="BI28">INDEX(Hiring_Plan_Salaries_Engineering_Worst_Case,MATCH(BI$1,Hiring_Plan_Months_Worst_Case,0))</f>
        <v>181625</v>
      </c>
      <c r="BJ28" s="39">
        <f t="array" ref="BJ28">INDEX(Hiring_Plan_Salaries_Engineering_Worst_Case,MATCH(BJ$1,Hiring_Plan_Months_Worst_Case,0))</f>
        <v>181625</v>
      </c>
      <c r="BK28" s="39">
        <f t="array" ref="BK28">INDEX(Hiring_Plan_Salaries_Engineering_Worst_Case,MATCH(BK$1,Hiring_Plan_Months_Worst_Case,0))</f>
        <v>181625</v>
      </c>
      <c r="BL28" s="39">
        <f t="array" ref="BL28">INDEX(Hiring_Plan_Salaries_Engineering_Worst_Case,MATCH(BL$1,Hiring_Plan_Months_Worst_Case,0))</f>
        <v>181625</v>
      </c>
      <c r="BM28" s="39">
        <f t="array" ref="BM28">INDEX(Hiring_Plan_Salaries_Engineering_Worst_Case,MATCH(BM$1,Hiring_Plan_Months_Worst_Case,0))</f>
        <v>181625</v>
      </c>
      <c r="BN28" s="39">
        <f t="array" ref="BN28">INDEX(Hiring_Plan_Salaries_Engineering_Worst_Case,MATCH(BN$1,Hiring_Plan_Months_Worst_Case,0))</f>
        <v>181625</v>
      </c>
      <c r="BO28" s="39">
        <f t="array" ref="BO28">INDEX(Hiring_Plan_Salaries_Engineering_Worst_Case,MATCH(BO$1,Hiring_Plan_Months_Worst_Case,0))</f>
        <v>181625</v>
      </c>
      <c r="BP28" s="39">
        <f t="array" ref="BP28">INDEX(Hiring_Plan_Salaries_Engineering_Worst_Case,MATCH(BP$1,Hiring_Plan_Months_Worst_Case,0))</f>
        <v>181625</v>
      </c>
      <c r="BQ28" s="39">
        <f t="array" ref="BQ28">INDEX(Hiring_Plan_Salaries_Engineering_Worst_Case,MATCH(BQ$1,Hiring_Plan_Months_Worst_Case,0))</f>
        <v>181625</v>
      </c>
      <c r="BR28" s="39">
        <f t="array" ref="BR28">INDEX(Hiring_Plan_Salaries_Engineering_Worst_Case,MATCH(BR$1,Hiring_Plan_Months_Worst_Case,0))</f>
        <v>181625</v>
      </c>
      <c r="BS28" s="39">
        <f t="array" ref="BS28">INDEX(Hiring_Plan_Salaries_Engineering_Worst_Case,MATCH(BS$1,Hiring_Plan_Months_Worst_Case,0))</f>
        <v>181625</v>
      </c>
      <c r="BT28" s="39">
        <f t="array" ref="BT28">INDEX(Hiring_Plan_Salaries_Engineering_Worst_Case,MATCH(BT$1,Hiring_Plan_Months_Worst_Case,0))</f>
        <v>181625</v>
      </c>
      <c r="BU28" s="39">
        <f t="array" ref="BU28">INDEX(Hiring_Plan_Salaries_Engineering_Worst_Case,MATCH(BU$1,Hiring_Plan_Months_Worst_Case,0))</f>
        <v>181625</v>
      </c>
      <c r="BV28" s="39">
        <f t="array" ref="BV28">INDEX(Hiring_Plan_Salaries_Engineering_Worst_Case,MATCH(BV$1,Hiring_Plan_Months_Worst_Case,0))</f>
        <v>181625</v>
      </c>
      <c r="BW28" s="39">
        <f t="array" ref="BW28">INDEX(Hiring_Plan_Salaries_Engineering_Worst_Case,MATCH(BW$1,Hiring_Plan_Months_Worst_Case,0))</f>
        <v>181625</v>
      </c>
    </row>
    <row r="29" ht="15.75" customHeight="1">
      <c r="A29" s="21" t="s">
        <v>264</v>
      </c>
      <c r="B29" s="163"/>
      <c r="C29" s="21"/>
      <c r="D29" s="157">
        <f t="shared" ref="D29:BW29" si="10">SUM(D25:D28)</f>
        <v>182816</v>
      </c>
      <c r="E29" s="157">
        <f t="shared" si="10"/>
        <v>192092</v>
      </c>
      <c r="F29" s="157">
        <f t="shared" si="10"/>
        <v>204096</v>
      </c>
      <c r="G29" s="157">
        <f t="shared" si="10"/>
        <v>204096</v>
      </c>
      <c r="H29" s="157">
        <f t="shared" si="10"/>
        <v>204096</v>
      </c>
      <c r="I29" s="157">
        <f t="shared" si="10"/>
        <v>216102</v>
      </c>
      <c r="J29" s="157">
        <f t="shared" si="10"/>
        <v>216102</v>
      </c>
      <c r="K29" s="157">
        <f t="shared" si="10"/>
        <v>216102</v>
      </c>
      <c r="L29" s="157">
        <f t="shared" si="10"/>
        <v>221967</v>
      </c>
      <c r="M29" s="157">
        <f t="shared" si="10"/>
        <v>221967</v>
      </c>
      <c r="N29" s="157">
        <f t="shared" si="10"/>
        <v>221967</v>
      </c>
      <c r="O29" s="157">
        <f t="shared" si="10"/>
        <v>233806</v>
      </c>
      <c r="P29" s="157">
        <f t="shared" si="10"/>
        <v>233806</v>
      </c>
      <c r="Q29" s="157">
        <f t="shared" si="10"/>
        <v>233806</v>
      </c>
      <c r="R29" s="157">
        <f t="shared" si="10"/>
        <v>233806</v>
      </c>
      <c r="S29" s="157">
        <f t="shared" si="10"/>
        <v>233806</v>
      </c>
      <c r="T29" s="157">
        <f t="shared" si="10"/>
        <v>239594</v>
      </c>
      <c r="U29" s="157">
        <f t="shared" si="10"/>
        <v>239594</v>
      </c>
      <c r="V29" s="157">
        <f t="shared" si="10"/>
        <v>239594</v>
      </c>
      <c r="W29" s="157">
        <f t="shared" si="10"/>
        <v>239594</v>
      </c>
      <c r="X29" s="157">
        <f t="shared" si="10"/>
        <v>239594</v>
      </c>
      <c r="Y29" s="157">
        <f t="shared" si="10"/>
        <v>248952</v>
      </c>
      <c r="Z29" s="157">
        <f t="shared" si="10"/>
        <v>248952</v>
      </c>
      <c r="AA29" s="157">
        <f t="shared" si="10"/>
        <v>248952</v>
      </c>
      <c r="AB29" s="157">
        <f t="shared" si="10"/>
        <v>248952</v>
      </c>
      <c r="AC29" s="157">
        <f t="shared" si="10"/>
        <v>248952</v>
      </c>
      <c r="AD29" s="157">
        <f t="shared" si="10"/>
        <v>248952</v>
      </c>
      <c r="AE29" s="157">
        <f t="shared" si="10"/>
        <v>248952</v>
      </c>
      <c r="AF29" s="157">
        <f t="shared" si="10"/>
        <v>211236.25</v>
      </c>
      <c r="AG29" s="157">
        <f t="shared" si="10"/>
        <v>211236.25</v>
      </c>
      <c r="AH29" s="157">
        <f t="shared" si="10"/>
        <v>211236.25</v>
      </c>
      <c r="AI29" s="157">
        <f t="shared" si="10"/>
        <v>211236.25</v>
      </c>
      <c r="AJ29" s="157">
        <f t="shared" si="10"/>
        <v>211236.25</v>
      </c>
      <c r="AK29" s="157">
        <f t="shared" si="10"/>
        <v>211236.25</v>
      </c>
      <c r="AL29" s="157">
        <f t="shared" si="10"/>
        <v>211236.25</v>
      </c>
      <c r="AM29" s="157">
        <f t="shared" si="10"/>
        <v>211236.25</v>
      </c>
      <c r="AN29" s="157">
        <f t="shared" si="10"/>
        <v>211236.25</v>
      </c>
      <c r="AO29" s="157">
        <f t="shared" si="10"/>
        <v>211236.25</v>
      </c>
      <c r="AP29" s="157">
        <f t="shared" si="10"/>
        <v>211236.25</v>
      </c>
      <c r="AQ29" s="157">
        <f t="shared" si="10"/>
        <v>211236.25</v>
      </c>
      <c r="AR29" s="157">
        <f t="shared" si="10"/>
        <v>211236.25</v>
      </c>
      <c r="AS29" s="157">
        <f t="shared" si="10"/>
        <v>211236.25</v>
      </c>
      <c r="AT29" s="157">
        <f t="shared" si="10"/>
        <v>211236.25</v>
      </c>
      <c r="AU29" s="157">
        <f t="shared" si="10"/>
        <v>211236.25</v>
      </c>
      <c r="AV29" s="157">
        <f t="shared" si="10"/>
        <v>211236.25</v>
      </c>
      <c r="AW29" s="157">
        <f t="shared" si="10"/>
        <v>211236.25</v>
      </c>
      <c r="AX29" s="157">
        <f t="shared" si="10"/>
        <v>211236.25</v>
      </c>
      <c r="AY29" s="157">
        <f t="shared" si="10"/>
        <v>211236.25</v>
      </c>
      <c r="AZ29" s="157">
        <f t="shared" si="10"/>
        <v>211236.25</v>
      </c>
      <c r="BA29" s="157">
        <f t="shared" si="10"/>
        <v>211236.25</v>
      </c>
      <c r="BB29" s="157">
        <f t="shared" si="10"/>
        <v>211236.25</v>
      </c>
      <c r="BC29" s="157">
        <f t="shared" si="10"/>
        <v>211236.25</v>
      </c>
      <c r="BD29" s="157">
        <f t="shared" si="10"/>
        <v>211236.25</v>
      </c>
      <c r="BE29" s="157">
        <f t="shared" si="10"/>
        <v>211236.25</v>
      </c>
      <c r="BF29" s="157">
        <f t="shared" si="10"/>
        <v>211236.25</v>
      </c>
      <c r="BG29" s="157">
        <f t="shared" si="10"/>
        <v>211236.25</v>
      </c>
      <c r="BH29" s="157">
        <f t="shared" si="10"/>
        <v>211236.25</v>
      </c>
      <c r="BI29" s="157">
        <f t="shared" si="10"/>
        <v>211236.25</v>
      </c>
      <c r="BJ29" s="157">
        <f t="shared" si="10"/>
        <v>211236.25</v>
      </c>
      <c r="BK29" s="157">
        <f t="shared" si="10"/>
        <v>211236.25</v>
      </c>
      <c r="BL29" s="157">
        <f t="shared" si="10"/>
        <v>211236.25</v>
      </c>
      <c r="BM29" s="157">
        <f t="shared" si="10"/>
        <v>211236.25</v>
      </c>
      <c r="BN29" s="157">
        <f t="shared" si="10"/>
        <v>211236.25</v>
      </c>
      <c r="BO29" s="157">
        <f t="shared" si="10"/>
        <v>211236.25</v>
      </c>
      <c r="BP29" s="157">
        <f t="shared" si="10"/>
        <v>211236.25</v>
      </c>
      <c r="BQ29" s="157">
        <f t="shared" si="10"/>
        <v>211236.25</v>
      </c>
      <c r="BR29" s="157">
        <f t="shared" si="10"/>
        <v>211236.25</v>
      </c>
      <c r="BS29" s="157">
        <f t="shared" si="10"/>
        <v>211236.25</v>
      </c>
      <c r="BT29" s="157">
        <f t="shared" si="10"/>
        <v>211236.25</v>
      </c>
      <c r="BU29" s="157">
        <f t="shared" si="10"/>
        <v>211236.25</v>
      </c>
      <c r="BV29" s="157">
        <f t="shared" si="10"/>
        <v>211236.25</v>
      </c>
      <c r="BW29" s="157">
        <f t="shared" si="10"/>
        <v>211236.25</v>
      </c>
    </row>
    <row r="30" ht="15.75" customHeight="1">
      <c r="A30" s="21" t="s">
        <v>265</v>
      </c>
      <c r="B30" s="163"/>
      <c r="C30" s="21"/>
      <c r="D30" s="157">
        <f t="shared" ref="D30:BW30" si="11">SUM(D29,D24)</f>
        <v>203616</v>
      </c>
      <c r="E30" s="157">
        <f t="shared" si="11"/>
        <v>213254</v>
      </c>
      <c r="F30" s="157">
        <f t="shared" si="11"/>
        <v>228112</v>
      </c>
      <c r="G30" s="157">
        <f t="shared" si="11"/>
        <v>228156</v>
      </c>
      <c r="H30" s="157">
        <f t="shared" si="11"/>
        <v>227917</v>
      </c>
      <c r="I30" s="157">
        <f t="shared" si="11"/>
        <v>239328</v>
      </c>
      <c r="J30" s="157">
        <f t="shared" si="11"/>
        <v>240162</v>
      </c>
      <c r="K30" s="157">
        <f t="shared" si="11"/>
        <v>242532</v>
      </c>
      <c r="L30" s="157">
        <f t="shared" si="11"/>
        <v>245467</v>
      </c>
      <c r="M30" s="157">
        <f t="shared" si="11"/>
        <v>249787</v>
      </c>
      <c r="N30" s="157">
        <f t="shared" si="11"/>
        <v>251307</v>
      </c>
      <c r="O30" s="157">
        <f t="shared" si="11"/>
        <v>261226</v>
      </c>
      <c r="P30" s="157">
        <f t="shared" si="11"/>
        <v>260726</v>
      </c>
      <c r="Q30" s="157">
        <f t="shared" si="11"/>
        <v>261699</v>
      </c>
      <c r="R30" s="157">
        <f t="shared" si="11"/>
        <v>261699</v>
      </c>
      <c r="S30" s="157">
        <f t="shared" si="11"/>
        <v>263687</v>
      </c>
      <c r="T30" s="157">
        <f t="shared" si="11"/>
        <v>268487</v>
      </c>
      <c r="U30" s="157">
        <f t="shared" si="11"/>
        <v>267252</v>
      </c>
      <c r="V30" s="157">
        <f t="shared" si="11"/>
        <v>266881</v>
      </c>
      <c r="W30" s="157">
        <f t="shared" si="11"/>
        <v>269416</v>
      </c>
      <c r="X30" s="157">
        <f t="shared" si="11"/>
        <v>269416</v>
      </c>
      <c r="Y30" s="157">
        <f t="shared" si="11"/>
        <v>278774</v>
      </c>
      <c r="Z30" s="157">
        <f t="shared" si="11"/>
        <v>278774</v>
      </c>
      <c r="AA30" s="157">
        <f t="shared" si="11"/>
        <v>278774</v>
      </c>
      <c r="AB30" s="157">
        <f t="shared" si="11"/>
        <v>278774</v>
      </c>
      <c r="AC30" s="157">
        <f t="shared" si="11"/>
        <v>284741</v>
      </c>
      <c r="AD30" s="157">
        <f t="shared" si="11"/>
        <v>280952</v>
      </c>
      <c r="AE30" s="157">
        <f t="shared" si="11"/>
        <v>278352</v>
      </c>
      <c r="AF30" s="157">
        <f t="shared" si="11"/>
        <v>211236.25</v>
      </c>
      <c r="AG30" s="157">
        <f t="shared" si="11"/>
        <v>211236.25</v>
      </c>
      <c r="AH30" s="157">
        <f t="shared" si="11"/>
        <v>211236.25</v>
      </c>
      <c r="AI30" s="157">
        <f t="shared" si="11"/>
        <v>211236.25</v>
      </c>
      <c r="AJ30" s="157">
        <f t="shared" si="11"/>
        <v>211236.25</v>
      </c>
      <c r="AK30" s="157">
        <f t="shared" si="11"/>
        <v>211236.25</v>
      </c>
      <c r="AL30" s="157">
        <f t="shared" si="11"/>
        <v>211236.25</v>
      </c>
      <c r="AM30" s="157">
        <f t="shared" si="11"/>
        <v>211236.25</v>
      </c>
      <c r="AN30" s="157">
        <f t="shared" si="11"/>
        <v>211236.25</v>
      </c>
      <c r="AO30" s="157">
        <f t="shared" si="11"/>
        <v>211236.25</v>
      </c>
      <c r="AP30" s="157">
        <f t="shared" si="11"/>
        <v>211236.25</v>
      </c>
      <c r="AQ30" s="157">
        <f t="shared" si="11"/>
        <v>211236.25</v>
      </c>
      <c r="AR30" s="157">
        <f t="shared" si="11"/>
        <v>211236.25</v>
      </c>
      <c r="AS30" s="157">
        <f t="shared" si="11"/>
        <v>211236.25</v>
      </c>
      <c r="AT30" s="157">
        <f t="shared" si="11"/>
        <v>211236.25</v>
      </c>
      <c r="AU30" s="157">
        <f t="shared" si="11"/>
        <v>211236.25</v>
      </c>
      <c r="AV30" s="157">
        <f t="shared" si="11"/>
        <v>211236.25</v>
      </c>
      <c r="AW30" s="157">
        <f t="shared" si="11"/>
        <v>211236.25</v>
      </c>
      <c r="AX30" s="157">
        <f t="shared" si="11"/>
        <v>211236.25</v>
      </c>
      <c r="AY30" s="157">
        <f t="shared" si="11"/>
        <v>211236.25</v>
      </c>
      <c r="AZ30" s="157">
        <f t="shared" si="11"/>
        <v>211236.25</v>
      </c>
      <c r="BA30" s="157">
        <f t="shared" si="11"/>
        <v>211236.25</v>
      </c>
      <c r="BB30" s="157">
        <f t="shared" si="11"/>
        <v>211236.25</v>
      </c>
      <c r="BC30" s="157">
        <f t="shared" si="11"/>
        <v>211236.25</v>
      </c>
      <c r="BD30" s="157">
        <f t="shared" si="11"/>
        <v>211236.25</v>
      </c>
      <c r="BE30" s="157">
        <f t="shared" si="11"/>
        <v>211236.25</v>
      </c>
      <c r="BF30" s="157">
        <f t="shared" si="11"/>
        <v>211236.25</v>
      </c>
      <c r="BG30" s="157">
        <f t="shared" si="11"/>
        <v>211236.25</v>
      </c>
      <c r="BH30" s="157">
        <f t="shared" si="11"/>
        <v>211236.25</v>
      </c>
      <c r="BI30" s="157">
        <f t="shared" si="11"/>
        <v>211236.25</v>
      </c>
      <c r="BJ30" s="157">
        <f t="shared" si="11"/>
        <v>211236.25</v>
      </c>
      <c r="BK30" s="157">
        <f t="shared" si="11"/>
        <v>211236.25</v>
      </c>
      <c r="BL30" s="157">
        <f t="shared" si="11"/>
        <v>211236.25</v>
      </c>
      <c r="BM30" s="157">
        <f t="shared" si="11"/>
        <v>211236.25</v>
      </c>
      <c r="BN30" s="157">
        <f t="shared" si="11"/>
        <v>211236.25</v>
      </c>
      <c r="BO30" s="157">
        <f t="shared" si="11"/>
        <v>211236.25</v>
      </c>
      <c r="BP30" s="157">
        <f t="shared" si="11"/>
        <v>211236.25</v>
      </c>
      <c r="BQ30" s="157">
        <f t="shared" si="11"/>
        <v>211236.25</v>
      </c>
      <c r="BR30" s="157">
        <f t="shared" si="11"/>
        <v>211236.25</v>
      </c>
      <c r="BS30" s="157">
        <f t="shared" si="11"/>
        <v>211236.25</v>
      </c>
      <c r="BT30" s="157">
        <f t="shared" si="11"/>
        <v>211236.25</v>
      </c>
      <c r="BU30" s="157">
        <f t="shared" si="11"/>
        <v>211236.25</v>
      </c>
      <c r="BV30" s="157">
        <f t="shared" si="11"/>
        <v>211236.25</v>
      </c>
      <c r="BW30" s="157">
        <f t="shared" si="11"/>
        <v>211236.25</v>
      </c>
    </row>
    <row r="31" ht="15.75" customHeight="1">
      <c r="A31" s="31" t="s">
        <v>244</v>
      </c>
      <c r="B31" s="159"/>
      <c r="D31" s="76">
        <f t="array" ref="D31">INDEX(INDIRECT("PnL_"&amp;TEXT(D$1,"mmm")&amp;"_"&amp;TEXT(D$1,"yyyy")),MATCH(TRIM($A30),PnL_Accounts,0))-D30</f>
        <v>0</v>
      </c>
      <c r="E31" s="76">
        <f t="array" ref="E31">INDEX(INDIRECT("PnL_"&amp;TEXT(E$1,"mmm")&amp;"_"&amp;TEXT(E$1,"yyyy")),MATCH(TRIM($A30),PnL_Accounts,0))-E30</f>
        <v>0</v>
      </c>
      <c r="F31" s="76">
        <f t="array" ref="F31">INDEX(INDIRECT("PnL_"&amp;TEXT(F$1,"mmm")&amp;"_"&amp;TEXT(F$1,"yyyy")),MATCH(TRIM($A30),PnL_Accounts,0))-F30</f>
        <v>0</v>
      </c>
      <c r="G31" s="76">
        <f t="array" ref="G31">INDEX(INDIRECT("PnL_"&amp;TEXT(G$1,"mmm")&amp;"_"&amp;TEXT(G$1,"yyyy")),MATCH(TRIM($A30),PnL_Accounts,0))-G30</f>
        <v>0</v>
      </c>
      <c r="H31" s="76">
        <f t="array" ref="H31">INDEX(INDIRECT("PnL_"&amp;TEXT(H$1,"mmm")&amp;"_"&amp;TEXT(H$1,"yyyy")),MATCH(TRIM($A30),PnL_Accounts,0))-H30</f>
        <v>0</v>
      </c>
      <c r="I31" s="76">
        <f t="array" ref="I31">INDEX(INDIRECT("PnL_"&amp;TEXT(I$1,"mmm")&amp;"_"&amp;TEXT(I$1,"yyyy")),MATCH(TRIM($A30),PnL_Accounts,0))-I30</f>
        <v>0</v>
      </c>
      <c r="J31" s="76">
        <f t="array" ref="J31">INDEX(INDIRECT("PnL_"&amp;TEXT(J$1,"mmm")&amp;"_"&amp;TEXT(J$1,"yyyy")),MATCH(TRIM($A30),PnL_Accounts,0))-J30</f>
        <v>0</v>
      </c>
      <c r="K31" s="76">
        <f t="array" ref="K31">INDEX(INDIRECT("PnL_"&amp;TEXT(K$1,"mmm")&amp;"_"&amp;TEXT(K$1,"yyyy")),MATCH(TRIM($A30),PnL_Accounts,0))-K30</f>
        <v>0</v>
      </c>
      <c r="L31" s="76">
        <f t="array" ref="L31">INDEX(INDIRECT("PnL_"&amp;TEXT(L$1,"mmm")&amp;"_"&amp;TEXT(L$1,"yyyy")),MATCH(TRIM($A30),PnL_Accounts,0))-L30</f>
        <v>0</v>
      </c>
      <c r="M31" s="76">
        <f t="array" ref="M31">INDEX(INDIRECT("PnL_"&amp;TEXT(M$1,"mmm")&amp;"_"&amp;TEXT(M$1,"yyyy")),MATCH(TRIM($A30),PnL_Accounts,0))-M30</f>
        <v>0</v>
      </c>
      <c r="N31" s="76">
        <f t="array" ref="N31">INDEX(INDIRECT("PnL_"&amp;TEXT(N$1,"mmm")&amp;"_"&amp;TEXT(N$1,"yyyy")),MATCH(TRIM($A30),PnL_Accounts,0))-N30</f>
        <v>0</v>
      </c>
      <c r="O31" s="76">
        <f t="array" ref="O31">INDEX(INDIRECT("PnL_"&amp;TEXT(O$1,"mmm")&amp;"_"&amp;TEXT(O$1,"yyyy")),MATCH(TRIM($A30),PnL_Accounts,0))-O30</f>
        <v>0</v>
      </c>
      <c r="P31" s="76">
        <f t="array" ref="P31">INDEX(INDIRECT("PnL_"&amp;TEXT(P$1,"mmm")&amp;"_"&amp;TEXT(P$1,"yyyy")),MATCH(TRIM($A30),PnL_Accounts,0))-P30</f>
        <v>0</v>
      </c>
      <c r="Q31" s="76">
        <f t="array" ref="Q31">INDEX(INDIRECT("PnL_"&amp;TEXT(Q$1,"mmm")&amp;"_"&amp;TEXT(Q$1,"yyyy")),MATCH(TRIM($A30),PnL_Accounts,0))-Q30</f>
        <v>0</v>
      </c>
      <c r="R31" s="76">
        <f t="array" ref="R31">INDEX(INDIRECT("PnL_"&amp;TEXT(R$1,"mmm")&amp;"_"&amp;TEXT(R$1,"yyyy")),MATCH(TRIM($A30),PnL_Accounts,0))-R30</f>
        <v>0</v>
      </c>
      <c r="S31" s="76">
        <f t="array" ref="S31">INDEX(INDIRECT("PnL_"&amp;TEXT(S$1,"mmm")&amp;"_"&amp;TEXT(S$1,"yyyy")),MATCH(TRIM($A30),PnL_Accounts,0))-S30</f>
        <v>0</v>
      </c>
      <c r="T31" s="76">
        <f t="array" ref="T31">INDEX(INDIRECT("PnL_"&amp;TEXT(T$1,"mmm")&amp;"_"&amp;TEXT(T$1,"yyyy")),MATCH(TRIM($A30),PnL_Accounts,0))-T30</f>
        <v>0</v>
      </c>
      <c r="U31" s="76">
        <f t="array" ref="U31">INDEX(INDIRECT("PnL_"&amp;TEXT(U$1,"mmm")&amp;"_"&amp;TEXT(U$1,"yyyy")),MATCH(TRIM($A30),PnL_Accounts,0))-U30</f>
        <v>0</v>
      </c>
      <c r="V31" s="76">
        <f t="array" ref="V31">INDEX(INDIRECT("PnL_"&amp;TEXT(V$1,"mmm")&amp;"_"&amp;TEXT(V$1,"yyyy")),MATCH(TRIM($A30),PnL_Accounts,0))-V30</f>
        <v>0</v>
      </c>
      <c r="W31" s="76">
        <f t="array" ref="W31">INDEX(INDIRECT("PnL_"&amp;TEXT(W$1,"mmm")&amp;"_"&amp;TEXT(W$1,"yyyy")),MATCH(TRIM($A30),PnL_Accounts,0))-W30</f>
        <v>0</v>
      </c>
      <c r="X31" s="76">
        <f t="array" ref="X31">INDEX(INDIRECT("PnL_"&amp;TEXT(X$1,"mmm")&amp;"_"&amp;TEXT(X$1,"yyyy")),MATCH(TRIM($A30),PnL_Accounts,0))-X30</f>
        <v>0</v>
      </c>
      <c r="Y31" s="76">
        <f t="array" ref="Y31">INDEX(INDIRECT("PnL_"&amp;TEXT(Y$1,"mmm")&amp;"_"&amp;TEXT(Y$1,"yyyy")),MATCH(TRIM($A30),PnL_Accounts,0))-Y30</f>
        <v>0</v>
      </c>
      <c r="Z31" s="76">
        <f t="array" ref="Z31">INDEX(INDIRECT("PnL_"&amp;TEXT(Z$1,"mmm")&amp;"_"&amp;TEXT(Z$1,"yyyy")),MATCH(TRIM($A30),PnL_Accounts,0))-Z30</f>
        <v>0</v>
      </c>
      <c r="AA31" s="76">
        <f t="array" ref="AA31">INDEX(INDIRECT("PnL_"&amp;TEXT(AA$1,"mmm")&amp;"_"&amp;TEXT(AA$1,"yyyy")),MATCH(TRIM($A30),PnL_Accounts,0))-AA30</f>
        <v>0</v>
      </c>
      <c r="AB31" s="76">
        <f t="array" ref="AB31">INDEX(INDIRECT("PnL_"&amp;TEXT(AB$1,"mmm")&amp;"_"&amp;TEXT(AB$1,"yyyy")),MATCH(TRIM($A30),PnL_Accounts,0))-AB30</f>
        <v>0</v>
      </c>
      <c r="AC31" s="76">
        <f t="array" ref="AC31">INDEX(INDIRECT("PnL_"&amp;TEXT(AC$1,"mmm")&amp;"_"&amp;TEXT(AC$1,"yyyy")),MATCH(TRIM($A30),PnL_Accounts,0))-AC30</f>
        <v>0</v>
      </c>
      <c r="AD31" s="76">
        <f t="array" ref="AD31">INDEX(INDIRECT("PnL_"&amp;TEXT(AD$1,"mmm")&amp;"_"&amp;TEXT(AD$1,"yyyy")),MATCH(TRIM($A30),PnL_Accounts,0))-AD30</f>
        <v>0</v>
      </c>
      <c r="AE31" s="76">
        <f t="array" ref="AE31">INDEX(INDIRECT("PnL_"&amp;TEXT(AE$1,"mmm")&amp;"_"&amp;TEXT(AE$1,"yyyy")),MATCH(TRIM($A30),PnL_Accounts,0))-AE30</f>
        <v>0</v>
      </c>
    </row>
    <row r="32" ht="15.75" customHeight="1">
      <c r="A32" s="1" t="s">
        <v>16</v>
      </c>
      <c r="B32" s="159"/>
    </row>
    <row r="33" ht="15.75" customHeight="1">
      <c r="A33" s="1" t="s">
        <v>266</v>
      </c>
      <c r="B33" s="160">
        <f>AVERAGEIFS(33:33,$1:$1,"&gt;="&amp;DATE(YEAR(Current_Month),MONTH(Current_Month)-2,DAY(Current_Month)),$1:$1,"&lt;="&amp;EOMONTH(Current_Month,0))</f>
        <v>119.6666667</v>
      </c>
      <c r="D33" s="76" t="str">
        <f t="array" ref="D33">INDEX(INDIRECT("PnL_"&amp;TEXT(D$1,"mmm")&amp;"_"&amp;TEXT(D$1,"yyyy")),MATCH(TRIM($A33),PnL_Accounts,0))</f>
        <v/>
      </c>
      <c r="E33" s="76" t="str">
        <f t="array" ref="E33">INDEX(INDIRECT("PnL_"&amp;TEXT(E$1,"mmm")&amp;"_"&amp;TEXT(E$1,"yyyy")),MATCH(TRIM($A33),PnL_Accounts,0))</f>
        <v/>
      </c>
      <c r="F33" s="76" t="str">
        <f t="array" ref="F33">INDEX(INDIRECT("PnL_"&amp;TEXT(F$1,"mmm")&amp;"_"&amp;TEXT(F$1,"yyyy")),MATCH(TRIM($A33),PnL_Accounts,0))</f>
        <v/>
      </c>
      <c r="G33" s="76" t="str">
        <f t="array" ref="G33">INDEX(INDIRECT("PnL_"&amp;TEXT(G$1,"mmm")&amp;"_"&amp;TEXT(G$1,"yyyy")),MATCH(TRIM($A33),PnL_Accounts,0))</f>
        <v/>
      </c>
      <c r="H33" s="76" t="str">
        <f t="array" ref="H33">INDEX(INDIRECT("PnL_"&amp;TEXT(H$1,"mmm")&amp;"_"&amp;TEXT(H$1,"yyyy")),MATCH(TRIM($A33),PnL_Accounts,0))</f>
        <v/>
      </c>
      <c r="I33" s="76" t="str">
        <f t="array" ref="I33">INDEX(INDIRECT("PnL_"&amp;TEXT(I$1,"mmm")&amp;"_"&amp;TEXT(I$1,"yyyy")),MATCH(TRIM($A33),PnL_Accounts,0))</f>
        <v/>
      </c>
      <c r="J33" s="76" t="str">
        <f t="array" ref="J33">INDEX(INDIRECT("PnL_"&amp;TEXT(J$1,"mmm")&amp;"_"&amp;TEXT(J$1,"yyyy")),MATCH(TRIM($A33),PnL_Accounts,0))</f>
        <v/>
      </c>
      <c r="K33" s="76" t="str">
        <f t="array" ref="K33">INDEX(INDIRECT("PnL_"&amp;TEXT(K$1,"mmm")&amp;"_"&amp;TEXT(K$1,"yyyy")),MATCH(TRIM($A33),PnL_Accounts,0))</f>
        <v/>
      </c>
      <c r="L33" s="76" t="str">
        <f t="array" ref="L33">INDEX(INDIRECT("PnL_"&amp;TEXT(L$1,"mmm")&amp;"_"&amp;TEXT(L$1,"yyyy")),MATCH(TRIM($A33),PnL_Accounts,0))</f>
        <v/>
      </c>
      <c r="M33" s="76" t="str">
        <f t="array" ref="M33">INDEX(INDIRECT("PnL_"&amp;TEXT(M$1,"mmm")&amp;"_"&amp;TEXT(M$1,"yyyy")),MATCH(TRIM($A33),PnL_Accounts,0))</f>
        <v/>
      </c>
      <c r="N33" s="76" t="str">
        <f t="array" ref="N33">INDEX(INDIRECT("PnL_"&amp;TEXT(N$1,"mmm")&amp;"_"&amp;TEXT(N$1,"yyyy")),MATCH(TRIM($A33),PnL_Accounts,0))</f>
        <v/>
      </c>
      <c r="O33" s="76" t="str">
        <f t="array" ref="O33">INDEX(INDIRECT("PnL_"&amp;TEXT(O$1,"mmm")&amp;"_"&amp;TEXT(O$1,"yyyy")),MATCH(TRIM($A33),PnL_Accounts,0))</f>
        <v/>
      </c>
      <c r="P33" s="76" t="str">
        <f t="array" ref="P33">INDEX(INDIRECT("PnL_"&amp;TEXT(P$1,"mmm")&amp;"_"&amp;TEXT(P$1,"yyyy")),MATCH(TRIM($A33),PnL_Accounts,0))</f>
        <v/>
      </c>
      <c r="Q33" s="76" t="str">
        <f t="array" ref="Q33">INDEX(INDIRECT("PnL_"&amp;TEXT(Q$1,"mmm")&amp;"_"&amp;TEXT(Q$1,"yyyy")),MATCH(TRIM($A33),PnL_Accounts,0))</f>
        <v/>
      </c>
      <c r="R33" s="76" t="str">
        <f t="array" ref="R33">INDEX(INDIRECT("PnL_"&amp;TEXT(R$1,"mmm")&amp;"_"&amp;TEXT(R$1,"yyyy")),MATCH(TRIM($A33),PnL_Accounts,0))</f>
        <v/>
      </c>
      <c r="S33" s="76" t="str">
        <f t="array" ref="S33">INDEX(INDIRECT("PnL_"&amp;TEXT(S$1,"mmm")&amp;"_"&amp;TEXT(S$1,"yyyy")),MATCH(TRIM($A33),PnL_Accounts,0))</f>
        <v/>
      </c>
      <c r="T33" s="76" t="str">
        <f t="array" ref="T33">INDEX(INDIRECT("PnL_"&amp;TEXT(T$1,"mmm")&amp;"_"&amp;TEXT(T$1,"yyyy")),MATCH(TRIM($A33),PnL_Accounts,0))</f>
        <v/>
      </c>
      <c r="U33" s="76" t="str">
        <f t="array" ref="U33">INDEX(INDIRECT("PnL_"&amp;TEXT(U$1,"mmm")&amp;"_"&amp;TEXT(U$1,"yyyy")),MATCH(TRIM($A33),PnL_Accounts,0))</f>
        <v/>
      </c>
      <c r="V33" s="76">
        <f t="array" ref="V33">INDEX(INDIRECT("PnL_"&amp;TEXT(V$1,"mmm")&amp;"_"&amp;TEXT(V$1,"yyyy")),MATCH(TRIM($A33),PnL_Accounts,0))</f>
        <v>154</v>
      </c>
      <c r="W33" s="76">
        <f t="array" ref="W33">INDEX(INDIRECT("PnL_"&amp;TEXT(W$1,"mmm")&amp;"_"&amp;TEXT(W$1,"yyyy")),MATCH(TRIM($A33),PnL_Accounts,0))</f>
        <v>143</v>
      </c>
      <c r="X33" s="76">
        <f t="array" ref="X33">INDEX(INDIRECT("PnL_"&amp;TEXT(X$1,"mmm")&amp;"_"&amp;TEXT(X$1,"yyyy")),MATCH(TRIM($A33),PnL_Accounts,0))</f>
        <v>195</v>
      </c>
      <c r="Y33" s="76">
        <f t="array" ref="Y33">INDEX(INDIRECT("PnL_"&amp;TEXT(Y$1,"mmm")&amp;"_"&amp;TEXT(Y$1,"yyyy")),MATCH(TRIM($A33),PnL_Accounts,0))</f>
        <v>123</v>
      </c>
      <c r="Z33" s="76">
        <f t="array" ref="Z33">INDEX(INDIRECT("PnL_"&amp;TEXT(Z$1,"mmm")&amp;"_"&amp;TEXT(Z$1,"yyyy")),MATCH(TRIM($A33),PnL_Accounts,0))</f>
        <v>164</v>
      </c>
      <c r="AA33" s="76">
        <f t="array" ref="AA33">INDEX(INDIRECT("PnL_"&amp;TEXT(AA$1,"mmm")&amp;"_"&amp;TEXT(AA$1,"yyyy")),MATCH(TRIM($A33),PnL_Accounts,0))</f>
        <v>153</v>
      </c>
      <c r="AB33" s="76">
        <f t="array" ref="AB33">INDEX(INDIRECT("PnL_"&amp;TEXT(AB$1,"mmm")&amp;"_"&amp;TEXT(AB$1,"yyyy")),MATCH(TRIM($A33),PnL_Accounts,0))</f>
        <v>149</v>
      </c>
      <c r="AC33" s="76">
        <f t="array" ref="AC33">INDEX(INDIRECT("PnL_"&amp;TEXT(AC$1,"mmm")&amp;"_"&amp;TEXT(AC$1,"yyyy")),MATCH(TRIM($A33),PnL_Accounts,0))</f>
        <v>124</v>
      </c>
      <c r="AD33" s="76">
        <f t="array" ref="AD33">INDEX(INDIRECT("PnL_"&amp;TEXT(AD$1,"mmm")&amp;"_"&amp;TEXT(AD$1,"yyyy")),MATCH(TRIM($A33),PnL_Accounts,0))</f>
        <v>124</v>
      </c>
      <c r="AE33" s="76">
        <f t="array" ref="AE33">INDEX(INDIRECT("PnL_"&amp;TEXT(AE$1,"mmm")&amp;"_"&amp;TEXT(AE$1,"yyyy")),MATCH(TRIM($A33),PnL_Accounts,0))</f>
        <v>111</v>
      </c>
      <c r="AF33" s="96">
        <f t="shared" ref="AF33:BW33" si="12">$B33</f>
        <v>119.6666667</v>
      </c>
      <c r="AG33" s="96">
        <f t="shared" si="12"/>
        <v>119.6666667</v>
      </c>
      <c r="AH33" s="96">
        <f t="shared" si="12"/>
        <v>119.6666667</v>
      </c>
      <c r="AI33" s="96">
        <f t="shared" si="12"/>
        <v>119.6666667</v>
      </c>
      <c r="AJ33" s="96">
        <f t="shared" si="12"/>
        <v>119.6666667</v>
      </c>
      <c r="AK33" s="96">
        <f t="shared" si="12"/>
        <v>119.6666667</v>
      </c>
      <c r="AL33" s="96">
        <f t="shared" si="12"/>
        <v>119.6666667</v>
      </c>
      <c r="AM33" s="96">
        <f t="shared" si="12"/>
        <v>119.6666667</v>
      </c>
      <c r="AN33" s="96">
        <f t="shared" si="12"/>
        <v>119.6666667</v>
      </c>
      <c r="AO33" s="96">
        <f t="shared" si="12"/>
        <v>119.6666667</v>
      </c>
      <c r="AP33" s="96">
        <f t="shared" si="12"/>
        <v>119.6666667</v>
      </c>
      <c r="AQ33" s="96">
        <f t="shared" si="12"/>
        <v>119.6666667</v>
      </c>
      <c r="AR33" s="96">
        <f t="shared" si="12"/>
        <v>119.6666667</v>
      </c>
      <c r="AS33" s="96">
        <f t="shared" si="12"/>
        <v>119.6666667</v>
      </c>
      <c r="AT33" s="96">
        <f t="shared" si="12"/>
        <v>119.6666667</v>
      </c>
      <c r="AU33" s="96">
        <f t="shared" si="12"/>
        <v>119.6666667</v>
      </c>
      <c r="AV33" s="96">
        <f t="shared" si="12"/>
        <v>119.6666667</v>
      </c>
      <c r="AW33" s="96">
        <f t="shared" si="12"/>
        <v>119.6666667</v>
      </c>
      <c r="AX33" s="96">
        <f t="shared" si="12"/>
        <v>119.6666667</v>
      </c>
      <c r="AY33" s="96">
        <f t="shared" si="12"/>
        <v>119.6666667</v>
      </c>
      <c r="AZ33" s="96">
        <f t="shared" si="12"/>
        <v>119.6666667</v>
      </c>
      <c r="BA33" s="96">
        <f t="shared" si="12"/>
        <v>119.6666667</v>
      </c>
      <c r="BB33" s="96">
        <f t="shared" si="12"/>
        <v>119.6666667</v>
      </c>
      <c r="BC33" s="96">
        <f t="shared" si="12"/>
        <v>119.6666667</v>
      </c>
      <c r="BD33" s="96">
        <f t="shared" si="12"/>
        <v>119.6666667</v>
      </c>
      <c r="BE33" s="96">
        <f t="shared" si="12"/>
        <v>119.6666667</v>
      </c>
      <c r="BF33" s="96">
        <f t="shared" si="12"/>
        <v>119.6666667</v>
      </c>
      <c r="BG33" s="96">
        <f t="shared" si="12"/>
        <v>119.6666667</v>
      </c>
      <c r="BH33" s="96">
        <f t="shared" si="12"/>
        <v>119.6666667</v>
      </c>
      <c r="BI33" s="96">
        <f t="shared" si="12"/>
        <v>119.6666667</v>
      </c>
      <c r="BJ33" s="96">
        <f t="shared" si="12"/>
        <v>119.6666667</v>
      </c>
      <c r="BK33" s="96">
        <f t="shared" si="12"/>
        <v>119.6666667</v>
      </c>
      <c r="BL33" s="96">
        <f t="shared" si="12"/>
        <v>119.6666667</v>
      </c>
      <c r="BM33" s="96">
        <f t="shared" si="12"/>
        <v>119.6666667</v>
      </c>
      <c r="BN33" s="96">
        <f t="shared" si="12"/>
        <v>119.6666667</v>
      </c>
      <c r="BO33" s="96">
        <f t="shared" si="12"/>
        <v>119.6666667</v>
      </c>
      <c r="BP33" s="96">
        <f t="shared" si="12"/>
        <v>119.6666667</v>
      </c>
      <c r="BQ33" s="96">
        <f t="shared" si="12"/>
        <v>119.6666667</v>
      </c>
      <c r="BR33" s="96">
        <f t="shared" si="12"/>
        <v>119.6666667</v>
      </c>
      <c r="BS33" s="96">
        <f t="shared" si="12"/>
        <v>119.6666667</v>
      </c>
      <c r="BT33" s="96">
        <f t="shared" si="12"/>
        <v>119.6666667</v>
      </c>
      <c r="BU33" s="96">
        <f t="shared" si="12"/>
        <v>119.6666667</v>
      </c>
      <c r="BV33" s="96">
        <f t="shared" si="12"/>
        <v>119.6666667</v>
      </c>
      <c r="BW33" s="96">
        <f t="shared" si="12"/>
        <v>119.6666667</v>
      </c>
    </row>
    <row r="34" ht="15.75" customHeight="1">
      <c r="A34" s="1" t="s">
        <v>267</v>
      </c>
      <c r="B34" s="160">
        <f>AVERAGEIFS(34:34,$1:$1,"&gt;="&amp;DATE(YEAR(Current_Month),MONTH(Current_Month)-2,DAY(Current_Month)),$1:$1,"&lt;="&amp;EOMONTH(Current_Month,0))</f>
        <v>8689.333333</v>
      </c>
      <c r="D34" s="76">
        <f t="array" ref="D34">INDEX(INDIRECT("PnL_"&amp;TEXT(D$1,"mmm")&amp;"_"&amp;TEXT(D$1,"yyyy")),MATCH(TRIM($A34),PnL_Accounts,0))</f>
        <v>770</v>
      </c>
      <c r="E34" s="76">
        <f t="array" ref="E34">INDEX(INDIRECT("PnL_"&amp;TEXT(E$1,"mmm")&amp;"_"&amp;TEXT(E$1,"yyyy")),MATCH(TRIM($A34),PnL_Accounts,0))</f>
        <v>947</v>
      </c>
      <c r="F34" s="76">
        <f t="array" ref="F34">INDEX(INDIRECT("PnL_"&amp;TEXT(F$1,"mmm")&amp;"_"&amp;TEXT(F$1,"yyyy")),MATCH(TRIM($A34),PnL_Accounts,0))</f>
        <v>574</v>
      </c>
      <c r="G34" s="76">
        <f t="array" ref="G34">INDEX(INDIRECT("PnL_"&amp;TEXT(G$1,"mmm")&amp;"_"&amp;TEXT(G$1,"yyyy")),MATCH(TRIM($A34),PnL_Accounts,0))</f>
        <v>761</v>
      </c>
      <c r="H34" s="76">
        <f t="array" ref="H34">INDEX(INDIRECT("PnL_"&amp;TEXT(H$1,"mmm")&amp;"_"&amp;TEXT(H$1,"yyyy")),MATCH(TRIM($A34),PnL_Accounts,0))</f>
        <v>823</v>
      </c>
      <c r="I34" s="76">
        <f t="array" ref="I34">INDEX(INDIRECT("PnL_"&amp;TEXT(I$1,"mmm")&amp;"_"&amp;TEXT(I$1,"yyyy")),MATCH(TRIM($A34),PnL_Accounts,0))</f>
        <v>712</v>
      </c>
      <c r="J34" s="76">
        <f t="array" ref="J34">INDEX(INDIRECT("PnL_"&amp;TEXT(J$1,"mmm")&amp;"_"&amp;TEXT(J$1,"yyyy")),MATCH(TRIM($A34),PnL_Accounts,0))</f>
        <v>788</v>
      </c>
      <c r="K34" s="76">
        <f t="array" ref="K34">INDEX(INDIRECT("PnL_"&amp;TEXT(K$1,"mmm")&amp;"_"&amp;TEXT(K$1,"yyyy")),MATCH(TRIM($A34),PnL_Accounts,0))</f>
        <v>830</v>
      </c>
      <c r="L34" s="76">
        <f t="array" ref="L34">INDEX(INDIRECT("PnL_"&amp;TEXT(L$1,"mmm")&amp;"_"&amp;TEXT(L$1,"yyyy")),MATCH(TRIM($A34),PnL_Accounts,0))</f>
        <v>893</v>
      </c>
      <c r="M34" s="76">
        <f t="array" ref="M34">INDEX(INDIRECT("PnL_"&amp;TEXT(M$1,"mmm")&amp;"_"&amp;TEXT(M$1,"yyyy")),MATCH(TRIM($A34),PnL_Accounts,0))</f>
        <v>840</v>
      </c>
      <c r="N34" s="76">
        <f t="array" ref="N34">INDEX(INDIRECT("PnL_"&amp;TEXT(N$1,"mmm")&amp;"_"&amp;TEXT(N$1,"yyyy")),MATCH(TRIM($A34),PnL_Accounts,0))</f>
        <v>815</v>
      </c>
      <c r="O34" s="76">
        <f t="array" ref="O34">INDEX(INDIRECT("PnL_"&amp;TEXT(O$1,"mmm")&amp;"_"&amp;TEXT(O$1,"yyyy")),MATCH(TRIM($A34),PnL_Accounts,0))</f>
        <v>924</v>
      </c>
      <c r="P34" s="76">
        <f t="array" ref="P34">INDEX(INDIRECT("PnL_"&amp;TEXT(P$1,"mmm")&amp;"_"&amp;TEXT(P$1,"yyyy")),MATCH(TRIM($A34),PnL_Accounts,0))</f>
        <v>871</v>
      </c>
      <c r="Q34" s="76">
        <f t="array" ref="Q34">INDEX(INDIRECT("PnL_"&amp;TEXT(Q$1,"mmm")&amp;"_"&amp;TEXT(Q$1,"yyyy")),MATCH(TRIM($A34),PnL_Accounts,0))</f>
        <v>445</v>
      </c>
      <c r="R34" s="76">
        <f t="array" ref="R34">INDEX(INDIRECT("PnL_"&amp;TEXT(R$1,"mmm")&amp;"_"&amp;TEXT(R$1,"yyyy")),MATCH(TRIM($A34),PnL_Accounts,0))</f>
        <v>755</v>
      </c>
      <c r="S34" s="76">
        <f t="array" ref="S34">INDEX(INDIRECT("PnL_"&amp;TEXT(S$1,"mmm")&amp;"_"&amp;TEXT(S$1,"yyyy")),MATCH(TRIM($A34),PnL_Accounts,0))</f>
        <v>730</v>
      </c>
      <c r="T34" s="76">
        <f t="array" ref="T34">INDEX(INDIRECT("PnL_"&amp;TEXT(T$1,"mmm")&amp;"_"&amp;TEXT(T$1,"yyyy")),MATCH(TRIM($A34),PnL_Accounts,0))</f>
        <v>655</v>
      </c>
      <c r="U34" s="76">
        <f t="array" ref="U34">INDEX(INDIRECT("PnL_"&amp;TEXT(U$1,"mmm")&amp;"_"&amp;TEXT(U$1,"yyyy")),MATCH(TRIM($A34),PnL_Accounts,0))</f>
        <v>680</v>
      </c>
      <c r="V34" s="76">
        <f t="array" ref="V34">INDEX(INDIRECT("PnL_"&amp;TEXT(V$1,"mmm")&amp;"_"&amp;TEXT(V$1,"yyyy")),MATCH(TRIM($A34),PnL_Accounts,0))</f>
        <v>709</v>
      </c>
      <c r="W34" s="76">
        <f t="array" ref="W34">INDEX(INDIRECT("PnL_"&amp;TEXT(W$1,"mmm")&amp;"_"&amp;TEXT(W$1,"yyyy")),MATCH(TRIM($A34),PnL_Accounts,0))</f>
        <v>731</v>
      </c>
      <c r="X34" s="76">
        <f t="array" ref="X34">INDEX(INDIRECT("PnL_"&amp;TEXT(X$1,"mmm")&amp;"_"&amp;TEXT(X$1,"yyyy")),MATCH(TRIM($A34),PnL_Accounts,0))</f>
        <v>755</v>
      </c>
      <c r="Y34" s="76">
        <f t="array" ref="Y34">INDEX(INDIRECT("PnL_"&amp;TEXT(Y$1,"mmm")&amp;"_"&amp;TEXT(Y$1,"yyyy")),MATCH(TRIM($A34),PnL_Accounts,0))</f>
        <v>756</v>
      </c>
      <c r="Z34" s="76">
        <f t="array" ref="Z34">INDEX(INDIRECT("PnL_"&amp;TEXT(Z$1,"mmm")&amp;"_"&amp;TEXT(Z$1,"yyyy")),MATCH(TRIM($A34),PnL_Accounts,0))</f>
        <v>842</v>
      </c>
      <c r="AA34" s="76">
        <f t="array" ref="AA34">INDEX(INDIRECT("PnL_"&amp;TEXT(AA$1,"mmm")&amp;"_"&amp;TEXT(AA$1,"yyyy")),MATCH(TRIM($A34),PnL_Accounts,0))</f>
        <v>764</v>
      </c>
      <c r="AB34" s="76">
        <f t="array" ref="AB34">INDEX(INDIRECT("PnL_"&amp;TEXT(AB$1,"mmm")&amp;"_"&amp;TEXT(AB$1,"yyyy")),MATCH(TRIM($A34),PnL_Accounts,0))</f>
        <v>877</v>
      </c>
      <c r="AC34" s="76">
        <f t="array" ref="AC34">INDEX(INDIRECT("PnL_"&amp;TEXT(AC$1,"mmm")&amp;"_"&amp;TEXT(AC$1,"yyyy")),MATCH(TRIM($A34),PnL_Accounts,0))</f>
        <v>9123</v>
      </c>
      <c r="AD34" s="76">
        <f t="array" ref="AD34">INDEX(INDIRECT("PnL_"&amp;TEXT(AD$1,"mmm")&amp;"_"&amp;TEXT(AD$1,"yyyy")),MATCH(TRIM($A34),PnL_Accounts,0))</f>
        <v>8700</v>
      </c>
      <c r="AE34" s="76">
        <f t="array" ref="AE34">INDEX(INDIRECT("PnL_"&amp;TEXT(AE$1,"mmm")&amp;"_"&amp;TEXT(AE$1,"yyyy")),MATCH(TRIM($A34),PnL_Accounts,0))</f>
        <v>8245</v>
      </c>
      <c r="AF34" s="96">
        <f t="shared" ref="AF34:BW34" si="13">$B34</f>
        <v>8689.333333</v>
      </c>
      <c r="AG34" s="96">
        <f t="shared" si="13"/>
        <v>8689.333333</v>
      </c>
      <c r="AH34" s="96">
        <f t="shared" si="13"/>
        <v>8689.333333</v>
      </c>
      <c r="AI34" s="96">
        <f t="shared" si="13"/>
        <v>8689.333333</v>
      </c>
      <c r="AJ34" s="96">
        <f t="shared" si="13"/>
        <v>8689.333333</v>
      </c>
      <c r="AK34" s="96">
        <f t="shared" si="13"/>
        <v>8689.333333</v>
      </c>
      <c r="AL34" s="96">
        <f t="shared" si="13"/>
        <v>8689.333333</v>
      </c>
      <c r="AM34" s="96">
        <f t="shared" si="13"/>
        <v>8689.333333</v>
      </c>
      <c r="AN34" s="96">
        <f t="shared" si="13"/>
        <v>8689.333333</v>
      </c>
      <c r="AO34" s="96">
        <f t="shared" si="13"/>
        <v>8689.333333</v>
      </c>
      <c r="AP34" s="96">
        <f t="shared" si="13"/>
        <v>8689.333333</v>
      </c>
      <c r="AQ34" s="96">
        <f t="shared" si="13"/>
        <v>8689.333333</v>
      </c>
      <c r="AR34" s="96">
        <f t="shared" si="13"/>
        <v>8689.333333</v>
      </c>
      <c r="AS34" s="96">
        <f t="shared" si="13"/>
        <v>8689.333333</v>
      </c>
      <c r="AT34" s="96">
        <f t="shared" si="13"/>
        <v>8689.333333</v>
      </c>
      <c r="AU34" s="96">
        <f t="shared" si="13"/>
        <v>8689.333333</v>
      </c>
      <c r="AV34" s="96">
        <f t="shared" si="13"/>
        <v>8689.333333</v>
      </c>
      <c r="AW34" s="96">
        <f t="shared" si="13"/>
        <v>8689.333333</v>
      </c>
      <c r="AX34" s="96">
        <f t="shared" si="13"/>
        <v>8689.333333</v>
      </c>
      <c r="AY34" s="96">
        <f t="shared" si="13"/>
        <v>8689.333333</v>
      </c>
      <c r="AZ34" s="96">
        <f t="shared" si="13"/>
        <v>8689.333333</v>
      </c>
      <c r="BA34" s="96">
        <f t="shared" si="13"/>
        <v>8689.333333</v>
      </c>
      <c r="BB34" s="96">
        <f t="shared" si="13"/>
        <v>8689.333333</v>
      </c>
      <c r="BC34" s="96">
        <f t="shared" si="13"/>
        <v>8689.333333</v>
      </c>
      <c r="BD34" s="96">
        <f t="shared" si="13"/>
        <v>8689.333333</v>
      </c>
      <c r="BE34" s="96">
        <f t="shared" si="13"/>
        <v>8689.333333</v>
      </c>
      <c r="BF34" s="96">
        <f t="shared" si="13"/>
        <v>8689.333333</v>
      </c>
      <c r="BG34" s="96">
        <f t="shared" si="13"/>
        <v>8689.333333</v>
      </c>
      <c r="BH34" s="96">
        <f t="shared" si="13"/>
        <v>8689.333333</v>
      </c>
      <c r="BI34" s="96">
        <f t="shared" si="13"/>
        <v>8689.333333</v>
      </c>
      <c r="BJ34" s="96">
        <f t="shared" si="13"/>
        <v>8689.333333</v>
      </c>
      <c r="BK34" s="96">
        <f t="shared" si="13"/>
        <v>8689.333333</v>
      </c>
      <c r="BL34" s="96">
        <f t="shared" si="13"/>
        <v>8689.333333</v>
      </c>
      <c r="BM34" s="96">
        <f t="shared" si="13"/>
        <v>8689.333333</v>
      </c>
      <c r="BN34" s="96">
        <f t="shared" si="13"/>
        <v>8689.333333</v>
      </c>
      <c r="BO34" s="96">
        <f t="shared" si="13"/>
        <v>8689.333333</v>
      </c>
      <c r="BP34" s="96">
        <f t="shared" si="13"/>
        <v>8689.333333</v>
      </c>
      <c r="BQ34" s="96">
        <f t="shared" si="13"/>
        <v>8689.333333</v>
      </c>
      <c r="BR34" s="96">
        <f t="shared" si="13"/>
        <v>8689.333333</v>
      </c>
      <c r="BS34" s="96">
        <f t="shared" si="13"/>
        <v>8689.333333</v>
      </c>
      <c r="BT34" s="96">
        <f t="shared" si="13"/>
        <v>8689.333333</v>
      </c>
      <c r="BU34" s="96">
        <f t="shared" si="13"/>
        <v>8689.333333</v>
      </c>
      <c r="BV34" s="96">
        <f t="shared" si="13"/>
        <v>8689.333333</v>
      </c>
      <c r="BW34" s="96">
        <f t="shared" si="13"/>
        <v>8689.333333</v>
      </c>
    </row>
    <row r="35" ht="15.75" customHeight="1">
      <c r="A35" s="1" t="s">
        <v>268</v>
      </c>
      <c r="B35" s="160">
        <f>AVERAGEIFS(35:35,$1:$1,"&gt;="&amp;DATE(YEAR(Current_Month),MONTH(Current_Month)-2,DAY(Current_Month)),$1:$1,"&lt;="&amp;EOMONTH(Current_Month,0))</f>
        <v>3559.666667</v>
      </c>
      <c r="D35" s="76">
        <f t="array" ref="D35">INDEX(INDIRECT("PnL_"&amp;TEXT(D$1,"mmm")&amp;"_"&amp;TEXT(D$1,"yyyy")),MATCH(TRIM($A35),PnL_Accounts,0))</f>
        <v>1774</v>
      </c>
      <c r="E35" s="76">
        <f t="array" ref="E35">INDEX(INDIRECT("PnL_"&amp;TEXT(E$1,"mmm")&amp;"_"&amp;TEXT(E$1,"yyyy")),MATCH(TRIM($A35),PnL_Accounts,0))</f>
        <v>1642</v>
      </c>
      <c r="F35" s="76">
        <f t="array" ref="F35">INDEX(INDIRECT("PnL_"&amp;TEXT(F$1,"mmm")&amp;"_"&amp;TEXT(F$1,"yyyy")),MATCH(TRIM($A35),PnL_Accounts,0))</f>
        <v>1544</v>
      </c>
      <c r="G35" s="76">
        <f t="array" ref="G35">INDEX(INDIRECT("PnL_"&amp;TEXT(G$1,"mmm")&amp;"_"&amp;TEXT(G$1,"yyyy")),MATCH(TRIM($A35),PnL_Accounts,0))</f>
        <v>1737</v>
      </c>
      <c r="H35" s="76">
        <f t="array" ref="H35">INDEX(INDIRECT("PnL_"&amp;TEXT(H$1,"mmm")&amp;"_"&amp;TEXT(H$1,"yyyy")),MATCH(TRIM($A35),PnL_Accounts,0))</f>
        <v>1912</v>
      </c>
      <c r="I35" s="76">
        <f t="array" ref="I35">INDEX(INDIRECT("PnL_"&amp;TEXT(I$1,"mmm")&amp;"_"&amp;TEXT(I$1,"yyyy")),MATCH(TRIM($A35),PnL_Accounts,0))</f>
        <v>1989</v>
      </c>
      <c r="J35" s="76">
        <f t="array" ref="J35">INDEX(INDIRECT("PnL_"&amp;TEXT(J$1,"mmm")&amp;"_"&amp;TEXT(J$1,"yyyy")),MATCH(TRIM($A35),PnL_Accounts,0))</f>
        <v>2153</v>
      </c>
      <c r="K35" s="76">
        <f t="array" ref="K35">INDEX(INDIRECT("PnL_"&amp;TEXT(K$1,"mmm")&amp;"_"&amp;TEXT(K$1,"yyyy")),MATCH(TRIM($A35),PnL_Accounts,0))</f>
        <v>1890</v>
      </c>
      <c r="L35" s="76">
        <f t="array" ref="L35">INDEX(INDIRECT("PnL_"&amp;TEXT(L$1,"mmm")&amp;"_"&amp;TEXT(L$1,"yyyy")),MATCH(TRIM($A35),PnL_Accounts,0))</f>
        <v>2040</v>
      </c>
      <c r="M35" s="76">
        <f t="array" ref="M35">INDEX(INDIRECT("PnL_"&amp;TEXT(M$1,"mmm")&amp;"_"&amp;TEXT(M$1,"yyyy")),MATCH(TRIM($A35),PnL_Accounts,0))</f>
        <v>2285</v>
      </c>
      <c r="N35" s="76">
        <f t="array" ref="N35">INDEX(INDIRECT("PnL_"&amp;TEXT(N$1,"mmm")&amp;"_"&amp;TEXT(N$1,"yyyy")),MATCH(TRIM($A35),PnL_Accounts,0))</f>
        <v>2327</v>
      </c>
      <c r="O35" s="76">
        <f t="array" ref="O35">INDEX(INDIRECT("PnL_"&amp;TEXT(O$1,"mmm")&amp;"_"&amp;TEXT(O$1,"yyyy")),MATCH(TRIM($A35),PnL_Accounts,0))</f>
        <v>2358</v>
      </c>
      <c r="P35" s="76">
        <f t="array" ref="P35">INDEX(INDIRECT("PnL_"&amp;TEXT(P$1,"mmm")&amp;"_"&amp;TEXT(P$1,"yyyy")),MATCH(TRIM($A35),PnL_Accounts,0))</f>
        <v>2288</v>
      </c>
      <c r="Q35" s="76">
        <f t="array" ref="Q35">INDEX(INDIRECT("PnL_"&amp;TEXT(Q$1,"mmm")&amp;"_"&amp;TEXT(Q$1,"yyyy")),MATCH(TRIM($A35),PnL_Accounts,0))</f>
        <v>3455</v>
      </c>
      <c r="R35" s="76">
        <f t="array" ref="R35">INDEX(INDIRECT("PnL_"&amp;TEXT(R$1,"mmm")&amp;"_"&amp;TEXT(R$1,"yyyy")),MATCH(TRIM($A35),PnL_Accounts,0))</f>
        <v>3571</v>
      </c>
      <c r="S35" s="76">
        <f t="array" ref="S35">INDEX(INDIRECT("PnL_"&amp;TEXT(S$1,"mmm")&amp;"_"&amp;TEXT(S$1,"yyyy")),MATCH(TRIM($A35),PnL_Accounts,0))</f>
        <v>3571</v>
      </c>
      <c r="T35" s="76">
        <f t="array" ref="T35">INDEX(INDIRECT("PnL_"&amp;TEXT(T$1,"mmm")&amp;"_"&amp;TEXT(T$1,"yyyy")),MATCH(TRIM($A35),PnL_Accounts,0))</f>
        <v>2910</v>
      </c>
      <c r="U35" s="76">
        <f t="array" ref="U35">INDEX(INDIRECT("PnL_"&amp;TEXT(U$1,"mmm")&amp;"_"&amp;TEXT(U$1,"yyyy")),MATCH(TRIM($A35),PnL_Accounts,0))</f>
        <v>3387</v>
      </c>
      <c r="V35" s="76">
        <f t="array" ref="V35">INDEX(INDIRECT("PnL_"&amp;TEXT(V$1,"mmm")&amp;"_"&amp;TEXT(V$1,"yyyy")),MATCH(TRIM($A35),PnL_Accounts,0))</f>
        <v>3266</v>
      </c>
      <c r="W35" s="76">
        <f t="array" ref="W35">INDEX(INDIRECT("PnL_"&amp;TEXT(W$1,"mmm")&amp;"_"&amp;TEXT(W$1,"yyyy")),MATCH(TRIM($A35),PnL_Accounts,0))</f>
        <v>3197</v>
      </c>
      <c r="X35" s="76">
        <f t="array" ref="X35">INDEX(INDIRECT("PnL_"&amp;TEXT(X$1,"mmm")&amp;"_"&amp;TEXT(X$1,"yyyy")),MATCH(TRIM($A35),PnL_Accounts,0))</f>
        <v>2907</v>
      </c>
      <c r="Y35" s="76">
        <f t="array" ref="Y35">INDEX(INDIRECT("PnL_"&amp;TEXT(Y$1,"mmm")&amp;"_"&amp;TEXT(Y$1,"yyyy")),MATCH(TRIM($A35),PnL_Accounts,0))</f>
        <v>2467</v>
      </c>
      <c r="Z35" s="76">
        <f t="array" ref="Z35">INDEX(INDIRECT("PnL_"&amp;TEXT(Z$1,"mmm")&amp;"_"&amp;TEXT(Z$1,"yyyy")),MATCH(TRIM($A35),PnL_Accounts,0))</f>
        <v>2463</v>
      </c>
      <c r="AA35" s="76">
        <f t="array" ref="AA35">INDEX(INDIRECT("PnL_"&amp;TEXT(AA$1,"mmm")&amp;"_"&amp;TEXT(AA$1,"yyyy")),MATCH(TRIM($A35),PnL_Accounts,0))</f>
        <v>3759</v>
      </c>
      <c r="AB35" s="76">
        <f t="array" ref="AB35">INDEX(INDIRECT("PnL_"&amp;TEXT(AB$1,"mmm")&amp;"_"&amp;TEXT(AB$1,"yyyy")),MATCH(TRIM($A35),PnL_Accounts,0))</f>
        <v>4212</v>
      </c>
      <c r="AC35" s="76">
        <f t="array" ref="AC35">INDEX(INDIRECT("PnL_"&amp;TEXT(AC$1,"mmm")&amp;"_"&amp;TEXT(AC$1,"yyyy")),MATCH(TRIM($A35),PnL_Accounts,0))</f>
        <v>3795</v>
      </c>
      <c r="AD35" s="76">
        <f t="array" ref="AD35">INDEX(INDIRECT("PnL_"&amp;TEXT(AD$1,"mmm")&amp;"_"&amp;TEXT(AD$1,"yyyy")),MATCH(TRIM($A35),PnL_Accounts,0))</f>
        <v>3674</v>
      </c>
      <c r="AE35" s="76">
        <f t="array" ref="AE35">INDEX(INDIRECT("PnL_"&amp;TEXT(AE$1,"mmm")&amp;"_"&amp;TEXT(AE$1,"yyyy")),MATCH(TRIM($A35),PnL_Accounts,0))</f>
        <v>3210</v>
      </c>
      <c r="AF35" s="96">
        <f t="shared" ref="AF35:BW35" si="14">$B35</f>
        <v>3559.666667</v>
      </c>
      <c r="AG35" s="96">
        <f t="shared" si="14"/>
        <v>3559.666667</v>
      </c>
      <c r="AH35" s="96">
        <f t="shared" si="14"/>
        <v>3559.666667</v>
      </c>
      <c r="AI35" s="96">
        <f t="shared" si="14"/>
        <v>3559.666667</v>
      </c>
      <c r="AJ35" s="96">
        <f t="shared" si="14"/>
        <v>3559.666667</v>
      </c>
      <c r="AK35" s="96">
        <f t="shared" si="14"/>
        <v>3559.666667</v>
      </c>
      <c r="AL35" s="96">
        <f t="shared" si="14"/>
        <v>3559.666667</v>
      </c>
      <c r="AM35" s="96">
        <f t="shared" si="14"/>
        <v>3559.666667</v>
      </c>
      <c r="AN35" s="96">
        <f t="shared" si="14"/>
        <v>3559.666667</v>
      </c>
      <c r="AO35" s="96">
        <f t="shared" si="14"/>
        <v>3559.666667</v>
      </c>
      <c r="AP35" s="96">
        <f t="shared" si="14"/>
        <v>3559.666667</v>
      </c>
      <c r="AQ35" s="96">
        <f t="shared" si="14"/>
        <v>3559.666667</v>
      </c>
      <c r="AR35" s="96">
        <f t="shared" si="14"/>
        <v>3559.666667</v>
      </c>
      <c r="AS35" s="96">
        <f t="shared" si="14"/>
        <v>3559.666667</v>
      </c>
      <c r="AT35" s="96">
        <f t="shared" si="14"/>
        <v>3559.666667</v>
      </c>
      <c r="AU35" s="96">
        <f t="shared" si="14"/>
        <v>3559.666667</v>
      </c>
      <c r="AV35" s="96">
        <f t="shared" si="14"/>
        <v>3559.666667</v>
      </c>
      <c r="AW35" s="96">
        <f t="shared" si="14"/>
        <v>3559.666667</v>
      </c>
      <c r="AX35" s="96">
        <f t="shared" si="14"/>
        <v>3559.666667</v>
      </c>
      <c r="AY35" s="96">
        <f t="shared" si="14"/>
        <v>3559.666667</v>
      </c>
      <c r="AZ35" s="96">
        <f t="shared" si="14"/>
        <v>3559.666667</v>
      </c>
      <c r="BA35" s="96">
        <f t="shared" si="14"/>
        <v>3559.666667</v>
      </c>
      <c r="BB35" s="96">
        <f t="shared" si="14"/>
        <v>3559.666667</v>
      </c>
      <c r="BC35" s="96">
        <f t="shared" si="14"/>
        <v>3559.666667</v>
      </c>
      <c r="BD35" s="96">
        <f t="shared" si="14"/>
        <v>3559.666667</v>
      </c>
      <c r="BE35" s="96">
        <f t="shared" si="14"/>
        <v>3559.666667</v>
      </c>
      <c r="BF35" s="96">
        <f t="shared" si="14"/>
        <v>3559.666667</v>
      </c>
      <c r="BG35" s="96">
        <f t="shared" si="14"/>
        <v>3559.666667</v>
      </c>
      <c r="BH35" s="96">
        <f t="shared" si="14"/>
        <v>3559.666667</v>
      </c>
      <c r="BI35" s="96">
        <f t="shared" si="14"/>
        <v>3559.666667</v>
      </c>
      <c r="BJ35" s="96">
        <f t="shared" si="14"/>
        <v>3559.666667</v>
      </c>
      <c r="BK35" s="96">
        <f t="shared" si="14"/>
        <v>3559.666667</v>
      </c>
      <c r="BL35" s="96">
        <f t="shared" si="14"/>
        <v>3559.666667</v>
      </c>
      <c r="BM35" s="96">
        <f t="shared" si="14"/>
        <v>3559.666667</v>
      </c>
      <c r="BN35" s="96">
        <f t="shared" si="14"/>
        <v>3559.666667</v>
      </c>
      <c r="BO35" s="96">
        <f t="shared" si="14"/>
        <v>3559.666667</v>
      </c>
      <c r="BP35" s="96">
        <f t="shared" si="14"/>
        <v>3559.666667</v>
      </c>
      <c r="BQ35" s="96">
        <f t="shared" si="14"/>
        <v>3559.666667</v>
      </c>
      <c r="BR35" s="96">
        <f t="shared" si="14"/>
        <v>3559.666667</v>
      </c>
      <c r="BS35" s="96">
        <f t="shared" si="14"/>
        <v>3559.666667</v>
      </c>
      <c r="BT35" s="96">
        <f t="shared" si="14"/>
        <v>3559.666667</v>
      </c>
      <c r="BU35" s="96">
        <f t="shared" si="14"/>
        <v>3559.666667</v>
      </c>
      <c r="BV35" s="96">
        <f t="shared" si="14"/>
        <v>3559.666667</v>
      </c>
      <c r="BW35" s="96">
        <f t="shared" si="14"/>
        <v>3559.666667</v>
      </c>
    </row>
    <row r="36" ht="15.75" customHeight="1">
      <c r="A36" s="1" t="s">
        <v>269</v>
      </c>
      <c r="B36" s="160">
        <f>AVERAGEIFS(36:36,$1:$1,"&gt;="&amp;DATE(YEAR(Current_Month),MONTH(Current_Month)-2,DAY(Current_Month)),$1:$1,"&lt;="&amp;EOMONTH(Current_Month,0))</f>
        <v>800</v>
      </c>
      <c r="D36" s="76">
        <f t="array" ref="D36">INDEX(INDIRECT("PnL_"&amp;TEXT(D$1,"mmm")&amp;"_"&amp;TEXT(D$1,"yyyy")),MATCH(TRIM($A36),PnL_Accounts,0))</f>
        <v>663</v>
      </c>
      <c r="E36" s="76">
        <f t="array" ref="E36">INDEX(INDIRECT("PnL_"&amp;TEXT(E$1,"mmm")&amp;"_"&amp;TEXT(E$1,"yyyy")),MATCH(TRIM($A36),PnL_Accounts,0))</f>
        <v>663</v>
      </c>
      <c r="F36" s="76">
        <f t="array" ref="F36">INDEX(INDIRECT("PnL_"&amp;TEXT(F$1,"mmm")&amp;"_"&amp;TEXT(F$1,"yyyy")),MATCH(TRIM($A36),PnL_Accounts,0))</f>
        <v>663</v>
      </c>
      <c r="G36" s="76">
        <f t="array" ref="G36">INDEX(INDIRECT("PnL_"&amp;TEXT(G$1,"mmm")&amp;"_"&amp;TEXT(G$1,"yyyy")),MATCH(TRIM($A36),PnL_Accounts,0))</f>
        <v>663</v>
      </c>
      <c r="H36" s="76">
        <f t="array" ref="H36">INDEX(INDIRECT("PnL_"&amp;TEXT(H$1,"mmm")&amp;"_"&amp;TEXT(H$1,"yyyy")),MATCH(TRIM($A36),PnL_Accounts,0))</f>
        <v>663</v>
      </c>
      <c r="I36" s="76">
        <f t="array" ref="I36">INDEX(INDIRECT("PnL_"&amp;TEXT(I$1,"mmm")&amp;"_"&amp;TEXT(I$1,"yyyy")),MATCH(TRIM($A36),PnL_Accounts,0))</f>
        <v>663</v>
      </c>
      <c r="J36" s="76">
        <f t="array" ref="J36">INDEX(INDIRECT("PnL_"&amp;TEXT(J$1,"mmm")&amp;"_"&amp;TEXT(J$1,"yyyy")),MATCH(TRIM($A36),PnL_Accounts,0))</f>
        <v>663</v>
      </c>
      <c r="K36" s="76">
        <f t="array" ref="K36">INDEX(INDIRECT("PnL_"&amp;TEXT(K$1,"mmm")&amp;"_"&amp;TEXT(K$1,"yyyy")),MATCH(TRIM($A36),PnL_Accounts,0))</f>
        <v>700</v>
      </c>
      <c r="L36" s="76">
        <f t="array" ref="L36">INDEX(INDIRECT("PnL_"&amp;TEXT(L$1,"mmm")&amp;"_"&amp;TEXT(L$1,"yyyy")),MATCH(TRIM($A36),PnL_Accounts,0))</f>
        <v>700</v>
      </c>
      <c r="M36" s="76">
        <f t="array" ref="M36">INDEX(INDIRECT("PnL_"&amp;TEXT(M$1,"mmm")&amp;"_"&amp;TEXT(M$1,"yyyy")),MATCH(TRIM($A36),PnL_Accounts,0))</f>
        <v>700</v>
      </c>
      <c r="N36" s="76">
        <f t="array" ref="N36">INDEX(INDIRECT("PnL_"&amp;TEXT(N$1,"mmm")&amp;"_"&amp;TEXT(N$1,"yyyy")),MATCH(TRIM($A36),PnL_Accounts,0))</f>
        <v>700</v>
      </c>
      <c r="O36" s="76">
        <f t="array" ref="O36">INDEX(INDIRECT("PnL_"&amp;TEXT(O$1,"mmm")&amp;"_"&amp;TEXT(O$1,"yyyy")),MATCH(TRIM($A36),PnL_Accounts,0))</f>
        <v>700</v>
      </c>
      <c r="P36" s="76">
        <f t="array" ref="P36">INDEX(INDIRECT("PnL_"&amp;TEXT(P$1,"mmm")&amp;"_"&amp;TEXT(P$1,"yyyy")),MATCH(TRIM($A36),PnL_Accounts,0))</f>
        <v>750</v>
      </c>
      <c r="Q36" s="76">
        <f t="array" ref="Q36">INDEX(INDIRECT("PnL_"&amp;TEXT(Q$1,"mmm")&amp;"_"&amp;TEXT(Q$1,"yyyy")),MATCH(TRIM($A36),PnL_Accounts,0))</f>
        <v>750</v>
      </c>
      <c r="R36" s="76">
        <f t="array" ref="R36">INDEX(INDIRECT("PnL_"&amp;TEXT(R$1,"mmm")&amp;"_"&amp;TEXT(R$1,"yyyy")),MATCH(TRIM($A36),PnL_Accounts,0))</f>
        <v>750</v>
      </c>
      <c r="S36" s="76">
        <f t="array" ref="S36">INDEX(INDIRECT("PnL_"&amp;TEXT(S$1,"mmm")&amp;"_"&amp;TEXT(S$1,"yyyy")),MATCH(TRIM($A36),PnL_Accounts,0))</f>
        <v>750</v>
      </c>
      <c r="T36" s="76">
        <f t="array" ref="T36">INDEX(INDIRECT("PnL_"&amp;TEXT(T$1,"mmm")&amp;"_"&amp;TEXT(T$1,"yyyy")),MATCH(TRIM($A36),PnL_Accounts,0))</f>
        <v>750</v>
      </c>
      <c r="U36" s="76">
        <f t="array" ref="U36">INDEX(INDIRECT("PnL_"&amp;TEXT(U$1,"mmm")&amp;"_"&amp;TEXT(U$1,"yyyy")),MATCH(TRIM($A36),PnL_Accounts,0))</f>
        <v>750</v>
      </c>
      <c r="V36" s="76">
        <f t="array" ref="V36">INDEX(INDIRECT("PnL_"&amp;TEXT(V$1,"mmm")&amp;"_"&amp;TEXT(V$1,"yyyy")),MATCH(TRIM($A36),PnL_Accounts,0))</f>
        <v>750</v>
      </c>
      <c r="W36" s="76">
        <f t="array" ref="W36">INDEX(INDIRECT("PnL_"&amp;TEXT(W$1,"mmm")&amp;"_"&amp;TEXT(W$1,"yyyy")),MATCH(TRIM($A36),PnL_Accounts,0))</f>
        <v>800</v>
      </c>
      <c r="X36" s="76">
        <f t="array" ref="X36">INDEX(INDIRECT("PnL_"&amp;TEXT(X$1,"mmm")&amp;"_"&amp;TEXT(X$1,"yyyy")),MATCH(TRIM($A36),PnL_Accounts,0))</f>
        <v>800</v>
      </c>
      <c r="Y36" s="76">
        <f t="array" ref="Y36">INDEX(INDIRECT("PnL_"&amp;TEXT(Y$1,"mmm")&amp;"_"&amp;TEXT(Y$1,"yyyy")),MATCH(TRIM($A36),PnL_Accounts,0))</f>
        <v>800</v>
      </c>
      <c r="Z36" s="76">
        <f t="array" ref="Z36">INDEX(INDIRECT("PnL_"&amp;TEXT(Z$1,"mmm")&amp;"_"&amp;TEXT(Z$1,"yyyy")),MATCH(TRIM($A36),PnL_Accounts,0))</f>
        <v>800</v>
      </c>
      <c r="AA36" s="76">
        <f t="array" ref="AA36">INDEX(INDIRECT("PnL_"&amp;TEXT(AA$1,"mmm")&amp;"_"&amp;TEXT(AA$1,"yyyy")),MATCH(TRIM($A36),PnL_Accounts,0))</f>
        <v>800</v>
      </c>
      <c r="AB36" s="76">
        <f t="array" ref="AB36">INDEX(INDIRECT("PnL_"&amp;TEXT(AB$1,"mmm")&amp;"_"&amp;TEXT(AB$1,"yyyy")),MATCH(TRIM($A36),PnL_Accounts,0))</f>
        <v>800</v>
      </c>
      <c r="AC36" s="76">
        <f t="array" ref="AC36">INDEX(INDIRECT("PnL_"&amp;TEXT(AC$1,"mmm")&amp;"_"&amp;TEXT(AC$1,"yyyy")),MATCH(TRIM($A36),PnL_Accounts,0))</f>
        <v>800</v>
      </c>
      <c r="AD36" s="76">
        <f t="array" ref="AD36">INDEX(INDIRECT("PnL_"&amp;TEXT(AD$1,"mmm")&amp;"_"&amp;TEXT(AD$1,"yyyy")),MATCH(TRIM($A36),PnL_Accounts,0))</f>
        <v>800</v>
      </c>
      <c r="AE36" s="76">
        <f t="array" ref="AE36">INDEX(INDIRECT("PnL_"&amp;TEXT(AE$1,"mmm")&amp;"_"&amp;TEXT(AE$1,"yyyy")),MATCH(TRIM($A36),PnL_Accounts,0))</f>
        <v>800</v>
      </c>
      <c r="AF36" s="96">
        <f t="shared" ref="AF36:BW36" si="15">$B36</f>
        <v>800</v>
      </c>
      <c r="AG36" s="96">
        <f t="shared" si="15"/>
        <v>800</v>
      </c>
      <c r="AH36" s="96">
        <f t="shared" si="15"/>
        <v>800</v>
      </c>
      <c r="AI36" s="96">
        <f t="shared" si="15"/>
        <v>800</v>
      </c>
      <c r="AJ36" s="96">
        <f t="shared" si="15"/>
        <v>800</v>
      </c>
      <c r="AK36" s="96">
        <f t="shared" si="15"/>
        <v>800</v>
      </c>
      <c r="AL36" s="96">
        <f t="shared" si="15"/>
        <v>800</v>
      </c>
      <c r="AM36" s="96">
        <f t="shared" si="15"/>
        <v>800</v>
      </c>
      <c r="AN36" s="96">
        <f t="shared" si="15"/>
        <v>800</v>
      </c>
      <c r="AO36" s="96">
        <f t="shared" si="15"/>
        <v>800</v>
      </c>
      <c r="AP36" s="96">
        <f t="shared" si="15"/>
        <v>800</v>
      </c>
      <c r="AQ36" s="96">
        <f t="shared" si="15"/>
        <v>800</v>
      </c>
      <c r="AR36" s="96">
        <f t="shared" si="15"/>
        <v>800</v>
      </c>
      <c r="AS36" s="96">
        <f t="shared" si="15"/>
        <v>800</v>
      </c>
      <c r="AT36" s="96">
        <f t="shared" si="15"/>
        <v>800</v>
      </c>
      <c r="AU36" s="96">
        <f t="shared" si="15"/>
        <v>800</v>
      </c>
      <c r="AV36" s="96">
        <f t="shared" si="15"/>
        <v>800</v>
      </c>
      <c r="AW36" s="96">
        <f t="shared" si="15"/>
        <v>800</v>
      </c>
      <c r="AX36" s="96">
        <f t="shared" si="15"/>
        <v>800</v>
      </c>
      <c r="AY36" s="96">
        <f t="shared" si="15"/>
        <v>800</v>
      </c>
      <c r="AZ36" s="96">
        <f t="shared" si="15"/>
        <v>800</v>
      </c>
      <c r="BA36" s="96">
        <f t="shared" si="15"/>
        <v>800</v>
      </c>
      <c r="BB36" s="96">
        <f t="shared" si="15"/>
        <v>800</v>
      </c>
      <c r="BC36" s="96">
        <f t="shared" si="15"/>
        <v>800</v>
      </c>
      <c r="BD36" s="96">
        <f t="shared" si="15"/>
        <v>800</v>
      </c>
      <c r="BE36" s="96">
        <f t="shared" si="15"/>
        <v>800</v>
      </c>
      <c r="BF36" s="96">
        <f t="shared" si="15"/>
        <v>800</v>
      </c>
      <c r="BG36" s="96">
        <f t="shared" si="15"/>
        <v>800</v>
      </c>
      <c r="BH36" s="96">
        <f t="shared" si="15"/>
        <v>800</v>
      </c>
      <c r="BI36" s="96">
        <f t="shared" si="15"/>
        <v>800</v>
      </c>
      <c r="BJ36" s="96">
        <f t="shared" si="15"/>
        <v>800</v>
      </c>
      <c r="BK36" s="96">
        <f t="shared" si="15"/>
        <v>800</v>
      </c>
      <c r="BL36" s="96">
        <f t="shared" si="15"/>
        <v>800</v>
      </c>
      <c r="BM36" s="96">
        <f t="shared" si="15"/>
        <v>800</v>
      </c>
      <c r="BN36" s="96">
        <f t="shared" si="15"/>
        <v>800</v>
      </c>
      <c r="BO36" s="96">
        <f t="shared" si="15"/>
        <v>800</v>
      </c>
      <c r="BP36" s="96">
        <f t="shared" si="15"/>
        <v>800</v>
      </c>
      <c r="BQ36" s="96">
        <f t="shared" si="15"/>
        <v>800</v>
      </c>
      <c r="BR36" s="96">
        <f t="shared" si="15"/>
        <v>800</v>
      </c>
      <c r="BS36" s="96">
        <f t="shared" si="15"/>
        <v>800</v>
      </c>
      <c r="BT36" s="96">
        <f t="shared" si="15"/>
        <v>800</v>
      </c>
      <c r="BU36" s="96">
        <f t="shared" si="15"/>
        <v>800</v>
      </c>
      <c r="BV36" s="96">
        <f t="shared" si="15"/>
        <v>800</v>
      </c>
      <c r="BW36" s="96">
        <f t="shared" si="15"/>
        <v>800</v>
      </c>
    </row>
    <row r="37" ht="15.75" customHeight="1">
      <c r="A37" s="1" t="s">
        <v>270</v>
      </c>
      <c r="B37" s="159"/>
      <c r="D37" s="76" t="str">
        <f t="array" ref="D37">INDEX(INDIRECT("PnL_"&amp;TEXT(D$1,"mmm")&amp;"_"&amp;TEXT(D$1,"yyyy")),MATCH(TRIM($A37),PnL_Accounts,0))</f>
        <v/>
      </c>
      <c r="E37" s="76" t="str">
        <f t="array" ref="E37">INDEX(INDIRECT("PnL_"&amp;TEXT(E$1,"mmm")&amp;"_"&amp;TEXT(E$1,"yyyy")),MATCH(TRIM($A37),PnL_Accounts,0))</f>
        <v/>
      </c>
      <c r="F37" s="76" t="str">
        <f t="array" ref="F37">INDEX(INDIRECT("PnL_"&amp;TEXT(F$1,"mmm")&amp;"_"&amp;TEXT(F$1,"yyyy")),MATCH(TRIM($A37),PnL_Accounts,0))</f>
        <v/>
      </c>
      <c r="G37" s="76" t="str">
        <f t="array" ref="G37">INDEX(INDIRECT("PnL_"&amp;TEXT(G$1,"mmm")&amp;"_"&amp;TEXT(G$1,"yyyy")),MATCH(TRIM($A37),PnL_Accounts,0))</f>
        <v/>
      </c>
      <c r="H37" s="76" t="str">
        <f t="array" ref="H37">INDEX(INDIRECT("PnL_"&amp;TEXT(H$1,"mmm")&amp;"_"&amp;TEXT(H$1,"yyyy")),MATCH(TRIM($A37),PnL_Accounts,0))</f>
        <v/>
      </c>
      <c r="I37" s="76" t="str">
        <f t="array" ref="I37">INDEX(INDIRECT("PnL_"&amp;TEXT(I$1,"mmm")&amp;"_"&amp;TEXT(I$1,"yyyy")),MATCH(TRIM($A37),PnL_Accounts,0))</f>
        <v/>
      </c>
      <c r="J37" s="76" t="str">
        <f t="array" ref="J37">INDEX(INDIRECT("PnL_"&amp;TEXT(J$1,"mmm")&amp;"_"&amp;TEXT(J$1,"yyyy")),MATCH(TRIM($A37),PnL_Accounts,0))</f>
        <v/>
      </c>
      <c r="K37" s="76" t="str">
        <f t="array" ref="K37">INDEX(INDIRECT("PnL_"&amp;TEXT(K$1,"mmm")&amp;"_"&amp;TEXT(K$1,"yyyy")),MATCH(TRIM($A37),PnL_Accounts,0))</f>
        <v/>
      </c>
      <c r="L37" s="76" t="str">
        <f t="array" ref="L37">INDEX(INDIRECT("PnL_"&amp;TEXT(L$1,"mmm")&amp;"_"&amp;TEXT(L$1,"yyyy")),MATCH(TRIM($A37),PnL_Accounts,0))</f>
        <v/>
      </c>
      <c r="M37" s="76" t="str">
        <f t="array" ref="M37">INDEX(INDIRECT("PnL_"&amp;TEXT(M$1,"mmm")&amp;"_"&amp;TEXT(M$1,"yyyy")),MATCH(TRIM($A37),PnL_Accounts,0))</f>
        <v/>
      </c>
      <c r="N37" s="76" t="str">
        <f t="array" ref="N37">INDEX(INDIRECT("PnL_"&amp;TEXT(N$1,"mmm")&amp;"_"&amp;TEXT(N$1,"yyyy")),MATCH(TRIM($A37),PnL_Accounts,0))</f>
        <v/>
      </c>
      <c r="O37" s="76" t="str">
        <f t="array" ref="O37">INDEX(INDIRECT("PnL_"&amp;TEXT(O$1,"mmm")&amp;"_"&amp;TEXT(O$1,"yyyy")),MATCH(TRIM($A37),PnL_Accounts,0))</f>
        <v/>
      </c>
      <c r="P37" s="76" t="str">
        <f t="array" ref="P37">INDEX(INDIRECT("PnL_"&amp;TEXT(P$1,"mmm")&amp;"_"&amp;TEXT(P$1,"yyyy")),MATCH(TRIM($A37),PnL_Accounts,0))</f>
        <v/>
      </c>
      <c r="Q37" s="76" t="str">
        <f t="array" ref="Q37">INDEX(INDIRECT("PnL_"&amp;TEXT(Q$1,"mmm")&amp;"_"&amp;TEXT(Q$1,"yyyy")),MATCH(TRIM($A37),PnL_Accounts,0))</f>
        <v/>
      </c>
      <c r="R37" s="76" t="str">
        <f t="array" ref="R37">INDEX(INDIRECT("PnL_"&amp;TEXT(R$1,"mmm")&amp;"_"&amp;TEXT(R$1,"yyyy")),MATCH(TRIM($A37),PnL_Accounts,0))</f>
        <v/>
      </c>
      <c r="S37" s="76" t="str">
        <f t="array" ref="S37">INDEX(INDIRECT("PnL_"&amp;TEXT(S$1,"mmm")&amp;"_"&amp;TEXT(S$1,"yyyy")),MATCH(TRIM($A37),PnL_Accounts,0))</f>
        <v/>
      </c>
      <c r="T37" s="76" t="str">
        <f t="array" ref="T37">INDEX(INDIRECT("PnL_"&amp;TEXT(T$1,"mmm")&amp;"_"&amp;TEXT(T$1,"yyyy")),MATCH(TRIM($A37),PnL_Accounts,0))</f>
        <v/>
      </c>
      <c r="U37" s="76" t="str">
        <f t="array" ref="U37">INDEX(INDIRECT("PnL_"&amp;TEXT(U$1,"mmm")&amp;"_"&amp;TEXT(U$1,"yyyy")),MATCH(TRIM($A37),PnL_Accounts,0))</f>
        <v/>
      </c>
      <c r="V37" s="76" t="str">
        <f t="array" ref="V37">INDEX(INDIRECT("PnL_"&amp;TEXT(V$1,"mmm")&amp;"_"&amp;TEXT(V$1,"yyyy")),MATCH(TRIM($A37),PnL_Accounts,0))</f>
        <v/>
      </c>
      <c r="W37" s="76" t="str">
        <f t="array" ref="W37">INDEX(INDIRECT("PnL_"&amp;TEXT(W$1,"mmm")&amp;"_"&amp;TEXT(W$1,"yyyy")),MATCH(TRIM($A37),PnL_Accounts,0))</f>
        <v/>
      </c>
      <c r="X37" s="76" t="str">
        <f t="array" ref="X37">INDEX(INDIRECT("PnL_"&amp;TEXT(X$1,"mmm")&amp;"_"&amp;TEXT(X$1,"yyyy")),MATCH(TRIM($A37),PnL_Accounts,0))</f>
        <v/>
      </c>
      <c r="Y37" s="76" t="str">
        <f t="array" ref="Y37">INDEX(INDIRECT("PnL_"&amp;TEXT(Y$1,"mmm")&amp;"_"&amp;TEXT(Y$1,"yyyy")),MATCH(TRIM($A37),PnL_Accounts,0))</f>
        <v/>
      </c>
      <c r="Z37" s="76" t="str">
        <f t="array" ref="Z37">INDEX(INDIRECT("PnL_"&amp;TEXT(Z$1,"mmm")&amp;"_"&amp;TEXT(Z$1,"yyyy")),MATCH(TRIM($A37),PnL_Accounts,0))</f>
        <v/>
      </c>
      <c r="AA37" s="76" t="str">
        <f t="array" ref="AA37">INDEX(INDIRECT("PnL_"&amp;TEXT(AA$1,"mmm")&amp;"_"&amp;TEXT(AA$1,"yyyy")),MATCH(TRIM($A37),PnL_Accounts,0))</f>
        <v/>
      </c>
      <c r="AB37" s="76" t="str">
        <f t="array" ref="AB37">INDEX(INDIRECT("PnL_"&amp;TEXT(AB$1,"mmm")&amp;"_"&amp;TEXT(AB$1,"yyyy")),MATCH(TRIM($A37),PnL_Accounts,0))</f>
        <v/>
      </c>
      <c r="AC37" s="76" t="str">
        <f t="array" ref="AC37">INDEX(INDIRECT("PnL_"&amp;TEXT(AC$1,"mmm")&amp;"_"&amp;TEXT(AC$1,"yyyy")),MATCH(TRIM($A37),PnL_Accounts,0))</f>
        <v/>
      </c>
      <c r="AD37" s="76" t="str">
        <f t="array" ref="AD37">INDEX(INDIRECT("PnL_"&amp;TEXT(AD$1,"mmm")&amp;"_"&amp;TEXT(AD$1,"yyyy")),MATCH(TRIM($A37),PnL_Accounts,0))</f>
        <v/>
      </c>
      <c r="AE37" s="76" t="str">
        <f t="array" ref="AE37">INDEX(INDIRECT("PnL_"&amp;TEXT(AE$1,"mmm")&amp;"_"&amp;TEXT(AE$1,"yyyy")),MATCH(TRIM($A37),PnL_Accounts,0))</f>
        <v/>
      </c>
    </row>
    <row r="38" ht="15.75" customHeight="1">
      <c r="A38" s="1" t="s">
        <v>271</v>
      </c>
      <c r="B38" s="160">
        <f>AVERAGEIFS(38:38,$1:$1,"&gt;="&amp;DATE(YEAR(Current_Month),MONTH(Current_Month)-2,DAY(Current_Month)),$1:$1,"&lt;="&amp;EOMONTH(Current_Month,0))</f>
        <v>8133.333333</v>
      </c>
      <c r="D38" s="76">
        <f t="array" ref="D38">INDEX(INDIRECT("PnL_"&amp;TEXT(D$1,"mmm")&amp;"_"&amp;TEXT(D$1,"yyyy")),MATCH(TRIM($A38),PnL_Accounts,0))</f>
        <v>2250</v>
      </c>
      <c r="E38" s="76">
        <f t="array" ref="E38">INDEX(INDIRECT("PnL_"&amp;TEXT(E$1,"mmm")&amp;"_"&amp;TEXT(E$1,"yyyy")),MATCH(TRIM($A38),PnL_Accounts,0))</f>
        <v>2346</v>
      </c>
      <c r="F38" s="76">
        <f t="array" ref="F38">INDEX(INDIRECT("PnL_"&amp;TEXT(F$1,"mmm")&amp;"_"&amp;TEXT(F$1,"yyyy")),MATCH(TRIM($A38),PnL_Accounts,0))</f>
        <v>2806</v>
      </c>
      <c r="G38" s="76">
        <f t="array" ref="G38">INDEX(INDIRECT("PnL_"&amp;TEXT(G$1,"mmm")&amp;"_"&amp;TEXT(G$1,"yyyy")),MATCH(TRIM($A38),PnL_Accounts,0))</f>
        <v>3195</v>
      </c>
      <c r="H38" s="76">
        <f t="array" ref="H38">INDEX(INDIRECT("PnL_"&amp;TEXT(H$1,"mmm")&amp;"_"&amp;TEXT(H$1,"yyyy")),MATCH(TRIM($A38),PnL_Accounts,0))</f>
        <v>3233</v>
      </c>
      <c r="I38" s="76">
        <f t="array" ref="I38">INDEX(INDIRECT("PnL_"&amp;TEXT(I$1,"mmm")&amp;"_"&amp;TEXT(I$1,"yyyy")),MATCH(TRIM($A38),PnL_Accounts,0))</f>
        <v>3592</v>
      </c>
      <c r="J38" s="76">
        <f t="array" ref="J38">INDEX(INDIRECT("PnL_"&amp;TEXT(J$1,"mmm")&amp;"_"&amp;TEXT(J$1,"yyyy")),MATCH(TRIM($A38),PnL_Accounts,0))</f>
        <v>3621</v>
      </c>
      <c r="K38" s="76">
        <f t="array" ref="K38">INDEX(INDIRECT("PnL_"&amp;TEXT(K$1,"mmm")&amp;"_"&amp;TEXT(K$1,"yyyy")),MATCH(TRIM($A38),PnL_Accounts,0))</f>
        <v>3689</v>
      </c>
      <c r="L38" s="76">
        <f t="array" ref="L38">INDEX(INDIRECT("PnL_"&amp;TEXT(L$1,"mmm")&amp;"_"&amp;TEXT(L$1,"yyyy")),MATCH(TRIM($A38),PnL_Accounts,0))</f>
        <v>3772</v>
      </c>
      <c r="M38" s="76">
        <f t="array" ref="M38">INDEX(INDIRECT("PnL_"&amp;TEXT(M$1,"mmm")&amp;"_"&amp;TEXT(M$1,"yyyy")),MATCH(TRIM($A38),PnL_Accounts,0))</f>
        <v>4011</v>
      </c>
      <c r="N38" s="76">
        <f t="array" ref="N38">INDEX(INDIRECT("PnL_"&amp;TEXT(N$1,"mmm")&amp;"_"&amp;TEXT(N$1,"yyyy")),MATCH(TRIM($A38),PnL_Accounts,0))</f>
        <v>3922</v>
      </c>
      <c r="O38" s="76">
        <f t="array" ref="O38">INDEX(INDIRECT("PnL_"&amp;TEXT(O$1,"mmm")&amp;"_"&amp;TEXT(O$1,"yyyy")),MATCH(TRIM($A38),PnL_Accounts,0))</f>
        <v>4271</v>
      </c>
      <c r="P38" s="76">
        <f t="array" ref="P38">INDEX(INDIRECT("PnL_"&amp;TEXT(P$1,"mmm")&amp;"_"&amp;TEXT(P$1,"yyyy")),MATCH(TRIM($A38),PnL_Accounts,0))</f>
        <v>4129</v>
      </c>
      <c r="Q38" s="76">
        <f t="array" ref="Q38">INDEX(INDIRECT("PnL_"&amp;TEXT(Q$1,"mmm")&amp;"_"&amp;TEXT(Q$1,"yyyy")),MATCH(TRIM($A38),PnL_Accounts,0))</f>
        <v>4500</v>
      </c>
      <c r="R38" s="76">
        <f t="array" ref="R38">INDEX(INDIRECT("PnL_"&amp;TEXT(R$1,"mmm")&amp;"_"&amp;TEXT(R$1,"yyyy")),MATCH(TRIM($A38),PnL_Accounts,0))</f>
        <v>5667</v>
      </c>
      <c r="S38" s="76">
        <f t="array" ref="S38">INDEX(INDIRECT("PnL_"&amp;TEXT(S$1,"mmm")&amp;"_"&amp;TEXT(S$1,"yyyy")),MATCH(TRIM($A38),PnL_Accounts,0))</f>
        <v>5667</v>
      </c>
      <c r="T38" s="76">
        <f t="array" ref="T38">INDEX(INDIRECT("PnL_"&amp;TEXT(T$1,"mmm")&amp;"_"&amp;TEXT(T$1,"yyyy")),MATCH(TRIM($A38),PnL_Accounts,0))</f>
        <v>6500</v>
      </c>
      <c r="U38" s="76">
        <f t="array" ref="U38">INDEX(INDIRECT("PnL_"&amp;TEXT(U$1,"mmm")&amp;"_"&amp;TEXT(U$1,"yyyy")),MATCH(TRIM($A38),PnL_Accounts,0))</f>
        <v>6738</v>
      </c>
      <c r="V38" s="76">
        <f t="array" ref="V38">INDEX(INDIRECT("PnL_"&amp;TEXT(V$1,"mmm")&amp;"_"&amp;TEXT(V$1,"yyyy")),MATCH(TRIM($A38),PnL_Accounts,0))</f>
        <v>6481</v>
      </c>
      <c r="W38" s="76">
        <f t="array" ref="W38">INDEX(INDIRECT("PnL_"&amp;TEXT(W$1,"mmm")&amp;"_"&amp;TEXT(W$1,"yyyy")),MATCH(TRIM($A38),PnL_Accounts,0))</f>
        <v>6576</v>
      </c>
      <c r="X38" s="76">
        <f t="array" ref="X38">INDEX(INDIRECT("PnL_"&amp;TEXT(X$1,"mmm")&amp;"_"&amp;TEXT(X$1,"yyyy")),MATCH(TRIM($A38),PnL_Accounts,0))</f>
        <v>7577</v>
      </c>
      <c r="Y38" s="76">
        <f t="array" ref="Y38">INDEX(INDIRECT("PnL_"&amp;TEXT(Y$1,"mmm")&amp;"_"&amp;TEXT(Y$1,"yyyy")),MATCH(TRIM($A38),PnL_Accounts,0))</f>
        <v>6754</v>
      </c>
      <c r="Z38" s="76">
        <f t="array" ref="Z38">INDEX(INDIRECT("PnL_"&amp;TEXT(Z$1,"mmm")&amp;"_"&amp;TEXT(Z$1,"yyyy")),MATCH(TRIM($A38),PnL_Accounts,0))</f>
        <v>6978</v>
      </c>
      <c r="AA38" s="76">
        <f t="array" ref="AA38">INDEX(INDIRECT("PnL_"&amp;TEXT(AA$1,"mmm")&amp;"_"&amp;TEXT(AA$1,"yyyy")),MATCH(TRIM($A38),PnL_Accounts,0))</f>
        <v>7485</v>
      </c>
      <c r="AB38" s="76">
        <f t="array" ref="AB38">INDEX(INDIRECT("PnL_"&amp;TEXT(AB$1,"mmm")&amp;"_"&amp;TEXT(AB$1,"yyyy")),MATCH(TRIM($A38),PnL_Accounts,0))</f>
        <v>8400</v>
      </c>
      <c r="AC38" s="76">
        <f t="array" ref="AC38">INDEX(INDIRECT("PnL_"&amp;TEXT(AC$1,"mmm")&amp;"_"&amp;TEXT(AC$1,"yyyy")),MATCH(TRIM($A38),PnL_Accounts,0))</f>
        <v>8400</v>
      </c>
      <c r="AD38" s="76">
        <f t="array" ref="AD38">INDEX(INDIRECT("PnL_"&amp;TEXT(AD$1,"mmm")&amp;"_"&amp;TEXT(AD$1,"yyyy")),MATCH(TRIM($A38),PnL_Accounts,0))</f>
        <v>8400</v>
      </c>
      <c r="AE38" s="76">
        <f t="array" ref="AE38">INDEX(INDIRECT("PnL_"&amp;TEXT(AE$1,"mmm")&amp;"_"&amp;TEXT(AE$1,"yyyy")),MATCH(TRIM($A38),PnL_Accounts,0))</f>
        <v>7600</v>
      </c>
      <c r="AF38" s="96">
        <f t="shared" ref="AF38:BW38" si="16">$B38</f>
        <v>8133.333333</v>
      </c>
      <c r="AG38" s="96">
        <f t="shared" si="16"/>
        <v>8133.333333</v>
      </c>
      <c r="AH38" s="96">
        <f t="shared" si="16"/>
        <v>8133.333333</v>
      </c>
      <c r="AI38" s="96">
        <f t="shared" si="16"/>
        <v>8133.333333</v>
      </c>
      <c r="AJ38" s="96">
        <f t="shared" si="16"/>
        <v>8133.333333</v>
      </c>
      <c r="AK38" s="96">
        <f t="shared" si="16"/>
        <v>8133.333333</v>
      </c>
      <c r="AL38" s="96">
        <f t="shared" si="16"/>
        <v>8133.333333</v>
      </c>
      <c r="AM38" s="96">
        <f t="shared" si="16"/>
        <v>8133.333333</v>
      </c>
      <c r="AN38" s="96">
        <f t="shared" si="16"/>
        <v>8133.333333</v>
      </c>
      <c r="AO38" s="96">
        <f t="shared" si="16"/>
        <v>8133.333333</v>
      </c>
      <c r="AP38" s="96">
        <f t="shared" si="16"/>
        <v>8133.333333</v>
      </c>
      <c r="AQ38" s="96">
        <f t="shared" si="16"/>
        <v>8133.333333</v>
      </c>
      <c r="AR38" s="96">
        <f t="shared" si="16"/>
        <v>8133.333333</v>
      </c>
      <c r="AS38" s="96">
        <f t="shared" si="16"/>
        <v>8133.333333</v>
      </c>
      <c r="AT38" s="96">
        <f t="shared" si="16"/>
        <v>8133.333333</v>
      </c>
      <c r="AU38" s="96">
        <f t="shared" si="16"/>
        <v>8133.333333</v>
      </c>
      <c r="AV38" s="96">
        <f t="shared" si="16"/>
        <v>8133.333333</v>
      </c>
      <c r="AW38" s="96">
        <f t="shared" si="16"/>
        <v>8133.333333</v>
      </c>
      <c r="AX38" s="96">
        <f t="shared" si="16"/>
        <v>8133.333333</v>
      </c>
      <c r="AY38" s="96">
        <f t="shared" si="16"/>
        <v>8133.333333</v>
      </c>
      <c r="AZ38" s="96">
        <f t="shared" si="16"/>
        <v>8133.333333</v>
      </c>
      <c r="BA38" s="96">
        <f t="shared" si="16"/>
        <v>8133.333333</v>
      </c>
      <c r="BB38" s="96">
        <f t="shared" si="16"/>
        <v>8133.333333</v>
      </c>
      <c r="BC38" s="96">
        <f t="shared" si="16"/>
        <v>8133.333333</v>
      </c>
      <c r="BD38" s="96">
        <f t="shared" si="16"/>
        <v>8133.333333</v>
      </c>
      <c r="BE38" s="96">
        <f t="shared" si="16"/>
        <v>8133.333333</v>
      </c>
      <c r="BF38" s="96">
        <f t="shared" si="16"/>
        <v>8133.333333</v>
      </c>
      <c r="BG38" s="96">
        <f t="shared" si="16"/>
        <v>8133.333333</v>
      </c>
      <c r="BH38" s="96">
        <f t="shared" si="16"/>
        <v>8133.333333</v>
      </c>
      <c r="BI38" s="96">
        <f t="shared" si="16"/>
        <v>8133.333333</v>
      </c>
      <c r="BJ38" s="96">
        <f t="shared" si="16"/>
        <v>8133.333333</v>
      </c>
      <c r="BK38" s="96">
        <f t="shared" si="16"/>
        <v>8133.333333</v>
      </c>
      <c r="BL38" s="96">
        <f t="shared" si="16"/>
        <v>8133.333333</v>
      </c>
      <c r="BM38" s="96">
        <f t="shared" si="16"/>
        <v>8133.333333</v>
      </c>
      <c r="BN38" s="96">
        <f t="shared" si="16"/>
        <v>8133.333333</v>
      </c>
      <c r="BO38" s="96">
        <f t="shared" si="16"/>
        <v>8133.333333</v>
      </c>
      <c r="BP38" s="96">
        <f t="shared" si="16"/>
        <v>8133.333333</v>
      </c>
      <c r="BQ38" s="96">
        <f t="shared" si="16"/>
        <v>8133.333333</v>
      </c>
      <c r="BR38" s="96">
        <f t="shared" si="16"/>
        <v>8133.333333</v>
      </c>
      <c r="BS38" s="96">
        <f t="shared" si="16"/>
        <v>8133.333333</v>
      </c>
      <c r="BT38" s="96">
        <f t="shared" si="16"/>
        <v>8133.333333</v>
      </c>
      <c r="BU38" s="96">
        <f t="shared" si="16"/>
        <v>8133.333333</v>
      </c>
      <c r="BV38" s="96">
        <f t="shared" si="16"/>
        <v>8133.333333</v>
      </c>
      <c r="BW38" s="96">
        <f t="shared" si="16"/>
        <v>8133.333333</v>
      </c>
    </row>
    <row r="39" ht="15.75" customHeight="1">
      <c r="A39" s="21" t="s">
        <v>272</v>
      </c>
      <c r="B39" s="163"/>
      <c r="C39" s="21"/>
      <c r="D39" s="157">
        <f t="shared" ref="D39:BW39" si="17">SUM(D37:D38)</f>
        <v>2250</v>
      </c>
      <c r="E39" s="157">
        <f t="shared" si="17"/>
        <v>2346</v>
      </c>
      <c r="F39" s="157">
        <f t="shared" si="17"/>
        <v>2806</v>
      </c>
      <c r="G39" s="157">
        <f t="shared" si="17"/>
        <v>3195</v>
      </c>
      <c r="H39" s="157">
        <f t="shared" si="17"/>
        <v>3233</v>
      </c>
      <c r="I39" s="157">
        <f t="shared" si="17"/>
        <v>3592</v>
      </c>
      <c r="J39" s="157">
        <f t="shared" si="17"/>
        <v>3621</v>
      </c>
      <c r="K39" s="157">
        <f t="shared" si="17"/>
        <v>3689</v>
      </c>
      <c r="L39" s="157">
        <f t="shared" si="17"/>
        <v>3772</v>
      </c>
      <c r="M39" s="157">
        <f t="shared" si="17"/>
        <v>4011</v>
      </c>
      <c r="N39" s="157">
        <f t="shared" si="17"/>
        <v>3922</v>
      </c>
      <c r="O39" s="157">
        <f t="shared" si="17"/>
        <v>4271</v>
      </c>
      <c r="P39" s="157">
        <f t="shared" si="17"/>
        <v>4129</v>
      </c>
      <c r="Q39" s="157">
        <f t="shared" si="17"/>
        <v>4500</v>
      </c>
      <c r="R39" s="157">
        <f t="shared" si="17"/>
        <v>5667</v>
      </c>
      <c r="S39" s="157">
        <f t="shared" si="17"/>
        <v>5667</v>
      </c>
      <c r="T39" s="157">
        <f t="shared" si="17"/>
        <v>6500</v>
      </c>
      <c r="U39" s="157">
        <f t="shared" si="17"/>
        <v>6738</v>
      </c>
      <c r="V39" s="157">
        <f t="shared" si="17"/>
        <v>6481</v>
      </c>
      <c r="W39" s="157">
        <f t="shared" si="17"/>
        <v>6576</v>
      </c>
      <c r="X39" s="157">
        <f t="shared" si="17"/>
        <v>7577</v>
      </c>
      <c r="Y39" s="157">
        <f t="shared" si="17"/>
        <v>6754</v>
      </c>
      <c r="Z39" s="157">
        <f t="shared" si="17"/>
        <v>6978</v>
      </c>
      <c r="AA39" s="157">
        <f t="shared" si="17"/>
        <v>7485</v>
      </c>
      <c r="AB39" s="157">
        <f t="shared" si="17"/>
        <v>8400</v>
      </c>
      <c r="AC39" s="157">
        <f t="shared" si="17"/>
        <v>8400</v>
      </c>
      <c r="AD39" s="157">
        <f t="shared" si="17"/>
        <v>8400</v>
      </c>
      <c r="AE39" s="157">
        <f t="shared" si="17"/>
        <v>7600</v>
      </c>
      <c r="AF39" s="157">
        <f t="shared" si="17"/>
        <v>8133.333333</v>
      </c>
      <c r="AG39" s="157">
        <f t="shared" si="17"/>
        <v>8133.333333</v>
      </c>
      <c r="AH39" s="157">
        <f t="shared" si="17"/>
        <v>8133.333333</v>
      </c>
      <c r="AI39" s="157">
        <f t="shared" si="17"/>
        <v>8133.333333</v>
      </c>
      <c r="AJ39" s="157">
        <f t="shared" si="17"/>
        <v>8133.333333</v>
      </c>
      <c r="AK39" s="157">
        <f t="shared" si="17"/>
        <v>8133.333333</v>
      </c>
      <c r="AL39" s="157">
        <f t="shared" si="17"/>
        <v>8133.333333</v>
      </c>
      <c r="AM39" s="157">
        <f t="shared" si="17"/>
        <v>8133.333333</v>
      </c>
      <c r="AN39" s="157">
        <f t="shared" si="17"/>
        <v>8133.333333</v>
      </c>
      <c r="AO39" s="157">
        <f t="shared" si="17"/>
        <v>8133.333333</v>
      </c>
      <c r="AP39" s="157">
        <f t="shared" si="17"/>
        <v>8133.333333</v>
      </c>
      <c r="AQ39" s="157">
        <f t="shared" si="17"/>
        <v>8133.333333</v>
      </c>
      <c r="AR39" s="157">
        <f t="shared" si="17"/>
        <v>8133.333333</v>
      </c>
      <c r="AS39" s="157">
        <f t="shared" si="17"/>
        <v>8133.333333</v>
      </c>
      <c r="AT39" s="157">
        <f t="shared" si="17"/>
        <v>8133.333333</v>
      </c>
      <c r="AU39" s="157">
        <f t="shared" si="17"/>
        <v>8133.333333</v>
      </c>
      <c r="AV39" s="157">
        <f t="shared" si="17"/>
        <v>8133.333333</v>
      </c>
      <c r="AW39" s="157">
        <f t="shared" si="17"/>
        <v>8133.333333</v>
      </c>
      <c r="AX39" s="157">
        <f t="shared" si="17"/>
        <v>8133.333333</v>
      </c>
      <c r="AY39" s="157">
        <f t="shared" si="17"/>
        <v>8133.333333</v>
      </c>
      <c r="AZ39" s="157">
        <f t="shared" si="17"/>
        <v>8133.333333</v>
      </c>
      <c r="BA39" s="157">
        <f t="shared" si="17"/>
        <v>8133.333333</v>
      </c>
      <c r="BB39" s="157">
        <f t="shared" si="17"/>
        <v>8133.333333</v>
      </c>
      <c r="BC39" s="157">
        <f t="shared" si="17"/>
        <v>8133.333333</v>
      </c>
      <c r="BD39" s="157">
        <f t="shared" si="17"/>
        <v>8133.333333</v>
      </c>
      <c r="BE39" s="157">
        <f t="shared" si="17"/>
        <v>8133.333333</v>
      </c>
      <c r="BF39" s="157">
        <f t="shared" si="17"/>
        <v>8133.333333</v>
      </c>
      <c r="BG39" s="157">
        <f t="shared" si="17"/>
        <v>8133.333333</v>
      </c>
      <c r="BH39" s="157">
        <f t="shared" si="17"/>
        <v>8133.333333</v>
      </c>
      <c r="BI39" s="157">
        <f t="shared" si="17"/>
        <v>8133.333333</v>
      </c>
      <c r="BJ39" s="157">
        <f t="shared" si="17"/>
        <v>8133.333333</v>
      </c>
      <c r="BK39" s="157">
        <f t="shared" si="17"/>
        <v>8133.333333</v>
      </c>
      <c r="BL39" s="157">
        <f t="shared" si="17"/>
        <v>8133.333333</v>
      </c>
      <c r="BM39" s="157">
        <f t="shared" si="17"/>
        <v>8133.333333</v>
      </c>
      <c r="BN39" s="157">
        <f t="shared" si="17"/>
        <v>8133.333333</v>
      </c>
      <c r="BO39" s="157">
        <f t="shared" si="17"/>
        <v>8133.333333</v>
      </c>
      <c r="BP39" s="157">
        <f t="shared" si="17"/>
        <v>8133.333333</v>
      </c>
      <c r="BQ39" s="157">
        <f t="shared" si="17"/>
        <v>8133.333333</v>
      </c>
      <c r="BR39" s="157">
        <f t="shared" si="17"/>
        <v>8133.333333</v>
      </c>
      <c r="BS39" s="157">
        <f t="shared" si="17"/>
        <v>8133.333333</v>
      </c>
      <c r="BT39" s="157">
        <f t="shared" si="17"/>
        <v>8133.333333</v>
      </c>
      <c r="BU39" s="157">
        <f t="shared" si="17"/>
        <v>8133.333333</v>
      </c>
      <c r="BV39" s="157">
        <f t="shared" si="17"/>
        <v>8133.333333</v>
      </c>
      <c r="BW39" s="157">
        <f t="shared" si="17"/>
        <v>8133.333333</v>
      </c>
    </row>
    <row r="40" ht="15.75" customHeight="1">
      <c r="A40" s="1" t="s">
        <v>273</v>
      </c>
      <c r="B40" s="159"/>
      <c r="D40" s="76" t="str">
        <f t="array" ref="D40">INDEX(INDIRECT("PnL_"&amp;TEXT(D$1,"mmm")&amp;"_"&amp;TEXT(D$1,"yyyy")),MATCH(TRIM($A40),PnL_Accounts,0))</f>
        <v/>
      </c>
      <c r="E40" s="76" t="str">
        <f t="array" ref="E40">INDEX(INDIRECT("PnL_"&amp;TEXT(E$1,"mmm")&amp;"_"&amp;TEXT(E$1,"yyyy")),MATCH(TRIM($A40),PnL_Accounts,0))</f>
        <v/>
      </c>
      <c r="F40" s="76" t="str">
        <f t="array" ref="F40">INDEX(INDIRECT("PnL_"&amp;TEXT(F$1,"mmm")&amp;"_"&amp;TEXT(F$1,"yyyy")),MATCH(TRIM($A40),PnL_Accounts,0))</f>
        <v/>
      </c>
      <c r="G40" s="76" t="str">
        <f t="array" ref="G40">INDEX(INDIRECT("PnL_"&amp;TEXT(G$1,"mmm")&amp;"_"&amp;TEXT(G$1,"yyyy")),MATCH(TRIM($A40),PnL_Accounts,0))</f>
        <v/>
      </c>
      <c r="H40" s="76" t="str">
        <f t="array" ref="H40">INDEX(INDIRECT("PnL_"&amp;TEXT(H$1,"mmm")&amp;"_"&amp;TEXT(H$1,"yyyy")),MATCH(TRIM($A40),PnL_Accounts,0))</f>
        <v/>
      </c>
      <c r="I40" s="76" t="str">
        <f t="array" ref="I40">INDEX(INDIRECT("PnL_"&amp;TEXT(I$1,"mmm")&amp;"_"&amp;TEXT(I$1,"yyyy")),MATCH(TRIM($A40),PnL_Accounts,0))</f>
        <v/>
      </c>
      <c r="J40" s="76" t="str">
        <f t="array" ref="J40">INDEX(INDIRECT("PnL_"&amp;TEXT(J$1,"mmm")&amp;"_"&amp;TEXT(J$1,"yyyy")),MATCH(TRIM($A40),PnL_Accounts,0))</f>
        <v/>
      </c>
      <c r="K40" s="76" t="str">
        <f t="array" ref="K40">INDEX(INDIRECT("PnL_"&amp;TEXT(K$1,"mmm")&amp;"_"&amp;TEXT(K$1,"yyyy")),MATCH(TRIM($A40),PnL_Accounts,0))</f>
        <v/>
      </c>
      <c r="L40" s="76" t="str">
        <f t="array" ref="L40">INDEX(INDIRECT("PnL_"&amp;TEXT(L$1,"mmm")&amp;"_"&amp;TEXT(L$1,"yyyy")),MATCH(TRIM($A40),PnL_Accounts,0))</f>
        <v/>
      </c>
      <c r="M40" s="76" t="str">
        <f t="array" ref="M40">INDEX(INDIRECT("PnL_"&amp;TEXT(M$1,"mmm")&amp;"_"&amp;TEXT(M$1,"yyyy")),MATCH(TRIM($A40),PnL_Accounts,0))</f>
        <v/>
      </c>
      <c r="N40" s="76" t="str">
        <f t="array" ref="N40">INDEX(INDIRECT("PnL_"&amp;TEXT(N$1,"mmm")&amp;"_"&amp;TEXT(N$1,"yyyy")),MATCH(TRIM($A40),PnL_Accounts,0))</f>
        <v/>
      </c>
      <c r="O40" s="76" t="str">
        <f t="array" ref="O40">INDEX(INDIRECT("PnL_"&amp;TEXT(O$1,"mmm")&amp;"_"&amp;TEXT(O$1,"yyyy")),MATCH(TRIM($A40),PnL_Accounts,0))</f>
        <v/>
      </c>
      <c r="P40" s="76" t="str">
        <f t="array" ref="P40">INDEX(INDIRECT("PnL_"&amp;TEXT(P$1,"mmm")&amp;"_"&amp;TEXT(P$1,"yyyy")),MATCH(TRIM($A40),PnL_Accounts,0))</f>
        <v/>
      </c>
      <c r="Q40" s="76" t="str">
        <f t="array" ref="Q40">INDEX(INDIRECT("PnL_"&amp;TEXT(Q$1,"mmm")&amp;"_"&amp;TEXT(Q$1,"yyyy")),MATCH(TRIM($A40),PnL_Accounts,0))</f>
        <v/>
      </c>
      <c r="R40" s="76" t="str">
        <f t="array" ref="R40">INDEX(INDIRECT("PnL_"&amp;TEXT(R$1,"mmm")&amp;"_"&amp;TEXT(R$1,"yyyy")),MATCH(TRIM($A40),PnL_Accounts,0))</f>
        <v/>
      </c>
      <c r="S40" s="76" t="str">
        <f t="array" ref="S40">INDEX(INDIRECT("PnL_"&amp;TEXT(S$1,"mmm")&amp;"_"&amp;TEXT(S$1,"yyyy")),MATCH(TRIM($A40),PnL_Accounts,0))</f>
        <v/>
      </c>
      <c r="T40" s="76" t="str">
        <f t="array" ref="T40">INDEX(INDIRECT("PnL_"&amp;TEXT(T$1,"mmm")&amp;"_"&amp;TEXT(T$1,"yyyy")),MATCH(TRIM($A40),PnL_Accounts,0))</f>
        <v/>
      </c>
      <c r="U40" s="76" t="str">
        <f t="array" ref="U40">INDEX(INDIRECT("PnL_"&amp;TEXT(U$1,"mmm")&amp;"_"&amp;TEXT(U$1,"yyyy")),MATCH(TRIM($A40),PnL_Accounts,0))</f>
        <v/>
      </c>
      <c r="V40" s="76" t="str">
        <f t="array" ref="V40">INDEX(INDIRECT("PnL_"&amp;TEXT(V$1,"mmm")&amp;"_"&amp;TEXT(V$1,"yyyy")),MATCH(TRIM($A40),PnL_Accounts,0))</f>
        <v/>
      </c>
      <c r="W40" s="76" t="str">
        <f t="array" ref="W40">INDEX(INDIRECT("PnL_"&amp;TEXT(W$1,"mmm")&amp;"_"&amp;TEXT(W$1,"yyyy")),MATCH(TRIM($A40),PnL_Accounts,0))</f>
        <v/>
      </c>
      <c r="X40" s="76" t="str">
        <f t="array" ref="X40">INDEX(INDIRECT("PnL_"&amp;TEXT(X$1,"mmm")&amp;"_"&amp;TEXT(X$1,"yyyy")),MATCH(TRIM($A40),PnL_Accounts,0))</f>
        <v/>
      </c>
      <c r="Y40" s="76" t="str">
        <f t="array" ref="Y40">INDEX(INDIRECT("PnL_"&amp;TEXT(Y$1,"mmm")&amp;"_"&amp;TEXT(Y$1,"yyyy")),MATCH(TRIM($A40),PnL_Accounts,0))</f>
        <v/>
      </c>
      <c r="Z40" s="76" t="str">
        <f t="array" ref="Z40">INDEX(INDIRECT("PnL_"&amp;TEXT(Z$1,"mmm")&amp;"_"&amp;TEXT(Z$1,"yyyy")),MATCH(TRIM($A40),PnL_Accounts,0))</f>
        <v/>
      </c>
      <c r="AA40" s="76" t="str">
        <f t="array" ref="AA40">INDEX(INDIRECT("PnL_"&amp;TEXT(AA$1,"mmm")&amp;"_"&amp;TEXT(AA$1,"yyyy")),MATCH(TRIM($A40),PnL_Accounts,0))</f>
        <v/>
      </c>
      <c r="AB40" s="76" t="str">
        <f t="array" ref="AB40">INDEX(INDIRECT("PnL_"&amp;TEXT(AB$1,"mmm")&amp;"_"&amp;TEXT(AB$1,"yyyy")),MATCH(TRIM($A40),PnL_Accounts,0))</f>
        <v/>
      </c>
      <c r="AC40" s="76" t="str">
        <f t="array" ref="AC40">INDEX(INDIRECT("PnL_"&amp;TEXT(AC$1,"mmm")&amp;"_"&amp;TEXT(AC$1,"yyyy")),MATCH(TRIM($A40),PnL_Accounts,0))</f>
        <v/>
      </c>
      <c r="AD40" s="76" t="str">
        <f t="array" ref="AD40">INDEX(INDIRECT("PnL_"&amp;TEXT(AD$1,"mmm")&amp;"_"&amp;TEXT(AD$1,"yyyy")),MATCH(TRIM($A40),PnL_Accounts,0))</f>
        <v/>
      </c>
      <c r="AE40" s="76" t="str">
        <f t="array" ref="AE40">INDEX(INDIRECT("PnL_"&amp;TEXT(AE$1,"mmm")&amp;"_"&amp;TEXT(AE$1,"yyyy")),MATCH(TRIM($A40),PnL_Accounts,0))</f>
        <v/>
      </c>
    </row>
    <row r="41" ht="15.75" customHeight="1">
      <c r="A41" s="1" t="s">
        <v>274</v>
      </c>
      <c r="B41" s="160">
        <f>AVERAGEIFS(41:41,$1:$1,"&gt;="&amp;DATE(YEAR(Current_Month),MONTH(Current_Month)-2,DAY(Current_Month)),$1:$1,"&lt;="&amp;EOMONTH(Current_Month,0))</f>
        <v>4066</v>
      </c>
      <c r="D41" s="76">
        <f t="array" ref="D41">INDEX(INDIRECT("PnL_"&amp;TEXT(D$1,"mmm")&amp;"_"&amp;TEXT(D$1,"yyyy")),MATCH(TRIM($A41),PnL_Accounts,0))</f>
        <v>5751</v>
      </c>
      <c r="E41" s="76">
        <f t="array" ref="E41">INDEX(INDIRECT("PnL_"&amp;TEXT(E$1,"mmm")&amp;"_"&amp;TEXT(E$1,"yyyy")),MATCH(TRIM($A41),PnL_Accounts,0))</f>
        <v>6018</v>
      </c>
      <c r="F41" s="76">
        <f t="array" ref="F41">INDEX(INDIRECT("PnL_"&amp;TEXT(F$1,"mmm")&amp;"_"&amp;TEXT(F$1,"yyyy")),MATCH(TRIM($A41),PnL_Accounts,0))</f>
        <v>6036</v>
      </c>
      <c r="G41" s="76">
        <f t="array" ref="G41">INDEX(INDIRECT("PnL_"&amp;TEXT(G$1,"mmm")&amp;"_"&amp;TEXT(G$1,"yyyy")),MATCH(TRIM($A41),PnL_Accounts,0))</f>
        <v>5888</v>
      </c>
      <c r="H41" s="76">
        <f t="array" ref="H41">INDEX(INDIRECT("PnL_"&amp;TEXT(H$1,"mmm")&amp;"_"&amp;TEXT(H$1,"yyyy")),MATCH(TRIM($A41),PnL_Accounts,0))</f>
        <v>6181</v>
      </c>
      <c r="I41" s="76">
        <f t="array" ref="I41">INDEX(INDIRECT("PnL_"&amp;TEXT(I$1,"mmm")&amp;"_"&amp;TEXT(I$1,"yyyy")),MATCH(TRIM($A41),PnL_Accounts,0))</f>
        <v>6414</v>
      </c>
      <c r="J41" s="76">
        <f t="array" ref="J41">INDEX(INDIRECT("PnL_"&amp;TEXT(J$1,"mmm")&amp;"_"&amp;TEXT(J$1,"yyyy")),MATCH(TRIM($A41),PnL_Accounts,0))</f>
        <v>6719</v>
      </c>
      <c r="K41" s="76">
        <f t="array" ref="K41">INDEX(INDIRECT("PnL_"&amp;TEXT(K$1,"mmm")&amp;"_"&amp;TEXT(K$1,"yyyy")),MATCH(TRIM($A41),PnL_Accounts,0))</f>
        <v>6191</v>
      </c>
      <c r="L41" s="76">
        <f t="array" ref="L41">INDEX(INDIRECT("PnL_"&amp;TEXT(L$1,"mmm")&amp;"_"&amp;TEXT(L$1,"yyyy")),MATCH(TRIM($A41),PnL_Accounts,0))</f>
        <v>6563</v>
      </c>
      <c r="M41" s="76">
        <f t="array" ref="M41">INDEX(INDIRECT("PnL_"&amp;TEXT(M$1,"mmm")&amp;"_"&amp;TEXT(M$1,"yyyy")),MATCH(TRIM($A41),PnL_Accounts,0))</f>
        <v>6897</v>
      </c>
      <c r="N41" s="76">
        <f t="array" ref="N41">INDEX(INDIRECT("PnL_"&amp;TEXT(N$1,"mmm")&amp;"_"&amp;TEXT(N$1,"yyyy")),MATCH(TRIM($A41),PnL_Accounts,0))</f>
        <v>6459</v>
      </c>
      <c r="O41" s="76">
        <f t="array" ref="O41">INDEX(INDIRECT("PnL_"&amp;TEXT(O$1,"mmm")&amp;"_"&amp;TEXT(O$1,"yyyy")),MATCH(TRIM($A41),PnL_Accounts,0))</f>
        <v>6719</v>
      </c>
      <c r="P41" s="76">
        <f t="array" ref="P41">INDEX(INDIRECT("PnL_"&amp;TEXT(P$1,"mmm")&amp;"_"&amp;TEXT(P$1,"yyyy")),MATCH(TRIM($A41),PnL_Accounts,0))</f>
        <v>6691</v>
      </c>
      <c r="Q41" s="76">
        <f t="array" ref="Q41">INDEX(INDIRECT("PnL_"&amp;TEXT(Q$1,"mmm")&amp;"_"&amp;TEXT(Q$1,"yyyy")),MATCH(TRIM($A41),PnL_Accounts,0))</f>
        <v>4245</v>
      </c>
      <c r="R41" s="76">
        <f t="array" ref="R41">INDEX(INDIRECT("PnL_"&amp;TEXT(R$1,"mmm")&amp;"_"&amp;TEXT(R$1,"yyyy")),MATCH(TRIM($A41),PnL_Accounts,0))</f>
        <v>5237</v>
      </c>
      <c r="S41" s="76">
        <f t="array" ref="S41">INDEX(INDIRECT("PnL_"&amp;TEXT(S$1,"mmm")&amp;"_"&amp;TEXT(S$1,"yyyy")),MATCH(TRIM($A41),PnL_Accounts,0))</f>
        <v>4988</v>
      </c>
      <c r="T41" s="76">
        <f t="array" ref="T41">INDEX(INDIRECT("PnL_"&amp;TEXT(T$1,"mmm")&amp;"_"&amp;TEXT(T$1,"yyyy")),MATCH(TRIM($A41),PnL_Accounts,0))</f>
        <v>5237</v>
      </c>
      <c r="U41" s="76">
        <f t="array" ref="U41">INDEX(INDIRECT("PnL_"&amp;TEXT(U$1,"mmm")&amp;"_"&amp;TEXT(U$1,"yyyy")),MATCH(TRIM($A41),PnL_Accounts,0))</f>
        <v>5471</v>
      </c>
      <c r="V41" s="76">
        <f t="array" ref="V41">INDEX(INDIRECT("PnL_"&amp;TEXT(V$1,"mmm")&amp;"_"&amp;TEXT(V$1,"yyyy")),MATCH(TRIM($A41),PnL_Accounts,0))</f>
        <v>5388</v>
      </c>
      <c r="W41" s="76">
        <f t="array" ref="W41">INDEX(INDIRECT("PnL_"&amp;TEXT(W$1,"mmm")&amp;"_"&amp;TEXT(W$1,"yyyy")),MATCH(TRIM($A41),PnL_Accounts,0))</f>
        <v>5477</v>
      </c>
      <c r="X41" s="76">
        <f t="array" ref="X41">INDEX(INDIRECT("PnL_"&amp;TEXT(X$1,"mmm")&amp;"_"&amp;TEXT(X$1,"yyyy")),MATCH(TRIM($A41),PnL_Accounts,0))</f>
        <v>4699</v>
      </c>
      <c r="Y41" s="76">
        <f t="array" ref="Y41">INDEX(INDIRECT("PnL_"&amp;TEXT(Y$1,"mmm")&amp;"_"&amp;TEXT(Y$1,"yyyy")),MATCH(TRIM($A41),PnL_Accounts,0))</f>
        <v>7456</v>
      </c>
      <c r="Z41" s="76">
        <f t="array" ref="Z41">INDEX(INDIRECT("PnL_"&amp;TEXT(Z$1,"mmm")&amp;"_"&amp;TEXT(Z$1,"yyyy")),MATCH(TRIM($A41),PnL_Accounts,0))</f>
        <v>8127</v>
      </c>
      <c r="AA41" s="76">
        <f t="array" ref="AA41">INDEX(INDIRECT("PnL_"&amp;TEXT(AA$1,"mmm")&amp;"_"&amp;TEXT(AA$1,"yyyy")),MATCH(TRIM($A41),PnL_Accounts,0))</f>
        <v>5971</v>
      </c>
      <c r="AB41" s="76">
        <f t="array" ref="AB41">INDEX(INDIRECT("PnL_"&amp;TEXT(AB$1,"mmm")&amp;"_"&amp;TEXT(AB$1,"yyyy")),MATCH(TRIM($A41),PnL_Accounts,0))</f>
        <v>5400</v>
      </c>
      <c r="AC41" s="76">
        <f t="array" ref="AC41">INDEX(INDIRECT("PnL_"&amp;TEXT(AC$1,"mmm")&amp;"_"&amp;TEXT(AC$1,"yyyy")),MATCH(TRIM($A41),PnL_Accounts,0))</f>
        <v>4899</v>
      </c>
      <c r="AD41" s="76">
        <f t="array" ref="AD41">INDEX(INDIRECT("PnL_"&amp;TEXT(AD$1,"mmm")&amp;"_"&amp;TEXT(AD$1,"yyyy")),MATCH(TRIM($A41),PnL_Accounts,0))</f>
        <v>4899</v>
      </c>
      <c r="AE41" s="76">
        <f t="array" ref="AE41">INDEX(INDIRECT("PnL_"&amp;TEXT(AE$1,"mmm")&amp;"_"&amp;TEXT(AE$1,"yyyy")),MATCH(TRIM($A41),PnL_Accounts,0))</f>
        <v>2400</v>
      </c>
      <c r="AF41" s="96">
        <f t="shared" ref="AF41:BW41" si="18">$B41</f>
        <v>4066</v>
      </c>
      <c r="AG41" s="96">
        <f t="shared" si="18"/>
        <v>4066</v>
      </c>
      <c r="AH41" s="96">
        <f t="shared" si="18"/>
        <v>4066</v>
      </c>
      <c r="AI41" s="96">
        <f t="shared" si="18"/>
        <v>4066</v>
      </c>
      <c r="AJ41" s="96">
        <f t="shared" si="18"/>
        <v>4066</v>
      </c>
      <c r="AK41" s="96">
        <f t="shared" si="18"/>
        <v>4066</v>
      </c>
      <c r="AL41" s="96">
        <f t="shared" si="18"/>
        <v>4066</v>
      </c>
      <c r="AM41" s="96">
        <f t="shared" si="18"/>
        <v>4066</v>
      </c>
      <c r="AN41" s="96">
        <f t="shared" si="18"/>
        <v>4066</v>
      </c>
      <c r="AO41" s="96">
        <f t="shared" si="18"/>
        <v>4066</v>
      </c>
      <c r="AP41" s="96">
        <f t="shared" si="18"/>
        <v>4066</v>
      </c>
      <c r="AQ41" s="96">
        <f t="shared" si="18"/>
        <v>4066</v>
      </c>
      <c r="AR41" s="96">
        <f t="shared" si="18"/>
        <v>4066</v>
      </c>
      <c r="AS41" s="96">
        <f t="shared" si="18"/>
        <v>4066</v>
      </c>
      <c r="AT41" s="96">
        <f t="shared" si="18"/>
        <v>4066</v>
      </c>
      <c r="AU41" s="96">
        <f t="shared" si="18"/>
        <v>4066</v>
      </c>
      <c r="AV41" s="96">
        <f t="shared" si="18"/>
        <v>4066</v>
      </c>
      <c r="AW41" s="96">
        <f t="shared" si="18"/>
        <v>4066</v>
      </c>
      <c r="AX41" s="96">
        <f t="shared" si="18"/>
        <v>4066</v>
      </c>
      <c r="AY41" s="96">
        <f t="shared" si="18"/>
        <v>4066</v>
      </c>
      <c r="AZ41" s="96">
        <f t="shared" si="18"/>
        <v>4066</v>
      </c>
      <c r="BA41" s="96">
        <f t="shared" si="18"/>
        <v>4066</v>
      </c>
      <c r="BB41" s="96">
        <f t="shared" si="18"/>
        <v>4066</v>
      </c>
      <c r="BC41" s="96">
        <f t="shared" si="18"/>
        <v>4066</v>
      </c>
      <c r="BD41" s="96">
        <f t="shared" si="18"/>
        <v>4066</v>
      </c>
      <c r="BE41" s="96">
        <f t="shared" si="18"/>
        <v>4066</v>
      </c>
      <c r="BF41" s="96">
        <f t="shared" si="18"/>
        <v>4066</v>
      </c>
      <c r="BG41" s="96">
        <f t="shared" si="18"/>
        <v>4066</v>
      </c>
      <c r="BH41" s="96">
        <f t="shared" si="18"/>
        <v>4066</v>
      </c>
      <c r="BI41" s="96">
        <f t="shared" si="18"/>
        <v>4066</v>
      </c>
      <c r="BJ41" s="96">
        <f t="shared" si="18"/>
        <v>4066</v>
      </c>
      <c r="BK41" s="96">
        <f t="shared" si="18"/>
        <v>4066</v>
      </c>
      <c r="BL41" s="96">
        <f t="shared" si="18"/>
        <v>4066</v>
      </c>
      <c r="BM41" s="96">
        <f t="shared" si="18"/>
        <v>4066</v>
      </c>
      <c r="BN41" s="96">
        <f t="shared" si="18"/>
        <v>4066</v>
      </c>
      <c r="BO41" s="96">
        <f t="shared" si="18"/>
        <v>4066</v>
      </c>
      <c r="BP41" s="96">
        <f t="shared" si="18"/>
        <v>4066</v>
      </c>
      <c r="BQ41" s="96">
        <f t="shared" si="18"/>
        <v>4066</v>
      </c>
      <c r="BR41" s="96">
        <f t="shared" si="18"/>
        <v>4066</v>
      </c>
      <c r="BS41" s="96">
        <f t="shared" si="18"/>
        <v>4066</v>
      </c>
      <c r="BT41" s="96">
        <f t="shared" si="18"/>
        <v>4066</v>
      </c>
      <c r="BU41" s="96">
        <f t="shared" si="18"/>
        <v>4066</v>
      </c>
      <c r="BV41" s="96">
        <f t="shared" si="18"/>
        <v>4066</v>
      </c>
      <c r="BW41" s="96">
        <f t="shared" si="18"/>
        <v>4066</v>
      </c>
    </row>
    <row r="42" ht="15.75" customHeight="1">
      <c r="A42" s="21" t="s">
        <v>275</v>
      </c>
      <c r="B42" s="163"/>
      <c r="C42" s="21"/>
      <c r="D42" s="157">
        <f t="shared" ref="D42:BW42" si="19">SUM(D40:D41)</f>
        <v>5751</v>
      </c>
      <c r="E42" s="157">
        <f t="shared" si="19"/>
        <v>6018</v>
      </c>
      <c r="F42" s="157">
        <f t="shared" si="19"/>
        <v>6036</v>
      </c>
      <c r="G42" s="157">
        <f t="shared" si="19"/>
        <v>5888</v>
      </c>
      <c r="H42" s="157">
        <f t="shared" si="19"/>
        <v>6181</v>
      </c>
      <c r="I42" s="157">
        <f t="shared" si="19"/>
        <v>6414</v>
      </c>
      <c r="J42" s="157">
        <f t="shared" si="19"/>
        <v>6719</v>
      </c>
      <c r="K42" s="157">
        <f t="shared" si="19"/>
        <v>6191</v>
      </c>
      <c r="L42" s="157">
        <f t="shared" si="19"/>
        <v>6563</v>
      </c>
      <c r="M42" s="157">
        <f t="shared" si="19"/>
        <v>6897</v>
      </c>
      <c r="N42" s="157">
        <f t="shared" si="19"/>
        <v>6459</v>
      </c>
      <c r="O42" s="157">
        <f t="shared" si="19"/>
        <v>6719</v>
      </c>
      <c r="P42" s="157">
        <f t="shared" si="19"/>
        <v>6691</v>
      </c>
      <c r="Q42" s="157">
        <f t="shared" si="19"/>
        <v>4245</v>
      </c>
      <c r="R42" s="157">
        <f t="shared" si="19"/>
        <v>5237</v>
      </c>
      <c r="S42" s="157">
        <f t="shared" si="19"/>
        <v>4988</v>
      </c>
      <c r="T42" s="157">
        <f t="shared" si="19"/>
        <v>5237</v>
      </c>
      <c r="U42" s="157">
        <f t="shared" si="19"/>
        <v>5471</v>
      </c>
      <c r="V42" s="157">
        <f t="shared" si="19"/>
        <v>5388</v>
      </c>
      <c r="W42" s="157">
        <f t="shared" si="19"/>
        <v>5477</v>
      </c>
      <c r="X42" s="157">
        <f t="shared" si="19"/>
        <v>4699</v>
      </c>
      <c r="Y42" s="157">
        <f t="shared" si="19"/>
        <v>7456</v>
      </c>
      <c r="Z42" s="157">
        <f t="shared" si="19"/>
        <v>8127</v>
      </c>
      <c r="AA42" s="157">
        <f t="shared" si="19"/>
        <v>5971</v>
      </c>
      <c r="AB42" s="157">
        <f t="shared" si="19"/>
        <v>5400</v>
      </c>
      <c r="AC42" s="157">
        <f t="shared" si="19"/>
        <v>4899</v>
      </c>
      <c r="AD42" s="157">
        <f t="shared" si="19"/>
        <v>4899</v>
      </c>
      <c r="AE42" s="157">
        <f t="shared" si="19"/>
        <v>2400</v>
      </c>
      <c r="AF42" s="157">
        <f t="shared" si="19"/>
        <v>4066</v>
      </c>
      <c r="AG42" s="157">
        <f t="shared" si="19"/>
        <v>4066</v>
      </c>
      <c r="AH42" s="157">
        <f t="shared" si="19"/>
        <v>4066</v>
      </c>
      <c r="AI42" s="157">
        <f t="shared" si="19"/>
        <v>4066</v>
      </c>
      <c r="AJ42" s="157">
        <f t="shared" si="19"/>
        <v>4066</v>
      </c>
      <c r="AK42" s="157">
        <f t="shared" si="19"/>
        <v>4066</v>
      </c>
      <c r="AL42" s="157">
        <f t="shared" si="19"/>
        <v>4066</v>
      </c>
      <c r="AM42" s="157">
        <f t="shared" si="19"/>
        <v>4066</v>
      </c>
      <c r="AN42" s="157">
        <f t="shared" si="19"/>
        <v>4066</v>
      </c>
      <c r="AO42" s="157">
        <f t="shared" si="19"/>
        <v>4066</v>
      </c>
      <c r="AP42" s="157">
        <f t="shared" si="19"/>
        <v>4066</v>
      </c>
      <c r="AQ42" s="157">
        <f t="shared" si="19"/>
        <v>4066</v>
      </c>
      <c r="AR42" s="157">
        <f t="shared" si="19"/>
        <v>4066</v>
      </c>
      <c r="AS42" s="157">
        <f t="shared" si="19"/>
        <v>4066</v>
      </c>
      <c r="AT42" s="157">
        <f t="shared" si="19"/>
        <v>4066</v>
      </c>
      <c r="AU42" s="157">
        <f t="shared" si="19"/>
        <v>4066</v>
      </c>
      <c r="AV42" s="157">
        <f t="shared" si="19"/>
        <v>4066</v>
      </c>
      <c r="AW42" s="157">
        <f t="shared" si="19"/>
        <v>4066</v>
      </c>
      <c r="AX42" s="157">
        <f t="shared" si="19"/>
        <v>4066</v>
      </c>
      <c r="AY42" s="157">
        <f t="shared" si="19"/>
        <v>4066</v>
      </c>
      <c r="AZ42" s="157">
        <f t="shared" si="19"/>
        <v>4066</v>
      </c>
      <c r="BA42" s="157">
        <f t="shared" si="19"/>
        <v>4066</v>
      </c>
      <c r="BB42" s="157">
        <f t="shared" si="19"/>
        <v>4066</v>
      </c>
      <c r="BC42" s="157">
        <f t="shared" si="19"/>
        <v>4066</v>
      </c>
      <c r="BD42" s="157">
        <f t="shared" si="19"/>
        <v>4066</v>
      </c>
      <c r="BE42" s="157">
        <f t="shared" si="19"/>
        <v>4066</v>
      </c>
      <c r="BF42" s="157">
        <f t="shared" si="19"/>
        <v>4066</v>
      </c>
      <c r="BG42" s="157">
        <f t="shared" si="19"/>
        <v>4066</v>
      </c>
      <c r="BH42" s="157">
        <f t="shared" si="19"/>
        <v>4066</v>
      </c>
      <c r="BI42" s="157">
        <f t="shared" si="19"/>
        <v>4066</v>
      </c>
      <c r="BJ42" s="157">
        <f t="shared" si="19"/>
        <v>4066</v>
      </c>
      <c r="BK42" s="157">
        <f t="shared" si="19"/>
        <v>4066</v>
      </c>
      <c r="BL42" s="157">
        <f t="shared" si="19"/>
        <v>4066</v>
      </c>
      <c r="BM42" s="157">
        <f t="shared" si="19"/>
        <v>4066</v>
      </c>
      <c r="BN42" s="157">
        <f t="shared" si="19"/>
        <v>4066</v>
      </c>
      <c r="BO42" s="157">
        <f t="shared" si="19"/>
        <v>4066</v>
      </c>
      <c r="BP42" s="157">
        <f t="shared" si="19"/>
        <v>4066</v>
      </c>
      <c r="BQ42" s="157">
        <f t="shared" si="19"/>
        <v>4066</v>
      </c>
      <c r="BR42" s="157">
        <f t="shared" si="19"/>
        <v>4066</v>
      </c>
      <c r="BS42" s="157">
        <f t="shared" si="19"/>
        <v>4066</v>
      </c>
      <c r="BT42" s="157">
        <f t="shared" si="19"/>
        <v>4066</v>
      </c>
      <c r="BU42" s="157">
        <f t="shared" si="19"/>
        <v>4066</v>
      </c>
      <c r="BV42" s="157">
        <f t="shared" si="19"/>
        <v>4066</v>
      </c>
      <c r="BW42" s="157">
        <f t="shared" si="19"/>
        <v>4066</v>
      </c>
    </row>
    <row r="43" ht="15.75" customHeight="1">
      <c r="A43" s="1" t="s">
        <v>276</v>
      </c>
      <c r="B43" s="159"/>
      <c r="D43" s="76" t="str">
        <f t="array" ref="D43">INDEX(INDIRECT("PnL_"&amp;TEXT(D$1,"mmm")&amp;"_"&amp;TEXT(D$1,"yyyy")),MATCH(TRIM($A43),PnL_Accounts,0))</f>
        <v/>
      </c>
      <c r="E43" s="76" t="str">
        <f t="array" ref="E43">INDEX(INDIRECT("PnL_"&amp;TEXT(E$1,"mmm")&amp;"_"&amp;TEXT(E$1,"yyyy")),MATCH(TRIM($A43),PnL_Accounts,0))</f>
        <v/>
      </c>
      <c r="F43" s="76" t="str">
        <f t="array" ref="F43">INDEX(INDIRECT("PnL_"&amp;TEXT(F$1,"mmm")&amp;"_"&amp;TEXT(F$1,"yyyy")),MATCH(TRIM($A43),PnL_Accounts,0))</f>
        <v/>
      </c>
      <c r="G43" s="76" t="str">
        <f t="array" ref="G43">INDEX(INDIRECT("PnL_"&amp;TEXT(G$1,"mmm")&amp;"_"&amp;TEXT(G$1,"yyyy")),MATCH(TRIM($A43),PnL_Accounts,0))</f>
        <v/>
      </c>
      <c r="H43" s="76" t="str">
        <f t="array" ref="H43">INDEX(INDIRECT("PnL_"&amp;TEXT(H$1,"mmm")&amp;"_"&amp;TEXT(H$1,"yyyy")),MATCH(TRIM($A43),PnL_Accounts,0))</f>
        <v/>
      </c>
      <c r="I43" s="76" t="str">
        <f t="array" ref="I43">INDEX(INDIRECT("PnL_"&amp;TEXT(I$1,"mmm")&amp;"_"&amp;TEXT(I$1,"yyyy")),MATCH(TRIM($A43),PnL_Accounts,0))</f>
        <v/>
      </c>
      <c r="J43" s="76" t="str">
        <f t="array" ref="J43">INDEX(INDIRECT("PnL_"&amp;TEXT(J$1,"mmm")&amp;"_"&amp;TEXT(J$1,"yyyy")),MATCH(TRIM($A43),PnL_Accounts,0))</f>
        <v/>
      </c>
      <c r="K43" s="76" t="str">
        <f t="array" ref="K43">INDEX(INDIRECT("PnL_"&amp;TEXT(K$1,"mmm")&amp;"_"&amp;TEXT(K$1,"yyyy")),MATCH(TRIM($A43),PnL_Accounts,0))</f>
        <v/>
      </c>
      <c r="L43" s="76" t="str">
        <f t="array" ref="L43">INDEX(INDIRECT("PnL_"&amp;TEXT(L$1,"mmm")&amp;"_"&amp;TEXT(L$1,"yyyy")),MATCH(TRIM($A43),PnL_Accounts,0))</f>
        <v/>
      </c>
      <c r="M43" s="76" t="str">
        <f t="array" ref="M43">INDEX(INDIRECT("PnL_"&amp;TEXT(M$1,"mmm")&amp;"_"&amp;TEXT(M$1,"yyyy")),MATCH(TRIM($A43),PnL_Accounts,0))</f>
        <v/>
      </c>
      <c r="N43" s="76" t="str">
        <f t="array" ref="N43">INDEX(INDIRECT("PnL_"&amp;TEXT(N$1,"mmm")&amp;"_"&amp;TEXT(N$1,"yyyy")),MATCH(TRIM($A43),PnL_Accounts,0))</f>
        <v/>
      </c>
      <c r="O43" s="76" t="str">
        <f t="array" ref="O43">INDEX(INDIRECT("PnL_"&amp;TEXT(O$1,"mmm")&amp;"_"&amp;TEXT(O$1,"yyyy")),MATCH(TRIM($A43),PnL_Accounts,0))</f>
        <v/>
      </c>
      <c r="P43" s="76" t="str">
        <f t="array" ref="P43">INDEX(INDIRECT("PnL_"&amp;TEXT(P$1,"mmm")&amp;"_"&amp;TEXT(P$1,"yyyy")),MATCH(TRIM($A43),PnL_Accounts,0))</f>
        <v/>
      </c>
      <c r="Q43" s="76" t="str">
        <f t="array" ref="Q43">INDEX(INDIRECT("PnL_"&amp;TEXT(Q$1,"mmm")&amp;"_"&amp;TEXT(Q$1,"yyyy")),MATCH(TRIM($A43),PnL_Accounts,0))</f>
        <v/>
      </c>
      <c r="R43" s="76" t="str">
        <f t="array" ref="R43">INDEX(INDIRECT("PnL_"&amp;TEXT(R$1,"mmm")&amp;"_"&amp;TEXT(R$1,"yyyy")),MATCH(TRIM($A43),PnL_Accounts,0))</f>
        <v/>
      </c>
      <c r="S43" s="76" t="str">
        <f t="array" ref="S43">INDEX(INDIRECT("PnL_"&amp;TEXT(S$1,"mmm")&amp;"_"&amp;TEXT(S$1,"yyyy")),MATCH(TRIM($A43),PnL_Accounts,0))</f>
        <v/>
      </c>
      <c r="T43" s="76" t="str">
        <f t="array" ref="T43">INDEX(INDIRECT("PnL_"&amp;TEXT(T$1,"mmm")&amp;"_"&amp;TEXT(T$1,"yyyy")),MATCH(TRIM($A43),PnL_Accounts,0))</f>
        <v/>
      </c>
      <c r="U43" s="76" t="str">
        <f t="array" ref="U43">INDEX(INDIRECT("PnL_"&amp;TEXT(U$1,"mmm")&amp;"_"&amp;TEXT(U$1,"yyyy")),MATCH(TRIM($A43),PnL_Accounts,0))</f>
        <v/>
      </c>
      <c r="V43" s="76" t="str">
        <f t="array" ref="V43">INDEX(INDIRECT("PnL_"&amp;TEXT(V$1,"mmm")&amp;"_"&amp;TEXT(V$1,"yyyy")),MATCH(TRIM($A43),PnL_Accounts,0))</f>
        <v/>
      </c>
      <c r="W43" s="76" t="str">
        <f t="array" ref="W43">INDEX(INDIRECT("PnL_"&amp;TEXT(W$1,"mmm")&amp;"_"&amp;TEXT(W$1,"yyyy")),MATCH(TRIM($A43),PnL_Accounts,0))</f>
        <v/>
      </c>
      <c r="X43" s="76" t="str">
        <f t="array" ref="X43">INDEX(INDIRECT("PnL_"&amp;TEXT(X$1,"mmm")&amp;"_"&amp;TEXT(X$1,"yyyy")),MATCH(TRIM($A43),PnL_Accounts,0))</f>
        <v/>
      </c>
      <c r="Y43" s="76" t="str">
        <f t="array" ref="Y43">INDEX(INDIRECT("PnL_"&amp;TEXT(Y$1,"mmm")&amp;"_"&amp;TEXT(Y$1,"yyyy")),MATCH(TRIM($A43),PnL_Accounts,0))</f>
        <v/>
      </c>
      <c r="Z43" s="76" t="str">
        <f t="array" ref="Z43">INDEX(INDIRECT("PnL_"&amp;TEXT(Z$1,"mmm")&amp;"_"&amp;TEXT(Z$1,"yyyy")),MATCH(TRIM($A43),PnL_Accounts,0))</f>
        <v/>
      </c>
      <c r="AA43" s="76" t="str">
        <f t="array" ref="AA43">INDEX(INDIRECT("PnL_"&amp;TEXT(AA$1,"mmm")&amp;"_"&amp;TEXT(AA$1,"yyyy")),MATCH(TRIM($A43),PnL_Accounts,0))</f>
        <v/>
      </c>
      <c r="AB43" s="76" t="str">
        <f t="array" ref="AB43">INDEX(INDIRECT("PnL_"&amp;TEXT(AB$1,"mmm")&amp;"_"&amp;TEXT(AB$1,"yyyy")),MATCH(TRIM($A43),PnL_Accounts,0))</f>
        <v/>
      </c>
      <c r="AC43" s="76" t="str">
        <f t="array" ref="AC43">INDEX(INDIRECT("PnL_"&amp;TEXT(AC$1,"mmm")&amp;"_"&amp;TEXT(AC$1,"yyyy")),MATCH(TRIM($A43),PnL_Accounts,0))</f>
        <v/>
      </c>
      <c r="AD43" s="76" t="str">
        <f t="array" ref="AD43">INDEX(INDIRECT("PnL_"&amp;TEXT(AD$1,"mmm")&amp;"_"&amp;TEXT(AD$1,"yyyy")),MATCH(TRIM($A43),PnL_Accounts,0))</f>
        <v/>
      </c>
      <c r="AE43" s="76" t="str">
        <f t="array" ref="AE43">INDEX(INDIRECT("PnL_"&amp;TEXT(AE$1,"mmm")&amp;"_"&amp;TEXT(AE$1,"yyyy")),MATCH(TRIM($A43),PnL_Accounts,0))</f>
        <v/>
      </c>
    </row>
    <row r="44" ht="15.75" customHeight="1">
      <c r="A44" s="1" t="s">
        <v>277</v>
      </c>
      <c r="B44" s="160">
        <f>AVERAGEIFS(44:44,$1:$1,"&gt;="&amp;DATE(YEAR(Current_Month),MONTH(Current_Month)-2,DAY(Current_Month)),$1:$1,"&lt;="&amp;EOMONTH(Current_Month,0))</f>
        <v>5833.333333</v>
      </c>
      <c r="D44" s="76">
        <f t="array" ref="D44">INDEX(INDIRECT("PnL_"&amp;TEXT(D$1,"mmm")&amp;"_"&amp;TEXT(D$1,"yyyy")),MATCH(TRIM($A44),PnL_Accounts,0))</f>
        <v>2500</v>
      </c>
      <c r="E44" s="76">
        <f t="array" ref="E44">INDEX(INDIRECT("PnL_"&amp;TEXT(E$1,"mmm")&amp;"_"&amp;TEXT(E$1,"yyyy")),MATCH(TRIM($A44),PnL_Accounts,0))</f>
        <v>2500</v>
      </c>
      <c r="F44" s="76">
        <f t="array" ref="F44">INDEX(INDIRECT("PnL_"&amp;TEXT(F$1,"mmm")&amp;"_"&amp;TEXT(F$1,"yyyy")),MATCH(TRIM($A44),PnL_Accounts,0))</f>
        <v>2500</v>
      </c>
      <c r="G44" s="76">
        <f t="array" ref="G44">INDEX(INDIRECT("PnL_"&amp;TEXT(G$1,"mmm")&amp;"_"&amp;TEXT(G$1,"yyyy")),MATCH(TRIM($A44),PnL_Accounts,0))</f>
        <v>2500</v>
      </c>
      <c r="H44" s="76">
        <f t="array" ref="H44">INDEX(INDIRECT("PnL_"&amp;TEXT(H$1,"mmm")&amp;"_"&amp;TEXT(H$1,"yyyy")),MATCH(TRIM($A44),PnL_Accounts,0))</f>
        <v>3400</v>
      </c>
      <c r="I44" s="76">
        <f t="array" ref="I44">INDEX(INDIRECT("PnL_"&amp;TEXT(I$1,"mmm")&amp;"_"&amp;TEXT(I$1,"yyyy")),MATCH(TRIM($A44),PnL_Accounts,0))</f>
        <v>5000</v>
      </c>
      <c r="J44" s="76">
        <f t="array" ref="J44">INDEX(INDIRECT("PnL_"&amp;TEXT(J$1,"mmm")&amp;"_"&amp;TEXT(J$1,"yyyy")),MATCH(TRIM($A44),PnL_Accounts,0))</f>
        <v>6500</v>
      </c>
      <c r="K44" s="76">
        <f t="array" ref="K44">INDEX(INDIRECT("PnL_"&amp;TEXT(K$1,"mmm")&amp;"_"&amp;TEXT(K$1,"yyyy")),MATCH(TRIM($A44),PnL_Accounts,0))</f>
        <v>6300</v>
      </c>
      <c r="L44" s="76">
        <f t="array" ref="L44">INDEX(INDIRECT("PnL_"&amp;TEXT(L$1,"mmm")&amp;"_"&amp;TEXT(L$1,"yyyy")),MATCH(TRIM($A44),PnL_Accounts,0))</f>
        <v>6700</v>
      </c>
      <c r="M44" s="76">
        <f t="array" ref="M44">INDEX(INDIRECT("PnL_"&amp;TEXT(M$1,"mmm")&amp;"_"&amp;TEXT(M$1,"yyyy")),MATCH(TRIM($A44),PnL_Accounts,0))</f>
        <v>6200</v>
      </c>
      <c r="N44" s="76">
        <f t="array" ref="N44">INDEX(INDIRECT("PnL_"&amp;TEXT(N$1,"mmm")&amp;"_"&amp;TEXT(N$1,"yyyy")),MATCH(TRIM($A44),PnL_Accounts,0))</f>
        <v>6300</v>
      </c>
      <c r="O44" s="76">
        <f t="array" ref="O44">INDEX(INDIRECT("PnL_"&amp;TEXT(O$1,"mmm")&amp;"_"&amp;TEXT(O$1,"yyyy")),MATCH(TRIM($A44),PnL_Accounts,0))</f>
        <v>6600</v>
      </c>
      <c r="P44" s="76">
        <f t="array" ref="P44">INDEX(INDIRECT("PnL_"&amp;TEXT(P$1,"mmm")&amp;"_"&amp;TEXT(P$1,"yyyy")),MATCH(TRIM($A44),PnL_Accounts,0))</f>
        <v>6800</v>
      </c>
      <c r="Q44" s="76">
        <f t="array" ref="Q44">INDEX(INDIRECT("PnL_"&amp;TEXT(Q$1,"mmm")&amp;"_"&amp;TEXT(Q$1,"yyyy")),MATCH(TRIM($A44),PnL_Accounts,0))</f>
        <v>4100</v>
      </c>
      <c r="R44" s="76">
        <f t="array" ref="R44">INDEX(INDIRECT("PnL_"&amp;TEXT(R$1,"mmm")&amp;"_"&amp;TEXT(R$1,"yyyy")),MATCH(TRIM($A44),PnL_Accounts,0))</f>
        <v>5800</v>
      </c>
      <c r="S44" s="76">
        <f t="array" ref="S44">INDEX(INDIRECT("PnL_"&amp;TEXT(S$1,"mmm")&amp;"_"&amp;TEXT(S$1,"yyyy")),MATCH(TRIM($A44),PnL_Accounts,0))</f>
        <v>5376</v>
      </c>
      <c r="T44" s="76">
        <f t="array" ref="T44">INDEX(INDIRECT("PnL_"&amp;TEXT(T$1,"mmm")&amp;"_"&amp;TEXT(T$1,"yyyy")),MATCH(TRIM($A44),PnL_Accounts,0))</f>
        <v>4831</v>
      </c>
      <c r="U44" s="76">
        <f t="array" ref="U44">INDEX(INDIRECT("PnL_"&amp;TEXT(U$1,"mmm")&amp;"_"&amp;TEXT(U$1,"yyyy")),MATCH(TRIM($A44),PnL_Accounts,0))</f>
        <v>5229</v>
      </c>
      <c r="V44" s="76">
        <f t="array" ref="V44">INDEX(INDIRECT("PnL_"&amp;TEXT(V$1,"mmm")&amp;"_"&amp;TEXT(V$1,"yyyy")),MATCH(TRIM($A44),PnL_Accounts,0))</f>
        <v>5462</v>
      </c>
      <c r="W44" s="76">
        <f t="array" ref="W44">INDEX(INDIRECT("PnL_"&amp;TEXT(W$1,"mmm")&amp;"_"&amp;TEXT(W$1,"yyyy")),MATCH(TRIM($A44),PnL_Accounts,0))</f>
        <v>5519</v>
      </c>
      <c r="X44" s="76">
        <f t="array" ref="X44">INDEX(INDIRECT("PnL_"&amp;TEXT(X$1,"mmm")&amp;"_"&amp;TEXT(X$1,"yyyy")),MATCH(TRIM($A44),PnL_Accounts,0))</f>
        <v>4575</v>
      </c>
      <c r="Y44" s="76">
        <f t="array" ref="Y44">INDEX(INDIRECT("PnL_"&amp;TEXT(Y$1,"mmm")&amp;"_"&amp;TEXT(Y$1,"yyyy")),MATCH(TRIM($A44),PnL_Accounts,0))</f>
        <v>1023</v>
      </c>
      <c r="Z44" s="76">
        <f t="array" ref="Z44">INDEX(INDIRECT("PnL_"&amp;TEXT(Z$1,"mmm")&amp;"_"&amp;TEXT(Z$1,"yyyy")),MATCH(TRIM($A44),PnL_Accounts,0))</f>
        <v>1597</v>
      </c>
      <c r="AA44" s="76">
        <f t="array" ref="AA44">INDEX(INDIRECT("PnL_"&amp;TEXT(AA$1,"mmm")&amp;"_"&amp;TEXT(AA$1,"yyyy")),MATCH(TRIM($A44),PnL_Accounts,0))</f>
        <v>1254</v>
      </c>
      <c r="AB44" s="76">
        <f t="array" ref="AB44">INDEX(INDIRECT("PnL_"&amp;TEXT(AB$1,"mmm")&amp;"_"&amp;TEXT(AB$1,"yyyy")),MATCH(TRIM($A44),PnL_Accounts,0))</f>
        <v>1999</v>
      </c>
      <c r="AC44" s="76">
        <f t="array" ref="AC44">INDEX(INDIRECT("PnL_"&amp;TEXT(AC$1,"mmm")&amp;"_"&amp;TEXT(AC$1,"yyyy")),MATCH(TRIM($A44),PnL_Accounts,0))</f>
        <v>2500</v>
      </c>
      <c r="AD44" s="76">
        <f t="array" ref="AD44">INDEX(INDIRECT("PnL_"&amp;TEXT(AD$1,"mmm")&amp;"_"&amp;TEXT(AD$1,"yyyy")),MATCH(TRIM($A44),PnL_Accounts,0))</f>
        <v>2500</v>
      </c>
      <c r="AE44" s="76">
        <f t="array" ref="AE44">INDEX(INDIRECT("PnL_"&amp;TEXT(AE$1,"mmm")&amp;"_"&amp;TEXT(AE$1,"yyyy")),MATCH(TRIM($A44),PnL_Accounts,0))</f>
        <v>12500</v>
      </c>
      <c r="AF44" s="96">
        <f t="shared" ref="AF44:BW44" si="20">$B44</f>
        <v>5833.333333</v>
      </c>
      <c r="AG44" s="96">
        <f t="shared" si="20"/>
        <v>5833.333333</v>
      </c>
      <c r="AH44" s="96">
        <f t="shared" si="20"/>
        <v>5833.333333</v>
      </c>
      <c r="AI44" s="96">
        <f t="shared" si="20"/>
        <v>5833.333333</v>
      </c>
      <c r="AJ44" s="96">
        <f t="shared" si="20"/>
        <v>5833.333333</v>
      </c>
      <c r="AK44" s="96">
        <f t="shared" si="20"/>
        <v>5833.333333</v>
      </c>
      <c r="AL44" s="96">
        <f t="shared" si="20"/>
        <v>5833.333333</v>
      </c>
      <c r="AM44" s="96">
        <f t="shared" si="20"/>
        <v>5833.333333</v>
      </c>
      <c r="AN44" s="96">
        <f t="shared" si="20"/>
        <v>5833.333333</v>
      </c>
      <c r="AO44" s="96">
        <f t="shared" si="20"/>
        <v>5833.333333</v>
      </c>
      <c r="AP44" s="96">
        <f t="shared" si="20"/>
        <v>5833.333333</v>
      </c>
      <c r="AQ44" s="96">
        <f t="shared" si="20"/>
        <v>5833.333333</v>
      </c>
      <c r="AR44" s="96">
        <f t="shared" si="20"/>
        <v>5833.333333</v>
      </c>
      <c r="AS44" s="96">
        <f t="shared" si="20"/>
        <v>5833.333333</v>
      </c>
      <c r="AT44" s="96">
        <f t="shared" si="20"/>
        <v>5833.333333</v>
      </c>
      <c r="AU44" s="96">
        <f t="shared" si="20"/>
        <v>5833.333333</v>
      </c>
      <c r="AV44" s="96">
        <f t="shared" si="20"/>
        <v>5833.333333</v>
      </c>
      <c r="AW44" s="96">
        <f t="shared" si="20"/>
        <v>5833.333333</v>
      </c>
      <c r="AX44" s="96">
        <f t="shared" si="20"/>
        <v>5833.333333</v>
      </c>
      <c r="AY44" s="96">
        <f t="shared" si="20"/>
        <v>5833.333333</v>
      </c>
      <c r="AZ44" s="96">
        <f t="shared" si="20"/>
        <v>5833.333333</v>
      </c>
      <c r="BA44" s="96">
        <f t="shared" si="20"/>
        <v>5833.333333</v>
      </c>
      <c r="BB44" s="96">
        <f t="shared" si="20"/>
        <v>5833.333333</v>
      </c>
      <c r="BC44" s="96">
        <f t="shared" si="20"/>
        <v>5833.333333</v>
      </c>
      <c r="BD44" s="96">
        <f t="shared" si="20"/>
        <v>5833.333333</v>
      </c>
      <c r="BE44" s="96">
        <f t="shared" si="20"/>
        <v>5833.333333</v>
      </c>
      <c r="BF44" s="96">
        <f t="shared" si="20"/>
        <v>5833.333333</v>
      </c>
      <c r="BG44" s="96">
        <f t="shared" si="20"/>
        <v>5833.333333</v>
      </c>
      <c r="BH44" s="96">
        <f t="shared" si="20"/>
        <v>5833.333333</v>
      </c>
      <c r="BI44" s="96">
        <f t="shared" si="20"/>
        <v>5833.333333</v>
      </c>
      <c r="BJ44" s="96">
        <f t="shared" si="20"/>
        <v>5833.333333</v>
      </c>
      <c r="BK44" s="96">
        <f t="shared" si="20"/>
        <v>5833.333333</v>
      </c>
      <c r="BL44" s="96">
        <f t="shared" si="20"/>
        <v>5833.333333</v>
      </c>
      <c r="BM44" s="96">
        <f t="shared" si="20"/>
        <v>5833.333333</v>
      </c>
      <c r="BN44" s="96">
        <f t="shared" si="20"/>
        <v>5833.333333</v>
      </c>
      <c r="BO44" s="96">
        <f t="shared" si="20"/>
        <v>5833.333333</v>
      </c>
      <c r="BP44" s="96">
        <f t="shared" si="20"/>
        <v>5833.333333</v>
      </c>
      <c r="BQ44" s="96">
        <f t="shared" si="20"/>
        <v>5833.333333</v>
      </c>
      <c r="BR44" s="96">
        <f t="shared" si="20"/>
        <v>5833.333333</v>
      </c>
      <c r="BS44" s="96">
        <f t="shared" si="20"/>
        <v>5833.333333</v>
      </c>
      <c r="BT44" s="96">
        <f t="shared" si="20"/>
        <v>5833.333333</v>
      </c>
      <c r="BU44" s="96">
        <f t="shared" si="20"/>
        <v>5833.333333</v>
      </c>
      <c r="BV44" s="96">
        <f t="shared" si="20"/>
        <v>5833.333333</v>
      </c>
      <c r="BW44" s="96">
        <f t="shared" si="20"/>
        <v>5833.333333</v>
      </c>
    </row>
    <row r="45" ht="15.75" customHeight="1">
      <c r="A45" s="1" t="s">
        <v>278</v>
      </c>
      <c r="B45" s="160">
        <f>AVERAGEIFS(45:45,$1:$1,"&gt;="&amp;DATE(YEAR(Current_Month),MONTH(Current_Month)-2,DAY(Current_Month)),$1:$1,"&lt;="&amp;EOMONTH(Current_Month,0))</f>
        <v>1385.333333</v>
      </c>
      <c r="D45" s="76">
        <f t="array" ref="D45">INDEX(INDIRECT("PnL_"&amp;TEXT(D$1,"mmm")&amp;"_"&amp;TEXT(D$1,"yyyy")),MATCH(TRIM($A45),PnL_Accounts,0))</f>
        <v>1323</v>
      </c>
      <c r="E45" s="76">
        <f t="array" ref="E45">INDEX(INDIRECT("PnL_"&amp;TEXT(E$1,"mmm")&amp;"_"&amp;TEXT(E$1,"yyyy")),MATCH(TRIM($A45),PnL_Accounts,0))</f>
        <v>1581</v>
      </c>
      <c r="F45" s="76">
        <f t="array" ref="F45">INDEX(INDIRECT("PnL_"&amp;TEXT(F$1,"mmm")&amp;"_"&amp;TEXT(F$1,"yyyy")),MATCH(TRIM($A45),PnL_Accounts,0))</f>
        <v>1755</v>
      </c>
      <c r="G45" s="76">
        <f t="array" ref="G45">INDEX(INDIRECT("PnL_"&amp;TEXT(G$1,"mmm")&amp;"_"&amp;TEXT(G$1,"yyyy")),MATCH(TRIM($A45),PnL_Accounts,0))</f>
        <v>1781</v>
      </c>
      <c r="H45" s="76">
        <f t="array" ref="H45">INDEX(INDIRECT("PnL_"&amp;TEXT(H$1,"mmm")&amp;"_"&amp;TEXT(H$1,"yyyy")),MATCH(TRIM($A45),PnL_Accounts,0))</f>
        <v>1869</v>
      </c>
      <c r="I45" s="76">
        <f t="array" ref="I45">INDEX(INDIRECT("PnL_"&amp;TEXT(I$1,"mmm")&amp;"_"&amp;TEXT(I$1,"yyyy")),MATCH(TRIM($A45),PnL_Accounts,0))</f>
        <v>2253</v>
      </c>
      <c r="J45" s="76">
        <f t="array" ref="J45">INDEX(INDIRECT("PnL_"&amp;TEXT(J$1,"mmm")&amp;"_"&amp;TEXT(J$1,"yyyy")),MATCH(TRIM($A45),PnL_Accounts,0))</f>
        <v>2374</v>
      </c>
      <c r="K45" s="76">
        <f t="array" ref="K45">INDEX(INDIRECT("PnL_"&amp;TEXT(K$1,"mmm")&amp;"_"&amp;TEXT(K$1,"yyyy")),MATCH(TRIM($A45),PnL_Accounts,0))</f>
        <v>2542</v>
      </c>
      <c r="L45" s="76">
        <f t="array" ref="L45">INDEX(INDIRECT("PnL_"&amp;TEXT(L$1,"mmm")&amp;"_"&amp;TEXT(L$1,"yyyy")),MATCH(TRIM($A45),PnL_Accounts,0))</f>
        <v>2621</v>
      </c>
      <c r="M45" s="76">
        <f t="array" ref="M45">INDEX(INDIRECT("PnL_"&amp;TEXT(M$1,"mmm")&amp;"_"&amp;TEXT(M$1,"yyyy")),MATCH(TRIM($A45),PnL_Accounts,0))</f>
        <v>2877</v>
      </c>
      <c r="N45" s="76">
        <f t="array" ref="N45">INDEX(INDIRECT("PnL_"&amp;TEXT(N$1,"mmm")&amp;"_"&amp;TEXT(N$1,"yyyy")),MATCH(TRIM($A45),PnL_Accounts,0))</f>
        <v>2951</v>
      </c>
      <c r="O45" s="76">
        <f t="array" ref="O45">INDEX(INDIRECT("PnL_"&amp;TEXT(O$1,"mmm")&amp;"_"&amp;TEXT(O$1,"yyyy")),MATCH(TRIM($A45),PnL_Accounts,0))</f>
        <v>3241</v>
      </c>
      <c r="P45" s="76">
        <f t="array" ref="P45">INDEX(INDIRECT("PnL_"&amp;TEXT(P$1,"mmm")&amp;"_"&amp;TEXT(P$1,"yyyy")),MATCH(TRIM($A45),PnL_Accounts,0))</f>
        <v>3050</v>
      </c>
      <c r="Q45" s="76">
        <f t="array" ref="Q45">INDEX(INDIRECT("PnL_"&amp;TEXT(Q$1,"mmm")&amp;"_"&amp;TEXT(Q$1,"yyyy")),MATCH(TRIM($A45),PnL_Accounts,0))</f>
        <v>3457</v>
      </c>
      <c r="R45" s="76">
        <f t="array" ref="R45">INDEX(INDIRECT("PnL_"&amp;TEXT(R$1,"mmm")&amp;"_"&amp;TEXT(R$1,"yyyy")),MATCH(TRIM($A45),PnL_Accounts,0))</f>
        <v>3492</v>
      </c>
      <c r="S45" s="76">
        <f t="array" ref="S45">INDEX(INDIRECT("PnL_"&amp;TEXT(S$1,"mmm")&amp;"_"&amp;TEXT(S$1,"yyyy")),MATCH(TRIM($A45),PnL_Accounts,0))</f>
        <v>3781</v>
      </c>
      <c r="T45" s="76">
        <f t="array" ref="T45">INDEX(INDIRECT("PnL_"&amp;TEXT(T$1,"mmm")&amp;"_"&amp;TEXT(T$1,"yyyy")),MATCH(TRIM($A45),PnL_Accounts,0))</f>
        <v>2492</v>
      </c>
      <c r="U45" s="76">
        <f t="array" ref="U45">INDEX(INDIRECT("PnL_"&amp;TEXT(U$1,"mmm")&amp;"_"&amp;TEXT(U$1,"yyyy")),MATCH(TRIM($A45),PnL_Accounts,0))</f>
        <v>2632</v>
      </c>
      <c r="V45" s="76">
        <f t="array" ref="V45">INDEX(INDIRECT("PnL_"&amp;TEXT(V$1,"mmm")&amp;"_"&amp;TEXT(V$1,"yyyy")),MATCH(TRIM($A45),PnL_Accounts,0))</f>
        <v>2717</v>
      </c>
      <c r="W45" s="76">
        <f t="array" ref="W45">INDEX(INDIRECT("PnL_"&amp;TEXT(W$1,"mmm")&amp;"_"&amp;TEXT(W$1,"yyyy")),MATCH(TRIM($A45),PnL_Accounts,0))</f>
        <v>2782</v>
      </c>
      <c r="X45" s="76">
        <f t="array" ref="X45">INDEX(INDIRECT("PnL_"&amp;TEXT(X$1,"mmm")&amp;"_"&amp;TEXT(X$1,"yyyy")),MATCH(TRIM($A45),PnL_Accounts,0))</f>
        <v>3780</v>
      </c>
      <c r="Y45" s="76">
        <f t="array" ref="Y45">INDEX(INDIRECT("PnL_"&amp;TEXT(Y$1,"mmm")&amp;"_"&amp;TEXT(Y$1,"yyyy")),MATCH(TRIM($A45),PnL_Accounts,0))</f>
        <v>1247</v>
      </c>
      <c r="Z45" s="76">
        <f t="array" ref="Z45">INDEX(INDIRECT("PnL_"&amp;TEXT(Z$1,"mmm")&amp;"_"&amp;TEXT(Z$1,"yyyy")),MATCH(TRIM($A45),PnL_Accounts,0))</f>
        <v>1673</v>
      </c>
      <c r="AA45" s="76">
        <f t="array" ref="AA45">INDEX(INDIRECT("PnL_"&amp;TEXT(AA$1,"mmm")&amp;"_"&amp;TEXT(AA$1,"yyyy")),MATCH(TRIM($A45),PnL_Accounts,0))</f>
        <v>1374</v>
      </c>
      <c r="AB45" s="76">
        <f t="array" ref="AB45">INDEX(INDIRECT("PnL_"&amp;TEXT(AB$1,"mmm")&amp;"_"&amp;TEXT(AB$1,"yyyy")),MATCH(TRIM($A45),PnL_Accounts,0))</f>
        <v>1736</v>
      </c>
      <c r="AC45" s="76">
        <f t="array" ref="AC45">INDEX(INDIRECT("PnL_"&amp;TEXT(AC$1,"mmm")&amp;"_"&amp;TEXT(AC$1,"yyyy")),MATCH(TRIM($A45),PnL_Accounts,0))</f>
        <v>1978</v>
      </c>
      <c r="AD45" s="76">
        <f t="array" ref="AD45">INDEX(INDIRECT("PnL_"&amp;TEXT(AD$1,"mmm")&amp;"_"&amp;TEXT(AD$1,"yyyy")),MATCH(TRIM($A45),PnL_Accounts,0))</f>
        <v>1978</v>
      </c>
      <c r="AE45" s="76">
        <f t="array" ref="AE45">INDEX(INDIRECT("PnL_"&amp;TEXT(AE$1,"mmm")&amp;"_"&amp;TEXT(AE$1,"yyyy")),MATCH(TRIM($A45),PnL_Accounts,0))</f>
        <v>200</v>
      </c>
      <c r="AF45" s="96">
        <f t="shared" ref="AF45:BW45" si="21">$B45</f>
        <v>1385.333333</v>
      </c>
      <c r="AG45" s="96">
        <f t="shared" si="21"/>
        <v>1385.333333</v>
      </c>
      <c r="AH45" s="96">
        <f t="shared" si="21"/>
        <v>1385.333333</v>
      </c>
      <c r="AI45" s="96">
        <f t="shared" si="21"/>
        <v>1385.333333</v>
      </c>
      <c r="AJ45" s="96">
        <f t="shared" si="21"/>
        <v>1385.333333</v>
      </c>
      <c r="AK45" s="96">
        <f t="shared" si="21"/>
        <v>1385.333333</v>
      </c>
      <c r="AL45" s="96">
        <f t="shared" si="21"/>
        <v>1385.333333</v>
      </c>
      <c r="AM45" s="96">
        <f t="shared" si="21"/>
        <v>1385.333333</v>
      </c>
      <c r="AN45" s="96">
        <f t="shared" si="21"/>
        <v>1385.333333</v>
      </c>
      <c r="AO45" s="96">
        <f t="shared" si="21"/>
        <v>1385.333333</v>
      </c>
      <c r="AP45" s="96">
        <f t="shared" si="21"/>
        <v>1385.333333</v>
      </c>
      <c r="AQ45" s="96">
        <f t="shared" si="21"/>
        <v>1385.333333</v>
      </c>
      <c r="AR45" s="96">
        <f t="shared" si="21"/>
        <v>1385.333333</v>
      </c>
      <c r="AS45" s="96">
        <f t="shared" si="21"/>
        <v>1385.333333</v>
      </c>
      <c r="AT45" s="96">
        <f t="shared" si="21"/>
        <v>1385.333333</v>
      </c>
      <c r="AU45" s="96">
        <f t="shared" si="21"/>
        <v>1385.333333</v>
      </c>
      <c r="AV45" s="96">
        <f t="shared" si="21"/>
        <v>1385.333333</v>
      </c>
      <c r="AW45" s="96">
        <f t="shared" si="21"/>
        <v>1385.333333</v>
      </c>
      <c r="AX45" s="96">
        <f t="shared" si="21"/>
        <v>1385.333333</v>
      </c>
      <c r="AY45" s="96">
        <f t="shared" si="21"/>
        <v>1385.333333</v>
      </c>
      <c r="AZ45" s="96">
        <f t="shared" si="21"/>
        <v>1385.333333</v>
      </c>
      <c r="BA45" s="96">
        <f t="shared" si="21"/>
        <v>1385.333333</v>
      </c>
      <c r="BB45" s="96">
        <f t="shared" si="21"/>
        <v>1385.333333</v>
      </c>
      <c r="BC45" s="96">
        <f t="shared" si="21"/>
        <v>1385.333333</v>
      </c>
      <c r="BD45" s="96">
        <f t="shared" si="21"/>
        <v>1385.333333</v>
      </c>
      <c r="BE45" s="96">
        <f t="shared" si="21"/>
        <v>1385.333333</v>
      </c>
      <c r="BF45" s="96">
        <f t="shared" si="21"/>
        <v>1385.333333</v>
      </c>
      <c r="BG45" s="96">
        <f t="shared" si="21"/>
        <v>1385.333333</v>
      </c>
      <c r="BH45" s="96">
        <f t="shared" si="21"/>
        <v>1385.333333</v>
      </c>
      <c r="BI45" s="96">
        <f t="shared" si="21"/>
        <v>1385.333333</v>
      </c>
      <c r="BJ45" s="96">
        <f t="shared" si="21"/>
        <v>1385.333333</v>
      </c>
      <c r="BK45" s="96">
        <f t="shared" si="21"/>
        <v>1385.333333</v>
      </c>
      <c r="BL45" s="96">
        <f t="shared" si="21"/>
        <v>1385.333333</v>
      </c>
      <c r="BM45" s="96">
        <f t="shared" si="21"/>
        <v>1385.333333</v>
      </c>
      <c r="BN45" s="96">
        <f t="shared" si="21"/>
        <v>1385.333333</v>
      </c>
      <c r="BO45" s="96">
        <f t="shared" si="21"/>
        <v>1385.333333</v>
      </c>
      <c r="BP45" s="96">
        <f t="shared" si="21"/>
        <v>1385.333333</v>
      </c>
      <c r="BQ45" s="96">
        <f t="shared" si="21"/>
        <v>1385.333333</v>
      </c>
      <c r="BR45" s="96">
        <f t="shared" si="21"/>
        <v>1385.333333</v>
      </c>
      <c r="BS45" s="96">
        <f t="shared" si="21"/>
        <v>1385.333333</v>
      </c>
      <c r="BT45" s="96">
        <f t="shared" si="21"/>
        <v>1385.333333</v>
      </c>
      <c r="BU45" s="96">
        <f t="shared" si="21"/>
        <v>1385.333333</v>
      </c>
      <c r="BV45" s="96">
        <f t="shared" si="21"/>
        <v>1385.333333</v>
      </c>
      <c r="BW45" s="96">
        <f t="shared" si="21"/>
        <v>1385.333333</v>
      </c>
    </row>
    <row r="46" ht="15.75" customHeight="1">
      <c r="A46" s="21" t="s">
        <v>279</v>
      </c>
      <c r="B46" s="163"/>
      <c r="C46" s="21"/>
      <c r="D46" s="157">
        <f t="shared" ref="D46:BW46" si="22">SUM(D43:D45)</f>
        <v>3823</v>
      </c>
      <c r="E46" s="157">
        <f t="shared" si="22"/>
        <v>4081</v>
      </c>
      <c r="F46" s="157">
        <f t="shared" si="22"/>
        <v>4255</v>
      </c>
      <c r="G46" s="157">
        <f t="shared" si="22"/>
        <v>4281</v>
      </c>
      <c r="H46" s="157">
        <f t="shared" si="22"/>
        <v>5269</v>
      </c>
      <c r="I46" s="157">
        <f t="shared" si="22"/>
        <v>7253</v>
      </c>
      <c r="J46" s="157">
        <f t="shared" si="22"/>
        <v>8874</v>
      </c>
      <c r="K46" s="157">
        <f t="shared" si="22"/>
        <v>8842</v>
      </c>
      <c r="L46" s="157">
        <f t="shared" si="22"/>
        <v>9321</v>
      </c>
      <c r="M46" s="157">
        <f t="shared" si="22"/>
        <v>9077</v>
      </c>
      <c r="N46" s="157">
        <f t="shared" si="22"/>
        <v>9251</v>
      </c>
      <c r="O46" s="157">
        <f t="shared" si="22"/>
        <v>9841</v>
      </c>
      <c r="P46" s="157">
        <f t="shared" si="22"/>
        <v>9850</v>
      </c>
      <c r="Q46" s="157">
        <f t="shared" si="22"/>
        <v>7557</v>
      </c>
      <c r="R46" s="157">
        <f t="shared" si="22"/>
        <v>9292</v>
      </c>
      <c r="S46" s="157">
        <f t="shared" si="22"/>
        <v>9157</v>
      </c>
      <c r="T46" s="157">
        <f t="shared" si="22"/>
        <v>7323</v>
      </c>
      <c r="U46" s="157">
        <f t="shared" si="22"/>
        <v>7861</v>
      </c>
      <c r="V46" s="157">
        <f t="shared" si="22"/>
        <v>8179</v>
      </c>
      <c r="W46" s="157">
        <f t="shared" si="22"/>
        <v>8301</v>
      </c>
      <c r="X46" s="157">
        <f t="shared" si="22"/>
        <v>8355</v>
      </c>
      <c r="Y46" s="157">
        <f t="shared" si="22"/>
        <v>2270</v>
      </c>
      <c r="Z46" s="157">
        <f t="shared" si="22"/>
        <v>3270</v>
      </c>
      <c r="AA46" s="157">
        <f t="shared" si="22"/>
        <v>2628</v>
      </c>
      <c r="AB46" s="157">
        <f t="shared" si="22"/>
        <v>3735</v>
      </c>
      <c r="AC46" s="157">
        <f t="shared" si="22"/>
        <v>4478</v>
      </c>
      <c r="AD46" s="157">
        <f t="shared" si="22"/>
        <v>4478</v>
      </c>
      <c r="AE46" s="157">
        <f t="shared" si="22"/>
        <v>12700</v>
      </c>
      <c r="AF46" s="157">
        <f t="shared" si="22"/>
        <v>7218.666667</v>
      </c>
      <c r="AG46" s="157">
        <f t="shared" si="22"/>
        <v>7218.666667</v>
      </c>
      <c r="AH46" s="157">
        <f t="shared" si="22"/>
        <v>7218.666667</v>
      </c>
      <c r="AI46" s="157">
        <f t="shared" si="22"/>
        <v>7218.666667</v>
      </c>
      <c r="AJ46" s="157">
        <f t="shared" si="22"/>
        <v>7218.666667</v>
      </c>
      <c r="AK46" s="157">
        <f t="shared" si="22"/>
        <v>7218.666667</v>
      </c>
      <c r="AL46" s="157">
        <f t="shared" si="22"/>
        <v>7218.666667</v>
      </c>
      <c r="AM46" s="157">
        <f t="shared" si="22"/>
        <v>7218.666667</v>
      </c>
      <c r="AN46" s="157">
        <f t="shared" si="22"/>
        <v>7218.666667</v>
      </c>
      <c r="AO46" s="157">
        <f t="shared" si="22"/>
        <v>7218.666667</v>
      </c>
      <c r="AP46" s="157">
        <f t="shared" si="22"/>
        <v>7218.666667</v>
      </c>
      <c r="AQ46" s="157">
        <f t="shared" si="22"/>
        <v>7218.666667</v>
      </c>
      <c r="AR46" s="157">
        <f t="shared" si="22"/>
        <v>7218.666667</v>
      </c>
      <c r="AS46" s="157">
        <f t="shared" si="22"/>
        <v>7218.666667</v>
      </c>
      <c r="AT46" s="157">
        <f t="shared" si="22"/>
        <v>7218.666667</v>
      </c>
      <c r="AU46" s="157">
        <f t="shared" si="22"/>
        <v>7218.666667</v>
      </c>
      <c r="AV46" s="157">
        <f t="shared" si="22"/>
        <v>7218.666667</v>
      </c>
      <c r="AW46" s="157">
        <f t="shared" si="22"/>
        <v>7218.666667</v>
      </c>
      <c r="AX46" s="157">
        <f t="shared" si="22"/>
        <v>7218.666667</v>
      </c>
      <c r="AY46" s="157">
        <f t="shared" si="22"/>
        <v>7218.666667</v>
      </c>
      <c r="AZ46" s="157">
        <f t="shared" si="22"/>
        <v>7218.666667</v>
      </c>
      <c r="BA46" s="157">
        <f t="shared" si="22"/>
        <v>7218.666667</v>
      </c>
      <c r="BB46" s="157">
        <f t="shared" si="22"/>
        <v>7218.666667</v>
      </c>
      <c r="BC46" s="157">
        <f t="shared" si="22"/>
        <v>7218.666667</v>
      </c>
      <c r="BD46" s="157">
        <f t="shared" si="22"/>
        <v>7218.666667</v>
      </c>
      <c r="BE46" s="157">
        <f t="shared" si="22"/>
        <v>7218.666667</v>
      </c>
      <c r="BF46" s="157">
        <f t="shared" si="22"/>
        <v>7218.666667</v>
      </c>
      <c r="BG46" s="157">
        <f t="shared" si="22"/>
        <v>7218.666667</v>
      </c>
      <c r="BH46" s="157">
        <f t="shared" si="22"/>
        <v>7218.666667</v>
      </c>
      <c r="BI46" s="157">
        <f t="shared" si="22"/>
        <v>7218.666667</v>
      </c>
      <c r="BJ46" s="157">
        <f t="shared" si="22"/>
        <v>7218.666667</v>
      </c>
      <c r="BK46" s="157">
        <f t="shared" si="22"/>
        <v>7218.666667</v>
      </c>
      <c r="BL46" s="157">
        <f t="shared" si="22"/>
        <v>7218.666667</v>
      </c>
      <c r="BM46" s="157">
        <f t="shared" si="22"/>
        <v>7218.666667</v>
      </c>
      <c r="BN46" s="157">
        <f t="shared" si="22"/>
        <v>7218.666667</v>
      </c>
      <c r="BO46" s="157">
        <f t="shared" si="22"/>
        <v>7218.666667</v>
      </c>
      <c r="BP46" s="157">
        <f t="shared" si="22"/>
        <v>7218.666667</v>
      </c>
      <c r="BQ46" s="157">
        <f t="shared" si="22"/>
        <v>7218.666667</v>
      </c>
      <c r="BR46" s="157">
        <f t="shared" si="22"/>
        <v>7218.666667</v>
      </c>
      <c r="BS46" s="157">
        <f t="shared" si="22"/>
        <v>7218.666667</v>
      </c>
      <c r="BT46" s="157">
        <f t="shared" si="22"/>
        <v>7218.666667</v>
      </c>
      <c r="BU46" s="157">
        <f t="shared" si="22"/>
        <v>7218.666667</v>
      </c>
      <c r="BV46" s="157">
        <f t="shared" si="22"/>
        <v>7218.666667</v>
      </c>
      <c r="BW46" s="157">
        <f t="shared" si="22"/>
        <v>7218.666667</v>
      </c>
    </row>
    <row r="47" ht="15.75" customHeight="1">
      <c r="A47" s="1" t="s">
        <v>280</v>
      </c>
      <c r="B47" s="159"/>
      <c r="D47" s="76" t="str">
        <f t="array" ref="D47">INDEX(INDIRECT("PnL_"&amp;TEXT(D$1,"mmm")&amp;"_"&amp;TEXT(D$1,"yyyy")),MATCH(TRIM($A47),PnL_Accounts,0))</f>
        <v/>
      </c>
      <c r="E47" s="76" t="str">
        <f t="array" ref="E47">INDEX(INDIRECT("PnL_"&amp;TEXT(E$1,"mmm")&amp;"_"&amp;TEXT(E$1,"yyyy")),MATCH(TRIM($A47),PnL_Accounts,0))</f>
        <v/>
      </c>
      <c r="F47" s="76" t="str">
        <f t="array" ref="F47">INDEX(INDIRECT("PnL_"&amp;TEXT(F$1,"mmm")&amp;"_"&amp;TEXT(F$1,"yyyy")),MATCH(TRIM($A47),PnL_Accounts,0))</f>
        <v/>
      </c>
      <c r="G47" s="76" t="str">
        <f t="array" ref="G47">INDEX(INDIRECT("PnL_"&amp;TEXT(G$1,"mmm")&amp;"_"&amp;TEXT(G$1,"yyyy")),MATCH(TRIM($A47),PnL_Accounts,0))</f>
        <v/>
      </c>
      <c r="H47" s="76" t="str">
        <f t="array" ref="H47">INDEX(INDIRECT("PnL_"&amp;TEXT(H$1,"mmm")&amp;"_"&amp;TEXT(H$1,"yyyy")),MATCH(TRIM($A47),PnL_Accounts,0))</f>
        <v/>
      </c>
      <c r="I47" s="76" t="str">
        <f t="array" ref="I47">INDEX(INDIRECT("PnL_"&amp;TEXT(I$1,"mmm")&amp;"_"&amp;TEXT(I$1,"yyyy")),MATCH(TRIM($A47),PnL_Accounts,0))</f>
        <v/>
      </c>
      <c r="J47" s="76" t="str">
        <f t="array" ref="J47">INDEX(INDIRECT("PnL_"&amp;TEXT(J$1,"mmm")&amp;"_"&amp;TEXT(J$1,"yyyy")),MATCH(TRIM($A47),PnL_Accounts,0))</f>
        <v/>
      </c>
      <c r="K47" s="76" t="str">
        <f t="array" ref="K47">INDEX(INDIRECT("PnL_"&amp;TEXT(K$1,"mmm")&amp;"_"&amp;TEXT(K$1,"yyyy")),MATCH(TRIM($A47),PnL_Accounts,0))</f>
        <v/>
      </c>
      <c r="L47" s="76" t="str">
        <f t="array" ref="L47">INDEX(INDIRECT("PnL_"&amp;TEXT(L$1,"mmm")&amp;"_"&amp;TEXT(L$1,"yyyy")),MATCH(TRIM($A47),PnL_Accounts,0))</f>
        <v/>
      </c>
      <c r="M47" s="76" t="str">
        <f t="array" ref="M47">INDEX(INDIRECT("PnL_"&amp;TEXT(M$1,"mmm")&amp;"_"&amp;TEXT(M$1,"yyyy")),MATCH(TRIM($A47),PnL_Accounts,0))</f>
        <v/>
      </c>
      <c r="N47" s="76" t="str">
        <f t="array" ref="N47">INDEX(INDIRECT("PnL_"&amp;TEXT(N$1,"mmm")&amp;"_"&amp;TEXT(N$1,"yyyy")),MATCH(TRIM($A47),PnL_Accounts,0))</f>
        <v/>
      </c>
      <c r="O47" s="76" t="str">
        <f t="array" ref="O47">INDEX(INDIRECT("PnL_"&amp;TEXT(O$1,"mmm")&amp;"_"&amp;TEXT(O$1,"yyyy")),MATCH(TRIM($A47),PnL_Accounts,0))</f>
        <v/>
      </c>
      <c r="P47" s="76" t="str">
        <f t="array" ref="P47">INDEX(INDIRECT("PnL_"&amp;TEXT(P$1,"mmm")&amp;"_"&amp;TEXT(P$1,"yyyy")),MATCH(TRIM($A47),PnL_Accounts,0))</f>
        <v/>
      </c>
      <c r="Q47" s="76" t="str">
        <f t="array" ref="Q47">INDEX(INDIRECT("PnL_"&amp;TEXT(Q$1,"mmm")&amp;"_"&amp;TEXT(Q$1,"yyyy")),MATCH(TRIM($A47),PnL_Accounts,0))</f>
        <v/>
      </c>
      <c r="R47" s="76" t="str">
        <f t="array" ref="R47">INDEX(INDIRECT("PnL_"&amp;TEXT(R$1,"mmm")&amp;"_"&amp;TEXT(R$1,"yyyy")),MATCH(TRIM($A47),PnL_Accounts,0))</f>
        <v/>
      </c>
      <c r="S47" s="76" t="str">
        <f t="array" ref="S47">INDEX(INDIRECT("PnL_"&amp;TEXT(S$1,"mmm")&amp;"_"&amp;TEXT(S$1,"yyyy")),MATCH(TRIM($A47),PnL_Accounts,0))</f>
        <v/>
      </c>
      <c r="T47" s="76" t="str">
        <f t="array" ref="T47">INDEX(INDIRECT("PnL_"&amp;TEXT(T$1,"mmm")&amp;"_"&amp;TEXT(T$1,"yyyy")),MATCH(TRIM($A47),PnL_Accounts,0))</f>
        <v/>
      </c>
      <c r="U47" s="76" t="str">
        <f t="array" ref="U47">INDEX(INDIRECT("PnL_"&amp;TEXT(U$1,"mmm")&amp;"_"&amp;TEXT(U$1,"yyyy")),MATCH(TRIM($A47),PnL_Accounts,0))</f>
        <v/>
      </c>
      <c r="V47" s="76" t="str">
        <f t="array" ref="V47">INDEX(INDIRECT("PnL_"&amp;TEXT(V$1,"mmm")&amp;"_"&amp;TEXT(V$1,"yyyy")),MATCH(TRIM($A47),PnL_Accounts,0))</f>
        <v/>
      </c>
      <c r="W47" s="76" t="str">
        <f t="array" ref="W47">INDEX(INDIRECT("PnL_"&amp;TEXT(W$1,"mmm")&amp;"_"&amp;TEXT(W$1,"yyyy")),MATCH(TRIM($A47),PnL_Accounts,0))</f>
        <v/>
      </c>
      <c r="X47" s="76" t="str">
        <f t="array" ref="X47">INDEX(INDIRECT("PnL_"&amp;TEXT(X$1,"mmm")&amp;"_"&amp;TEXT(X$1,"yyyy")),MATCH(TRIM($A47),PnL_Accounts,0))</f>
        <v/>
      </c>
      <c r="Y47" s="76" t="str">
        <f t="array" ref="Y47">INDEX(INDIRECT("PnL_"&amp;TEXT(Y$1,"mmm")&amp;"_"&amp;TEXT(Y$1,"yyyy")),MATCH(TRIM($A47),PnL_Accounts,0))</f>
        <v/>
      </c>
      <c r="Z47" s="76" t="str">
        <f t="array" ref="Z47">INDEX(INDIRECT("PnL_"&amp;TEXT(Z$1,"mmm")&amp;"_"&amp;TEXT(Z$1,"yyyy")),MATCH(TRIM($A47),PnL_Accounts,0))</f>
        <v/>
      </c>
      <c r="AA47" s="76" t="str">
        <f t="array" ref="AA47">INDEX(INDIRECT("PnL_"&amp;TEXT(AA$1,"mmm")&amp;"_"&amp;TEXT(AA$1,"yyyy")),MATCH(TRIM($A47),PnL_Accounts,0))</f>
        <v/>
      </c>
      <c r="AB47" s="76" t="str">
        <f t="array" ref="AB47">INDEX(INDIRECT("PnL_"&amp;TEXT(AB$1,"mmm")&amp;"_"&amp;TEXT(AB$1,"yyyy")),MATCH(TRIM($A47),PnL_Accounts,0))</f>
        <v/>
      </c>
      <c r="AC47" s="76" t="str">
        <f t="array" ref="AC47">INDEX(INDIRECT("PnL_"&amp;TEXT(AC$1,"mmm")&amp;"_"&amp;TEXT(AC$1,"yyyy")),MATCH(TRIM($A47),PnL_Accounts,0))</f>
        <v/>
      </c>
      <c r="AD47" s="76" t="str">
        <f t="array" ref="AD47">INDEX(INDIRECT("PnL_"&amp;TEXT(AD$1,"mmm")&amp;"_"&amp;TEXT(AD$1,"yyyy")),MATCH(TRIM($A47),PnL_Accounts,0))</f>
        <v/>
      </c>
      <c r="AE47" s="76" t="str">
        <f t="array" ref="AE47">INDEX(INDIRECT("PnL_"&amp;TEXT(AE$1,"mmm")&amp;"_"&amp;TEXT(AE$1,"yyyy")),MATCH(TRIM($A47),PnL_Accounts,0))</f>
        <v/>
      </c>
    </row>
    <row r="48" ht="15.75" customHeight="1">
      <c r="A48" s="1" t="s">
        <v>281</v>
      </c>
      <c r="B48" s="160">
        <f>AVERAGEIFS(48:48,$1:$1,"&gt;="&amp;DATE(YEAR(Current_Month),MONTH(Current_Month)-2,DAY(Current_Month)),$1:$1,"&lt;="&amp;EOMONTH(Current_Month,0))</f>
        <v>1994</v>
      </c>
      <c r="D48" s="76">
        <f t="array" ref="D48">INDEX(INDIRECT("PnL_"&amp;TEXT(D$1,"mmm")&amp;"_"&amp;TEXT(D$1,"yyyy")),MATCH(TRIM($A48),PnL_Accounts,0))</f>
        <v>900</v>
      </c>
      <c r="E48" s="76">
        <f t="array" ref="E48">INDEX(INDIRECT("PnL_"&amp;TEXT(E$1,"mmm")&amp;"_"&amp;TEXT(E$1,"yyyy")),MATCH(TRIM($A48),PnL_Accounts,0))</f>
        <v>900</v>
      </c>
      <c r="F48" s="76">
        <f t="array" ref="F48">INDEX(INDIRECT("PnL_"&amp;TEXT(F$1,"mmm")&amp;"_"&amp;TEXT(F$1,"yyyy")),MATCH(TRIM($A48),PnL_Accounts,0))</f>
        <v>900</v>
      </c>
      <c r="G48" s="76">
        <f t="array" ref="G48">INDEX(INDIRECT("PnL_"&amp;TEXT(G$1,"mmm")&amp;"_"&amp;TEXT(G$1,"yyyy")),MATCH(TRIM($A48),PnL_Accounts,0))</f>
        <v>900</v>
      </c>
      <c r="H48" s="76">
        <f t="array" ref="H48">INDEX(INDIRECT("PnL_"&amp;TEXT(H$1,"mmm")&amp;"_"&amp;TEXT(H$1,"yyyy")),MATCH(TRIM($A48),PnL_Accounts,0))</f>
        <v>900</v>
      </c>
      <c r="I48" s="76">
        <f t="array" ref="I48">INDEX(INDIRECT("PnL_"&amp;TEXT(I$1,"mmm")&amp;"_"&amp;TEXT(I$1,"yyyy")),MATCH(TRIM($A48),PnL_Accounts,0))</f>
        <v>900</v>
      </c>
      <c r="J48" s="76">
        <f t="array" ref="J48">INDEX(INDIRECT("PnL_"&amp;TEXT(J$1,"mmm")&amp;"_"&amp;TEXT(J$1,"yyyy")),MATCH(TRIM($A48),PnL_Accounts,0))</f>
        <v>900</v>
      </c>
      <c r="K48" s="76">
        <f t="array" ref="K48">INDEX(INDIRECT("PnL_"&amp;TEXT(K$1,"mmm")&amp;"_"&amp;TEXT(K$1,"yyyy")),MATCH(TRIM($A48),PnL_Accounts,0))</f>
        <v>900</v>
      </c>
      <c r="L48" s="76">
        <f t="array" ref="L48">INDEX(INDIRECT("PnL_"&amp;TEXT(L$1,"mmm")&amp;"_"&amp;TEXT(L$1,"yyyy")),MATCH(TRIM($A48),PnL_Accounts,0))</f>
        <v>1097</v>
      </c>
      <c r="M48" s="76">
        <f t="array" ref="M48">INDEX(INDIRECT("PnL_"&amp;TEXT(M$1,"mmm")&amp;"_"&amp;TEXT(M$1,"yyyy")),MATCH(TRIM($A48),PnL_Accounts,0))</f>
        <v>1097</v>
      </c>
      <c r="N48" s="76">
        <f t="array" ref="N48">INDEX(INDIRECT("PnL_"&amp;TEXT(N$1,"mmm")&amp;"_"&amp;TEXT(N$1,"yyyy")),MATCH(TRIM($A48),PnL_Accounts,0))</f>
        <v>1097</v>
      </c>
      <c r="O48" s="76">
        <f t="array" ref="O48">INDEX(INDIRECT("PnL_"&amp;TEXT(O$1,"mmm")&amp;"_"&amp;TEXT(O$1,"yyyy")),MATCH(TRIM($A48),PnL_Accounts,0))</f>
        <v>1097</v>
      </c>
      <c r="P48" s="76">
        <f t="array" ref="P48">INDEX(INDIRECT("PnL_"&amp;TEXT(P$1,"mmm")&amp;"_"&amp;TEXT(P$1,"yyyy")),MATCH(TRIM($A48),PnL_Accounts,0))</f>
        <v>1097</v>
      </c>
      <c r="Q48" s="76">
        <f t="array" ref="Q48">INDEX(INDIRECT("PnL_"&amp;TEXT(Q$1,"mmm")&amp;"_"&amp;TEXT(Q$1,"yyyy")),MATCH(TRIM($A48),PnL_Accounts,0))</f>
        <v>1294</v>
      </c>
      <c r="R48" s="76">
        <f t="array" ref="R48">INDEX(INDIRECT("PnL_"&amp;TEXT(R$1,"mmm")&amp;"_"&amp;TEXT(R$1,"yyyy")),MATCH(TRIM($A48),PnL_Accounts,0))</f>
        <v>1294</v>
      </c>
      <c r="S48" s="76">
        <f t="array" ref="S48">INDEX(INDIRECT("PnL_"&amp;TEXT(S$1,"mmm")&amp;"_"&amp;TEXT(S$1,"yyyy")),MATCH(TRIM($A48),PnL_Accounts,0))</f>
        <v>1294</v>
      </c>
      <c r="T48" s="76">
        <f t="array" ref="T48">INDEX(INDIRECT("PnL_"&amp;TEXT(T$1,"mmm")&amp;"_"&amp;TEXT(T$1,"yyyy")),MATCH(TRIM($A48),PnL_Accounts,0))</f>
        <v>1794</v>
      </c>
      <c r="U48" s="76">
        <f t="array" ref="U48">INDEX(INDIRECT("PnL_"&amp;TEXT(U$1,"mmm")&amp;"_"&amp;TEXT(U$1,"yyyy")),MATCH(TRIM($A48),PnL_Accounts,0))</f>
        <v>1794</v>
      </c>
      <c r="V48" s="76">
        <f t="array" ref="V48">INDEX(INDIRECT("PnL_"&amp;TEXT(V$1,"mmm")&amp;"_"&amp;TEXT(V$1,"yyyy")),MATCH(TRIM($A48),PnL_Accounts,0))</f>
        <v>1794</v>
      </c>
      <c r="W48" s="76">
        <f t="array" ref="W48">INDEX(INDIRECT("PnL_"&amp;TEXT(W$1,"mmm")&amp;"_"&amp;TEXT(W$1,"yyyy")),MATCH(TRIM($A48),PnL_Accounts,0))</f>
        <v>1794</v>
      </c>
      <c r="X48" s="76">
        <f t="array" ref="X48">INDEX(INDIRECT("PnL_"&amp;TEXT(X$1,"mmm")&amp;"_"&amp;TEXT(X$1,"yyyy")),MATCH(TRIM($A48),PnL_Accounts,0))</f>
        <v>1794</v>
      </c>
      <c r="Y48" s="76">
        <f t="array" ref="Y48">INDEX(INDIRECT("PnL_"&amp;TEXT(Y$1,"mmm")&amp;"_"&amp;TEXT(Y$1,"yyyy")),MATCH(TRIM($A48),PnL_Accounts,0))</f>
        <v>1794</v>
      </c>
      <c r="Z48" s="76">
        <f t="array" ref="Z48">INDEX(INDIRECT("PnL_"&amp;TEXT(Z$1,"mmm")&amp;"_"&amp;TEXT(Z$1,"yyyy")),MATCH(TRIM($A48),PnL_Accounts,0))</f>
        <v>1978</v>
      </c>
      <c r="AA48" s="76">
        <f t="array" ref="AA48">INDEX(INDIRECT("PnL_"&amp;TEXT(AA$1,"mmm")&amp;"_"&amp;TEXT(AA$1,"yyyy")),MATCH(TRIM($A48),PnL_Accounts,0))</f>
        <v>1994</v>
      </c>
      <c r="AB48" s="76">
        <f t="array" ref="AB48">INDEX(INDIRECT("PnL_"&amp;TEXT(AB$1,"mmm")&amp;"_"&amp;TEXT(AB$1,"yyyy")),MATCH(TRIM($A48),PnL_Accounts,0))</f>
        <v>1994</v>
      </c>
      <c r="AC48" s="76">
        <f t="array" ref="AC48">INDEX(INDIRECT("PnL_"&amp;TEXT(AC$1,"mmm")&amp;"_"&amp;TEXT(AC$1,"yyyy")),MATCH(TRIM($A48),PnL_Accounts,0))</f>
        <v>1994</v>
      </c>
      <c r="AD48" s="76">
        <f t="array" ref="AD48">INDEX(INDIRECT("PnL_"&amp;TEXT(AD$1,"mmm")&amp;"_"&amp;TEXT(AD$1,"yyyy")),MATCH(TRIM($A48),PnL_Accounts,0))</f>
        <v>1994</v>
      </c>
      <c r="AE48" s="76">
        <f t="array" ref="AE48">INDEX(INDIRECT("PnL_"&amp;TEXT(AE$1,"mmm")&amp;"_"&amp;TEXT(AE$1,"yyyy")),MATCH(TRIM($A48),PnL_Accounts,0))</f>
        <v>1994</v>
      </c>
      <c r="AF48" s="39">
        <f t="array" ref="AF48">INDEX(Hiring_Plan_Benefits_General_Worst_Case,MATCH(AF$1,Hiring_Plan_Months_Worst_Case,0))</f>
        <v>1675</v>
      </c>
      <c r="AG48" s="39">
        <f t="array" ref="AG48">INDEX(Hiring_Plan_Benefits_General_Worst_Case,MATCH(AG$1,Hiring_Plan_Months_Worst_Case,0))</f>
        <v>1675</v>
      </c>
      <c r="AH48" s="39">
        <f t="array" ref="AH48">INDEX(Hiring_Plan_Benefits_General_Worst_Case,MATCH(AH$1,Hiring_Plan_Months_Worst_Case,0))</f>
        <v>1675</v>
      </c>
      <c r="AI48" s="39">
        <f t="array" ref="AI48">INDEX(Hiring_Plan_Benefits_General_Worst_Case,MATCH(AI$1,Hiring_Plan_Months_Worst_Case,0))</f>
        <v>1675</v>
      </c>
      <c r="AJ48" s="39">
        <f t="array" ref="AJ48">INDEX(Hiring_Plan_Benefits_General_Worst_Case,MATCH(AJ$1,Hiring_Plan_Months_Worst_Case,0))</f>
        <v>1675</v>
      </c>
      <c r="AK48" s="39">
        <f t="array" ref="AK48">INDEX(Hiring_Plan_Benefits_General_Worst_Case,MATCH(AK$1,Hiring_Plan_Months_Worst_Case,0))</f>
        <v>1675</v>
      </c>
      <c r="AL48" s="39">
        <f t="array" ref="AL48">INDEX(Hiring_Plan_Benefits_General_Worst_Case,MATCH(AL$1,Hiring_Plan_Months_Worst_Case,0))</f>
        <v>1675</v>
      </c>
      <c r="AM48" s="39">
        <f t="array" ref="AM48">INDEX(Hiring_Plan_Benefits_General_Worst_Case,MATCH(AM$1,Hiring_Plan_Months_Worst_Case,0))</f>
        <v>1675</v>
      </c>
      <c r="AN48" s="39">
        <f t="array" ref="AN48">INDEX(Hiring_Plan_Benefits_General_Worst_Case,MATCH(AN$1,Hiring_Plan_Months_Worst_Case,0))</f>
        <v>1675</v>
      </c>
      <c r="AO48" s="39">
        <f t="array" ref="AO48">INDEX(Hiring_Plan_Benefits_General_Worst_Case,MATCH(AO$1,Hiring_Plan_Months_Worst_Case,0))</f>
        <v>1675</v>
      </c>
      <c r="AP48" s="39">
        <f t="array" ref="AP48">INDEX(Hiring_Plan_Benefits_General_Worst_Case,MATCH(AP$1,Hiring_Plan_Months_Worst_Case,0))</f>
        <v>1675</v>
      </c>
      <c r="AQ48" s="39">
        <f t="array" ref="AQ48">INDEX(Hiring_Plan_Benefits_General_Worst_Case,MATCH(AQ$1,Hiring_Plan_Months_Worst_Case,0))</f>
        <v>1675</v>
      </c>
      <c r="AR48" s="39">
        <f t="array" ref="AR48">INDEX(Hiring_Plan_Benefits_General_Worst_Case,MATCH(AR$1,Hiring_Plan_Months_Worst_Case,0))</f>
        <v>1675</v>
      </c>
      <c r="AS48" s="39">
        <f t="array" ref="AS48">INDEX(Hiring_Plan_Benefits_General_Worst_Case,MATCH(AS$1,Hiring_Plan_Months_Worst_Case,0))</f>
        <v>1675</v>
      </c>
      <c r="AT48" s="39">
        <f t="array" ref="AT48">INDEX(Hiring_Plan_Benefits_General_Worst_Case,MATCH(AT$1,Hiring_Plan_Months_Worst_Case,0))</f>
        <v>1675</v>
      </c>
      <c r="AU48" s="39">
        <f t="array" ref="AU48">INDEX(Hiring_Plan_Benefits_General_Worst_Case,MATCH(AU$1,Hiring_Plan_Months_Worst_Case,0))</f>
        <v>1675</v>
      </c>
      <c r="AV48" s="39">
        <f t="array" ref="AV48">INDEX(Hiring_Plan_Benefits_General_Worst_Case,MATCH(AV$1,Hiring_Plan_Months_Worst_Case,0))</f>
        <v>1675</v>
      </c>
      <c r="AW48" s="39">
        <f t="array" ref="AW48">INDEX(Hiring_Plan_Benefits_General_Worst_Case,MATCH(AW$1,Hiring_Plan_Months_Worst_Case,0))</f>
        <v>1675</v>
      </c>
      <c r="AX48" s="39">
        <f t="array" ref="AX48">INDEX(Hiring_Plan_Benefits_General_Worst_Case,MATCH(AX$1,Hiring_Plan_Months_Worst_Case,0))</f>
        <v>1675</v>
      </c>
      <c r="AY48" s="39">
        <f t="array" ref="AY48">INDEX(Hiring_Plan_Benefits_General_Worst_Case,MATCH(AY$1,Hiring_Plan_Months_Worst_Case,0))</f>
        <v>1675</v>
      </c>
      <c r="AZ48" s="39">
        <f t="array" ref="AZ48">INDEX(Hiring_Plan_Benefits_General_Worst_Case,MATCH(AZ$1,Hiring_Plan_Months_Worst_Case,0))</f>
        <v>1675</v>
      </c>
      <c r="BA48" s="39">
        <f t="array" ref="BA48">INDEX(Hiring_Plan_Benefits_General_Worst_Case,MATCH(BA$1,Hiring_Plan_Months_Worst_Case,0))</f>
        <v>1675</v>
      </c>
      <c r="BB48" s="39">
        <f t="array" ref="BB48">INDEX(Hiring_Plan_Benefits_General_Worst_Case,MATCH(BB$1,Hiring_Plan_Months_Worst_Case,0))</f>
        <v>1675</v>
      </c>
      <c r="BC48" s="39">
        <f t="array" ref="BC48">INDEX(Hiring_Plan_Benefits_General_Worst_Case,MATCH(BC$1,Hiring_Plan_Months_Worst_Case,0))</f>
        <v>1675</v>
      </c>
      <c r="BD48" s="39">
        <f t="array" ref="BD48">INDEX(Hiring_Plan_Benefits_General_Worst_Case,MATCH(BD$1,Hiring_Plan_Months_Worst_Case,0))</f>
        <v>1675</v>
      </c>
      <c r="BE48" s="39">
        <f t="array" ref="BE48">INDEX(Hiring_Plan_Benefits_General_Worst_Case,MATCH(BE$1,Hiring_Plan_Months_Worst_Case,0))</f>
        <v>1675</v>
      </c>
      <c r="BF48" s="39">
        <f t="array" ref="BF48">INDEX(Hiring_Plan_Benefits_General_Worst_Case,MATCH(BF$1,Hiring_Plan_Months_Worst_Case,0))</f>
        <v>1675</v>
      </c>
      <c r="BG48" s="39">
        <f t="array" ref="BG48">INDEX(Hiring_Plan_Benefits_General_Worst_Case,MATCH(BG$1,Hiring_Plan_Months_Worst_Case,0))</f>
        <v>1675</v>
      </c>
      <c r="BH48" s="39">
        <f t="array" ref="BH48">INDEX(Hiring_Plan_Benefits_General_Worst_Case,MATCH(BH$1,Hiring_Plan_Months_Worst_Case,0))</f>
        <v>1675</v>
      </c>
      <c r="BI48" s="39">
        <f t="array" ref="BI48">INDEX(Hiring_Plan_Benefits_General_Worst_Case,MATCH(BI$1,Hiring_Plan_Months_Worst_Case,0))</f>
        <v>1675</v>
      </c>
      <c r="BJ48" s="39">
        <f t="array" ref="BJ48">INDEX(Hiring_Plan_Benefits_General_Worst_Case,MATCH(BJ$1,Hiring_Plan_Months_Worst_Case,0))</f>
        <v>1675</v>
      </c>
      <c r="BK48" s="39">
        <f t="array" ref="BK48">INDEX(Hiring_Plan_Benefits_General_Worst_Case,MATCH(BK$1,Hiring_Plan_Months_Worst_Case,0))</f>
        <v>1675</v>
      </c>
      <c r="BL48" s="39">
        <f t="array" ref="BL48">INDEX(Hiring_Plan_Benefits_General_Worst_Case,MATCH(BL$1,Hiring_Plan_Months_Worst_Case,0))</f>
        <v>1675</v>
      </c>
      <c r="BM48" s="39">
        <f t="array" ref="BM48">INDEX(Hiring_Plan_Benefits_General_Worst_Case,MATCH(BM$1,Hiring_Plan_Months_Worst_Case,0))</f>
        <v>1675</v>
      </c>
      <c r="BN48" s="39">
        <f t="array" ref="BN48">INDEX(Hiring_Plan_Benefits_General_Worst_Case,MATCH(BN$1,Hiring_Plan_Months_Worst_Case,0))</f>
        <v>1675</v>
      </c>
      <c r="BO48" s="39">
        <f t="array" ref="BO48">INDEX(Hiring_Plan_Benefits_General_Worst_Case,MATCH(BO$1,Hiring_Plan_Months_Worst_Case,0))</f>
        <v>1675</v>
      </c>
      <c r="BP48" s="39">
        <f t="array" ref="BP48">INDEX(Hiring_Plan_Benefits_General_Worst_Case,MATCH(BP$1,Hiring_Plan_Months_Worst_Case,0))</f>
        <v>1675</v>
      </c>
      <c r="BQ48" s="39">
        <f t="array" ref="BQ48">INDEX(Hiring_Plan_Benefits_General_Worst_Case,MATCH(BQ$1,Hiring_Plan_Months_Worst_Case,0))</f>
        <v>1675</v>
      </c>
      <c r="BR48" s="39">
        <f t="array" ref="BR48">INDEX(Hiring_Plan_Benefits_General_Worst_Case,MATCH(BR$1,Hiring_Plan_Months_Worst_Case,0))</f>
        <v>1675</v>
      </c>
      <c r="BS48" s="39">
        <f t="array" ref="BS48">INDEX(Hiring_Plan_Benefits_General_Worst_Case,MATCH(BS$1,Hiring_Plan_Months_Worst_Case,0))</f>
        <v>1675</v>
      </c>
      <c r="BT48" s="39">
        <f t="array" ref="BT48">INDEX(Hiring_Plan_Benefits_General_Worst_Case,MATCH(BT$1,Hiring_Plan_Months_Worst_Case,0))</f>
        <v>1675</v>
      </c>
      <c r="BU48" s="39">
        <f t="array" ref="BU48">INDEX(Hiring_Plan_Benefits_General_Worst_Case,MATCH(BU$1,Hiring_Plan_Months_Worst_Case,0))</f>
        <v>1675</v>
      </c>
      <c r="BV48" s="39">
        <f t="array" ref="BV48">INDEX(Hiring_Plan_Benefits_General_Worst_Case,MATCH(BV$1,Hiring_Plan_Months_Worst_Case,0))</f>
        <v>1675</v>
      </c>
      <c r="BW48" s="39">
        <f t="array" ref="BW48">INDEX(Hiring_Plan_Benefits_General_Worst_Case,MATCH(BW$1,Hiring_Plan_Months_Worst_Case,0))</f>
        <v>1675</v>
      </c>
    </row>
    <row r="49" ht="15.75" customHeight="1">
      <c r="A49" s="1" t="s">
        <v>282</v>
      </c>
      <c r="B49" s="160">
        <f>AVERAGEIFS(49:49,$1:$1,"&gt;="&amp;DATE(YEAR(Current_Month),MONTH(Current_Month)-2,DAY(Current_Month)),$1:$1,"&lt;="&amp;EOMONTH(Current_Month,0))</f>
        <v>2383</v>
      </c>
      <c r="D49" s="76">
        <f t="array" ref="D49">INDEX(INDIRECT("PnL_"&amp;TEXT(D$1,"mmm")&amp;"_"&amp;TEXT(D$1,"yyyy")),MATCH(TRIM($A49),PnL_Accounts,0))</f>
        <v>1500</v>
      </c>
      <c r="E49" s="76">
        <f t="array" ref="E49">INDEX(INDIRECT("PnL_"&amp;TEXT(E$1,"mmm")&amp;"_"&amp;TEXT(E$1,"yyyy")),MATCH(TRIM($A49),PnL_Accounts,0))</f>
        <v>1500</v>
      </c>
      <c r="F49" s="76">
        <f t="array" ref="F49">INDEX(INDIRECT("PnL_"&amp;TEXT(F$1,"mmm")&amp;"_"&amp;TEXT(F$1,"yyyy")),MATCH(TRIM($A49),PnL_Accounts,0))</f>
        <v>1500</v>
      </c>
      <c r="G49" s="76">
        <f t="array" ref="G49">INDEX(INDIRECT("PnL_"&amp;TEXT(G$1,"mmm")&amp;"_"&amp;TEXT(G$1,"yyyy")),MATCH(TRIM($A49),PnL_Accounts,0))</f>
        <v>1500</v>
      </c>
      <c r="H49" s="76">
        <f t="array" ref="H49">INDEX(INDIRECT("PnL_"&amp;TEXT(H$1,"mmm")&amp;"_"&amp;TEXT(H$1,"yyyy")),MATCH(TRIM($A49),PnL_Accounts,0))</f>
        <v>1500</v>
      </c>
      <c r="I49" s="76">
        <f t="array" ref="I49">INDEX(INDIRECT("PnL_"&amp;TEXT(I$1,"mmm")&amp;"_"&amp;TEXT(I$1,"yyyy")),MATCH(TRIM($A49),PnL_Accounts,0))</f>
        <v>1500</v>
      </c>
      <c r="J49" s="76">
        <f t="array" ref="J49">INDEX(INDIRECT("PnL_"&amp;TEXT(J$1,"mmm")&amp;"_"&amp;TEXT(J$1,"yyyy")),MATCH(TRIM($A49),PnL_Accounts,0))</f>
        <v>1500</v>
      </c>
      <c r="K49" s="76">
        <f t="array" ref="K49">INDEX(INDIRECT("PnL_"&amp;TEXT(K$1,"mmm")&amp;"_"&amp;TEXT(K$1,"yyyy")),MATCH(TRIM($A49),PnL_Accounts,0))</f>
        <v>1500</v>
      </c>
      <c r="L49" s="76">
        <f t="array" ref="L49">INDEX(INDIRECT("PnL_"&amp;TEXT(L$1,"mmm")&amp;"_"&amp;TEXT(L$1,"yyyy")),MATCH(TRIM($A49),PnL_Accounts,0))</f>
        <v>1908</v>
      </c>
      <c r="M49" s="76">
        <f t="array" ref="M49">INDEX(INDIRECT("PnL_"&amp;TEXT(M$1,"mmm")&amp;"_"&amp;TEXT(M$1,"yyyy")),MATCH(TRIM($A49),PnL_Accounts,0))</f>
        <v>1908</v>
      </c>
      <c r="N49" s="76">
        <f t="array" ref="N49">INDEX(INDIRECT("PnL_"&amp;TEXT(N$1,"mmm")&amp;"_"&amp;TEXT(N$1,"yyyy")),MATCH(TRIM($A49),PnL_Accounts,0))</f>
        <v>1908</v>
      </c>
      <c r="O49" s="76">
        <f t="array" ref="O49">INDEX(INDIRECT("PnL_"&amp;TEXT(O$1,"mmm")&amp;"_"&amp;TEXT(O$1,"yyyy")),MATCH(TRIM($A49),PnL_Accounts,0))</f>
        <v>1908</v>
      </c>
      <c r="P49" s="76">
        <f t="array" ref="P49">INDEX(INDIRECT("PnL_"&amp;TEXT(P$1,"mmm")&amp;"_"&amp;TEXT(P$1,"yyyy")),MATCH(TRIM($A49),PnL_Accounts,0))</f>
        <v>1908</v>
      </c>
      <c r="Q49" s="76">
        <f t="array" ref="Q49">INDEX(INDIRECT("PnL_"&amp;TEXT(Q$1,"mmm")&amp;"_"&amp;TEXT(Q$1,"yyyy")),MATCH(TRIM($A49),PnL_Accounts,0))</f>
        <v>2313</v>
      </c>
      <c r="R49" s="76">
        <f t="array" ref="R49">INDEX(INDIRECT("PnL_"&amp;TEXT(R$1,"mmm")&amp;"_"&amp;TEXT(R$1,"yyyy")),MATCH(TRIM($A49),PnL_Accounts,0))</f>
        <v>2313</v>
      </c>
      <c r="S49" s="76">
        <f t="array" ref="S49">INDEX(INDIRECT("PnL_"&amp;TEXT(S$1,"mmm")&amp;"_"&amp;TEXT(S$1,"yyyy")),MATCH(TRIM($A49),PnL_Accounts,0))</f>
        <v>2313</v>
      </c>
      <c r="T49" s="76">
        <f t="array" ref="T49">INDEX(INDIRECT("PnL_"&amp;TEXT(T$1,"mmm")&amp;"_"&amp;TEXT(T$1,"yyyy")),MATCH(TRIM($A49),PnL_Accounts,0))</f>
        <v>2383</v>
      </c>
      <c r="U49" s="76">
        <f t="array" ref="U49">INDEX(INDIRECT("PnL_"&amp;TEXT(U$1,"mmm")&amp;"_"&amp;TEXT(U$1,"yyyy")),MATCH(TRIM($A49),PnL_Accounts,0))</f>
        <v>2383</v>
      </c>
      <c r="V49" s="76">
        <f t="array" ref="V49">INDEX(INDIRECT("PnL_"&amp;TEXT(V$1,"mmm")&amp;"_"&amp;TEXT(V$1,"yyyy")),MATCH(TRIM($A49),PnL_Accounts,0))</f>
        <v>2383</v>
      </c>
      <c r="W49" s="76">
        <f t="array" ref="W49">INDEX(INDIRECT("PnL_"&amp;TEXT(W$1,"mmm")&amp;"_"&amp;TEXT(W$1,"yyyy")),MATCH(TRIM($A49),PnL_Accounts,0))</f>
        <v>2383</v>
      </c>
      <c r="X49" s="76">
        <f t="array" ref="X49">INDEX(INDIRECT("PnL_"&amp;TEXT(X$1,"mmm")&amp;"_"&amp;TEXT(X$1,"yyyy")),MATCH(TRIM($A49),PnL_Accounts,0))</f>
        <v>2383</v>
      </c>
      <c r="Y49" s="76">
        <f t="array" ref="Y49">INDEX(INDIRECT("PnL_"&amp;TEXT(Y$1,"mmm")&amp;"_"&amp;TEXT(Y$1,"yyyy")),MATCH(TRIM($A49),PnL_Accounts,0))</f>
        <v>2383</v>
      </c>
      <c r="Z49" s="76">
        <f t="array" ref="Z49">INDEX(INDIRECT("PnL_"&amp;TEXT(Z$1,"mmm")&amp;"_"&amp;TEXT(Z$1,"yyyy")),MATCH(TRIM($A49),PnL_Accounts,0))</f>
        <v>2383</v>
      </c>
      <c r="AA49" s="76">
        <f t="array" ref="AA49">INDEX(INDIRECT("PnL_"&amp;TEXT(AA$1,"mmm")&amp;"_"&amp;TEXT(AA$1,"yyyy")),MATCH(TRIM($A49),PnL_Accounts,0))</f>
        <v>2383</v>
      </c>
      <c r="AB49" s="76">
        <f t="array" ref="AB49">INDEX(INDIRECT("PnL_"&amp;TEXT(AB$1,"mmm")&amp;"_"&amp;TEXT(AB$1,"yyyy")),MATCH(TRIM($A49),PnL_Accounts,0))</f>
        <v>2383</v>
      </c>
      <c r="AC49" s="76">
        <f t="array" ref="AC49">INDEX(INDIRECT("PnL_"&amp;TEXT(AC$1,"mmm")&amp;"_"&amp;TEXT(AC$1,"yyyy")),MATCH(TRIM($A49),PnL_Accounts,0))</f>
        <v>2383</v>
      </c>
      <c r="AD49" s="76">
        <f t="array" ref="AD49">INDEX(INDIRECT("PnL_"&amp;TEXT(AD$1,"mmm")&amp;"_"&amp;TEXT(AD$1,"yyyy")),MATCH(TRIM($A49),PnL_Accounts,0))</f>
        <v>2383</v>
      </c>
      <c r="AE49" s="76">
        <f t="array" ref="AE49">INDEX(INDIRECT("PnL_"&amp;TEXT(AE$1,"mmm")&amp;"_"&amp;TEXT(AE$1,"yyyy")),MATCH(TRIM($A49),PnL_Accounts,0))</f>
        <v>2383</v>
      </c>
      <c r="AF49" s="39">
        <f t="array" ref="AF49">INDEX(Hiring_Plan_Payroll_Taxes_General_Worst_Case,MATCH(AF$1,Hiring_Plan_Months_Worst_Case,0))</f>
        <v>1518.75</v>
      </c>
      <c r="AG49" s="39">
        <f t="array" ref="AG49">INDEX(Hiring_Plan_Payroll_Taxes_General_Worst_Case,MATCH(AG$1,Hiring_Plan_Months_Worst_Case,0))</f>
        <v>1518.75</v>
      </c>
      <c r="AH49" s="39">
        <f t="array" ref="AH49">INDEX(Hiring_Plan_Payroll_Taxes_General_Worst_Case,MATCH(AH$1,Hiring_Plan_Months_Worst_Case,0))</f>
        <v>1518.75</v>
      </c>
      <c r="AI49" s="39">
        <f t="array" ref="AI49">INDEX(Hiring_Plan_Payroll_Taxes_General_Worst_Case,MATCH(AI$1,Hiring_Plan_Months_Worst_Case,0))</f>
        <v>1518.75</v>
      </c>
      <c r="AJ49" s="39">
        <f t="array" ref="AJ49">INDEX(Hiring_Plan_Payroll_Taxes_General_Worst_Case,MATCH(AJ$1,Hiring_Plan_Months_Worst_Case,0))</f>
        <v>1518.75</v>
      </c>
      <c r="AK49" s="39">
        <f t="array" ref="AK49">INDEX(Hiring_Plan_Payroll_Taxes_General_Worst_Case,MATCH(AK$1,Hiring_Plan_Months_Worst_Case,0))</f>
        <v>1518.75</v>
      </c>
      <c r="AL49" s="39">
        <f t="array" ref="AL49">INDEX(Hiring_Plan_Payroll_Taxes_General_Worst_Case,MATCH(AL$1,Hiring_Plan_Months_Worst_Case,0))</f>
        <v>1518.75</v>
      </c>
      <c r="AM49" s="39">
        <f t="array" ref="AM49">INDEX(Hiring_Plan_Payroll_Taxes_General_Worst_Case,MATCH(AM$1,Hiring_Plan_Months_Worst_Case,0))</f>
        <v>1518.75</v>
      </c>
      <c r="AN49" s="39">
        <f t="array" ref="AN49">INDEX(Hiring_Plan_Payroll_Taxes_General_Worst_Case,MATCH(AN$1,Hiring_Plan_Months_Worst_Case,0))</f>
        <v>1518.75</v>
      </c>
      <c r="AO49" s="39">
        <f t="array" ref="AO49">INDEX(Hiring_Plan_Payroll_Taxes_General_Worst_Case,MATCH(AO$1,Hiring_Plan_Months_Worst_Case,0))</f>
        <v>1518.75</v>
      </c>
      <c r="AP49" s="39">
        <f t="array" ref="AP49">INDEX(Hiring_Plan_Payroll_Taxes_General_Worst_Case,MATCH(AP$1,Hiring_Plan_Months_Worst_Case,0))</f>
        <v>1518.75</v>
      </c>
      <c r="AQ49" s="39">
        <f t="array" ref="AQ49">INDEX(Hiring_Plan_Payroll_Taxes_General_Worst_Case,MATCH(AQ$1,Hiring_Plan_Months_Worst_Case,0))</f>
        <v>1518.75</v>
      </c>
      <c r="AR49" s="39">
        <f t="array" ref="AR49">INDEX(Hiring_Plan_Payroll_Taxes_General_Worst_Case,MATCH(AR$1,Hiring_Plan_Months_Worst_Case,0))</f>
        <v>1518.75</v>
      </c>
      <c r="AS49" s="39">
        <f t="array" ref="AS49">INDEX(Hiring_Plan_Payroll_Taxes_General_Worst_Case,MATCH(AS$1,Hiring_Plan_Months_Worst_Case,0))</f>
        <v>1518.75</v>
      </c>
      <c r="AT49" s="39">
        <f t="array" ref="AT49">INDEX(Hiring_Plan_Payroll_Taxes_General_Worst_Case,MATCH(AT$1,Hiring_Plan_Months_Worst_Case,0))</f>
        <v>1518.75</v>
      </c>
      <c r="AU49" s="39">
        <f t="array" ref="AU49">INDEX(Hiring_Plan_Payroll_Taxes_General_Worst_Case,MATCH(AU$1,Hiring_Plan_Months_Worst_Case,0))</f>
        <v>1518.75</v>
      </c>
      <c r="AV49" s="39">
        <f t="array" ref="AV49">INDEX(Hiring_Plan_Payroll_Taxes_General_Worst_Case,MATCH(AV$1,Hiring_Plan_Months_Worst_Case,0))</f>
        <v>1518.75</v>
      </c>
      <c r="AW49" s="39">
        <f t="array" ref="AW49">INDEX(Hiring_Plan_Payroll_Taxes_General_Worst_Case,MATCH(AW$1,Hiring_Plan_Months_Worst_Case,0))</f>
        <v>1518.75</v>
      </c>
      <c r="AX49" s="39">
        <f t="array" ref="AX49">INDEX(Hiring_Plan_Payroll_Taxes_General_Worst_Case,MATCH(AX$1,Hiring_Plan_Months_Worst_Case,0))</f>
        <v>1518.75</v>
      </c>
      <c r="AY49" s="39">
        <f t="array" ref="AY49">INDEX(Hiring_Plan_Payroll_Taxes_General_Worst_Case,MATCH(AY$1,Hiring_Plan_Months_Worst_Case,0))</f>
        <v>1518.75</v>
      </c>
      <c r="AZ49" s="39">
        <f t="array" ref="AZ49">INDEX(Hiring_Plan_Payroll_Taxes_General_Worst_Case,MATCH(AZ$1,Hiring_Plan_Months_Worst_Case,0))</f>
        <v>1518.75</v>
      </c>
      <c r="BA49" s="39">
        <f t="array" ref="BA49">INDEX(Hiring_Plan_Payroll_Taxes_General_Worst_Case,MATCH(BA$1,Hiring_Plan_Months_Worst_Case,0))</f>
        <v>1518.75</v>
      </c>
      <c r="BB49" s="39">
        <f t="array" ref="BB49">INDEX(Hiring_Plan_Payroll_Taxes_General_Worst_Case,MATCH(BB$1,Hiring_Plan_Months_Worst_Case,0))</f>
        <v>1518.75</v>
      </c>
      <c r="BC49" s="39">
        <f t="array" ref="BC49">INDEX(Hiring_Plan_Payroll_Taxes_General_Worst_Case,MATCH(BC$1,Hiring_Plan_Months_Worst_Case,0))</f>
        <v>1518.75</v>
      </c>
      <c r="BD49" s="39">
        <f t="array" ref="BD49">INDEX(Hiring_Plan_Payroll_Taxes_General_Worst_Case,MATCH(BD$1,Hiring_Plan_Months_Worst_Case,0))</f>
        <v>1518.75</v>
      </c>
      <c r="BE49" s="39">
        <f t="array" ref="BE49">INDEX(Hiring_Plan_Payroll_Taxes_General_Worst_Case,MATCH(BE$1,Hiring_Plan_Months_Worst_Case,0))</f>
        <v>1518.75</v>
      </c>
      <c r="BF49" s="39">
        <f t="array" ref="BF49">INDEX(Hiring_Plan_Payroll_Taxes_General_Worst_Case,MATCH(BF$1,Hiring_Plan_Months_Worst_Case,0))</f>
        <v>1518.75</v>
      </c>
      <c r="BG49" s="39">
        <f t="array" ref="BG49">INDEX(Hiring_Plan_Payroll_Taxes_General_Worst_Case,MATCH(BG$1,Hiring_Plan_Months_Worst_Case,0))</f>
        <v>1518.75</v>
      </c>
      <c r="BH49" s="39">
        <f t="array" ref="BH49">INDEX(Hiring_Plan_Payroll_Taxes_General_Worst_Case,MATCH(BH$1,Hiring_Plan_Months_Worst_Case,0))</f>
        <v>1518.75</v>
      </c>
      <c r="BI49" s="39">
        <f t="array" ref="BI49">INDEX(Hiring_Plan_Payroll_Taxes_General_Worst_Case,MATCH(BI$1,Hiring_Plan_Months_Worst_Case,0))</f>
        <v>1518.75</v>
      </c>
      <c r="BJ49" s="39">
        <f t="array" ref="BJ49">INDEX(Hiring_Plan_Payroll_Taxes_General_Worst_Case,MATCH(BJ$1,Hiring_Plan_Months_Worst_Case,0))</f>
        <v>1518.75</v>
      </c>
      <c r="BK49" s="39">
        <f t="array" ref="BK49">INDEX(Hiring_Plan_Payroll_Taxes_General_Worst_Case,MATCH(BK$1,Hiring_Plan_Months_Worst_Case,0))</f>
        <v>1518.75</v>
      </c>
      <c r="BL49" s="39">
        <f t="array" ref="BL49">INDEX(Hiring_Plan_Payroll_Taxes_General_Worst_Case,MATCH(BL$1,Hiring_Plan_Months_Worst_Case,0))</f>
        <v>1518.75</v>
      </c>
      <c r="BM49" s="39">
        <f t="array" ref="BM49">INDEX(Hiring_Plan_Payroll_Taxes_General_Worst_Case,MATCH(BM$1,Hiring_Plan_Months_Worst_Case,0))</f>
        <v>1518.75</v>
      </c>
      <c r="BN49" s="39">
        <f t="array" ref="BN49">INDEX(Hiring_Plan_Payroll_Taxes_General_Worst_Case,MATCH(BN$1,Hiring_Plan_Months_Worst_Case,0))</f>
        <v>1518.75</v>
      </c>
      <c r="BO49" s="39">
        <f t="array" ref="BO49">INDEX(Hiring_Plan_Payroll_Taxes_General_Worst_Case,MATCH(BO$1,Hiring_Plan_Months_Worst_Case,0))</f>
        <v>1518.75</v>
      </c>
      <c r="BP49" s="39">
        <f t="array" ref="BP49">INDEX(Hiring_Plan_Payroll_Taxes_General_Worst_Case,MATCH(BP$1,Hiring_Plan_Months_Worst_Case,0))</f>
        <v>1518.75</v>
      </c>
      <c r="BQ49" s="39">
        <f t="array" ref="BQ49">INDEX(Hiring_Plan_Payroll_Taxes_General_Worst_Case,MATCH(BQ$1,Hiring_Plan_Months_Worst_Case,0))</f>
        <v>1518.75</v>
      </c>
      <c r="BR49" s="39">
        <f t="array" ref="BR49">INDEX(Hiring_Plan_Payroll_Taxes_General_Worst_Case,MATCH(BR$1,Hiring_Plan_Months_Worst_Case,0))</f>
        <v>1518.75</v>
      </c>
      <c r="BS49" s="39">
        <f t="array" ref="BS49">INDEX(Hiring_Plan_Payroll_Taxes_General_Worst_Case,MATCH(BS$1,Hiring_Plan_Months_Worst_Case,0))</f>
        <v>1518.75</v>
      </c>
      <c r="BT49" s="39">
        <f t="array" ref="BT49">INDEX(Hiring_Plan_Payroll_Taxes_General_Worst_Case,MATCH(BT$1,Hiring_Plan_Months_Worst_Case,0))</f>
        <v>1518.75</v>
      </c>
      <c r="BU49" s="39">
        <f t="array" ref="BU49">INDEX(Hiring_Plan_Payroll_Taxes_General_Worst_Case,MATCH(BU$1,Hiring_Plan_Months_Worst_Case,0))</f>
        <v>1518.75</v>
      </c>
      <c r="BV49" s="39">
        <f t="array" ref="BV49">INDEX(Hiring_Plan_Payroll_Taxes_General_Worst_Case,MATCH(BV$1,Hiring_Plan_Months_Worst_Case,0))</f>
        <v>1518.75</v>
      </c>
      <c r="BW49" s="39">
        <f t="array" ref="BW49">INDEX(Hiring_Plan_Payroll_Taxes_General_Worst_Case,MATCH(BW$1,Hiring_Plan_Months_Worst_Case,0))</f>
        <v>1518.75</v>
      </c>
    </row>
    <row r="50" ht="15.75" customHeight="1">
      <c r="A50" s="1" t="s">
        <v>283</v>
      </c>
      <c r="B50" s="160">
        <f>AVERAGEIFS(50:50,$1:$1,"&gt;="&amp;DATE(YEAR(Current_Month),MONTH(Current_Month)-2,DAY(Current_Month)),$1:$1,"&lt;="&amp;EOMONTH(Current_Month,0))</f>
        <v>28700</v>
      </c>
      <c r="D50" s="76">
        <f t="array" ref="D50">INDEX(INDIRECT("PnL_"&amp;TEXT(D$1,"mmm")&amp;"_"&amp;TEXT(D$1,"yyyy")),MATCH(TRIM($A50),PnL_Accounts,0))</f>
        <v>16666</v>
      </c>
      <c r="E50" s="76">
        <f t="array" ref="E50">INDEX(INDIRECT("PnL_"&amp;TEXT(E$1,"mmm")&amp;"_"&amp;TEXT(E$1,"yyyy")),MATCH(TRIM($A50),PnL_Accounts,0))</f>
        <v>16666</v>
      </c>
      <c r="F50" s="76">
        <f t="array" ref="F50">INDEX(INDIRECT("PnL_"&amp;TEXT(F$1,"mmm")&amp;"_"&amp;TEXT(F$1,"yyyy")),MATCH(TRIM($A50),PnL_Accounts,0))</f>
        <v>16666</v>
      </c>
      <c r="G50" s="76">
        <f t="array" ref="G50">INDEX(INDIRECT("PnL_"&amp;TEXT(G$1,"mmm")&amp;"_"&amp;TEXT(G$1,"yyyy")),MATCH(TRIM($A50),PnL_Accounts,0))</f>
        <v>16666</v>
      </c>
      <c r="H50" s="76">
        <f t="array" ref="H50">INDEX(INDIRECT("PnL_"&amp;TEXT(H$1,"mmm")&amp;"_"&amp;TEXT(H$1,"yyyy")),MATCH(TRIM($A50),PnL_Accounts,0))</f>
        <v>16666</v>
      </c>
      <c r="I50" s="76">
        <f t="array" ref="I50">INDEX(INDIRECT("PnL_"&amp;TEXT(I$1,"mmm")&amp;"_"&amp;TEXT(I$1,"yyyy")),MATCH(TRIM($A50),PnL_Accounts,0))</f>
        <v>16666</v>
      </c>
      <c r="J50" s="76">
        <f t="array" ref="J50">INDEX(INDIRECT("PnL_"&amp;TEXT(J$1,"mmm")&amp;"_"&amp;TEXT(J$1,"yyyy")),MATCH(TRIM($A50),PnL_Accounts,0))</f>
        <v>16666</v>
      </c>
      <c r="K50" s="76">
        <f t="array" ref="K50">INDEX(INDIRECT("PnL_"&amp;TEXT(K$1,"mmm")&amp;"_"&amp;TEXT(K$1,"yyyy")),MATCH(TRIM($A50),PnL_Accounts,0))</f>
        <v>16666</v>
      </c>
      <c r="L50" s="76">
        <f t="array" ref="L50">INDEX(INDIRECT("PnL_"&amp;TEXT(L$1,"mmm")&amp;"_"&amp;TEXT(L$1,"yyyy")),MATCH(TRIM($A50),PnL_Accounts,0))</f>
        <v>21200</v>
      </c>
      <c r="M50" s="76">
        <f t="array" ref="M50">INDEX(INDIRECT("PnL_"&amp;TEXT(M$1,"mmm")&amp;"_"&amp;TEXT(M$1,"yyyy")),MATCH(TRIM($A50),PnL_Accounts,0))</f>
        <v>21200</v>
      </c>
      <c r="N50" s="76">
        <f t="array" ref="N50">INDEX(INDIRECT("PnL_"&amp;TEXT(N$1,"mmm")&amp;"_"&amp;TEXT(N$1,"yyyy")),MATCH(TRIM($A50),PnL_Accounts,0))</f>
        <v>21200</v>
      </c>
      <c r="O50" s="76">
        <f t="array" ref="O50">INDEX(INDIRECT("PnL_"&amp;TEXT(O$1,"mmm")&amp;"_"&amp;TEXT(O$1,"yyyy")),MATCH(TRIM($A50),PnL_Accounts,0))</f>
        <v>21200</v>
      </c>
      <c r="P50" s="76">
        <f t="array" ref="P50">INDEX(INDIRECT("PnL_"&amp;TEXT(P$1,"mmm")&amp;"_"&amp;TEXT(P$1,"yyyy")),MATCH(TRIM($A50),PnL_Accounts,0))</f>
        <v>21200</v>
      </c>
      <c r="Q50" s="76">
        <f t="array" ref="Q50">INDEX(INDIRECT("PnL_"&amp;TEXT(Q$1,"mmm")&amp;"_"&amp;TEXT(Q$1,"yyyy")),MATCH(TRIM($A50),PnL_Accounts,0))</f>
        <v>25700</v>
      </c>
      <c r="R50" s="76">
        <f t="array" ref="R50">INDEX(INDIRECT("PnL_"&amp;TEXT(R$1,"mmm")&amp;"_"&amp;TEXT(R$1,"yyyy")),MATCH(TRIM($A50),PnL_Accounts,0))</f>
        <v>25700</v>
      </c>
      <c r="S50" s="76">
        <f t="array" ref="S50">INDEX(INDIRECT("PnL_"&amp;TEXT(S$1,"mmm")&amp;"_"&amp;TEXT(S$1,"yyyy")),MATCH(TRIM($A50),PnL_Accounts,0))</f>
        <v>25700</v>
      </c>
      <c r="T50" s="76">
        <f t="array" ref="T50">INDEX(INDIRECT("PnL_"&amp;TEXT(T$1,"mmm")&amp;"_"&amp;TEXT(T$1,"yyyy")),MATCH(TRIM($A50),PnL_Accounts,0))</f>
        <v>28700</v>
      </c>
      <c r="U50" s="76">
        <f t="array" ref="U50">INDEX(INDIRECT("PnL_"&amp;TEXT(U$1,"mmm")&amp;"_"&amp;TEXT(U$1,"yyyy")),MATCH(TRIM($A50),PnL_Accounts,0))</f>
        <v>28700</v>
      </c>
      <c r="V50" s="76">
        <f t="array" ref="V50">INDEX(INDIRECT("PnL_"&amp;TEXT(V$1,"mmm")&amp;"_"&amp;TEXT(V$1,"yyyy")),MATCH(TRIM($A50),PnL_Accounts,0))</f>
        <v>28700</v>
      </c>
      <c r="W50" s="76">
        <f t="array" ref="W50">INDEX(INDIRECT("PnL_"&amp;TEXT(W$1,"mmm")&amp;"_"&amp;TEXT(W$1,"yyyy")),MATCH(TRIM($A50),PnL_Accounts,0))</f>
        <v>28700</v>
      </c>
      <c r="X50" s="76">
        <f t="array" ref="X50">INDEX(INDIRECT("PnL_"&amp;TEXT(X$1,"mmm")&amp;"_"&amp;TEXT(X$1,"yyyy")),MATCH(TRIM($A50),PnL_Accounts,0))</f>
        <v>28700</v>
      </c>
      <c r="Y50" s="76">
        <f t="array" ref="Y50">INDEX(INDIRECT("PnL_"&amp;TEXT(Y$1,"mmm")&amp;"_"&amp;TEXT(Y$1,"yyyy")),MATCH(TRIM($A50),PnL_Accounts,0))</f>
        <v>28700</v>
      </c>
      <c r="Z50" s="76">
        <f t="array" ref="Z50">INDEX(INDIRECT("PnL_"&amp;TEXT(Z$1,"mmm")&amp;"_"&amp;TEXT(Z$1,"yyyy")),MATCH(TRIM($A50),PnL_Accounts,0))</f>
        <v>28700</v>
      </c>
      <c r="AA50" s="76">
        <f t="array" ref="AA50">INDEX(INDIRECT("PnL_"&amp;TEXT(AA$1,"mmm")&amp;"_"&amp;TEXT(AA$1,"yyyy")),MATCH(TRIM($A50),PnL_Accounts,0))</f>
        <v>28700</v>
      </c>
      <c r="AB50" s="76">
        <f t="array" ref="AB50">INDEX(INDIRECT("PnL_"&amp;TEXT(AB$1,"mmm")&amp;"_"&amp;TEXT(AB$1,"yyyy")),MATCH(TRIM($A50),PnL_Accounts,0))</f>
        <v>28700</v>
      </c>
      <c r="AC50" s="76">
        <f t="array" ref="AC50">INDEX(INDIRECT("PnL_"&amp;TEXT(AC$1,"mmm")&amp;"_"&amp;TEXT(AC$1,"yyyy")),MATCH(TRIM($A50),PnL_Accounts,0))</f>
        <v>28700</v>
      </c>
      <c r="AD50" s="76">
        <f t="array" ref="AD50">INDEX(INDIRECT("PnL_"&amp;TEXT(AD$1,"mmm")&amp;"_"&amp;TEXT(AD$1,"yyyy")),MATCH(TRIM($A50),PnL_Accounts,0))</f>
        <v>28700</v>
      </c>
      <c r="AE50" s="76">
        <f t="array" ref="AE50">INDEX(INDIRECT("PnL_"&amp;TEXT(AE$1,"mmm")&amp;"_"&amp;TEXT(AE$1,"yyyy")),MATCH(TRIM($A50),PnL_Accounts,0))</f>
        <v>28700</v>
      </c>
      <c r="AF50" s="39">
        <f t="array" ref="AF50">INDEX(Hiring_Plan_Salaries_General_Worst_Case,MATCH(AF$1,Hiring_Plan_Months_Worst_Case,0))</f>
        <v>16875</v>
      </c>
      <c r="AG50" s="39">
        <f t="array" ref="AG50">INDEX(Hiring_Plan_Salaries_General_Worst_Case,MATCH(AG$1,Hiring_Plan_Months_Worst_Case,0))</f>
        <v>16875</v>
      </c>
      <c r="AH50" s="39">
        <f t="array" ref="AH50">INDEX(Hiring_Plan_Salaries_General_Worst_Case,MATCH(AH$1,Hiring_Plan_Months_Worst_Case,0))</f>
        <v>16875</v>
      </c>
      <c r="AI50" s="39">
        <f t="array" ref="AI50">INDEX(Hiring_Plan_Salaries_General_Worst_Case,MATCH(AI$1,Hiring_Plan_Months_Worst_Case,0))</f>
        <v>16875</v>
      </c>
      <c r="AJ50" s="39">
        <f t="array" ref="AJ50">INDEX(Hiring_Plan_Salaries_General_Worst_Case,MATCH(AJ$1,Hiring_Plan_Months_Worst_Case,0))</f>
        <v>16875</v>
      </c>
      <c r="AK50" s="39">
        <f t="array" ref="AK50">INDEX(Hiring_Plan_Salaries_General_Worst_Case,MATCH(AK$1,Hiring_Plan_Months_Worst_Case,0))</f>
        <v>16875</v>
      </c>
      <c r="AL50" s="39">
        <f t="array" ref="AL50">INDEX(Hiring_Plan_Salaries_General_Worst_Case,MATCH(AL$1,Hiring_Plan_Months_Worst_Case,0))</f>
        <v>16875</v>
      </c>
      <c r="AM50" s="39">
        <f t="array" ref="AM50">INDEX(Hiring_Plan_Salaries_General_Worst_Case,MATCH(AM$1,Hiring_Plan_Months_Worst_Case,0))</f>
        <v>16875</v>
      </c>
      <c r="AN50" s="39">
        <f t="array" ref="AN50">INDEX(Hiring_Plan_Salaries_General_Worst_Case,MATCH(AN$1,Hiring_Plan_Months_Worst_Case,0))</f>
        <v>16875</v>
      </c>
      <c r="AO50" s="39">
        <f t="array" ref="AO50">INDEX(Hiring_Plan_Salaries_General_Worst_Case,MATCH(AO$1,Hiring_Plan_Months_Worst_Case,0))</f>
        <v>16875</v>
      </c>
      <c r="AP50" s="39">
        <f t="array" ref="AP50">INDEX(Hiring_Plan_Salaries_General_Worst_Case,MATCH(AP$1,Hiring_Plan_Months_Worst_Case,0))</f>
        <v>16875</v>
      </c>
      <c r="AQ50" s="39">
        <f t="array" ref="AQ50">INDEX(Hiring_Plan_Salaries_General_Worst_Case,MATCH(AQ$1,Hiring_Plan_Months_Worst_Case,0))</f>
        <v>16875</v>
      </c>
      <c r="AR50" s="39">
        <f t="array" ref="AR50">INDEX(Hiring_Plan_Salaries_General_Worst_Case,MATCH(AR$1,Hiring_Plan_Months_Worst_Case,0))</f>
        <v>16875</v>
      </c>
      <c r="AS50" s="39">
        <f t="array" ref="AS50">INDEX(Hiring_Plan_Salaries_General_Worst_Case,MATCH(AS$1,Hiring_Plan_Months_Worst_Case,0))</f>
        <v>16875</v>
      </c>
      <c r="AT50" s="39">
        <f t="array" ref="AT50">INDEX(Hiring_Plan_Salaries_General_Worst_Case,MATCH(AT$1,Hiring_Plan_Months_Worst_Case,0))</f>
        <v>16875</v>
      </c>
      <c r="AU50" s="39">
        <f t="array" ref="AU50">INDEX(Hiring_Plan_Salaries_General_Worst_Case,MATCH(AU$1,Hiring_Plan_Months_Worst_Case,0))</f>
        <v>16875</v>
      </c>
      <c r="AV50" s="39">
        <f t="array" ref="AV50">INDEX(Hiring_Plan_Salaries_General_Worst_Case,MATCH(AV$1,Hiring_Plan_Months_Worst_Case,0))</f>
        <v>16875</v>
      </c>
      <c r="AW50" s="39">
        <f t="array" ref="AW50">INDEX(Hiring_Plan_Salaries_General_Worst_Case,MATCH(AW$1,Hiring_Plan_Months_Worst_Case,0))</f>
        <v>16875</v>
      </c>
      <c r="AX50" s="39">
        <f t="array" ref="AX50">INDEX(Hiring_Plan_Salaries_General_Worst_Case,MATCH(AX$1,Hiring_Plan_Months_Worst_Case,0))</f>
        <v>16875</v>
      </c>
      <c r="AY50" s="39">
        <f t="array" ref="AY50">INDEX(Hiring_Plan_Salaries_General_Worst_Case,MATCH(AY$1,Hiring_Plan_Months_Worst_Case,0))</f>
        <v>16875</v>
      </c>
      <c r="AZ50" s="39">
        <f t="array" ref="AZ50">INDEX(Hiring_Plan_Salaries_General_Worst_Case,MATCH(AZ$1,Hiring_Plan_Months_Worst_Case,0))</f>
        <v>16875</v>
      </c>
      <c r="BA50" s="39">
        <f t="array" ref="BA50">INDEX(Hiring_Plan_Salaries_General_Worst_Case,MATCH(BA$1,Hiring_Plan_Months_Worst_Case,0))</f>
        <v>16875</v>
      </c>
      <c r="BB50" s="39">
        <f t="array" ref="BB50">INDEX(Hiring_Plan_Salaries_General_Worst_Case,MATCH(BB$1,Hiring_Plan_Months_Worst_Case,0))</f>
        <v>16875</v>
      </c>
      <c r="BC50" s="39">
        <f t="array" ref="BC50">INDEX(Hiring_Plan_Salaries_General_Worst_Case,MATCH(BC$1,Hiring_Plan_Months_Worst_Case,0))</f>
        <v>16875</v>
      </c>
      <c r="BD50" s="39">
        <f t="array" ref="BD50">INDEX(Hiring_Plan_Salaries_General_Worst_Case,MATCH(BD$1,Hiring_Plan_Months_Worst_Case,0))</f>
        <v>16875</v>
      </c>
      <c r="BE50" s="39">
        <f t="array" ref="BE50">INDEX(Hiring_Plan_Salaries_General_Worst_Case,MATCH(BE$1,Hiring_Plan_Months_Worst_Case,0))</f>
        <v>16875</v>
      </c>
      <c r="BF50" s="39">
        <f t="array" ref="BF50">INDEX(Hiring_Plan_Salaries_General_Worst_Case,MATCH(BF$1,Hiring_Plan_Months_Worst_Case,0))</f>
        <v>16875</v>
      </c>
      <c r="BG50" s="39">
        <f t="array" ref="BG50">INDEX(Hiring_Plan_Salaries_General_Worst_Case,MATCH(BG$1,Hiring_Plan_Months_Worst_Case,0))</f>
        <v>16875</v>
      </c>
      <c r="BH50" s="39">
        <f t="array" ref="BH50">INDEX(Hiring_Plan_Salaries_General_Worst_Case,MATCH(BH$1,Hiring_Plan_Months_Worst_Case,0))</f>
        <v>16875</v>
      </c>
      <c r="BI50" s="39">
        <f t="array" ref="BI50">INDEX(Hiring_Plan_Salaries_General_Worst_Case,MATCH(BI$1,Hiring_Plan_Months_Worst_Case,0))</f>
        <v>16875</v>
      </c>
      <c r="BJ50" s="39">
        <f t="array" ref="BJ50">INDEX(Hiring_Plan_Salaries_General_Worst_Case,MATCH(BJ$1,Hiring_Plan_Months_Worst_Case,0))</f>
        <v>16875</v>
      </c>
      <c r="BK50" s="39">
        <f t="array" ref="BK50">INDEX(Hiring_Plan_Salaries_General_Worst_Case,MATCH(BK$1,Hiring_Plan_Months_Worst_Case,0))</f>
        <v>16875</v>
      </c>
      <c r="BL50" s="39">
        <f t="array" ref="BL50">INDEX(Hiring_Plan_Salaries_General_Worst_Case,MATCH(BL$1,Hiring_Plan_Months_Worst_Case,0))</f>
        <v>16875</v>
      </c>
      <c r="BM50" s="39">
        <f t="array" ref="BM50">INDEX(Hiring_Plan_Salaries_General_Worst_Case,MATCH(BM$1,Hiring_Plan_Months_Worst_Case,0))</f>
        <v>16875</v>
      </c>
      <c r="BN50" s="39">
        <f t="array" ref="BN50">INDEX(Hiring_Plan_Salaries_General_Worst_Case,MATCH(BN$1,Hiring_Plan_Months_Worst_Case,0))</f>
        <v>16875</v>
      </c>
      <c r="BO50" s="39">
        <f t="array" ref="BO50">INDEX(Hiring_Plan_Salaries_General_Worst_Case,MATCH(BO$1,Hiring_Plan_Months_Worst_Case,0))</f>
        <v>16875</v>
      </c>
      <c r="BP50" s="39">
        <f t="array" ref="BP50">INDEX(Hiring_Plan_Salaries_General_Worst_Case,MATCH(BP$1,Hiring_Plan_Months_Worst_Case,0))</f>
        <v>16875</v>
      </c>
      <c r="BQ50" s="39">
        <f t="array" ref="BQ50">INDEX(Hiring_Plan_Salaries_General_Worst_Case,MATCH(BQ$1,Hiring_Plan_Months_Worst_Case,0))</f>
        <v>16875</v>
      </c>
      <c r="BR50" s="39">
        <f t="array" ref="BR50">INDEX(Hiring_Plan_Salaries_General_Worst_Case,MATCH(BR$1,Hiring_Plan_Months_Worst_Case,0))</f>
        <v>16875</v>
      </c>
      <c r="BS50" s="39">
        <f t="array" ref="BS50">INDEX(Hiring_Plan_Salaries_General_Worst_Case,MATCH(BS$1,Hiring_Plan_Months_Worst_Case,0))</f>
        <v>16875</v>
      </c>
      <c r="BT50" s="39">
        <f t="array" ref="BT50">INDEX(Hiring_Plan_Salaries_General_Worst_Case,MATCH(BT$1,Hiring_Plan_Months_Worst_Case,0))</f>
        <v>16875</v>
      </c>
      <c r="BU50" s="39">
        <f t="array" ref="BU50">INDEX(Hiring_Plan_Salaries_General_Worst_Case,MATCH(BU$1,Hiring_Plan_Months_Worst_Case,0))</f>
        <v>16875</v>
      </c>
      <c r="BV50" s="39">
        <f t="array" ref="BV50">INDEX(Hiring_Plan_Salaries_General_Worst_Case,MATCH(BV$1,Hiring_Plan_Months_Worst_Case,0))</f>
        <v>16875</v>
      </c>
      <c r="BW50" s="39">
        <f t="array" ref="BW50">INDEX(Hiring_Plan_Salaries_General_Worst_Case,MATCH(BW$1,Hiring_Plan_Months_Worst_Case,0))</f>
        <v>16875</v>
      </c>
    </row>
    <row r="51" ht="15.75" customHeight="1">
      <c r="A51" s="21" t="s">
        <v>284</v>
      </c>
      <c r="B51" s="163"/>
      <c r="C51" s="21"/>
      <c r="D51" s="157">
        <f t="shared" ref="D51:BW51" si="23">SUM(D47:D50)</f>
        <v>19066</v>
      </c>
      <c r="E51" s="157">
        <f t="shared" si="23"/>
        <v>19066</v>
      </c>
      <c r="F51" s="157">
        <f t="shared" si="23"/>
        <v>19066</v>
      </c>
      <c r="G51" s="157">
        <f t="shared" si="23"/>
        <v>19066</v>
      </c>
      <c r="H51" s="157">
        <f t="shared" si="23"/>
        <v>19066</v>
      </c>
      <c r="I51" s="157">
        <f t="shared" si="23"/>
        <v>19066</v>
      </c>
      <c r="J51" s="157">
        <f t="shared" si="23"/>
        <v>19066</v>
      </c>
      <c r="K51" s="157">
        <f t="shared" si="23"/>
        <v>19066</v>
      </c>
      <c r="L51" s="157">
        <f t="shared" si="23"/>
        <v>24205</v>
      </c>
      <c r="M51" s="157">
        <f t="shared" si="23"/>
        <v>24205</v>
      </c>
      <c r="N51" s="157">
        <f t="shared" si="23"/>
        <v>24205</v>
      </c>
      <c r="O51" s="157">
        <f t="shared" si="23"/>
        <v>24205</v>
      </c>
      <c r="P51" s="157">
        <f t="shared" si="23"/>
        <v>24205</v>
      </c>
      <c r="Q51" s="157">
        <f t="shared" si="23"/>
        <v>29307</v>
      </c>
      <c r="R51" s="157">
        <f t="shared" si="23"/>
        <v>29307</v>
      </c>
      <c r="S51" s="157">
        <f t="shared" si="23"/>
        <v>29307</v>
      </c>
      <c r="T51" s="157">
        <f t="shared" si="23"/>
        <v>32877</v>
      </c>
      <c r="U51" s="157">
        <f t="shared" si="23"/>
        <v>32877</v>
      </c>
      <c r="V51" s="157">
        <f t="shared" si="23"/>
        <v>32877</v>
      </c>
      <c r="W51" s="157">
        <f t="shared" si="23"/>
        <v>32877</v>
      </c>
      <c r="X51" s="157">
        <f t="shared" si="23"/>
        <v>32877</v>
      </c>
      <c r="Y51" s="157">
        <f t="shared" si="23"/>
        <v>32877</v>
      </c>
      <c r="Z51" s="157">
        <f t="shared" si="23"/>
        <v>33061</v>
      </c>
      <c r="AA51" s="157">
        <f t="shared" si="23"/>
        <v>33077</v>
      </c>
      <c r="AB51" s="157">
        <f t="shared" si="23"/>
        <v>33077</v>
      </c>
      <c r="AC51" s="157">
        <f t="shared" si="23"/>
        <v>33077</v>
      </c>
      <c r="AD51" s="157">
        <f t="shared" si="23"/>
        <v>33077</v>
      </c>
      <c r="AE51" s="157">
        <f t="shared" si="23"/>
        <v>33077</v>
      </c>
      <c r="AF51" s="157">
        <f t="shared" si="23"/>
        <v>20068.75</v>
      </c>
      <c r="AG51" s="157">
        <f t="shared" si="23"/>
        <v>20068.75</v>
      </c>
      <c r="AH51" s="157">
        <f t="shared" si="23"/>
        <v>20068.75</v>
      </c>
      <c r="AI51" s="157">
        <f t="shared" si="23"/>
        <v>20068.75</v>
      </c>
      <c r="AJ51" s="157">
        <f t="shared" si="23"/>
        <v>20068.75</v>
      </c>
      <c r="AK51" s="157">
        <f t="shared" si="23"/>
        <v>20068.75</v>
      </c>
      <c r="AL51" s="157">
        <f t="shared" si="23"/>
        <v>20068.75</v>
      </c>
      <c r="AM51" s="157">
        <f t="shared" si="23"/>
        <v>20068.75</v>
      </c>
      <c r="AN51" s="157">
        <f t="shared" si="23"/>
        <v>20068.75</v>
      </c>
      <c r="AO51" s="157">
        <f t="shared" si="23"/>
        <v>20068.75</v>
      </c>
      <c r="AP51" s="157">
        <f t="shared" si="23"/>
        <v>20068.75</v>
      </c>
      <c r="AQ51" s="157">
        <f t="shared" si="23"/>
        <v>20068.75</v>
      </c>
      <c r="AR51" s="157">
        <f t="shared" si="23"/>
        <v>20068.75</v>
      </c>
      <c r="AS51" s="157">
        <f t="shared" si="23"/>
        <v>20068.75</v>
      </c>
      <c r="AT51" s="157">
        <f t="shared" si="23"/>
        <v>20068.75</v>
      </c>
      <c r="AU51" s="157">
        <f t="shared" si="23"/>
        <v>20068.75</v>
      </c>
      <c r="AV51" s="157">
        <f t="shared" si="23"/>
        <v>20068.75</v>
      </c>
      <c r="AW51" s="157">
        <f t="shared" si="23"/>
        <v>20068.75</v>
      </c>
      <c r="AX51" s="157">
        <f t="shared" si="23"/>
        <v>20068.75</v>
      </c>
      <c r="AY51" s="157">
        <f t="shared" si="23"/>
        <v>20068.75</v>
      </c>
      <c r="AZ51" s="157">
        <f t="shared" si="23"/>
        <v>20068.75</v>
      </c>
      <c r="BA51" s="157">
        <f t="shared" si="23"/>
        <v>20068.75</v>
      </c>
      <c r="BB51" s="157">
        <f t="shared" si="23"/>
        <v>20068.75</v>
      </c>
      <c r="BC51" s="157">
        <f t="shared" si="23"/>
        <v>20068.75</v>
      </c>
      <c r="BD51" s="157">
        <f t="shared" si="23"/>
        <v>20068.75</v>
      </c>
      <c r="BE51" s="157">
        <f t="shared" si="23"/>
        <v>20068.75</v>
      </c>
      <c r="BF51" s="157">
        <f t="shared" si="23"/>
        <v>20068.75</v>
      </c>
      <c r="BG51" s="157">
        <f t="shared" si="23"/>
        <v>20068.75</v>
      </c>
      <c r="BH51" s="157">
        <f t="shared" si="23"/>
        <v>20068.75</v>
      </c>
      <c r="BI51" s="157">
        <f t="shared" si="23"/>
        <v>20068.75</v>
      </c>
      <c r="BJ51" s="157">
        <f t="shared" si="23"/>
        <v>20068.75</v>
      </c>
      <c r="BK51" s="157">
        <f t="shared" si="23"/>
        <v>20068.75</v>
      </c>
      <c r="BL51" s="157">
        <f t="shared" si="23"/>
        <v>20068.75</v>
      </c>
      <c r="BM51" s="157">
        <f t="shared" si="23"/>
        <v>20068.75</v>
      </c>
      <c r="BN51" s="157">
        <f t="shared" si="23"/>
        <v>20068.75</v>
      </c>
      <c r="BO51" s="157">
        <f t="shared" si="23"/>
        <v>20068.75</v>
      </c>
      <c r="BP51" s="157">
        <f t="shared" si="23"/>
        <v>20068.75</v>
      </c>
      <c r="BQ51" s="157">
        <f t="shared" si="23"/>
        <v>20068.75</v>
      </c>
      <c r="BR51" s="157">
        <f t="shared" si="23"/>
        <v>20068.75</v>
      </c>
      <c r="BS51" s="157">
        <f t="shared" si="23"/>
        <v>20068.75</v>
      </c>
      <c r="BT51" s="157">
        <f t="shared" si="23"/>
        <v>20068.75</v>
      </c>
      <c r="BU51" s="157">
        <f t="shared" si="23"/>
        <v>20068.75</v>
      </c>
      <c r="BV51" s="157">
        <f t="shared" si="23"/>
        <v>20068.75</v>
      </c>
      <c r="BW51" s="157">
        <f t="shared" si="23"/>
        <v>20068.75</v>
      </c>
    </row>
    <row r="52" ht="15.75" customHeight="1">
      <c r="A52" s="1" t="s">
        <v>285</v>
      </c>
      <c r="B52" s="160">
        <f>AVERAGEIFS(52:52,$1:$1,"&gt;="&amp;DATE(YEAR(Current_Month),MONTH(Current_Month)-2,DAY(Current_Month)),$1:$1,"&lt;="&amp;EOMONTH(Current_Month,0))</f>
        <v>7319</v>
      </c>
      <c r="D52" s="76">
        <f t="array" ref="D52">INDEX(INDIRECT("PnL_"&amp;TEXT(D$1,"mmm")&amp;"_"&amp;TEXT(D$1,"yyyy")),MATCH(TRIM($A52),PnL_Accounts,0))</f>
        <v>6790</v>
      </c>
      <c r="E52" s="76">
        <f t="array" ref="E52">INDEX(INDIRECT("PnL_"&amp;TEXT(E$1,"mmm")&amp;"_"&amp;TEXT(E$1,"yyyy")),MATCH(TRIM($A52),PnL_Accounts,0))</f>
        <v>6790</v>
      </c>
      <c r="F52" s="76">
        <f t="array" ref="F52">INDEX(INDIRECT("PnL_"&amp;TEXT(F$1,"mmm")&amp;"_"&amp;TEXT(F$1,"yyyy")),MATCH(TRIM($A52),PnL_Accounts,0))</f>
        <v>6790</v>
      </c>
      <c r="G52" s="76">
        <f t="array" ref="G52">INDEX(INDIRECT("PnL_"&amp;TEXT(G$1,"mmm")&amp;"_"&amp;TEXT(G$1,"yyyy")),MATCH(TRIM($A52),PnL_Accounts,0))</f>
        <v>6790</v>
      </c>
      <c r="H52" s="76">
        <f t="array" ref="H52">INDEX(INDIRECT("PnL_"&amp;TEXT(H$1,"mmm")&amp;"_"&amp;TEXT(H$1,"yyyy")),MATCH(TRIM($A52),PnL_Accounts,0))</f>
        <v>6790</v>
      </c>
      <c r="I52" s="76">
        <f t="array" ref="I52">INDEX(INDIRECT("PnL_"&amp;TEXT(I$1,"mmm")&amp;"_"&amp;TEXT(I$1,"yyyy")),MATCH(TRIM($A52),PnL_Accounts,0))</f>
        <v>6790</v>
      </c>
      <c r="J52" s="76">
        <f t="array" ref="J52">INDEX(INDIRECT("PnL_"&amp;TEXT(J$1,"mmm")&amp;"_"&amp;TEXT(J$1,"yyyy")),MATCH(TRIM($A52),PnL_Accounts,0))</f>
        <v>6790</v>
      </c>
      <c r="K52" s="76">
        <f t="array" ref="K52">INDEX(INDIRECT("PnL_"&amp;TEXT(K$1,"mmm")&amp;"_"&amp;TEXT(K$1,"yyyy")),MATCH(TRIM($A52),PnL_Accounts,0))</f>
        <v>6930</v>
      </c>
      <c r="L52" s="76">
        <f t="array" ref="L52">INDEX(INDIRECT("PnL_"&amp;TEXT(L$1,"mmm")&amp;"_"&amp;TEXT(L$1,"yyyy")),MATCH(TRIM($A52),PnL_Accounts,0))</f>
        <v>6930</v>
      </c>
      <c r="M52" s="76">
        <f t="array" ref="M52">INDEX(INDIRECT("PnL_"&amp;TEXT(M$1,"mmm")&amp;"_"&amp;TEXT(M$1,"yyyy")),MATCH(TRIM($A52),PnL_Accounts,0))</f>
        <v>7380</v>
      </c>
      <c r="N52" s="76">
        <f t="array" ref="N52">INDEX(INDIRECT("PnL_"&amp;TEXT(N$1,"mmm")&amp;"_"&amp;TEXT(N$1,"yyyy")),MATCH(TRIM($A52),PnL_Accounts,0))</f>
        <v>7236</v>
      </c>
      <c r="O52" s="76">
        <f t="array" ref="O52">INDEX(INDIRECT("PnL_"&amp;TEXT(O$1,"mmm")&amp;"_"&amp;TEXT(O$1,"yyyy")),MATCH(TRIM($A52),PnL_Accounts,0))</f>
        <v>7563</v>
      </c>
      <c r="P52" s="76">
        <f t="array" ref="P52">INDEX(INDIRECT("PnL_"&amp;TEXT(P$1,"mmm")&amp;"_"&amp;TEXT(P$1,"yyyy")),MATCH(TRIM($A52),PnL_Accounts,0))</f>
        <v>7255</v>
      </c>
      <c r="Q52" s="76">
        <f t="array" ref="Q52">INDEX(INDIRECT("PnL_"&amp;TEXT(Q$1,"mmm")&amp;"_"&amp;TEXT(Q$1,"yyyy")),MATCH(TRIM($A52),PnL_Accounts,0))</f>
        <v>7188</v>
      </c>
      <c r="R52" s="76">
        <f t="array" ref="R52">INDEX(INDIRECT("PnL_"&amp;TEXT(R$1,"mmm")&amp;"_"&amp;TEXT(R$1,"yyyy")),MATCH(TRIM($A52),PnL_Accounts,0))</f>
        <v>7188</v>
      </c>
      <c r="S52" s="76">
        <f t="array" ref="S52">INDEX(INDIRECT("PnL_"&amp;TEXT(S$1,"mmm")&amp;"_"&amp;TEXT(S$1,"yyyy")),MATCH(TRIM($A52),PnL_Accounts,0))</f>
        <v>7188</v>
      </c>
      <c r="T52" s="76">
        <f t="array" ref="T52">INDEX(INDIRECT("PnL_"&amp;TEXT(T$1,"mmm")&amp;"_"&amp;TEXT(T$1,"yyyy")),MATCH(TRIM($A52),PnL_Accounts,0))</f>
        <v>6919</v>
      </c>
      <c r="U52" s="76">
        <f t="array" ref="U52">INDEX(INDIRECT("PnL_"&amp;TEXT(U$1,"mmm")&amp;"_"&amp;TEXT(U$1,"yyyy")),MATCH(TRIM($A52),PnL_Accounts,0))</f>
        <v>7340</v>
      </c>
      <c r="V52" s="76">
        <f t="array" ref="V52">INDEX(INDIRECT("PnL_"&amp;TEXT(V$1,"mmm")&amp;"_"&amp;TEXT(V$1,"yyyy")),MATCH(TRIM($A52),PnL_Accounts,0))</f>
        <v>7282</v>
      </c>
      <c r="W52" s="76">
        <f t="array" ref="W52">INDEX(INDIRECT("PnL_"&amp;TEXT(W$1,"mmm")&amp;"_"&amp;TEXT(W$1,"yyyy")),MATCH(TRIM($A52),PnL_Accounts,0))</f>
        <v>7319</v>
      </c>
      <c r="X52" s="76">
        <f t="array" ref="X52">INDEX(INDIRECT("PnL_"&amp;TEXT(X$1,"mmm")&amp;"_"&amp;TEXT(X$1,"yyyy")),MATCH(TRIM($A52),PnL_Accounts,0))</f>
        <v>7319</v>
      </c>
      <c r="Y52" s="76">
        <f t="array" ref="Y52">INDEX(INDIRECT("PnL_"&amp;TEXT(Y$1,"mmm")&amp;"_"&amp;TEXT(Y$1,"yyyy")),MATCH(TRIM($A52),PnL_Accounts,0))</f>
        <v>7319</v>
      </c>
      <c r="Z52" s="76">
        <f t="array" ref="Z52">INDEX(INDIRECT("PnL_"&amp;TEXT(Z$1,"mmm")&amp;"_"&amp;TEXT(Z$1,"yyyy")),MATCH(TRIM($A52),PnL_Accounts,0))</f>
        <v>7319</v>
      </c>
      <c r="AA52" s="76">
        <f t="array" ref="AA52">INDEX(INDIRECT("PnL_"&amp;TEXT(AA$1,"mmm")&amp;"_"&amp;TEXT(AA$1,"yyyy")),MATCH(TRIM($A52),PnL_Accounts,0))</f>
        <v>7319</v>
      </c>
      <c r="AB52" s="76">
        <f t="array" ref="AB52">INDEX(INDIRECT("PnL_"&amp;TEXT(AB$1,"mmm")&amp;"_"&amp;TEXT(AB$1,"yyyy")),MATCH(TRIM($A52),PnL_Accounts,0))</f>
        <v>7319</v>
      </c>
      <c r="AC52" s="76">
        <f t="array" ref="AC52">INDEX(INDIRECT("PnL_"&amp;TEXT(AC$1,"mmm")&amp;"_"&amp;TEXT(AC$1,"yyyy")),MATCH(TRIM($A52),PnL_Accounts,0))</f>
        <v>7319</v>
      </c>
      <c r="AD52" s="76">
        <f t="array" ref="AD52">INDEX(INDIRECT("PnL_"&amp;TEXT(AD$1,"mmm")&amp;"_"&amp;TEXT(AD$1,"yyyy")),MATCH(TRIM($A52),PnL_Accounts,0))</f>
        <v>7319</v>
      </c>
      <c r="AE52" s="76">
        <f t="array" ref="AE52">INDEX(INDIRECT("PnL_"&amp;TEXT(AE$1,"mmm")&amp;"_"&amp;TEXT(AE$1,"yyyy")),MATCH(TRIM($A52),PnL_Accounts,0))</f>
        <v>7319</v>
      </c>
      <c r="AF52" s="96">
        <f t="shared" ref="AF52:BW52" si="24">$B52</f>
        <v>7319</v>
      </c>
      <c r="AG52" s="96">
        <f t="shared" si="24"/>
        <v>7319</v>
      </c>
      <c r="AH52" s="96">
        <f t="shared" si="24"/>
        <v>7319</v>
      </c>
      <c r="AI52" s="96">
        <f t="shared" si="24"/>
        <v>7319</v>
      </c>
      <c r="AJ52" s="96">
        <f t="shared" si="24"/>
        <v>7319</v>
      </c>
      <c r="AK52" s="96">
        <f t="shared" si="24"/>
        <v>7319</v>
      </c>
      <c r="AL52" s="96">
        <f t="shared" si="24"/>
        <v>7319</v>
      </c>
      <c r="AM52" s="96">
        <f t="shared" si="24"/>
        <v>7319</v>
      </c>
      <c r="AN52" s="96">
        <f t="shared" si="24"/>
        <v>7319</v>
      </c>
      <c r="AO52" s="96">
        <f t="shared" si="24"/>
        <v>7319</v>
      </c>
      <c r="AP52" s="96">
        <f t="shared" si="24"/>
        <v>7319</v>
      </c>
      <c r="AQ52" s="96">
        <f t="shared" si="24"/>
        <v>7319</v>
      </c>
      <c r="AR52" s="96">
        <f t="shared" si="24"/>
        <v>7319</v>
      </c>
      <c r="AS52" s="96">
        <f t="shared" si="24"/>
        <v>7319</v>
      </c>
      <c r="AT52" s="96">
        <f t="shared" si="24"/>
        <v>7319</v>
      </c>
      <c r="AU52" s="96">
        <f t="shared" si="24"/>
        <v>7319</v>
      </c>
      <c r="AV52" s="96">
        <f t="shared" si="24"/>
        <v>7319</v>
      </c>
      <c r="AW52" s="96">
        <f t="shared" si="24"/>
        <v>7319</v>
      </c>
      <c r="AX52" s="96">
        <f t="shared" si="24"/>
        <v>7319</v>
      </c>
      <c r="AY52" s="96">
        <f t="shared" si="24"/>
        <v>7319</v>
      </c>
      <c r="AZ52" s="96">
        <f t="shared" si="24"/>
        <v>7319</v>
      </c>
      <c r="BA52" s="96">
        <f t="shared" si="24"/>
        <v>7319</v>
      </c>
      <c r="BB52" s="96">
        <f t="shared" si="24"/>
        <v>7319</v>
      </c>
      <c r="BC52" s="96">
        <f t="shared" si="24"/>
        <v>7319</v>
      </c>
      <c r="BD52" s="96">
        <f t="shared" si="24"/>
        <v>7319</v>
      </c>
      <c r="BE52" s="96">
        <f t="shared" si="24"/>
        <v>7319</v>
      </c>
      <c r="BF52" s="96">
        <f t="shared" si="24"/>
        <v>7319</v>
      </c>
      <c r="BG52" s="96">
        <f t="shared" si="24"/>
        <v>7319</v>
      </c>
      <c r="BH52" s="96">
        <f t="shared" si="24"/>
        <v>7319</v>
      </c>
      <c r="BI52" s="96">
        <f t="shared" si="24"/>
        <v>7319</v>
      </c>
      <c r="BJ52" s="96">
        <f t="shared" si="24"/>
        <v>7319</v>
      </c>
      <c r="BK52" s="96">
        <f t="shared" si="24"/>
        <v>7319</v>
      </c>
      <c r="BL52" s="96">
        <f t="shared" si="24"/>
        <v>7319</v>
      </c>
      <c r="BM52" s="96">
        <f t="shared" si="24"/>
        <v>7319</v>
      </c>
      <c r="BN52" s="96">
        <f t="shared" si="24"/>
        <v>7319</v>
      </c>
      <c r="BO52" s="96">
        <f t="shared" si="24"/>
        <v>7319</v>
      </c>
      <c r="BP52" s="96">
        <f t="shared" si="24"/>
        <v>7319</v>
      </c>
      <c r="BQ52" s="96">
        <f t="shared" si="24"/>
        <v>7319</v>
      </c>
      <c r="BR52" s="96">
        <f t="shared" si="24"/>
        <v>7319</v>
      </c>
      <c r="BS52" s="96">
        <f t="shared" si="24"/>
        <v>7319</v>
      </c>
      <c r="BT52" s="96">
        <f t="shared" si="24"/>
        <v>7319</v>
      </c>
      <c r="BU52" s="96">
        <f t="shared" si="24"/>
        <v>7319</v>
      </c>
      <c r="BV52" s="96">
        <f t="shared" si="24"/>
        <v>7319</v>
      </c>
      <c r="BW52" s="96">
        <f t="shared" si="24"/>
        <v>7319</v>
      </c>
    </row>
    <row r="53" ht="15.75" customHeight="1">
      <c r="A53" s="1" t="s">
        <v>286</v>
      </c>
      <c r="B53" s="160">
        <f>AVERAGEIFS(53:53,$1:$1,"&gt;="&amp;DATE(YEAR(Current_Month),MONTH(Current_Month)-2,DAY(Current_Month)),$1:$1,"&lt;="&amp;EOMONTH(Current_Month,0))</f>
        <v>7941</v>
      </c>
      <c r="D53" s="76">
        <f t="array" ref="D53">INDEX(INDIRECT("PnL_"&amp;TEXT(D$1,"mmm")&amp;"_"&amp;TEXT(D$1,"yyyy")),MATCH(TRIM($A53),PnL_Accounts,0))</f>
        <v>1158</v>
      </c>
      <c r="E53" s="76" t="str">
        <f t="array" ref="E53">INDEX(INDIRECT("PnL_"&amp;TEXT(E$1,"mmm")&amp;"_"&amp;TEXT(E$1,"yyyy")),MATCH(TRIM($A53),PnL_Accounts,0))</f>
        <v/>
      </c>
      <c r="F53" s="76" t="str">
        <f t="array" ref="F53">INDEX(INDIRECT("PnL_"&amp;TEXT(F$1,"mmm")&amp;"_"&amp;TEXT(F$1,"yyyy")),MATCH(TRIM($A53),PnL_Accounts,0))</f>
        <v/>
      </c>
      <c r="G53" s="76" t="str">
        <f t="array" ref="G53">INDEX(INDIRECT("PnL_"&amp;TEXT(G$1,"mmm")&amp;"_"&amp;TEXT(G$1,"yyyy")),MATCH(TRIM($A53),PnL_Accounts,0))</f>
        <v/>
      </c>
      <c r="H53" s="76" t="str">
        <f t="array" ref="H53">INDEX(INDIRECT("PnL_"&amp;TEXT(H$1,"mmm")&amp;"_"&amp;TEXT(H$1,"yyyy")),MATCH(TRIM($A53),PnL_Accounts,0))</f>
        <v/>
      </c>
      <c r="I53" s="76" t="str">
        <f t="array" ref="I53">INDEX(INDIRECT("PnL_"&amp;TEXT(I$1,"mmm")&amp;"_"&amp;TEXT(I$1,"yyyy")),MATCH(TRIM($A53),PnL_Accounts,0))</f>
        <v/>
      </c>
      <c r="J53" s="76" t="str">
        <f t="array" ref="J53">INDEX(INDIRECT("PnL_"&amp;TEXT(J$1,"mmm")&amp;"_"&amp;TEXT(J$1,"yyyy")),MATCH(TRIM($A53),PnL_Accounts,0))</f>
        <v/>
      </c>
      <c r="K53" s="76" t="str">
        <f t="array" ref="K53">INDEX(INDIRECT("PnL_"&amp;TEXT(K$1,"mmm")&amp;"_"&amp;TEXT(K$1,"yyyy")),MATCH(TRIM($A53),PnL_Accounts,0))</f>
        <v/>
      </c>
      <c r="L53" s="76" t="str">
        <f t="array" ref="L53">INDEX(INDIRECT("PnL_"&amp;TEXT(L$1,"mmm")&amp;"_"&amp;TEXT(L$1,"yyyy")),MATCH(TRIM($A53),PnL_Accounts,0))</f>
        <v/>
      </c>
      <c r="M53" s="76" t="str">
        <f t="array" ref="M53">INDEX(INDIRECT("PnL_"&amp;TEXT(M$1,"mmm")&amp;"_"&amp;TEXT(M$1,"yyyy")),MATCH(TRIM($A53),PnL_Accounts,0))</f>
        <v/>
      </c>
      <c r="N53" s="76" t="str">
        <f t="array" ref="N53">INDEX(INDIRECT("PnL_"&amp;TEXT(N$1,"mmm")&amp;"_"&amp;TEXT(N$1,"yyyy")),MATCH(TRIM($A53),PnL_Accounts,0))</f>
        <v/>
      </c>
      <c r="O53" s="76" t="str">
        <f t="array" ref="O53">INDEX(INDIRECT("PnL_"&amp;TEXT(O$1,"mmm")&amp;"_"&amp;TEXT(O$1,"yyyy")),MATCH(TRIM($A53),PnL_Accounts,0))</f>
        <v/>
      </c>
      <c r="P53" s="76">
        <f t="array" ref="P53">INDEX(INDIRECT("PnL_"&amp;TEXT(P$1,"mmm")&amp;"_"&amp;TEXT(P$1,"yyyy")),MATCH(TRIM($A53),PnL_Accounts,0))</f>
        <v>3476</v>
      </c>
      <c r="Q53" s="76">
        <f t="array" ref="Q53">INDEX(INDIRECT("PnL_"&amp;TEXT(Q$1,"mmm")&amp;"_"&amp;TEXT(Q$1,"yyyy")),MATCH(TRIM($A53),PnL_Accounts,0))</f>
        <v>3750</v>
      </c>
      <c r="R53" s="76">
        <f t="array" ref="R53">INDEX(INDIRECT("PnL_"&amp;TEXT(R$1,"mmm")&amp;"_"&amp;TEXT(R$1,"yyyy")),MATCH(TRIM($A53),PnL_Accounts,0))</f>
        <v>3861</v>
      </c>
      <c r="S53" s="76">
        <f t="array" ref="S53">INDEX(INDIRECT("PnL_"&amp;TEXT(S$1,"mmm")&amp;"_"&amp;TEXT(S$1,"yyyy")),MATCH(TRIM($A53),PnL_Accounts,0))</f>
        <v>3996</v>
      </c>
      <c r="T53" s="76">
        <f t="array" ref="T53">INDEX(INDIRECT("PnL_"&amp;TEXT(T$1,"mmm")&amp;"_"&amp;TEXT(T$1,"yyyy")),MATCH(TRIM($A53),PnL_Accounts,0))</f>
        <v>4147</v>
      </c>
      <c r="U53" s="76">
        <f t="array" ref="U53">INDEX(INDIRECT("PnL_"&amp;TEXT(U$1,"mmm")&amp;"_"&amp;TEXT(U$1,"yyyy")),MATCH(TRIM($A53),PnL_Accounts,0))</f>
        <v>4334</v>
      </c>
      <c r="V53" s="76">
        <f t="array" ref="V53">INDEX(INDIRECT("PnL_"&amp;TEXT(V$1,"mmm")&amp;"_"&amp;TEXT(V$1,"yyyy")),MATCH(TRIM($A53),PnL_Accounts,0))</f>
        <v>4567</v>
      </c>
      <c r="W53" s="76">
        <f t="array" ref="W53">INDEX(INDIRECT("PnL_"&amp;TEXT(W$1,"mmm")&amp;"_"&amp;TEXT(W$1,"yyyy")),MATCH(TRIM($A53),PnL_Accounts,0))</f>
        <v>4720</v>
      </c>
      <c r="X53" s="76">
        <f t="array" ref="X53">INDEX(INDIRECT("PnL_"&amp;TEXT(X$1,"mmm")&amp;"_"&amp;TEXT(X$1,"yyyy")),MATCH(TRIM($A53),PnL_Accounts,0))</f>
        <v>5007</v>
      </c>
      <c r="Y53" s="76">
        <f t="array" ref="Y53">INDEX(INDIRECT("PnL_"&amp;TEXT(Y$1,"mmm")&amp;"_"&amp;TEXT(Y$1,"yyyy")),MATCH(TRIM($A53),PnL_Accounts,0))</f>
        <v>5118</v>
      </c>
      <c r="Z53" s="76">
        <f t="array" ref="Z53">INDEX(INDIRECT("PnL_"&amp;TEXT(Z$1,"mmm")&amp;"_"&amp;TEXT(Z$1,"yyyy")),MATCH(TRIM($A53),PnL_Accounts,0))</f>
        <v>5666</v>
      </c>
      <c r="AA53" s="76">
        <f t="array" ref="AA53">INDEX(INDIRECT("PnL_"&amp;TEXT(AA$1,"mmm")&amp;"_"&amp;TEXT(AA$1,"yyyy")),MATCH(TRIM($A53),PnL_Accounts,0))</f>
        <v>5976</v>
      </c>
      <c r="AB53" s="76">
        <f t="array" ref="AB53">INDEX(INDIRECT("PnL_"&amp;TEXT(AB$1,"mmm")&amp;"_"&amp;TEXT(AB$1,"yyyy")),MATCH(TRIM($A53),PnL_Accounts,0))</f>
        <v>6225</v>
      </c>
      <c r="AC53" s="76">
        <f t="array" ref="AC53">INDEX(INDIRECT("PnL_"&amp;TEXT(AC$1,"mmm")&amp;"_"&amp;TEXT(AC$1,"yyyy")),MATCH(TRIM($A53),PnL_Accounts,0))</f>
        <v>7523</v>
      </c>
      <c r="AD53" s="76">
        <f t="array" ref="AD53">INDEX(INDIRECT("PnL_"&amp;TEXT(AD$1,"mmm")&amp;"_"&amp;TEXT(AD$1,"yyyy")),MATCH(TRIM($A53),PnL_Accounts,0))</f>
        <v>7536</v>
      </c>
      <c r="AE53" s="76">
        <f t="array" ref="AE53">INDEX(INDIRECT("PnL_"&amp;TEXT(AE$1,"mmm")&amp;"_"&amp;TEXT(AE$1,"yyyy")),MATCH(TRIM($A53),PnL_Accounts,0))</f>
        <v>8764</v>
      </c>
      <c r="AF53" s="96">
        <f t="shared" ref="AF53:BW53" si="25">$B53</f>
        <v>7941</v>
      </c>
      <c r="AG53" s="96">
        <f t="shared" si="25"/>
        <v>7941</v>
      </c>
      <c r="AH53" s="96">
        <f t="shared" si="25"/>
        <v>7941</v>
      </c>
      <c r="AI53" s="96">
        <f t="shared" si="25"/>
        <v>7941</v>
      </c>
      <c r="AJ53" s="96">
        <f t="shared" si="25"/>
        <v>7941</v>
      </c>
      <c r="AK53" s="96">
        <f t="shared" si="25"/>
        <v>7941</v>
      </c>
      <c r="AL53" s="96">
        <f t="shared" si="25"/>
        <v>7941</v>
      </c>
      <c r="AM53" s="96">
        <f t="shared" si="25"/>
        <v>7941</v>
      </c>
      <c r="AN53" s="96">
        <f t="shared" si="25"/>
        <v>7941</v>
      </c>
      <c r="AO53" s="96">
        <f t="shared" si="25"/>
        <v>7941</v>
      </c>
      <c r="AP53" s="96">
        <f t="shared" si="25"/>
        <v>7941</v>
      </c>
      <c r="AQ53" s="96">
        <f t="shared" si="25"/>
        <v>7941</v>
      </c>
      <c r="AR53" s="96">
        <f t="shared" si="25"/>
        <v>7941</v>
      </c>
      <c r="AS53" s="96">
        <f t="shared" si="25"/>
        <v>7941</v>
      </c>
      <c r="AT53" s="96">
        <f t="shared" si="25"/>
        <v>7941</v>
      </c>
      <c r="AU53" s="96">
        <f t="shared" si="25"/>
        <v>7941</v>
      </c>
      <c r="AV53" s="96">
        <f t="shared" si="25"/>
        <v>7941</v>
      </c>
      <c r="AW53" s="96">
        <f t="shared" si="25"/>
        <v>7941</v>
      </c>
      <c r="AX53" s="96">
        <f t="shared" si="25"/>
        <v>7941</v>
      </c>
      <c r="AY53" s="96">
        <f t="shared" si="25"/>
        <v>7941</v>
      </c>
      <c r="AZ53" s="96">
        <f t="shared" si="25"/>
        <v>7941</v>
      </c>
      <c r="BA53" s="96">
        <f t="shared" si="25"/>
        <v>7941</v>
      </c>
      <c r="BB53" s="96">
        <f t="shared" si="25"/>
        <v>7941</v>
      </c>
      <c r="BC53" s="96">
        <f t="shared" si="25"/>
        <v>7941</v>
      </c>
      <c r="BD53" s="96">
        <f t="shared" si="25"/>
        <v>7941</v>
      </c>
      <c r="BE53" s="96">
        <f t="shared" si="25"/>
        <v>7941</v>
      </c>
      <c r="BF53" s="96">
        <f t="shared" si="25"/>
        <v>7941</v>
      </c>
      <c r="BG53" s="96">
        <f t="shared" si="25"/>
        <v>7941</v>
      </c>
      <c r="BH53" s="96">
        <f t="shared" si="25"/>
        <v>7941</v>
      </c>
      <c r="BI53" s="96">
        <f t="shared" si="25"/>
        <v>7941</v>
      </c>
      <c r="BJ53" s="96">
        <f t="shared" si="25"/>
        <v>7941</v>
      </c>
      <c r="BK53" s="96">
        <f t="shared" si="25"/>
        <v>7941</v>
      </c>
      <c r="BL53" s="96">
        <f t="shared" si="25"/>
        <v>7941</v>
      </c>
      <c r="BM53" s="96">
        <f t="shared" si="25"/>
        <v>7941</v>
      </c>
      <c r="BN53" s="96">
        <f t="shared" si="25"/>
        <v>7941</v>
      </c>
      <c r="BO53" s="96">
        <f t="shared" si="25"/>
        <v>7941</v>
      </c>
      <c r="BP53" s="96">
        <f t="shared" si="25"/>
        <v>7941</v>
      </c>
      <c r="BQ53" s="96">
        <f t="shared" si="25"/>
        <v>7941</v>
      </c>
      <c r="BR53" s="96">
        <f t="shared" si="25"/>
        <v>7941</v>
      </c>
      <c r="BS53" s="96">
        <f t="shared" si="25"/>
        <v>7941</v>
      </c>
      <c r="BT53" s="96">
        <f t="shared" si="25"/>
        <v>7941</v>
      </c>
      <c r="BU53" s="96">
        <f t="shared" si="25"/>
        <v>7941</v>
      </c>
      <c r="BV53" s="96">
        <f t="shared" si="25"/>
        <v>7941</v>
      </c>
      <c r="BW53" s="96">
        <f t="shared" si="25"/>
        <v>7941</v>
      </c>
    </row>
    <row r="54" ht="15.75" customHeight="1">
      <c r="A54" s="1" t="s">
        <v>287</v>
      </c>
      <c r="B54" s="160">
        <f>AVERAGEIFS(54:54,$1:$1,"&gt;="&amp;DATE(YEAR(Current_Month),MONTH(Current_Month)-2,DAY(Current_Month)),$1:$1,"&lt;="&amp;EOMONTH(Current_Month,0))</f>
        <v>800</v>
      </c>
      <c r="D54" s="76">
        <f t="array" ref="D54">INDEX(INDIRECT("PnL_"&amp;TEXT(D$1,"mmm")&amp;"_"&amp;TEXT(D$1,"yyyy")),MATCH(TRIM($A54),PnL_Accounts,0))</f>
        <v>0</v>
      </c>
      <c r="E54" s="76">
        <f t="array" ref="E54">INDEX(INDIRECT("PnL_"&amp;TEXT(E$1,"mmm")&amp;"_"&amp;TEXT(E$1,"yyyy")),MATCH(TRIM($A54),PnL_Accounts,0))</f>
        <v>0</v>
      </c>
      <c r="F54" s="76">
        <f t="array" ref="F54">INDEX(INDIRECT("PnL_"&amp;TEXT(F$1,"mmm")&amp;"_"&amp;TEXT(F$1,"yyyy")),MATCH(TRIM($A54),PnL_Accounts,0))</f>
        <v>0</v>
      </c>
      <c r="G54" s="76">
        <f t="array" ref="G54">INDEX(INDIRECT("PnL_"&amp;TEXT(G$1,"mmm")&amp;"_"&amp;TEXT(G$1,"yyyy")),MATCH(TRIM($A54),PnL_Accounts,0))</f>
        <v>0</v>
      </c>
      <c r="H54" s="76">
        <f t="array" ref="H54">INDEX(INDIRECT("PnL_"&amp;TEXT(H$1,"mmm")&amp;"_"&amp;TEXT(H$1,"yyyy")),MATCH(TRIM($A54),PnL_Accounts,0))</f>
        <v>0</v>
      </c>
      <c r="I54" s="76">
        <f t="array" ref="I54">INDEX(INDIRECT("PnL_"&amp;TEXT(I$1,"mmm")&amp;"_"&amp;TEXT(I$1,"yyyy")),MATCH(TRIM($A54),PnL_Accounts,0))</f>
        <v>0</v>
      </c>
      <c r="J54" s="76">
        <f t="array" ref="J54">INDEX(INDIRECT("PnL_"&amp;TEXT(J$1,"mmm")&amp;"_"&amp;TEXT(J$1,"yyyy")),MATCH(TRIM($A54),PnL_Accounts,0))</f>
        <v>0</v>
      </c>
      <c r="K54" s="76">
        <f t="array" ref="K54">INDEX(INDIRECT("PnL_"&amp;TEXT(K$1,"mmm")&amp;"_"&amp;TEXT(K$1,"yyyy")),MATCH(TRIM($A54),PnL_Accounts,0))</f>
        <v>0</v>
      </c>
      <c r="L54" s="76">
        <f t="array" ref="L54">INDEX(INDIRECT("PnL_"&amp;TEXT(L$1,"mmm")&amp;"_"&amp;TEXT(L$1,"yyyy")),MATCH(TRIM($A54),PnL_Accounts,0))</f>
        <v>0</v>
      </c>
      <c r="M54" s="76">
        <f t="array" ref="M54">INDEX(INDIRECT("PnL_"&amp;TEXT(M$1,"mmm")&amp;"_"&amp;TEXT(M$1,"yyyy")),MATCH(TRIM($A54),PnL_Accounts,0))</f>
        <v>0</v>
      </c>
      <c r="N54" s="76">
        <f t="array" ref="N54">INDEX(INDIRECT("PnL_"&amp;TEXT(N$1,"mmm")&amp;"_"&amp;TEXT(N$1,"yyyy")),MATCH(TRIM($A54),PnL_Accounts,0))</f>
        <v>0</v>
      </c>
      <c r="O54" s="76">
        <f t="array" ref="O54">INDEX(INDIRECT("PnL_"&amp;TEXT(O$1,"mmm")&amp;"_"&amp;TEXT(O$1,"yyyy")),MATCH(TRIM($A54),PnL_Accounts,0))</f>
        <v>0</v>
      </c>
      <c r="P54" s="76">
        <f t="array" ref="P54">INDEX(INDIRECT("PnL_"&amp;TEXT(P$1,"mmm")&amp;"_"&amp;TEXT(P$1,"yyyy")),MATCH(TRIM($A54),PnL_Accounts,0))</f>
        <v>0</v>
      </c>
      <c r="Q54" s="76">
        <f t="array" ref="Q54">INDEX(INDIRECT("PnL_"&amp;TEXT(Q$1,"mmm")&amp;"_"&amp;TEXT(Q$1,"yyyy")),MATCH(TRIM($A54),PnL_Accounts,0))</f>
        <v>0</v>
      </c>
      <c r="R54" s="76">
        <f t="array" ref="R54">INDEX(INDIRECT("PnL_"&amp;TEXT(R$1,"mmm")&amp;"_"&amp;TEXT(R$1,"yyyy")),MATCH(TRIM($A54),PnL_Accounts,0))</f>
        <v>0</v>
      </c>
      <c r="S54" s="76">
        <f t="array" ref="S54">INDEX(INDIRECT("PnL_"&amp;TEXT(S$1,"mmm")&amp;"_"&amp;TEXT(S$1,"yyyy")),MATCH(TRIM($A54),PnL_Accounts,0))</f>
        <v>0</v>
      </c>
      <c r="T54" s="76">
        <f t="array" ref="T54">INDEX(INDIRECT("PnL_"&amp;TEXT(T$1,"mmm")&amp;"_"&amp;TEXT(T$1,"yyyy")),MATCH(TRIM($A54),PnL_Accounts,0))</f>
        <v>0</v>
      </c>
      <c r="U54" s="76">
        <f t="array" ref="U54">INDEX(INDIRECT("PnL_"&amp;TEXT(U$1,"mmm")&amp;"_"&amp;TEXT(U$1,"yyyy")),MATCH(TRIM($A54),PnL_Accounts,0))</f>
        <v>0</v>
      </c>
      <c r="V54" s="76">
        <f t="array" ref="V54">INDEX(INDIRECT("PnL_"&amp;TEXT(V$1,"mmm")&amp;"_"&amp;TEXT(V$1,"yyyy")),MATCH(TRIM($A54),PnL_Accounts,0))</f>
        <v>0</v>
      </c>
      <c r="W54" s="76">
        <f t="array" ref="W54">INDEX(INDIRECT("PnL_"&amp;TEXT(W$1,"mmm")&amp;"_"&amp;TEXT(W$1,"yyyy")),MATCH(TRIM($A54),PnL_Accounts,0))</f>
        <v>0</v>
      </c>
      <c r="X54" s="76">
        <f t="array" ref="X54">INDEX(INDIRECT("PnL_"&amp;TEXT(X$1,"mmm")&amp;"_"&amp;TEXT(X$1,"yyyy")),MATCH(TRIM($A54),PnL_Accounts,0))</f>
        <v>800</v>
      </c>
      <c r="Y54" s="76">
        <f t="array" ref="Y54">INDEX(INDIRECT("PnL_"&amp;TEXT(Y$1,"mmm")&amp;"_"&amp;TEXT(Y$1,"yyyy")),MATCH(TRIM($A54),PnL_Accounts,0))</f>
        <v>800</v>
      </c>
      <c r="Z54" s="76">
        <f t="array" ref="Z54">INDEX(INDIRECT("PnL_"&amp;TEXT(Z$1,"mmm")&amp;"_"&amp;TEXT(Z$1,"yyyy")),MATCH(TRIM($A54),PnL_Accounts,0))</f>
        <v>800</v>
      </c>
      <c r="AA54" s="76">
        <f t="array" ref="AA54">INDEX(INDIRECT("PnL_"&amp;TEXT(AA$1,"mmm")&amp;"_"&amp;TEXT(AA$1,"yyyy")),MATCH(TRIM($A54),PnL_Accounts,0))</f>
        <v>800</v>
      </c>
      <c r="AB54" s="76">
        <f t="array" ref="AB54">INDEX(INDIRECT("PnL_"&amp;TEXT(AB$1,"mmm")&amp;"_"&amp;TEXT(AB$1,"yyyy")),MATCH(TRIM($A54),PnL_Accounts,0))</f>
        <v>800</v>
      </c>
      <c r="AC54" s="76">
        <f t="array" ref="AC54">INDEX(INDIRECT("PnL_"&amp;TEXT(AC$1,"mmm")&amp;"_"&amp;TEXT(AC$1,"yyyy")),MATCH(TRIM($A54),PnL_Accounts,0))</f>
        <v>800</v>
      </c>
      <c r="AD54" s="76">
        <f t="array" ref="AD54">INDEX(INDIRECT("PnL_"&amp;TEXT(AD$1,"mmm")&amp;"_"&amp;TEXT(AD$1,"yyyy")),MATCH(TRIM($A54),PnL_Accounts,0))</f>
        <v>800</v>
      </c>
      <c r="AE54" s="76">
        <f t="array" ref="AE54">INDEX(INDIRECT("PnL_"&amp;TEXT(AE$1,"mmm")&amp;"_"&amp;TEXT(AE$1,"yyyy")),MATCH(TRIM($A54),PnL_Accounts,0))</f>
        <v>800</v>
      </c>
      <c r="AF54" s="96">
        <f t="shared" ref="AF54:BW54" si="26">$B54</f>
        <v>800</v>
      </c>
      <c r="AG54" s="96">
        <f t="shared" si="26"/>
        <v>800</v>
      </c>
      <c r="AH54" s="96">
        <f t="shared" si="26"/>
        <v>800</v>
      </c>
      <c r="AI54" s="96">
        <f t="shared" si="26"/>
        <v>800</v>
      </c>
      <c r="AJ54" s="96">
        <f t="shared" si="26"/>
        <v>800</v>
      </c>
      <c r="AK54" s="96">
        <f t="shared" si="26"/>
        <v>800</v>
      </c>
      <c r="AL54" s="96">
        <f t="shared" si="26"/>
        <v>800</v>
      </c>
      <c r="AM54" s="96">
        <f t="shared" si="26"/>
        <v>800</v>
      </c>
      <c r="AN54" s="96">
        <f t="shared" si="26"/>
        <v>800</v>
      </c>
      <c r="AO54" s="96">
        <f t="shared" si="26"/>
        <v>800</v>
      </c>
      <c r="AP54" s="96">
        <f t="shared" si="26"/>
        <v>800</v>
      </c>
      <c r="AQ54" s="96">
        <f t="shared" si="26"/>
        <v>800</v>
      </c>
      <c r="AR54" s="96">
        <f t="shared" si="26"/>
        <v>800</v>
      </c>
      <c r="AS54" s="96">
        <f t="shared" si="26"/>
        <v>800</v>
      </c>
      <c r="AT54" s="96">
        <f t="shared" si="26"/>
        <v>800</v>
      </c>
      <c r="AU54" s="96">
        <f t="shared" si="26"/>
        <v>800</v>
      </c>
      <c r="AV54" s="96">
        <f t="shared" si="26"/>
        <v>800</v>
      </c>
      <c r="AW54" s="96">
        <f t="shared" si="26"/>
        <v>800</v>
      </c>
      <c r="AX54" s="96">
        <f t="shared" si="26"/>
        <v>800</v>
      </c>
      <c r="AY54" s="96">
        <f t="shared" si="26"/>
        <v>800</v>
      </c>
      <c r="AZ54" s="96">
        <f t="shared" si="26"/>
        <v>800</v>
      </c>
      <c r="BA54" s="96">
        <f t="shared" si="26"/>
        <v>800</v>
      </c>
      <c r="BB54" s="96">
        <f t="shared" si="26"/>
        <v>800</v>
      </c>
      <c r="BC54" s="96">
        <f t="shared" si="26"/>
        <v>800</v>
      </c>
      <c r="BD54" s="96">
        <f t="shared" si="26"/>
        <v>800</v>
      </c>
      <c r="BE54" s="96">
        <f t="shared" si="26"/>
        <v>800</v>
      </c>
      <c r="BF54" s="96">
        <f t="shared" si="26"/>
        <v>800</v>
      </c>
      <c r="BG54" s="96">
        <f t="shared" si="26"/>
        <v>800</v>
      </c>
      <c r="BH54" s="96">
        <f t="shared" si="26"/>
        <v>800</v>
      </c>
      <c r="BI54" s="96">
        <f t="shared" si="26"/>
        <v>800</v>
      </c>
      <c r="BJ54" s="96">
        <f t="shared" si="26"/>
        <v>800</v>
      </c>
      <c r="BK54" s="96">
        <f t="shared" si="26"/>
        <v>800</v>
      </c>
      <c r="BL54" s="96">
        <f t="shared" si="26"/>
        <v>800</v>
      </c>
      <c r="BM54" s="96">
        <f t="shared" si="26"/>
        <v>800</v>
      </c>
      <c r="BN54" s="96">
        <f t="shared" si="26"/>
        <v>800</v>
      </c>
      <c r="BO54" s="96">
        <f t="shared" si="26"/>
        <v>800</v>
      </c>
      <c r="BP54" s="96">
        <f t="shared" si="26"/>
        <v>800</v>
      </c>
      <c r="BQ54" s="96">
        <f t="shared" si="26"/>
        <v>800</v>
      </c>
      <c r="BR54" s="96">
        <f t="shared" si="26"/>
        <v>800</v>
      </c>
      <c r="BS54" s="96">
        <f t="shared" si="26"/>
        <v>800</v>
      </c>
      <c r="BT54" s="96">
        <f t="shared" si="26"/>
        <v>800</v>
      </c>
      <c r="BU54" s="96">
        <f t="shared" si="26"/>
        <v>800</v>
      </c>
      <c r="BV54" s="96">
        <f t="shared" si="26"/>
        <v>800</v>
      </c>
      <c r="BW54" s="96">
        <f t="shared" si="26"/>
        <v>800</v>
      </c>
    </row>
    <row r="55" ht="15.75" customHeight="1">
      <c r="A55" s="1" t="s">
        <v>288</v>
      </c>
      <c r="B55" s="160">
        <f>AVERAGEIFS(55:55,$1:$1,"&gt;="&amp;DATE(YEAR(Current_Month),MONTH(Current_Month)-2,DAY(Current_Month)),$1:$1,"&lt;="&amp;EOMONTH(Current_Month,0))</f>
        <v>3084</v>
      </c>
      <c r="D55" s="76">
        <f t="array" ref="D55">INDEX(INDIRECT("PnL_"&amp;TEXT(D$1,"mmm")&amp;"_"&amp;TEXT(D$1,"yyyy")),MATCH(TRIM($A55),PnL_Accounts,0))</f>
        <v>1356</v>
      </c>
      <c r="E55" s="76">
        <f t="array" ref="E55">INDEX(INDIRECT("PnL_"&amp;TEXT(E$1,"mmm")&amp;"_"&amp;TEXT(E$1,"yyyy")),MATCH(TRIM($A55),PnL_Accounts,0))</f>
        <v>1406</v>
      </c>
      <c r="F55" s="76">
        <f t="array" ref="F55">INDEX(INDIRECT("PnL_"&amp;TEXT(F$1,"mmm")&amp;"_"&amp;TEXT(F$1,"yyyy")),MATCH(TRIM($A55),PnL_Accounts,0))</f>
        <v>1406</v>
      </c>
      <c r="G55" s="76">
        <f t="array" ref="G55">INDEX(INDIRECT("PnL_"&amp;TEXT(G$1,"mmm")&amp;"_"&amp;TEXT(G$1,"yyyy")),MATCH(TRIM($A55),PnL_Accounts,0))</f>
        <v>1406</v>
      </c>
      <c r="H55" s="76">
        <f t="array" ref="H55">INDEX(INDIRECT("PnL_"&amp;TEXT(H$1,"mmm")&amp;"_"&amp;TEXT(H$1,"yyyy")),MATCH(TRIM($A55),PnL_Accounts,0))</f>
        <v>1506</v>
      </c>
      <c r="I55" s="76">
        <f t="array" ref="I55">INDEX(INDIRECT("PnL_"&amp;TEXT(I$1,"mmm")&amp;"_"&amp;TEXT(I$1,"yyyy")),MATCH(TRIM($A55),PnL_Accounts,0))</f>
        <v>1506</v>
      </c>
      <c r="J55" s="76">
        <f t="array" ref="J55">INDEX(INDIRECT("PnL_"&amp;TEXT(J$1,"mmm")&amp;"_"&amp;TEXT(J$1,"yyyy")),MATCH(TRIM($A55),PnL_Accounts,0))</f>
        <v>1506</v>
      </c>
      <c r="K55" s="76">
        <f t="array" ref="K55">INDEX(INDIRECT("PnL_"&amp;TEXT(K$1,"mmm")&amp;"_"&amp;TEXT(K$1,"yyyy")),MATCH(TRIM($A55),PnL_Accounts,0))</f>
        <v>1556</v>
      </c>
      <c r="L55" s="76">
        <f t="array" ref="L55">INDEX(INDIRECT("PnL_"&amp;TEXT(L$1,"mmm")&amp;"_"&amp;TEXT(L$1,"yyyy")),MATCH(TRIM($A55),PnL_Accounts,0))</f>
        <v>1683</v>
      </c>
      <c r="M55" s="76">
        <f t="array" ref="M55">INDEX(INDIRECT("PnL_"&amp;TEXT(M$1,"mmm")&amp;"_"&amp;TEXT(M$1,"yyyy")),MATCH(TRIM($A55),PnL_Accounts,0))</f>
        <v>1683</v>
      </c>
      <c r="N55" s="76">
        <f t="array" ref="N55">INDEX(INDIRECT("PnL_"&amp;TEXT(N$1,"mmm")&amp;"_"&amp;TEXT(N$1,"yyyy")),MATCH(TRIM($A55),PnL_Accounts,0))</f>
        <v>1750</v>
      </c>
      <c r="O55" s="76">
        <f t="array" ref="O55">INDEX(INDIRECT("PnL_"&amp;TEXT(O$1,"mmm")&amp;"_"&amp;TEXT(O$1,"yyyy")),MATCH(TRIM($A55),PnL_Accounts,0))</f>
        <v>1892</v>
      </c>
      <c r="P55" s="76">
        <f t="array" ref="P55">INDEX(INDIRECT("PnL_"&amp;TEXT(P$1,"mmm")&amp;"_"&amp;TEXT(P$1,"yyyy")),MATCH(TRIM($A55),PnL_Accounts,0))</f>
        <v>1931</v>
      </c>
      <c r="Q55" s="76">
        <f t="array" ref="Q55">INDEX(INDIRECT("PnL_"&amp;TEXT(Q$1,"mmm")&amp;"_"&amp;TEXT(Q$1,"yyyy")),MATCH(TRIM($A55),PnL_Accounts,0))</f>
        <v>1907</v>
      </c>
      <c r="R55" s="76">
        <f t="array" ref="R55">INDEX(INDIRECT("PnL_"&amp;TEXT(R$1,"mmm")&amp;"_"&amp;TEXT(R$1,"yyyy")),MATCH(TRIM($A55),PnL_Accounts,0))</f>
        <v>2007</v>
      </c>
      <c r="S55" s="76">
        <f t="array" ref="S55">INDEX(INDIRECT("PnL_"&amp;TEXT(S$1,"mmm")&amp;"_"&amp;TEXT(S$1,"yyyy")),MATCH(TRIM($A55),PnL_Accounts,0))</f>
        <v>2276</v>
      </c>
      <c r="T55" s="76">
        <f t="array" ref="T55">INDEX(INDIRECT("PnL_"&amp;TEXT(T$1,"mmm")&amp;"_"&amp;TEXT(T$1,"yyyy")),MATCH(TRIM($A55),PnL_Accounts,0))</f>
        <v>1983</v>
      </c>
      <c r="U55" s="76">
        <f t="array" ref="U55">INDEX(INDIRECT("PnL_"&amp;TEXT(U$1,"mmm")&amp;"_"&amp;TEXT(U$1,"yyyy")),MATCH(TRIM($A55),PnL_Accounts,0))</f>
        <v>2451</v>
      </c>
      <c r="V55" s="76">
        <f t="array" ref="V55">INDEX(INDIRECT("PnL_"&amp;TEXT(V$1,"mmm")&amp;"_"&amp;TEXT(V$1,"yyyy")),MATCH(TRIM($A55),PnL_Accounts,0))</f>
        <v>2550</v>
      </c>
      <c r="W55" s="76">
        <f t="array" ref="W55">INDEX(INDIRECT("PnL_"&amp;TEXT(W$1,"mmm")&amp;"_"&amp;TEXT(W$1,"yyyy")),MATCH(TRIM($A55),PnL_Accounts,0))</f>
        <v>2621</v>
      </c>
      <c r="X55" s="76">
        <f t="array" ref="X55">INDEX(INDIRECT("PnL_"&amp;TEXT(X$1,"mmm")&amp;"_"&amp;TEXT(X$1,"yyyy")),MATCH(TRIM($A55),PnL_Accounts,0))</f>
        <v>2621</v>
      </c>
      <c r="Y55" s="76">
        <f t="array" ref="Y55">INDEX(INDIRECT("PnL_"&amp;TEXT(Y$1,"mmm")&amp;"_"&amp;TEXT(Y$1,"yyyy")),MATCH(TRIM($A55),PnL_Accounts,0))</f>
        <v>2437</v>
      </c>
      <c r="Z55" s="76">
        <f t="array" ref="Z55">INDEX(INDIRECT("PnL_"&amp;TEXT(Z$1,"mmm")&amp;"_"&amp;TEXT(Z$1,"yyyy")),MATCH(TRIM($A55),PnL_Accounts,0))</f>
        <v>2973</v>
      </c>
      <c r="AA55" s="76">
        <f t="array" ref="AA55">INDEX(INDIRECT("PnL_"&amp;TEXT(AA$1,"mmm")&amp;"_"&amp;TEXT(AA$1,"yyyy")),MATCH(TRIM($A55),PnL_Accounts,0))</f>
        <v>2736</v>
      </c>
      <c r="AB55" s="76">
        <f t="array" ref="AB55">INDEX(INDIRECT("PnL_"&amp;TEXT(AB$1,"mmm")&amp;"_"&amp;TEXT(AB$1,"yyyy")),MATCH(TRIM($A55),PnL_Accounts,0))</f>
        <v>2978</v>
      </c>
      <c r="AC55" s="76">
        <f t="array" ref="AC55">INDEX(INDIRECT("PnL_"&amp;TEXT(AC$1,"mmm")&amp;"_"&amp;TEXT(AC$1,"yyyy")),MATCH(TRIM($A55),PnL_Accounts,0))</f>
        <v>3241</v>
      </c>
      <c r="AD55" s="76">
        <f t="array" ref="AD55">INDEX(INDIRECT("PnL_"&amp;TEXT(AD$1,"mmm")&amp;"_"&amp;TEXT(AD$1,"yyyy")),MATCH(TRIM($A55),PnL_Accounts,0))</f>
        <v>3111</v>
      </c>
      <c r="AE55" s="76">
        <f t="array" ref="AE55">INDEX(INDIRECT("PnL_"&amp;TEXT(AE$1,"mmm")&amp;"_"&amp;TEXT(AE$1,"yyyy")),MATCH(TRIM($A55),PnL_Accounts,0))</f>
        <v>2900</v>
      </c>
      <c r="AF55" s="96">
        <f t="shared" ref="AF55:BW55" si="27">$B55</f>
        <v>3084</v>
      </c>
      <c r="AG55" s="96">
        <f t="shared" si="27"/>
        <v>3084</v>
      </c>
      <c r="AH55" s="96">
        <f t="shared" si="27"/>
        <v>3084</v>
      </c>
      <c r="AI55" s="96">
        <f t="shared" si="27"/>
        <v>3084</v>
      </c>
      <c r="AJ55" s="96">
        <f t="shared" si="27"/>
        <v>3084</v>
      </c>
      <c r="AK55" s="96">
        <f t="shared" si="27"/>
        <v>3084</v>
      </c>
      <c r="AL55" s="96">
        <f t="shared" si="27"/>
        <v>3084</v>
      </c>
      <c r="AM55" s="96">
        <f t="shared" si="27"/>
        <v>3084</v>
      </c>
      <c r="AN55" s="96">
        <f t="shared" si="27"/>
        <v>3084</v>
      </c>
      <c r="AO55" s="96">
        <f t="shared" si="27"/>
        <v>3084</v>
      </c>
      <c r="AP55" s="96">
        <f t="shared" si="27"/>
        <v>3084</v>
      </c>
      <c r="AQ55" s="96">
        <f t="shared" si="27"/>
        <v>3084</v>
      </c>
      <c r="AR55" s="96">
        <f t="shared" si="27"/>
        <v>3084</v>
      </c>
      <c r="AS55" s="96">
        <f t="shared" si="27"/>
        <v>3084</v>
      </c>
      <c r="AT55" s="96">
        <f t="shared" si="27"/>
        <v>3084</v>
      </c>
      <c r="AU55" s="96">
        <f t="shared" si="27"/>
        <v>3084</v>
      </c>
      <c r="AV55" s="96">
        <f t="shared" si="27"/>
        <v>3084</v>
      </c>
      <c r="AW55" s="96">
        <f t="shared" si="27"/>
        <v>3084</v>
      </c>
      <c r="AX55" s="96">
        <f t="shared" si="27"/>
        <v>3084</v>
      </c>
      <c r="AY55" s="96">
        <f t="shared" si="27"/>
        <v>3084</v>
      </c>
      <c r="AZ55" s="96">
        <f t="shared" si="27"/>
        <v>3084</v>
      </c>
      <c r="BA55" s="96">
        <f t="shared" si="27"/>
        <v>3084</v>
      </c>
      <c r="BB55" s="96">
        <f t="shared" si="27"/>
        <v>3084</v>
      </c>
      <c r="BC55" s="96">
        <f t="shared" si="27"/>
        <v>3084</v>
      </c>
      <c r="BD55" s="96">
        <f t="shared" si="27"/>
        <v>3084</v>
      </c>
      <c r="BE55" s="96">
        <f t="shared" si="27"/>
        <v>3084</v>
      </c>
      <c r="BF55" s="96">
        <f t="shared" si="27"/>
        <v>3084</v>
      </c>
      <c r="BG55" s="96">
        <f t="shared" si="27"/>
        <v>3084</v>
      </c>
      <c r="BH55" s="96">
        <f t="shared" si="27"/>
        <v>3084</v>
      </c>
      <c r="BI55" s="96">
        <f t="shared" si="27"/>
        <v>3084</v>
      </c>
      <c r="BJ55" s="96">
        <f t="shared" si="27"/>
        <v>3084</v>
      </c>
      <c r="BK55" s="96">
        <f t="shared" si="27"/>
        <v>3084</v>
      </c>
      <c r="BL55" s="96">
        <f t="shared" si="27"/>
        <v>3084</v>
      </c>
      <c r="BM55" s="96">
        <f t="shared" si="27"/>
        <v>3084</v>
      </c>
      <c r="BN55" s="96">
        <f t="shared" si="27"/>
        <v>3084</v>
      </c>
      <c r="BO55" s="96">
        <f t="shared" si="27"/>
        <v>3084</v>
      </c>
      <c r="BP55" s="96">
        <f t="shared" si="27"/>
        <v>3084</v>
      </c>
      <c r="BQ55" s="96">
        <f t="shared" si="27"/>
        <v>3084</v>
      </c>
      <c r="BR55" s="96">
        <f t="shared" si="27"/>
        <v>3084</v>
      </c>
      <c r="BS55" s="96">
        <f t="shared" si="27"/>
        <v>3084</v>
      </c>
      <c r="BT55" s="96">
        <f t="shared" si="27"/>
        <v>3084</v>
      </c>
      <c r="BU55" s="96">
        <f t="shared" si="27"/>
        <v>3084</v>
      </c>
      <c r="BV55" s="96">
        <f t="shared" si="27"/>
        <v>3084</v>
      </c>
      <c r="BW55" s="96">
        <f t="shared" si="27"/>
        <v>3084</v>
      </c>
    </row>
    <row r="56" ht="15.75" customHeight="1">
      <c r="A56" s="1" t="s">
        <v>289</v>
      </c>
      <c r="B56" s="159"/>
      <c r="D56" s="76" t="str">
        <f t="array" ref="D56">INDEX(INDIRECT("PnL_"&amp;TEXT(D$1,"mmm")&amp;"_"&amp;TEXT(D$1,"yyyy")),MATCH(TRIM($A56),PnL_Accounts,0))</f>
        <v/>
      </c>
      <c r="E56" s="76" t="str">
        <f t="array" ref="E56">INDEX(INDIRECT("PnL_"&amp;TEXT(E$1,"mmm")&amp;"_"&amp;TEXT(E$1,"yyyy")),MATCH(TRIM($A56),PnL_Accounts,0))</f>
        <v/>
      </c>
      <c r="F56" s="76" t="str">
        <f t="array" ref="F56">INDEX(INDIRECT("PnL_"&amp;TEXT(F$1,"mmm")&amp;"_"&amp;TEXT(F$1,"yyyy")),MATCH(TRIM($A56),PnL_Accounts,0))</f>
        <v/>
      </c>
      <c r="G56" s="76" t="str">
        <f t="array" ref="G56">INDEX(INDIRECT("PnL_"&amp;TEXT(G$1,"mmm")&amp;"_"&amp;TEXT(G$1,"yyyy")),MATCH(TRIM($A56),PnL_Accounts,0))</f>
        <v/>
      </c>
      <c r="H56" s="76" t="str">
        <f t="array" ref="H56">INDEX(INDIRECT("PnL_"&amp;TEXT(H$1,"mmm")&amp;"_"&amp;TEXT(H$1,"yyyy")),MATCH(TRIM($A56),PnL_Accounts,0))</f>
        <v/>
      </c>
      <c r="I56" s="76" t="str">
        <f t="array" ref="I56">INDEX(INDIRECT("PnL_"&amp;TEXT(I$1,"mmm")&amp;"_"&amp;TEXT(I$1,"yyyy")),MATCH(TRIM($A56),PnL_Accounts,0))</f>
        <v/>
      </c>
      <c r="J56" s="76" t="str">
        <f t="array" ref="J56">INDEX(INDIRECT("PnL_"&amp;TEXT(J$1,"mmm")&amp;"_"&amp;TEXT(J$1,"yyyy")),MATCH(TRIM($A56),PnL_Accounts,0))</f>
        <v/>
      </c>
      <c r="K56" s="76" t="str">
        <f t="array" ref="K56">INDEX(INDIRECT("PnL_"&amp;TEXT(K$1,"mmm")&amp;"_"&amp;TEXT(K$1,"yyyy")),MATCH(TRIM($A56),PnL_Accounts,0))</f>
        <v/>
      </c>
      <c r="L56" s="76" t="str">
        <f t="array" ref="L56">INDEX(INDIRECT("PnL_"&amp;TEXT(L$1,"mmm")&amp;"_"&amp;TEXT(L$1,"yyyy")),MATCH(TRIM($A56),PnL_Accounts,0))</f>
        <v/>
      </c>
      <c r="M56" s="76" t="str">
        <f t="array" ref="M56">INDEX(INDIRECT("PnL_"&amp;TEXT(M$1,"mmm")&amp;"_"&amp;TEXT(M$1,"yyyy")),MATCH(TRIM($A56),PnL_Accounts,0))</f>
        <v/>
      </c>
      <c r="N56" s="76" t="str">
        <f t="array" ref="N56">INDEX(INDIRECT("PnL_"&amp;TEXT(N$1,"mmm")&amp;"_"&amp;TEXT(N$1,"yyyy")),MATCH(TRIM($A56),PnL_Accounts,0))</f>
        <v/>
      </c>
      <c r="O56" s="76" t="str">
        <f t="array" ref="O56">INDEX(INDIRECT("PnL_"&amp;TEXT(O$1,"mmm")&amp;"_"&amp;TEXT(O$1,"yyyy")),MATCH(TRIM($A56),PnL_Accounts,0))</f>
        <v/>
      </c>
      <c r="P56" s="76" t="str">
        <f t="array" ref="P56">INDEX(INDIRECT("PnL_"&amp;TEXT(P$1,"mmm")&amp;"_"&amp;TEXT(P$1,"yyyy")),MATCH(TRIM($A56),PnL_Accounts,0))</f>
        <v/>
      </c>
      <c r="Q56" s="76" t="str">
        <f t="array" ref="Q56">INDEX(INDIRECT("PnL_"&amp;TEXT(Q$1,"mmm")&amp;"_"&amp;TEXT(Q$1,"yyyy")),MATCH(TRIM($A56),PnL_Accounts,0))</f>
        <v/>
      </c>
      <c r="R56" s="76" t="str">
        <f t="array" ref="R56">INDEX(INDIRECT("PnL_"&amp;TEXT(R$1,"mmm")&amp;"_"&amp;TEXT(R$1,"yyyy")),MATCH(TRIM($A56),PnL_Accounts,0))</f>
        <v/>
      </c>
      <c r="S56" s="76" t="str">
        <f t="array" ref="S56">INDEX(INDIRECT("PnL_"&amp;TEXT(S$1,"mmm")&amp;"_"&amp;TEXT(S$1,"yyyy")),MATCH(TRIM($A56),PnL_Accounts,0))</f>
        <v/>
      </c>
      <c r="T56" s="76" t="str">
        <f t="array" ref="T56">INDEX(INDIRECT("PnL_"&amp;TEXT(T$1,"mmm")&amp;"_"&amp;TEXT(T$1,"yyyy")),MATCH(TRIM($A56),PnL_Accounts,0))</f>
        <v/>
      </c>
      <c r="U56" s="76" t="str">
        <f t="array" ref="U56">INDEX(INDIRECT("PnL_"&amp;TEXT(U$1,"mmm")&amp;"_"&amp;TEXT(U$1,"yyyy")),MATCH(TRIM($A56),PnL_Accounts,0))</f>
        <v/>
      </c>
      <c r="V56" s="76" t="str">
        <f t="array" ref="V56">INDEX(INDIRECT("PnL_"&amp;TEXT(V$1,"mmm")&amp;"_"&amp;TEXT(V$1,"yyyy")),MATCH(TRIM($A56),PnL_Accounts,0))</f>
        <v/>
      </c>
      <c r="W56" s="76" t="str">
        <f t="array" ref="W56">INDEX(INDIRECT("PnL_"&amp;TEXT(W$1,"mmm")&amp;"_"&amp;TEXT(W$1,"yyyy")),MATCH(TRIM($A56),PnL_Accounts,0))</f>
        <v/>
      </c>
      <c r="X56" s="76" t="str">
        <f t="array" ref="X56">INDEX(INDIRECT("PnL_"&amp;TEXT(X$1,"mmm")&amp;"_"&amp;TEXT(X$1,"yyyy")),MATCH(TRIM($A56),PnL_Accounts,0))</f>
        <v/>
      </c>
      <c r="Y56" s="76" t="str">
        <f t="array" ref="Y56">INDEX(INDIRECT("PnL_"&amp;TEXT(Y$1,"mmm")&amp;"_"&amp;TEXT(Y$1,"yyyy")),MATCH(TRIM($A56),PnL_Accounts,0))</f>
        <v/>
      </c>
      <c r="Z56" s="76" t="str">
        <f t="array" ref="Z56">INDEX(INDIRECT("PnL_"&amp;TEXT(Z$1,"mmm")&amp;"_"&amp;TEXT(Z$1,"yyyy")),MATCH(TRIM($A56),PnL_Accounts,0))</f>
        <v/>
      </c>
      <c r="AA56" s="76" t="str">
        <f t="array" ref="AA56">INDEX(INDIRECT("PnL_"&amp;TEXT(AA$1,"mmm")&amp;"_"&amp;TEXT(AA$1,"yyyy")),MATCH(TRIM($A56),PnL_Accounts,0))</f>
        <v/>
      </c>
      <c r="AB56" s="76" t="str">
        <f t="array" ref="AB56">INDEX(INDIRECT("PnL_"&amp;TEXT(AB$1,"mmm")&amp;"_"&amp;TEXT(AB$1,"yyyy")),MATCH(TRIM($A56),PnL_Accounts,0))</f>
        <v/>
      </c>
      <c r="AC56" s="76" t="str">
        <f t="array" ref="AC56">INDEX(INDIRECT("PnL_"&amp;TEXT(AC$1,"mmm")&amp;"_"&amp;TEXT(AC$1,"yyyy")),MATCH(TRIM($A56),PnL_Accounts,0))</f>
        <v/>
      </c>
      <c r="AD56" s="76" t="str">
        <f t="array" ref="AD56">INDEX(INDIRECT("PnL_"&amp;TEXT(AD$1,"mmm")&amp;"_"&amp;TEXT(AD$1,"yyyy")),MATCH(TRIM($A56),PnL_Accounts,0))</f>
        <v/>
      </c>
      <c r="AE56" s="76" t="str">
        <f t="array" ref="AE56">INDEX(INDIRECT("PnL_"&amp;TEXT(AE$1,"mmm")&amp;"_"&amp;TEXT(AE$1,"yyyy")),MATCH(TRIM($A56),PnL_Accounts,0))</f>
        <v/>
      </c>
    </row>
    <row r="57" ht="15.75" customHeight="1">
      <c r="A57" s="1" t="s">
        <v>290</v>
      </c>
      <c r="B57" s="160">
        <f>AVERAGEIFS(57:57,$1:$1,"&gt;="&amp;DATE(YEAR(Current_Month),MONTH(Current_Month)-2,DAY(Current_Month)),$1:$1,"&lt;="&amp;EOMONTH(Current_Month,0))</f>
        <v>3358.333333</v>
      </c>
      <c r="D57" s="76">
        <f t="array" ref="D57">INDEX(INDIRECT("PnL_"&amp;TEXT(D$1,"mmm")&amp;"_"&amp;TEXT(D$1,"yyyy")),MATCH(TRIM($A57),PnL_Accounts,0))</f>
        <v>3404</v>
      </c>
      <c r="E57" s="76">
        <f t="array" ref="E57">INDEX(INDIRECT("PnL_"&amp;TEXT(E$1,"mmm")&amp;"_"&amp;TEXT(E$1,"yyyy")),MATCH(TRIM($A57),PnL_Accounts,0))</f>
        <v>3380</v>
      </c>
      <c r="F57" s="76">
        <f t="array" ref="F57">INDEX(INDIRECT("PnL_"&amp;TEXT(F$1,"mmm")&amp;"_"&amp;TEXT(F$1,"yyyy")),MATCH(TRIM($A57),PnL_Accounts,0))</f>
        <v>3666</v>
      </c>
      <c r="G57" s="76">
        <f t="array" ref="G57">INDEX(INDIRECT("PnL_"&amp;TEXT(G$1,"mmm")&amp;"_"&amp;TEXT(G$1,"yyyy")),MATCH(TRIM($A57),PnL_Accounts,0))</f>
        <v>3752</v>
      </c>
      <c r="H57" s="76">
        <f t="array" ref="H57">INDEX(INDIRECT("PnL_"&amp;TEXT(H$1,"mmm")&amp;"_"&amp;TEXT(H$1,"yyyy")),MATCH(TRIM($A57),PnL_Accounts,0))</f>
        <v>3906</v>
      </c>
      <c r="I57" s="76">
        <f t="array" ref="I57">INDEX(INDIRECT("PnL_"&amp;TEXT(I$1,"mmm")&amp;"_"&amp;TEXT(I$1,"yyyy")),MATCH(TRIM($A57),PnL_Accounts,0))</f>
        <v>4023</v>
      </c>
      <c r="J57" s="76">
        <f t="array" ref="J57">INDEX(INDIRECT("PnL_"&amp;TEXT(J$1,"mmm")&amp;"_"&amp;TEXT(J$1,"yyyy")),MATCH(TRIM($A57),PnL_Accounts,0))</f>
        <v>4190</v>
      </c>
      <c r="K57" s="76">
        <f t="array" ref="K57">INDEX(INDIRECT("PnL_"&amp;TEXT(K$1,"mmm")&amp;"_"&amp;TEXT(K$1,"yyyy")),MATCH(TRIM($A57),PnL_Accounts,0))</f>
        <v>4130</v>
      </c>
      <c r="L57" s="76">
        <f t="array" ref="L57">INDEX(INDIRECT("PnL_"&amp;TEXT(L$1,"mmm")&amp;"_"&amp;TEXT(L$1,"yyyy")),MATCH(TRIM($A57),PnL_Accounts,0))</f>
        <v>4250</v>
      </c>
      <c r="M57" s="76">
        <f t="array" ref="M57">INDEX(INDIRECT("PnL_"&amp;TEXT(M$1,"mmm")&amp;"_"&amp;TEXT(M$1,"yyyy")),MATCH(TRIM($A57),PnL_Accounts,0))</f>
        <v>3959</v>
      </c>
      <c r="N57" s="76">
        <f t="array" ref="N57">INDEX(INDIRECT("PnL_"&amp;TEXT(N$1,"mmm")&amp;"_"&amp;TEXT(N$1,"yyyy")),MATCH(TRIM($A57),PnL_Accounts,0))</f>
        <v>4198</v>
      </c>
      <c r="O57" s="76">
        <f t="array" ref="O57">INDEX(INDIRECT("PnL_"&amp;TEXT(O$1,"mmm")&amp;"_"&amp;TEXT(O$1,"yyyy")),MATCH(TRIM($A57),PnL_Accounts,0))</f>
        <v>4432</v>
      </c>
      <c r="P57" s="76">
        <f t="array" ref="P57">INDEX(INDIRECT("PnL_"&amp;TEXT(P$1,"mmm")&amp;"_"&amp;TEXT(P$1,"yyyy")),MATCH(TRIM($A57),PnL_Accounts,0))</f>
        <v>4377</v>
      </c>
      <c r="Q57" s="76">
        <f t="array" ref="Q57">INDEX(INDIRECT("PnL_"&amp;TEXT(Q$1,"mmm")&amp;"_"&amp;TEXT(Q$1,"yyyy")),MATCH(TRIM($A57),PnL_Accounts,0))</f>
        <v>4577</v>
      </c>
      <c r="R57" s="76">
        <f t="array" ref="R57">INDEX(INDIRECT("PnL_"&amp;TEXT(R$1,"mmm")&amp;"_"&amp;TEXT(R$1,"yyyy")),MATCH(TRIM($A57),PnL_Accounts,0))</f>
        <v>5005</v>
      </c>
      <c r="S57" s="76">
        <f t="array" ref="S57">INDEX(INDIRECT("PnL_"&amp;TEXT(S$1,"mmm")&amp;"_"&amp;TEXT(S$1,"yyyy")),MATCH(TRIM($A57),PnL_Accounts,0))</f>
        <v>5233</v>
      </c>
      <c r="T57" s="76">
        <f t="array" ref="T57">INDEX(INDIRECT("PnL_"&amp;TEXT(T$1,"mmm")&amp;"_"&amp;TEXT(T$1,"yyyy")),MATCH(TRIM($A57),PnL_Accounts,0))</f>
        <v>4572</v>
      </c>
      <c r="U57" s="76">
        <f t="array" ref="U57">INDEX(INDIRECT("PnL_"&amp;TEXT(U$1,"mmm")&amp;"_"&amp;TEXT(U$1,"yyyy")),MATCH(TRIM($A57),PnL_Accounts,0))</f>
        <v>4871</v>
      </c>
      <c r="V57" s="76">
        <f t="array" ref="V57">INDEX(INDIRECT("PnL_"&amp;TEXT(V$1,"mmm")&amp;"_"&amp;TEXT(V$1,"yyyy")),MATCH(TRIM($A57),PnL_Accounts,0))</f>
        <v>4938</v>
      </c>
      <c r="W57" s="76">
        <f t="array" ref="W57">INDEX(INDIRECT("PnL_"&amp;TEXT(W$1,"mmm")&amp;"_"&amp;TEXT(W$1,"yyyy")),MATCH(TRIM($A57),PnL_Accounts,0))</f>
        <v>5121</v>
      </c>
      <c r="X57" s="76">
        <f t="array" ref="X57">INDEX(INDIRECT("PnL_"&amp;TEXT(X$1,"mmm")&amp;"_"&amp;TEXT(X$1,"yyyy")),MATCH(TRIM($A57),PnL_Accounts,0))</f>
        <v>7552</v>
      </c>
      <c r="Y57" s="76">
        <f t="array" ref="Y57">INDEX(INDIRECT("PnL_"&amp;TEXT(Y$1,"mmm")&amp;"_"&amp;TEXT(Y$1,"yyyy")),MATCH(TRIM($A57),PnL_Accounts,0))</f>
        <v>8503</v>
      </c>
      <c r="Z57" s="76">
        <f t="array" ref="Z57">INDEX(INDIRECT("PnL_"&amp;TEXT(Z$1,"mmm")&amp;"_"&amp;TEXT(Z$1,"yyyy")),MATCH(TRIM($A57),PnL_Accounts,0))</f>
        <v>9078</v>
      </c>
      <c r="AA57" s="76">
        <f t="array" ref="AA57">INDEX(INDIRECT("PnL_"&amp;TEXT(AA$1,"mmm")&amp;"_"&amp;TEXT(AA$1,"yyyy")),MATCH(TRIM($A57),PnL_Accounts,0))</f>
        <v>9076</v>
      </c>
      <c r="AB57" s="76">
        <f t="array" ref="AB57">INDEX(INDIRECT("PnL_"&amp;TEXT(AB$1,"mmm")&amp;"_"&amp;TEXT(AB$1,"yyyy")),MATCH(TRIM($A57),PnL_Accounts,0))</f>
        <v>9257</v>
      </c>
      <c r="AC57" s="76">
        <f t="array" ref="AC57">INDEX(INDIRECT("PnL_"&amp;TEXT(AC$1,"mmm")&amp;"_"&amp;TEXT(AC$1,"yyyy")),MATCH(TRIM($A57),PnL_Accounts,0))</f>
        <v>8975</v>
      </c>
      <c r="AD57" s="76">
        <f t="array" ref="AD57">INDEX(INDIRECT("PnL_"&amp;TEXT(AD$1,"mmm")&amp;"_"&amp;TEXT(AD$1,"yyyy")),MATCH(TRIM($A57),PnL_Accounts,0))</f>
        <v>1100</v>
      </c>
      <c r="AE57" s="76">
        <f t="array" ref="AE57">INDEX(INDIRECT("PnL_"&amp;TEXT(AE$1,"mmm")&amp;"_"&amp;TEXT(AE$1,"yyyy")),MATCH(TRIM($A57),PnL_Accounts,0))</f>
        <v>0</v>
      </c>
      <c r="AF57" s="96">
        <f t="shared" ref="AF57:BW57" si="28">$B57</f>
        <v>3358.333333</v>
      </c>
      <c r="AG57" s="96">
        <f t="shared" si="28"/>
        <v>3358.333333</v>
      </c>
      <c r="AH57" s="96">
        <f t="shared" si="28"/>
        <v>3358.333333</v>
      </c>
      <c r="AI57" s="96">
        <f t="shared" si="28"/>
        <v>3358.333333</v>
      </c>
      <c r="AJ57" s="96">
        <f t="shared" si="28"/>
        <v>3358.333333</v>
      </c>
      <c r="AK57" s="96">
        <f t="shared" si="28"/>
        <v>3358.333333</v>
      </c>
      <c r="AL57" s="96">
        <f t="shared" si="28"/>
        <v>3358.333333</v>
      </c>
      <c r="AM57" s="96">
        <f t="shared" si="28"/>
        <v>3358.333333</v>
      </c>
      <c r="AN57" s="96">
        <f t="shared" si="28"/>
        <v>3358.333333</v>
      </c>
      <c r="AO57" s="96">
        <f t="shared" si="28"/>
        <v>3358.333333</v>
      </c>
      <c r="AP57" s="96">
        <f t="shared" si="28"/>
        <v>3358.333333</v>
      </c>
      <c r="AQ57" s="96">
        <f t="shared" si="28"/>
        <v>3358.333333</v>
      </c>
      <c r="AR57" s="96">
        <f t="shared" si="28"/>
        <v>3358.333333</v>
      </c>
      <c r="AS57" s="96">
        <f t="shared" si="28"/>
        <v>3358.333333</v>
      </c>
      <c r="AT57" s="96">
        <f t="shared" si="28"/>
        <v>3358.333333</v>
      </c>
      <c r="AU57" s="96">
        <f t="shared" si="28"/>
        <v>3358.333333</v>
      </c>
      <c r="AV57" s="96">
        <f t="shared" si="28"/>
        <v>3358.333333</v>
      </c>
      <c r="AW57" s="96">
        <f t="shared" si="28"/>
        <v>3358.333333</v>
      </c>
      <c r="AX57" s="96">
        <f t="shared" si="28"/>
        <v>3358.333333</v>
      </c>
      <c r="AY57" s="96">
        <f t="shared" si="28"/>
        <v>3358.333333</v>
      </c>
      <c r="AZ57" s="96">
        <f t="shared" si="28"/>
        <v>3358.333333</v>
      </c>
      <c r="BA57" s="96">
        <f t="shared" si="28"/>
        <v>3358.333333</v>
      </c>
      <c r="BB57" s="96">
        <f t="shared" si="28"/>
        <v>3358.333333</v>
      </c>
      <c r="BC57" s="96">
        <f t="shared" si="28"/>
        <v>3358.333333</v>
      </c>
      <c r="BD57" s="96">
        <f t="shared" si="28"/>
        <v>3358.333333</v>
      </c>
      <c r="BE57" s="96">
        <f t="shared" si="28"/>
        <v>3358.333333</v>
      </c>
      <c r="BF57" s="96">
        <f t="shared" si="28"/>
        <v>3358.333333</v>
      </c>
      <c r="BG57" s="96">
        <f t="shared" si="28"/>
        <v>3358.333333</v>
      </c>
      <c r="BH57" s="96">
        <f t="shared" si="28"/>
        <v>3358.333333</v>
      </c>
      <c r="BI57" s="96">
        <f t="shared" si="28"/>
        <v>3358.333333</v>
      </c>
      <c r="BJ57" s="96">
        <f t="shared" si="28"/>
        <v>3358.333333</v>
      </c>
      <c r="BK57" s="96">
        <f t="shared" si="28"/>
        <v>3358.333333</v>
      </c>
      <c r="BL57" s="96">
        <f t="shared" si="28"/>
        <v>3358.333333</v>
      </c>
      <c r="BM57" s="96">
        <f t="shared" si="28"/>
        <v>3358.333333</v>
      </c>
      <c r="BN57" s="96">
        <f t="shared" si="28"/>
        <v>3358.333333</v>
      </c>
      <c r="BO57" s="96">
        <f t="shared" si="28"/>
        <v>3358.333333</v>
      </c>
      <c r="BP57" s="96">
        <f t="shared" si="28"/>
        <v>3358.333333</v>
      </c>
      <c r="BQ57" s="96">
        <f t="shared" si="28"/>
        <v>3358.333333</v>
      </c>
      <c r="BR57" s="96">
        <f t="shared" si="28"/>
        <v>3358.333333</v>
      </c>
      <c r="BS57" s="96">
        <f t="shared" si="28"/>
        <v>3358.333333</v>
      </c>
      <c r="BT57" s="96">
        <f t="shared" si="28"/>
        <v>3358.333333</v>
      </c>
      <c r="BU57" s="96">
        <f t="shared" si="28"/>
        <v>3358.333333</v>
      </c>
      <c r="BV57" s="96">
        <f t="shared" si="28"/>
        <v>3358.333333</v>
      </c>
      <c r="BW57" s="96">
        <f t="shared" si="28"/>
        <v>3358.333333</v>
      </c>
    </row>
    <row r="58" ht="15.75" customHeight="1">
      <c r="A58" s="1" t="s">
        <v>291</v>
      </c>
      <c r="B58" s="160">
        <f>AVERAGEIFS(58:58,$1:$1,"&gt;="&amp;DATE(YEAR(Current_Month),MONTH(Current_Month)-2,DAY(Current_Month)),$1:$1,"&lt;="&amp;EOMONTH(Current_Month,0))</f>
        <v>3360</v>
      </c>
      <c r="D58" s="76">
        <f t="array" ref="D58">INDEX(INDIRECT("PnL_"&amp;TEXT(D$1,"mmm")&amp;"_"&amp;TEXT(D$1,"yyyy")),MATCH(TRIM($A58),PnL_Accounts,0))</f>
        <v>2487</v>
      </c>
      <c r="E58" s="76">
        <f t="array" ref="E58">INDEX(INDIRECT("PnL_"&amp;TEXT(E$1,"mmm")&amp;"_"&amp;TEXT(E$1,"yyyy")),MATCH(TRIM($A58),PnL_Accounts,0))</f>
        <v>2849</v>
      </c>
      <c r="F58" s="76">
        <f t="array" ref="F58">INDEX(INDIRECT("PnL_"&amp;TEXT(F$1,"mmm")&amp;"_"&amp;TEXT(F$1,"yyyy")),MATCH(TRIM($A58),PnL_Accounts,0))</f>
        <v>3138</v>
      </c>
      <c r="G58" s="76">
        <f t="array" ref="G58">INDEX(INDIRECT("PnL_"&amp;TEXT(G$1,"mmm")&amp;"_"&amp;TEXT(G$1,"yyyy")),MATCH(TRIM($A58),PnL_Accounts,0))</f>
        <v>3532</v>
      </c>
      <c r="H58" s="76">
        <f t="array" ref="H58">INDEX(INDIRECT("PnL_"&amp;TEXT(H$1,"mmm")&amp;"_"&amp;TEXT(H$1,"yyyy")),MATCH(TRIM($A58),PnL_Accounts,0))</f>
        <v>3337</v>
      </c>
      <c r="I58" s="76">
        <f t="array" ref="I58">INDEX(INDIRECT("PnL_"&amp;TEXT(I$1,"mmm")&amp;"_"&amp;TEXT(I$1,"yyyy")),MATCH(TRIM($A58),PnL_Accounts,0))</f>
        <v>3267</v>
      </c>
      <c r="J58" s="76">
        <f t="array" ref="J58">INDEX(INDIRECT("PnL_"&amp;TEXT(J$1,"mmm")&amp;"_"&amp;TEXT(J$1,"yyyy")),MATCH(TRIM($A58),PnL_Accounts,0))</f>
        <v>3451</v>
      </c>
      <c r="K58" s="76">
        <f t="array" ref="K58">INDEX(INDIRECT("PnL_"&amp;TEXT(K$1,"mmm")&amp;"_"&amp;TEXT(K$1,"yyyy")),MATCH(TRIM($A58),PnL_Accounts,0))</f>
        <v>3510</v>
      </c>
      <c r="L58" s="76">
        <f t="array" ref="L58">INDEX(INDIRECT("PnL_"&amp;TEXT(L$1,"mmm")&amp;"_"&amp;TEXT(L$1,"yyyy")),MATCH(TRIM($A58),PnL_Accounts,0))</f>
        <v>3714</v>
      </c>
      <c r="M58" s="76">
        <f t="array" ref="M58">INDEX(INDIRECT("PnL_"&amp;TEXT(M$1,"mmm")&amp;"_"&amp;TEXT(M$1,"yyyy")),MATCH(TRIM($A58),PnL_Accounts,0))</f>
        <v>3628</v>
      </c>
      <c r="N58" s="76">
        <f t="array" ref="N58">INDEX(INDIRECT("PnL_"&amp;TEXT(N$1,"mmm")&amp;"_"&amp;TEXT(N$1,"yyyy")),MATCH(TRIM($A58),PnL_Accounts,0))</f>
        <v>3766</v>
      </c>
      <c r="O58" s="76">
        <f t="array" ref="O58">INDEX(INDIRECT("PnL_"&amp;TEXT(O$1,"mmm")&amp;"_"&amp;TEXT(O$1,"yyyy")),MATCH(TRIM($A58),PnL_Accounts,0))</f>
        <v>3916</v>
      </c>
      <c r="P58" s="76">
        <f t="array" ref="P58">INDEX(INDIRECT("PnL_"&amp;TEXT(P$1,"mmm")&amp;"_"&amp;TEXT(P$1,"yyyy")),MATCH(TRIM($A58),PnL_Accounts,0))</f>
        <v>3839</v>
      </c>
      <c r="Q58" s="76">
        <f t="array" ref="Q58">INDEX(INDIRECT("PnL_"&amp;TEXT(Q$1,"mmm")&amp;"_"&amp;TEXT(Q$1,"yyyy")),MATCH(TRIM($A58),PnL_Accounts,0))</f>
        <v>4341</v>
      </c>
      <c r="R58" s="76">
        <f t="array" ref="R58">INDEX(INDIRECT("PnL_"&amp;TEXT(R$1,"mmm")&amp;"_"&amp;TEXT(R$1,"yyyy")),MATCH(TRIM($A58),PnL_Accounts,0))</f>
        <v>4557</v>
      </c>
      <c r="S58" s="76">
        <f t="array" ref="S58">INDEX(INDIRECT("PnL_"&amp;TEXT(S$1,"mmm")&amp;"_"&amp;TEXT(S$1,"yyyy")),MATCH(TRIM($A58),PnL_Accounts,0))</f>
        <v>4597</v>
      </c>
      <c r="T58" s="76">
        <f t="array" ref="T58">INDEX(INDIRECT("PnL_"&amp;TEXT(T$1,"mmm")&amp;"_"&amp;TEXT(T$1,"yyyy")),MATCH(TRIM($A58),PnL_Accounts,0))</f>
        <v>6113</v>
      </c>
      <c r="U58" s="76">
        <f t="array" ref="U58">INDEX(INDIRECT("PnL_"&amp;TEXT(U$1,"mmm")&amp;"_"&amp;TEXT(U$1,"yyyy")),MATCH(TRIM($A58),PnL_Accounts,0))</f>
        <v>5884</v>
      </c>
      <c r="V58" s="76">
        <f t="array" ref="V58">INDEX(INDIRECT("PnL_"&amp;TEXT(V$1,"mmm")&amp;"_"&amp;TEXT(V$1,"yyyy")),MATCH(TRIM($A58),PnL_Accounts,0))</f>
        <v>6025</v>
      </c>
      <c r="W58" s="76">
        <f t="array" ref="W58">INDEX(INDIRECT("PnL_"&amp;TEXT(W$1,"mmm")&amp;"_"&amp;TEXT(W$1,"yyyy")),MATCH(TRIM($A58),PnL_Accounts,0))</f>
        <v>5831</v>
      </c>
      <c r="X58" s="76">
        <f t="array" ref="X58">INDEX(INDIRECT("PnL_"&amp;TEXT(X$1,"mmm")&amp;"_"&amp;TEXT(X$1,"yyyy")),MATCH(TRIM($A58),PnL_Accounts,0))</f>
        <v>3542</v>
      </c>
      <c r="Y58" s="76">
        <f t="array" ref="Y58">INDEX(INDIRECT("PnL_"&amp;TEXT(Y$1,"mmm")&amp;"_"&amp;TEXT(Y$1,"yyyy")),MATCH(TRIM($A58),PnL_Accounts,0))</f>
        <v>7596</v>
      </c>
      <c r="Z58" s="76">
        <f t="array" ref="Z58">INDEX(INDIRECT("PnL_"&amp;TEXT(Z$1,"mmm")&amp;"_"&amp;TEXT(Z$1,"yyyy")),MATCH(TRIM($A58),PnL_Accounts,0))</f>
        <v>6899</v>
      </c>
      <c r="AA58" s="76">
        <f t="array" ref="AA58">INDEX(INDIRECT("PnL_"&amp;TEXT(AA$1,"mmm")&amp;"_"&amp;TEXT(AA$1,"yyyy")),MATCH(TRIM($A58),PnL_Accounts,0))</f>
        <v>9727</v>
      </c>
      <c r="AB58" s="76">
        <f t="array" ref="AB58">INDEX(INDIRECT("PnL_"&amp;TEXT(AB$1,"mmm")&amp;"_"&amp;TEXT(AB$1,"yyyy")),MATCH(TRIM($A58),PnL_Accounts,0))</f>
        <v>10123</v>
      </c>
      <c r="AC58" s="76">
        <f t="array" ref="AC58">INDEX(INDIRECT("PnL_"&amp;TEXT(AC$1,"mmm")&amp;"_"&amp;TEXT(AC$1,"yyyy")),MATCH(TRIM($A58),PnL_Accounts,0))</f>
        <v>9781</v>
      </c>
      <c r="AD58" s="76">
        <f t="array" ref="AD58">INDEX(INDIRECT("PnL_"&amp;TEXT(AD$1,"mmm")&amp;"_"&amp;TEXT(AD$1,"yyyy")),MATCH(TRIM($A58),PnL_Accounts,0))</f>
        <v>299</v>
      </c>
      <c r="AE58" s="76">
        <f t="array" ref="AE58">INDEX(INDIRECT("PnL_"&amp;TEXT(AE$1,"mmm")&amp;"_"&amp;TEXT(AE$1,"yyyy")),MATCH(TRIM($A58),PnL_Accounts,0))</f>
        <v>0</v>
      </c>
      <c r="AF58" s="96">
        <f t="shared" ref="AF58:BW58" si="29">$B58</f>
        <v>3360</v>
      </c>
      <c r="AG58" s="96">
        <f t="shared" si="29"/>
        <v>3360</v>
      </c>
      <c r="AH58" s="96">
        <f t="shared" si="29"/>
        <v>3360</v>
      </c>
      <c r="AI58" s="96">
        <f t="shared" si="29"/>
        <v>3360</v>
      </c>
      <c r="AJ58" s="96">
        <f t="shared" si="29"/>
        <v>3360</v>
      </c>
      <c r="AK58" s="96">
        <f t="shared" si="29"/>
        <v>3360</v>
      </c>
      <c r="AL58" s="96">
        <f t="shared" si="29"/>
        <v>3360</v>
      </c>
      <c r="AM58" s="96">
        <f t="shared" si="29"/>
        <v>3360</v>
      </c>
      <c r="AN58" s="96">
        <f t="shared" si="29"/>
        <v>3360</v>
      </c>
      <c r="AO58" s="96">
        <f t="shared" si="29"/>
        <v>3360</v>
      </c>
      <c r="AP58" s="96">
        <f t="shared" si="29"/>
        <v>3360</v>
      </c>
      <c r="AQ58" s="96">
        <f t="shared" si="29"/>
        <v>3360</v>
      </c>
      <c r="AR58" s="96">
        <f t="shared" si="29"/>
        <v>3360</v>
      </c>
      <c r="AS58" s="96">
        <f t="shared" si="29"/>
        <v>3360</v>
      </c>
      <c r="AT58" s="96">
        <f t="shared" si="29"/>
        <v>3360</v>
      </c>
      <c r="AU58" s="96">
        <f t="shared" si="29"/>
        <v>3360</v>
      </c>
      <c r="AV58" s="96">
        <f t="shared" si="29"/>
        <v>3360</v>
      </c>
      <c r="AW58" s="96">
        <f t="shared" si="29"/>
        <v>3360</v>
      </c>
      <c r="AX58" s="96">
        <f t="shared" si="29"/>
        <v>3360</v>
      </c>
      <c r="AY58" s="96">
        <f t="shared" si="29"/>
        <v>3360</v>
      </c>
      <c r="AZ58" s="96">
        <f t="shared" si="29"/>
        <v>3360</v>
      </c>
      <c r="BA58" s="96">
        <f t="shared" si="29"/>
        <v>3360</v>
      </c>
      <c r="BB58" s="96">
        <f t="shared" si="29"/>
        <v>3360</v>
      </c>
      <c r="BC58" s="96">
        <f t="shared" si="29"/>
        <v>3360</v>
      </c>
      <c r="BD58" s="96">
        <f t="shared" si="29"/>
        <v>3360</v>
      </c>
      <c r="BE58" s="96">
        <f t="shared" si="29"/>
        <v>3360</v>
      </c>
      <c r="BF58" s="96">
        <f t="shared" si="29"/>
        <v>3360</v>
      </c>
      <c r="BG58" s="96">
        <f t="shared" si="29"/>
        <v>3360</v>
      </c>
      <c r="BH58" s="96">
        <f t="shared" si="29"/>
        <v>3360</v>
      </c>
      <c r="BI58" s="96">
        <f t="shared" si="29"/>
        <v>3360</v>
      </c>
      <c r="BJ58" s="96">
        <f t="shared" si="29"/>
        <v>3360</v>
      </c>
      <c r="BK58" s="96">
        <f t="shared" si="29"/>
        <v>3360</v>
      </c>
      <c r="BL58" s="96">
        <f t="shared" si="29"/>
        <v>3360</v>
      </c>
      <c r="BM58" s="96">
        <f t="shared" si="29"/>
        <v>3360</v>
      </c>
      <c r="BN58" s="96">
        <f t="shared" si="29"/>
        <v>3360</v>
      </c>
      <c r="BO58" s="96">
        <f t="shared" si="29"/>
        <v>3360</v>
      </c>
      <c r="BP58" s="96">
        <f t="shared" si="29"/>
        <v>3360</v>
      </c>
      <c r="BQ58" s="96">
        <f t="shared" si="29"/>
        <v>3360</v>
      </c>
      <c r="BR58" s="96">
        <f t="shared" si="29"/>
        <v>3360</v>
      </c>
      <c r="BS58" s="96">
        <f t="shared" si="29"/>
        <v>3360</v>
      </c>
      <c r="BT58" s="96">
        <f t="shared" si="29"/>
        <v>3360</v>
      </c>
      <c r="BU58" s="96">
        <f t="shared" si="29"/>
        <v>3360</v>
      </c>
      <c r="BV58" s="96">
        <f t="shared" si="29"/>
        <v>3360</v>
      </c>
      <c r="BW58" s="96">
        <f t="shared" si="29"/>
        <v>3360</v>
      </c>
    </row>
    <row r="59" ht="15.75" customHeight="1">
      <c r="A59" s="1" t="s">
        <v>292</v>
      </c>
      <c r="B59" s="160">
        <f>AVERAGEIFS(59:59,$1:$1,"&gt;="&amp;DATE(YEAR(Current_Month),MONTH(Current_Month)-2,DAY(Current_Month)),$1:$1,"&lt;="&amp;EOMONTH(Current_Month,0))</f>
        <v>2332.333333</v>
      </c>
      <c r="D59" s="76">
        <f t="array" ref="D59">INDEX(INDIRECT("PnL_"&amp;TEXT(D$1,"mmm")&amp;"_"&amp;TEXT(D$1,"yyyy")),MATCH(TRIM($A59),PnL_Accounts,0))</f>
        <v>579</v>
      </c>
      <c r="E59" s="76">
        <f t="array" ref="E59">INDEX(INDIRECT("PnL_"&amp;TEXT(E$1,"mmm")&amp;"_"&amp;TEXT(E$1,"yyyy")),MATCH(TRIM($A59),PnL_Accounts,0))</f>
        <v>498</v>
      </c>
      <c r="F59" s="76">
        <f t="array" ref="F59">INDEX(INDIRECT("PnL_"&amp;TEXT(F$1,"mmm")&amp;"_"&amp;TEXT(F$1,"yyyy")),MATCH(TRIM($A59),PnL_Accounts,0))</f>
        <v>311</v>
      </c>
      <c r="G59" s="76">
        <f t="array" ref="G59">INDEX(INDIRECT("PnL_"&amp;TEXT(G$1,"mmm")&amp;"_"&amp;TEXT(G$1,"yyyy")),MATCH(TRIM($A59),PnL_Accounts,0))</f>
        <v>706</v>
      </c>
      <c r="H59" s="76">
        <f t="array" ref="H59">INDEX(INDIRECT("PnL_"&amp;TEXT(H$1,"mmm")&amp;"_"&amp;TEXT(H$1,"yyyy")),MATCH(TRIM($A59),PnL_Accounts,0))</f>
        <v>914</v>
      </c>
      <c r="I59" s="76">
        <f t="array" ref="I59">INDEX(INDIRECT("PnL_"&amp;TEXT(I$1,"mmm")&amp;"_"&amp;TEXT(I$1,"yyyy")),MATCH(TRIM($A59),PnL_Accounts,0))</f>
        <v>855</v>
      </c>
      <c r="J59" s="76">
        <f t="array" ref="J59">INDEX(INDIRECT("PnL_"&amp;TEXT(J$1,"mmm")&amp;"_"&amp;TEXT(J$1,"yyyy")),MATCH(TRIM($A59),PnL_Accounts,0))</f>
        <v>953</v>
      </c>
      <c r="K59" s="76">
        <f t="array" ref="K59">INDEX(INDIRECT("PnL_"&amp;TEXT(K$1,"mmm")&amp;"_"&amp;TEXT(K$1,"yyyy")),MATCH(TRIM($A59),PnL_Accounts,0))</f>
        <v>985</v>
      </c>
      <c r="L59" s="76">
        <f t="array" ref="L59">INDEX(INDIRECT("PnL_"&amp;TEXT(L$1,"mmm")&amp;"_"&amp;TEXT(L$1,"yyyy")),MATCH(TRIM($A59),PnL_Accounts,0))</f>
        <v>1730</v>
      </c>
      <c r="M59" s="76">
        <f t="array" ref="M59">INDEX(INDIRECT("PnL_"&amp;TEXT(M$1,"mmm")&amp;"_"&amp;TEXT(M$1,"yyyy")),MATCH(TRIM($A59),PnL_Accounts,0))</f>
        <v>1073</v>
      </c>
      <c r="N59" s="76">
        <f t="array" ref="N59">INDEX(INDIRECT("PnL_"&amp;TEXT(N$1,"mmm")&amp;"_"&amp;TEXT(N$1,"yyyy")),MATCH(TRIM($A59),PnL_Accounts,0))</f>
        <v>1205</v>
      </c>
      <c r="O59" s="76">
        <f t="array" ref="O59">INDEX(INDIRECT("PnL_"&amp;TEXT(O$1,"mmm")&amp;"_"&amp;TEXT(O$1,"yyyy")),MATCH(TRIM($A59),PnL_Accounts,0))</f>
        <v>1436</v>
      </c>
      <c r="P59" s="76">
        <f t="array" ref="P59">INDEX(INDIRECT("PnL_"&amp;TEXT(P$1,"mmm")&amp;"_"&amp;TEXT(P$1,"yyyy")),MATCH(TRIM($A59),PnL_Accounts,0))</f>
        <v>1489</v>
      </c>
      <c r="Q59" s="76">
        <f t="array" ref="Q59">INDEX(INDIRECT("PnL_"&amp;TEXT(Q$1,"mmm")&amp;"_"&amp;TEXT(Q$1,"yyyy")),MATCH(TRIM($A59),PnL_Accounts,0))</f>
        <v>1642</v>
      </c>
      <c r="R59" s="76">
        <f t="array" ref="R59">INDEX(INDIRECT("PnL_"&amp;TEXT(R$1,"mmm")&amp;"_"&amp;TEXT(R$1,"yyyy")),MATCH(TRIM($A59),PnL_Accounts,0))</f>
        <v>1479</v>
      </c>
      <c r="S59" s="76">
        <f t="array" ref="S59">INDEX(INDIRECT("PnL_"&amp;TEXT(S$1,"mmm")&amp;"_"&amp;TEXT(S$1,"yyyy")),MATCH(TRIM($A59),PnL_Accounts,0))</f>
        <v>1361</v>
      </c>
      <c r="T59" s="76">
        <f t="array" ref="T59">INDEX(INDIRECT("PnL_"&amp;TEXT(T$1,"mmm")&amp;"_"&amp;TEXT(T$1,"yyyy")),MATCH(TRIM($A59),PnL_Accounts,0))</f>
        <v>1243</v>
      </c>
      <c r="U59" s="76">
        <f t="array" ref="U59">INDEX(INDIRECT("PnL_"&amp;TEXT(U$1,"mmm")&amp;"_"&amp;TEXT(U$1,"yyyy")),MATCH(TRIM($A59),PnL_Accounts,0))</f>
        <v>1185</v>
      </c>
      <c r="V59" s="76">
        <f t="array" ref="V59">INDEX(INDIRECT("PnL_"&amp;TEXT(V$1,"mmm")&amp;"_"&amp;TEXT(V$1,"yyyy")),MATCH(TRIM($A59),PnL_Accounts,0))</f>
        <v>1112</v>
      </c>
      <c r="W59" s="76">
        <f t="array" ref="W59">INDEX(INDIRECT("PnL_"&amp;TEXT(W$1,"mmm")&amp;"_"&amp;TEXT(W$1,"yyyy")),MATCH(TRIM($A59),PnL_Accounts,0))</f>
        <v>1065</v>
      </c>
      <c r="X59" s="76">
        <f t="array" ref="X59">INDEX(INDIRECT("PnL_"&amp;TEXT(X$1,"mmm")&amp;"_"&amp;TEXT(X$1,"yyyy")),MATCH(TRIM($A59),PnL_Accounts,0))</f>
        <v>1077</v>
      </c>
      <c r="Y59" s="76">
        <f t="array" ref="Y59">INDEX(INDIRECT("PnL_"&amp;TEXT(Y$1,"mmm")&amp;"_"&amp;TEXT(Y$1,"yyyy")),MATCH(TRIM($A59),PnL_Accounts,0))</f>
        <v>3273</v>
      </c>
      <c r="Z59" s="76">
        <f t="array" ref="Z59">INDEX(INDIRECT("PnL_"&amp;TEXT(Z$1,"mmm")&amp;"_"&amp;TEXT(Z$1,"yyyy")),MATCH(TRIM($A59),PnL_Accounts,0))</f>
        <v>2799</v>
      </c>
      <c r="AA59" s="76">
        <f t="array" ref="AA59">INDEX(INDIRECT("PnL_"&amp;TEXT(AA$1,"mmm")&amp;"_"&amp;TEXT(AA$1,"yyyy")),MATCH(TRIM($A59),PnL_Accounts,0))</f>
        <v>3794</v>
      </c>
      <c r="AB59" s="76">
        <f t="array" ref="AB59">INDEX(INDIRECT("PnL_"&amp;TEXT(AB$1,"mmm")&amp;"_"&amp;TEXT(AB$1,"yyyy")),MATCH(TRIM($A59),PnL_Accounts,0))</f>
        <v>4200</v>
      </c>
      <c r="AC59" s="76">
        <f t="array" ref="AC59">INDEX(INDIRECT("PnL_"&amp;TEXT(AC$1,"mmm")&amp;"_"&amp;TEXT(AC$1,"yyyy")),MATCH(TRIM($A59),PnL_Accounts,0))</f>
        <v>4997</v>
      </c>
      <c r="AD59" s="76">
        <f t="array" ref="AD59">INDEX(INDIRECT("PnL_"&amp;TEXT(AD$1,"mmm")&amp;"_"&amp;TEXT(AD$1,"yyyy")),MATCH(TRIM($A59),PnL_Accounts,0))</f>
        <v>2000</v>
      </c>
      <c r="AE59" s="76">
        <f t="array" ref="AE59">INDEX(INDIRECT("PnL_"&amp;TEXT(AE$1,"mmm")&amp;"_"&amp;TEXT(AE$1,"yyyy")),MATCH(TRIM($A59),PnL_Accounts,0))</f>
        <v>0</v>
      </c>
      <c r="AF59" s="96">
        <f t="shared" ref="AF59:BW59" si="30">$B59</f>
        <v>2332.333333</v>
      </c>
      <c r="AG59" s="96">
        <f t="shared" si="30"/>
        <v>2332.333333</v>
      </c>
      <c r="AH59" s="96">
        <f t="shared" si="30"/>
        <v>2332.333333</v>
      </c>
      <c r="AI59" s="96">
        <f t="shared" si="30"/>
        <v>2332.333333</v>
      </c>
      <c r="AJ59" s="96">
        <f t="shared" si="30"/>
        <v>2332.333333</v>
      </c>
      <c r="AK59" s="96">
        <f t="shared" si="30"/>
        <v>2332.333333</v>
      </c>
      <c r="AL59" s="96">
        <f t="shared" si="30"/>
        <v>2332.333333</v>
      </c>
      <c r="AM59" s="96">
        <f t="shared" si="30"/>
        <v>2332.333333</v>
      </c>
      <c r="AN59" s="96">
        <f t="shared" si="30"/>
        <v>2332.333333</v>
      </c>
      <c r="AO59" s="96">
        <f t="shared" si="30"/>
        <v>2332.333333</v>
      </c>
      <c r="AP59" s="96">
        <f t="shared" si="30"/>
        <v>2332.333333</v>
      </c>
      <c r="AQ59" s="96">
        <f t="shared" si="30"/>
        <v>2332.333333</v>
      </c>
      <c r="AR59" s="96">
        <f t="shared" si="30"/>
        <v>2332.333333</v>
      </c>
      <c r="AS59" s="96">
        <f t="shared" si="30"/>
        <v>2332.333333</v>
      </c>
      <c r="AT59" s="96">
        <f t="shared" si="30"/>
        <v>2332.333333</v>
      </c>
      <c r="AU59" s="96">
        <f t="shared" si="30"/>
        <v>2332.333333</v>
      </c>
      <c r="AV59" s="96">
        <f t="shared" si="30"/>
        <v>2332.333333</v>
      </c>
      <c r="AW59" s="96">
        <f t="shared" si="30"/>
        <v>2332.333333</v>
      </c>
      <c r="AX59" s="96">
        <f t="shared" si="30"/>
        <v>2332.333333</v>
      </c>
      <c r="AY59" s="96">
        <f t="shared" si="30"/>
        <v>2332.333333</v>
      </c>
      <c r="AZ59" s="96">
        <f t="shared" si="30"/>
        <v>2332.333333</v>
      </c>
      <c r="BA59" s="96">
        <f t="shared" si="30"/>
        <v>2332.333333</v>
      </c>
      <c r="BB59" s="96">
        <f t="shared" si="30"/>
        <v>2332.333333</v>
      </c>
      <c r="BC59" s="96">
        <f t="shared" si="30"/>
        <v>2332.333333</v>
      </c>
      <c r="BD59" s="96">
        <f t="shared" si="30"/>
        <v>2332.333333</v>
      </c>
      <c r="BE59" s="96">
        <f t="shared" si="30"/>
        <v>2332.333333</v>
      </c>
      <c r="BF59" s="96">
        <f t="shared" si="30"/>
        <v>2332.333333</v>
      </c>
      <c r="BG59" s="96">
        <f t="shared" si="30"/>
        <v>2332.333333</v>
      </c>
      <c r="BH59" s="96">
        <f t="shared" si="30"/>
        <v>2332.333333</v>
      </c>
      <c r="BI59" s="96">
        <f t="shared" si="30"/>
        <v>2332.333333</v>
      </c>
      <c r="BJ59" s="96">
        <f t="shared" si="30"/>
        <v>2332.333333</v>
      </c>
      <c r="BK59" s="96">
        <f t="shared" si="30"/>
        <v>2332.333333</v>
      </c>
      <c r="BL59" s="96">
        <f t="shared" si="30"/>
        <v>2332.333333</v>
      </c>
      <c r="BM59" s="96">
        <f t="shared" si="30"/>
        <v>2332.333333</v>
      </c>
      <c r="BN59" s="96">
        <f t="shared" si="30"/>
        <v>2332.333333</v>
      </c>
      <c r="BO59" s="96">
        <f t="shared" si="30"/>
        <v>2332.333333</v>
      </c>
      <c r="BP59" s="96">
        <f t="shared" si="30"/>
        <v>2332.333333</v>
      </c>
      <c r="BQ59" s="96">
        <f t="shared" si="30"/>
        <v>2332.333333</v>
      </c>
      <c r="BR59" s="96">
        <f t="shared" si="30"/>
        <v>2332.333333</v>
      </c>
      <c r="BS59" s="96">
        <f t="shared" si="30"/>
        <v>2332.333333</v>
      </c>
      <c r="BT59" s="96">
        <f t="shared" si="30"/>
        <v>2332.333333</v>
      </c>
      <c r="BU59" s="96">
        <f t="shared" si="30"/>
        <v>2332.333333</v>
      </c>
      <c r="BV59" s="96">
        <f t="shared" si="30"/>
        <v>2332.333333</v>
      </c>
      <c r="BW59" s="96">
        <f t="shared" si="30"/>
        <v>2332.333333</v>
      </c>
    </row>
    <row r="60" ht="15.75" customHeight="1">
      <c r="A60" s="1" t="s">
        <v>293</v>
      </c>
      <c r="B60" s="160">
        <f>AVERAGEIFS(60:60,$1:$1,"&gt;="&amp;DATE(YEAR(Current_Month),MONTH(Current_Month)-2,DAY(Current_Month)),$1:$1,"&lt;="&amp;EOMONTH(Current_Month,0))</f>
        <v>1457</v>
      </c>
      <c r="D60" s="76">
        <f t="array" ref="D60">INDEX(INDIRECT("PnL_"&amp;TEXT(D$1,"mmm")&amp;"_"&amp;TEXT(D$1,"yyyy")),MATCH(TRIM($A60),PnL_Accounts,0))</f>
        <v>671</v>
      </c>
      <c r="E60" s="76">
        <f t="array" ref="E60">INDEX(INDIRECT("PnL_"&amp;TEXT(E$1,"mmm")&amp;"_"&amp;TEXT(E$1,"yyyy")),MATCH(TRIM($A60),PnL_Accounts,0))</f>
        <v>583</v>
      </c>
      <c r="F60" s="76">
        <f t="array" ref="F60">INDEX(INDIRECT("PnL_"&amp;TEXT(F$1,"mmm")&amp;"_"&amp;TEXT(F$1,"yyyy")),MATCH(TRIM($A60),PnL_Accounts,0))</f>
        <v>888</v>
      </c>
      <c r="G60" s="76">
        <f t="array" ref="G60">INDEX(INDIRECT("PnL_"&amp;TEXT(G$1,"mmm")&amp;"_"&amp;TEXT(G$1,"yyyy")),MATCH(TRIM($A60),PnL_Accounts,0))</f>
        <v>1219</v>
      </c>
      <c r="H60" s="76">
        <f t="array" ref="H60">INDEX(INDIRECT("PnL_"&amp;TEXT(H$1,"mmm")&amp;"_"&amp;TEXT(H$1,"yyyy")),MATCH(TRIM($A60),PnL_Accounts,0))</f>
        <v>1474</v>
      </c>
      <c r="I60" s="76">
        <f t="array" ref="I60">INDEX(INDIRECT("PnL_"&amp;TEXT(I$1,"mmm")&amp;"_"&amp;TEXT(I$1,"yyyy")),MATCH(TRIM($A60),PnL_Accounts,0))</f>
        <v>1322</v>
      </c>
      <c r="J60" s="76">
        <f t="array" ref="J60">INDEX(INDIRECT("PnL_"&amp;TEXT(J$1,"mmm")&amp;"_"&amp;TEXT(J$1,"yyyy")),MATCH(TRIM($A60),PnL_Accounts,0))</f>
        <v>1588</v>
      </c>
      <c r="K60" s="76">
        <f t="array" ref="K60">INDEX(INDIRECT("PnL_"&amp;TEXT(K$1,"mmm")&amp;"_"&amp;TEXT(K$1,"yyyy")),MATCH(TRIM($A60),PnL_Accounts,0))</f>
        <v>1625</v>
      </c>
      <c r="L60" s="76">
        <f t="array" ref="L60">INDEX(INDIRECT("PnL_"&amp;TEXT(L$1,"mmm")&amp;"_"&amp;TEXT(L$1,"yyyy")),MATCH(TRIM($A60),PnL_Accounts,0))</f>
        <v>1730</v>
      </c>
      <c r="M60" s="76">
        <f t="array" ref="M60">INDEX(INDIRECT("PnL_"&amp;TEXT(M$1,"mmm")&amp;"_"&amp;TEXT(M$1,"yyyy")),MATCH(TRIM($A60),PnL_Accounts,0))</f>
        <v>1633</v>
      </c>
      <c r="N60" s="76">
        <f t="array" ref="N60">INDEX(INDIRECT("PnL_"&amp;TEXT(N$1,"mmm")&amp;"_"&amp;TEXT(N$1,"yyyy")),MATCH(TRIM($A60),PnL_Accounts,0))</f>
        <v>1781</v>
      </c>
      <c r="O60" s="76">
        <f t="array" ref="O60">INDEX(INDIRECT("PnL_"&amp;TEXT(O$1,"mmm")&amp;"_"&amp;TEXT(O$1,"yyyy")),MATCH(TRIM($A60),PnL_Accounts,0))</f>
        <v>1826</v>
      </c>
      <c r="P60" s="76">
        <f t="array" ref="P60">INDEX(INDIRECT("PnL_"&amp;TEXT(P$1,"mmm")&amp;"_"&amp;TEXT(P$1,"yyyy")),MATCH(TRIM($A60),PnL_Accounts,0))</f>
        <v>1750</v>
      </c>
      <c r="Q60" s="76">
        <f t="array" ref="Q60">INDEX(INDIRECT("PnL_"&amp;TEXT(Q$1,"mmm")&amp;"_"&amp;TEXT(Q$1,"yyyy")),MATCH(TRIM($A60),PnL_Accounts,0))</f>
        <v>2098</v>
      </c>
      <c r="R60" s="76">
        <f t="array" ref="R60">INDEX(INDIRECT("PnL_"&amp;TEXT(R$1,"mmm")&amp;"_"&amp;TEXT(R$1,"yyyy")),MATCH(TRIM($A60),PnL_Accounts,0))</f>
        <v>1175</v>
      </c>
      <c r="S60" s="76">
        <f t="array" ref="S60">INDEX(INDIRECT("PnL_"&amp;TEXT(S$1,"mmm")&amp;"_"&amp;TEXT(S$1,"yyyy")),MATCH(TRIM($A60),PnL_Accounts,0))</f>
        <v>1245</v>
      </c>
      <c r="T60" s="76">
        <f t="array" ref="T60">INDEX(INDIRECT("PnL_"&amp;TEXT(T$1,"mmm")&amp;"_"&amp;TEXT(T$1,"yyyy")),MATCH(TRIM($A60),PnL_Accounts,0))</f>
        <v>4231</v>
      </c>
      <c r="U60" s="76">
        <f t="array" ref="U60">INDEX(INDIRECT("PnL_"&amp;TEXT(U$1,"mmm")&amp;"_"&amp;TEXT(U$1,"yyyy")),MATCH(TRIM($A60),PnL_Accounts,0))</f>
        <v>1472</v>
      </c>
      <c r="V60" s="76">
        <f t="array" ref="V60">INDEX(INDIRECT("PnL_"&amp;TEXT(V$1,"mmm")&amp;"_"&amp;TEXT(V$1,"yyyy")),MATCH(TRIM($A60),PnL_Accounts,0))</f>
        <v>1891</v>
      </c>
      <c r="W60" s="76">
        <f t="array" ref="W60">INDEX(INDIRECT("PnL_"&amp;TEXT(W$1,"mmm")&amp;"_"&amp;TEXT(W$1,"yyyy")),MATCH(TRIM($A60),PnL_Accounts,0))</f>
        <v>1943</v>
      </c>
      <c r="X60" s="76">
        <f t="array" ref="X60">INDEX(INDIRECT("PnL_"&amp;TEXT(X$1,"mmm")&amp;"_"&amp;TEXT(X$1,"yyyy")),MATCH(TRIM($A60),PnL_Accounts,0))</f>
        <v>2204</v>
      </c>
      <c r="Y60" s="76">
        <f t="array" ref="Y60">INDEX(INDIRECT("PnL_"&amp;TEXT(Y$1,"mmm")&amp;"_"&amp;TEXT(Y$1,"yyyy")),MATCH(TRIM($A60),PnL_Accounts,0))</f>
        <v>4233</v>
      </c>
      <c r="Z60" s="76">
        <f t="array" ref="Z60">INDEX(INDIRECT("PnL_"&amp;TEXT(Z$1,"mmm")&amp;"_"&amp;TEXT(Z$1,"yyyy")),MATCH(TRIM($A60),PnL_Accounts,0))</f>
        <v>3978</v>
      </c>
      <c r="AA60" s="76">
        <f t="array" ref="AA60">INDEX(INDIRECT("PnL_"&amp;TEXT(AA$1,"mmm")&amp;"_"&amp;TEXT(AA$1,"yyyy")),MATCH(TRIM($A60),PnL_Accounts,0))</f>
        <v>7986</v>
      </c>
      <c r="AB60" s="76">
        <f t="array" ref="AB60">INDEX(INDIRECT("PnL_"&amp;TEXT(AB$1,"mmm")&amp;"_"&amp;TEXT(AB$1,"yyyy")),MATCH(TRIM($A60),PnL_Accounts,0))</f>
        <v>4786</v>
      </c>
      <c r="AC60" s="76">
        <f t="array" ref="AC60">INDEX(INDIRECT("PnL_"&amp;TEXT(AC$1,"mmm")&amp;"_"&amp;TEXT(AC$1,"yyyy")),MATCH(TRIM($A60),PnL_Accounts,0))</f>
        <v>4371</v>
      </c>
      <c r="AD60" s="76">
        <f t="array" ref="AD60">INDEX(INDIRECT("PnL_"&amp;TEXT(AD$1,"mmm")&amp;"_"&amp;TEXT(AD$1,"yyyy")),MATCH(TRIM($A60),PnL_Accounts,0))</f>
        <v>0</v>
      </c>
      <c r="AE60" s="76">
        <f t="array" ref="AE60">INDEX(INDIRECT("PnL_"&amp;TEXT(AE$1,"mmm")&amp;"_"&amp;TEXT(AE$1,"yyyy")),MATCH(TRIM($A60),PnL_Accounts,0))</f>
        <v>0</v>
      </c>
      <c r="AF60" s="96">
        <f t="shared" ref="AF60:BW60" si="31">$B60</f>
        <v>1457</v>
      </c>
      <c r="AG60" s="96">
        <f t="shared" si="31"/>
        <v>1457</v>
      </c>
      <c r="AH60" s="96">
        <f t="shared" si="31"/>
        <v>1457</v>
      </c>
      <c r="AI60" s="96">
        <f t="shared" si="31"/>
        <v>1457</v>
      </c>
      <c r="AJ60" s="96">
        <f t="shared" si="31"/>
        <v>1457</v>
      </c>
      <c r="AK60" s="96">
        <f t="shared" si="31"/>
        <v>1457</v>
      </c>
      <c r="AL60" s="96">
        <f t="shared" si="31"/>
        <v>1457</v>
      </c>
      <c r="AM60" s="96">
        <f t="shared" si="31"/>
        <v>1457</v>
      </c>
      <c r="AN60" s="96">
        <f t="shared" si="31"/>
        <v>1457</v>
      </c>
      <c r="AO60" s="96">
        <f t="shared" si="31"/>
        <v>1457</v>
      </c>
      <c r="AP60" s="96">
        <f t="shared" si="31"/>
        <v>1457</v>
      </c>
      <c r="AQ60" s="96">
        <f t="shared" si="31"/>
        <v>1457</v>
      </c>
      <c r="AR60" s="96">
        <f t="shared" si="31"/>
        <v>1457</v>
      </c>
      <c r="AS60" s="96">
        <f t="shared" si="31"/>
        <v>1457</v>
      </c>
      <c r="AT60" s="96">
        <f t="shared" si="31"/>
        <v>1457</v>
      </c>
      <c r="AU60" s="96">
        <f t="shared" si="31"/>
        <v>1457</v>
      </c>
      <c r="AV60" s="96">
        <f t="shared" si="31"/>
        <v>1457</v>
      </c>
      <c r="AW60" s="96">
        <f t="shared" si="31"/>
        <v>1457</v>
      </c>
      <c r="AX60" s="96">
        <f t="shared" si="31"/>
        <v>1457</v>
      </c>
      <c r="AY60" s="96">
        <f t="shared" si="31"/>
        <v>1457</v>
      </c>
      <c r="AZ60" s="96">
        <f t="shared" si="31"/>
        <v>1457</v>
      </c>
      <c r="BA60" s="96">
        <f t="shared" si="31"/>
        <v>1457</v>
      </c>
      <c r="BB60" s="96">
        <f t="shared" si="31"/>
        <v>1457</v>
      </c>
      <c r="BC60" s="96">
        <f t="shared" si="31"/>
        <v>1457</v>
      </c>
      <c r="BD60" s="96">
        <f t="shared" si="31"/>
        <v>1457</v>
      </c>
      <c r="BE60" s="96">
        <f t="shared" si="31"/>
        <v>1457</v>
      </c>
      <c r="BF60" s="96">
        <f t="shared" si="31"/>
        <v>1457</v>
      </c>
      <c r="BG60" s="96">
        <f t="shared" si="31"/>
        <v>1457</v>
      </c>
      <c r="BH60" s="96">
        <f t="shared" si="31"/>
        <v>1457</v>
      </c>
      <c r="BI60" s="96">
        <f t="shared" si="31"/>
        <v>1457</v>
      </c>
      <c r="BJ60" s="96">
        <f t="shared" si="31"/>
        <v>1457</v>
      </c>
      <c r="BK60" s="96">
        <f t="shared" si="31"/>
        <v>1457</v>
      </c>
      <c r="BL60" s="96">
        <f t="shared" si="31"/>
        <v>1457</v>
      </c>
      <c r="BM60" s="96">
        <f t="shared" si="31"/>
        <v>1457</v>
      </c>
      <c r="BN60" s="96">
        <f t="shared" si="31"/>
        <v>1457</v>
      </c>
      <c r="BO60" s="96">
        <f t="shared" si="31"/>
        <v>1457</v>
      </c>
      <c r="BP60" s="96">
        <f t="shared" si="31"/>
        <v>1457</v>
      </c>
      <c r="BQ60" s="96">
        <f t="shared" si="31"/>
        <v>1457</v>
      </c>
      <c r="BR60" s="96">
        <f t="shared" si="31"/>
        <v>1457</v>
      </c>
      <c r="BS60" s="96">
        <f t="shared" si="31"/>
        <v>1457</v>
      </c>
      <c r="BT60" s="96">
        <f t="shared" si="31"/>
        <v>1457</v>
      </c>
      <c r="BU60" s="96">
        <f t="shared" si="31"/>
        <v>1457</v>
      </c>
      <c r="BV60" s="96">
        <f t="shared" si="31"/>
        <v>1457</v>
      </c>
      <c r="BW60" s="96">
        <f t="shared" si="31"/>
        <v>1457</v>
      </c>
    </row>
    <row r="61" ht="15.75" customHeight="1">
      <c r="A61" s="21" t="s">
        <v>294</v>
      </c>
      <c r="B61" s="163"/>
      <c r="C61" s="21"/>
      <c r="D61" s="157">
        <f t="shared" ref="D61:BW61" si="32">SUM(D56:D60)</f>
        <v>7141</v>
      </c>
      <c r="E61" s="157">
        <f t="shared" si="32"/>
        <v>7310</v>
      </c>
      <c r="F61" s="157">
        <f t="shared" si="32"/>
        <v>8003</v>
      </c>
      <c r="G61" s="157">
        <f t="shared" si="32"/>
        <v>9209</v>
      </c>
      <c r="H61" s="157">
        <f t="shared" si="32"/>
        <v>9631</v>
      </c>
      <c r="I61" s="157">
        <f t="shared" si="32"/>
        <v>9467</v>
      </c>
      <c r="J61" s="157">
        <f t="shared" si="32"/>
        <v>10182</v>
      </c>
      <c r="K61" s="157">
        <f t="shared" si="32"/>
        <v>10250</v>
      </c>
      <c r="L61" s="157">
        <f t="shared" si="32"/>
        <v>11424</v>
      </c>
      <c r="M61" s="157">
        <f t="shared" si="32"/>
        <v>10293</v>
      </c>
      <c r="N61" s="157">
        <f t="shared" si="32"/>
        <v>10950</v>
      </c>
      <c r="O61" s="157">
        <f t="shared" si="32"/>
        <v>11610</v>
      </c>
      <c r="P61" s="157">
        <f t="shared" si="32"/>
        <v>11455</v>
      </c>
      <c r="Q61" s="157">
        <f t="shared" si="32"/>
        <v>12658</v>
      </c>
      <c r="R61" s="157">
        <f t="shared" si="32"/>
        <v>12216</v>
      </c>
      <c r="S61" s="157">
        <f t="shared" si="32"/>
        <v>12436</v>
      </c>
      <c r="T61" s="157">
        <f t="shared" si="32"/>
        <v>16159</v>
      </c>
      <c r="U61" s="157">
        <f t="shared" si="32"/>
        <v>13412</v>
      </c>
      <c r="V61" s="157">
        <f t="shared" si="32"/>
        <v>13966</v>
      </c>
      <c r="W61" s="157">
        <f t="shared" si="32"/>
        <v>13960</v>
      </c>
      <c r="X61" s="157">
        <f t="shared" si="32"/>
        <v>14375</v>
      </c>
      <c r="Y61" s="157">
        <f t="shared" si="32"/>
        <v>23605</v>
      </c>
      <c r="Z61" s="157">
        <f t="shared" si="32"/>
        <v>22754</v>
      </c>
      <c r="AA61" s="157">
        <f t="shared" si="32"/>
        <v>30583</v>
      </c>
      <c r="AB61" s="157">
        <f t="shared" si="32"/>
        <v>28366</v>
      </c>
      <c r="AC61" s="157">
        <f t="shared" si="32"/>
        <v>28124</v>
      </c>
      <c r="AD61" s="157">
        <f t="shared" si="32"/>
        <v>3399</v>
      </c>
      <c r="AE61" s="157">
        <f t="shared" si="32"/>
        <v>0</v>
      </c>
      <c r="AF61" s="157">
        <f t="shared" si="32"/>
        <v>10507.66667</v>
      </c>
      <c r="AG61" s="157">
        <f t="shared" si="32"/>
        <v>10507.66667</v>
      </c>
      <c r="AH61" s="157">
        <f t="shared" si="32"/>
        <v>10507.66667</v>
      </c>
      <c r="AI61" s="157">
        <f t="shared" si="32"/>
        <v>10507.66667</v>
      </c>
      <c r="AJ61" s="157">
        <f t="shared" si="32"/>
        <v>10507.66667</v>
      </c>
      <c r="AK61" s="157">
        <f t="shared" si="32"/>
        <v>10507.66667</v>
      </c>
      <c r="AL61" s="157">
        <f t="shared" si="32"/>
        <v>10507.66667</v>
      </c>
      <c r="AM61" s="157">
        <f t="shared" si="32"/>
        <v>10507.66667</v>
      </c>
      <c r="AN61" s="157">
        <f t="shared" si="32"/>
        <v>10507.66667</v>
      </c>
      <c r="AO61" s="157">
        <f t="shared" si="32"/>
        <v>10507.66667</v>
      </c>
      <c r="AP61" s="157">
        <f t="shared" si="32"/>
        <v>10507.66667</v>
      </c>
      <c r="AQ61" s="157">
        <f t="shared" si="32"/>
        <v>10507.66667</v>
      </c>
      <c r="AR61" s="157">
        <f t="shared" si="32"/>
        <v>10507.66667</v>
      </c>
      <c r="AS61" s="157">
        <f t="shared" si="32"/>
        <v>10507.66667</v>
      </c>
      <c r="AT61" s="157">
        <f t="shared" si="32"/>
        <v>10507.66667</v>
      </c>
      <c r="AU61" s="157">
        <f t="shared" si="32"/>
        <v>10507.66667</v>
      </c>
      <c r="AV61" s="157">
        <f t="shared" si="32"/>
        <v>10507.66667</v>
      </c>
      <c r="AW61" s="157">
        <f t="shared" si="32"/>
        <v>10507.66667</v>
      </c>
      <c r="AX61" s="157">
        <f t="shared" si="32"/>
        <v>10507.66667</v>
      </c>
      <c r="AY61" s="157">
        <f t="shared" si="32"/>
        <v>10507.66667</v>
      </c>
      <c r="AZ61" s="157">
        <f t="shared" si="32"/>
        <v>10507.66667</v>
      </c>
      <c r="BA61" s="157">
        <f t="shared" si="32"/>
        <v>10507.66667</v>
      </c>
      <c r="BB61" s="157">
        <f t="shared" si="32"/>
        <v>10507.66667</v>
      </c>
      <c r="BC61" s="157">
        <f t="shared" si="32"/>
        <v>10507.66667</v>
      </c>
      <c r="BD61" s="157">
        <f t="shared" si="32"/>
        <v>10507.66667</v>
      </c>
      <c r="BE61" s="157">
        <f t="shared" si="32"/>
        <v>10507.66667</v>
      </c>
      <c r="BF61" s="157">
        <f t="shared" si="32"/>
        <v>10507.66667</v>
      </c>
      <c r="BG61" s="157">
        <f t="shared" si="32"/>
        <v>10507.66667</v>
      </c>
      <c r="BH61" s="157">
        <f t="shared" si="32"/>
        <v>10507.66667</v>
      </c>
      <c r="BI61" s="157">
        <f t="shared" si="32"/>
        <v>10507.66667</v>
      </c>
      <c r="BJ61" s="157">
        <f t="shared" si="32"/>
        <v>10507.66667</v>
      </c>
      <c r="BK61" s="157">
        <f t="shared" si="32"/>
        <v>10507.66667</v>
      </c>
      <c r="BL61" s="157">
        <f t="shared" si="32"/>
        <v>10507.66667</v>
      </c>
      <c r="BM61" s="157">
        <f t="shared" si="32"/>
        <v>10507.66667</v>
      </c>
      <c r="BN61" s="157">
        <f t="shared" si="32"/>
        <v>10507.66667</v>
      </c>
      <c r="BO61" s="157">
        <f t="shared" si="32"/>
        <v>10507.66667</v>
      </c>
      <c r="BP61" s="157">
        <f t="shared" si="32"/>
        <v>10507.66667</v>
      </c>
      <c r="BQ61" s="157">
        <f t="shared" si="32"/>
        <v>10507.66667</v>
      </c>
      <c r="BR61" s="157">
        <f t="shared" si="32"/>
        <v>10507.66667</v>
      </c>
      <c r="BS61" s="157">
        <f t="shared" si="32"/>
        <v>10507.66667</v>
      </c>
      <c r="BT61" s="157">
        <f t="shared" si="32"/>
        <v>10507.66667</v>
      </c>
      <c r="BU61" s="157">
        <f t="shared" si="32"/>
        <v>10507.66667</v>
      </c>
      <c r="BV61" s="157">
        <f t="shared" si="32"/>
        <v>10507.66667</v>
      </c>
      <c r="BW61" s="157">
        <f t="shared" si="32"/>
        <v>10507.66667</v>
      </c>
    </row>
    <row r="62" ht="15.75" customHeight="1">
      <c r="A62" s="21" t="s">
        <v>295</v>
      </c>
      <c r="B62" s="163"/>
      <c r="C62" s="21"/>
      <c r="D62" s="147">
        <f t="shared" ref="D62:BW62" si="33">SUM(D33:D36,D39,D42,D46,D51,D52:D55,D61)</f>
        <v>50542</v>
      </c>
      <c r="E62" s="147">
        <f t="shared" si="33"/>
        <v>50269</v>
      </c>
      <c r="F62" s="147">
        <f t="shared" si="33"/>
        <v>51143</v>
      </c>
      <c r="G62" s="147">
        <f t="shared" si="33"/>
        <v>52996</v>
      </c>
      <c r="H62" s="147">
        <f t="shared" si="33"/>
        <v>55074</v>
      </c>
      <c r="I62" s="147">
        <f t="shared" si="33"/>
        <v>57452</v>
      </c>
      <c r="J62" s="147">
        <f t="shared" si="33"/>
        <v>60362</v>
      </c>
      <c r="K62" s="147">
        <f t="shared" si="33"/>
        <v>59944</v>
      </c>
      <c r="L62" s="147">
        <f t="shared" si="33"/>
        <v>67531</v>
      </c>
      <c r="M62" s="147">
        <f t="shared" si="33"/>
        <v>67371</v>
      </c>
      <c r="N62" s="147">
        <f t="shared" si="33"/>
        <v>67615</v>
      </c>
      <c r="O62" s="147">
        <f t="shared" si="33"/>
        <v>70083</v>
      </c>
      <c r="P62" s="147">
        <f t="shared" si="33"/>
        <v>72901</v>
      </c>
      <c r="Q62" s="147">
        <f t="shared" si="33"/>
        <v>75762</v>
      </c>
      <c r="R62" s="147">
        <f t="shared" si="33"/>
        <v>79851</v>
      </c>
      <c r="S62" s="147">
        <f t="shared" si="33"/>
        <v>80066</v>
      </c>
      <c r="T62" s="147">
        <f t="shared" si="33"/>
        <v>85460</v>
      </c>
      <c r="U62" s="147">
        <f t="shared" si="33"/>
        <v>85301</v>
      </c>
      <c r="V62" s="147">
        <f t="shared" si="33"/>
        <v>86169</v>
      </c>
      <c r="W62" s="147">
        <f t="shared" si="33"/>
        <v>86722</v>
      </c>
      <c r="X62" s="147">
        <f t="shared" si="33"/>
        <v>88287</v>
      </c>
      <c r="Y62" s="147">
        <f t="shared" si="33"/>
        <v>92782</v>
      </c>
      <c r="Z62" s="147">
        <f t="shared" si="33"/>
        <v>95217</v>
      </c>
      <c r="AA62" s="147">
        <f t="shared" si="33"/>
        <v>102051</v>
      </c>
      <c r="AB62" s="147">
        <f t="shared" si="33"/>
        <v>102338</v>
      </c>
      <c r="AC62" s="147">
        <f t="shared" si="33"/>
        <v>111703</v>
      </c>
      <c r="AD62" s="147">
        <f t="shared" si="33"/>
        <v>86317</v>
      </c>
      <c r="AE62" s="147">
        <f t="shared" si="33"/>
        <v>87926</v>
      </c>
      <c r="AF62" s="147">
        <f t="shared" si="33"/>
        <v>82307.08333</v>
      </c>
      <c r="AG62" s="147">
        <f t="shared" si="33"/>
        <v>82307.08333</v>
      </c>
      <c r="AH62" s="147">
        <f t="shared" si="33"/>
        <v>82307.08333</v>
      </c>
      <c r="AI62" s="147">
        <f t="shared" si="33"/>
        <v>82307.08333</v>
      </c>
      <c r="AJ62" s="147">
        <f t="shared" si="33"/>
        <v>82307.08333</v>
      </c>
      <c r="AK62" s="147">
        <f t="shared" si="33"/>
        <v>82307.08333</v>
      </c>
      <c r="AL62" s="147">
        <f t="shared" si="33"/>
        <v>82307.08333</v>
      </c>
      <c r="AM62" s="147">
        <f t="shared" si="33"/>
        <v>82307.08333</v>
      </c>
      <c r="AN62" s="147">
        <f t="shared" si="33"/>
        <v>82307.08333</v>
      </c>
      <c r="AO62" s="147">
        <f t="shared" si="33"/>
        <v>82307.08333</v>
      </c>
      <c r="AP62" s="147">
        <f t="shared" si="33"/>
        <v>82307.08333</v>
      </c>
      <c r="AQ62" s="147">
        <f t="shared" si="33"/>
        <v>82307.08333</v>
      </c>
      <c r="AR62" s="147">
        <f t="shared" si="33"/>
        <v>82307.08333</v>
      </c>
      <c r="AS62" s="147">
        <f t="shared" si="33"/>
        <v>82307.08333</v>
      </c>
      <c r="AT62" s="147">
        <f t="shared" si="33"/>
        <v>82307.08333</v>
      </c>
      <c r="AU62" s="147">
        <f t="shared" si="33"/>
        <v>82307.08333</v>
      </c>
      <c r="AV62" s="147">
        <f t="shared" si="33"/>
        <v>82307.08333</v>
      </c>
      <c r="AW62" s="147">
        <f t="shared" si="33"/>
        <v>82307.08333</v>
      </c>
      <c r="AX62" s="147">
        <f t="shared" si="33"/>
        <v>82307.08333</v>
      </c>
      <c r="AY62" s="147">
        <f t="shared" si="33"/>
        <v>82307.08333</v>
      </c>
      <c r="AZ62" s="147">
        <f t="shared" si="33"/>
        <v>82307.08333</v>
      </c>
      <c r="BA62" s="147">
        <f t="shared" si="33"/>
        <v>82307.08333</v>
      </c>
      <c r="BB62" s="147">
        <f t="shared" si="33"/>
        <v>82307.08333</v>
      </c>
      <c r="BC62" s="147">
        <f t="shared" si="33"/>
        <v>82307.08333</v>
      </c>
      <c r="BD62" s="147">
        <f t="shared" si="33"/>
        <v>82307.08333</v>
      </c>
      <c r="BE62" s="147">
        <f t="shared" si="33"/>
        <v>82307.08333</v>
      </c>
      <c r="BF62" s="147">
        <f t="shared" si="33"/>
        <v>82307.08333</v>
      </c>
      <c r="BG62" s="147">
        <f t="shared" si="33"/>
        <v>82307.08333</v>
      </c>
      <c r="BH62" s="147">
        <f t="shared" si="33"/>
        <v>82307.08333</v>
      </c>
      <c r="BI62" s="147">
        <f t="shared" si="33"/>
        <v>82307.08333</v>
      </c>
      <c r="BJ62" s="147">
        <f t="shared" si="33"/>
        <v>82307.08333</v>
      </c>
      <c r="BK62" s="147">
        <f t="shared" si="33"/>
        <v>82307.08333</v>
      </c>
      <c r="BL62" s="147">
        <f t="shared" si="33"/>
        <v>82307.08333</v>
      </c>
      <c r="BM62" s="147">
        <f t="shared" si="33"/>
        <v>82307.08333</v>
      </c>
      <c r="BN62" s="147">
        <f t="shared" si="33"/>
        <v>82307.08333</v>
      </c>
      <c r="BO62" s="147">
        <f t="shared" si="33"/>
        <v>82307.08333</v>
      </c>
      <c r="BP62" s="147">
        <f t="shared" si="33"/>
        <v>82307.08333</v>
      </c>
      <c r="BQ62" s="147">
        <f t="shared" si="33"/>
        <v>82307.08333</v>
      </c>
      <c r="BR62" s="147">
        <f t="shared" si="33"/>
        <v>82307.08333</v>
      </c>
      <c r="BS62" s="147">
        <f t="shared" si="33"/>
        <v>82307.08333</v>
      </c>
      <c r="BT62" s="147">
        <f t="shared" si="33"/>
        <v>82307.08333</v>
      </c>
      <c r="BU62" s="147">
        <f t="shared" si="33"/>
        <v>82307.08333</v>
      </c>
      <c r="BV62" s="147">
        <f t="shared" si="33"/>
        <v>82307.08333</v>
      </c>
      <c r="BW62" s="147">
        <f t="shared" si="33"/>
        <v>82307.08333</v>
      </c>
    </row>
    <row r="63" ht="15.75" customHeight="1">
      <c r="A63" s="31" t="s">
        <v>244</v>
      </c>
      <c r="B63" s="159"/>
      <c r="D63" s="76">
        <f t="array" ref="D63">INDEX(INDIRECT("PnL_"&amp;TEXT(D$1,"mmm")&amp;"_"&amp;TEXT(D$1,"yyyy")),MATCH(TRIM($A62),PnL_Accounts,0))-D62</f>
        <v>0</v>
      </c>
      <c r="E63" s="76">
        <f t="array" ref="E63">INDEX(INDIRECT("PnL_"&amp;TEXT(E$1,"mmm")&amp;"_"&amp;TEXT(E$1,"yyyy")),MATCH(TRIM($A62),PnL_Accounts,0))-E62</f>
        <v>0</v>
      </c>
      <c r="F63" s="76">
        <f t="array" ref="F63">INDEX(INDIRECT("PnL_"&amp;TEXT(F$1,"mmm")&amp;"_"&amp;TEXT(F$1,"yyyy")),MATCH(TRIM($A62),PnL_Accounts,0))-F62</f>
        <v>0</v>
      </c>
      <c r="G63" s="76">
        <f t="array" ref="G63">INDEX(INDIRECT("PnL_"&amp;TEXT(G$1,"mmm")&amp;"_"&amp;TEXT(G$1,"yyyy")),MATCH(TRIM($A62),PnL_Accounts,0))-G62</f>
        <v>0</v>
      </c>
      <c r="H63" s="76">
        <f t="array" ref="H63">INDEX(INDIRECT("PnL_"&amp;TEXT(H$1,"mmm")&amp;"_"&amp;TEXT(H$1,"yyyy")),MATCH(TRIM($A62),PnL_Accounts,0))-H62</f>
        <v>0</v>
      </c>
      <c r="I63" s="76">
        <f t="array" ref="I63">INDEX(INDIRECT("PnL_"&amp;TEXT(I$1,"mmm")&amp;"_"&amp;TEXT(I$1,"yyyy")),MATCH(TRIM($A62),PnL_Accounts,0))-I62</f>
        <v>0</v>
      </c>
      <c r="J63" s="76">
        <f t="array" ref="J63">INDEX(INDIRECT("PnL_"&amp;TEXT(J$1,"mmm")&amp;"_"&amp;TEXT(J$1,"yyyy")),MATCH(TRIM($A62),PnL_Accounts,0))-J62</f>
        <v>0</v>
      </c>
      <c r="K63" s="76">
        <f t="array" ref="K63">INDEX(INDIRECT("PnL_"&amp;TEXT(K$1,"mmm")&amp;"_"&amp;TEXT(K$1,"yyyy")),MATCH(TRIM($A62),PnL_Accounts,0))-K62</f>
        <v>0</v>
      </c>
      <c r="L63" s="76">
        <f t="array" ref="L63">INDEX(INDIRECT("PnL_"&amp;TEXT(L$1,"mmm")&amp;"_"&amp;TEXT(L$1,"yyyy")),MATCH(TRIM($A62),PnL_Accounts,0))-L62</f>
        <v>0</v>
      </c>
      <c r="M63" s="76">
        <f t="array" ref="M63">INDEX(INDIRECT("PnL_"&amp;TEXT(M$1,"mmm")&amp;"_"&amp;TEXT(M$1,"yyyy")),MATCH(TRIM($A62),PnL_Accounts,0))-M62</f>
        <v>0</v>
      </c>
      <c r="N63" s="76">
        <f t="array" ref="N63">INDEX(INDIRECT("PnL_"&amp;TEXT(N$1,"mmm")&amp;"_"&amp;TEXT(N$1,"yyyy")),MATCH(TRIM($A62),PnL_Accounts,0))-N62</f>
        <v>0</v>
      </c>
      <c r="O63" s="76">
        <f t="array" ref="O63">INDEX(INDIRECT("PnL_"&amp;TEXT(O$1,"mmm")&amp;"_"&amp;TEXT(O$1,"yyyy")),MATCH(TRIM($A62),PnL_Accounts,0))-O62</f>
        <v>0</v>
      </c>
      <c r="P63" s="76">
        <f t="array" ref="P63">INDEX(INDIRECT("PnL_"&amp;TEXT(P$1,"mmm")&amp;"_"&amp;TEXT(P$1,"yyyy")),MATCH(TRIM($A62),PnL_Accounts,0))-P62</f>
        <v>0</v>
      </c>
      <c r="Q63" s="76">
        <f t="array" ref="Q63">INDEX(INDIRECT("PnL_"&amp;TEXT(Q$1,"mmm")&amp;"_"&amp;TEXT(Q$1,"yyyy")),MATCH(TRIM($A62),PnL_Accounts,0))-Q62</f>
        <v>0</v>
      </c>
      <c r="R63" s="76">
        <f t="array" ref="R63">INDEX(INDIRECT("PnL_"&amp;TEXT(R$1,"mmm")&amp;"_"&amp;TEXT(R$1,"yyyy")),MATCH(TRIM($A62),PnL_Accounts,0))-R62</f>
        <v>0</v>
      </c>
      <c r="S63" s="76">
        <f t="array" ref="S63">INDEX(INDIRECT("PnL_"&amp;TEXT(S$1,"mmm")&amp;"_"&amp;TEXT(S$1,"yyyy")),MATCH(TRIM($A62),PnL_Accounts,0))-S62</f>
        <v>0</v>
      </c>
      <c r="T63" s="76">
        <f t="array" ref="T63">INDEX(INDIRECT("PnL_"&amp;TEXT(T$1,"mmm")&amp;"_"&amp;TEXT(T$1,"yyyy")),MATCH(TRIM($A62),PnL_Accounts,0))-T62</f>
        <v>0</v>
      </c>
      <c r="U63" s="76">
        <f t="array" ref="U63">INDEX(INDIRECT("PnL_"&amp;TEXT(U$1,"mmm")&amp;"_"&amp;TEXT(U$1,"yyyy")),MATCH(TRIM($A62),PnL_Accounts,0))-U62</f>
        <v>0</v>
      </c>
      <c r="V63" s="76">
        <f t="array" ref="V63">INDEX(INDIRECT("PnL_"&amp;TEXT(V$1,"mmm")&amp;"_"&amp;TEXT(V$1,"yyyy")),MATCH(TRIM($A62),PnL_Accounts,0))-V62</f>
        <v>0</v>
      </c>
      <c r="W63" s="76">
        <f t="array" ref="W63">INDEX(INDIRECT("PnL_"&amp;TEXT(W$1,"mmm")&amp;"_"&amp;TEXT(W$1,"yyyy")),MATCH(TRIM($A62),PnL_Accounts,0))-W62</f>
        <v>0</v>
      </c>
      <c r="X63" s="76">
        <f t="array" ref="X63">INDEX(INDIRECT("PnL_"&amp;TEXT(X$1,"mmm")&amp;"_"&amp;TEXT(X$1,"yyyy")),MATCH(TRIM($A62),PnL_Accounts,0))-X62</f>
        <v>0</v>
      </c>
      <c r="Y63" s="76">
        <f t="array" ref="Y63">INDEX(INDIRECT("PnL_"&amp;TEXT(Y$1,"mmm")&amp;"_"&amp;TEXT(Y$1,"yyyy")),MATCH(TRIM($A62),PnL_Accounts,0))-Y62</f>
        <v>0</v>
      </c>
      <c r="Z63" s="76">
        <f t="array" ref="Z63">INDEX(INDIRECT("PnL_"&amp;TEXT(Z$1,"mmm")&amp;"_"&amp;TEXT(Z$1,"yyyy")),MATCH(TRIM($A62),PnL_Accounts,0))-Z62</f>
        <v>0</v>
      </c>
      <c r="AA63" s="76">
        <f t="array" ref="AA63">INDEX(INDIRECT("PnL_"&amp;TEXT(AA$1,"mmm")&amp;"_"&amp;TEXT(AA$1,"yyyy")),MATCH(TRIM($A62),PnL_Accounts,0))-AA62</f>
        <v>0</v>
      </c>
      <c r="AB63" s="76">
        <f t="array" ref="AB63">INDEX(INDIRECT("PnL_"&amp;TEXT(AB$1,"mmm")&amp;"_"&amp;TEXT(AB$1,"yyyy")),MATCH(TRIM($A62),PnL_Accounts,0))-AB62</f>
        <v>0</v>
      </c>
      <c r="AC63" s="76">
        <f t="array" ref="AC63">INDEX(INDIRECT("PnL_"&amp;TEXT(AC$1,"mmm")&amp;"_"&amp;TEXT(AC$1,"yyyy")),MATCH(TRIM($A62),PnL_Accounts,0))-AC62</f>
        <v>0</v>
      </c>
      <c r="AD63" s="76">
        <f t="array" ref="AD63">INDEX(INDIRECT("PnL_"&amp;TEXT(AD$1,"mmm")&amp;"_"&amp;TEXT(AD$1,"yyyy")),MATCH(TRIM($A62),PnL_Accounts,0))-AD62</f>
        <v>0</v>
      </c>
      <c r="AE63" s="76">
        <f t="array" ref="AE63">INDEX(INDIRECT("PnL_"&amp;TEXT(AE$1,"mmm")&amp;"_"&amp;TEXT(AE$1,"yyyy")),MATCH(TRIM($A62),PnL_Accounts,0))-AE62</f>
        <v>0</v>
      </c>
    </row>
    <row r="64" ht="15.75" customHeight="1">
      <c r="A64" s="1" t="s">
        <v>17</v>
      </c>
      <c r="B64" s="159"/>
    </row>
    <row r="65" ht="15.75" customHeight="1">
      <c r="A65" s="1" t="s">
        <v>296</v>
      </c>
      <c r="B65" s="159"/>
      <c r="D65" s="76" t="str">
        <f t="array" ref="D65">INDEX(INDIRECT("PnL_"&amp;TEXT(D$1,"mmm")&amp;"_"&amp;TEXT(D$1,"yyyy")),MATCH(TRIM($A65),PnL_Accounts,0))</f>
        <v/>
      </c>
      <c r="E65" s="76" t="str">
        <f t="array" ref="E65">INDEX(INDIRECT("PnL_"&amp;TEXT(E$1,"mmm")&amp;"_"&amp;TEXT(E$1,"yyyy")),MATCH(TRIM($A65),PnL_Accounts,0))</f>
        <v/>
      </c>
      <c r="F65" s="76" t="str">
        <f t="array" ref="F65">INDEX(INDIRECT("PnL_"&amp;TEXT(F$1,"mmm")&amp;"_"&amp;TEXT(F$1,"yyyy")),MATCH(TRIM($A65),PnL_Accounts,0))</f>
        <v/>
      </c>
      <c r="G65" s="76" t="str">
        <f t="array" ref="G65">INDEX(INDIRECT("PnL_"&amp;TEXT(G$1,"mmm")&amp;"_"&amp;TEXT(G$1,"yyyy")),MATCH(TRIM($A65),PnL_Accounts,0))</f>
        <v/>
      </c>
      <c r="H65" s="76" t="str">
        <f t="array" ref="H65">INDEX(INDIRECT("PnL_"&amp;TEXT(H$1,"mmm")&amp;"_"&amp;TEXT(H$1,"yyyy")),MATCH(TRIM($A65),PnL_Accounts,0))</f>
        <v/>
      </c>
      <c r="I65" s="76" t="str">
        <f t="array" ref="I65">INDEX(INDIRECT("PnL_"&amp;TEXT(I$1,"mmm")&amp;"_"&amp;TEXT(I$1,"yyyy")),MATCH(TRIM($A65),PnL_Accounts,0))</f>
        <v/>
      </c>
      <c r="J65" s="76" t="str">
        <f t="array" ref="J65">INDEX(INDIRECT("PnL_"&amp;TEXT(J$1,"mmm")&amp;"_"&amp;TEXT(J$1,"yyyy")),MATCH(TRIM($A65),PnL_Accounts,0))</f>
        <v/>
      </c>
      <c r="K65" s="76" t="str">
        <f t="array" ref="K65">INDEX(INDIRECT("PnL_"&amp;TEXT(K$1,"mmm")&amp;"_"&amp;TEXT(K$1,"yyyy")),MATCH(TRIM($A65),PnL_Accounts,0))</f>
        <v/>
      </c>
      <c r="L65" s="76" t="str">
        <f t="array" ref="L65">INDEX(INDIRECT("PnL_"&amp;TEXT(L$1,"mmm")&amp;"_"&amp;TEXT(L$1,"yyyy")),MATCH(TRIM($A65),PnL_Accounts,0))</f>
        <v/>
      </c>
      <c r="M65" s="76" t="str">
        <f t="array" ref="M65">INDEX(INDIRECT("PnL_"&amp;TEXT(M$1,"mmm")&amp;"_"&amp;TEXT(M$1,"yyyy")),MATCH(TRIM($A65),PnL_Accounts,0))</f>
        <v/>
      </c>
      <c r="N65" s="76" t="str">
        <f t="array" ref="N65">INDEX(INDIRECT("PnL_"&amp;TEXT(N$1,"mmm")&amp;"_"&amp;TEXT(N$1,"yyyy")),MATCH(TRIM($A65),PnL_Accounts,0))</f>
        <v/>
      </c>
      <c r="O65" s="76" t="str">
        <f t="array" ref="O65">INDEX(INDIRECT("PnL_"&amp;TEXT(O$1,"mmm")&amp;"_"&amp;TEXT(O$1,"yyyy")),MATCH(TRIM($A65),PnL_Accounts,0))</f>
        <v/>
      </c>
      <c r="P65" s="76" t="str">
        <f t="array" ref="P65">INDEX(INDIRECT("PnL_"&amp;TEXT(P$1,"mmm")&amp;"_"&amp;TEXT(P$1,"yyyy")),MATCH(TRIM($A65),PnL_Accounts,0))</f>
        <v/>
      </c>
      <c r="Q65" s="76" t="str">
        <f t="array" ref="Q65">INDEX(INDIRECT("PnL_"&amp;TEXT(Q$1,"mmm")&amp;"_"&amp;TEXT(Q$1,"yyyy")),MATCH(TRIM($A65),PnL_Accounts,0))</f>
        <v/>
      </c>
      <c r="R65" s="76" t="str">
        <f t="array" ref="R65">INDEX(INDIRECT("PnL_"&amp;TEXT(R$1,"mmm")&amp;"_"&amp;TEXT(R$1,"yyyy")),MATCH(TRIM($A65),PnL_Accounts,0))</f>
        <v/>
      </c>
      <c r="S65" s="76" t="str">
        <f t="array" ref="S65">INDEX(INDIRECT("PnL_"&amp;TEXT(S$1,"mmm")&amp;"_"&amp;TEXT(S$1,"yyyy")),MATCH(TRIM($A65),PnL_Accounts,0))</f>
        <v/>
      </c>
      <c r="T65" s="76" t="str">
        <f t="array" ref="T65">INDEX(INDIRECT("PnL_"&amp;TEXT(T$1,"mmm")&amp;"_"&amp;TEXT(T$1,"yyyy")),MATCH(TRIM($A65),PnL_Accounts,0))</f>
        <v/>
      </c>
      <c r="U65" s="76" t="str">
        <f t="array" ref="U65">INDEX(INDIRECT("PnL_"&amp;TEXT(U$1,"mmm")&amp;"_"&amp;TEXT(U$1,"yyyy")),MATCH(TRIM($A65),PnL_Accounts,0))</f>
        <v/>
      </c>
      <c r="V65" s="76" t="str">
        <f t="array" ref="V65">INDEX(INDIRECT("PnL_"&amp;TEXT(V$1,"mmm")&amp;"_"&amp;TEXT(V$1,"yyyy")),MATCH(TRIM($A65),PnL_Accounts,0))</f>
        <v/>
      </c>
      <c r="W65" s="76" t="str">
        <f t="array" ref="W65">INDEX(INDIRECT("PnL_"&amp;TEXT(W$1,"mmm")&amp;"_"&amp;TEXT(W$1,"yyyy")),MATCH(TRIM($A65),PnL_Accounts,0))</f>
        <v/>
      </c>
      <c r="X65" s="76" t="str">
        <f t="array" ref="X65">INDEX(INDIRECT("PnL_"&amp;TEXT(X$1,"mmm")&amp;"_"&amp;TEXT(X$1,"yyyy")),MATCH(TRIM($A65),PnL_Accounts,0))</f>
        <v/>
      </c>
      <c r="Y65" s="76" t="str">
        <f t="array" ref="Y65">INDEX(INDIRECT("PnL_"&amp;TEXT(Y$1,"mmm")&amp;"_"&amp;TEXT(Y$1,"yyyy")),MATCH(TRIM($A65),PnL_Accounts,0))</f>
        <v/>
      </c>
      <c r="Z65" s="76" t="str">
        <f t="array" ref="Z65">INDEX(INDIRECT("PnL_"&amp;TEXT(Z$1,"mmm")&amp;"_"&amp;TEXT(Z$1,"yyyy")),MATCH(TRIM($A65),PnL_Accounts,0))</f>
        <v/>
      </c>
      <c r="AA65" s="76" t="str">
        <f t="array" ref="AA65">INDEX(INDIRECT("PnL_"&amp;TEXT(AA$1,"mmm")&amp;"_"&amp;TEXT(AA$1,"yyyy")),MATCH(TRIM($A65),PnL_Accounts,0))</f>
        <v/>
      </c>
      <c r="AB65" s="76" t="str">
        <f t="array" ref="AB65">INDEX(INDIRECT("PnL_"&amp;TEXT(AB$1,"mmm")&amp;"_"&amp;TEXT(AB$1,"yyyy")),MATCH(TRIM($A65),PnL_Accounts,0))</f>
        <v/>
      </c>
      <c r="AC65" s="76" t="str">
        <f t="array" ref="AC65">INDEX(INDIRECT("PnL_"&amp;TEXT(AC$1,"mmm")&amp;"_"&amp;TEXT(AC$1,"yyyy")),MATCH(TRIM($A65),PnL_Accounts,0))</f>
        <v/>
      </c>
      <c r="AD65" s="76" t="str">
        <f t="array" ref="AD65">INDEX(INDIRECT("PnL_"&amp;TEXT(AD$1,"mmm")&amp;"_"&amp;TEXT(AD$1,"yyyy")),MATCH(TRIM($A65),PnL_Accounts,0))</f>
        <v/>
      </c>
      <c r="AE65" s="76" t="str">
        <f t="array" ref="AE65">INDEX(INDIRECT("PnL_"&amp;TEXT(AE$1,"mmm")&amp;"_"&amp;TEXT(AE$1,"yyyy")),MATCH(TRIM($A65),PnL_Accounts,0))</f>
        <v/>
      </c>
    </row>
    <row r="66" ht="15.75" customHeight="1">
      <c r="A66" s="1" t="s">
        <v>297</v>
      </c>
      <c r="B66" s="160"/>
      <c r="D66" s="76">
        <f t="array" ref="D66">INDEX(INDIRECT("PnL_"&amp;TEXT(D$1,"mmm")&amp;"_"&amp;TEXT(D$1,"yyyy")),MATCH(TRIM($A66),PnL_Accounts,0))</f>
        <v>43624</v>
      </c>
      <c r="E66" s="76">
        <f t="array" ref="E66">INDEX(INDIRECT("PnL_"&amp;TEXT(E$1,"mmm")&amp;"_"&amp;TEXT(E$1,"yyyy")),MATCH(TRIM($A66),PnL_Accounts,0))</f>
        <v>46167</v>
      </c>
      <c r="F66" s="76">
        <f t="array" ref="F66">INDEX(INDIRECT("PnL_"&amp;TEXT(F$1,"mmm")&amp;"_"&amp;TEXT(F$1,"yyyy")),MATCH(TRIM($A66),PnL_Accounts,0))</f>
        <v>48966</v>
      </c>
      <c r="G66" s="76">
        <f t="array" ref="G66">INDEX(INDIRECT("PnL_"&amp;TEXT(G$1,"mmm")&amp;"_"&amp;TEXT(G$1,"yyyy")),MATCH(TRIM($A66),PnL_Accounts,0))</f>
        <v>51878</v>
      </c>
      <c r="H66" s="76">
        <f t="array" ref="H66">INDEX(INDIRECT("PnL_"&amp;TEXT(H$1,"mmm")&amp;"_"&amp;TEXT(H$1,"yyyy")),MATCH(TRIM($A66),PnL_Accounts,0))</f>
        <v>55509</v>
      </c>
      <c r="I66" s="76">
        <f t="array" ref="I66">INDEX(INDIRECT("PnL_"&amp;TEXT(I$1,"mmm")&amp;"_"&amp;TEXT(I$1,"yyyy")),MATCH(TRIM($A66),PnL_Accounts,0))</f>
        <v>57730</v>
      </c>
      <c r="J66" s="76">
        <f t="array" ref="J66">INDEX(INDIRECT("PnL_"&amp;TEXT(J$1,"mmm")&amp;"_"&amp;TEXT(J$1,"yyyy")),MATCH(TRIM($A66),PnL_Accounts,0))</f>
        <v>66678</v>
      </c>
      <c r="K66" s="76">
        <f t="array" ref="K66">INDEX(INDIRECT("PnL_"&amp;TEXT(K$1,"mmm")&amp;"_"&amp;TEXT(K$1,"yyyy")),MATCH(TRIM($A66),PnL_Accounts,0))</f>
        <v>72175</v>
      </c>
      <c r="L66" s="76">
        <f t="array" ref="L66">INDEX(INDIRECT("PnL_"&amp;TEXT(L$1,"mmm")&amp;"_"&amp;TEXT(L$1,"yyyy")),MATCH(TRIM($A66),PnL_Accounts,0))</f>
        <v>95583</v>
      </c>
      <c r="M66" s="76">
        <f t="array" ref="M66">INDEX(INDIRECT("PnL_"&amp;TEXT(M$1,"mmm")&amp;"_"&amp;TEXT(M$1,"yyyy")),MATCH(TRIM($A66),PnL_Accounts,0))</f>
        <v>100753</v>
      </c>
      <c r="N66" s="76">
        <f t="array" ref="N66">INDEX(INDIRECT("PnL_"&amp;TEXT(N$1,"mmm")&amp;"_"&amp;TEXT(N$1,"yyyy")),MATCH(TRIM($A66),PnL_Accounts,0))</f>
        <v>121866</v>
      </c>
      <c r="O66" s="76">
        <f t="array" ref="O66">INDEX(INDIRECT("PnL_"&amp;TEXT(O$1,"mmm")&amp;"_"&amp;TEXT(O$1,"yyyy")),MATCH(TRIM($A66),PnL_Accounts,0))</f>
        <v>132194</v>
      </c>
      <c r="P66" s="76">
        <f t="array" ref="P66">INDEX(INDIRECT("PnL_"&amp;TEXT(P$1,"mmm")&amp;"_"&amp;TEXT(P$1,"yyyy")),MATCH(TRIM($A66),PnL_Accounts,0))</f>
        <v>135234</v>
      </c>
      <c r="Q66" s="76">
        <f t="array" ref="Q66">INDEX(INDIRECT("PnL_"&amp;TEXT(Q$1,"mmm")&amp;"_"&amp;TEXT(Q$1,"yyyy")),MATCH(TRIM($A66),PnL_Accounts,0))</f>
        <v>156382</v>
      </c>
      <c r="R66" s="76">
        <f t="array" ref="R66">INDEX(INDIRECT("PnL_"&amp;TEXT(R$1,"mmm")&amp;"_"&amp;TEXT(R$1,"yyyy")),MATCH(TRIM($A66),PnL_Accounts,0))</f>
        <v>158221</v>
      </c>
      <c r="S66" s="76">
        <f t="array" ref="S66">INDEX(INDIRECT("PnL_"&amp;TEXT(S$1,"mmm")&amp;"_"&amp;TEXT(S$1,"yyyy")),MATCH(TRIM($A66),PnL_Accounts,0))</f>
        <v>156382</v>
      </c>
      <c r="T66" s="76">
        <f t="array" ref="T66">INDEX(INDIRECT("PnL_"&amp;TEXT(T$1,"mmm")&amp;"_"&amp;TEXT(T$1,"yyyy")),MATCH(TRIM($A66),PnL_Accounts,0))</f>
        <v>171134</v>
      </c>
      <c r="U66" s="76">
        <f t="array" ref="U66">INDEX(INDIRECT("PnL_"&amp;TEXT(U$1,"mmm")&amp;"_"&amp;TEXT(U$1,"yyyy")),MATCH(TRIM($A66),PnL_Accounts,0))</f>
        <v>168772</v>
      </c>
      <c r="V66" s="76">
        <f t="array" ref="V66">INDEX(INDIRECT("PnL_"&amp;TEXT(V$1,"mmm")&amp;"_"&amp;TEXT(V$1,"yyyy")),MATCH(TRIM($A66),PnL_Accounts,0))</f>
        <v>166219</v>
      </c>
      <c r="W66" s="76">
        <f t="array" ref="W66">INDEX(INDIRECT("PnL_"&amp;TEXT(W$1,"mmm")&amp;"_"&amp;TEXT(W$1,"yyyy")),MATCH(TRIM($A66),PnL_Accounts,0))</f>
        <v>168021</v>
      </c>
      <c r="X66" s="76">
        <f t="array" ref="X66">INDEX(INDIRECT("PnL_"&amp;TEXT(X$1,"mmm")&amp;"_"&amp;TEXT(X$1,"yyyy")),MATCH(TRIM($A66),PnL_Accounts,0))</f>
        <v>172114</v>
      </c>
      <c r="Y66" s="76">
        <f t="array" ref="Y66">INDEX(INDIRECT("PnL_"&amp;TEXT(Y$1,"mmm")&amp;"_"&amp;TEXT(Y$1,"yyyy")),MATCH(TRIM($A66),PnL_Accounts,0))</f>
        <v>152043</v>
      </c>
      <c r="Z66" s="76">
        <f t="array" ref="Z66">INDEX(INDIRECT("PnL_"&amp;TEXT(Z$1,"mmm")&amp;"_"&amp;TEXT(Z$1,"yyyy")),MATCH(TRIM($A66),PnL_Accounts,0))</f>
        <v>163012</v>
      </c>
      <c r="AA66" s="76">
        <f t="array" ref="AA66">INDEX(INDIRECT("PnL_"&amp;TEXT(AA$1,"mmm")&amp;"_"&amp;TEXT(AA$1,"yyyy")),MATCH(TRIM($A66),PnL_Accounts,0))</f>
        <v>175421</v>
      </c>
      <c r="AB66" s="76">
        <f t="array" ref="AB66">INDEX(INDIRECT("PnL_"&amp;TEXT(AB$1,"mmm")&amp;"_"&amp;TEXT(AB$1,"yyyy")),MATCH(TRIM($A66),PnL_Accounts,0))</f>
        <v>179427</v>
      </c>
      <c r="AC66" s="76">
        <f t="array" ref="AC66">INDEX(INDIRECT("PnL_"&amp;TEXT(AC$1,"mmm")&amp;"_"&amp;TEXT(AC$1,"yyyy")),MATCH(TRIM($A66),PnL_Accounts,0))</f>
        <v>185764</v>
      </c>
      <c r="AD66" s="76">
        <f t="array" ref="AD66">INDEX(INDIRECT("PnL_"&amp;TEXT(AD$1,"mmm")&amp;"_"&amp;TEXT(AD$1,"yyyy")),MATCH(TRIM($A66),PnL_Accounts,0))</f>
        <v>175764</v>
      </c>
      <c r="AE66" s="76">
        <f t="array" ref="AE66">INDEX(INDIRECT("PnL_"&amp;TEXT(AE$1,"mmm")&amp;"_"&amp;TEXT(AE$1,"yyyy")),MATCH(TRIM($A66),PnL_Accounts,0))</f>
        <v>167469</v>
      </c>
      <c r="AF66" s="121">
        <v>150000.0</v>
      </c>
      <c r="AG66" s="121">
        <v>150000.0</v>
      </c>
      <c r="AH66" s="121">
        <v>150000.0</v>
      </c>
      <c r="AI66" s="121">
        <v>150000.0</v>
      </c>
      <c r="AJ66" s="121">
        <v>185000.0</v>
      </c>
      <c r="AK66" s="121">
        <f t="shared" ref="AK66:AY66" si="34">AJ66+15000</f>
        <v>200000</v>
      </c>
      <c r="AL66" s="121">
        <f t="shared" si="34"/>
        <v>215000</v>
      </c>
      <c r="AM66" s="121">
        <f t="shared" si="34"/>
        <v>230000</v>
      </c>
      <c r="AN66" s="121">
        <f t="shared" si="34"/>
        <v>245000</v>
      </c>
      <c r="AO66" s="121">
        <f t="shared" si="34"/>
        <v>260000</v>
      </c>
      <c r="AP66" s="121">
        <f t="shared" si="34"/>
        <v>275000</v>
      </c>
      <c r="AQ66" s="121">
        <f t="shared" si="34"/>
        <v>290000</v>
      </c>
      <c r="AR66" s="121">
        <f t="shared" si="34"/>
        <v>305000</v>
      </c>
      <c r="AS66" s="121">
        <f t="shared" si="34"/>
        <v>320000</v>
      </c>
      <c r="AT66" s="121">
        <f t="shared" si="34"/>
        <v>335000</v>
      </c>
      <c r="AU66" s="121">
        <f t="shared" si="34"/>
        <v>350000</v>
      </c>
      <c r="AV66" s="121">
        <f t="shared" si="34"/>
        <v>365000</v>
      </c>
      <c r="AW66" s="121">
        <f t="shared" si="34"/>
        <v>380000</v>
      </c>
      <c r="AX66" s="121">
        <f t="shared" si="34"/>
        <v>395000</v>
      </c>
      <c r="AY66" s="121">
        <f t="shared" si="34"/>
        <v>410000</v>
      </c>
      <c r="AZ66" s="121">
        <f t="shared" ref="AZ66:BW66" si="35">AVERAGE(AV66:AY66)/AVERAGE(AV5:AY5)*AY5</f>
        <v>395071.4143</v>
      </c>
      <c r="BA66" s="121">
        <f t="shared" si="35"/>
        <v>407737.0683</v>
      </c>
      <c r="BB66" s="121">
        <f t="shared" si="35"/>
        <v>418301.0256</v>
      </c>
      <c r="BC66" s="121">
        <f t="shared" si="35"/>
        <v>426031.6227</v>
      </c>
      <c r="BD66" s="121">
        <f t="shared" si="35"/>
        <v>430218.9432</v>
      </c>
      <c r="BE66" s="121">
        <f t="shared" si="35"/>
        <v>439399.1721</v>
      </c>
      <c r="BF66" s="121">
        <f t="shared" si="35"/>
        <v>447669.0384</v>
      </c>
      <c r="BG66" s="121">
        <f t="shared" si="35"/>
        <v>455339.708</v>
      </c>
      <c r="BH66" s="121">
        <f t="shared" si="35"/>
        <v>462994.7251</v>
      </c>
      <c r="BI66" s="121">
        <f t="shared" si="35"/>
        <v>471555.4744</v>
      </c>
      <c r="BJ66" s="121">
        <f t="shared" si="35"/>
        <v>479954.4209</v>
      </c>
      <c r="BK66" s="121">
        <f t="shared" si="35"/>
        <v>488387.0822</v>
      </c>
      <c r="BL66" s="121">
        <f t="shared" si="35"/>
        <v>497018.769</v>
      </c>
      <c r="BM66" s="121">
        <f t="shared" si="35"/>
        <v>505905.5534</v>
      </c>
      <c r="BN66" s="121">
        <f t="shared" si="35"/>
        <v>514877.4955</v>
      </c>
      <c r="BO66" s="121">
        <f t="shared" si="35"/>
        <v>523999.0989</v>
      </c>
      <c r="BP66" s="121">
        <f t="shared" si="35"/>
        <v>533300.6481</v>
      </c>
      <c r="BQ66" s="121">
        <f t="shared" si="35"/>
        <v>542777.1595</v>
      </c>
      <c r="BR66" s="121">
        <f t="shared" si="35"/>
        <v>552407.7024</v>
      </c>
      <c r="BS66" s="121">
        <f t="shared" si="35"/>
        <v>562210.2662</v>
      </c>
      <c r="BT66" s="121">
        <f t="shared" si="35"/>
        <v>572190.6908</v>
      </c>
      <c r="BU66" s="121">
        <f t="shared" si="35"/>
        <v>582348.4319</v>
      </c>
      <c r="BV66" s="121">
        <f t="shared" si="35"/>
        <v>592684.1042</v>
      </c>
      <c r="BW66" s="121">
        <f t="shared" si="35"/>
        <v>603203.9502</v>
      </c>
    </row>
    <row r="67" ht="15.75" customHeight="1">
      <c r="A67" s="1" t="s">
        <v>298</v>
      </c>
      <c r="B67" s="159"/>
      <c r="D67" s="76" t="str">
        <f t="array" ref="D67">INDEX(INDIRECT("PnL_"&amp;TEXT(D$1,"mmm")&amp;"_"&amp;TEXT(D$1,"yyyy")),MATCH(TRIM($A67),PnL_Accounts,0))</f>
        <v/>
      </c>
      <c r="E67" s="76" t="str">
        <f t="array" ref="E67">INDEX(INDIRECT("PnL_"&amp;TEXT(E$1,"mmm")&amp;"_"&amp;TEXT(E$1,"yyyy")),MATCH(TRIM($A67),PnL_Accounts,0))</f>
        <v/>
      </c>
      <c r="F67" s="76" t="str">
        <f t="array" ref="F67">INDEX(INDIRECT("PnL_"&amp;TEXT(F$1,"mmm")&amp;"_"&amp;TEXT(F$1,"yyyy")),MATCH(TRIM($A67),PnL_Accounts,0))</f>
        <v/>
      </c>
      <c r="G67" s="76" t="str">
        <f t="array" ref="G67">INDEX(INDIRECT("PnL_"&amp;TEXT(G$1,"mmm")&amp;"_"&amp;TEXT(G$1,"yyyy")),MATCH(TRIM($A67),PnL_Accounts,0))</f>
        <v/>
      </c>
      <c r="H67" s="76" t="str">
        <f t="array" ref="H67">INDEX(INDIRECT("PnL_"&amp;TEXT(H$1,"mmm")&amp;"_"&amp;TEXT(H$1,"yyyy")),MATCH(TRIM($A67),PnL_Accounts,0))</f>
        <v/>
      </c>
      <c r="I67" s="76" t="str">
        <f t="array" ref="I67">INDEX(INDIRECT("PnL_"&amp;TEXT(I$1,"mmm")&amp;"_"&amp;TEXT(I$1,"yyyy")),MATCH(TRIM($A67),PnL_Accounts,0))</f>
        <v/>
      </c>
      <c r="J67" s="76" t="str">
        <f t="array" ref="J67">INDEX(INDIRECT("PnL_"&amp;TEXT(J$1,"mmm")&amp;"_"&amp;TEXT(J$1,"yyyy")),MATCH(TRIM($A67),PnL_Accounts,0))</f>
        <v/>
      </c>
      <c r="K67" s="76" t="str">
        <f t="array" ref="K67">INDEX(INDIRECT("PnL_"&amp;TEXT(K$1,"mmm")&amp;"_"&amp;TEXT(K$1,"yyyy")),MATCH(TRIM($A67),PnL_Accounts,0))</f>
        <v/>
      </c>
      <c r="L67" s="76" t="str">
        <f t="array" ref="L67">INDEX(INDIRECT("PnL_"&amp;TEXT(L$1,"mmm")&amp;"_"&amp;TEXT(L$1,"yyyy")),MATCH(TRIM($A67),PnL_Accounts,0))</f>
        <v/>
      </c>
      <c r="M67" s="76" t="str">
        <f t="array" ref="M67">INDEX(INDIRECT("PnL_"&amp;TEXT(M$1,"mmm")&amp;"_"&amp;TEXT(M$1,"yyyy")),MATCH(TRIM($A67),PnL_Accounts,0))</f>
        <v/>
      </c>
      <c r="N67" s="76" t="str">
        <f t="array" ref="N67">INDEX(INDIRECT("PnL_"&amp;TEXT(N$1,"mmm")&amp;"_"&amp;TEXT(N$1,"yyyy")),MATCH(TRIM($A67),PnL_Accounts,0))</f>
        <v/>
      </c>
      <c r="O67" s="76" t="str">
        <f t="array" ref="O67">INDEX(INDIRECT("PnL_"&amp;TEXT(O$1,"mmm")&amp;"_"&amp;TEXT(O$1,"yyyy")),MATCH(TRIM($A67),PnL_Accounts,0))</f>
        <v/>
      </c>
      <c r="P67" s="76" t="str">
        <f t="array" ref="P67">INDEX(INDIRECT("PnL_"&amp;TEXT(P$1,"mmm")&amp;"_"&amp;TEXT(P$1,"yyyy")),MATCH(TRIM($A67),PnL_Accounts,0))</f>
        <v/>
      </c>
      <c r="Q67" s="76" t="str">
        <f t="array" ref="Q67">INDEX(INDIRECT("PnL_"&amp;TEXT(Q$1,"mmm")&amp;"_"&amp;TEXT(Q$1,"yyyy")),MATCH(TRIM($A67),PnL_Accounts,0))</f>
        <v/>
      </c>
      <c r="R67" s="76" t="str">
        <f t="array" ref="R67">INDEX(INDIRECT("PnL_"&amp;TEXT(R$1,"mmm")&amp;"_"&amp;TEXT(R$1,"yyyy")),MATCH(TRIM($A67),PnL_Accounts,0))</f>
        <v/>
      </c>
      <c r="S67" s="76" t="str">
        <f t="array" ref="S67">INDEX(INDIRECT("PnL_"&amp;TEXT(S$1,"mmm")&amp;"_"&amp;TEXT(S$1,"yyyy")),MATCH(TRIM($A67),PnL_Accounts,0))</f>
        <v/>
      </c>
      <c r="T67" s="76" t="str">
        <f t="array" ref="T67">INDEX(INDIRECT("PnL_"&amp;TEXT(T$1,"mmm")&amp;"_"&amp;TEXT(T$1,"yyyy")),MATCH(TRIM($A67),PnL_Accounts,0))</f>
        <v/>
      </c>
      <c r="U67" s="76" t="str">
        <f t="array" ref="U67">INDEX(INDIRECT("PnL_"&amp;TEXT(U$1,"mmm")&amp;"_"&amp;TEXT(U$1,"yyyy")),MATCH(TRIM($A67),PnL_Accounts,0))</f>
        <v/>
      </c>
      <c r="V67" s="76" t="str">
        <f t="array" ref="V67">INDEX(INDIRECT("PnL_"&amp;TEXT(V$1,"mmm")&amp;"_"&amp;TEXT(V$1,"yyyy")),MATCH(TRIM($A67),PnL_Accounts,0))</f>
        <v/>
      </c>
      <c r="W67" s="76" t="str">
        <f t="array" ref="W67">INDEX(INDIRECT("PnL_"&amp;TEXT(W$1,"mmm")&amp;"_"&amp;TEXT(W$1,"yyyy")),MATCH(TRIM($A67),PnL_Accounts,0))</f>
        <v/>
      </c>
      <c r="X67" s="76" t="str">
        <f t="array" ref="X67">INDEX(INDIRECT("PnL_"&amp;TEXT(X$1,"mmm")&amp;"_"&amp;TEXT(X$1,"yyyy")),MATCH(TRIM($A67),PnL_Accounts,0))</f>
        <v/>
      </c>
      <c r="Y67" s="76" t="str">
        <f t="array" ref="Y67">INDEX(INDIRECT("PnL_"&amp;TEXT(Y$1,"mmm")&amp;"_"&amp;TEXT(Y$1,"yyyy")),MATCH(TRIM($A67),PnL_Accounts,0))</f>
        <v/>
      </c>
      <c r="Z67" s="76" t="str">
        <f t="array" ref="Z67">INDEX(INDIRECT("PnL_"&amp;TEXT(Z$1,"mmm")&amp;"_"&amp;TEXT(Z$1,"yyyy")),MATCH(TRIM($A67),PnL_Accounts,0))</f>
        <v/>
      </c>
      <c r="AA67" s="76" t="str">
        <f t="array" ref="AA67">INDEX(INDIRECT("PnL_"&amp;TEXT(AA$1,"mmm")&amp;"_"&amp;TEXT(AA$1,"yyyy")),MATCH(TRIM($A67),PnL_Accounts,0))</f>
        <v/>
      </c>
      <c r="AB67" s="76" t="str">
        <f t="array" ref="AB67">INDEX(INDIRECT("PnL_"&amp;TEXT(AB$1,"mmm")&amp;"_"&amp;TEXT(AB$1,"yyyy")),MATCH(TRIM($A67),PnL_Accounts,0))</f>
        <v/>
      </c>
      <c r="AC67" s="76" t="str">
        <f t="array" ref="AC67">INDEX(INDIRECT("PnL_"&amp;TEXT(AC$1,"mmm")&amp;"_"&amp;TEXT(AC$1,"yyyy")),MATCH(TRIM($A67),PnL_Accounts,0))</f>
        <v/>
      </c>
      <c r="AD67" s="76" t="str">
        <f t="array" ref="AD67">INDEX(INDIRECT("PnL_"&amp;TEXT(AD$1,"mmm")&amp;"_"&amp;TEXT(AD$1,"yyyy")),MATCH(TRIM($A67),PnL_Accounts,0))</f>
        <v/>
      </c>
      <c r="AE67" s="76" t="str">
        <f t="array" ref="AE67">INDEX(INDIRECT("PnL_"&amp;TEXT(AE$1,"mmm")&amp;"_"&amp;TEXT(AE$1,"yyyy")),MATCH(TRIM($A67),PnL_Accounts,0))</f>
        <v/>
      </c>
    </row>
    <row r="68" ht="15.75" customHeight="1">
      <c r="A68" s="1" t="s">
        <v>299</v>
      </c>
      <c r="B68" s="160">
        <f>AVERAGEIFS(68:68,$1:$1,"&gt;="&amp;DATE(YEAR(Current_Month),MONTH(Current_Month)-2,DAY(Current_Month)),$1:$1,"&lt;="&amp;EOMONTH(Current_Month,0))</f>
        <v>1800</v>
      </c>
      <c r="D68" s="76">
        <f t="array" ref="D68">INDEX(INDIRECT("PnL_"&amp;TEXT(D$1,"mmm")&amp;"_"&amp;TEXT(D$1,"yyyy")),MATCH(TRIM($A68),PnL_Accounts,0))</f>
        <v>450</v>
      </c>
      <c r="E68" s="76">
        <f t="array" ref="E68">INDEX(INDIRECT("PnL_"&amp;TEXT(E$1,"mmm")&amp;"_"&amp;TEXT(E$1,"yyyy")),MATCH(TRIM($A68),PnL_Accounts,0))</f>
        <v>450</v>
      </c>
      <c r="F68" s="76">
        <f t="array" ref="F68">INDEX(INDIRECT("PnL_"&amp;TEXT(F$1,"mmm")&amp;"_"&amp;TEXT(F$1,"yyyy")),MATCH(TRIM($A68),PnL_Accounts,0))</f>
        <v>450</v>
      </c>
      <c r="G68" s="76">
        <f t="array" ref="G68">INDEX(INDIRECT("PnL_"&amp;TEXT(G$1,"mmm")&amp;"_"&amp;TEXT(G$1,"yyyy")),MATCH(TRIM($A68),PnL_Accounts,0))</f>
        <v>450</v>
      </c>
      <c r="H68" s="76">
        <f t="array" ref="H68">INDEX(INDIRECT("PnL_"&amp;TEXT(H$1,"mmm")&amp;"_"&amp;TEXT(H$1,"yyyy")),MATCH(TRIM($A68),PnL_Accounts,0))</f>
        <v>450</v>
      </c>
      <c r="I68" s="76">
        <f t="array" ref="I68">INDEX(INDIRECT("PnL_"&amp;TEXT(I$1,"mmm")&amp;"_"&amp;TEXT(I$1,"yyyy")),MATCH(TRIM($A68),PnL_Accounts,0))</f>
        <v>450</v>
      </c>
      <c r="J68" s="76">
        <f t="array" ref="J68">INDEX(INDIRECT("PnL_"&amp;TEXT(J$1,"mmm")&amp;"_"&amp;TEXT(J$1,"yyyy")),MATCH(TRIM($A68),PnL_Accounts,0))</f>
        <v>900</v>
      </c>
      <c r="K68" s="76">
        <f t="array" ref="K68">INDEX(INDIRECT("PnL_"&amp;TEXT(K$1,"mmm")&amp;"_"&amp;TEXT(K$1,"yyyy")),MATCH(TRIM($A68),PnL_Accounts,0))</f>
        <v>900</v>
      </c>
      <c r="L68" s="76">
        <f t="array" ref="L68">INDEX(INDIRECT("PnL_"&amp;TEXT(L$1,"mmm")&amp;"_"&amp;TEXT(L$1,"yyyy")),MATCH(TRIM($A68),PnL_Accounts,0))</f>
        <v>900</v>
      </c>
      <c r="M68" s="76">
        <f t="array" ref="M68">INDEX(INDIRECT("PnL_"&amp;TEXT(M$1,"mmm")&amp;"_"&amp;TEXT(M$1,"yyyy")),MATCH(TRIM($A68),PnL_Accounts,0))</f>
        <v>1350</v>
      </c>
      <c r="N68" s="76">
        <f t="array" ref="N68">INDEX(INDIRECT("PnL_"&amp;TEXT(N$1,"mmm")&amp;"_"&amp;TEXT(N$1,"yyyy")),MATCH(TRIM($A68),PnL_Accounts,0))</f>
        <v>1350</v>
      </c>
      <c r="O68" s="76">
        <f t="array" ref="O68">INDEX(INDIRECT("PnL_"&amp;TEXT(O$1,"mmm")&amp;"_"&amp;TEXT(O$1,"yyyy")),MATCH(TRIM($A68),PnL_Accounts,0))</f>
        <v>1350</v>
      </c>
      <c r="P68" s="76">
        <f t="array" ref="P68">INDEX(INDIRECT("PnL_"&amp;TEXT(P$1,"mmm")&amp;"_"&amp;TEXT(P$1,"yyyy")),MATCH(TRIM($A68),PnL_Accounts,0))</f>
        <v>1800</v>
      </c>
      <c r="Q68" s="76">
        <f t="array" ref="Q68">INDEX(INDIRECT("PnL_"&amp;TEXT(Q$1,"mmm")&amp;"_"&amp;TEXT(Q$1,"yyyy")),MATCH(TRIM($A68),PnL_Accounts,0))</f>
        <v>1800</v>
      </c>
      <c r="R68" s="76">
        <f t="array" ref="R68">INDEX(INDIRECT("PnL_"&amp;TEXT(R$1,"mmm")&amp;"_"&amp;TEXT(R$1,"yyyy")),MATCH(TRIM($A68),PnL_Accounts,0))</f>
        <v>1800</v>
      </c>
      <c r="S68" s="76">
        <f t="array" ref="S68">INDEX(INDIRECT("PnL_"&amp;TEXT(S$1,"mmm")&amp;"_"&amp;TEXT(S$1,"yyyy")),MATCH(TRIM($A68),PnL_Accounts,0))</f>
        <v>1800</v>
      </c>
      <c r="T68" s="76">
        <f t="array" ref="T68">INDEX(INDIRECT("PnL_"&amp;TEXT(T$1,"mmm")&amp;"_"&amp;TEXT(T$1,"yyyy")),MATCH(TRIM($A68),PnL_Accounts,0))</f>
        <v>1800</v>
      </c>
      <c r="U68" s="76">
        <f t="array" ref="U68">INDEX(INDIRECT("PnL_"&amp;TEXT(U$1,"mmm")&amp;"_"&amp;TEXT(U$1,"yyyy")),MATCH(TRIM($A68),PnL_Accounts,0))</f>
        <v>1800</v>
      </c>
      <c r="V68" s="76">
        <f t="array" ref="V68">INDEX(INDIRECT("PnL_"&amp;TEXT(V$1,"mmm")&amp;"_"&amp;TEXT(V$1,"yyyy")),MATCH(TRIM($A68),PnL_Accounts,0))</f>
        <v>1800</v>
      </c>
      <c r="W68" s="76">
        <f t="array" ref="W68">INDEX(INDIRECT("PnL_"&amp;TEXT(W$1,"mmm")&amp;"_"&amp;TEXT(W$1,"yyyy")),MATCH(TRIM($A68),PnL_Accounts,0))</f>
        <v>1800</v>
      </c>
      <c r="X68" s="76">
        <f t="array" ref="X68">INDEX(INDIRECT("PnL_"&amp;TEXT(X$1,"mmm")&amp;"_"&amp;TEXT(X$1,"yyyy")),MATCH(TRIM($A68),PnL_Accounts,0))</f>
        <v>1800</v>
      </c>
      <c r="Y68" s="76">
        <f t="array" ref="Y68">INDEX(INDIRECT("PnL_"&amp;TEXT(Y$1,"mmm")&amp;"_"&amp;TEXT(Y$1,"yyyy")),MATCH(TRIM($A68),PnL_Accounts,0))</f>
        <v>1800</v>
      </c>
      <c r="Z68" s="76">
        <f t="array" ref="Z68">INDEX(INDIRECT("PnL_"&amp;TEXT(Z$1,"mmm")&amp;"_"&amp;TEXT(Z$1,"yyyy")),MATCH(TRIM($A68),PnL_Accounts,0))</f>
        <v>1800</v>
      </c>
      <c r="AA68" s="76">
        <f t="array" ref="AA68">INDEX(INDIRECT("PnL_"&amp;TEXT(AA$1,"mmm")&amp;"_"&amp;TEXT(AA$1,"yyyy")),MATCH(TRIM($A68),PnL_Accounts,0))</f>
        <v>1800</v>
      </c>
      <c r="AB68" s="76">
        <f t="array" ref="AB68">INDEX(INDIRECT("PnL_"&amp;TEXT(AB$1,"mmm")&amp;"_"&amp;TEXT(AB$1,"yyyy")),MATCH(TRIM($A68),PnL_Accounts,0))</f>
        <v>1800</v>
      </c>
      <c r="AC68" s="76">
        <f t="array" ref="AC68">INDEX(INDIRECT("PnL_"&amp;TEXT(AC$1,"mmm")&amp;"_"&amp;TEXT(AC$1,"yyyy")),MATCH(TRIM($A68),PnL_Accounts,0))</f>
        <v>1800</v>
      </c>
      <c r="AD68" s="76">
        <f t="array" ref="AD68">INDEX(INDIRECT("PnL_"&amp;TEXT(AD$1,"mmm")&amp;"_"&amp;TEXT(AD$1,"yyyy")),MATCH(TRIM($A68),PnL_Accounts,0))</f>
        <v>1800</v>
      </c>
      <c r="AE68" s="76">
        <f t="array" ref="AE68">INDEX(INDIRECT("PnL_"&amp;TEXT(AE$1,"mmm")&amp;"_"&amp;TEXT(AE$1,"yyyy")),MATCH(TRIM($A68),PnL_Accounts,0))</f>
        <v>1800</v>
      </c>
      <c r="AF68" s="39">
        <f t="array" ref="AF68">INDEX(Hiring_Plan_Benefits_Marketing_Worst_Case,MATCH(AF$1,Hiring_Plan_Months_Worst_Case,0))</f>
        <v>2033.333333</v>
      </c>
      <c r="AG68" s="39">
        <f t="array" ref="AG68">INDEX(Hiring_Plan_Benefits_Marketing_Worst_Case,MATCH(AG$1,Hiring_Plan_Months_Worst_Case,0))</f>
        <v>2033.333333</v>
      </c>
      <c r="AH68" s="39">
        <f t="array" ref="AH68">INDEX(Hiring_Plan_Benefits_Marketing_Worst_Case,MATCH(AH$1,Hiring_Plan_Months_Worst_Case,0))</f>
        <v>2033.333333</v>
      </c>
      <c r="AI68" s="39">
        <f t="array" ref="AI68">INDEX(Hiring_Plan_Benefits_Marketing_Worst_Case,MATCH(AI$1,Hiring_Plan_Months_Worst_Case,0))</f>
        <v>2033.333333</v>
      </c>
      <c r="AJ68" s="39">
        <f t="array" ref="AJ68">INDEX(Hiring_Plan_Benefits_Marketing_Worst_Case,MATCH(AJ$1,Hiring_Plan_Months_Worst_Case,0))</f>
        <v>2033.333333</v>
      </c>
      <c r="AK68" s="39">
        <f t="array" ref="AK68">INDEX(Hiring_Plan_Benefits_Marketing_Worst_Case,MATCH(AK$1,Hiring_Plan_Months_Worst_Case,0))</f>
        <v>2033.333333</v>
      </c>
      <c r="AL68" s="39">
        <f t="array" ref="AL68">INDEX(Hiring_Plan_Benefits_Marketing_Worst_Case,MATCH(AL$1,Hiring_Plan_Months_Worst_Case,0))</f>
        <v>2033.333333</v>
      </c>
      <c r="AM68" s="39">
        <f t="array" ref="AM68">INDEX(Hiring_Plan_Benefits_Marketing_Worst_Case,MATCH(AM$1,Hiring_Plan_Months_Worst_Case,0))</f>
        <v>2033.333333</v>
      </c>
      <c r="AN68" s="39">
        <f t="array" ref="AN68">INDEX(Hiring_Plan_Benefits_Marketing_Worst_Case,MATCH(AN$1,Hiring_Plan_Months_Worst_Case,0))</f>
        <v>2033.333333</v>
      </c>
      <c r="AO68" s="39">
        <f t="array" ref="AO68">INDEX(Hiring_Plan_Benefits_Marketing_Worst_Case,MATCH(AO$1,Hiring_Plan_Months_Worst_Case,0))</f>
        <v>2033.333333</v>
      </c>
      <c r="AP68" s="39">
        <f t="array" ref="AP68">INDEX(Hiring_Plan_Benefits_Marketing_Worst_Case,MATCH(AP$1,Hiring_Plan_Months_Worst_Case,0))</f>
        <v>2033.333333</v>
      </c>
      <c r="AQ68" s="39">
        <f t="array" ref="AQ68">INDEX(Hiring_Plan_Benefits_Marketing_Worst_Case,MATCH(AQ$1,Hiring_Plan_Months_Worst_Case,0))</f>
        <v>2033.333333</v>
      </c>
      <c r="AR68" s="39">
        <f t="array" ref="AR68">INDEX(Hiring_Plan_Benefits_Marketing_Worst_Case,MATCH(AR$1,Hiring_Plan_Months_Worst_Case,0))</f>
        <v>2033.333333</v>
      </c>
      <c r="AS68" s="39">
        <f t="array" ref="AS68">INDEX(Hiring_Plan_Benefits_Marketing_Worst_Case,MATCH(AS$1,Hiring_Plan_Months_Worst_Case,0))</f>
        <v>2033.333333</v>
      </c>
      <c r="AT68" s="39">
        <f t="array" ref="AT68">INDEX(Hiring_Plan_Benefits_Marketing_Worst_Case,MATCH(AT$1,Hiring_Plan_Months_Worst_Case,0))</f>
        <v>2033.333333</v>
      </c>
      <c r="AU68" s="39">
        <f t="array" ref="AU68">INDEX(Hiring_Plan_Benefits_Marketing_Worst_Case,MATCH(AU$1,Hiring_Plan_Months_Worst_Case,0))</f>
        <v>2033.333333</v>
      </c>
      <c r="AV68" s="39">
        <f t="array" ref="AV68">INDEX(Hiring_Plan_Benefits_Marketing_Worst_Case,MATCH(AV$1,Hiring_Plan_Months_Worst_Case,0))</f>
        <v>2033.333333</v>
      </c>
      <c r="AW68" s="39">
        <f t="array" ref="AW68">INDEX(Hiring_Plan_Benefits_Marketing_Worst_Case,MATCH(AW$1,Hiring_Plan_Months_Worst_Case,0))</f>
        <v>2033.333333</v>
      </c>
      <c r="AX68" s="39">
        <f t="array" ref="AX68">INDEX(Hiring_Plan_Benefits_Marketing_Worst_Case,MATCH(AX$1,Hiring_Plan_Months_Worst_Case,0))</f>
        <v>2033.333333</v>
      </c>
      <c r="AY68" s="39">
        <f t="array" ref="AY68">INDEX(Hiring_Plan_Benefits_Marketing_Worst_Case,MATCH(AY$1,Hiring_Plan_Months_Worst_Case,0))</f>
        <v>2033.333333</v>
      </c>
      <c r="AZ68" s="39">
        <f t="array" ref="AZ68">INDEX(Hiring_Plan_Benefits_Marketing_Worst_Case,MATCH(AZ$1,Hiring_Plan_Months_Worst_Case,0))</f>
        <v>2033.333333</v>
      </c>
      <c r="BA68" s="39">
        <f t="array" ref="BA68">INDEX(Hiring_Plan_Benefits_Marketing_Worst_Case,MATCH(BA$1,Hiring_Plan_Months_Worst_Case,0))</f>
        <v>2033.333333</v>
      </c>
      <c r="BB68" s="39">
        <f t="array" ref="BB68">INDEX(Hiring_Plan_Benefits_Marketing_Worst_Case,MATCH(BB$1,Hiring_Plan_Months_Worst_Case,0))</f>
        <v>2033.333333</v>
      </c>
      <c r="BC68" s="39">
        <f t="array" ref="BC68">INDEX(Hiring_Plan_Benefits_Marketing_Worst_Case,MATCH(BC$1,Hiring_Plan_Months_Worst_Case,0))</f>
        <v>2033.333333</v>
      </c>
      <c r="BD68" s="39">
        <f t="array" ref="BD68">INDEX(Hiring_Plan_Benefits_Marketing_Worst_Case,MATCH(BD$1,Hiring_Plan_Months_Worst_Case,0))</f>
        <v>2033.333333</v>
      </c>
      <c r="BE68" s="39">
        <f t="array" ref="BE68">INDEX(Hiring_Plan_Benefits_Marketing_Worst_Case,MATCH(BE$1,Hiring_Plan_Months_Worst_Case,0))</f>
        <v>2033.333333</v>
      </c>
      <c r="BF68" s="39">
        <f t="array" ref="BF68">INDEX(Hiring_Plan_Benefits_Marketing_Worst_Case,MATCH(BF$1,Hiring_Plan_Months_Worst_Case,0))</f>
        <v>2033.333333</v>
      </c>
      <c r="BG68" s="39">
        <f t="array" ref="BG68">INDEX(Hiring_Plan_Benefits_Marketing_Worst_Case,MATCH(BG$1,Hiring_Plan_Months_Worst_Case,0))</f>
        <v>2033.333333</v>
      </c>
      <c r="BH68" s="39">
        <f t="array" ref="BH68">INDEX(Hiring_Plan_Benefits_Marketing_Worst_Case,MATCH(BH$1,Hiring_Plan_Months_Worst_Case,0))</f>
        <v>2033.333333</v>
      </c>
      <c r="BI68" s="39">
        <f t="array" ref="BI68">INDEX(Hiring_Plan_Benefits_Marketing_Worst_Case,MATCH(BI$1,Hiring_Plan_Months_Worst_Case,0))</f>
        <v>2033.333333</v>
      </c>
      <c r="BJ68" s="39">
        <f t="array" ref="BJ68">INDEX(Hiring_Plan_Benefits_Marketing_Worst_Case,MATCH(BJ$1,Hiring_Plan_Months_Worst_Case,0))</f>
        <v>2033.333333</v>
      </c>
      <c r="BK68" s="39">
        <f t="array" ref="BK68">INDEX(Hiring_Plan_Benefits_Marketing_Worst_Case,MATCH(BK$1,Hiring_Plan_Months_Worst_Case,0))</f>
        <v>2033.333333</v>
      </c>
      <c r="BL68" s="39">
        <f t="array" ref="BL68">INDEX(Hiring_Plan_Benefits_Marketing_Worst_Case,MATCH(BL$1,Hiring_Plan_Months_Worst_Case,0))</f>
        <v>2033.333333</v>
      </c>
      <c r="BM68" s="39">
        <f t="array" ref="BM68">INDEX(Hiring_Plan_Benefits_Marketing_Worst_Case,MATCH(BM$1,Hiring_Plan_Months_Worst_Case,0))</f>
        <v>2033.333333</v>
      </c>
      <c r="BN68" s="39">
        <f t="array" ref="BN68">INDEX(Hiring_Plan_Benefits_Marketing_Worst_Case,MATCH(BN$1,Hiring_Plan_Months_Worst_Case,0))</f>
        <v>2033.333333</v>
      </c>
      <c r="BO68" s="39">
        <f t="array" ref="BO68">INDEX(Hiring_Plan_Benefits_Marketing_Worst_Case,MATCH(BO$1,Hiring_Plan_Months_Worst_Case,0))</f>
        <v>2033.333333</v>
      </c>
      <c r="BP68" s="39">
        <f t="array" ref="BP68">INDEX(Hiring_Plan_Benefits_Marketing_Worst_Case,MATCH(BP$1,Hiring_Plan_Months_Worst_Case,0))</f>
        <v>2033.333333</v>
      </c>
      <c r="BQ68" s="39">
        <f t="array" ref="BQ68">INDEX(Hiring_Plan_Benefits_Marketing_Worst_Case,MATCH(BQ$1,Hiring_Plan_Months_Worst_Case,0))</f>
        <v>2033.333333</v>
      </c>
      <c r="BR68" s="39">
        <f t="array" ref="BR68">INDEX(Hiring_Plan_Benefits_Marketing_Worst_Case,MATCH(BR$1,Hiring_Plan_Months_Worst_Case,0))</f>
        <v>2033.333333</v>
      </c>
      <c r="BS68" s="39">
        <f t="array" ref="BS68">INDEX(Hiring_Plan_Benefits_Marketing_Worst_Case,MATCH(BS$1,Hiring_Plan_Months_Worst_Case,0))</f>
        <v>2033.333333</v>
      </c>
      <c r="BT68" s="39">
        <f t="array" ref="BT68">INDEX(Hiring_Plan_Benefits_Marketing_Worst_Case,MATCH(BT$1,Hiring_Plan_Months_Worst_Case,0))</f>
        <v>2033.333333</v>
      </c>
      <c r="BU68" s="39">
        <f t="array" ref="BU68">INDEX(Hiring_Plan_Benefits_Marketing_Worst_Case,MATCH(BU$1,Hiring_Plan_Months_Worst_Case,0))</f>
        <v>2033.333333</v>
      </c>
      <c r="BV68" s="39">
        <f t="array" ref="BV68">INDEX(Hiring_Plan_Benefits_Marketing_Worst_Case,MATCH(BV$1,Hiring_Plan_Months_Worst_Case,0))</f>
        <v>2033.333333</v>
      </c>
      <c r="BW68" s="39">
        <f t="array" ref="BW68">INDEX(Hiring_Plan_Benefits_Marketing_Worst_Case,MATCH(BW$1,Hiring_Plan_Months_Worst_Case,0))</f>
        <v>2033.333333</v>
      </c>
    </row>
    <row r="69" ht="15.75" customHeight="1">
      <c r="A69" s="1" t="s">
        <v>300</v>
      </c>
      <c r="B69" s="160">
        <f>AVERAGEIFS(69:69,$1:$1,"&gt;="&amp;DATE(YEAR(Current_Month),MONTH(Current_Month)-2,DAY(Current_Month)),$1:$1,"&lt;="&amp;EOMONTH(Current_Month,0))</f>
        <v>2115</v>
      </c>
      <c r="D69" s="76">
        <f t="array" ref="D69">INDEX(INDIRECT("PnL_"&amp;TEXT(D$1,"mmm")&amp;"_"&amp;TEXT(D$1,"yyyy")),MATCH(TRIM($A69),PnL_Accounts,0))</f>
        <v>529</v>
      </c>
      <c r="E69" s="76">
        <f t="array" ref="E69">INDEX(INDIRECT("PnL_"&amp;TEXT(E$1,"mmm")&amp;"_"&amp;TEXT(E$1,"yyyy")),MATCH(TRIM($A69),PnL_Accounts,0))</f>
        <v>529</v>
      </c>
      <c r="F69" s="76">
        <f t="array" ref="F69">INDEX(INDIRECT("PnL_"&amp;TEXT(F$1,"mmm")&amp;"_"&amp;TEXT(F$1,"yyyy")),MATCH(TRIM($A69),PnL_Accounts,0))</f>
        <v>529</v>
      </c>
      <c r="G69" s="76">
        <f t="array" ref="G69">INDEX(INDIRECT("PnL_"&amp;TEXT(G$1,"mmm")&amp;"_"&amp;TEXT(G$1,"yyyy")),MATCH(TRIM($A69),PnL_Accounts,0))</f>
        <v>529</v>
      </c>
      <c r="H69" s="76">
        <f t="array" ref="H69">INDEX(INDIRECT("PnL_"&amp;TEXT(H$1,"mmm")&amp;"_"&amp;TEXT(H$1,"yyyy")),MATCH(TRIM($A69),PnL_Accounts,0))</f>
        <v>529</v>
      </c>
      <c r="I69" s="76">
        <f t="array" ref="I69">INDEX(INDIRECT("PnL_"&amp;TEXT(I$1,"mmm")&amp;"_"&amp;TEXT(I$1,"yyyy")),MATCH(TRIM($A69),PnL_Accounts,0))</f>
        <v>529</v>
      </c>
      <c r="J69" s="76">
        <f t="array" ref="J69">INDEX(INDIRECT("PnL_"&amp;TEXT(J$1,"mmm")&amp;"_"&amp;TEXT(J$1,"yyyy")),MATCH(TRIM($A69),PnL_Accounts,0))</f>
        <v>1058</v>
      </c>
      <c r="K69" s="76">
        <f t="array" ref="K69">INDEX(INDIRECT("PnL_"&amp;TEXT(K$1,"mmm")&amp;"_"&amp;TEXT(K$1,"yyyy")),MATCH(TRIM($A69),PnL_Accounts,0))</f>
        <v>1058</v>
      </c>
      <c r="L69" s="76">
        <f t="array" ref="L69">INDEX(INDIRECT("PnL_"&amp;TEXT(L$1,"mmm")&amp;"_"&amp;TEXT(L$1,"yyyy")),MATCH(TRIM($A69),PnL_Accounts,0))</f>
        <v>1058</v>
      </c>
      <c r="M69" s="76">
        <f t="array" ref="M69">INDEX(INDIRECT("PnL_"&amp;TEXT(M$1,"mmm")&amp;"_"&amp;TEXT(M$1,"yyyy")),MATCH(TRIM($A69),PnL_Accounts,0))</f>
        <v>1586</v>
      </c>
      <c r="N69" s="76">
        <f t="array" ref="N69">INDEX(INDIRECT("PnL_"&amp;TEXT(N$1,"mmm")&amp;"_"&amp;TEXT(N$1,"yyyy")),MATCH(TRIM($A69),PnL_Accounts,0))</f>
        <v>1586</v>
      </c>
      <c r="O69" s="76">
        <f t="array" ref="O69">INDEX(INDIRECT("PnL_"&amp;TEXT(O$1,"mmm")&amp;"_"&amp;TEXT(O$1,"yyyy")),MATCH(TRIM($A69),PnL_Accounts,0))</f>
        <v>1586</v>
      </c>
      <c r="P69" s="76">
        <f t="array" ref="P69">INDEX(INDIRECT("PnL_"&amp;TEXT(P$1,"mmm")&amp;"_"&amp;TEXT(P$1,"yyyy")),MATCH(TRIM($A69),PnL_Accounts,0))</f>
        <v>2115</v>
      </c>
      <c r="Q69" s="76">
        <f t="array" ref="Q69">INDEX(INDIRECT("PnL_"&amp;TEXT(Q$1,"mmm")&amp;"_"&amp;TEXT(Q$1,"yyyy")),MATCH(TRIM($A69),PnL_Accounts,0))</f>
        <v>2115</v>
      </c>
      <c r="R69" s="76">
        <f t="array" ref="R69">INDEX(INDIRECT("PnL_"&amp;TEXT(R$1,"mmm")&amp;"_"&amp;TEXT(R$1,"yyyy")),MATCH(TRIM($A69),PnL_Accounts,0))</f>
        <v>2115</v>
      </c>
      <c r="S69" s="76">
        <f t="array" ref="S69">INDEX(INDIRECT("PnL_"&amp;TEXT(S$1,"mmm")&amp;"_"&amp;TEXT(S$1,"yyyy")),MATCH(TRIM($A69),PnL_Accounts,0))</f>
        <v>2115</v>
      </c>
      <c r="T69" s="76">
        <f t="array" ref="T69">INDEX(INDIRECT("PnL_"&amp;TEXT(T$1,"mmm")&amp;"_"&amp;TEXT(T$1,"yyyy")),MATCH(TRIM($A69),PnL_Accounts,0))</f>
        <v>2115</v>
      </c>
      <c r="U69" s="76">
        <f t="array" ref="U69">INDEX(INDIRECT("PnL_"&amp;TEXT(U$1,"mmm")&amp;"_"&amp;TEXT(U$1,"yyyy")),MATCH(TRIM($A69),PnL_Accounts,0))</f>
        <v>2115</v>
      </c>
      <c r="V69" s="76">
        <f t="array" ref="V69">INDEX(INDIRECT("PnL_"&amp;TEXT(V$1,"mmm")&amp;"_"&amp;TEXT(V$1,"yyyy")),MATCH(TRIM($A69),PnL_Accounts,0))</f>
        <v>2115</v>
      </c>
      <c r="W69" s="76">
        <f t="array" ref="W69">INDEX(INDIRECT("PnL_"&amp;TEXT(W$1,"mmm")&amp;"_"&amp;TEXT(W$1,"yyyy")),MATCH(TRIM($A69),PnL_Accounts,0))</f>
        <v>2115</v>
      </c>
      <c r="X69" s="76">
        <f t="array" ref="X69">INDEX(INDIRECT("PnL_"&amp;TEXT(X$1,"mmm")&amp;"_"&amp;TEXT(X$1,"yyyy")),MATCH(TRIM($A69),PnL_Accounts,0))</f>
        <v>2115</v>
      </c>
      <c r="Y69" s="76">
        <f t="array" ref="Y69">INDEX(INDIRECT("PnL_"&amp;TEXT(Y$1,"mmm")&amp;"_"&amp;TEXT(Y$1,"yyyy")),MATCH(TRIM($A69),PnL_Accounts,0))</f>
        <v>2115</v>
      </c>
      <c r="Z69" s="76">
        <f t="array" ref="Z69">INDEX(INDIRECT("PnL_"&amp;TEXT(Z$1,"mmm")&amp;"_"&amp;TEXT(Z$1,"yyyy")),MATCH(TRIM($A69),PnL_Accounts,0))</f>
        <v>2115</v>
      </c>
      <c r="AA69" s="76">
        <f t="array" ref="AA69">INDEX(INDIRECT("PnL_"&amp;TEXT(AA$1,"mmm")&amp;"_"&amp;TEXT(AA$1,"yyyy")),MATCH(TRIM($A69),PnL_Accounts,0))</f>
        <v>2115</v>
      </c>
      <c r="AB69" s="76">
        <f t="array" ref="AB69">INDEX(INDIRECT("PnL_"&amp;TEXT(AB$1,"mmm")&amp;"_"&amp;TEXT(AB$1,"yyyy")),MATCH(TRIM($A69),PnL_Accounts,0))</f>
        <v>2115</v>
      </c>
      <c r="AC69" s="76">
        <f t="array" ref="AC69">INDEX(INDIRECT("PnL_"&amp;TEXT(AC$1,"mmm")&amp;"_"&amp;TEXT(AC$1,"yyyy")),MATCH(TRIM($A69),PnL_Accounts,0))</f>
        <v>2115</v>
      </c>
      <c r="AD69" s="76">
        <f t="array" ref="AD69">INDEX(INDIRECT("PnL_"&amp;TEXT(AD$1,"mmm")&amp;"_"&amp;TEXT(AD$1,"yyyy")),MATCH(TRIM($A69),PnL_Accounts,0))</f>
        <v>2115</v>
      </c>
      <c r="AE69" s="76">
        <f t="array" ref="AE69">INDEX(INDIRECT("PnL_"&amp;TEXT(AE$1,"mmm")&amp;"_"&amp;TEXT(AE$1,"yyyy")),MATCH(TRIM($A69),PnL_Accounts,0))</f>
        <v>2115</v>
      </c>
      <c r="AF69" s="39">
        <f t="array" ref="AF69">INDEX(Hiring_Plan_Payroll_Taxes_Marketing_Worst_Case,MATCH(AF$1,Hiring_Plan_Months_Worst_Case,0))</f>
        <v>2325</v>
      </c>
      <c r="AG69" s="39">
        <f t="array" ref="AG69">INDEX(Hiring_Plan_Payroll_Taxes_Marketing_Worst_Case,MATCH(AG$1,Hiring_Plan_Months_Worst_Case,0))</f>
        <v>2325</v>
      </c>
      <c r="AH69" s="39">
        <f t="array" ref="AH69">INDEX(Hiring_Plan_Payroll_Taxes_Marketing_Worst_Case,MATCH(AH$1,Hiring_Plan_Months_Worst_Case,0))</f>
        <v>2325</v>
      </c>
      <c r="AI69" s="39">
        <f t="array" ref="AI69">INDEX(Hiring_Plan_Payroll_Taxes_Marketing_Worst_Case,MATCH(AI$1,Hiring_Plan_Months_Worst_Case,0))</f>
        <v>2325</v>
      </c>
      <c r="AJ69" s="39">
        <f t="array" ref="AJ69">INDEX(Hiring_Plan_Payroll_Taxes_Marketing_Worst_Case,MATCH(AJ$1,Hiring_Plan_Months_Worst_Case,0))</f>
        <v>2325</v>
      </c>
      <c r="AK69" s="39">
        <f t="array" ref="AK69">INDEX(Hiring_Plan_Payroll_Taxes_Marketing_Worst_Case,MATCH(AK$1,Hiring_Plan_Months_Worst_Case,0))</f>
        <v>2325</v>
      </c>
      <c r="AL69" s="39">
        <f t="array" ref="AL69">INDEX(Hiring_Plan_Payroll_Taxes_Marketing_Worst_Case,MATCH(AL$1,Hiring_Plan_Months_Worst_Case,0))</f>
        <v>2325</v>
      </c>
      <c r="AM69" s="39">
        <f t="array" ref="AM69">INDEX(Hiring_Plan_Payroll_Taxes_Marketing_Worst_Case,MATCH(AM$1,Hiring_Plan_Months_Worst_Case,0))</f>
        <v>2325</v>
      </c>
      <c r="AN69" s="39">
        <f t="array" ref="AN69">INDEX(Hiring_Plan_Payroll_Taxes_Marketing_Worst_Case,MATCH(AN$1,Hiring_Plan_Months_Worst_Case,0))</f>
        <v>2325</v>
      </c>
      <c r="AO69" s="39">
        <f t="array" ref="AO69">INDEX(Hiring_Plan_Payroll_Taxes_Marketing_Worst_Case,MATCH(AO$1,Hiring_Plan_Months_Worst_Case,0))</f>
        <v>2325</v>
      </c>
      <c r="AP69" s="39">
        <f t="array" ref="AP69">INDEX(Hiring_Plan_Payroll_Taxes_Marketing_Worst_Case,MATCH(AP$1,Hiring_Plan_Months_Worst_Case,0))</f>
        <v>2325</v>
      </c>
      <c r="AQ69" s="39">
        <f t="array" ref="AQ69">INDEX(Hiring_Plan_Payroll_Taxes_Marketing_Worst_Case,MATCH(AQ$1,Hiring_Plan_Months_Worst_Case,0))</f>
        <v>2325</v>
      </c>
      <c r="AR69" s="39">
        <f t="array" ref="AR69">INDEX(Hiring_Plan_Payroll_Taxes_Marketing_Worst_Case,MATCH(AR$1,Hiring_Plan_Months_Worst_Case,0))</f>
        <v>2325</v>
      </c>
      <c r="AS69" s="39">
        <f t="array" ref="AS69">INDEX(Hiring_Plan_Payroll_Taxes_Marketing_Worst_Case,MATCH(AS$1,Hiring_Plan_Months_Worst_Case,0))</f>
        <v>2325</v>
      </c>
      <c r="AT69" s="39">
        <f t="array" ref="AT69">INDEX(Hiring_Plan_Payroll_Taxes_Marketing_Worst_Case,MATCH(AT$1,Hiring_Plan_Months_Worst_Case,0))</f>
        <v>2325</v>
      </c>
      <c r="AU69" s="39">
        <f t="array" ref="AU69">INDEX(Hiring_Plan_Payroll_Taxes_Marketing_Worst_Case,MATCH(AU$1,Hiring_Plan_Months_Worst_Case,0))</f>
        <v>2325</v>
      </c>
      <c r="AV69" s="39">
        <f t="array" ref="AV69">INDEX(Hiring_Plan_Payroll_Taxes_Marketing_Worst_Case,MATCH(AV$1,Hiring_Plan_Months_Worst_Case,0))</f>
        <v>2325</v>
      </c>
      <c r="AW69" s="39">
        <f t="array" ref="AW69">INDEX(Hiring_Plan_Payroll_Taxes_Marketing_Worst_Case,MATCH(AW$1,Hiring_Plan_Months_Worst_Case,0))</f>
        <v>2325</v>
      </c>
      <c r="AX69" s="39">
        <f t="array" ref="AX69">INDEX(Hiring_Plan_Payroll_Taxes_Marketing_Worst_Case,MATCH(AX$1,Hiring_Plan_Months_Worst_Case,0))</f>
        <v>2325</v>
      </c>
      <c r="AY69" s="39">
        <f t="array" ref="AY69">INDEX(Hiring_Plan_Payroll_Taxes_Marketing_Worst_Case,MATCH(AY$1,Hiring_Plan_Months_Worst_Case,0))</f>
        <v>2325</v>
      </c>
      <c r="AZ69" s="39">
        <f t="array" ref="AZ69">INDEX(Hiring_Plan_Payroll_Taxes_Marketing_Worst_Case,MATCH(AZ$1,Hiring_Plan_Months_Worst_Case,0))</f>
        <v>2325</v>
      </c>
      <c r="BA69" s="39">
        <f t="array" ref="BA69">INDEX(Hiring_Plan_Payroll_Taxes_Marketing_Worst_Case,MATCH(BA$1,Hiring_Plan_Months_Worst_Case,0))</f>
        <v>2325</v>
      </c>
      <c r="BB69" s="39">
        <f t="array" ref="BB69">INDEX(Hiring_Plan_Payroll_Taxes_Marketing_Worst_Case,MATCH(BB$1,Hiring_Plan_Months_Worst_Case,0))</f>
        <v>2325</v>
      </c>
      <c r="BC69" s="39">
        <f t="array" ref="BC69">INDEX(Hiring_Plan_Payroll_Taxes_Marketing_Worst_Case,MATCH(BC$1,Hiring_Plan_Months_Worst_Case,0))</f>
        <v>2325</v>
      </c>
      <c r="BD69" s="39">
        <f t="array" ref="BD69">INDEX(Hiring_Plan_Payroll_Taxes_Marketing_Worst_Case,MATCH(BD$1,Hiring_Plan_Months_Worst_Case,0))</f>
        <v>2325</v>
      </c>
      <c r="BE69" s="39">
        <f t="array" ref="BE69">INDEX(Hiring_Plan_Payroll_Taxes_Marketing_Worst_Case,MATCH(BE$1,Hiring_Plan_Months_Worst_Case,0))</f>
        <v>2325</v>
      </c>
      <c r="BF69" s="39">
        <f t="array" ref="BF69">INDEX(Hiring_Plan_Payroll_Taxes_Marketing_Worst_Case,MATCH(BF$1,Hiring_Plan_Months_Worst_Case,0))</f>
        <v>2325</v>
      </c>
      <c r="BG69" s="39">
        <f t="array" ref="BG69">INDEX(Hiring_Plan_Payroll_Taxes_Marketing_Worst_Case,MATCH(BG$1,Hiring_Plan_Months_Worst_Case,0))</f>
        <v>2325</v>
      </c>
      <c r="BH69" s="39">
        <f t="array" ref="BH69">INDEX(Hiring_Plan_Payroll_Taxes_Marketing_Worst_Case,MATCH(BH$1,Hiring_Plan_Months_Worst_Case,0))</f>
        <v>2325</v>
      </c>
      <c r="BI69" s="39">
        <f t="array" ref="BI69">INDEX(Hiring_Plan_Payroll_Taxes_Marketing_Worst_Case,MATCH(BI$1,Hiring_Plan_Months_Worst_Case,0))</f>
        <v>2325</v>
      </c>
      <c r="BJ69" s="39">
        <f t="array" ref="BJ69">INDEX(Hiring_Plan_Payroll_Taxes_Marketing_Worst_Case,MATCH(BJ$1,Hiring_Plan_Months_Worst_Case,0))</f>
        <v>2325</v>
      </c>
      <c r="BK69" s="39">
        <f t="array" ref="BK69">INDEX(Hiring_Plan_Payroll_Taxes_Marketing_Worst_Case,MATCH(BK$1,Hiring_Plan_Months_Worst_Case,0))</f>
        <v>2325</v>
      </c>
      <c r="BL69" s="39">
        <f t="array" ref="BL69">INDEX(Hiring_Plan_Payroll_Taxes_Marketing_Worst_Case,MATCH(BL$1,Hiring_Plan_Months_Worst_Case,0))</f>
        <v>2325</v>
      </c>
      <c r="BM69" s="39">
        <f t="array" ref="BM69">INDEX(Hiring_Plan_Payroll_Taxes_Marketing_Worst_Case,MATCH(BM$1,Hiring_Plan_Months_Worst_Case,0))</f>
        <v>2325</v>
      </c>
      <c r="BN69" s="39">
        <f t="array" ref="BN69">INDEX(Hiring_Plan_Payroll_Taxes_Marketing_Worst_Case,MATCH(BN$1,Hiring_Plan_Months_Worst_Case,0))</f>
        <v>2325</v>
      </c>
      <c r="BO69" s="39">
        <f t="array" ref="BO69">INDEX(Hiring_Plan_Payroll_Taxes_Marketing_Worst_Case,MATCH(BO$1,Hiring_Plan_Months_Worst_Case,0))</f>
        <v>2325</v>
      </c>
      <c r="BP69" s="39">
        <f t="array" ref="BP69">INDEX(Hiring_Plan_Payroll_Taxes_Marketing_Worst_Case,MATCH(BP$1,Hiring_Plan_Months_Worst_Case,0))</f>
        <v>2325</v>
      </c>
      <c r="BQ69" s="39">
        <f t="array" ref="BQ69">INDEX(Hiring_Plan_Payroll_Taxes_Marketing_Worst_Case,MATCH(BQ$1,Hiring_Plan_Months_Worst_Case,0))</f>
        <v>2325</v>
      </c>
      <c r="BR69" s="39">
        <f t="array" ref="BR69">INDEX(Hiring_Plan_Payroll_Taxes_Marketing_Worst_Case,MATCH(BR$1,Hiring_Plan_Months_Worst_Case,0))</f>
        <v>2325</v>
      </c>
      <c r="BS69" s="39">
        <f t="array" ref="BS69">INDEX(Hiring_Plan_Payroll_Taxes_Marketing_Worst_Case,MATCH(BS$1,Hiring_Plan_Months_Worst_Case,0))</f>
        <v>2325</v>
      </c>
      <c r="BT69" s="39">
        <f t="array" ref="BT69">INDEX(Hiring_Plan_Payroll_Taxes_Marketing_Worst_Case,MATCH(BT$1,Hiring_Plan_Months_Worst_Case,0))</f>
        <v>2325</v>
      </c>
      <c r="BU69" s="39">
        <f t="array" ref="BU69">INDEX(Hiring_Plan_Payroll_Taxes_Marketing_Worst_Case,MATCH(BU$1,Hiring_Plan_Months_Worst_Case,0))</f>
        <v>2325</v>
      </c>
      <c r="BV69" s="39">
        <f t="array" ref="BV69">INDEX(Hiring_Plan_Payroll_Taxes_Marketing_Worst_Case,MATCH(BV$1,Hiring_Plan_Months_Worst_Case,0))</f>
        <v>2325</v>
      </c>
      <c r="BW69" s="39">
        <f t="array" ref="BW69">INDEX(Hiring_Plan_Payroll_Taxes_Marketing_Worst_Case,MATCH(BW$1,Hiring_Plan_Months_Worst_Case,0))</f>
        <v>2325</v>
      </c>
    </row>
    <row r="70" ht="15.75" customHeight="1">
      <c r="A70" s="1" t="s">
        <v>301</v>
      </c>
      <c r="B70" s="160">
        <f>AVERAGEIFS(70:70,$1:$1,"&gt;="&amp;DATE(YEAR(Current_Month),MONTH(Current_Month)-2,DAY(Current_Month)),$1:$1,"&lt;="&amp;EOMONTH(Current_Month,0))</f>
        <v>23500</v>
      </c>
      <c r="D70" s="76">
        <f t="array" ref="D70">INDEX(INDIRECT("PnL_"&amp;TEXT(D$1,"mmm")&amp;"_"&amp;TEXT(D$1,"yyyy")),MATCH(TRIM($A70),PnL_Accounts,0))</f>
        <v>5875</v>
      </c>
      <c r="E70" s="76">
        <f t="array" ref="E70">INDEX(INDIRECT("PnL_"&amp;TEXT(E$1,"mmm")&amp;"_"&amp;TEXT(E$1,"yyyy")),MATCH(TRIM($A70),PnL_Accounts,0))</f>
        <v>5875</v>
      </c>
      <c r="F70" s="76">
        <f t="array" ref="F70">INDEX(INDIRECT("PnL_"&amp;TEXT(F$1,"mmm")&amp;"_"&amp;TEXT(F$1,"yyyy")),MATCH(TRIM($A70),PnL_Accounts,0))</f>
        <v>5875</v>
      </c>
      <c r="G70" s="76">
        <f t="array" ref="G70">INDEX(INDIRECT("PnL_"&amp;TEXT(G$1,"mmm")&amp;"_"&amp;TEXT(G$1,"yyyy")),MATCH(TRIM($A70),PnL_Accounts,0))</f>
        <v>5875</v>
      </c>
      <c r="H70" s="76">
        <f t="array" ref="H70">INDEX(INDIRECT("PnL_"&amp;TEXT(H$1,"mmm")&amp;"_"&amp;TEXT(H$1,"yyyy")),MATCH(TRIM($A70),PnL_Accounts,0))</f>
        <v>5875</v>
      </c>
      <c r="I70" s="76">
        <f t="array" ref="I70">INDEX(INDIRECT("PnL_"&amp;TEXT(I$1,"mmm")&amp;"_"&amp;TEXT(I$1,"yyyy")),MATCH(TRIM($A70),PnL_Accounts,0))</f>
        <v>5875</v>
      </c>
      <c r="J70" s="76">
        <f t="array" ref="J70">INDEX(INDIRECT("PnL_"&amp;TEXT(J$1,"mmm")&amp;"_"&amp;TEXT(J$1,"yyyy")),MATCH(TRIM($A70),PnL_Accounts,0))</f>
        <v>11750</v>
      </c>
      <c r="K70" s="76">
        <f t="array" ref="K70">INDEX(INDIRECT("PnL_"&amp;TEXT(K$1,"mmm")&amp;"_"&amp;TEXT(K$1,"yyyy")),MATCH(TRIM($A70),PnL_Accounts,0))</f>
        <v>11750</v>
      </c>
      <c r="L70" s="76">
        <f t="array" ref="L70">INDEX(INDIRECT("PnL_"&amp;TEXT(L$1,"mmm")&amp;"_"&amp;TEXT(L$1,"yyyy")),MATCH(TRIM($A70),PnL_Accounts,0))</f>
        <v>11750</v>
      </c>
      <c r="M70" s="76">
        <f t="array" ref="M70">INDEX(INDIRECT("PnL_"&amp;TEXT(M$1,"mmm")&amp;"_"&amp;TEXT(M$1,"yyyy")),MATCH(TRIM($A70),PnL_Accounts,0))</f>
        <v>17625</v>
      </c>
      <c r="N70" s="76">
        <f t="array" ref="N70">INDEX(INDIRECT("PnL_"&amp;TEXT(N$1,"mmm")&amp;"_"&amp;TEXT(N$1,"yyyy")),MATCH(TRIM($A70),PnL_Accounts,0))</f>
        <v>17625</v>
      </c>
      <c r="O70" s="76">
        <f t="array" ref="O70">INDEX(INDIRECT("PnL_"&amp;TEXT(O$1,"mmm")&amp;"_"&amp;TEXT(O$1,"yyyy")),MATCH(TRIM($A70),PnL_Accounts,0))</f>
        <v>17625</v>
      </c>
      <c r="P70" s="76">
        <f t="array" ref="P70">INDEX(INDIRECT("PnL_"&amp;TEXT(P$1,"mmm")&amp;"_"&amp;TEXT(P$1,"yyyy")),MATCH(TRIM($A70),PnL_Accounts,0))</f>
        <v>23500</v>
      </c>
      <c r="Q70" s="76">
        <f t="array" ref="Q70">INDEX(INDIRECT("PnL_"&amp;TEXT(Q$1,"mmm")&amp;"_"&amp;TEXT(Q$1,"yyyy")),MATCH(TRIM($A70),PnL_Accounts,0))</f>
        <v>23500</v>
      </c>
      <c r="R70" s="76">
        <f t="array" ref="R70">INDEX(INDIRECT("PnL_"&amp;TEXT(R$1,"mmm")&amp;"_"&amp;TEXT(R$1,"yyyy")),MATCH(TRIM($A70),PnL_Accounts,0))</f>
        <v>23500</v>
      </c>
      <c r="S70" s="76">
        <f t="array" ref="S70">INDEX(INDIRECT("PnL_"&amp;TEXT(S$1,"mmm")&amp;"_"&amp;TEXT(S$1,"yyyy")),MATCH(TRIM($A70),PnL_Accounts,0))</f>
        <v>23500</v>
      </c>
      <c r="T70" s="76">
        <f t="array" ref="T70">INDEX(INDIRECT("PnL_"&amp;TEXT(T$1,"mmm")&amp;"_"&amp;TEXT(T$1,"yyyy")),MATCH(TRIM($A70),PnL_Accounts,0))</f>
        <v>23500</v>
      </c>
      <c r="U70" s="76">
        <f t="array" ref="U70">INDEX(INDIRECT("PnL_"&amp;TEXT(U$1,"mmm")&amp;"_"&amp;TEXT(U$1,"yyyy")),MATCH(TRIM($A70),PnL_Accounts,0))</f>
        <v>23500</v>
      </c>
      <c r="V70" s="76">
        <f t="array" ref="V70">INDEX(INDIRECT("PnL_"&amp;TEXT(V$1,"mmm")&amp;"_"&amp;TEXT(V$1,"yyyy")),MATCH(TRIM($A70),PnL_Accounts,0))</f>
        <v>23500</v>
      </c>
      <c r="W70" s="76">
        <f t="array" ref="W70">INDEX(INDIRECT("PnL_"&amp;TEXT(W$1,"mmm")&amp;"_"&amp;TEXT(W$1,"yyyy")),MATCH(TRIM($A70),PnL_Accounts,0))</f>
        <v>23500</v>
      </c>
      <c r="X70" s="76">
        <f t="array" ref="X70">INDEX(INDIRECT("PnL_"&amp;TEXT(X$1,"mmm")&amp;"_"&amp;TEXT(X$1,"yyyy")),MATCH(TRIM($A70),PnL_Accounts,0))</f>
        <v>23500</v>
      </c>
      <c r="Y70" s="76">
        <f t="array" ref="Y70">INDEX(INDIRECT("PnL_"&amp;TEXT(Y$1,"mmm")&amp;"_"&amp;TEXT(Y$1,"yyyy")),MATCH(TRIM($A70),PnL_Accounts,0))</f>
        <v>23500</v>
      </c>
      <c r="Z70" s="76">
        <f t="array" ref="Z70">INDEX(INDIRECT("PnL_"&amp;TEXT(Z$1,"mmm")&amp;"_"&amp;TEXT(Z$1,"yyyy")),MATCH(TRIM($A70),PnL_Accounts,0))</f>
        <v>23500</v>
      </c>
      <c r="AA70" s="76">
        <f t="array" ref="AA70">INDEX(INDIRECT("PnL_"&amp;TEXT(AA$1,"mmm")&amp;"_"&amp;TEXT(AA$1,"yyyy")),MATCH(TRIM($A70),PnL_Accounts,0))</f>
        <v>23500</v>
      </c>
      <c r="AB70" s="76">
        <f t="array" ref="AB70">INDEX(INDIRECT("PnL_"&amp;TEXT(AB$1,"mmm")&amp;"_"&amp;TEXT(AB$1,"yyyy")),MATCH(TRIM($A70),PnL_Accounts,0))</f>
        <v>23500</v>
      </c>
      <c r="AC70" s="76">
        <f t="array" ref="AC70">INDEX(INDIRECT("PnL_"&amp;TEXT(AC$1,"mmm")&amp;"_"&amp;TEXT(AC$1,"yyyy")),MATCH(TRIM($A70),PnL_Accounts,0))</f>
        <v>23500</v>
      </c>
      <c r="AD70" s="76">
        <f t="array" ref="AD70">INDEX(INDIRECT("PnL_"&amp;TEXT(AD$1,"mmm")&amp;"_"&amp;TEXT(AD$1,"yyyy")),MATCH(TRIM($A70),PnL_Accounts,0))</f>
        <v>23500</v>
      </c>
      <c r="AE70" s="76">
        <f t="array" ref="AE70">INDEX(INDIRECT("PnL_"&amp;TEXT(AE$1,"mmm")&amp;"_"&amp;TEXT(AE$1,"yyyy")),MATCH(TRIM($A70),PnL_Accounts,0))</f>
        <v>23500</v>
      </c>
      <c r="AF70" s="39">
        <f t="array" ref="AF70">INDEX(Hiring_Plan_Salaries_Marketing_Worst_Case,MATCH(AF$1,Hiring_Plan_Months_Worst_Case,0))</f>
        <v>25833.33333</v>
      </c>
      <c r="AG70" s="39">
        <f t="array" ref="AG70">INDEX(Hiring_Plan_Salaries_Marketing_Worst_Case,MATCH(AG$1,Hiring_Plan_Months_Worst_Case,0))</f>
        <v>25833.33333</v>
      </c>
      <c r="AH70" s="39">
        <f t="array" ref="AH70">INDEX(Hiring_Plan_Salaries_Marketing_Worst_Case,MATCH(AH$1,Hiring_Plan_Months_Worst_Case,0))</f>
        <v>25833.33333</v>
      </c>
      <c r="AI70" s="39">
        <f t="array" ref="AI70">INDEX(Hiring_Plan_Salaries_Marketing_Worst_Case,MATCH(AI$1,Hiring_Plan_Months_Worst_Case,0))</f>
        <v>25833.33333</v>
      </c>
      <c r="AJ70" s="39">
        <f t="array" ref="AJ70">INDEX(Hiring_Plan_Salaries_Marketing_Worst_Case,MATCH(AJ$1,Hiring_Plan_Months_Worst_Case,0))</f>
        <v>25833.33333</v>
      </c>
      <c r="AK70" s="39">
        <f t="array" ref="AK70">INDEX(Hiring_Plan_Salaries_Marketing_Worst_Case,MATCH(AK$1,Hiring_Plan_Months_Worst_Case,0))</f>
        <v>25833.33333</v>
      </c>
      <c r="AL70" s="39">
        <f t="array" ref="AL70">INDEX(Hiring_Plan_Salaries_Marketing_Worst_Case,MATCH(AL$1,Hiring_Plan_Months_Worst_Case,0))</f>
        <v>25833.33333</v>
      </c>
      <c r="AM70" s="39">
        <f t="array" ref="AM70">INDEX(Hiring_Plan_Salaries_Marketing_Worst_Case,MATCH(AM$1,Hiring_Plan_Months_Worst_Case,0))</f>
        <v>25833.33333</v>
      </c>
      <c r="AN70" s="39">
        <f t="array" ref="AN70">INDEX(Hiring_Plan_Salaries_Marketing_Worst_Case,MATCH(AN$1,Hiring_Plan_Months_Worst_Case,0))</f>
        <v>25833.33333</v>
      </c>
      <c r="AO70" s="39">
        <f t="array" ref="AO70">INDEX(Hiring_Plan_Salaries_Marketing_Worst_Case,MATCH(AO$1,Hiring_Plan_Months_Worst_Case,0))</f>
        <v>25833.33333</v>
      </c>
      <c r="AP70" s="39">
        <f t="array" ref="AP70">INDEX(Hiring_Plan_Salaries_Marketing_Worst_Case,MATCH(AP$1,Hiring_Plan_Months_Worst_Case,0))</f>
        <v>25833.33333</v>
      </c>
      <c r="AQ70" s="39">
        <f t="array" ref="AQ70">INDEX(Hiring_Plan_Salaries_Marketing_Worst_Case,MATCH(AQ$1,Hiring_Plan_Months_Worst_Case,0))</f>
        <v>25833.33333</v>
      </c>
      <c r="AR70" s="39">
        <f t="array" ref="AR70">INDEX(Hiring_Plan_Salaries_Marketing_Worst_Case,MATCH(AR$1,Hiring_Plan_Months_Worst_Case,0))</f>
        <v>25833.33333</v>
      </c>
      <c r="AS70" s="39">
        <f t="array" ref="AS70">INDEX(Hiring_Plan_Salaries_Marketing_Worst_Case,MATCH(AS$1,Hiring_Plan_Months_Worst_Case,0))</f>
        <v>25833.33333</v>
      </c>
      <c r="AT70" s="39">
        <f t="array" ref="AT70">INDEX(Hiring_Plan_Salaries_Marketing_Worst_Case,MATCH(AT$1,Hiring_Plan_Months_Worst_Case,0))</f>
        <v>25833.33333</v>
      </c>
      <c r="AU70" s="39">
        <f t="array" ref="AU70">INDEX(Hiring_Plan_Salaries_Marketing_Worst_Case,MATCH(AU$1,Hiring_Plan_Months_Worst_Case,0))</f>
        <v>25833.33333</v>
      </c>
      <c r="AV70" s="39">
        <f t="array" ref="AV70">INDEX(Hiring_Plan_Salaries_Marketing_Worst_Case,MATCH(AV$1,Hiring_Plan_Months_Worst_Case,0))</f>
        <v>25833.33333</v>
      </c>
      <c r="AW70" s="39">
        <f t="array" ref="AW70">INDEX(Hiring_Plan_Salaries_Marketing_Worst_Case,MATCH(AW$1,Hiring_Plan_Months_Worst_Case,0))</f>
        <v>25833.33333</v>
      </c>
      <c r="AX70" s="39">
        <f t="array" ref="AX70">INDEX(Hiring_Plan_Salaries_Marketing_Worst_Case,MATCH(AX$1,Hiring_Plan_Months_Worst_Case,0))</f>
        <v>25833.33333</v>
      </c>
      <c r="AY70" s="39">
        <f t="array" ref="AY70">INDEX(Hiring_Plan_Salaries_Marketing_Worst_Case,MATCH(AY$1,Hiring_Plan_Months_Worst_Case,0))</f>
        <v>25833.33333</v>
      </c>
      <c r="AZ70" s="39">
        <f t="array" ref="AZ70">INDEX(Hiring_Plan_Salaries_Marketing_Worst_Case,MATCH(AZ$1,Hiring_Plan_Months_Worst_Case,0))</f>
        <v>25833.33333</v>
      </c>
      <c r="BA70" s="39">
        <f t="array" ref="BA70">INDEX(Hiring_Plan_Salaries_Marketing_Worst_Case,MATCH(BA$1,Hiring_Plan_Months_Worst_Case,0))</f>
        <v>25833.33333</v>
      </c>
      <c r="BB70" s="39">
        <f t="array" ref="BB70">INDEX(Hiring_Plan_Salaries_Marketing_Worst_Case,MATCH(BB$1,Hiring_Plan_Months_Worst_Case,0))</f>
        <v>25833.33333</v>
      </c>
      <c r="BC70" s="39">
        <f t="array" ref="BC70">INDEX(Hiring_Plan_Salaries_Marketing_Worst_Case,MATCH(BC$1,Hiring_Plan_Months_Worst_Case,0))</f>
        <v>25833.33333</v>
      </c>
      <c r="BD70" s="39">
        <f t="array" ref="BD70">INDEX(Hiring_Plan_Salaries_Marketing_Worst_Case,MATCH(BD$1,Hiring_Plan_Months_Worst_Case,0))</f>
        <v>25833.33333</v>
      </c>
      <c r="BE70" s="39">
        <f t="array" ref="BE70">INDEX(Hiring_Plan_Salaries_Marketing_Worst_Case,MATCH(BE$1,Hiring_Plan_Months_Worst_Case,0))</f>
        <v>25833.33333</v>
      </c>
      <c r="BF70" s="39">
        <f t="array" ref="BF70">INDEX(Hiring_Plan_Salaries_Marketing_Worst_Case,MATCH(BF$1,Hiring_Plan_Months_Worst_Case,0))</f>
        <v>25833.33333</v>
      </c>
      <c r="BG70" s="39">
        <f t="array" ref="BG70">INDEX(Hiring_Plan_Salaries_Marketing_Worst_Case,MATCH(BG$1,Hiring_Plan_Months_Worst_Case,0))</f>
        <v>25833.33333</v>
      </c>
      <c r="BH70" s="39">
        <f t="array" ref="BH70">INDEX(Hiring_Plan_Salaries_Marketing_Worst_Case,MATCH(BH$1,Hiring_Plan_Months_Worst_Case,0))</f>
        <v>25833.33333</v>
      </c>
      <c r="BI70" s="39">
        <f t="array" ref="BI70">INDEX(Hiring_Plan_Salaries_Marketing_Worst_Case,MATCH(BI$1,Hiring_Plan_Months_Worst_Case,0))</f>
        <v>25833.33333</v>
      </c>
      <c r="BJ70" s="39">
        <f t="array" ref="BJ70">INDEX(Hiring_Plan_Salaries_Marketing_Worst_Case,MATCH(BJ$1,Hiring_Plan_Months_Worst_Case,0))</f>
        <v>25833.33333</v>
      </c>
      <c r="BK70" s="39">
        <f t="array" ref="BK70">INDEX(Hiring_Plan_Salaries_Marketing_Worst_Case,MATCH(BK$1,Hiring_Plan_Months_Worst_Case,0))</f>
        <v>25833.33333</v>
      </c>
      <c r="BL70" s="39">
        <f t="array" ref="BL70">INDEX(Hiring_Plan_Salaries_Marketing_Worst_Case,MATCH(BL$1,Hiring_Plan_Months_Worst_Case,0))</f>
        <v>25833.33333</v>
      </c>
      <c r="BM70" s="39">
        <f t="array" ref="BM70">INDEX(Hiring_Plan_Salaries_Marketing_Worst_Case,MATCH(BM$1,Hiring_Plan_Months_Worst_Case,0))</f>
        <v>25833.33333</v>
      </c>
      <c r="BN70" s="39">
        <f t="array" ref="BN70">INDEX(Hiring_Plan_Salaries_Marketing_Worst_Case,MATCH(BN$1,Hiring_Plan_Months_Worst_Case,0))</f>
        <v>25833.33333</v>
      </c>
      <c r="BO70" s="39">
        <f t="array" ref="BO70">INDEX(Hiring_Plan_Salaries_Marketing_Worst_Case,MATCH(BO$1,Hiring_Plan_Months_Worst_Case,0))</f>
        <v>25833.33333</v>
      </c>
      <c r="BP70" s="39">
        <f t="array" ref="BP70">INDEX(Hiring_Plan_Salaries_Marketing_Worst_Case,MATCH(BP$1,Hiring_Plan_Months_Worst_Case,0))</f>
        <v>25833.33333</v>
      </c>
      <c r="BQ70" s="39">
        <f t="array" ref="BQ70">INDEX(Hiring_Plan_Salaries_Marketing_Worst_Case,MATCH(BQ$1,Hiring_Plan_Months_Worst_Case,0))</f>
        <v>25833.33333</v>
      </c>
      <c r="BR70" s="39">
        <f t="array" ref="BR70">INDEX(Hiring_Plan_Salaries_Marketing_Worst_Case,MATCH(BR$1,Hiring_Plan_Months_Worst_Case,0))</f>
        <v>25833.33333</v>
      </c>
      <c r="BS70" s="39">
        <f t="array" ref="BS70">INDEX(Hiring_Plan_Salaries_Marketing_Worst_Case,MATCH(BS$1,Hiring_Plan_Months_Worst_Case,0))</f>
        <v>25833.33333</v>
      </c>
      <c r="BT70" s="39">
        <f t="array" ref="BT70">INDEX(Hiring_Plan_Salaries_Marketing_Worst_Case,MATCH(BT$1,Hiring_Plan_Months_Worst_Case,0))</f>
        <v>25833.33333</v>
      </c>
      <c r="BU70" s="39">
        <f t="array" ref="BU70">INDEX(Hiring_Plan_Salaries_Marketing_Worst_Case,MATCH(BU$1,Hiring_Plan_Months_Worst_Case,0))</f>
        <v>25833.33333</v>
      </c>
      <c r="BV70" s="39">
        <f t="array" ref="BV70">INDEX(Hiring_Plan_Salaries_Marketing_Worst_Case,MATCH(BV$1,Hiring_Plan_Months_Worst_Case,0))</f>
        <v>25833.33333</v>
      </c>
      <c r="BW70" s="39">
        <f t="array" ref="BW70">INDEX(Hiring_Plan_Salaries_Marketing_Worst_Case,MATCH(BW$1,Hiring_Plan_Months_Worst_Case,0))</f>
        <v>25833.33333</v>
      </c>
    </row>
    <row r="71" ht="15.75" customHeight="1">
      <c r="A71" s="21" t="s">
        <v>302</v>
      </c>
      <c r="B71" s="163"/>
      <c r="C71" s="21"/>
      <c r="D71" s="157">
        <f t="shared" ref="D71:BW71" si="36">SUM(D68:D70)</f>
        <v>6854</v>
      </c>
      <c r="E71" s="157">
        <f t="shared" si="36"/>
        <v>6854</v>
      </c>
      <c r="F71" s="157">
        <f t="shared" si="36"/>
        <v>6854</v>
      </c>
      <c r="G71" s="157">
        <f t="shared" si="36"/>
        <v>6854</v>
      </c>
      <c r="H71" s="157">
        <f t="shared" si="36"/>
        <v>6854</v>
      </c>
      <c r="I71" s="157">
        <f t="shared" si="36"/>
        <v>6854</v>
      </c>
      <c r="J71" s="157">
        <f t="shared" si="36"/>
        <v>13708</v>
      </c>
      <c r="K71" s="157">
        <f t="shared" si="36"/>
        <v>13708</v>
      </c>
      <c r="L71" s="157">
        <f t="shared" si="36"/>
        <v>13708</v>
      </c>
      <c r="M71" s="157">
        <f t="shared" si="36"/>
        <v>20561</v>
      </c>
      <c r="N71" s="157">
        <f t="shared" si="36"/>
        <v>20561</v>
      </c>
      <c r="O71" s="157">
        <f t="shared" si="36"/>
        <v>20561</v>
      </c>
      <c r="P71" s="157">
        <f t="shared" si="36"/>
        <v>27415</v>
      </c>
      <c r="Q71" s="157">
        <f t="shared" si="36"/>
        <v>27415</v>
      </c>
      <c r="R71" s="157">
        <f t="shared" si="36"/>
        <v>27415</v>
      </c>
      <c r="S71" s="157">
        <f t="shared" si="36"/>
        <v>27415</v>
      </c>
      <c r="T71" s="157">
        <f t="shared" si="36"/>
        <v>27415</v>
      </c>
      <c r="U71" s="157">
        <f t="shared" si="36"/>
        <v>27415</v>
      </c>
      <c r="V71" s="157">
        <f t="shared" si="36"/>
        <v>27415</v>
      </c>
      <c r="W71" s="157">
        <f t="shared" si="36"/>
        <v>27415</v>
      </c>
      <c r="X71" s="157">
        <f t="shared" si="36"/>
        <v>27415</v>
      </c>
      <c r="Y71" s="157">
        <f t="shared" si="36"/>
        <v>27415</v>
      </c>
      <c r="Z71" s="157">
        <f t="shared" si="36"/>
        <v>27415</v>
      </c>
      <c r="AA71" s="157">
        <f t="shared" si="36"/>
        <v>27415</v>
      </c>
      <c r="AB71" s="157">
        <f t="shared" si="36"/>
        <v>27415</v>
      </c>
      <c r="AC71" s="157">
        <f t="shared" si="36"/>
        <v>27415</v>
      </c>
      <c r="AD71" s="157">
        <f t="shared" si="36"/>
        <v>27415</v>
      </c>
      <c r="AE71" s="157">
        <f t="shared" si="36"/>
        <v>27415</v>
      </c>
      <c r="AF71" s="157">
        <f t="shared" si="36"/>
        <v>30191.66667</v>
      </c>
      <c r="AG71" s="157">
        <f t="shared" si="36"/>
        <v>30191.66667</v>
      </c>
      <c r="AH71" s="157">
        <f t="shared" si="36"/>
        <v>30191.66667</v>
      </c>
      <c r="AI71" s="157">
        <f t="shared" si="36"/>
        <v>30191.66667</v>
      </c>
      <c r="AJ71" s="157">
        <f t="shared" si="36"/>
        <v>30191.66667</v>
      </c>
      <c r="AK71" s="157">
        <f t="shared" si="36"/>
        <v>30191.66667</v>
      </c>
      <c r="AL71" s="157">
        <f t="shared" si="36"/>
        <v>30191.66667</v>
      </c>
      <c r="AM71" s="157">
        <f t="shared" si="36"/>
        <v>30191.66667</v>
      </c>
      <c r="AN71" s="157">
        <f t="shared" si="36"/>
        <v>30191.66667</v>
      </c>
      <c r="AO71" s="157">
        <f t="shared" si="36"/>
        <v>30191.66667</v>
      </c>
      <c r="AP71" s="157">
        <f t="shared" si="36"/>
        <v>30191.66667</v>
      </c>
      <c r="AQ71" s="157">
        <f t="shared" si="36"/>
        <v>30191.66667</v>
      </c>
      <c r="AR71" s="157">
        <f t="shared" si="36"/>
        <v>30191.66667</v>
      </c>
      <c r="AS71" s="157">
        <f t="shared" si="36"/>
        <v>30191.66667</v>
      </c>
      <c r="AT71" s="157">
        <f t="shared" si="36"/>
        <v>30191.66667</v>
      </c>
      <c r="AU71" s="157">
        <f t="shared" si="36"/>
        <v>30191.66667</v>
      </c>
      <c r="AV71" s="157">
        <f t="shared" si="36"/>
        <v>30191.66667</v>
      </c>
      <c r="AW71" s="157">
        <f t="shared" si="36"/>
        <v>30191.66667</v>
      </c>
      <c r="AX71" s="157">
        <f t="shared" si="36"/>
        <v>30191.66667</v>
      </c>
      <c r="AY71" s="157">
        <f t="shared" si="36"/>
        <v>30191.66667</v>
      </c>
      <c r="AZ71" s="157">
        <f t="shared" si="36"/>
        <v>30191.66667</v>
      </c>
      <c r="BA71" s="157">
        <f t="shared" si="36"/>
        <v>30191.66667</v>
      </c>
      <c r="BB71" s="157">
        <f t="shared" si="36"/>
        <v>30191.66667</v>
      </c>
      <c r="BC71" s="157">
        <f t="shared" si="36"/>
        <v>30191.66667</v>
      </c>
      <c r="BD71" s="157">
        <f t="shared" si="36"/>
        <v>30191.66667</v>
      </c>
      <c r="BE71" s="157">
        <f t="shared" si="36"/>
        <v>30191.66667</v>
      </c>
      <c r="BF71" s="157">
        <f t="shared" si="36"/>
        <v>30191.66667</v>
      </c>
      <c r="BG71" s="157">
        <f t="shared" si="36"/>
        <v>30191.66667</v>
      </c>
      <c r="BH71" s="157">
        <f t="shared" si="36"/>
        <v>30191.66667</v>
      </c>
      <c r="BI71" s="157">
        <f t="shared" si="36"/>
        <v>30191.66667</v>
      </c>
      <c r="BJ71" s="157">
        <f t="shared" si="36"/>
        <v>30191.66667</v>
      </c>
      <c r="BK71" s="157">
        <f t="shared" si="36"/>
        <v>30191.66667</v>
      </c>
      <c r="BL71" s="157">
        <f t="shared" si="36"/>
        <v>30191.66667</v>
      </c>
      <c r="BM71" s="157">
        <f t="shared" si="36"/>
        <v>30191.66667</v>
      </c>
      <c r="BN71" s="157">
        <f t="shared" si="36"/>
        <v>30191.66667</v>
      </c>
      <c r="BO71" s="157">
        <f t="shared" si="36"/>
        <v>30191.66667</v>
      </c>
      <c r="BP71" s="157">
        <f t="shared" si="36"/>
        <v>30191.66667</v>
      </c>
      <c r="BQ71" s="157">
        <f t="shared" si="36"/>
        <v>30191.66667</v>
      </c>
      <c r="BR71" s="157">
        <f t="shared" si="36"/>
        <v>30191.66667</v>
      </c>
      <c r="BS71" s="157">
        <f t="shared" si="36"/>
        <v>30191.66667</v>
      </c>
      <c r="BT71" s="157">
        <f t="shared" si="36"/>
        <v>30191.66667</v>
      </c>
      <c r="BU71" s="157">
        <f t="shared" si="36"/>
        <v>30191.66667</v>
      </c>
      <c r="BV71" s="157">
        <f t="shared" si="36"/>
        <v>30191.66667</v>
      </c>
      <c r="BW71" s="157">
        <f t="shared" si="36"/>
        <v>30191.66667</v>
      </c>
    </row>
    <row r="72" ht="15.75" customHeight="1">
      <c r="A72" s="1" t="s">
        <v>303</v>
      </c>
      <c r="B72" s="159"/>
      <c r="D72" s="76">
        <f t="array" ref="D72">INDEX(INDIRECT("PnL_"&amp;TEXT(D$1,"mmm")&amp;"_"&amp;TEXT(D$1,"yyyy")),MATCH(TRIM($A72),PnL_Accounts,0))</f>
        <v>0</v>
      </c>
      <c r="E72" s="76">
        <f t="array" ref="E72">INDEX(INDIRECT("PnL_"&amp;TEXT(E$1,"mmm")&amp;"_"&amp;TEXT(E$1,"yyyy")),MATCH(TRIM($A72),PnL_Accounts,0))</f>
        <v>500</v>
      </c>
      <c r="F72" s="76">
        <f t="array" ref="F72">INDEX(INDIRECT("PnL_"&amp;TEXT(F$1,"mmm")&amp;"_"&amp;TEXT(F$1,"yyyy")),MATCH(TRIM($A72),PnL_Accounts,0))</f>
        <v>0</v>
      </c>
      <c r="G72" s="76">
        <f t="array" ref="G72">INDEX(INDIRECT("PnL_"&amp;TEXT(G$1,"mmm")&amp;"_"&amp;TEXT(G$1,"yyyy")),MATCH(TRIM($A72),PnL_Accounts,0))</f>
        <v>0</v>
      </c>
      <c r="H72" s="76">
        <f t="array" ref="H72">INDEX(INDIRECT("PnL_"&amp;TEXT(H$1,"mmm")&amp;"_"&amp;TEXT(H$1,"yyyy")),MATCH(TRIM($A72),PnL_Accounts,0))</f>
        <v>0</v>
      </c>
      <c r="I72" s="76">
        <f t="array" ref="I72">INDEX(INDIRECT("PnL_"&amp;TEXT(I$1,"mmm")&amp;"_"&amp;TEXT(I$1,"yyyy")),MATCH(TRIM($A72),PnL_Accounts,0))</f>
        <v>0</v>
      </c>
      <c r="J72" s="76">
        <f t="array" ref="J72">INDEX(INDIRECT("PnL_"&amp;TEXT(J$1,"mmm")&amp;"_"&amp;TEXT(J$1,"yyyy")),MATCH(TRIM($A72),PnL_Accounts,0))</f>
        <v>0</v>
      </c>
      <c r="K72" s="76">
        <f t="array" ref="K72">INDEX(INDIRECT("PnL_"&amp;TEXT(K$1,"mmm")&amp;"_"&amp;TEXT(K$1,"yyyy")),MATCH(TRIM($A72),PnL_Accounts,0))</f>
        <v>0</v>
      </c>
      <c r="L72" s="76">
        <f t="array" ref="L72">INDEX(INDIRECT("PnL_"&amp;TEXT(L$1,"mmm")&amp;"_"&amp;TEXT(L$1,"yyyy")),MATCH(TRIM($A72),PnL_Accounts,0))</f>
        <v>0</v>
      </c>
      <c r="M72" s="76">
        <f t="array" ref="M72">INDEX(INDIRECT("PnL_"&amp;TEXT(M$1,"mmm")&amp;"_"&amp;TEXT(M$1,"yyyy")),MATCH(TRIM($A72),PnL_Accounts,0))</f>
        <v>0</v>
      </c>
      <c r="N72" s="76">
        <f t="array" ref="N72">INDEX(INDIRECT("PnL_"&amp;TEXT(N$1,"mmm")&amp;"_"&amp;TEXT(N$1,"yyyy")),MATCH(TRIM($A72),PnL_Accounts,0))</f>
        <v>0</v>
      </c>
      <c r="O72" s="76">
        <f t="array" ref="O72">INDEX(INDIRECT("PnL_"&amp;TEXT(O$1,"mmm")&amp;"_"&amp;TEXT(O$1,"yyyy")),MATCH(TRIM($A72),PnL_Accounts,0))</f>
        <v>0</v>
      </c>
      <c r="P72" s="76">
        <f t="array" ref="P72">INDEX(INDIRECT("PnL_"&amp;TEXT(P$1,"mmm")&amp;"_"&amp;TEXT(P$1,"yyyy")),MATCH(TRIM($A72),PnL_Accounts,0))</f>
        <v>0</v>
      </c>
      <c r="Q72" s="76">
        <f t="array" ref="Q72">INDEX(INDIRECT("PnL_"&amp;TEXT(Q$1,"mmm")&amp;"_"&amp;TEXT(Q$1,"yyyy")),MATCH(TRIM($A72),PnL_Accounts,0))</f>
        <v>0</v>
      </c>
      <c r="R72" s="76">
        <f t="array" ref="R72">INDEX(INDIRECT("PnL_"&amp;TEXT(R$1,"mmm")&amp;"_"&amp;TEXT(R$1,"yyyy")),MATCH(TRIM($A72),PnL_Accounts,0))</f>
        <v>0</v>
      </c>
      <c r="S72" s="76">
        <f t="array" ref="S72">INDEX(INDIRECT("PnL_"&amp;TEXT(S$1,"mmm")&amp;"_"&amp;TEXT(S$1,"yyyy")),MATCH(TRIM($A72),PnL_Accounts,0))</f>
        <v>0</v>
      </c>
      <c r="T72" s="76">
        <f t="array" ref="T72">INDEX(INDIRECT("PnL_"&amp;TEXT(T$1,"mmm")&amp;"_"&amp;TEXT(T$1,"yyyy")),MATCH(TRIM($A72),PnL_Accounts,0))</f>
        <v>0</v>
      </c>
      <c r="U72" s="76">
        <f t="array" ref="U72">INDEX(INDIRECT("PnL_"&amp;TEXT(U$1,"mmm")&amp;"_"&amp;TEXT(U$1,"yyyy")),MATCH(TRIM($A72),PnL_Accounts,0))</f>
        <v>0</v>
      </c>
      <c r="V72" s="76">
        <f t="array" ref="V72">INDEX(INDIRECT("PnL_"&amp;TEXT(V$1,"mmm")&amp;"_"&amp;TEXT(V$1,"yyyy")),MATCH(TRIM($A72),PnL_Accounts,0))</f>
        <v>0</v>
      </c>
      <c r="W72" s="76">
        <f t="array" ref="W72">INDEX(INDIRECT("PnL_"&amp;TEXT(W$1,"mmm")&amp;"_"&amp;TEXT(W$1,"yyyy")),MATCH(TRIM($A72),PnL_Accounts,0))</f>
        <v>0</v>
      </c>
      <c r="X72" s="76">
        <f t="array" ref="X72">INDEX(INDIRECT("PnL_"&amp;TEXT(X$1,"mmm")&amp;"_"&amp;TEXT(X$1,"yyyy")),MATCH(TRIM($A72),PnL_Accounts,0))</f>
        <v>0</v>
      </c>
      <c r="Y72" s="76">
        <f t="array" ref="Y72">INDEX(INDIRECT("PnL_"&amp;TEXT(Y$1,"mmm")&amp;"_"&amp;TEXT(Y$1,"yyyy")),MATCH(TRIM($A72),PnL_Accounts,0))</f>
        <v>0</v>
      </c>
      <c r="Z72" s="76">
        <f t="array" ref="Z72">INDEX(INDIRECT("PnL_"&amp;TEXT(Z$1,"mmm")&amp;"_"&amp;TEXT(Z$1,"yyyy")),MATCH(TRIM($A72),PnL_Accounts,0))</f>
        <v>0</v>
      </c>
      <c r="AA72" s="76">
        <f t="array" ref="AA72">INDEX(INDIRECT("PnL_"&amp;TEXT(AA$1,"mmm")&amp;"_"&amp;TEXT(AA$1,"yyyy")),MATCH(TRIM($A72),PnL_Accounts,0))</f>
        <v>0</v>
      </c>
      <c r="AB72" s="76">
        <f t="array" ref="AB72">INDEX(INDIRECT("PnL_"&amp;TEXT(AB$1,"mmm")&amp;"_"&amp;TEXT(AB$1,"yyyy")),MATCH(TRIM($A72),PnL_Accounts,0))</f>
        <v>0</v>
      </c>
      <c r="AC72" s="76">
        <f t="array" ref="AC72">INDEX(INDIRECT("PnL_"&amp;TEXT(AC$1,"mmm")&amp;"_"&amp;TEXT(AC$1,"yyyy")),MATCH(TRIM($A72),PnL_Accounts,0))</f>
        <v>0</v>
      </c>
      <c r="AD72" s="76">
        <f t="array" ref="AD72">INDEX(INDIRECT("PnL_"&amp;TEXT(AD$1,"mmm")&amp;"_"&amp;TEXT(AD$1,"yyyy")),MATCH(TRIM($A72),PnL_Accounts,0))</f>
        <v>0</v>
      </c>
      <c r="AE72" s="76">
        <f t="array" ref="AE72">INDEX(INDIRECT("PnL_"&amp;TEXT(AE$1,"mmm")&amp;"_"&amp;TEXT(AE$1,"yyyy")),MATCH(TRIM($A72),PnL_Accounts,0))</f>
        <v>0</v>
      </c>
    </row>
    <row r="73" ht="15.75" customHeight="1">
      <c r="A73" s="1" t="s">
        <v>304</v>
      </c>
      <c r="B73" s="160">
        <f>AVERAGEIFS(73:73,$1:$1,"&gt;="&amp;DATE(YEAR(Current_Month),MONTH(Current_Month)-2,DAY(Current_Month)),$1:$1,"&lt;="&amp;EOMONTH(Current_Month,0))</f>
        <v>3869</v>
      </c>
      <c r="D73" s="76">
        <f t="array" ref="D73">INDEX(INDIRECT("PnL_"&amp;TEXT(D$1,"mmm")&amp;"_"&amp;TEXT(D$1,"yyyy")),MATCH(TRIM($A73),PnL_Accounts,0))</f>
        <v>352</v>
      </c>
      <c r="E73" s="76" t="str">
        <f t="array" ref="E73">INDEX(INDIRECT("PnL_"&amp;TEXT(E$1,"mmm")&amp;"_"&amp;TEXT(E$1,"yyyy")),MATCH(TRIM($A73),PnL_Accounts,0))</f>
        <v/>
      </c>
      <c r="F73" s="76" t="str">
        <f t="array" ref="F73">INDEX(INDIRECT("PnL_"&amp;TEXT(F$1,"mmm")&amp;"_"&amp;TEXT(F$1,"yyyy")),MATCH(TRIM($A73),PnL_Accounts,0))</f>
        <v/>
      </c>
      <c r="G73" s="76" t="str">
        <f t="array" ref="G73">INDEX(INDIRECT("PnL_"&amp;TEXT(G$1,"mmm")&amp;"_"&amp;TEXT(G$1,"yyyy")),MATCH(TRIM($A73),PnL_Accounts,0))</f>
        <v/>
      </c>
      <c r="H73" s="76" t="str">
        <f t="array" ref="H73">INDEX(INDIRECT("PnL_"&amp;TEXT(H$1,"mmm")&amp;"_"&amp;TEXT(H$1,"yyyy")),MATCH(TRIM($A73),PnL_Accounts,0))</f>
        <v/>
      </c>
      <c r="I73" s="76" t="str">
        <f t="array" ref="I73">INDEX(INDIRECT("PnL_"&amp;TEXT(I$1,"mmm")&amp;"_"&amp;TEXT(I$1,"yyyy")),MATCH(TRIM($A73),PnL_Accounts,0))</f>
        <v/>
      </c>
      <c r="J73" s="76" t="str">
        <f t="array" ref="J73">INDEX(INDIRECT("PnL_"&amp;TEXT(J$1,"mmm")&amp;"_"&amp;TEXT(J$1,"yyyy")),MATCH(TRIM($A73),PnL_Accounts,0))</f>
        <v/>
      </c>
      <c r="K73" s="76" t="str">
        <f t="array" ref="K73">INDEX(INDIRECT("PnL_"&amp;TEXT(K$1,"mmm")&amp;"_"&amp;TEXT(K$1,"yyyy")),MATCH(TRIM($A73),PnL_Accounts,0))</f>
        <v/>
      </c>
      <c r="L73" s="76" t="str">
        <f t="array" ref="L73">INDEX(INDIRECT("PnL_"&amp;TEXT(L$1,"mmm")&amp;"_"&amp;TEXT(L$1,"yyyy")),MATCH(TRIM($A73),PnL_Accounts,0))</f>
        <v/>
      </c>
      <c r="M73" s="76" t="str">
        <f t="array" ref="M73">INDEX(INDIRECT("PnL_"&amp;TEXT(M$1,"mmm")&amp;"_"&amp;TEXT(M$1,"yyyy")),MATCH(TRIM($A73),PnL_Accounts,0))</f>
        <v/>
      </c>
      <c r="N73" s="76" t="str">
        <f t="array" ref="N73">INDEX(INDIRECT("PnL_"&amp;TEXT(N$1,"mmm")&amp;"_"&amp;TEXT(N$1,"yyyy")),MATCH(TRIM($A73),PnL_Accounts,0))</f>
        <v/>
      </c>
      <c r="O73" s="76" t="str">
        <f t="array" ref="O73">INDEX(INDIRECT("PnL_"&amp;TEXT(O$1,"mmm")&amp;"_"&amp;TEXT(O$1,"yyyy")),MATCH(TRIM($A73),PnL_Accounts,0))</f>
        <v/>
      </c>
      <c r="P73" s="76">
        <f t="array" ref="P73">INDEX(INDIRECT("PnL_"&amp;TEXT(P$1,"mmm")&amp;"_"&amp;TEXT(P$1,"yyyy")),MATCH(TRIM($A73),PnL_Accounts,0))</f>
        <v>2596</v>
      </c>
      <c r="Q73" s="76">
        <f t="array" ref="Q73">INDEX(INDIRECT("PnL_"&amp;TEXT(Q$1,"mmm")&amp;"_"&amp;TEXT(Q$1,"yyyy")),MATCH(TRIM($A73),PnL_Accounts,0))</f>
        <v>2743</v>
      </c>
      <c r="R73" s="76">
        <f t="array" ref="R73">INDEX(INDIRECT("PnL_"&amp;TEXT(R$1,"mmm")&amp;"_"&amp;TEXT(R$1,"yyyy")),MATCH(TRIM($A73),PnL_Accounts,0))</f>
        <v>2942</v>
      </c>
      <c r="S73" s="76">
        <f t="array" ref="S73">INDEX(INDIRECT("PnL_"&amp;TEXT(S$1,"mmm")&amp;"_"&amp;TEXT(S$1,"yyyy")),MATCH(TRIM($A73),PnL_Accounts,0))</f>
        <v>3086</v>
      </c>
      <c r="T73" s="76">
        <f t="array" ref="T73">INDEX(INDIRECT("PnL_"&amp;TEXT(T$1,"mmm")&amp;"_"&amp;TEXT(T$1,"yyyy")),MATCH(TRIM($A73),PnL_Accounts,0))</f>
        <v>3284</v>
      </c>
      <c r="U73" s="76">
        <f t="array" ref="U73">INDEX(INDIRECT("PnL_"&amp;TEXT(U$1,"mmm")&amp;"_"&amp;TEXT(U$1,"yyyy")),MATCH(TRIM($A73),PnL_Accounts,0))</f>
        <v>3398</v>
      </c>
      <c r="V73" s="76">
        <f t="array" ref="V73">INDEX(INDIRECT("PnL_"&amp;TEXT(V$1,"mmm")&amp;"_"&amp;TEXT(V$1,"yyyy")),MATCH(TRIM($A73),PnL_Accounts,0))</f>
        <v>3535</v>
      </c>
      <c r="W73" s="76">
        <f t="array" ref="W73">INDEX(INDIRECT("PnL_"&amp;TEXT(W$1,"mmm")&amp;"_"&amp;TEXT(W$1,"yyyy")),MATCH(TRIM($A73),PnL_Accounts,0))</f>
        <v>3755</v>
      </c>
      <c r="X73" s="76">
        <f t="array" ref="X73">INDEX(INDIRECT("PnL_"&amp;TEXT(X$1,"mmm")&amp;"_"&amp;TEXT(X$1,"yyyy")),MATCH(TRIM($A73),PnL_Accounts,0))</f>
        <v>3869</v>
      </c>
      <c r="Y73" s="76">
        <f t="array" ref="Y73">INDEX(INDIRECT("PnL_"&amp;TEXT(Y$1,"mmm")&amp;"_"&amp;TEXT(Y$1,"yyyy")),MATCH(TRIM($A73),PnL_Accounts,0))</f>
        <v>3869</v>
      </c>
      <c r="Z73" s="76">
        <f t="array" ref="Z73">INDEX(INDIRECT("PnL_"&amp;TEXT(Z$1,"mmm")&amp;"_"&amp;TEXT(Z$1,"yyyy")),MATCH(TRIM($A73),PnL_Accounts,0))</f>
        <v>4315</v>
      </c>
      <c r="AA73" s="76">
        <f t="array" ref="AA73">INDEX(INDIRECT("PnL_"&amp;TEXT(AA$1,"mmm")&amp;"_"&amp;TEXT(AA$1,"yyyy")),MATCH(TRIM($A73),PnL_Accounts,0))</f>
        <v>3869</v>
      </c>
      <c r="AB73" s="76">
        <f t="array" ref="AB73">INDEX(INDIRECT("PnL_"&amp;TEXT(AB$1,"mmm")&amp;"_"&amp;TEXT(AB$1,"yyyy")),MATCH(TRIM($A73),PnL_Accounts,0))</f>
        <v>3869</v>
      </c>
      <c r="AC73" s="76">
        <f t="array" ref="AC73">INDEX(INDIRECT("PnL_"&amp;TEXT(AC$1,"mmm")&amp;"_"&amp;TEXT(AC$1,"yyyy")),MATCH(TRIM($A73),PnL_Accounts,0))</f>
        <v>3869</v>
      </c>
      <c r="AD73" s="76">
        <f t="array" ref="AD73">INDEX(INDIRECT("PnL_"&amp;TEXT(AD$1,"mmm")&amp;"_"&amp;TEXT(AD$1,"yyyy")),MATCH(TRIM($A73),PnL_Accounts,0))</f>
        <v>3869</v>
      </c>
      <c r="AE73" s="76">
        <f t="array" ref="AE73">INDEX(INDIRECT("PnL_"&amp;TEXT(AE$1,"mmm")&amp;"_"&amp;TEXT(AE$1,"yyyy")),MATCH(TRIM($A73),PnL_Accounts,0))</f>
        <v>3869</v>
      </c>
      <c r="AF73" s="96">
        <f t="shared" ref="AF73:BW73" si="37">$B73</f>
        <v>3869</v>
      </c>
      <c r="AG73" s="96">
        <f t="shared" si="37"/>
        <v>3869</v>
      </c>
      <c r="AH73" s="96">
        <f t="shared" si="37"/>
        <v>3869</v>
      </c>
      <c r="AI73" s="96">
        <f t="shared" si="37"/>
        <v>3869</v>
      </c>
      <c r="AJ73" s="96">
        <f t="shared" si="37"/>
        <v>3869</v>
      </c>
      <c r="AK73" s="96">
        <f t="shared" si="37"/>
        <v>3869</v>
      </c>
      <c r="AL73" s="96">
        <f t="shared" si="37"/>
        <v>3869</v>
      </c>
      <c r="AM73" s="96">
        <f t="shared" si="37"/>
        <v>3869</v>
      </c>
      <c r="AN73" s="96">
        <f t="shared" si="37"/>
        <v>3869</v>
      </c>
      <c r="AO73" s="96">
        <f t="shared" si="37"/>
        <v>3869</v>
      </c>
      <c r="AP73" s="96">
        <f t="shared" si="37"/>
        <v>3869</v>
      </c>
      <c r="AQ73" s="96">
        <f t="shared" si="37"/>
        <v>3869</v>
      </c>
      <c r="AR73" s="96">
        <f t="shared" si="37"/>
        <v>3869</v>
      </c>
      <c r="AS73" s="96">
        <f t="shared" si="37"/>
        <v>3869</v>
      </c>
      <c r="AT73" s="96">
        <f t="shared" si="37"/>
        <v>3869</v>
      </c>
      <c r="AU73" s="96">
        <f t="shared" si="37"/>
        <v>3869</v>
      </c>
      <c r="AV73" s="96">
        <f t="shared" si="37"/>
        <v>3869</v>
      </c>
      <c r="AW73" s="96">
        <f t="shared" si="37"/>
        <v>3869</v>
      </c>
      <c r="AX73" s="96">
        <f t="shared" si="37"/>
        <v>3869</v>
      </c>
      <c r="AY73" s="96">
        <f t="shared" si="37"/>
        <v>3869</v>
      </c>
      <c r="AZ73" s="96">
        <f t="shared" si="37"/>
        <v>3869</v>
      </c>
      <c r="BA73" s="96">
        <f t="shared" si="37"/>
        <v>3869</v>
      </c>
      <c r="BB73" s="96">
        <f t="shared" si="37"/>
        <v>3869</v>
      </c>
      <c r="BC73" s="96">
        <f t="shared" si="37"/>
        <v>3869</v>
      </c>
      <c r="BD73" s="96">
        <f t="shared" si="37"/>
        <v>3869</v>
      </c>
      <c r="BE73" s="96">
        <f t="shared" si="37"/>
        <v>3869</v>
      </c>
      <c r="BF73" s="96">
        <f t="shared" si="37"/>
        <v>3869</v>
      </c>
      <c r="BG73" s="96">
        <f t="shared" si="37"/>
        <v>3869</v>
      </c>
      <c r="BH73" s="96">
        <f t="shared" si="37"/>
        <v>3869</v>
      </c>
      <c r="BI73" s="96">
        <f t="shared" si="37"/>
        <v>3869</v>
      </c>
      <c r="BJ73" s="96">
        <f t="shared" si="37"/>
        <v>3869</v>
      </c>
      <c r="BK73" s="96">
        <f t="shared" si="37"/>
        <v>3869</v>
      </c>
      <c r="BL73" s="96">
        <f t="shared" si="37"/>
        <v>3869</v>
      </c>
      <c r="BM73" s="96">
        <f t="shared" si="37"/>
        <v>3869</v>
      </c>
      <c r="BN73" s="96">
        <f t="shared" si="37"/>
        <v>3869</v>
      </c>
      <c r="BO73" s="96">
        <f t="shared" si="37"/>
        <v>3869</v>
      </c>
      <c r="BP73" s="96">
        <f t="shared" si="37"/>
        <v>3869</v>
      </c>
      <c r="BQ73" s="96">
        <f t="shared" si="37"/>
        <v>3869</v>
      </c>
      <c r="BR73" s="96">
        <f t="shared" si="37"/>
        <v>3869</v>
      </c>
      <c r="BS73" s="96">
        <f t="shared" si="37"/>
        <v>3869</v>
      </c>
      <c r="BT73" s="96">
        <f t="shared" si="37"/>
        <v>3869</v>
      </c>
      <c r="BU73" s="96">
        <f t="shared" si="37"/>
        <v>3869</v>
      </c>
      <c r="BV73" s="96">
        <f t="shared" si="37"/>
        <v>3869</v>
      </c>
      <c r="BW73" s="96">
        <f t="shared" si="37"/>
        <v>3869</v>
      </c>
    </row>
    <row r="74" ht="15.75" customHeight="1">
      <c r="A74" s="21" t="s">
        <v>305</v>
      </c>
      <c r="B74" s="163"/>
      <c r="C74" s="21"/>
      <c r="D74" s="157">
        <f t="shared" ref="D74:BW74" si="38">SUM(D66,D71:D73)</f>
        <v>50830</v>
      </c>
      <c r="E74" s="157">
        <f t="shared" si="38"/>
        <v>53521</v>
      </c>
      <c r="F74" s="157">
        <f t="shared" si="38"/>
        <v>55820</v>
      </c>
      <c r="G74" s="157">
        <f t="shared" si="38"/>
        <v>58732</v>
      </c>
      <c r="H74" s="157">
        <f t="shared" si="38"/>
        <v>62363</v>
      </c>
      <c r="I74" s="157">
        <f t="shared" si="38"/>
        <v>64584</v>
      </c>
      <c r="J74" s="157">
        <f t="shared" si="38"/>
        <v>80386</v>
      </c>
      <c r="K74" s="157">
        <f t="shared" si="38"/>
        <v>85883</v>
      </c>
      <c r="L74" s="157">
        <f t="shared" si="38"/>
        <v>109291</v>
      </c>
      <c r="M74" s="157">
        <f t="shared" si="38"/>
        <v>121314</v>
      </c>
      <c r="N74" s="157">
        <f t="shared" si="38"/>
        <v>142427</v>
      </c>
      <c r="O74" s="157">
        <f t="shared" si="38"/>
        <v>152755</v>
      </c>
      <c r="P74" s="157">
        <f t="shared" si="38"/>
        <v>165245</v>
      </c>
      <c r="Q74" s="157">
        <f t="shared" si="38"/>
        <v>186540</v>
      </c>
      <c r="R74" s="157">
        <f t="shared" si="38"/>
        <v>188578</v>
      </c>
      <c r="S74" s="157">
        <f t="shared" si="38"/>
        <v>186883</v>
      </c>
      <c r="T74" s="157">
        <f t="shared" si="38"/>
        <v>201833</v>
      </c>
      <c r="U74" s="157">
        <f t="shared" si="38"/>
        <v>199585</v>
      </c>
      <c r="V74" s="157">
        <f t="shared" si="38"/>
        <v>197169</v>
      </c>
      <c r="W74" s="157">
        <f t="shared" si="38"/>
        <v>199191</v>
      </c>
      <c r="X74" s="157">
        <f t="shared" si="38"/>
        <v>203398</v>
      </c>
      <c r="Y74" s="157">
        <f t="shared" si="38"/>
        <v>183327</v>
      </c>
      <c r="Z74" s="157">
        <f t="shared" si="38"/>
        <v>194742</v>
      </c>
      <c r="AA74" s="157">
        <f t="shared" si="38"/>
        <v>206705</v>
      </c>
      <c r="AB74" s="157">
        <f t="shared" si="38"/>
        <v>210711</v>
      </c>
      <c r="AC74" s="157">
        <f t="shared" si="38"/>
        <v>217048</v>
      </c>
      <c r="AD74" s="157">
        <f t="shared" si="38"/>
        <v>207048</v>
      </c>
      <c r="AE74" s="157">
        <f t="shared" si="38"/>
        <v>198753</v>
      </c>
      <c r="AF74" s="157">
        <f t="shared" si="38"/>
        <v>184060.6667</v>
      </c>
      <c r="AG74" s="157">
        <f t="shared" si="38"/>
        <v>184060.6667</v>
      </c>
      <c r="AH74" s="157">
        <f t="shared" si="38"/>
        <v>184060.6667</v>
      </c>
      <c r="AI74" s="157">
        <f t="shared" si="38"/>
        <v>184060.6667</v>
      </c>
      <c r="AJ74" s="157">
        <f t="shared" si="38"/>
        <v>219060.6667</v>
      </c>
      <c r="AK74" s="157">
        <f t="shared" si="38"/>
        <v>234060.6667</v>
      </c>
      <c r="AL74" s="157">
        <f t="shared" si="38"/>
        <v>249060.6667</v>
      </c>
      <c r="AM74" s="157">
        <f t="shared" si="38"/>
        <v>264060.6667</v>
      </c>
      <c r="AN74" s="157">
        <f t="shared" si="38"/>
        <v>279060.6667</v>
      </c>
      <c r="AO74" s="157">
        <f t="shared" si="38"/>
        <v>294060.6667</v>
      </c>
      <c r="AP74" s="157">
        <f t="shared" si="38"/>
        <v>309060.6667</v>
      </c>
      <c r="AQ74" s="157">
        <f t="shared" si="38"/>
        <v>324060.6667</v>
      </c>
      <c r="AR74" s="157">
        <f t="shared" si="38"/>
        <v>339060.6667</v>
      </c>
      <c r="AS74" s="157">
        <f t="shared" si="38"/>
        <v>354060.6667</v>
      </c>
      <c r="AT74" s="157">
        <f t="shared" si="38"/>
        <v>369060.6667</v>
      </c>
      <c r="AU74" s="157">
        <f t="shared" si="38"/>
        <v>384060.6667</v>
      </c>
      <c r="AV74" s="157">
        <f t="shared" si="38"/>
        <v>399060.6667</v>
      </c>
      <c r="AW74" s="157">
        <f t="shared" si="38"/>
        <v>414060.6667</v>
      </c>
      <c r="AX74" s="157">
        <f t="shared" si="38"/>
        <v>429060.6667</v>
      </c>
      <c r="AY74" s="157">
        <f t="shared" si="38"/>
        <v>444060.6667</v>
      </c>
      <c r="AZ74" s="157">
        <f t="shared" si="38"/>
        <v>429132.081</v>
      </c>
      <c r="BA74" s="157">
        <f t="shared" si="38"/>
        <v>441797.7349</v>
      </c>
      <c r="BB74" s="157">
        <f t="shared" si="38"/>
        <v>452361.6923</v>
      </c>
      <c r="BC74" s="157">
        <f t="shared" si="38"/>
        <v>460092.2894</v>
      </c>
      <c r="BD74" s="157">
        <f t="shared" si="38"/>
        <v>464279.6098</v>
      </c>
      <c r="BE74" s="157">
        <f t="shared" si="38"/>
        <v>473459.8388</v>
      </c>
      <c r="BF74" s="157">
        <f t="shared" si="38"/>
        <v>481729.7051</v>
      </c>
      <c r="BG74" s="157">
        <f t="shared" si="38"/>
        <v>489400.3747</v>
      </c>
      <c r="BH74" s="157">
        <f t="shared" si="38"/>
        <v>497055.3917</v>
      </c>
      <c r="BI74" s="157">
        <f t="shared" si="38"/>
        <v>505616.141</v>
      </c>
      <c r="BJ74" s="157">
        <f t="shared" si="38"/>
        <v>514015.0876</v>
      </c>
      <c r="BK74" s="157">
        <f t="shared" si="38"/>
        <v>522447.7488</v>
      </c>
      <c r="BL74" s="157">
        <f t="shared" si="38"/>
        <v>531079.4356</v>
      </c>
      <c r="BM74" s="157">
        <f t="shared" si="38"/>
        <v>539966.2201</v>
      </c>
      <c r="BN74" s="157">
        <f t="shared" si="38"/>
        <v>548938.1621</v>
      </c>
      <c r="BO74" s="157">
        <f t="shared" si="38"/>
        <v>558059.7656</v>
      </c>
      <c r="BP74" s="157">
        <f t="shared" si="38"/>
        <v>567361.3147</v>
      </c>
      <c r="BQ74" s="157">
        <f t="shared" si="38"/>
        <v>576837.8261</v>
      </c>
      <c r="BR74" s="157">
        <f t="shared" si="38"/>
        <v>586468.3691</v>
      </c>
      <c r="BS74" s="157">
        <f t="shared" si="38"/>
        <v>596270.9328</v>
      </c>
      <c r="BT74" s="157">
        <f t="shared" si="38"/>
        <v>606251.3575</v>
      </c>
      <c r="BU74" s="157">
        <f t="shared" si="38"/>
        <v>616409.0986</v>
      </c>
      <c r="BV74" s="157">
        <f t="shared" si="38"/>
        <v>626744.7709</v>
      </c>
      <c r="BW74" s="157">
        <f t="shared" si="38"/>
        <v>637264.6169</v>
      </c>
    </row>
    <row r="75" ht="15.75" customHeight="1">
      <c r="A75" s="1" t="s">
        <v>306</v>
      </c>
      <c r="B75" s="159"/>
      <c r="D75" s="76" t="str">
        <f t="array" ref="D75">INDEX(INDIRECT("PnL_"&amp;TEXT(D$1,"mmm")&amp;"_"&amp;TEXT(D$1,"yyyy")),MATCH(TRIM($A75),PnL_Accounts,0))</f>
        <v/>
      </c>
      <c r="E75" s="76" t="str">
        <f t="array" ref="E75">INDEX(INDIRECT("PnL_"&amp;TEXT(E$1,"mmm")&amp;"_"&amp;TEXT(E$1,"yyyy")),MATCH(TRIM($A75),PnL_Accounts,0))</f>
        <v/>
      </c>
      <c r="F75" s="76" t="str">
        <f t="array" ref="F75">INDEX(INDIRECT("PnL_"&amp;TEXT(F$1,"mmm")&amp;"_"&amp;TEXT(F$1,"yyyy")),MATCH(TRIM($A75),PnL_Accounts,0))</f>
        <v/>
      </c>
      <c r="G75" s="76" t="str">
        <f t="array" ref="G75">INDEX(INDIRECT("PnL_"&amp;TEXT(G$1,"mmm")&amp;"_"&amp;TEXT(G$1,"yyyy")),MATCH(TRIM($A75),PnL_Accounts,0))</f>
        <v/>
      </c>
      <c r="H75" s="76" t="str">
        <f t="array" ref="H75">INDEX(INDIRECT("PnL_"&amp;TEXT(H$1,"mmm")&amp;"_"&amp;TEXT(H$1,"yyyy")),MATCH(TRIM($A75),PnL_Accounts,0))</f>
        <v/>
      </c>
      <c r="I75" s="76" t="str">
        <f t="array" ref="I75">INDEX(INDIRECT("PnL_"&amp;TEXT(I$1,"mmm")&amp;"_"&amp;TEXT(I$1,"yyyy")),MATCH(TRIM($A75),PnL_Accounts,0))</f>
        <v/>
      </c>
      <c r="J75" s="76" t="str">
        <f t="array" ref="J75">INDEX(INDIRECT("PnL_"&amp;TEXT(J$1,"mmm")&amp;"_"&amp;TEXT(J$1,"yyyy")),MATCH(TRIM($A75),PnL_Accounts,0))</f>
        <v/>
      </c>
      <c r="K75" s="76" t="str">
        <f t="array" ref="K75">INDEX(INDIRECT("PnL_"&amp;TEXT(K$1,"mmm")&amp;"_"&amp;TEXT(K$1,"yyyy")),MATCH(TRIM($A75),PnL_Accounts,0))</f>
        <v/>
      </c>
      <c r="L75" s="76" t="str">
        <f t="array" ref="L75">INDEX(INDIRECT("PnL_"&amp;TEXT(L$1,"mmm")&amp;"_"&amp;TEXT(L$1,"yyyy")),MATCH(TRIM($A75),PnL_Accounts,0))</f>
        <v/>
      </c>
      <c r="M75" s="76" t="str">
        <f t="array" ref="M75">INDEX(INDIRECT("PnL_"&amp;TEXT(M$1,"mmm")&amp;"_"&amp;TEXT(M$1,"yyyy")),MATCH(TRIM($A75),PnL_Accounts,0))</f>
        <v/>
      </c>
      <c r="N75" s="76" t="str">
        <f t="array" ref="N75">INDEX(INDIRECT("PnL_"&amp;TEXT(N$1,"mmm")&amp;"_"&amp;TEXT(N$1,"yyyy")),MATCH(TRIM($A75),PnL_Accounts,0))</f>
        <v/>
      </c>
      <c r="O75" s="76" t="str">
        <f t="array" ref="O75">INDEX(INDIRECT("PnL_"&amp;TEXT(O$1,"mmm")&amp;"_"&amp;TEXT(O$1,"yyyy")),MATCH(TRIM($A75),PnL_Accounts,0))</f>
        <v/>
      </c>
      <c r="P75" s="76" t="str">
        <f t="array" ref="P75">INDEX(INDIRECT("PnL_"&amp;TEXT(P$1,"mmm")&amp;"_"&amp;TEXT(P$1,"yyyy")),MATCH(TRIM($A75),PnL_Accounts,0))</f>
        <v/>
      </c>
      <c r="Q75" s="76" t="str">
        <f t="array" ref="Q75">INDEX(INDIRECT("PnL_"&amp;TEXT(Q$1,"mmm")&amp;"_"&amp;TEXT(Q$1,"yyyy")),MATCH(TRIM($A75),PnL_Accounts,0))</f>
        <v/>
      </c>
      <c r="R75" s="76" t="str">
        <f t="array" ref="R75">INDEX(INDIRECT("PnL_"&amp;TEXT(R$1,"mmm")&amp;"_"&amp;TEXT(R$1,"yyyy")),MATCH(TRIM($A75),PnL_Accounts,0))</f>
        <v/>
      </c>
      <c r="S75" s="76" t="str">
        <f t="array" ref="S75">INDEX(INDIRECT("PnL_"&amp;TEXT(S$1,"mmm")&amp;"_"&amp;TEXT(S$1,"yyyy")),MATCH(TRIM($A75),PnL_Accounts,0))</f>
        <v/>
      </c>
      <c r="T75" s="76" t="str">
        <f t="array" ref="T75">INDEX(INDIRECT("PnL_"&amp;TEXT(T$1,"mmm")&amp;"_"&amp;TEXT(T$1,"yyyy")),MATCH(TRIM($A75),PnL_Accounts,0))</f>
        <v/>
      </c>
      <c r="U75" s="76" t="str">
        <f t="array" ref="U75">INDEX(INDIRECT("PnL_"&amp;TEXT(U$1,"mmm")&amp;"_"&amp;TEXT(U$1,"yyyy")),MATCH(TRIM($A75),PnL_Accounts,0))</f>
        <v/>
      </c>
      <c r="V75" s="76" t="str">
        <f t="array" ref="V75">INDEX(INDIRECT("PnL_"&amp;TEXT(V$1,"mmm")&amp;"_"&amp;TEXT(V$1,"yyyy")),MATCH(TRIM($A75),PnL_Accounts,0))</f>
        <v/>
      </c>
      <c r="W75" s="76" t="str">
        <f t="array" ref="W75">INDEX(INDIRECT("PnL_"&amp;TEXT(W$1,"mmm")&amp;"_"&amp;TEXT(W$1,"yyyy")),MATCH(TRIM($A75),PnL_Accounts,0))</f>
        <v/>
      </c>
      <c r="X75" s="76" t="str">
        <f t="array" ref="X75">INDEX(INDIRECT("PnL_"&amp;TEXT(X$1,"mmm")&amp;"_"&amp;TEXT(X$1,"yyyy")),MATCH(TRIM($A75),PnL_Accounts,0))</f>
        <v/>
      </c>
      <c r="Y75" s="76" t="str">
        <f t="array" ref="Y75">INDEX(INDIRECT("PnL_"&amp;TEXT(Y$1,"mmm")&amp;"_"&amp;TEXT(Y$1,"yyyy")),MATCH(TRIM($A75),PnL_Accounts,0))</f>
        <v/>
      </c>
      <c r="Z75" s="76" t="str">
        <f t="array" ref="Z75">INDEX(INDIRECT("PnL_"&amp;TEXT(Z$1,"mmm")&amp;"_"&amp;TEXT(Z$1,"yyyy")),MATCH(TRIM($A75),PnL_Accounts,0))</f>
        <v/>
      </c>
      <c r="AA75" s="76" t="str">
        <f t="array" ref="AA75">INDEX(INDIRECT("PnL_"&amp;TEXT(AA$1,"mmm")&amp;"_"&amp;TEXT(AA$1,"yyyy")),MATCH(TRIM($A75),PnL_Accounts,0))</f>
        <v/>
      </c>
      <c r="AB75" s="76" t="str">
        <f t="array" ref="AB75">INDEX(INDIRECT("PnL_"&amp;TEXT(AB$1,"mmm")&amp;"_"&amp;TEXT(AB$1,"yyyy")),MATCH(TRIM($A75),PnL_Accounts,0))</f>
        <v/>
      </c>
      <c r="AC75" s="76" t="str">
        <f t="array" ref="AC75">INDEX(INDIRECT("PnL_"&amp;TEXT(AC$1,"mmm")&amp;"_"&amp;TEXT(AC$1,"yyyy")),MATCH(TRIM($A75),PnL_Accounts,0))</f>
        <v/>
      </c>
      <c r="AD75" s="76" t="str">
        <f t="array" ref="AD75">INDEX(INDIRECT("PnL_"&amp;TEXT(AD$1,"mmm")&amp;"_"&amp;TEXT(AD$1,"yyyy")),MATCH(TRIM($A75),PnL_Accounts,0))</f>
        <v/>
      </c>
      <c r="AE75" s="76" t="str">
        <f t="array" ref="AE75">INDEX(INDIRECT("PnL_"&amp;TEXT(AE$1,"mmm")&amp;"_"&amp;TEXT(AE$1,"yyyy")),MATCH(TRIM($A75),PnL_Accounts,0))</f>
        <v/>
      </c>
    </row>
    <row r="76" ht="15.75" customHeight="1">
      <c r="A76" s="1" t="s">
        <v>307</v>
      </c>
      <c r="B76" s="159"/>
      <c r="D76" s="76" t="str">
        <f t="array" ref="D76">INDEX(INDIRECT("PnL_"&amp;TEXT(D$1,"mmm")&amp;"_"&amp;TEXT(D$1,"yyyy")),MATCH(TRIM($A76),PnL_Accounts,0))</f>
        <v/>
      </c>
      <c r="E76" s="76" t="str">
        <f t="array" ref="E76">INDEX(INDIRECT("PnL_"&amp;TEXT(E$1,"mmm")&amp;"_"&amp;TEXT(E$1,"yyyy")),MATCH(TRIM($A76),PnL_Accounts,0))</f>
        <v/>
      </c>
      <c r="F76" s="76" t="str">
        <f t="array" ref="F76">INDEX(INDIRECT("PnL_"&amp;TEXT(F$1,"mmm")&amp;"_"&amp;TEXT(F$1,"yyyy")),MATCH(TRIM($A76),PnL_Accounts,0))</f>
        <v/>
      </c>
      <c r="G76" s="76" t="str">
        <f t="array" ref="G76">INDEX(INDIRECT("PnL_"&amp;TEXT(G$1,"mmm")&amp;"_"&amp;TEXT(G$1,"yyyy")),MATCH(TRIM($A76),PnL_Accounts,0))</f>
        <v/>
      </c>
      <c r="H76" s="76" t="str">
        <f t="array" ref="H76">INDEX(INDIRECT("PnL_"&amp;TEXT(H$1,"mmm")&amp;"_"&amp;TEXT(H$1,"yyyy")),MATCH(TRIM($A76),PnL_Accounts,0))</f>
        <v/>
      </c>
      <c r="I76" s="76" t="str">
        <f t="array" ref="I76">INDEX(INDIRECT("PnL_"&amp;TEXT(I$1,"mmm")&amp;"_"&amp;TEXT(I$1,"yyyy")),MATCH(TRIM($A76),PnL_Accounts,0))</f>
        <v/>
      </c>
      <c r="J76" s="76" t="str">
        <f t="array" ref="J76">INDEX(INDIRECT("PnL_"&amp;TEXT(J$1,"mmm")&amp;"_"&amp;TEXT(J$1,"yyyy")),MATCH(TRIM($A76),PnL_Accounts,0))</f>
        <v/>
      </c>
      <c r="K76" s="76" t="str">
        <f t="array" ref="K76">INDEX(INDIRECT("PnL_"&amp;TEXT(K$1,"mmm")&amp;"_"&amp;TEXT(K$1,"yyyy")),MATCH(TRIM($A76),PnL_Accounts,0))</f>
        <v/>
      </c>
      <c r="L76" s="76" t="str">
        <f t="array" ref="L76">INDEX(INDIRECT("PnL_"&amp;TEXT(L$1,"mmm")&amp;"_"&amp;TEXT(L$1,"yyyy")),MATCH(TRIM($A76),PnL_Accounts,0))</f>
        <v/>
      </c>
      <c r="M76" s="76" t="str">
        <f t="array" ref="M76">INDEX(INDIRECT("PnL_"&amp;TEXT(M$1,"mmm")&amp;"_"&amp;TEXT(M$1,"yyyy")),MATCH(TRIM($A76),PnL_Accounts,0))</f>
        <v/>
      </c>
      <c r="N76" s="76" t="str">
        <f t="array" ref="N76">INDEX(INDIRECT("PnL_"&amp;TEXT(N$1,"mmm")&amp;"_"&amp;TEXT(N$1,"yyyy")),MATCH(TRIM($A76),PnL_Accounts,0))</f>
        <v/>
      </c>
      <c r="O76" s="76" t="str">
        <f t="array" ref="O76">INDEX(INDIRECT("PnL_"&amp;TEXT(O$1,"mmm")&amp;"_"&amp;TEXT(O$1,"yyyy")),MATCH(TRIM($A76),PnL_Accounts,0))</f>
        <v/>
      </c>
      <c r="P76" s="76" t="str">
        <f t="array" ref="P76">INDEX(INDIRECT("PnL_"&amp;TEXT(P$1,"mmm")&amp;"_"&amp;TEXT(P$1,"yyyy")),MATCH(TRIM($A76),PnL_Accounts,0))</f>
        <v/>
      </c>
      <c r="Q76" s="76" t="str">
        <f t="array" ref="Q76">INDEX(INDIRECT("PnL_"&amp;TEXT(Q$1,"mmm")&amp;"_"&amp;TEXT(Q$1,"yyyy")),MATCH(TRIM($A76),PnL_Accounts,0))</f>
        <v/>
      </c>
      <c r="R76" s="76" t="str">
        <f t="array" ref="R76">INDEX(INDIRECT("PnL_"&amp;TEXT(R$1,"mmm")&amp;"_"&amp;TEXT(R$1,"yyyy")),MATCH(TRIM($A76),PnL_Accounts,0))</f>
        <v/>
      </c>
      <c r="S76" s="76" t="str">
        <f t="array" ref="S76">INDEX(INDIRECT("PnL_"&amp;TEXT(S$1,"mmm")&amp;"_"&amp;TEXT(S$1,"yyyy")),MATCH(TRIM($A76),PnL_Accounts,0))</f>
        <v/>
      </c>
      <c r="T76" s="76" t="str">
        <f t="array" ref="T76">INDEX(INDIRECT("PnL_"&amp;TEXT(T$1,"mmm")&amp;"_"&amp;TEXT(T$1,"yyyy")),MATCH(TRIM($A76),PnL_Accounts,0))</f>
        <v/>
      </c>
      <c r="U76" s="76" t="str">
        <f t="array" ref="U76">INDEX(INDIRECT("PnL_"&amp;TEXT(U$1,"mmm")&amp;"_"&amp;TEXT(U$1,"yyyy")),MATCH(TRIM($A76),PnL_Accounts,0))</f>
        <v/>
      </c>
      <c r="V76" s="76" t="str">
        <f t="array" ref="V76">INDEX(INDIRECT("PnL_"&amp;TEXT(V$1,"mmm")&amp;"_"&amp;TEXT(V$1,"yyyy")),MATCH(TRIM($A76),PnL_Accounts,0))</f>
        <v/>
      </c>
      <c r="W76" s="76" t="str">
        <f t="array" ref="W76">INDEX(INDIRECT("PnL_"&amp;TEXT(W$1,"mmm")&amp;"_"&amp;TEXT(W$1,"yyyy")),MATCH(TRIM($A76),PnL_Accounts,0))</f>
        <v/>
      </c>
      <c r="X76" s="76" t="str">
        <f t="array" ref="X76">INDEX(INDIRECT("PnL_"&amp;TEXT(X$1,"mmm")&amp;"_"&amp;TEXT(X$1,"yyyy")),MATCH(TRIM($A76),PnL_Accounts,0))</f>
        <v/>
      </c>
      <c r="Y76" s="76" t="str">
        <f t="array" ref="Y76">INDEX(INDIRECT("PnL_"&amp;TEXT(Y$1,"mmm")&amp;"_"&amp;TEXT(Y$1,"yyyy")),MATCH(TRIM($A76),PnL_Accounts,0))</f>
        <v/>
      </c>
      <c r="Z76" s="76" t="str">
        <f t="array" ref="Z76">INDEX(INDIRECT("PnL_"&amp;TEXT(Z$1,"mmm")&amp;"_"&amp;TEXT(Z$1,"yyyy")),MATCH(TRIM($A76),PnL_Accounts,0))</f>
        <v/>
      </c>
      <c r="AA76" s="76" t="str">
        <f t="array" ref="AA76">INDEX(INDIRECT("PnL_"&amp;TEXT(AA$1,"mmm")&amp;"_"&amp;TEXT(AA$1,"yyyy")),MATCH(TRIM($A76),PnL_Accounts,0))</f>
        <v/>
      </c>
      <c r="AB76" s="76" t="str">
        <f t="array" ref="AB76">INDEX(INDIRECT("PnL_"&amp;TEXT(AB$1,"mmm")&amp;"_"&amp;TEXT(AB$1,"yyyy")),MATCH(TRIM($A76),PnL_Accounts,0))</f>
        <v/>
      </c>
      <c r="AC76" s="76" t="str">
        <f t="array" ref="AC76">INDEX(INDIRECT("PnL_"&amp;TEXT(AC$1,"mmm")&amp;"_"&amp;TEXT(AC$1,"yyyy")),MATCH(TRIM($A76),PnL_Accounts,0))</f>
        <v/>
      </c>
      <c r="AD76" s="76" t="str">
        <f t="array" ref="AD76">INDEX(INDIRECT("PnL_"&amp;TEXT(AD$1,"mmm")&amp;"_"&amp;TEXT(AD$1,"yyyy")),MATCH(TRIM($A76),PnL_Accounts,0))</f>
        <v/>
      </c>
      <c r="AE76" s="76" t="str">
        <f t="array" ref="AE76">INDEX(INDIRECT("PnL_"&amp;TEXT(AE$1,"mmm")&amp;"_"&amp;TEXT(AE$1,"yyyy")),MATCH(TRIM($A76),PnL_Accounts,0))</f>
        <v/>
      </c>
    </row>
    <row r="77" ht="15.75" customHeight="1">
      <c r="A77" s="1" t="s">
        <v>308</v>
      </c>
      <c r="B77" s="160">
        <f>AVERAGEIFS(77:77,$1:$1,"&gt;="&amp;DATE(YEAR(Current_Month),MONTH(Current_Month)-2,DAY(Current_Month)),$1:$1,"&lt;="&amp;EOMONTH(Current_Month,0))</f>
        <v>1576</v>
      </c>
      <c r="D77" s="76">
        <f t="array" ref="D77">INDEX(INDIRECT("PnL_"&amp;TEXT(D$1,"mmm")&amp;"_"&amp;TEXT(D$1,"yyyy")),MATCH(TRIM($A77),PnL_Accounts,0))</f>
        <v>394</v>
      </c>
      <c r="E77" s="76">
        <f t="array" ref="E77">INDEX(INDIRECT("PnL_"&amp;TEXT(E$1,"mmm")&amp;"_"&amp;TEXT(E$1,"yyyy")),MATCH(TRIM($A77),PnL_Accounts,0))</f>
        <v>394</v>
      </c>
      <c r="F77" s="76">
        <f t="array" ref="F77">INDEX(INDIRECT("PnL_"&amp;TEXT(F$1,"mmm")&amp;"_"&amp;TEXT(F$1,"yyyy")),MATCH(TRIM($A77),PnL_Accounts,0))</f>
        <v>591</v>
      </c>
      <c r="G77" s="76">
        <f t="array" ref="G77">INDEX(INDIRECT("PnL_"&amp;TEXT(G$1,"mmm")&amp;"_"&amp;TEXT(G$1,"yyyy")),MATCH(TRIM($A77),PnL_Accounts,0))</f>
        <v>591</v>
      </c>
      <c r="H77" s="76">
        <f t="array" ref="H77">INDEX(INDIRECT("PnL_"&amp;TEXT(H$1,"mmm")&amp;"_"&amp;TEXT(H$1,"yyyy")),MATCH(TRIM($A77),PnL_Accounts,0))</f>
        <v>591</v>
      </c>
      <c r="I77" s="76">
        <f t="array" ref="I77">INDEX(INDIRECT("PnL_"&amp;TEXT(I$1,"mmm")&amp;"_"&amp;TEXT(I$1,"yyyy")),MATCH(TRIM($A77),PnL_Accounts,0))</f>
        <v>788</v>
      </c>
      <c r="J77" s="76">
        <f t="array" ref="J77">INDEX(INDIRECT("PnL_"&amp;TEXT(J$1,"mmm")&amp;"_"&amp;TEXT(J$1,"yyyy")),MATCH(TRIM($A77),PnL_Accounts,0))</f>
        <v>985</v>
      </c>
      <c r="K77" s="76">
        <f t="array" ref="K77">INDEX(INDIRECT("PnL_"&amp;TEXT(K$1,"mmm")&amp;"_"&amp;TEXT(K$1,"yyyy")),MATCH(TRIM($A77),PnL_Accounts,0))</f>
        <v>985</v>
      </c>
      <c r="L77" s="76">
        <f t="array" ref="L77">INDEX(INDIRECT("PnL_"&amp;TEXT(L$1,"mmm")&amp;"_"&amp;TEXT(L$1,"yyyy")),MATCH(TRIM($A77),PnL_Accounts,0))</f>
        <v>985</v>
      </c>
      <c r="M77" s="76">
        <f t="array" ref="M77">INDEX(INDIRECT("PnL_"&amp;TEXT(M$1,"mmm")&amp;"_"&amp;TEXT(M$1,"yyyy")),MATCH(TRIM($A77),PnL_Accounts,0))</f>
        <v>1182</v>
      </c>
      <c r="N77" s="76">
        <f t="array" ref="N77">INDEX(INDIRECT("PnL_"&amp;TEXT(N$1,"mmm")&amp;"_"&amp;TEXT(N$1,"yyyy")),MATCH(TRIM($A77),PnL_Accounts,0))</f>
        <v>1182</v>
      </c>
      <c r="O77" s="76">
        <f t="array" ref="O77">INDEX(INDIRECT("PnL_"&amp;TEXT(O$1,"mmm")&amp;"_"&amp;TEXT(O$1,"yyyy")),MATCH(TRIM($A77),PnL_Accounts,0))</f>
        <v>1379</v>
      </c>
      <c r="P77" s="76">
        <f t="array" ref="P77">INDEX(INDIRECT("PnL_"&amp;TEXT(P$1,"mmm")&amp;"_"&amp;TEXT(P$1,"yyyy")),MATCH(TRIM($A77),PnL_Accounts,0))</f>
        <v>1379</v>
      </c>
      <c r="Q77" s="76">
        <f t="array" ref="Q77">INDEX(INDIRECT("PnL_"&amp;TEXT(Q$1,"mmm")&amp;"_"&amp;TEXT(Q$1,"yyyy")),MATCH(TRIM($A77),PnL_Accounts,0))</f>
        <v>1576</v>
      </c>
      <c r="R77" s="76">
        <f t="array" ref="R77">INDEX(INDIRECT("PnL_"&amp;TEXT(R$1,"mmm")&amp;"_"&amp;TEXT(R$1,"yyyy")),MATCH(TRIM($A77),PnL_Accounts,0))</f>
        <v>1576</v>
      </c>
      <c r="S77" s="76">
        <f t="array" ref="S77">INDEX(INDIRECT("PnL_"&amp;TEXT(S$1,"mmm")&amp;"_"&amp;TEXT(S$1,"yyyy")),MATCH(TRIM($A77),PnL_Accounts,0))</f>
        <v>1576</v>
      </c>
      <c r="T77" s="76">
        <f t="array" ref="T77">INDEX(INDIRECT("PnL_"&amp;TEXT(T$1,"mmm")&amp;"_"&amp;TEXT(T$1,"yyyy")),MATCH(TRIM($A77),PnL_Accounts,0))</f>
        <v>1576</v>
      </c>
      <c r="U77" s="76">
        <f t="array" ref="U77">INDEX(INDIRECT("PnL_"&amp;TEXT(U$1,"mmm")&amp;"_"&amp;TEXT(U$1,"yyyy")),MATCH(TRIM($A77),PnL_Accounts,0))</f>
        <v>1576</v>
      </c>
      <c r="V77" s="76">
        <f t="array" ref="V77">INDEX(INDIRECT("PnL_"&amp;TEXT(V$1,"mmm")&amp;"_"&amp;TEXT(V$1,"yyyy")),MATCH(TRIM($A77),PnL_Accounts,0))</f>
        <v>1576</v>
      </c>
      <c r="W77" s="76">
        <f t="array" ref="W77">INDEX(INDIRECT("PnL_"&amp;TEXT(W$1,"mmm")&amp;"_"&amp;TEXT(W$1,"yyyy")),MATCH(TRIM($A77),PnL_Accounts,0))</f>
        <v>1576</v>
      </c>
      <c r="X77" s="76">
        <f t="array" ref="X77">INDEX(INDIRECT("PnL_"&amp;TEXT(X$1,"mmm")&amp;"_"&amp;TEXT(X$1,"yyyy")),MATCH(TRIM($A77),PnL_Accounts,0))</f>
        <v>1576</v>
      </c>
      <c r="Y77" s="76">
        <f t="array" ref="Y77">INDEX(INDIRECT("PnL_"&amp;TEXT(Y$1,"mmm")&amp;"_"&amp;TEXT(Y$1,"yyyy")),MATCH(TRIM($A77),PnL_Accounts,0))</f>
        <v>1576</v>
      </c>
      <c r="Z77" s="76">
        <f t="array" ref="Z77">INDEX(INDIRECT("PnL_"&amp;TEXT(Z$1,"mmm")&amp;"_"&amp;TEXT(Z$1,"yyyy")),MATCH(TRIM($A77),PnL_Accounts,0))</f>
        <v>1576</v>
      </c>
      <c r="AA77" s="76">
        <f t="array" ref="AA77">INDEX(INDIRECT("PnL_"&amp;TEXT(AA$1,"mmm")&amp;"_"&amp;TEXT(AA$1,"yyyy")),MATCH(TRIM($A77),PnL_Accounts,0))</f>
        <v>1576</v>
      </c>
      <c r="AB77" s="76">
        <f t="array" ref="AB77">INDEX(INDIRECT("PnL_"&amp;TEXT(AB$1,"mmm")&amp;"_"&amp;TEXT(AB$1,"yyyy")),MATCH(TRIM($A77),PnL_Accounts,0))</f>
        <v>1576</v>
      </c>
      <c r="AC77" s="76">
        <f t="array" ref="AC77">INDEX(INDIRECT("PnL_"&amp;TEXT(AC$1,"mmm")&amp;"_"&amp;TEXT(AC$1,"yyyy")),MATCH(TRIM($A77),PnL_Accounts,0))</f>
        <v>1576</v>
      </c>
      <c r="AD77" s="76">
        <f t="array" ref="AD77">INDEX(INDIRECT("PnL_"&amp;TEXT(AD$1,"mmm")&amp;"_"&amp;TEXT(AD$1,"yyyy")),MATCH(TRIM($A77),PnL_Accounts,0))</f>
        <v>1576</v>
      </c>
      <c r="AE77" s="76">
        <f t="array" ref="AE77">INDEX(INDIRECT("PnL_"&amp;TEXT(AE$1,"mmm")&amp;"_"&amp;TEXT(AE$1,"yyyy")),MATCH(TRIM($A77),PnL_Accounts,0))</f>
        <v>1576</v>
      </c>
      <c r="AF77" s="39">
        <f t="array" ref="AF77">INDEX(Hiring_Plan_Benefits_Sales_Worst_Case,MATCH(AF$1,Hiring_Plan_Months_Worst_Case,0))</f>
        <v>1891.666667</v>
      </c>
      <c r="AG77" s="39">
        <f t="array" ref="AG77">INDEX(Hiring_Plan_Benefits_Sales_Worst_Case,MATCH(AG$1,Hiring_Plan_Months_Worst_Case,0))</f>
        <v>1891.666667</v>
      </c>
      <c r="AH77" s="39">
        <f t="array" ref="AH77">INDEX(Hiring_Plan_Benefits_Sales_Worst_Case,MATCH(AH$1,Hiring_Plan_Months_Worst_Case,0))</f>
        <v>1891.666667</v>
      </c>
      <c r="AI77" s="39">
        <f t="array" ref="AI77">INDEX(Hiring_Plan_Benefits_Sales_Worst_Case,MATCH(AI$1,Hiring_Plan_Months_Worst_Case,0))</f>
        <v>1891.666667</v>
      </c>
      <c r="AJ77" s="39">
        <f t="array" ref="AJ77">INDEX(Hiring_Plan_Benefits_Sales_Worst_Case,MATCH(AJ$1,Hiring_Plan_Months_Worst_Case,0))</f>
        <v>1891.666667</v>
      </c>
      <c r="AK77" s="39">
        <f t="array" ref="AK77">INDEX(Hiring_Plan_Benefits_Sales_Worst_Case,MATCH(AK$1,Hiring_Plan_Months_Worst_Case,0))</f>
        <v>1891.666667</v>
      </c>
      <c r="AL77" s="39">
        <f t="array" ref="AL77">INDEX(Hiring_Plan_Benefits_Sales_Worst_Case,MATCH(AL$1,Hiring_Plan_Months_Worst_Case,0))</f>
        <v>1891.666667</v>
      </c>
      <c r="AM77" s="39">
        <f t="array" ref="AM77">INDEX(Hiring_Plan_Benefits_Sales_Worst_Case,MATCH(AM$1,Hiring_Plan_Months_Worst_Case,0))</f>
        <v>1891.666667</v>
      </c>
      <c r="AN77" s="39">
        <f t="array" ref="AN77">INDEX(Hiring_Plan_Benefits_Sales_Worst_Case,MATCH(AN$1,Hiring_Plan_Months_Worst_Case,0))</f>
        <v>1891.666667</v>
      </c>
      <c r="AO77" s="39">
        <f t="array" ref="AO77">INDEX(Hiring_Plan_Benefits_Sales_Worst_Case,MATCH(AO$1,Hiring_Plan_Months_Worst_Case,0))</f>
        <v>1891.666667</v>
      </c>
      <c r="AP77" s="39">
        <f t="array" ref="AP77">INDEX(Hiring_Plan_Benefits_Sales_Worst_Case,MATCH(AP$1,Hiring_Plan_Months_Worst_Case,0))</f>
        <v>1891.666667</v>
      </c>
      <c r="AQ77" s="39">
        <f t="array" ref="AQ77">INDEX(Hiring_Plan_Benefits_Sales_Worst_Case,MATCH(AQ$1,Hiring_Plan_Months_Worst_Case,0))</f>
        <v>1891.666667</v>
      </c>
      <c r="AR77" s="39">
        <f t="array" ref="AR77">INDEX(Hiring_Plan_Benefits_Sales_Worst_Case,MATCH(AR$1,Hiring_Plan_Months_Worst_Case,0))</f>
        <v>1891.666667</v>
      </c>
      <c r="AS77" s="39">
        <f t="array" ref="AS77">INDEX(Hiring_Plan_Benefits_Sales_Worst_Case,MATCH(AS$1,Hiring_Plan_Months_Worst_Case,0))</f>
        <v>1891.666667</v>
      </c>
      <c r="AT77" s="39">
        <f t="array" ref="AT77">INDEX(Hiring_Plan_Benefits_Sales_Worst_Case,MATCH(AT$1,Hiring_Plan_Months_Worst_Case,0))</f>
        <v>1891.666667</v>
      </c>
      <c r="AU77" s="39">
        <f t="array" ref="AU77">INDEX(Hiring_Plan_Benefits_Sales_Worst_Case,MATCH(AU$1,Hiring_Plan_Months_Worst_Case,0))</f>
        <v>1891.666667</v>
      </c>
      <c r="AV77" s="39">
        <f t="array" ref="AV77">INDEX(Hiring_Plan_Benefits_Sales_Worst_Case,MATCH(AV$1,Hiring_Plan_Months_Worst_Case,0))</f>
        <v>1891.666667</v>
      </c>
      <c r="AW77" s="39">
        <f t="array" ref="AW77">INDEX(Hiring_Plan_Benefits_Sales_Worst_Case,MATCH(AW$1,Hiring_Plan_Months_Worst_Case,0))</f>
        <v>1891.666667</v>
      </c>
      <c r="AX77" s="39">
        <f t="array" ref="AX77">INDEX(Hiring_Plan_Benefits_Sales_Worst_Case,MATCH(AX$1,Hiring_Plan_Months_Worst_Case,0))</f>
        <v>1891.666667</v>
      </c>
      <c r="AY77" s="39">
        <f t="array" ref="AY77">INDEX(Hiring_Plan_Benefits_Sales_Worst_Case,MATCH(AY$1,Hiring_Plan_Months_Worst_Case,0))</f>
        <v>1891.666667</v>
      </c>
      <c r="AZ77" s="39">
        <f t="array" ref="AZ77">INDEX(Hiring_Plan_Benefits_Sales_Worst_Case,MATCH(AZ$1,Hiring_Plan_Months_Worst_Case,0))</f>
        <v>1891.666667</v>
      </c>
      <c r="BA77" s="39">
        <f t="array" ref="BA77">INDEX(Hiring_Plan_Benefits_Sales_Worst_Case,MATCH(BA$1,Hiring_Plan_Months_Worst_Case,0))</f>
        <v>1891.666667</v>
      </c>
      <c r="BB77" s="39">
        <f t="array" ref="BB77">INDEX(Hiring_Plan_Benefits_Sales_Worst_Case,MATCH(BB$1,Hiring_Plan_Months_Worst_Case,0))</f>
        <v>1891.666667</v>
      </c>
      <c r="BC77" s="39">
        <f t="array" ref="BC77">INDEX(Hiring_Plan_Benefits_Sales_Worst_Case,MATCH(BC$1,Hiring_Plan_Months_Worst_Case,0))</f>
        <v>1891.666667</v>
      </c>
      <c r="BD77" s="39">
        <f t="array" ref="BD77">INDEX(Hiring_Plan_Benefits_Sales_Worst_Case,MATCH(BD$1,Hiring_Plan_Months_Worst_Case,0))</f>
        <v>1891.666667</v>
      </c>
      <c r="BE77" s="39">
        <f t="array" ref="BE77">INDEX(Hiring_Plan_Benefits_Sales_Worst_Case,MATCH(BE$1,Hiring_Plan_Months_Worst_Case,0))</f>
        <v>1891.666667</v>
      </c>
      <c r="BF77" s="39">
        <f t="array" ref="BF77">INDEX(Hiring_Plan_Benefits_Sales_Worst_Case,MATCH(BF$1,Hiring_Plan_Months_Worst_Case,0))</f>
        <v>1891.666667</v>
      </c>
      <c r="BG77" s="39">
        <f t="array" ref="BG77">INDEX(Hiring_Plan_Benefits_Sales_Worst_Case,MATCH(BG$1,Hiring_Plan_Months_Worst_Case,0))</f>
        <v>1891.666667</v>
      </c>
      <c r="BH77" s="39">
        <f t="array" ref="BH77">INDEX(Hiring_Plan_Benefits_Sales_Worst_Case,MATCH(BH$1,Hiring_Plan_Months_Worst_Case,0))</f>
        <v>1891.666667</v>
      </c>
      <c r="BI77" s="39">
        <f t="array" ref="BI77">INDEX(Hiring_Plan_Benefits_Sales_Worst_Case,MATCH(BI$1,Hiring_Plan_Months_Worst_Case,0))</f>
        <v>1891.666667</v>
      </c>
      <c r="BJ77" s="39">
        <f t="array" ref="BJ77">INDEX(Hiring_Plan_Benefits_Sales_Worst_Case,MATCH(BJ$1,Hiring_Plan_Months_Worst_Case,0))</f>
        <v>1891.666667</v>
      </c>
      <c r="BK77" s="39">
        <f t="array" ref="BK77">INDEX(Hiring_Plan_Benefits_Sales_Worst_Case,MATCH(BK$1,Hiring_Plan_Months_Worst_Case,0))</f>
        <v>1891.666667</v>
      </c>
      <c r="BL77" s="39">
        <f t="array" ref="BL77">INDEX(Hiring_Plan_Benefits_Sales_Worst_Case,MATCH(BL$1,Hiring_Plan_Months_Worst_Case,0))</f>
        <v>1891.666667</v>
      </c>
      <c r="BM77" s="39">
        <f t="array" ref="BM77">INDEX(Hiring_Plan_Benefits_Sales_Worst_Case,MATCH(BM$1,Hiring_Plan_Months_Worst_Case,0))</f>
        <v>1891.666667</v>
      </c>
      <c r="BN77" s="39">
        <f t="array" ref="BN77">INDEX(Hiring_Plan_Benefits_Sales_Worst_Case,MATCH(BN$1,Hiring_Plan_Months_Worst_Case,0))</f>
        <v>1891.666667</v>
      </c>
      <c r="BO77" s="39">
        <f t="array" ref="BO77">INDEX(Hiring_Plan_Benefits_Sales_Worst_Case,MATCH(BO$1,Hiring_Plan_Months_Worst_Case,0))</f>
        <v>1891.666667</v>
      </c>
      <c r="BP77" s="39">
        <f t="array" ref="BP77">INDEX(Hiring_Plan_Benefits_Sales_Worst_Case,MATCH(BP$1,Hiring_Plan_Months_Worst_Case,0))</f>
        <v>1891.666667</v>
      </c>
      <c r="BQ77" s="39">
        <f t="array" ref="BQ77">INDEX(Hiring_Plan_Benefits_Sales_Worst_Case,MATCH(BQ$1,Hiring_Plan_Months_Worst_Case,0))</f>
        <v>1891.666667</v>
      </c>
      <c r="BR77" s="39">
        <f t="array" ref="BR77">INDEX(Hiring_Plan_Benefits_Sales_Worst_Case,MATCH(BR$1,Hiring_Plan_Months_Worst_Case,0))</f>
        <v>1891.666667</v>
      </c>
      <c r="BS77" s="39">
        <f t="array" ref="BS77">INDEX(Hiring_Plan_Benefits_Sales_Worst_Case,MATCH(BS$1,Hiring_Plan_Months_Worst_Case,0))</f>
        <v>1891.666667</v>
      </c>
      <c r="BT77" s="39">
        <f t="array" ref="BT77">INDEX(Hiring_Plan_Benefits_Sales_Worst_Case,MATCH(BT$1,Hiring_Plan_Months_Worst_Case,0))</f>
        <v>1891.666667</v>
      </c>
      <c r="BU77" s="39">
        <f t="array" ref="BU77">INDEX(Hiring_Plan_Benefits_Sales_Worst_Case,MATCH(BU$1,Hiring_Plan_Months_Worst_Case,0))</f>
        <v>1891.666667</v>
      </c>
      <c r="BV77" s="39">
        <f t="array" ref="BV77">INDEX(Hiring_Plan_Benefits_Sales_Worst_Case,MATCH(BV$1,Hiring_Plan_Months_Worst_Case,0))</f>
        <v>1891.666667</v>
      </c>
      <c r="BW77" s="39">
        <f t="array" ref="BW77">INDEX(Hiring_Plan_Benefits_Sales_Worst_Case,MATCH(BW$1,Hiring_Plan_Months_Worst_Case,0))</f>
        <v>1891.666667</v>
      </c>
    </row>
    <row r="78" ht="15.75" customHeight="1">
      <c r="A78" s="1" t="s">
        <v>309</v>
      </c>
      <c r="B78" s="160">
        <f>AVERAGEIFS(78:78,$1:$1,"&gt;="&amp;DATE(YEAR(Current_Month),MONTH(Current_Month)-2,DAY(Current_Month)),$1:$1,"&lt;="&amp;EOMONTH(Current_Month,0))</f>
        <v>3645</v>
      </c>
      <c r="D78" s="76">
        <f t="array" ref="D78">INDEX(INDIRECT("PnL_"&amp;TEXT(D$1,"mmm")&amp;"_"&amp;TEXT(D$1,"yyyy")),MATCH(TRIM($A78),PnL_Accounts,0))</f>
        <v>900</v>
      </c>
      <c r="E78" s="76">
        <f t="array" ref="E78">INDEX(INDIRECT("PnL_"&amp;TEXT(E$1,"mmm")&amp;"_"&amp;TEXT(E$1,"yyyy")),MATCH(TRIM($A78),PnL_Accounts,0))</f>
        <v>900</v>
      </c>
      <c r="F78" s="76">
        <f t="array" ref="F78">INDEX(INDIRECT("PnL_"&amp;TEXT(F$1,"mmm")&amp;"_"&amp;TEXT(F$1,"yyyy")),MATCH(TRIM($A78),PnL_Accounts,0))</f>
        <v>1350</v>
      </c>
      <c r="G78" s="76">
        <f t="array" ref="G78">INDEX(INDIRECT("PnL_"&amp;TEXT(G$1,"mmm")&amp;"_"&amp;TEXT(G$1,"yyyy")),MATCH(TRIM($A78),PnL_Accounts,0))</f>
        <v>1350</v>
      </c>
      <c r="H78" s="76">
        <f t="array" ref="H78">INDEX(INDIRECT("PnL_"&amp;TEXT(H$1,"mmm")&amp;"_"&amp;TEXT(H$1,"yyyy")),MATCH(TRIM($A78),PnL_Accounts,0))</f>
        <v>1350</v>
      </c>
      <c r="I78" s="76">
        <f t="array" ref="I78">INDEX(INDIRECT("PnL_"&amp;TEXT(I$1,"mmm")&amp;"_"&amp;TEXT(I$1,"yyyy")),MATCH(TRIM($A78),PnL_Accounts,0))</f>
        <v>1800</v>
      </c>
      <c r="J78" s="76">
        <f t="array" ref="J78">INDEX(INDIRECT("PnL_"&amp;TEXT(J$1,"mmm")&amp;"_"&amp;TEXT(J$1,"yyyy")),MATCH(TRIM($A78),PnL_Accounts,0))</f>
        <v>2205</v>
      </c>
      <c r="K78" s="76">
        <f t="array" ref="K78">INDEX(INDIRECT("PnL_"&amp;TEXT(K$1,"mmm")&amp;"_"&amp;TEXT(K$1,"yyyy")),MATCH(TRIM($A78),PnL_Accounts,0))</f>
        <v>2205</v>
      </c>
      <c r="L78" s="76">
        <f t="array" ref="L78">INDEX(INDIRECT("PnL_"&amp;TEXT(L$1,"mmm")&amp;"_"&amp;TEXT(L$1,"yyyy")),MATCH(TRIM($A78),PnL_Accounts,0))</f>
        <v>2205</v>
      </c>
      <c r="M78" s="76">
        <f t="array" ref="M78">INDEX(INDIRECT("PnL_"&amp;TEXT(M$1,"mmm")&amp;"_"&amp;TEXT(M$1,"yyyy")),MATCH(TRIM($A78),PnL_Accounts,0))</f>
        <v>2700</v>
      </c>
      <c r="N78" s="76">
        <f t="array" ref="N78">INDEX(INDIRECT("PnL_"&amp;TEXT(N$1,"mmm")&amp;"_"&amp;TEXT(N$1,"yyyy")),MATCH(TRIM($A78),PnL_Accounts,0))</f>
        <v>2700</v>
      </c>
      <c r="O78" s="76">
        <f t="array" ref="O78">INDEX(INDIRECT("PnL_"&amp;TEXT(O$1,"mmm")&amp;"_"&amp;TEXT(O$1,"yyyy")),MATCH(TRIM($A78),PnL_Accounts,0))</f>
        <v>3150</v>
      </c>
      <c r="P78" s="76">
        <f t="array" ref="P78">INDEX(INDIRECT("PnL_"&amp;TEXT(P$1,"mmm")&amp;"_"&amp;TEXT(P$1,"yyyy")),MATCH(TRIM($A78),PnL_Accounts,0))</f>
        <v>3150</v>
      </c>
      <c r="Q78" s="76">
        <f t="array" ref="Q78">INDEX(INDIRECT("PnL_"&amp;TEXT(Q$1,"mmm")&amp;"_"&amp;TEXT(Q$1,"yyyy")),MATCH(TRIM($A78),PnL_Accounts,0))</f>
        <v>3645</v>
      </c>
      <c r="R78" s="76">
        <f t="array" ref="R78">INDEX(INDIRECT("PnL_"&amp;TEXT(R$1,"mmm")&amp;"_"&amp;TEXT(R$1,"yyyy")),MATCH(TRIM($A78),PnL_Accounts,0))</f>
        <v>3645</v>
      </c>
      <c r="S78" s="76">
        <f t="array" ref="S78">INDEX(INDIRECT("PnL_"&amp;TEXT(S$1,"mmm")&amp;"_"&amp;TEXT(S$1,"yyyy")),MATCH(TRIM($A78),PnL_Accounts,0))</f>
        <v>3645</v>
      </c>
      <c r="T78" s="76">
        <f t="array" ref="T78">INDEX(INDIRECT("PnL_"&amp;TEXT(T$1,"mmm")&amp;"_"&amp;TEXT(T$1,"yyyy")),MATCH(TRIM($A78),PnL_Accounts,0))</f>
        <v>3645</v>
      </c>
      <c r="U78" s="76">
        <f t="array" ref="U78">INDEX(INDIRECT("PnL_"&amp;TEXT(U$1,"mmm")&amp;"_"&amp;TEXT(U$1,"yyyy")),MATCH(TRIM($A78),PnL_Accounts,0))</f>
        <v>3645</v>
      </c>
      <c r="V78" s="76">
        <f t="array" ref="V78">INDEX(INDIRECT("PnL_"&amp;TEXT(V$1,"mmm")&amp;"_"&amp;TEXT(V$1,"yyyy")),MATCH(TRIM($A78),PnL_Accounts,0))</f>
        <v>3645</v>
      </c>
      <c r="W78" s="76">
        <f t="array" ref="W78">INDEX(INDIRECT("PnL_"&amp;TEXT(W$1,"mmm")&amp;"_"&amp;TEXT(W$1,"yyyy")),MATCH(TRIM($A78),PnL_Accounts,0))</f>
        <v>3645</v>
      </c>
      <c r="X78" s="76">
        <f t="array" ref="X78">INDEX(INDIRECT("PnL_"&amp;TEXT(X$1,"mmm")&amp;"_"&amp;TEXT(X$1,"yyyy")),MATCH(TRIM($A78),PnL_Accounts,0))</f>
        <v>3645</v>
      </c>
      <c r="Y78" s="76">
        <f t="array" ref="Y78">INDEX(INDIRECT("PnL_"&amp;TEXT(Y$1,"mmm")&amp;"_"&amp;TEXT(Y$1,"yyyy")),MATCH(TRIM($A78),PnL_Accounts,0))</f>
        <v>3645</v>
      </c>
      <c r="Z78" s="76">
        <f t="array" ref="Z78">INDEX(INDIRECT("PnL_"&amp;TEXT(Z$1,"mmm")&amp;"_"&amp;TEXT(Z$1,"yyyy")),MATCH(TRIM($A78),PnL_Accounts,0))</f>
        <v>3645</v>
      </c>
      <c r="AA78" s="76">
        <f t="array" ref="AA78">INDEX(INDIRECT("PnL_"&amp;TEXT(AA$1,"mmm")&amp;"_"&amp;TEXT(AA$1,"yyyy")),MATCH(TRIM($A78),PnL_Accounts,0))</f>
        <v>3645</v>
      </c>
      <c r="AB78" s="76">
        <f t="array" ref="AB78">INDEX(INDIRECT("PnL_"&amp;TEXT(AB$1,"mmm")&amp;"_"&amp;TEXT(AB$1,"yyyy")),MATCH(TRIM($A78),PnL_Accounts,0))</f>
        <v>3645</v>
      </c>
      <c r="AC78" s="76">
        <f t="array" ref="AC78">INDEX(INDIRECT("PnL_"&amp;TEXT(AC$1,"mmm")&amp;"_"&amp;TEXT(AC$1,"yyyy")),MATCH(TRIM($A78),PnL_Accounts,0))</f>
        <v>3645</v>
      </c>
      <c r="AD78" s="76">
        <f t="array" ref="AD78">INDEX(INDIRECT("PnL_"&amp;TEXT(AD$1,"mmm")&amp;"_"&amp;TEXT(AD$1,"yyyy")),MATCH(TRIM($A78),PnL_Accounts,0))</f>
        <v>3645</v>
      </c>
      <c r="AE78" s="76">
        <f t="array" ref="AE78">INDEX(INDIRECT("PnL_"&amp;TEXT(AE$1,"mmm")&amp;"_"&amp;TEXT(AE$1,"yyyy")),MATCH(TRIM($A78),PnL_Accounts,0))</f>
        <v>3645</v>
      </c>
      <c r="AF78" s="39">
        <f t="array" ref="AF78">INDEX(Hiring_Plan_Payroll_Taxes_Sales_Worst_Case,MATCH(AF$1,Hiring_Plan_Months_Worst_Case,0))</f>
        <v>2006.25</v>
      </c>
      <c r="AG78" s="39">
        <f t="array" ref="AG78">INDEX(Hiring_Plan_Payroll_Taxes_Sales_Worst_Case,MATCH(AG$1,Hiring_Plan_Months_Worst_Case,0))</f>
        <v>2006.25</v>
      </c>
      <c r="AH78" s="39">
        <f t="array" ref="AH78">INDEX(Hiring_Plan_Payroll_Taxes_Sales_Worst_Case,MATCH(AH$1,Hiring_Plan_Months_Worst_Case,0))</f>
        <v>2006.25</v>
      </c>
      <c r="AI78" s="39">
        <f t="array" ref="AI78">INDEX(Hiring_Plan_Payroll_Taxes_Sales_Worst_Case,MATCH(AI$1,Hiring_Plan_Months_Worst_Case,0))</f>
        <v>2006.25</v>
      </c>
      <c r="AJ78" s="39">
        <f t="array" ref="AJ78">INDEX(Hiring_Plan_Payroll_Taxes_Sales_Worst_Case,MATCH(AJ$1,Hiring_Plan_Months_Worst_Case,0))</f>
        <v>2006.25</v>
      </c>
      <c r="AK78" s="39">
        <f t="array" ref="AK78">INDEX(Hiring_Plan_Payroll_Taxes_Sales_Worst_Case,MATCH(AK$1,Hiring_Plan_Months_Worst_Case,0))</f>
        <v>2006.25</v>
      </c>
      <c r="AL78" s="39">
        <f t="array" ref="AL78">INDEX(Hiring_Plan_Payroll_Taxes_Sales_Worst_Case,MATCH(AL$1,Hiring_Plan_Months_Worst_Case,0))</f>
        <v>2006.25</v>
      </c>
      <c r="AM78" s="39">
        <f t="array" ref="AM78">INDEX(Hiring_Plan_Payroll_Taxes_Sales_Worst_Case,MATCH(AM$1,Hiring_Plan_Months_Worst_Case,0))</f>
        <v>2006.25</v>
      </c>
      <c r="AN78" s="39">
        <f t="array" ref="AN78">INDEX(Hiring_Plan_Payroll_Taxes_Sales_Worst_Case,MATCH(AN$1,Hiring_Plan_Months_Worst_Case,0))</f>
        <v>2006.25</v>
      </c>
      <c r="AO78" s="39">
        <f t="array" ref="AO78">INDEX(Hiring_Plan_Payroll_Taxes_Sales_Worst_Case,MATCH(AO$1,Hiring_Plan_Months_Worst_Case,0))</f>
        <v>2006.25</v>
      </c>
      <c r="AP78" s="39">
        <f t="array" ref="AP78">INDEX(Hiring_Plan_Payroll_Taxes_Sales_Worst_Case,MATCH(AP$1,Hiring_Plan_Months_Worst_Case,0))</f>
        <v>2006.25</v>
      </c>
      <c r="AQ78" s="39">
        <f t="array" ref="AQ78">INDEX(Hiring_Plan_Payroll_Taxes_Sales_Worst_Case,MATCH(AQ$1,Hiring_Plan_Months_Worst_Case,0))</f>
        <v>2006.25</v>
      </c>
      <c r="AR78" s="39">
        <f t="array" ref="AR78">INDEX(Hiring_Plan_Payroll_Taxes_Sales_Worst_Case,MATCH(AR$1,Hiring_Plan_Months_Worst_Case,0))</f>
        <v>2006.25</v>
      </c>
      <c r="AS78" s="39">
        <f t="array" ref="AS78">INDEX(Hiring_Plan_Payroll_Taxes_Sales_Worst_Case,MATCH(AS$1,Hiring_Plan_Months_Worst_Case,0))</f>
        <v>2006.25</v>
      </c>
      <c r="AT78" s="39">
        <f t="array" ref="AT78">INDEX(Hiring_Plan_Payroll_Taxes_Sales_Worst_Case,MATCH(AT$1,Hiring_Plan_Months_Worst_Case,0))</f>
        <v>2006.25</v>
      </c>
      <c r="AU78" s="39">
        <f t="array" ref="AU78">INDEX(Hiring_Plan_Payroll_Taxes_Sales_Worst_Case,MATCH(AU$1,Hiring_Plan_Months_Worst_Case,0))</f>
        <v>2006.25</v>
      </c>
      <c r="AV78" s="39">
        <f t="array" ref="AV78">INDEX(Hiring_Plan_Payroll_Taxes_Sales_Worst_Case,MATCH(AV$1,Hiring_Plan_Months_Worst_Case,0))</f>
        <v>2006.25</v>
      </c>
      <c r="AW78" s="39">
        <f t="array" ref="AW78">INDEX(Hiring_Plan_Payroll_Taxes_Sales_Worst_Case,MATCH(AW$1,Hiring_Plan_Months_Worst_Case,0))</f>
        <v>2006.25</v>
      </c>
      <c r="AX78" s="39">
        <f t="array" ref="AX78">INDEX(Hiring_Plan_Payroll_Taxes_Sales_Worst_Case,MATCH(AX$1,Hiring_Plan_Months_Worst_Case,0))</f>
        <v>2006.25</v>
      </c>
      <c r="AY78" s="39">
        <f t="array" ref="AY78">INDEX(Hiring_Plan_Payroll_Taxes_Sales_Worst_Case,MATCH(AY$1,Hiring_Plan_Months_Worst_Case,0))</f>
        <v>2006.25</v>
      </c>
      <c r="AZ78" s="39">
        <f t="array" ref="AZ78">INDEX(Hiring_Plan_Payroll_Taxes_Sales_Worst_Case,MATCH(AZ$1,Hiring_Plan_Months_Worst_Case,0))</f>
        <v>2006.25</v>
      </c>
      <c r="BA78" s="39">
        <f t="array" ref="BA78">INDEX(Hiring_Plan_Payroll_Taxes_Sales_Worst_Case,MATCH(BA$1,Hiring_Plan_Months_Worst_Case,0))</f>
        <v>2006.25</v>
      </c>
      <c r="BB78" s="39">
        <f t="array" ref="BB78">INDEX(Hiring_Plan_Payroll_Taxes_Sales_Worst_Case,MATCH(BB$1,Hiring_Plan_Months_Worst_Case,0))</f>
        <v>2006.25</v>
      </c>
      <c r="BC78" s="39">
        <f t="array" ref="BC78">INDEX(Hiring_Plan_Payroll_Taxes_Sales_Worst_Case,MATCH(BC$1,Hiring_Plan_Months_Worst_Case,0))</f>
        <v>2006.25</v>
      </c>
      <c r="BD78" s="39">
        <f t="array" ref="BD78">INDEX(Hiring_Plan_Payroll_Taxes_Sales_Worst_Case,MATCH(BD$1,Hiring_Plan_Months_Worst_Case,0))</f>
        <v>2006.25</v>
      </c>
      <c r="BE78" s="39">
        <f t="array" ref="BE78">INDEX(Hiring_Plan_Payroll_Taxes_Sales_Worst_Case,MATCH(BE$1,Hiring_Plan_Months_Worst_Case,0))</f>
        <v>2006.25</v>
      </c>
      <c r="BF78" s="39">
        <f t="array" ref="BF78">INDEX(Hiring_Plan_Payroll_Taxes_Sales_Worst_Case,MATCH(BF$1,Hiring_Plan_Months_Worst_Case,0))</f>
        <v>2006.25</v>
      </c>
      <c r="BG78" s="39">
        <f t="array" ref="BG78">INDEX(Hiring_Plan_Payroll_Taxes_Sales_Worst_Case,MATCH(BG$1,Hiring_Plan_Months_Worst_Case,0))</f>
        <v>2006.25</v>
      </c>
      <c r="BH78" s="39">
        <f t="array" ref="BH78">INDEX(Hiring_Plan_Payroll_Taxes_Sales_Worst_Case,MATCH(BH$1,Hiring_Plan_Months_Worst_Case,0))</f>
        <v>2006.25</v>
      </c>
      <c r="BI78" s="39">
        <f t="array" ref="BI78">INDEX(Hiring_Plan_Payroll_Taxes_Sales_Worst_Case,MATCH(BI$1,Hiring_Plan_Months_Worst_Case,0))</f>
        <v>2006.25</v>
      </c>
      <c r="BJ78" s="39">
        <f t="array" ref="BJ78">INDEX(Hiring_Plan_Payroll_Taxes_Sales_Worst_Case,MATCH(BJ$1,Hiring_Plan_Months_Worst_Case,0))</f>
        <v>2006.25</v>
      </c>
      <c r="BK78" s="39">
        <f t="array" ref="BK78">INDEX(Hiring_Plan_Payroll_Taxes_Sales_Worst_Case,MATCH(BK$1,Hiring_Plan_Months_Worst_Case,0))</f>
        <v>2006.25</v>
      </c>
      <c r="BL78" s="39">
        <f t="array" ref="BL78">INDEX(Hiring_Plan_Payroll_Taxes_Sales_Worst_Case,MATCH(BL$1,Hiring_Plan_Months_Worst_Case,0))</f>
        <v>2006.25</v>
      </c>
      <c r="BM78" s="39">
        <f t="array" ref="BM78">INDEX(Hiring_Plan_Payroll_Taxes_Sales_Worst_Case,MATCH(BM$1,Hiring_Plan_Months_Worst_Case,0))</f>
        <v>2006.25</v>
      </c>
      <c r="BN78" s="39">
        <f t="array" ref="BN78">INDEX(Hiring_Plan_Payroll_Taxes_Sales_Worst_Case,MATCH(BN$1,Hiring_Plan_Months_Worst_Case,0))</f>
        <v>2006.25</v>
      </c>
      <c r="BO78" s="39">
        <f t="array" ref="BO78">INDEX(Hiring_Plan_Payroll_Taxes_Sales_Worst_Case,MATCH(BO$1,Hiring_Plan_Months_Worst_Case,0))</f>
        <v>2006.25</v>
      </c>
      <c r="BP78" s="39">
        <f t="array" ref="BP78">INDEX(Hiring_Plan_Payroll_Taxes_Sales_Worst_Case,MATCH(BP$1,Hiring_Plan_Months_Worst_Case,0))</f>
        <v>2006.25</v>
      </c>
      <c r="BQ78" s="39">
        <f t="array" ref="BQ78">INDEX(Hiring_Plan_Payroll_Taxes_Sales_Worst_Case,MATCH(BQ$1,Hiring_Plan_Months_Worst_Case,0))</f>
        <v>2006.25</v>
      </c>
      <c r="BR78" s="39">
        <f t="array" ref="BR78">INDEX(Hiring_Plan_Payroll_Taxes_Sales_Worst_Case,MATCH(BR$1,Hiring_Plan_Months_Worst_Case,0))</f>
        <v>2006.25</v>
      </c>
      <c r="BS78" s="39">
        <f t="array" ref="BS78">INDEX(Hiring_Plan_Payroll_Taxes_Sales_Worst_Case,MATCH(BS$1,Hiring_Plan_Months_Worst_Case,0))</f>
        <v>2006.25</v>
      </c>
      <c r="BT78" s="39">
        <f t="array" ref="BT78">INDEX(Hiring_Plan_Payroll_Taxes_Sales_Worst_Case,MATCH(BT$1,Hiring_Plan_Months_Worst_Case,0))</f>
        <v>2006.25</v>
      </c>
      <c r="BU78" s="39">
        <f t="array" ref="BU78">INDEX(Hiring_Plan_Payroll_Taxes_Sales_Worst_Case,MATCH(BU$1,Hiring_Plan_Months_Worst_Case,0))</f>
        <v>2006.25</v>
      </c>
      <c r="BV78" s="39">
        <f t="array" ref="BV78">INDEX(Hiring_Plan_Payroll_Taxes_Sales_Worst_Case,MATCH(BV$1,Hiring_Plan_Months_Worst_Case,0))</f>
        <v>2006.25</v>
      </c>
      <c r="BW78" s="39">
        <f t="array" ref="BW78">INDEX(Hiring_Plan_Payroll_Taxes_Sales_Worst_Case,MATCH(BW$1,Hiring_Plan_Months_Worst_Case,0))</f>
        <v>2006.25</v>
      </c>
    </row>
    <row r="79" ht="15.75" customHeight="1">
      <c r="A79" s="1" t="s">
        <v>310</v>
      </c>
      <c r="B79" s="160">
        <f>AVERAGEIFS(79:79,$1:$1,"&gt;="&amp;DATE(YEAR(Current_Month),MONTH(Current_Month)-2,DAY(Current_Month)),$1:$1,"&lt;="&amp;EOMONTH(Current_Month,0))</f>
        <v>44743.33333</v>
      </c>
      <c r="D79" s="76">
        <f t="array" ref="D79">INDEX(INDIRECT("PnL_"&amp;TEXT(D$1,"mmm")&amp;"_"&amp;TEXT(D$1,"yyyy")),MATCH(TRIM($A79),PnL_Accounts,0))</f>
        <v>11652</v>
      </c>
      <c r="E79" s="76">
        <f t="array" ref="E79">INDEX(INDIRECT("PnL_"&amp;TEXT(E$1,"mmm")&amp;"_"&amp;TEXT(E$1,"yyyy")),MATCH(TRIM($A79),PnL_Accounts,0))</f>
        <v>14166</v>
      </c>
      <c r="F79" s="76">
        <f t="array" ref="F79">INDEX(INDIRECT("PnL_"&amp;TEXT(F$1,"mmm")&amp;"_"&amp;TEXT(F$1,"yyyy")),MATCH(TRIM($A79),PnL_Accounts,0))</f>
        <v>21021</v>
      </c>
      <c r="G79" s="76">
        <f t="array" ref="G79">INDEX(INDIRECT("PnL_"&amp;TEXT(G$1,"mmm")&amp;"_"&amp;TEXT(G$1,"yyyy")),MATCH(TRIM($A79),PnL_Accounts,0))</f>
        <v>21868</v>
      </c>
      <c r="H79" s="76">
        <f t="array" ref="H79">INDEX(INDIRECT("PnL_"&amp;TEXT(H$1,"mmm")&amp;"_"&amp;TEXT(H$1,"yyyy")),MATCH(TRIM($A79),PnL_Accounts,0))</f>
        <v>27274</v>
      </c>
      <c r="I79" s="76">
        <f t="array" ref="I79">INDEX(INDIRECT("PnL_"&amp;TEXT(I$1,"mmm")&amp;"_"&amp;TEXT(I$1,"yyyy")),MATCH(TRIM($A79),PnL_Accounts,0))</f>
        <v>16676</v>
      </c>
      <c r="J79" s="76">
        <f t="array" ref="J79">INDEX(INDIRECT("PnL_"&amp;TEXT(J$1,"mmm")&amp;"_"&amp;TEXT(J$1,"yyyy")),MATCH(TRIM($A79),PnL_Accounts,0))</f>
        <v>24845</v>
      </c>
      <c r="K79" s="76">
        <f t="array" ref="K79">INDEX(INDIRECT("PnL_"&amp;TEXT(K$1,"mmm")&amp;"_"&amp;TEXT(K$1,"yyyy")),MATCH(TRIM($A79),PnL_Accounts,0))</f>
        <v>25937</v>
      </c>
      <c r="L79" s="76">
        <f t="array" ref="L79">INDEX(INDIRECT("PnL_"&amp;TEXT(L$1,"mmm")&amp;"_"&amp;TEXT(L$1,"yyyy")),MATCH(TRIM($A79),PnL_Accounts,0))</f>
        <v>26800</v>
      </c>
      <c r="M79" s="76">
        <f t="array" ref="M79">INDEX(INDIRECT("PnL_"&amp;TEXT(M$1,"mmm")&amp;"_"&amp;TEXT(M$1,"yyyy")),MATCH(TRIM($A79),PnL_Accounts,0))</f>
        <v>29607</v>
      </c>
      <c r="N79" s="76">
        <f t="array" ref="N79">INDEX(INDIRECT("PnL_"&amp;TEXT(N$1,"mmm")&amp;"_"&amp;TEXT(N$1,"yyyy")),MATCH(TRIM($A79),PnL_Accounts,0))</f>
        <v>28195</v>
      </c>
      <c r="O79" s="76">
        <f t="array" ref="O79">INDEX(INDIRECT("PnL_"&amp;TEXT(O$1,"mmm")&amp;"_"&amp;TEXT(O$1,"yyyy")),MATCH(TRIM($A79),PnL_Accounts,0))</f>
        <v>31733</v>
      </c>
      <c r="P79" s="76">
        <f t="array" ref="P79">INDEX(INDIRECT("PnL_"&amp;TEXT(P$1,"mmm")&amp;"_"&amp;TEXT(P$1,"yyyy")),MATCH(TRIM($A79),PnL_Accounts,0))</f>
        <v>29875</v>
      </c>
      <c r="Q79" s="76">
        <f t="array" ref="Q79">INDEX(INDIRECT("PnL_"&amp;TEXT(Q$1,"mmm")&amp;"_"&amp;TEXT(Q$1,"yyyy")),MATCH(TRIM($A79),PnL_Accounts,0))</f>
        <v>31767</v>
      </c>
      <c r="R79" s="76">
        <f t="array" ref="R79">INDEX(INDIRECT("PnL_"&amp;TEXT(R$1,"mmm")&amp;"_"&amp;TEXT(R$1,"yyyy")),MATCH(TRIM($A79),PnL_Accounts,0))</f>
        <v>33744</v>
      </c>
      <c r="S79" s="76">
        <f t="array" ref="S79">INDEX(INDIRECT("PnL_"&amp;TEXT(S$1,"mmm")&amp;"_"&amp;TEXT(S$1,"yyyy")),MATCH(TRIM($A79),PnL_Accounts,0))</f>
        <v>32911</v>
      </c>
      <c r="T79" s="76">
        <f t="array" ref="T79">INDEX(INDIRECT("PnL_"&amp;TEXT(T$1,"mmm")&amp;"_"&amp;TEXT(T$1,"yyyy")),MATCH(TRIM($A79),PnL_Accounts,0))</f>
        <v>38116</v>
      </c>
      <c r="U79" s="76">
        <f t="array" ref="U79">INDEX(INDIRECT("PnL_"&amp;TEXT(U$1,"mmm")&amp;"_"&amp;TEXT(U$1,"yyyy")),MATCH(TRIM($A79),PnL_Accounts,0))</f>
        <v>37096</v>
      </c>
      <c r="V79" s="76">
        <f t="array" ref="V79">INDEX(INDIRECT("PnL_"&amp;TEXT(V$1,"mmm")&amp;"_"&amp;TEXT(V$1,"yyyy")),MATCH(TRIM($A79),PnL_Accounts,0))</f>
        <v>37962</v>
      </c>
      <c r="W79" s="76">
        <f t="array" ref="W79">INDEX(INDIRECT("PnL_"&amp;TEXT(W$1,"mmm")&amp;"_"&amp;TEXT(W$1,"yyyy")),MATCH(TRIM($A79),PnL_Accounts,0))</f>
        <v>38719</v>
      </c>
      <c r="X79" s="76">
        <f t="array" ref="X79">INDEX(INDIRECT("PnL_"&amp;TEXT(X$1,"mmm")&amp;"_"&amp;TEXT(X$1,"yyyy")),MATCH(TRIM($A79),PnL_Accounts,0))</f>
        <v>41789</v>
      </c>
      <c r="Y79" s="76">
        <f t="array" ref="Y79">INDEX(INDIRECT("PnL_"&amp;TEXT(Y$1,"mmm")&amp;"_"&amp;TEXT(Y$1,"yyyy")),MATCH(TRIM($A79),PnL_Accounts,0))</f>
        <v>44555</v>
      </c>
      <c r="Z79" s="76">
        <f t="array" ref="Z79">INDEX(INDIRECT("PnL_"&amp;TEXT(Z$1,"mmm")&amp;"_"&amp;TEXT(Z$1,"yyyy")),MATCH(TRIM($A79),PnL_Accounts,0))</f>
        <v>49785</v>
      </c>
      <c r="AA79" s="76">
        <f t="array" ref="AA79">INDEX(INDIRECT("PnL_"&amp;TEXT(AA$1,"mmm")&amp;"_"&amp;TEXT(AA$1,"yyyy")),MATCH(TRIM($A79),PnL_Accounts,0))</f>
        <v>52007</v>
      </c>
      <c r="AB79" s="76">
        <f t="array" ref="AB79">INDEX(INDIRECT("PnL_"&amp;TEXT(AB$1,"mmm")&amp;"_"&amp;TEXT(AB$1,"yyyy")),MATCH(TRIM($A79),PnL_Accounts,0))</f>
        <v>52007</v>
      </c>
      <c r="AC79" s="76">
        <f t="array" ref="AC79">INDEX(INDIRECT("PnL_"&amp;TEXT(AC$1,"mmm")&amp;"_"&amp;TEXT(AC$1,"yyyy")),MATCH(TRIM($A79),PnL_Accounts,0))</f>
        <v>59124</v>
      </c>
      <c r="AD79" s="76">
        <f t="array" ref="AD79">INDEX(INDIRECT("PnL_"&amp;TEXT(AD$1,"mmm")&amp;"_"&amp;TEXT(AD$1,"yyyy")),MATCH(TRIM($A79),PnL_Accounts,0))</f>
        <v>39117</v>
      </c>
      <c r="AE79" s="76">
        <f t="array" ref="AE79">INDEX(INDIRECT("PnL_"&amp;TEXT(AE$1,"mmm")&amp;"_"&amp;TEXT(AE$1,"yyyy")),MATCH(TRIM($A79),PnL_Accounts,0))</f>
        <v>35989</v>
      </c>
      <c r="AF79" s="96">
        <f t="shared" ref="AF79:BW79" si="39">$B79</f>
        <v>44743.33333</v>
      </c>
      <c r="AG79" s="96">
        <f t="shared" si="39"/>
        <v>44743.33333</v>
      </c>
      <c r="AH79" s="96">
        <f t="shared" si="39"/>
        <v>44743.33333</v>
      </c>
      <c r="AI79" s="96">
        <f t="shared" si="39"/>
        <v>44743.33333</v>
      </c>
      <c r="AJ79" s="96">
        <f t="shared" si="39"/>
        <v>44743.33333</v>
      </c>
      <c r="AK79" s="96">
        <f t="shared" si="39"/>
        <v>44743.33333</v>
      </c>
      <c r="AL79" s="96">
        <f t="shared" si="39"/>
        <v>44743.33333</v>
      </c>
      <c r="AM79" s="96">
        <f t="shared" si="39"/>
        <v>44743.33333</v>
      </c>
      <c r="AN79" s="96">
        <f t="shared" si="39"/>
        <v>44743.33333</v>
      </c>
      <c r="AO79" s="96">
        <f t="shared" si="39"/>
        <v>44743.33333</v>
      </c>
      <c r="AP79" s="96">
        <f t="shared" si="39"/>
        <v>44743.33333</v>
      </c>
      <c r="AQ79" s="96">
        <f t="shared" si="39"/>
        <v>44743.33333</v>
      </c>
      <c r="AR79" s="96">
        <f t="shared" si="39"/>
        <v>44743.33333</v>
      </c>
      <c r="AS79" s="96">
        <f t="shared" si="39"/>
        <v>44743.33333</v>
      </c>
      <c r="AT79" s="96">
        <f t="shared" si="39"/>
        <v>44743.33333</v>
      </c>
      <c r="AU79" s="96">
        <f t="shared" si="39"/>
        <v>44743.33333</v>
      </c>
      <c r="AV79" s="96">
        <f t="shared" si="39"/>
        <v>44743.33333</v>
      </c>
      <c r="AW79" s="96">
        <f t="shared" si="39"/>
        <v>44743.33333</v>
      </c>
      <c r="AX79" s="96">
        <f t="shared" si="39"/>
        <v>44743.33333</v>
      </c>
      <c r="AY79" s="96">
        <f t="shared" si="39"/>
        <v>44743.33333</v>
      </c>
      <c r="AZ79" s="96">
        <f t="shared" si="39"/>
        <v>44743.33333</v>
      </c>
      <c r="BA79" s="96">
        <f t="shared" si="39"/>
        <v>44743.33333</v>
      </c>
      <c r="BB79" s="96">
        <f t="shared" si="39"/>
        <v>44743.33333</v>
      </c>
      <c r="BC79" s="96">
        <f t="shared" si="39"/>
        <v>44743.33333</v>
      </c>
      <c r="BD79" s="96">
        <f t="shared" si="39"/>
        <v>44743.33333</v>
      </c>
      <c r="BE79" s="96">
        <f t="shared" si="39"/>
        <v>44743.33333</v>
      </c>
      <c r="BF79" s="96">
        <f t="shared" si="39"/>
        <v>44743.33333</v>
      </c>
      <c r="BG79" s="96">
        <f t="shared" si="39"/>
        <v>44743.33333</v>
      </c>
      <c r="BH79" s="96">
        <f t="shared" si="39"/>
        <v>44743.33333</v>
      </c>
      <c r="BI79" s="96">
        <f t="shared" si="39"/>
        <v>44743.33333</v>
      </c>
      <c r="BJ79" s="96">
        <f t="shared" si="39"/>
        <v>44743.33333</v>
      </c>
      <c r="BK79" s="96">
        <f t="shared" si="39"/>
        <v>44743.33333</v>
      </c>
      <c r="BL79" s="96">
        <f t="shared" si="39"/>
        <v>44743.33333</v>
      </c>
      <c r="BM79" s="96">
        <f t="shared" si="39"/>
        <v>44743.33333</v>
      </c>
      <c r="BN79" s="96">
        <f t="shared" si="39"/>
        <v>44743.33333</v>
      </c>
      <c r="BO79" s="96">
        <f t="shared" si="39"/>
        <v>44743.33333</v>
      </c>
      <c r="BP79" s="96">
        <f t="shared" si="39"/>
        <v>44743.33333</v>
      </c>
      <c r="BQ79" s="96">
        <f t="shared" si="39"/>
        <v>44743.33333</v>
      </c>
      <c r="BR79" s="96">
        <f t="shared" si="39"/>
        <v>44743.33333</v>
      </c>
      <c r="BS79" s="96">
        <f t="shared" si="39"/>
        <v>44743.33333</v>
      </c>
      <c r="BT79" s="96">
        <f t="shared" si="39"/>
        <v>44743.33333</v>
      </c>
      <c r="BU79" s="96">
        <f t="shared" si="39"/>
        <v>44743.33333</v>
      </c>
      <c r="BV79" s="96">
        <f t="shared" si="39"/>
        <v>44743.33333</v>
      </c>
      <c r="BW79" s="96">
        <f t="shared" si="39"/>
        <v>44743.33333</v>
      </c>
    </row>
    <row r="80" ht="15.75" customHeight="1">
      <c r="A80" s="1" t="s">
        <v>311</v>
      </c>
      <c r="B80" s="160">
        <f>AVERAGEIFS(80:80,$1:$1,"&gt;="&amp;DATE(YEAR(Current_Month),MONTH(Current_Month)-2,DAY(Current_Month)),$1:$1,"&lt;="&amp;EOMONTH(Current_Month,0))</f>
        <v>40500</v>
      </c>
      <c r="D80" s="76">
        <f t="array" ref="D80">INDEX(INDIRECT("PnL_"&amp;TEXT(D$1,"mmm")&amp;"_"&amp;TEXT(D$1,"yyyy")),MATCH(TRIM($A80),PnL_Accounts,0))</f>
        <v>10000</v>
      </c>
      <c r="E80" s="76">
        <f t="array" ref="E80">INDEX(INDIRECT("PnL_"&amp;TEXT(E$1,"mmm")&amp;"_"&amp;TEXT(E$1,"yyyy")),MATCH(TRIM($A80),PnL_Accounts,0))</f>
        <v>10000</v>
      </c>
      <c r="F80" s="76">
        <f t="array" ref="F80">INDEX(INDIRECT("PnL_"&amp;TEXT(F$1,"mmm")&amp;"_"&amp;TEXT(F$1,"yyyy")),MATCH(TRIM($A80),PnL_Accounts,0))</f>
        <v>15000</v>
      </c>
      <c r="G80" s="76">
        <f t="array" ref="G80">INDEX(INDIRECT("PnL_"&amp;TEXT(G$1,"mmm")&amp;"_"&amp;TEXT(G$1,"yyyy")),MATCH(TRIM($A80),PnL_Accounts,0))</f>
        <v>15000</v>
      </c>
      <c r="H80" s="76">
        <f t="array" ref="H80">INDEX(INDIRECT("PnL_"&amp;TEXT(H$1,"mmm")&amp;"_"&amp;TEXT(H$1,"yyyy")),MATCH(TRIM($A80),PnL_Accounts,0))</f>
        <v>15000</v>
      </c>
      <c r="I80" s="76">
        <f t="array" ref="I80">INDEX(INDIRECT("PnL_"&amp;TEXT(I$1,"mmm")&amp;"_"&amp;TEXT(I$1,"yyyy")),MATCH(TRIM($A80),PnL_Accounts,0))</f>
        <v>20000</v>
      </c>
      <c r="J80" s="76">
        <f t="array" ref="J80">INDEX(INDIRECT("PnL_"&amp;TEXT(J$1,"mmm")&amp;"_"&amp;TEXT(J$1,"yyyy")),MATCH(TRIM($A80),PnL_Accounts,0))</f>
        <v>24500</v>
      </c>
      <c r="K80" s="76">
        <f t="array" ref="K80">INDEX(INDIRECT("PnL_"&amp;TEXT(K$1,"mmm")&amp;"_"&amp;TEXT(K$1,"yyyy")),MATCH(TRIM($A80),PnL_Accounts,0))</f>
        <v>24500</v>
      </c>
      <c r="L80" s="76">
        <f t="array" ref="L80">INDEX(INDIRECT("PnL_"&amp;TEXT(L$1,"mmm")&amp;"_"&amp;TEXT(L$1,"yyyy")),MATCH(TRIM($A80),PnL_Accounts,0))</f>
        <v>24500</v>
      </c>
      <c r="M80" s="76">
        <f t="array" ref="M80">INDEX(INDIRECT("PnL_"&amp;TEXT(M$1,"mmm")&amp;"_"&amp;TEXT(M$1,"yyyy")),MATCH(TRIM($A80),PnL_Accounts,0))</f>
        <v>30000</v>
      </c>
      <c r="N80" s="76">
        <f t="array" ref="N80">INDEX(INDIRECT("PnL_"&amp;TEXT(N$1,"mmm")&amp;"_"&amp;TEXT(N$1,"yyyy")),MATCH(TRIM($A80),PnL_Accounts,0))</f>
        <v>30000</v>
      </c>
      <c r="O80" s="76">
        <f t="array" ref="O80">INDEX(INDIRECT("PnL_"&amp;TEXT(O$1,"mmm")&amp;"_"&amp;TEXT(O$1,"yyyy")),MATCH(TRIM($A80),PnL_Accounts,0))</f>
        <v>35000</v>
      </c>
      <c r="P80" s="76">
        <f t="array" ref="P80">INDEX(INDIRECT("PnL_"&amp;TEXT(P$1,"mmm")&amp;"_"&amp;TEXT(P$1,"yyyy")),MATCH(TRIM($A80),PnL_Accounts,0))</f>
        <v>35000</v>
      </c>
      <c r="Q80" s="76">
        <f t="array" ref="Q80">INDEX(INDIRECT("PnL_"&amp;TEXT(Q$1,"mmm")&amp;"_"&amp;TEXT(Q$1,"yyyy")),MATCH(TRIM($A80),PnL_Accounts,0))</f>
        <v>40500</v>
      </c>
      <c r="R80" s="76">
        <f t="array" ref="R80">INDEX(INDIRECT("PnL_"&amp;TEXT(R$1,"mmm")&amp;"_"&amp;TEXT(R$1,"yyyy")),MATCH(TRIM($A80),PnL_Accounts,0))</f>
        <v>40500</v>
      </c>
      <c r="S80" s="76">
        <f t="array" ref="S80">INDEX(INDIRECT("PnL_"&amp;TEXT(S$1,"mmm")&amp;"_"&amp;TEXT(S$1,"yyyy")),MATCH(TRIM($A80),PnL_Accounts,0))</f>
        <v>40500</v>
      </c>
      <c r="T80" s="76">
        <f t="array" ref="T80">INDEX(INDIRECT("PnL_"&amp;TEXT(T$1,"mmm")&amp;"_"&amp;TEXT(T$1,"yyyy")),MATCH(TRIM($A80),PnL_Accounts,0))</f>
        <v>40500</v>
      </c>
      <c r="U80" s="76">
        <f t="array" ref="U80">INDEX(INDIRECT("PnL_"&amp;TEXT(U$1,"mmm")&amp;"_"&amp;TEXT(U$1,"yyyy")),MATCH(TRIM($A80),PnL_Accounts,0))</f>
        <v>40500</v>
      </c>
      <c r="V80" s="76">
        <f t="array" ref="V80">INDEX(INDIRECT("PnL_"&amp;TEXT(V$1,"mmm")&amp;"_"&amp;TEXT(V$1,"yyyy")),MATCH(TRIM($A80),PnL_Accounts,0))</f>
        <v>40500</v>
      </c>
      <c r="W80" s="76">
        <f t="array" ref="W80">INDEX(INDIRECT("PnL_"&amp;TEXT(W$1,"mmm")&amp;"_"&amp;TEXT(W$1,"yyyy")),MATCH(TRIM($A80),PnL_Accounts,0))</f>
        <v>40500</v>
      </c>
      <c r="X80" s="76">
        <f t="array" ref="X80">INDEX(INDIRECT("PnL_"&amp;TEXT(X$1,"mmm")&amp;"_"&amp;TEXT(X$1,"yyyy")),MATCH(TRIM($A80),PnL_Accounts,0))</f>
        <v>40500</v>
      </c>
      <c r="Y80" s="76">
        <f t="array" ref="Y80">INDEX(INDIRECT("PnL_"&amp;TEXT(Y$1,"mmm")&amp;"_"&amp;TEXT(Y$1,"yyyy")),MATCH(TRIM($A80),PnL_Accounts,0))</f>
        <v>40500</v>
      </c>
      <c r="Z80" s="76">
        <f t="array" ref="Z80">INDEX(INDIRECT("PnL_"&amp;TEXT(Z$1,"mmm")&amp;"_"&amp;TEXT(Z$1,"yyyy")),MATCH(TRIM($A80),PnL_Accounts,0))</f>
        <v>40500</v>
      </c>
      <c r="AA80" s="76">
        <f t="array" ref="AA80">INDEX(INDIRECT("PnL_"&amp;TEXT(AA$1,"mmm")&amp;"_"&amp;TEXT(AA$1,"yyyy")),MATCH(TRIM($A80),PnL_Accounts,0))</f>
        <v>40500</v>
      </c>
      <c r="AB80" s="76">
        <f t="array" ref="AB80">INDEX(INDIRECT("PnL_"&amp;TEXT(AB$1,"mmm")&amp;"_"&amp;TEXT(AB$1,"yyyy")),MATCH(TRIM($A80),PnL_Accounts,0))</f>
        <v>40500</v>
      </c>
      <c r="AC80" s="76">
        <f t="array" ref="AC80">INDEX(INDIRECT("PnL_"&amp;TEXT(AC$1,"mmm")&amp;"_"&amp;TEXT(AC$1,"yyyy")),MATCH(TRIM($A80),PnL_Accounts,0))</f>
        <v>40500</v>
      </c>
      <c r="AD80" s="76">
        <f t="array" ref="AD80">INDEX(INDIRECT("PnL_"&amp;TEXT(AD$1,"mmm")&amp;"_"&amp;TEXT(AD$1,"yyyy")),MATCH(TRIM($A80),PnL_Accounts,0))</f>
        <v>40500</v>
      </c>
      <c r="AE80" s="76">
        <f t="array" ref="AE80">INDEX(INDIRECT("PnL_"&amp;TEXT(AE$1,"mmm")&amp;"_"&amp;TEXT(AE$1,"yyyy")),MATCH(TRIM($A80),PnL_Accounts,0))</f>
        <v>40500</v>
      </c>
      <c r="AF80" s="39">
        <f t="array" ref="AF80">INDEX(Hiring_Plan_Salaries_Sales_Worst_Case,MATCH(AF$1,Hiring_Plan_Months_Worst_Case,0))</f>
        <v>22291.66667</v>
      </c>
      <c r="AG80" s="39">
        <f t="array" ref="AG80">INDEX(Hiring_Plan_Salaries_Sales_Worst_Case,MATCH(AG$1,Hiring_Plan_Months_Worst_Case,0))</f>
        <v>22291.66667</v>
      </c>
      <c r="AH80" s="39">
        <f t="array" ref="AH80">INDEX(Hiring_Plan_Salaries_Sales_Worst_Case,MATCH(AH$1,Hiring_Plan_Months_Worst_Case,0))</f>
        <v>22291.66667</v>
      </c>
      <c r="AI80" s="39">
        <f t="array" ref="AI80">INDEX(Hiring_Plan_Salaries_Sales_Worst_Case,MATCH(AI$1,Hiring_Plan_Months_Worst_Case,0))</f>
        <v>22291.66667</v>
      </c>
      <c r="AJ80" s="39">
        <f t="array" ref="AJ80">INDEX(Hiring_Plan_Salaries_Sales_Worst_Case,MATCH(AJ$1,Hiring_Plan_Months_Worst_Case,0))</f>
        <v>22291.66667</v>
      </c>
      <c r="AK80" s="39">
        <f t="array" ref="AK80">INDEX(Hiring_Plan_Salaries_Sales_Worst_Case,MATCH(AK$1,Hiring_Plan_Months_Worst_Case,0))</f>
        <v>22291.66667</v>
      </c>
      <c r="AL80" s="39">
        <f t="array" ref="AL80">INDEX(Hiring_Plan_Salaries_Sales_Worst_Case,MATCH(AL$1,Hiring_Plan_Months_Worst_Case,0))</f>
        <v>22291.66667</v>
      </c>
      <c r="AM80" s="39">
        <f t="array" ref="AM80">INDEX(Hiring_Plan_Salaries_Sales_Worst_Case,MATCH(AM$1,Hiring_Plan_Months_Worst_Case,0))</f>
        <v>22291.66667</v>
      </c>
      <c r="AN80" s="39">
        <f t="array" ref="AN80">INDEX(Hiring_Plan_Salaries_Sales_Worst_Case,MATCH(AN$1,Hiring_Plan_Months_Worst_Case,0))</f>
        <v>22291.66667</v>
      </c>
      <c r="AO80" s="39">
        <f t="array" ref="AO80">INDEX(Hiring_Plan_Salaries_Sales_Worst_Case,MATCH(AO$1,Hiring_Plan_Months_Worst_Case,0))</f>
        <v>22291.66667</v>
      </c>
      <c r="AP80" s="39">
        <f t="array" ref="AP80">INDEX(Hiring_Plan_Salaries_Sales_Worst_Case,MATCH(AP$1,Hiring_Plan_Months_Worst_Case,0))</f>
        <v>22291.66667</v>
      </c>
      <c r="AQ80" s="39">
        <f t="array" ref="AQ80">INDEX(Hiring_Plan_Salaries_Sales_Worst_Case,MATCH(AQ$1,Hiring_Plan_Months_Worst_Case,0))</f>
        <v>22291.66667</v>
      </c>
      <c r="AR80" s="39">
        <f t="array" ref="AR80">INDEX(Hiring_Plan_Salaries_Sales_Worst_Case,MATCH(AR$1,Hiring_Plan_Months_Worst_Case,0))</f>
        <v>22291.66667</v>
      </c>
      <c r="AS80" s="39">
        <f t="array" ref="AS80">INDEX(Hiring_Plan_Salaries_Sales_Worst_Case,MATCH(AS$1,Hiring_Plan_Months_Worst_Case,0))</f>
        <v>22291.66667</v>
      </c>
      <c r="AT80" s="39">
        <f t="array" ref="AT80">INDEX(Hiring_Plan_Salaries_Sales_Worst_Case,MATCH(AT$1,Hiring_Plan_Months_Worst_Case,0))</f>
        <v>22291.66667</v>
      </c>
      <c r="AU80" s="39">
        <f t="array" ref="AU80">INDEX(Hiring_Plan_Salaries_Sales_Worst_Case,MATCH(AU$1,Hiring_Plan_Months_Worst_Case,0))</f>
        <v>22291.66667</v>
      </c>
      <c r="AV80" s="39">
        <f t="array" ref="AV80">INDEX(Hiring_Plan_Salaries_Sales_Worst_Case,MATCH(AV$1,Hiring_Plan_Months_Worst_Case,0))</f>
        <v>22291.66667</v>
      </c>
      <c r="AW80" s="39">
        <f t="array" ref="AW80">INDEX(Hiring_Plan_Salaries_Sales_Worst_Case,MATCH(AW$1,Hiring_Plan_Months_Worst_Case,0))</f>
        <v>22291.66667</v>
      </c>
      <c r="AX80" s="39">
        <f t="array" ref="AX80">INDEX(Hiring_Plan_Salaries_Sales_Worst_Case,MATCH(AX$1,Hiring_Plan_Months_Worst_Case,0))</f>
        <v>22291.66667</v>
      </c>
      <c r="AY80" s="39">
        <f t="array" ref="AY80">INDEX(Hiring_Plan_Salaries_Sales_Worst_Case,MATCH(AY$1,Hiring_Plan_Months_Worst_Case,0))</f>
        <v>22291.66667</v>
      </c>
      <c r="AZ80" s="39">
        <f t="array" ref="AZ80">INDEX(Hiring_Plan_Salaries_Sales_Worst_Case,MATCH(AZ$1,Hiring_Plan_Months_Worst_Case,0))</f>
        <v>22291.66667</v>
      </c>
      <c r="BA80" s="39">
        <f t="array" ref="BA80">INDEX(Hiring_Plan_Salaries_Sales_Worst_Case,MATCH(BA$1,Hiring_Plan_Months_Worst_Case,0))</f>
        <v>22291.66667</v>
      </c>
      <c r="BB80" s="39">
        <f t="array" ref="BB80">INDEX(Hiring_Plan_Salaries_Sales_Worst_Case,MATCH(BB$1,Hiring_Plan_Months_Worst_Case,0))</f>
        <v>22291.66667</v>
      </c>
      <c r="BC80" s="39">
        <f t="array" ref="BC80">INDEX(Hiring_Plan_Salaries_Sales_Worst_Case,MATCH(BC$1,Hiring_Plan_Months_Worst_Case,0))</f>
        <v>22291.66667</v>
      </c>
      <c r="BD80" s="39">
        <f t="array" ref="BD80">INDEX(Hiring_Plan_Salaries_Sales_Worst_Case,MATCH(BD$1,Hiring_Plan_Months_Worst_Case,0))</f>
        <v>22291.66667</v>
      </c>
      <c r="BE80" s="39">
        <f t="array" ref="BE80">INDEX(Hiring_Plan_Salaries_Sales_Worst_Case,MATCH(BE$1,Hiring_Plan_Months_Worst_Case,0))</f>
        <v>22291.66667</v>
      </c>
      <c r="BF80" s="39">
        <f t="array" ref="BF80">INDEX(Hiring_Plan_Salaries_Sales_Worst_Case,MATCH(BF$1,Hiring_Plan_Months_Worst_Case,0))</f>
        <v>22291.66667</v>
      </c>
      <c r="BG80" s="39">
        <f t="array" ref="BG80">INDEX(Hiring_Plan_Salaries_Sales_Worst_Case,MATCH(BG$1,Hiring_Plan_Months_Worst_Case,0))</f>
        <v>22291.66667</v>
      </c>
      <c r="BH80" s="39">
        <f t="array" ref="BH80">INDEX(Hiring_Plan_Salaries_Sales_Worst_Case,MATCH(BH$1,Hiring_Plan_Months_Worst_Case,0))</f>
        <v>22291.66667</v>
      </c>
      <c r="BI80" s="39">
        <f t="array" ref="BI80">INDEX(Hiring_Plan_Salaries_Sales_Worst_Case,MATCH(BI$1,Hiring_Plan_Months_Worst_Case,0))</f>
        <v>22291.66667</v>
      </c>
      <c r="BJ80" s="39">
        <f t="array" ref="BJ80">INDEX(Hiring_Plan_Salaries_Sales_Worst_Case,MATCH(BJ$1,Hiring_Plan_Months_Worst_Case,0))</f>
        <v>22291.66667</v>
      </c>
      <c r="BK80" s="39">
        <f t="array" ref="BK80">INDEX(Hiring_Plan_Salaries_Sales_Worst_Case,MATCH(BK$1,Hiring_Plan_Months_Worst_Case,0))</f>
        <v>22291.66667</v>
      </c>
      <c r="BL80" s="39">
        <f t="array" ref="BL80">INDEX(Hiring_Plan_Salaries_Sales_Worst_Case,MATCH(BL$1,Hiring_Plan_Months_Worst_Case,0))</f>
        <v>22291.66667</v>
      </c>
      <c r="BM80" s="39">
        <f t="array" ref="BM80">INDEX(Hiring_Plan_Salaries_Sales_Worst_Case,MATCH(BM$1,Hiring_Plan_Months_Worst_Case,0))</f>
        <v>22291.66667</v>
      </c>
      <c r="BN80" s="39">
        <f t="array" ref="BN80">INDEX(Hiring_Plan_Salaries_Sales_Worst_Case,MATCH(BN$1,Hiring_Plan_Months_Worst_Case,0))</f>
        <v>22291.66667</v>
      </c>
      <c r="BO80" s="39">
        <f t="array" ref="BO80">INDEX(Hiring_Plan_Salaries_Sales_Worst_Case,MATCH(BO$1,Hiring_Plan_Months_Worst_Case,0))</f>
        <v>22291.66667</v>
      </c>
      <c r="BP80" s="39">
        <f t="array" ref="BP80">INDEX(Hiring_Plan_Salaries_Sales_Worst_Case,MATCH(BP$1,Hiring_Plan_Months_Worst_Case,0))</f>
        <v>22291.66667</v>
      </c>
      <c r="BQ80" s="39">
        <f t="array" ref="BQ80">INDEX(Hiring_Plan_Salaries_Sales_Worst_Case,MATCH(BQ$1,Hiring_Plan_Months_Worst_Case,0))</f>
        <v>22291.66667</v>
      </c>
      <c r="BR80" s="39">
        <f t="array" ref="BR80">INDEX(Hiring_Plan_Salaries_Sales_Worst_Case,MATCH(BR$1,Hiring_Plan_Months_Worst_Case,0))</f>
        <v>22291.66667</v>
      </c>
      <c r="BS80" s="39">
        <f t="array" ref="BS80">INDEX(Hiring_Plan_Salaries_Sales_Worst_Case,MATCH(BS$1,Hiring_Plan_Months_Worst_Case,0))</f>
        <v>22291.66667</v>
      </c>
      <c r="BT80" s="39">
        <f t="array" ref="BT80">INDEX(Hiring_Plan_Salaries_Sales_Worst_Case,MATCH(BT$1,Hiring_Plan_Months_Worst_Case,0))</f>
        <v>22291.66667</v>
      </c>
      <c r="BU80" s="39">
        <f t="array" ref="BU80">INDEX(Hiring_Plan_Salaries_Sales_Worst_Case,MATCH(BU$1,Hiring_Plan_Months_Worst_Case,0))</f>
        <v>22291.66667</v>
      </c>
      <c r="BV80" s="39">
        <f t="array" ref="BV80">INDEX(Hiring_Plan_Salaries_Sales_Worst_Case,MATCH(BV$1,Hiring_Plan_Months_Worst_Case,0))</f>
        <v>22291.66667</v>
      </c>
      <c r="BW80" s="39">
        <f t="array" ref="BW80">INDEX(Hiring_Plan_Salaries_Sales_Worst_Case,MATCH(BW$1,Hiring_Plan_Months_Worst_Case,0))</f>
        <v>22291.66667</v>
      </c>
    </row>
    <row r="81" ht="15.75" customHeight="1">
      <c r="A81" s="21" t="s">
        <v>312</v>
      </c>
      <c r="B81" s="163"/>
      <c r="C81" s="21"/>
      <c r="D81" s="157">
        <f t="shared" ref="D81:BW81" si="40">SUM(D77:D80)</f>
        <v>22946</v>
      </c>
      <c r="E81" s="157">
        <f t="shared" si="40"/>
        <v>25460</v>
      </c>
      <c r="F81" s="157">
        <f t="shared" si="40"/>
        <v>37962</v>
      </c>
      <c r="G81" s="157">
        <f t="shared" si="40"/>
        <v>38809</v>
      </c>
      <c r="H81" s="157">
        <f t="shared" si="40"/>
        <v>44215</v>
      </c>
      <c r="I81" s="157">
        <f t="shared" si="40"/>
        <v>39264</v>
      </c>
      <c r="J81" s="157">
        <f t="shared" si="40"/>
        <v>52535</v>
      </c>
      <c r="K81" s="157">
        <f t="shared" si="40"/>
        <v>53627</v>
      </c>
      <c r="L81" s="157">
        <f t="shared" si="40"/>
        <v>54490</v>
      </c>
      <c r="M81" s="157">
        <f t="shared" si="40"/>
        <v>63489</v>
      </c>
      <c r="N81" s="157">
        <f t="shared" si="40"/>
        <v>62077</v>
      </c>
      <c r="O81" s="157">
        <f t="shared" si="40"/>
        <v>71262</v>
      </c>
      <c r="P81" s="157">
        <f t="shared" si="40"/>
        <v>69404</v>
      </c>
      <c r="Q81" s="157">
        <f t="shared" si="40"/>
        <v>77488</v>
      </c>
      <c r="R81" s="157">
        <f t="shared" si="40"/>
        <v>79465</v>
      </c>
      <c r="S81" s="157">
        <f t="shared" si="40"/>
        <v>78632</v>
      </c>
      <c r="T81" s="157">
        <f t="shared" si="40"/>
        <v>83837</v>
      </c>
      <c r="U81" s="157">
        <f t="shared" si="40"/>
        <v>82817</v>
      </c>
      <c r="V81" s="157">
        <f t="shared" si="40"/>
        <v>83683</v>
      </c>
      <c r="W81" s="157">
        <f t="shared" si="40"/>
        <v>84440</v>
      </c>
      <c r="X81" s="157">
        <f t="shared" si="40"/>
        <v>87510</v>
      </c>
      <c r="Y81" s="157">
        <f t="shared" si="40"/>
        <v>90276</v>
      </c>
      <c r="Z81" s="157">
        <f t="shared" si="40"/>
        <v>95506</v>
      </c>
      <c r="AA81" s="157">
        <f t="shared" si="40"/>
        <v>97728</v>
      </c>
      <c r="AB81" s="157">
        <f t="shared" si="40"/>
        <v>97728</v>
      </c>
      <c r="AC81" s="157">
        <f t="shared" si="40"/>
        <v>104845</v>
      </c>
      <c r="AD81" s="157">
        <f t="shared" si="40"/>
        <v>84838</v>
      </c>
      <c r="AE81" s="157">
        <f t="shared" si="40"/>
        <v>81710</v>
      </c>
      <c r="AF81" s="157">
        <f t="shared" si="40"/>
        <v>70932.91667</v>
      </c>
      <c r="AG81" s="157">
        <f t="shared" si="40"/>
        <v>70932.91667</v>
      </c>
      <c r="AH81" s="157">
        <f t="shared" si="40"/>
        <v>70932.91667</v>
      </c>
      <c r="AI81" s="157">
        <f t="shared" si="40"/>
        <v>70932.91667</v>
      </c>
      <c r="AJ81" s="157">
        <f t="shared" si="40"/>
        <v>70932.91667</v>
      </c>
      <c r="AK81" s="157">
        <f t="shared" si="40"/>
        <v>70932.91667</v>
      </c>
      <c r="AL81" s="157">
        <f t="shared" si="40"/>
        <v>70932.91667</v>
      </c>
      <c r="AM81" s="157">
        <f t="shared" si="40"/>
        <v>70932.91667</v>
      </c>
      <c r="AN81" s="157">
        <f t="shared" si="40"/>
        <v>70932.91667</v>
      </c>
      <c r="AO81" s="157">
        <f t="shared" si="40"/>
        <v>70932.91667</v>
      </c>
      <c r="AP81" s="157">
        <f t="shared" si="40"/>
        <v>70932.91667</v>
      </c>
      <c r="AQ81" s="157">
        <f t="shared" si="40"/>
        <v>70932.91667</v>
      </c>
      <c r="AR81" s="157">
        <f t="shared" si="40"/>
        <v>70932.91667</v>
      </c>
      <c r="AS81" s="157">
        <f t="shared" si="40"/>
        <v>70932.91667</v>
      </c>
      <c r="AT81" s="157">
        <f t="shared" si="40"/>
        <v>70932.91667</v>
      </c>
      <c r="AU81" s="157">
        <f t="shared" si="40"/>
        <v>70932.91667</v>
      </c>
      <c r="AV81" s="157">
        <f t="shared" si="40"/>
        <v>70932.91667</v>
      </c>
      <c r="AW81" s="157">
        <f t="shared" si="40"/>
        <v>70932.91667</v>
      </c>
      <c r="AX81" s="157">
        <f t="shared" si="40"/>
        <v>70932.91667</v>
      </c>
      <c r="AY81" s="157">
        <f t="shared" si="40"/>
        <v>70932.91667</v>
      </c>
      <c r="AZ81" s="157">
        <f t="shared" si="40"/>
        <v>70932.91667</v>
      </c>
      <c r="BA81" s="157">
        <f t="shared" si="40"/>
        <v>70932.91667</v>
      </c>
      <c r="BB81" s="157">
        <f t="shared" si="40"/>
        <v>70932.91667</v>
      </c>
      <c r="BC81" s="157">
        <f t="shared" si="40"/>
        <v>70932.91667</v>
      </c>
      <c r="BD81" s="157">
        <f t="shared" si="40"/>
        <v>70932.91667</v>
      </c>
      <c r="BE81" s="157">
        <f t="shared" si="40"/>
        <v>70932.91667</v>
      </c>
      <c r="BF81" s="157">
        <f t="shared" si="40"/>
        <v>70932.91667</v>
      </c>
      <c r="BG81" s="157">
        <f t="shared" si="40"/>
        <v>70932.91667</v>
      </c>
      <c r="BH81" s="157">
        <f t="shared" si="40"/>
        <v>70932.91667</v>
      </c>
      <c r="BI81" s="157">
        <f t="shared" si="40"/>
        <v>70932.91667</v>
      </c>
      <c r="BJ81" s="157">
        <f t="shared" si="40"/>
        <v>70932.91667</v>
      </c>
      <c r="BK81" s="157">
        <f t="shared" si="40"/>
        <v>70932.91667</v>
      </c>
      <c r="BL81" s="157">
        <f t="shared" si="40"/>
        <v>70932.91667</v>
      </c>
      <c r="BM81" s="157">
        <f t="shared" si="40"/>
        <v>70932.91667</v>
      </c>
      <c r="BN81" s="157">
        <f t="shared" si="40"/>
        <v>70932.91667</v>
      </c>
      <c r="BO81" s="157">
        <f t="shared" si="40"/>
        <v>70932.91667</v>
      </c>
      <c r="BP81" s="157">
        <f t="shared" si="40"/>
        <v>70932.91667</v>
      </c>
      <c r="BQ81" s="157">
        <f t="shared" si="40"/>
        <v>70932.91667</v>
      </c>
      <c r="BR81" s="157">
        <f t="shared" si="40"/>
        <v>70932.91667</v>
      </c>
      <c r="BS81" s="157">
        <f t="shared" si="40"/>
        <v>70932.91667</v>
      </c>
      <c r="BT81" s="157">
        <f t="shared" si="40"/>
        <v>70932.91667</v>
      </c>
      <c r="BU81" s="157">
        <f t="shared" si="40"/>
        <v>70932.91667</v>
      </c>
      <c r="BV81" s="157">
        <f t="shared" si="40"/>
        <v>70932.91667</v>
      </c>
      <c r="BW81" s="157">
        <f t="shared" si="40"/>
        <v>70932.91667</v>
      </c>
    </row>
    <row r="82" ht="15.75" customHeight="1">
      <c r="A82" s="1" t="s">
        <v>313</v>
      </c>
      <c r="B82" s="160">
        <f>AVERAGEIFS(82:82,$1:$1,"&gt;="&amp;DATE(YEAR(Current_Month),MONTH(Current_Month)-2,DAY(Current_Month)),$1:$1,"&lt;="&amp;EOMONTH(Current_Month,0))</f>
        <v>4618.333333</v>
      </c>
      <c r="D82" s="76">
        <f t="array" ref="D82">INDEX(INDIRECT("PnL_"&amp;TEXT(D$1,"mmm")&amp;"_"&amp;TEXT(D$1,"yyyy")),MATCH(TRIM($A82),PnL_Accounts,0))</f>
        <v>77</v>
      </c>
      <c r="E82" s="76" t="str">
        <f t="array" ref="E82">INDEX(INDIRECT("PnL_"&amp;TEXT(E$1,"mmm")&amp;"_"&amp;TEXT(E$1,"yyyy")),MATCH(TRIM($A82),PnL_Accounts,0))</f>
        <v/>
      </c>
      <c r="F82" s="76" t="str">
        <f t="array" ref="F82">INDEX(INDIRECT("PnL_"&amp;TEXT(F$1,"mmm")&amp;"_"&amp;TEXT(F$1,"yyyy")),MATCH(TRIM($A82),PnL_Accounts,0))</f>
        <v/>
      </c>
      <c r="G82" s="76" t="str">
        <f t="array" ref="G82">INDEX(INDIRECT("PnL_"&amp;TEXT(G$1,"mmm")&amp;"_"&amp;TEXT(G$1,"yyyy")),MATCH(TRIM($A82),PnL_Accounts,0))</f>
        <v/>
      </c>
      <c r="H82" s="76" t="str">
        <f t="array" ref="H82">INDEX(INDIRECT("PnL_"&amp;TEXT(H$1,"mmm")&amp;"_"&amp;TEXT(H$1,"yyyy")),MATCH(TRIM($A82),PnL_Accounts,0))</f>
        <v/>
      </c>
      <c r="I82" s="76" t="str">
        <f t="array" ref="I82">INDEX(INDIRECT("PnL_"&amp;TEXT(I$1,"mmm")&amp;"_"&amp;TEXT(I$1,"yyyy")),MATCH(TRIM($A82),PnL_Accounts,0))</f>
        <v/>
      </c>
      <c r="J82" s="76" t="str">
        <f t="array" ref="J82">INDEX(INDIRECT("PnL_"&amp;TEXT(J$1,"mmm")&amp;"_"&amp;TEXT(J$1,"yyyy")),MATCH(TRIM($A82),PnL_Accounts,0))</f>
        <v/>
      </c>
      <c r="K82" s="76" t="str">
        <f t="array" ref="K82">INDEX(INDIRECT("PnL_"&amp;TEXT(K$1,"mmm")&amp;"_"&amp;TEXT(K$1,"yyyy")),MATCH(TRIM($A82),PnL_Accounts,0))</f>
        <v/>
      </c>
      <c r="L82" s="76" t="str">
        <f t="array" ref="L82">INDEX(INDIRECT("PnL_"&amp;TEXT(L$1,"mmm")&amp;"_"&amp;TEXT(L$1,"yyyy")),MATCH(TRIM($A82),PnL_Accounts,0))</f>
        <v/>
      </c>
      <c r="M82" s="76" t="str">
        <f t="array" ref="M82">INDEX(INDIRECT("PnL_"&amp;TEXT(M$1,"mmm")&amp;"_"&amp;TEXT(M$1,"yyyy")),MATCH(TRIM($A82),PnL_Accounts,0))</f>
        <v/>
      </c>
      <c r="N82" s="76" t="str">
        <f t="array" ref="N82">INDEX(INDIRECT("PnL_"&amp;TEXT(N$1,"mmm")&amp;"_"&amp;TEXT(N$1,"yyyy")),MATCH(TRIM($A82),PnL_Accounts,0))</f>
        <v/>
      </c>
      <c r="O82" s="76" t="str">
        <f t="array" ref="O82">INDEX(INDIRECT("PnL_"&amp;TEXT(O$1,"mmm")&amp;"_"&amp;TEXT(O$1,"yyyy")),MATCH(TRIM($A82),PnL_Accounts,0))</f>
        <v/>
      </c>
      <c r="P82" s="76">
        <f t="array" ref="P82">INDEX(INDIRECT("PnL_"&amp;TEXT(P$1,"mmm")&amp;"_"&amp;TEXT(P$1,"yyyy")),MATCH(TRIM($A82),PnL_Accounts,0))</f>
        <v>2042</v>
      </c>
      <c r="Q82" s="76">
        <f t="array" ref="Q82">INDEX(INDIRECT("PnL_"&amp;TEXT(Q$1,"mmm")&amp;"_"&amp;TEXT(Q$1,"yyyy")),MATCH(TRIM($A82),PnL_Accounts,0))</f>
        <v>2190</v>
      </c>
      <c r="R82" s="76">
        <f t="array" ref="R82">INDEX(INDIRECT("PnL_"&amp;TEXT(R$1,"mmm")&amp;"_"&amp;TEXT(R$1,"yyyy")),MATCH(TRIM($A82),PnL_Accounts,0))</f>
        <v>2465</v>
      </c>
      <c r="S82" s="76">
        <f t="array" ref="S82">INDEX(INDIRECT("PnL_"&amp;TEXT(S$1,"mmm")&amp;"_"&amp;TEXT(S$1,"yyyy")),MATCH(TRIM($A82),PnL_Accounts,0))</f>
        <v>2747</v>
      </c>
      <c r="T82" s="76">
        <f t="array" ref="T82">INDEX(INDIRECT("PnL_"&amp;TEXT(T$1,"mmm")&amp;"_"&amp;TEXT(T$1,"yyyy")),MATCH(TRIM($A82),PnL_Accounts,0))</f>
        <v>2874</v>
      </c>
      <c r="U82" s="76">
        <f t="array" ref="U82">INDEX(INDIRECT("PnL_"&amp;TEXT(U$1,"mmm")&amp;"_"&amp;TEXT(U$1,"yyyy")),MATCH(TRIM($A82),PnL_Accounts,0))</f>
        <v>3124</v>
      </c>
      <c r="V82" s="76">
        <f t="array" ref="V82">INDEX(INDIRECT("PnL_"&amp;TEXT(V$1,"mmm")&amp;"_"&amp;TEXT(V$1,"yyyy")),MATCH(TRIM($A82),PnL_Accounts,0))</f>
        <v>3274</v>
      </c>
      <c r="W82" s="76">
        <f t="array" ref="W82">INDEX(INDIRECT("PnL_"&amp;TEXT(W$1,"mmm")&amp;"_"&amp;TEXT(W$1,"yyyy")),MATCH(TRIM($A82),PnL_Accounts,0))</f>
        <v>3414</v>
      </c>
      <c r="X82" s="76">
        <f t="array" ref="X82">INDEX(INDIRECT("PnL_"&amp;TEXT(X$1,"mmm")&amp;"_"&amp;TEXT(X$1,"yyyy")),MATCH(TRIM($A82),PnL_Accounts,0))</f>
        <v>3414</v>
      </c>
      <c r="Y82" s="76">
        <f t="array" ref="Y82">INDEX(INDIRECT("PnL_"&amp;TEXT(Y$1,"mmm")&amp;"_"&amp;TEXT(Y$1,"yyyy")),MATCH(TRIM($A82),PnL_Accounts,0))</f>
        <v>3898</v>
      </c>
      <c r="Z82" s="76">
        <f t="array" ref="Z82">INDEX(INDIRECT("PnL_"&amp;TEXT(Z$1,"mmm")&amp;"_"&amp;TEXT(Z$1,"yyyy")),MATCH(TRIM($A82),PnL_Accounts,0))</f>
        <v>4129</v>
      </c>
      <c r="AA82" s="76">
        <f t="array" ref="AA82">INDEX(INDIRECT("PnL_"&amp;TEXT(AA$1,"mmm")&amp;"_"&amp;TEXT(AA$1,"yyyy")),MATCH(TRIM($A82),PnL_Accounts,0))</f>
        <v>4243</v>
      </c>
      <c r="AB82" s="76">
        <f t="array" ref="AB82">INDEX(INDIRECT("PnL_"&amp;TEXT(AB$1,"mmm")&amp;"_"&amp;TEXT(AB$1,"yyyy")),MATCH(TRIM($A82),PnL_Accounts,0))</f>
        <v>4243</v>
      </c>
      <c r="AC82" s="76">
        <f t="array" ref="AC82">INDEX(INDIRECT("PnL_"&amp;TEXT(AC$1,"mmm")&amp;"_"&amp;TEXT(AC$1,"yyyy")),MATCH(TRIM($A82),PnL_Accounts,0))</f>
        <v>4987</v>
      </c>
      <c r="AD82" s="76">
        <f t="array" ref="AD82">INDEX(INDIRECT("PnL_"&amp;TEXT(AD$1,"mmm")&amp;"_"&amp;TEXT(AD$1,"yyyy")),MATCH(TRIM($A82),PnL_Accounts,0))</f>
        <v>4756</v>
      </c>
      <c r="AE82" s="76">
        <f t="array" ref="AE82">INDEX(INDIRECT("PnL_"&amp;TEXT(AE$1,"mmm")&amp;"_"&amp;TEXT(AE$1,"yyyy")),MATCH(TRIM($A82),PnL_Accounts,0))</f>
        <v>4112</v>
      </c>
      <c r="AF82" s="96">
        <f t="shared" ref="AF82:BW82" si="41">$B82</f>
        <v>4618.333333</v>
      </c>
      <c r="AG82" s="96">
        <f t="shared" si="41"/>
        <v>4618.333333</v>
      </c>
      <c r="AH82" s="96">
        <f t="shared" si="41"/>
        <v>4618.333333</v>
      </c>
      <c r="AI82" s="96">
        <f t="shared" si="41"/>
        <v>4618.333333</v>
      </c>
      <c r="AJ82" s="96">
        <f t="shared" si="41"/>
        <v>4618.333333</v>
      </c>
      <c r="AK82" s="96">
        <f t="shared" si="41"/>
        <v>4618.333333</v>
      </c>
      <c r="AL82" s="96">
        <f t="shared" si="41"/>
        <v>4618.333333</v>
      </c>
      <c r="AM82" s="96">
        <f t="shared" si="41"/>
        <v>4618.333333</v>
      </c>
      <c r="AN82" s="96">
        <f t="shared" si="41"/>
        <v>4618.333333</v>
      </c>
      <c r="AO82" s="96">
        <f t="shared" si="41"/>
        <v>4618.333333</v>
      </c>
      <c r="AP82" s="96">
        <f t="shared" si="41"/>
        <v>4618.333333</v>
      </c>
      <c r="AQ82" s="96">
        <f t="shared" si="41"/>
        <v>4618.333333</v>
      </c>
      <c r="AR82" s="96">
        <f t="shared" si="41"/>
        <v>4618.333333</v>
      </c>
      <c r="AS82" s="96">
        <f t="shared" si="41"/>
        <v>4618.333333</v>
      </c>
      <c r="AT82" s="96">
        <f t="shared" si="41"/>
        <v>4618.333333</v>
      </c>
      <c r="AU82" s="96">
        <f t="shared" si="41"/>
        <v>4618.333333</v>
      </c>
      <c r="AV82" s="96">
        <f t="shared" si="41"/>
        <v>4618.333333</v>
      </c>
      <c r="AW82" s="96">
        <f t="shared" si="41"/>
        <v>4618.333333</v>
      </c>
      <c r="AX82" s="96">
        <f t="shared" si="41"/>
        <v>4618.333333</v>
      </c>
      <c r="AY82" s="96">
        <f t="shared" si="41"/>
        <v>4618.333333</v>
      </c>
      <c r="AZ82" s="96">
        <f t="shared" si="41"/>
        <v>4618.333333</v>
      </c>
      <c r="BA82" s="96">
        <f t="shared" si="41"/>
        <v>4618.333333</v>
      </c>
      <c r="BB82" s="96">
        <f t="shared" si="41"/>
        <v>4618.333333</v>
      </c>
      <c r="BC82" s="96">
        <f t="shared" si="41"/>
        <v>4618.333333</v>
      </c>
      <c r="BD82" s="96">
        <f t="shared" si="41"/>
        <v>4618.333333</v>
      </c>
      <c r="BE82" s="96">
        <f t="shared" si="41"/>
        <v>4618.333333</v>
      </c>
      <c r="BF82" s="96">
        <f t="shared" si="41"/>
        <v>4618.333333</v>
      </c>
      <c r="BG82" s="96">
        <f t="shared" si="41"/>
        <v>4618.333333</v>
      </c>
      <c r="BH82" s="96">
        <f t="shared" si="41"/>
        <v>4618.333333</v>
      </c>
      <c r="BI82" s="96">
        <f t="shared" si="41"/>
        <v>4618.333333</v>
      </c>
      <c r="BJ82" s="96">
        <f t="shared" si="41"/>
        <v>4618.333333</v>
      </c>
      <c r="BK82" s="96">
        <f t="shared" si="41"/>
        <v>4618.333333</v>
      </c>
      <c r="BL82" s="96">
        <f t="shared" si="41"/>
        <v>4618.333333</v>
      </c>
      <c r="BM82" s="96">
        <f t="shared" si="41"/>
        <v>4618.333333</v>
      </c>
      <c r="BN82" s="96">
        <f t="shared" si="41"/>
        <v>4618.333333</v>
      </c>
      <c r="BO82" s="96">
        <f t="shared" si="41"/>
        <v>4618.333333</v>
      </c>
      <c r="BP82" s="96">
        <f t="shared" si="41"/>
        <v>4618.333333</v>
      </c>
      <c r="BQ82" s="96">
        <f t="shared" si="41"/>
        <v>4618.333333</v>
      </c>
      <c r="BR82" s="96">
        <f t="shared" si="41"/>
        <v>4618.333333</v>
      </c>
      <c r="BS82" s="96">
        <f t="shared" si="41"/>
        <v>4618.333333</v>
      </c>
      <c r="BT82" s="96">
        <f t="shared" si="41"/>
        <v>4618.333333</v>
      </c>
      <c r="BU82" s="96">
        <f t="shared" si="41"/>
        <v>4618.333333</v>
      </c>
      <c r="BV82" s="96">
        <f t="shared" si="41"/>
        <v>4618.333333</v>
      </c>
      <c r="BW82" s="96">
        <f t="shared" si="41"/>
        <v>4618.333333</v>
      </c>
    </row>
    <row r="83" ht="15.75" customHeight="1">
      <c r="A83" s="21" t="s">
        <v>314</v>
      </c>
      <c r="B83" s="163"/>
      <c r="C83" s="21"/>
      <c r="D83" s="157">
        <f t="shared" ref="D83:BW83" si="42">SUM(D81:D82)</f>
        <v>23023</v>
      </c>
      <c r="E83" s="157">
        <f t="shared" si="42"/>
        <v>25460</v>
      </c>
      <c r="F83" s="157">
        <f t="shared" si="42"/>
        <v>37962</v>
      </c>
      <c r="G83" s="157">
        <f t="shared" si="42"/>
        <v>38809</v>
      </c>
      <c r="H83" s="157">
        <f t="shared" si="42"/>
        <v>44215</v>
      </c>
      <c r="I83" s="157">
        <f t="shared" si="42"/>
        <v>39264</v>
      </c>
      <c r="J83" s="157">
        <f t="shared" si="42"/>
        <v>52535</v>
      </c>
      <c r="K83" s="157">
        <f t="shared" si="42"/>
        <v>53627</v>
      </c>
      <c r="L83" s="157">
        <f t="shared" si="42"/>
        <v>54490</v>
      </c>
      <c r="M83" s="157">
        <f t="shared" si="42"/>
        <v>63489</v>
      </c>
      <c r="N83" s="157">
        <f t="shared" si="42"/>
        <v>62077</v>
      </c>
      <c r="O83" s="157">
        <f t="shared" si="42"/>
        <v>71262</v>
      </c>
      <c r="P83" s="157">
        <f t="shared" si="42"/>
        <v>71446</v>
      </c>
      <c r="Q83" s="157">
        <f t="shared" si="42"/>
        <v>79678</v>
      </c>
      <c r="R83" s="157">
        <f t="shared" si="42"/>
        <v>81930</v>
      </c>
      <c r="S83" s="157">
        <f t="shared" si="42"/>
        <v>81379</v>
      </c>
      <c r="T83" s="157">
        <f t="shared" si="42"/>
        <v>86711</v>
      </c>
      <c r="U83" s="157">
        <f t="shared" si="42"/>
        <v>85941</v>
      </c>
      <c r="V83" s="157">
        <f t="shared" si="42"/>
        <v>86957</v>
      </c>
      <c r="W83" s="157">
        <f t="shared" si="42"/>
        <v>87854</v>
      </c>
      <c r="X83" s="157">
        <f t="shared" si="42"/>
        <v>90924</v>
      </c>
      <c r="Y83" s="157">
        <f t="shared" si="42"/>
        <v>94174</v>
      </c>
      <c r="Z83" s="157">
        <f t="shared" si="42"/>
        <v>99635</v>
      </c>
      <c r="AA83" s="157">
        <f t="shared" si="42"/>
        <v>101971</v>
      </c>
      <c r="AB83" s="157">
        <f t="shared" si="42"/>
        <v>101971</v>
      </c>
      <c r="AC83" s="157">
        <f t="shared" si="42"/>
        <v>109832</v>
      </c>
      <c r="AD83" s="157">
        <f t="shared" si="42"/>
        <v>89594</v>
      </c>
      <c r="AE83" s="157">
        <f t="shared" si="42"/>
        <v>85822</v>
      </c>
      <c r="AF83" s="157">
        <f t="shared" si="42"/>
        <v>75551.25</v>
      </c>
      <c r="AG83" s="157">
        <f t="shared" si="42"/>
        <v>75551.25</v>
      </c>
      <c r="AH83" s="157">
        <f t="shared" si="42"/>
        <v>75551.25</v>
      </c>
      <c r="AI83" s="157">
        <f t="shared" si="42"/>
        <v>75551.25</v>
      </c>
      <c r="AJ83" s="157">
        <f t="shared" si="42"/>
        <v>75551.25</v>
      </c>
      <c r="AK83" s="157">
        <f t="shared" si="42"/>
        <v>75551.25</v>
      </c>
      <c r="AL83" s="157">
        <f t="shared" si="42"/>
        <v>75551.25</v>
      </c>
      <c r="AM83" s="157">
        <f t="shared" si="42"/>
        <v>75551.25</v>
      </c>
      <c r="AN83" s="157">
        <f t="shared" si="42"/>
        <v>75551.25</v>
      </c>
      <c r="AO83" s="157">
        <f t="shared" si="42"/>
        <v>75551.25</v>
      </c>
      <c r="AP83" s="157">
        <f t="shared" si="42"/>
        <v>75551.25</v>
      </c>
      <c r="AQ83" s="157">
        <f t="shared" si="42"/>
        <v>75551.25</v>
      </c>
      <c r="AR83" s="157">
        <f t="shared" si="42"/>
        <v>75551.25</v>
      </c>
      <c r="AS83" s="157">
        <f t="shared" si="42"/>
        <v>75551.25</v>
      </c>
      <c r="AT83" s="157">
        <f t="shared" si="42"/>
        <v>75551.25</v>
      </c>
      <c r="AU83" s="157">
        <f t="shared" si="42"/>
        <v>75551.25</v>
      </c>
      <c r="AV83" s="157">
        <f t="shared" si="42"/>
        <v>75551.25</v>
      </c>
      <c r="AW83" s="157">
        <f t="shared" si="42"/>
        <v>75551.25</v>
      </c>
      <c r="AX83" s="157">
        <f t="shared" si="42"/>
        <v>75551.25</v>
      </c>
      <c r="AY83" s="157">
        <f t="shared" si="42"/>
        <v>75551.25</v>
      </c>
      <c r="AZ83" s="157">
        <f t="shared" si="42"/>
        <v>75551.25</v>
      </c>
      <c r="BA83" s="157">
        <f t="shared" si="42"/>
        <v>75551.25</v>
      </c>
      <c r="BB83" s="157">
        <f t="shared" si="42"/>
        <v>75551.25</v>
      </c>
      <c r="BC83" s="157">
        <f t="shared" si="42"/>
        <v>75551.25</v>
      </c>
      <c r="BD83" s="157">
        <f t="shared" si="42"/>
        <v>75551.25</v>
      </c>
      <c r="BE83" s="157">
        <f t="shared" si="42"/>
        <v>75551.25</v>
      </c>
      <c r="BF83" s="157">
        <f t="shared" si="42"/>
        <v>75551.25</v>
      </c>
      <c r="BG83" s="157">
        <f t="shared" si="42"/>
        <v>75551.25</v>
      </c>
      <c r="BH83" s="157">
        <f t="shared" si="42"/>
        <v>75551.25</v>
      </c>
      <c r="BI83" s="157">
        <f t="shared" si="42"/>
        <v>75551.25</v>
      </c>
      <c r="BJ83" s="157">
        <f t="shared" si="42"/>
        <v>75551.25</v>
      </c>
      <c r="BK83" s="157">
        <f t="shared" si="42"/>
        <v>75551.25</v>
      </c>
      <c r="BL83" s="157">
        <f t="shared" si="42"/>
        <v>75551.25</v>
      </c>
      <c r="BM83" s="157">
        <f t="shared" si="42"/>
        <v>75551.25</v>
      </c>
      <c r="BN83" s="157">
        <f t="shared" si="42"/>
        <v>75551.25</v>
      </c>
      <c r="BO83" s="157">
        <f t="shared" si="42"/>
        <v>75551.25</v>
      </c>
      <c r="BP83" s="157">
        <f t="shared" si="42"/>
        <v>75551.25</v>
      </c>
      <c r="BQ83" s="157">
        <f t="shared" si="42"/>
        <v>75551.25</v>
      </c>
      <c r="BR83" s="157">
        <f t="shared" si="42"/>
        <v>75551.25</v>
      </c>
      <c r="BS83" s="157">
        <f t="shared" si="42"/>
        <v>75551.25</v>
      </c>
      <c r="BT83" s="157">
        <f t="shared" si="42"/>
        <v>75551.25</v>
      </c>
      <c r="BU83" s="157">
        <f t="shared" si="42"/>
        <v>75551.25</v>
      </c>
      <c r="BV83" s="157">
        <f t="shared" si="42"/>
        <v>75551.25</v>
      </c>
      <c r="BW83" s="157">
        <f t="shared" si="42"/>
        <v>75551.25</v>
      </c>
    </row>
    <row r="84" ht="15.75" customHeight="1">
      <c r="A84" s="21" t="s">
        <v>315</v>
      </c>
      <c r="B84" s="163"/>
      <c r="C84" s="21"/>
      <c r="D84" s="147">
        <f t="shared" ref="D84:BW84" si="43">SUM(D74,D83)</f>
        <v>73853</v>
      </c>
      <c r="E84" s="147">
        <f t="shared" si="43"/>
        <v>78981</v>
      </c>
      <c r="F84" s="147">
        <f t="shared" si="43"/>
        <v>93782</v>
      </c>
      <c r="G84" s="147">
        <f t="shared" si="43"/>
        <v>97541</v>
      </c>
      <c r="H84" s="147">
        <f t="shared" si="43"/>
        <v>106578</v>
      </c>
      <c r="I84" s="147">
        <f t="shared" si="43"/>
        <v>103848</v>
      </c>
      <c r="J84" s="147">
        <f t="shared" si="43"/>
        <v>132921</v>
      </c>
      <c r="K84" s="147">
        <f t="shared" si="43"/>
        <v>139510</v>
      </c>
      <c r="L84" s="147">
        <f t="shared" si="43"/>
        <v>163781</v>
      </c>
      <c r="M84" s="147">
        <f t="shared" si="43"/>
        <v>184803</v>
      </c>
      <c r="N84" s="147">
        <f t="shared" si="43"/>
        <v>204504</v>
      </c>
      <c r="O84" s="147">
        <f t="shared" si="43"/>
        <v>224017</v>
      </c>
      <c r="P84" s="147">
        <f t="shared" si="43"/>
        <v>236691</v>
      </c>
      <c r="Q84" s="147">
        <f t="shared" si="43"/>
        <v>266218</v>
      </c>
      <c r="R84" s="147">
        <f t="shared" si="43"/>
        <v>270508</v>
      </c>
      <c r="S84" s="147">
        <f t="shared" si="43"/>
        <v>268262</v>
      </c>
      <c r="T84" s="147">
        <f t="shared" si="43"/>
        <v>288544</v>
      </c>
      <c r="U84" s="147">
        <f t="shared" si="43"/>
        <v>285526</v>
      </c>
      <c r="V84" s="147">
        <f t="shared" si="43"/>
        <v>284126</v>
      </c>
      <c r="W84" s="147">
        <f t="shared" si="43"/>
        <v>287045</v>
      </c>
      <c r="X84" s="147">
        <f t="shared" si="43"/>
        <v>294322</v>
      </c>
      <c r="Y84" s="147">
        <f t="shared" si="43"/>
        <v>277501</v>
      </c>
      <c r="Z84" s="147">
        <f t="shared" si="43"/>
        <v>294377</v>
      </c>
      <c r="AA84" s="147">
        <f t="shared" si="43"/>
        <v>308676</v>
      </c>
      <c r="AB84" s="147">
        <f t="shared" si="43"/>
        <v>312682</v>
      </c>
      <c r="AC84" s="147">
        <f t="shared" si="43"/>
        <v>326880</v>
      </c>
      <c r="AD84" s="147">
        <f t="shared" si="43"/>
        <v>296642</v>
      </c>
      <c r="AE84" s="147">
        <f t="shared" si="43"/>
        <v>284575</v>
      </c>
      <c r="AF84" s="147">
        <f t="shared" si="43"/>
        <v>259611.9167</v>
      </c>
      <c r="AG84" s="147">
        <f t="shared" si="43"/>
        <v>259611.9167</v>
      </c>
      <c r="AH84" s="147">
        <f t="shared" si="43"/>
        <v>259611.9167</v>
      </c>
      <c r="AI84" s="147">
        <f t="shared" si="43"/>
        <v>259611.9167</v>
      </c>
      <c r="AJ84" s="147">
        <f t="shared" si="43"/>
        <v>294611.9167</v>
      </c>
      <c r="AK84" s="147">
        <f t="shared" si="43"/>
        <v>309611.9167</v>
      </c>
      <c r="AL84" s="147">
        <f t="shared" si="43"/>
        <v>324611.9167</v>
      </c>
      <c r="AM84" s="147">
        <f t="shared" si="43"/>
        <v>339611.9167</v>
      </c>
      <c r="AN84" s="147">
        <f t="shared" si="43"/>
        <v>354611.9167</v>
      </c>
      <c r="AO84" s="147">
        <f t="shared" si="43"/>
        <v>369611.9167</v>
      </c>
      <c r="AP84" s="147">
        <f t="shared" si="43"/>
        <v>384611.9167</v>
      </c>
      <c r="AQ84" s="147">
        <f t="shared" si="43"/>
        <v>399611.9167</v>
      </c>
      <c r="AR84" s="147">
        <f t="shared" si="43"/>
        <v>414611.9167</v>
      </c>
      <c r="AS84" s="147">
        <f t="shared" si="43"/>
        <v>429611.9167</v>
      </c>
      <c r="AT84" s="147">
        <f t="shared" si="43"/>
        <v>444611.9167</v>
      </c>
      <c r="AU84" s="147">
        <f t="shared" si="43"/>
        <v>459611.9167</v>
      </c>
      <c r="AV84" s="147">
        <f t="shared" si="43"/>
        <v>474611.9167</v>
      </c>
      <c r="AW84" s="147">
        <f t="shared" si="43"/>
        <v>489611.9167</v>
      </c>
      <c r="AX84" s="147">
        <f t="shared" si="43"/>
        <v>504611.9167</v>
      </c>
      <c r="AY84" s="147">
        <f t="shared" si="43"/>
        <v>519611.9167</v>
      </c>
      <c r="AZ84" s="147">
        <f t="shared" si="43"/>
        <v>504683.331</v>
      </c>
      <c r="BA84" s="147">
        <f t="shared" si="43"/>
        <v>517348.9849</v>
      </c>
      <c r="BB84" s="147">
        <f t="shared" si="43"/>
        <v>527912.9423</v>
      </c>
      <c r="BC84" s="147">
        <f t="shared" si="43"/>
        <v>535643.5394</v>
      </c>
      <c r="BD84" s="147">
        <f t="shared" si="43"/>
        <v>539830.8598</v>
      </c>
      <c r="BE84" s="147">
        <f t="shared" si="43"/>
        <v>549011.0888</v>
      </c>
      <c r="BF84" s="147">
        <f t="shared" si="43"/>
        <v>557280.9551</v>
      </c>
      <c r="BG84" s="147">
        <f t="shared" si="43"/>
        <v>564951.6247</v>
      </c>
      <c r="BH84" s="147">
        <f t="shared" si="43"/>
        <v>572606.6417</v>
      </c>
      <c r="BI84" s="147">
        <f t="shared" si="43"/>
        <v>581167.391</v>
      </c>
      <c r="BJ84" s="147">
        <f t="shared" si="43"/>
        <v>589566.3376</v>
      </c>
      <c r="BK84" s="147">
        <f t="shared" si="43"/>
        <v>597998.9988</v>
      </c>
      <c r="BL84" s="147">
        <f t="shared" si="43"/>
        <v>606630.6856</v>
      </c>
      <c r="BM84" s="147">
        <f t="shared" si="43"/>
        <v>615517.4701</v>
      </c>
      <c r="BN84" s="147">
        <f t="shared" si="43"/>
        <v>624489.4121</v>
      </c>
      <c r="BO84" s="147">
        <f t="shared" si="43"/>
        <v>633611.0156</v>
      </c>
      <c r="BP84" s="147">
        <f t="shared" si="43"/>
        <v>642912.5647</v>
      </c>
      <c r="BQ84" s="147">
        <f t="shared" si="43"/>
        <v>652389.0761</v>
      </c>
      <c r="BR84" s="147">
        <f t="shared" si="43"/>
        <v>662019.6191</v>
      </c>
      <c r="BS84" s="147">
        <f t="shared" si="43"/>
        <v>671822.1828</v>
      </c>
      <c r="BT84" s="147">
        <f t="shared" si="43"/>
        <v>681802.6075</v>
      </c>
      <c r="BU84" s="147">
        <f t="shared" si="43"/>
        <v>691960.3486</v>
      </c>
      <c r="BV84" s="147">
        <f t="shared" si="43"/>
        <v>702296.0209</v>
      </c>
      <c r="BW84" s="147">
        <f t="shared" si="43"/>
        <v>712815.8669</v>
      </c>
    </row>
    <row r="85" ht="15.75" customHeight="1">
      <c r="A85" s="31" t="s">
        <v>244</v>
      </c>
      <c r="B85" s="159"/>
      <c r="D85" s="76">
        <f t="array" ref="D85">INDEX(INDIRECT("PnL_"&amp;TEXT(D$1,"mmm")&amp;"_"&amp;TEXT(D$1,"yyyy")),MATCH(TRIM($A84),PnL_Accounts,0))-D84</f>
        <v>0</v>
      </c>
      <c r="E85" s="76">
        <f t="array" ref="E85">INDEX(INDIRECT("PnL_"&amp;TEXT(E$1,"mmm")&amp;"_"&amp;TEXT(E$1,"yyyy")),MATCH(TRIM($A84),PnL_Accounts,0))-E84</f>
        <v>0</v>
      </c>
      <c r="F85" s="76">
        <f t="array" ref="F85">INDEX(INDIRECT("PnL_"&amp;TEXT(F$1,"mmm")&amp;"_"&amp;TEXT(F$1,"yyyy")),MATCH(TRIM($A84),PnL_Accounts,0))-F84</f>
        <v>0</v>
      </c>
      <c r="G85" s="76">
        <f t="array" ref="G85">INDEX(INDIRECT("PnL_"&amp;TEXT(G$1,"mmm")&amp;"_"&amp;TEXT(G$1,"yyyy")),MATCH(TRIM($A84),PnL_Accounts,0))-G84</f>
        <v>0</v>
      </c>
      <c r="H85" s="76">
        <f t="array" ref="H85">INDEX(INDIRECT("PnL_"&amp;TEXT(H$1,"mmm")&amp;"_"&amp;TEXT(H$1,"yyyy")),MATCH(TRIM($A84),PnL_Accounts,0))-H84</f>
        <v>0</v>
      </c>
      <c r="I85" s="76">
        <f t="array" ref="I85">INDEX(INDIRECT("PnL_"&amp;TEXT(I$1,"mmm")&amp;"_"&amp;TEXT(I$1,"yyyy")),MATCH(TRIM($A84),PnL_Accounts,0))-I84</f>
        <v>0</v>
      </c>
      <c r="J85" s="76">
        <f t="array" ref="J85">INDEX(INDIRECT("PnL_"&amp;TEXT(J$1,"mmm")&amp;"_"&amp;TEXT(J$1,"yyyy")),MATCH(TRIM($A84),PnL_Accounts,0))-J84</f>
        <v>0</v>
      </c>
      <c r="K85" s="76">
        <f t="array" ref="K85">INDEX(INDIRECT("PnL_"&amp;TEXT(K$1,"mmm")&amp;"_"&amp;TEXT(K$1,"yyyy")),MATCH(TRIM($A84),PnL_Accounts,0))-K84</f>
        <v>0</v>
      </c>
      <c r="L85" s="76">
        <f t="array" ref="L85">INDEX(INDIRECT("PnL_"&amp;TEXT(L$1,"mmm")&amp;"_"&amp;TEXT(L$1,"yyyy")),MATCH(TRIM($A84),PnL_Accounts,0))-L84</f>
        <v>0</v>
      </c>
      <c r="M85" s="76">
        <f t="array" ref="M85">INDEX(INDIRECT("PnL_"&amp;TEXT(M$1,"mmm")&amp;"_"&amp;TEXT(M$1,"yyyy")),MATCH(TRIM($A84),PnL_Accounts,0))-M84</f>
        <v>0</v>
      </c>
      <c r="N85" s="76">
        <f t="array" ref="N85">INDEX(INDIRECT("PnL_"&amp;TEXT(N$1,"mmm")&amp;"_"&amp;TEXT(N$1,"yyyy")),MATCH(TRIM($A84),PnL_Accounts,0))-N84</f>
        <v>0</v>
      </c>
      <c r="O85" s="76">
        <f t="array" ref="O85">INDEX(INDIRECT("PnL_"&amp;TEXT(O$1,"mmm")&amp;"_"&amp;TEXT(O$1,"yyyy")),MATCH(TRIM($A84),PnL_Accounts,0))-O84</f>
        <v>0</v>
      </c>
      <c r="P85" s="76">
        <f t="array" ref="P85">INDEX(INDIRECT("PnL_"&amp;TEXT(P$1,"mmm")&amp;"_"&amp;TEXT(P$1,"yyyy")),MATCH(TRIM($A84),PnL_Accounts,0))-P84</f>
        <v>0</v>
      </c>
      <c r="Q85" s="76">
        <f t="array" ref="Q85">INDEX(INDIRECT("PnL_"&amp;TEXT(Q$1,"mmm")&amp;"_"&amp;TEXT(Q$1,"yyyy")),MATCH(TRIM($A84),PnL_Accounts,0))-Q84</f>
        <v>0</v>
      </c>
      <c r="R85" s="76">
        <f t="array" ref="R85">INDEX(INDIRECT("PnL_"&amp;TEXT(R$1,"mmm")&amp;"_"&amp;TEXT(R$1,"yyyy")),MATCH(TRIM($A84),PnL_Accounts,0))-R84</f>
        <v>0</v>
      </c>
      <c r="S85" s="76">
        <f t="array" ref="S85">INDEX(INDIRECT("PnL_"&amp;TEXT(S$1,"mmm")&amp;"_"&amp;TEXT(S$1,"yyyy")),MATCH(TRIM($A84),PnL_Accounts,0))-S84</f>
        <v>0</v>
      </c>
      <c r="T85" s="76">
        <f t="array" ref="T85">INDEX(INDIRECT("PnL_"&amp;TEXT(T$1,"mmm")&amp;"_"&amp;TEXT(T$1,"yyyy")),MATCH(TRIM($A84),PnL_Accounts,0))-T84</f>
        <v>0</v>
      </c>
      <c r="U85" s="76">
        <f t="array" ref="U85">INDEX(INDIRECT("PnL_"&amp;TEXT(U$1,"mmm")&amp;"_"&amp;TEXT(U$1,"yyyy")),MATCH(TRIM($A84),PnL_Accounts,0))-U84</f>
        <v>0</v>
      </c>
      <c r="V85" s="76">
        <f t="array" ref="V85">INDEX(INDIRECT("PnL_"&amp;TEXT(V$1,"mmm")&amp;"_"&amp;TEXT(V$1,"yyyy")),MATCH(TRIM($A84),PnL_Accounts,0))-V84</f>
        <v>0</v>
      </c>
      <c r="W85" s="76">
        <f t="array" ref="W85">INDEX(INDIRECT("PnL_"&amp;TEXT(W$1,"mmm")&amp;"_"&amp;TEXT(W$1,"yyyy")),MATCH(TRIM($A84),PnL_Accounts,0))-W84</f>
        <v>0</v>
      </c>
      <c r="X85" s="76">
        <f t="array" ref="X85">INDEX(INDIRECT("PnL_"&amp;TEXT(X$1,"mmm")&amp;"_"&amp;TEXT(X$1,"yyyy")),MATCH(TRIM($A84),PnL_Accounts,0))-X84</f>
        <v>0</v>
      </c>
      <c r="Y85" s="76">
        <f t="array" ref="Y85">INDEX(INDIRECT("PnL_"&amp;TEXT(Y$1,"mmm")&amp;"_"&amp;TEXT(Y$1,"yyyy")),MATCH(TRIM($A84),PnL_Accounts,0))-Y84</f>
        <v>0</v>
      </c>
      <c r="Z85" s="76">
        <f t="array" ref="Z85">INDEX(INDIRECT("PnL_"&amp;TEXT(Z$1,"mmm")&amp;"_"&amp;TEXT(Z$1,"yyyy")),MATCH(TRIM($A84),PnL_Accounts,0))-Z84</f>
        <v>0</v>
      </c>
      <c r="AA85" s="76">
        <f t="array" ref="AA85">INDEX(INDIRECT("PnL_"&amp;TEXT(AA$1,"mmm")&amp;"_"&amp;TEXT(AA$1,"yyyy")),MATCH(TRIM($A84),PnL_Accounts,0))-AA84</f>
        <v>0</v>
      </c>
      <c r="AB85" s="76">
        <f t="array" ref="AB85">INDEX(INDIRECT("PnL_"&amp;TEXT(AB$1,"mmm")&amp;"_"&amp;TEXT(AB$1,"yyyy")),MATCH(TRIM($A84),PnL_Accounts,0))-AB84</f>
        <v>0</v>
      </c>
      <c r="AC85" s="76">
        <f t="array" ref="AC85">INDEX(INDIRECT("PnL_"&amp;TEXT(AC$1,"mmm")&amp;"_"&amp;TEXT(AC$1,"yyyy")),MATCH(TRIM($A84),PnL_Accounts,0))-AC84</f>
        <v>0</v>
      </c>
      <c r="AD85" s="76">
        <f t="array" ref="AD85">INDEX(INDIRECT("PnL_"&amp;TEXT(AD$1,"mmm")&amp;"_"&amp;TEXT(AD$1,"yyyy")),MATCH(TRIM($A84),PnL_Accounts,0))-AD84</f>
        <v>0</v>
      </c>
      <c r="AE85" s="76">
        <f t="array" ref="AE85">INDEX(INDIRECT("PnL_"&amp;TEXT(AE$1,"mmm")&amp;"_"&amp;TEXT(AE$1,"yyyy")),MATCH(TRIM($A84),PnL_Accounts,0))-AE84</f>
        <v>0</v>
      </c>
    </row>
    <row r="86" ht="15.75" customHeight="1">
      <c r="A86" s="21" t="s">
        <v>18</v>
      </c>
      <c r="B86" s="161"/>
      <c r="C86" s="157"/>
      <c r="D86" s="157">
        <f t="shared" ref="D86:BW86" si="44">SUM(D84,D62,D30)</f>
        <v>328011</v>
      </c>
      <c r="E86" s="157">
        <f t="shared" si="44"/>
        <v>342504</v>
      </c>
      <c r="F86" s="157">
        <f t="shared" si="44"/>
        <v>373037</v>
      </c>
      <c r="G86" s="157">
        <f t="shared" si="44"/>
        <v>378693</v>
      </c>
      <c r="H86" s="157">
        <f t="shared" si="44"/>
        <v>389569</v>
      </c>
      <c r="I86" s="157">
        <f t="shared" si="44"/>
        <v>400628</v>
      </c>
      <c r="J86" s="157">
        <f t="shared" si="44"/>
        <v>433445</v>
      </c>
      <c r="K86" s="157">
        <f t="shared" si="44"/>
        <v>441986</v>
      </c>
      <c r="L86" s="157">
        <f t="shared" si="44"/>
        <v>476779</v>
      </c>
      <c r="M86" s="157">
        <f t="shared" si="44"/>
        <v>501961</v>
      </c>
      <c r="N86" s="157">
        <f t="shared" si="44"/>
        <v>523426</v>
      </c>
      <c r="O86" s="157">
        <f t="shared" si="44"/>
        <v>555326</v>
      </c>
      <c r="P86" s="157">
        <f t="shared" si="44"/>
        <v>570318</v>
      </c>
      <c r="Q86" s="157">
        <f t="shared" si="44"/>
        <v>603679</v>
      </c>
      <c r="R86" s="157">
        <f t="shared" si="44"/>
        <v>612058</v>
      </c>
      <c r="S86" s="157">
        <f t="shared" si="44"/>
        <v>612015</v>
      </c>
      <c r="T86" s="157">
        <f t="shared" si="44"/>
        <v>642491</v>
      </c>
      <c r="U86" s="157">
        <f t="shared" si="44"/>
        <v>638079</v>
      </c>
      <c r="V86" s="157">
        <f t="shared" si="44"/>
        <v>637176</v>
      </c>
      <c r="W86" s="157">
        <f t="shared" si="44"/>
        <v>643183</v>
      </c>
      <c r="X86" s="157">
        <f t="shared" si="44"/>
        <v>652025</v>
      </c>
      <c r="Y86" s="157">
        <f t="shared" si="44"/>
        <v>649057</v>
      </c>
      <c r="Z86" s="157">
        <f t="shared" si="44"/>
        <v>668368</v>
      </c>
      <c r="AA86" s="157">
        <f t="shared" si="44"/>
        <v>689501</v>
      </c>
      <c r="AB86" s="157">
        <f t="shared" si="44"/>
        <v>693794</v>
      </c>
      <c r="AC86" s="157">
        <f t="shared" si="44"/>
        <v>723324</v>
      </c>
      <c r="AD86" s="157">
        <f t="shared" si="44"/>
        <v>663911</v>
      </c>
      <c r="AE86" s="157">
        <f t="shared" si="44"/>
        <v>650853</v>
      </c>
      <c r="AF86" s="157">
        <f t="shared" si="44"/>
        <v>553155.25</v>
      </c>
      <c r="AG86" s="157">
        <f t="shared" si="44"/>
        <v>553155.25</v>
      </c>
      <c r="AH86" s="157">
        <f t="shared" si="44"/>
        <v>553155.25</v>
      </c>
      <c r="AI86" s="157">
        <f t="shared" si="44"/>
        <v>553155.25</v>
      </c>
      <c r="AJ86" s="157">
        <f t="shared" si="44"/>
        <v>588155.25</v>
      </c>
      <c r="AK86" s="157">
        <f t="shared" si="44"/>
        <v>603155.25</v>
      </c>
      <c r="AL86" s="157">
        <f t="shared" si="44"/>
        <v>618155.25</v>
      </c>
      <c r="AM86" s="157">
        <f t="shared" si="44"/>
        <v>633155.25</v>
      </c>
      <c r="AN86" s="157">
        <f t="shared" si="44"/>
        <v>648155.25</v>
      </c>
      <c r="AO86" s="157">
        <f t="shared" si="44"/>
        <v>663155.25</v>
      </c>
      <c r="AP86" s="157">
        <f t="shared" si="44"/>
        <v>678155.25</v>
      </c>
      <c r="AQ86" s="157">
        <f t="shared" si="44"/>
        <v>693155.25</v>
      </c>
      <c r="AR86" s="157">
        <f t="shared" si="44"/>
        <v>708155.25</v>
      </c>
      <c r="AS86" s="157">
        <f t="shared" si="44"/>
        <v>723155.25</v>
      </c>
      <c r="AT86" s="157">
        <f t="shared" si="44"/>
        <v>738155.25</v>
      </c>
      <c r="AU86" s="157">
        <f t="shared" si="44"/>
        <v>753155.25</v>
      </c>
      <c r="AV86" s="157">
        <f t="shared" si="44"/>
        <v>768155.25</v>
      </c>
      <c r="AW86" s="157">
        <f t="shared" si="44"/>
        <v>783155.25</v>
      </c>
      <c r="AX86" s="157">
        <f t="shared" si="44"/>
        <v>798155.25</v>
      </c>
      <c r="AY86" s="157">
        <f t="shared" si="44"/>
        <v>813155.25</v>
      </c>
      <c r="AZ86" s="157">
        <f t="shared" si="44"/>
        <v>798226.6643</v>
      </c>
      <c r="BA86" s="157">
        <f t="shared" si="44"/>
        <v>810892.3183</v>
      </c>
      <c r="BB86" s="157">
        <f t="shared" si="44"/>
        <v>821456.2756</v>
      </c>
      <c r="BC86" s="157">
        <f t="shared" si="44"/>
        <v>829186.8727</v>
      </c>
      <c r="BD86" s="157">
        <f t="shared" si="44"/>
        <v>833374.1932</v>
      </c>
      <c r="BE86" s="157">
        <f t="shared" si="44"/>
        <v>842554.4221</v>
      </c>
      <c r="BF86" s="157">
        <f t="shared" si="44"/>
        <v>850824.2884</v>
      </c>
      <c r="BG86" s="157">
        <f t="shared" si="44"/>
        <v>858494.958</v>
      </c>
      <c r="BH86" s="157">
        <f t="shared" si="44"/>
        <v>866149.9751</v>
      </c>
      <c r="BI86" s="157">
        <f t="shared" si="44"/>
        <v>874710.7244</v>
      </c>
      <c r="BJ86" s="157">
        <f t="shared" si="44"/>
        <v>883109.6709</v>
      </c>
      <c r="BK86" s="157">
        <f t="shared" si="44"/>
        <v>891542.3322</v>
      </c>
      <c r="BL86" s="157">
        <f t="shared" si="44"/>
        <v>900174.019</v>
      </c>
      <c r="BM86" s="157">
        <f t="shared" si="44"/>
        <v>909060.8034</v>
      </c>
      <c r="BN86" s="157">
        <f t="shared" si="44"/>
        <v>918032.7455</v>
      </c>
      <c r="BO86" s="157">
        <f t="shared" si="44"/>
        <v>927154.3489</v>
      </c>
      <c r="BP86" s="157">
        <f t="shared" si="44"/>
        <v>936455.8981</v>
      </c>
      <c r="BQ86" s="157">
        <f t="shared" si="44"/>
        <v>945932.4095</v>
      </c>
      <c r="BR86" s="157">
        <f t="shared" si="44"/>
        <v>955562.9524</v>
      </c>
      <c r="BS86" s="157">
        <f t="shared" si="44"/>
        <v>965365.5162</v>
      </c>
      <c r="BT86" s="157">
        <f t="shared" si="44"/>
        <v>975345.9408</v>
      </c>
      <c r="BU86" s="157">
        <f t="shared" si="44"/>
        <v>985503.6819</v>
      </c>
      <c r="BV86" s="157">
        <f t="shared" si="44"/>
        <v>995839.3542</v>
      </c>
      <c r="BW86" s="157">
        <f t="shared" si="44"/>
        <v>1006359.2</v>
      </c>
    </row>
    <row r="87" ht="15.75" customHeight="1">
      <c r="A87" s="21" t="s">
        <v>316</v>
      </c>
      <c r="B87" s="163"/>
      <c r="C87" s="21"/>
      <c r="D87" s="147">
        <f t="shared" ref="D87:BW87" si="45">D20-D86</f>
        <v>-89438</v>
      </c>
      <c r="E87" s="147">
        <f t="shared" si="45"/>
        <v>-88124</v>
      </c>
      <c r="F87" s="147">
        <f t="shared" si="45"/>
        <v>-102956</v>
      </c>
      <c r="G87" s="147">
        <f t="shared" si="45"/>
        <v>-94595</v>
      </c>
      <c r="H87" s="147">
        <f t="shared" si="45"/>
        <v>-82065</v>
      </c>
      <c r="I87" s="147">
        <f t="shared" si="45"/>
        <v>-78132</v>
      </c>
      <c r="J87" s="147">
        <f t="shared" si="45"/>
        <v>-94045</v>
      </c>
      <c r="K87" s="147">
        <f t="shared" si="45"/>
        <v>-89766</v>
      </c>
      <c r="L87" s="147">
        <f t="shared" si="45"/>
        <v>-114445</v>
      </c>
      <c r="M87" s="147">
        <f t="shared" si="45"/>
        <v>-131881</v>
      </c>
      <c r="N87" s="147">
        <f t="shared" si="45"/>
        <v>-140597</v>
      </c>
      <c r="O87" s="147">
        <f t="shared" si="45"/>
        <v>-177194</v>
      </c>
      <c r="P87" s="147">
        <f t="shared" si="45"/>
        <v>-177124</v>
      </c>
      <c r="Q87" s="147">
        <f t="shared" si="45"/>
        <v>-189575</v>
      </c>
      <c r="R87" s="147">
        <f t="shared" si="45"/>
        <v>-184131</v>
      </c>
      <c r="S87" s="147">
        <f t="shared" si="45"/>
        <v>-128941</v>
      </c>
      <c r="T87" s="147">
        <f t="shared" si="45"/>
        <v>-151754</v>
      </c>
      <c r="U87" s="147">
        <f t="shared" si="45"/>
        <v>-122283</v>
      </c>
      <c r="V87" s="147">
        <f t="shared" si="45"/>
        <v>-102474</v>
      </c>
      <c r="W87" s="147">
        <f t="shared" si="45"/>
        <v>-82495</v>
      </c>
      <c r="X87" s="147">
        <f t="shared" si="45"/>
        <v>-60038</v>
      </c>
      <c r="Y87" s="147">
        <f t="shared" si="45"/>
        <v>-27320</v>
      </c>
      <c r="Z87" s="147">
        <f t="shared" si="45"/>
        <v>-18905</v>
      </c>
      <c r="AA87" s="147">
        <f t="shared" si="45"/>
        <v>-24211</v>
      </c>
      <c r="AB87" s="147">
        <f t="shared" si="45"/>
        <v>-13824</v>
      </c>
      <c r="AC87" s="147">
        <f t="shared" si="45"/>
        <v>-26169</v>
      </c>
      <c r="AD87" s="147">
        <f t="shared" si="45"/>
        <v>8407.19</v>
      </c>
      <c r="AE87" s="147">
        <f t="shared" si="45"/>
        <v>-117</v>
      </c>
      <c r="AF87" s="147">
        <f t="shared" si="45"/>
        <v>71361.27284</v>
      </c>
      <c r="AG87" s="147">
        <f t="shared" si="45"/>
        <v>42352.79059</v>
      </c>
      <c r="AH87" s="147">
        <f t="shared" si="45"/>
        <v>24009.24541</v>
      </c>
      <c r="AI87" s="147">
        <f t="shared" si="45"/>
        <v>21236.7496</v>
      </c>
      <c r="AJ87" s="147">
        <f t="shared" si="45"/>
        <v>-8913.173639</v>
      </c>
      <c r="AK87" s="147">
        <f t="shared" si="45"/>
        <v>-17715.02036</v>
      </c>
      <c r="AL87" s="147">
        <f t="shared" si="45"/>
        <v>-27169.10495</v>
      </c>
      <c r="AM87" s="147">
        <f t="shared" si="45"/>
        <v>-35868.17868</v>
      </c>
      <c r="AN87" s="147">
        <f t="shared" si="45"/>
        <v>-44861.50466</v>
      </c>
      <c r="AO87" s="147">
        <f t="shared" si="45"/>
        <v>-53021.9819</v>
      </c>
      <c r="AP87" s="147">
        <f t="shared" si="45"/>
        <v>-61530.06051</v>
      </c>
      <c r="AQ87" s="147">
        <f t="shared" si="45"/>
        <v>-69231.39977</v>
      </c>
      <c r="AR87" s="147">
        <f t="shared" si="45"/>
        <v>-76151.56567</v>
      </c>
      <c r="AS87" s="147">
        <f t="shared" si="45"/>
        <v>-83444.15559</v>
      </c>
      <c r="AT87" s="147">
        <f t="shared" si="45"/>
        <v>-89972.21647</v>
      </c>
      <c r="AU87" s="147">
        <f t="shared" si="45"/>
        <v>-96886.17509</v>
      </c>
      <c r="AV87" s="147">
        <f t="shared" si="45"/>
        <v>-103054.0245</v>
      </c>
      <c r="AW87" s="147">
        <f t="shared" si="45"/>
        <v>-108495.2956</v>
      </c>
      <c r="AX87" s="147">
        <f t="shared" si="45"/>
        <v>-114358.8682</v>
      </c>
      <c r="AY87" s="147">
        <f t="shared" si="45"/>
        <v>-119511.8363</v>
      </c>
      <c r="AZ87" s="147">
        <f t="shared" si="45"/>
        <v>-82130.73566</v>
      </c>
      <c r="BA87" s="147">
        <f t="shared" si="45"/>
        <v>-71670.29928</v>
      </c>
      <c r="BB87" s="147">
        <f t="shared" si="45"/>
        <v>-58414.38355</v>
      </c>
      <c r="BC87" s="147">
        <f t="shared" si="45"/>
        <v>-41610.51137</v>
      </c>
      <c r="BD87" s="147">
        <f t="shared" si="45"/>
        <v>-20527.32849</v>
      </c>
      <c r="BE87" s="147">
        <f t="shared" si="45"/>
        <v>-3678.939023</v>
      </c>
      <c r="BF87" s="147">
        <f t="shared" si="45"/>
        <v>14860.67171</v>
      </c>
      <c r="BG87" s="147">
        <f t="shared" si="45"/>
        <v>34803.76341</v>
      </c>
      <c r="BH87" s="147">
        <f t="shared" si="45"/>
        <v>55590.92047</v>
      </c>
      <c r="BI87" s="147">
        <f t="shared" si="45"/>
        <v>76325.61055</v>
      </c>
      <c r="BJ87" s="147">
        <f t="shared" si="45"/>
        <v>98100.96653</v>
      </c>
      <c r="BK87" s="147">
        <f t="shared" si="45"/>
        <v>120747.8369</v>
      </c>
      <c r="BL87" s="147">
        <f t="shared" si="45"/>
        <v>144128.0677</v>
      </c>
      <c r="BM87" s="147">
        <f t="shared" si="45"/>
        <v>168213.5583</v>
      </c>
      <c r="BN87" s="147">
        <f t="shared" si="45"/>
        <v>193203.0596</v>
      </c>
      <c r="BO87" s="147">
        <f t="shared" si="45"/>
        <v>219061.7428</v>
      </c>
      <c r="BP87" s="147">
        <f t="shared" si="45"/>
        <v>245789.8889</v>
      </c>
      <c r="BQ87" s="147">
        <f t="shared" si="45"/>
        <v>273423.9637</v>
      </c>
      <c r="BR87" s="147">
        <f t="shared" si="45"/>
        <v>302017.3244</v>
      </c>
      <c r="BS87" s="147">
        <f t="shared" si="45"/>
        <v>331585.3815</v>
      </c>
      <c r="BT87" s="147">
        <f t="shared" si="45"/>
        <v>362156.6962</v>
      </c>
      <c r="BU87" s="147">
        <f t="shared" si="45"/>
        <v>393767.2468</v>
      </c>
      <c r="BV87" s="147">
        <f t="shared" si="45"/>
        <v>426452.9148</v>
      </c>
      <c r="BW87" s="147">
        <f t="shared" si="45"/>
        <v>460245.0494</v>
      </c>
    </row>
    <row r="88" ht="15.75" customHeight="1">
      <c r="A88" s="31" t="s">
        <v>244</v>
      </c>
      <c r="B88" s="159"/>
      <c r="D88" s="76">
        <f t="array" ref="D88">ROUND(INDEX(INDIRECT("PnL_"&amp;TEXT(D$1,"mmm")&amp;"_"&amp;TEXT(D$1,"yyyy")),MATCH(TRIM($A87),PnL_Accounts,0))-D87,2)</f>
        <v>0</v>
      </c>
      <c r="E88" s="76">
        <f t="array" ref="E88">ROUND(INDEX(INDIRECT("PnL_"&amp;TEXT(E$1,"mmm")&amp;"_"&amp;TEXT(E$1,"yyyy")),MATCH(TRIM($A87),PnL_Accounts,0))-E87,2)</f>
        <v>0</v>
      </c>
      <c r="F88" s="76">
        <f t="array" ref="F88">ROUND(INDEX(INDIRECT("PnL_"&amp;TEXT(F$1,"mmm")&amp;"_"&amp;TEXT(F$1,"yyyy")),MATCH(TRIM($A87),PnL_Accounts,0))-F87,2)</f>
        <v>0</v>
      </c>
      <c r="G88" s="76">
        <f t="array" ref="G88">ROUND(INDEX(INDIRECT("PnL_"&amp;TEXT(G$1,"mmm")&amp;"_"&amp;TEXT(G$1,"yyyy")),MATCH(TRIM($A87),PnL_Accounts,0))-G87,2)</f>
        <v>0</v>
      </c>
      <c r="H88" s="76">
        <f t="array" ref="H88">ROUND(INDEX(INDIRECT("PnL_"&amp;TEXT(H$1,"mmm")&amp;"_"&amp;TEXT(H$1,"yyyy")),MATCH(TRIM($A87),PnL_Accounts,0))-H87,2)</f>
        <v>0</v>
      </c>
      <c r="I88" s="76">
        <f t="array" ref="I88">ROUND(INDEX(INDIRECT("PnL_"&amp;TEXT(I$1,"mmm")&amp;"_"&amp;TEXT(I$1,"yyyy")),MATCH(TRIM($A87),PnL_Accounts,0))-I87,2)</f>
        <v>0</v>
      </c>
      <c r="J88" s="76">
        <f t="array" ref="J88">ROUND(INDEX(INDIRECT("PnL_"&amp;TEXT(J$1,"mmm")&amp;"_"&amp;TEXT(J$1,"yyyy")),MATCH(TRIM($A87),PnL_Accounts,0))-J87,2)</f>
        <v>0</v>
      </c>
      <c r="K88" s="76">
        <f t="array" ref="K88">ROUND(INDEX(INDIRECT("PnL_"&amp;TEXT(K$1,"mmm")&amp;"_"&amp;TEXT(K$1,"yyyy")),MATCH(TRIM($A87),PnL_Accounts,0))-K87,2)</f>
        <v>0</v>
      </c>
      <c r="L88" s="76">
        <f t="array" ref="L88">ROUND(INDEX(INDIRECT("PnL_"&amp;TEXT(L$1,"mmm")&amp;"_"&amp;TEXT(L$1,"yyyy")),MATCH(TRIM($A87),PnL_Accounts,0))-L87,2)</f>
        <v>0</v>
      </c>
      <c r="M88" s="76">
        <f t="array" ref="M88">ROUND(INDEX(INDIRECT("PnL_"&amp;TEXT(M$1,"mmm")&amp;"_"&amp;TEXT(M$1,"yyyy")),MATCH(TRIM($A87),PnL_Accounts,0))-M87,2)</f>
        <v>0</v>
      </c>
      <c r="N88" s="76">
        <f t="array" ref="N88">ROUND(INDEX(INDIRECT("PnL_"&amp;TEXT(N$1,"mmm")&amp;"_"&amp;TEXT(N$1,"yyyy")),MATCH(TRIM($A87),PnL_Accounts,0))-N87,2)</f>
        <v>0</v>
      </c>
      <c r="O88" s="76">
        <f t="array" ref="O88">ROUND(INDEX(INDIRECT("PnL_"&amp;TEXT(O$1,"mmm")&amp;"_"&amp;TEXT(O$1,"yyyy")),MATCH(TRIM($A87),PnL_Accounts,0))-O87,2)</f>
        <v>0</v>
      </c>
      <c r="P88" s="76">
        <f t="array" ref="P88">ROUND(INDEX(INDIRECT("PnL_"&amp;TEXT(P$1,"mmm")&amp;"_"&amp;TEXT(P$1,"yyyy")),MATCH(TRIM($A87),PnL_Accounts,0))-P87,2)</f>
        <v>0</v>
      </c>
      <c r="Q88" s="76">
        <f t="array" ref="Q88">ROUND(INDEX(INDIRECT("PnL_"&amp;TEXT(Q$1,"mmm")&amp;"_"&amp;TEXT(Q$1,"yyyy")),MATCH(TRIM($A87),PnL_Accounts,0))-Q87,2)</f>
        <v>0</v>
      </c>
      <c r="R88" s="76">
        <f t="array" ref="R88">ROUND(INDEX(INDIRECT("PnL_"&amp;TEXT(R$1,"mmm")&amp;"_"&amp;TEXT(R$1,"yyyy")),MATCH(TRIM($A87),PnL_Accounts,0))-R87,2)</f>
        <v>0</v>
      </c>
      <c r="S88" s="76">
        <f t="array" ref="S88">ROUND(INDEX(INDIRECT("PnL_"&amp;TEXT(S$1,"mmm")&amp;"_"&amp;TEXT(S$1,"yyyy")),MATCH(TRIM($A87),PnL_Accounts,0))-S87,2)</f>
        <v>0</v>
      </c>
      <c r="T88" s="76">
        <f t="array" ref="T88">ROUND(INDEX(INDIRECT("PnL_"&amp;TEXT(T$1,"mmm")&amp;"_"&amp;TEXT(T$1,"yyyy")),MATCH(TRIM($A87),PnL_Accounts,0))-T87,2)</f>
        <v>0</v>
      </c>
      <c r="U88" s="76">
        <f t="array" ref="U88">ROUND(INDEX(INDIRECT("PnL_"&amp;TEXT(U$1,"mmm")&amp;"_"&amp;TEXT(U$1,"yyyy")),MATCH(TRIM($A87),PnL_Accounts,0))-U87,2)</f>
        <v>0</v>
      </c>
      <c r="V88" s="76">
        <f t="array" ref="V88">ROUND(INDEX(INDIRECT("PnL_"&amp;TEXT(V$1,"mmm")&amp;"_"&amp;TEXT(V$1,"yyyy")),MATCH(TRIM($A87),PnL_Accounts,0))-V87,2)</f>
        <v>0</v>
      </c>
      <c r="W88" s="76">
        <f t="array" ref="W88">ROUND(INDEX(INDIRECT("PnL_"&amp;TEXT(W$1,"mmm")&amp;"_"&amp;TEXT(W$1,"yyyy")),MATCH(TRIM($A87),PnL_Accounts,0))-W87,2)</f>
        <v>0</v>
      </c>
      <c r="X88" s="76">
        <f t="array" ref="X88">ROUND(INDEX(INDIRECT("PnL_"&amp;TEXT(X$1,"mmm")&amp;"_"&amp;TEXT(X$1,"yyyy")),MATCH(TRIM($A87),PnL_Accounts,0))-X87,2)</f>
        <v>0</v>
      </c>
      <c r="Y88" s="76">
        <f t="array" ref="Y88">ROUND(INDEX(INDIRECT("PnL_"&amp;TEXT(Y$1,"mmm")&amp;"_"&amp;TEXT(Y$1,"yyyy")),MATCH(TRIM($A87),PnL_Accounts,0))-Y87,2)</f>
        <v>0</v>
      </c>
      <c r="Z88" s="76">
        <f t="array" ref="Z88">ROUND(INDEX(INDIRECT("PnL_"&amp;TEXT(Z$1,"mmm")&amp;"_"&amp;TEXT(Z$1,"yyyy")),MATCH(TRIM($A87),PnL_Accounts,0))-Z87,2)</f>
        <v>0</v>
      </c>
      <c r="AA88" s="76">
        <f t="array" ref="AA88">ROUND(INDEX(INDIRECT("PnL_"&amp;TEXT(AA$1,"mmm")&amp;"_"&amp;TEXT(AA$1,"yyyy")),MATCH(TRIM($A87),PnL_Accounts,0))-AA87,2)</f>
        <v>0</v>
      </c>
      <c r="AB88" s="76">
        <f t="array" ref="AB88">ROUND(INDEX(INDIRECT("PnL_"&amp;TEXT(AB$1,"mmm")&amp;"_"&amp;TEXT(AB$1,"yyyy")),MATCH(TRIM($A87),PnL_Accounts,0))-AB87,2)</f>
        <v>0</v>
      </c>
      <c r="AC88" s="76">
        <f t="array" ref="AC88">ROUND(INDEX(INDIRECT("PnL_"&amp;TEXT(AC$1,"mmm")&amp;"_"&amp;TEXT(AC$1,"yyyy")),MATCH(TRIM($A87),PnL_Accounts,0))-AC87,2)</f>
        <v>0</v>
      </c>
      <c r="AD88" s="76">
        <f t="array" ref="AD88">ROUND(INDEX(INDIRECT("PnL_"&amp;TEXT(AD$1,"mmm")&amp;"_"&amp;TEXT(AD$1,"yyyy")),MATCH(TRIM($A87),PnL_Accounts,0))-AD87,2)</f>
        <v>0</v>
      </c>
      <c r="AE88" s="76">
        <f t="array" ref="AE88">ROUND(INDEX(INDIRECT("PnL_"&amp;TEXT(AE$1,"mmm")&amp;"_"&amp;TEXT(AE$1,"yyyy")),MATCH(TRIM($A87),PnL_Accounts,0))-AE87,2)</f>
        <v>0</v>
      </c>
    </row>
    <row r="89" ht="15.75" customHeight="1">
      <c r="A89" s="31" t="s">
        <v>317</v>
      </c>
      <c r="B89" s="159"/>
    </row>
    <row r="90" ht="15.75" customHeight="1">
      <c r="A90" s="1" t="s">
        <v>318</v>
      </c>
      <c r="B90" s="159"/>
      <c r="AF90" s="39" t="str">
        <f t="array" ref="AF90">_xludf.IFNA(INDEX(Loans_Forgivable_Loan_Forgivable_Income,MATCH(AF$1,Loans_Months,0)),0)</f>
        <v>#NAME?</v>
      </c>
      <c r="AG90" s="39" t="str">
        <f t="array" ref="AG90">_xludf.IFNA(INDEX(Loans_Forgivable_Loan_Forgivable_Income,MATCH(AG$1,Loans_Months,0)),0)</f>
        <v>#NAME?</v>
      </c>
      <c r="AH90" s="39" t="str">
        <f t="array" ref="AH90">_xludf.IFNA(INDEX(Loans_Forgivable_Loan_Forgivable_Income,MATCH(AH$1,Loans_Months,0)),0)</f>
        <v>#NAME?</v>
      </c>
      <c r="AI90" s="39" t="str">
        <f t="array" ref="AI90">_xludf.IFNA(INDEX(Loans_Forgivable_Loan_Forgivable_Income,MATCH(AI$1,Loans_Months,0)),0)</f>
        <v>#NAME?</v>
      </c>
      <c r="AJ90" s="39" t="str">
        <f t="array" ref="AJ90">_xludf.IFNA(INDEX(Loans_Forgivable_Loan_Forgivable_Income,MATCH(AJ$1,Loans_Months,0)),0)</f>
        <v>#NAME?</v>
      </c>
      <c r="AK90" s="39" t="str">
        <f t="array" ref="AK90">_xludf.IFNA(INDEX(Loans_Forgivable_Loan_Forgivable_Income,MATCH(AK$1,Loans_Months,0)),0)</f>
        <v>#NAME?</v>
      </c>
      <c r="AL90" s="39" t="str">
        <f t="array" ref="AL90">_xludf.IFNA(INDEX(Loans_Forgivable_Loan_Forgivable_Income,MATCH(AL$1,Loans_Months,0)),0)</f>
        <v>#NAME?</v>
      </c>
      <c r="AM90" s="39" t="str">
        <f t="array" ref="AM90">_xludf.IFNA(INDEX(Loans_Forgivable_Loan_Forgivable_Income,MATCH(AM$1,Loans_Months,0)),0)</f>
        <v>#NAME?</v>
      </c>
      <c r="AN90" s="39" t="str">
        <f t="array" ref="AN90">_xludf.IFNA(INDEX(Loans_Forgivable_Loan_Forgivable_Income,MATCH(AN$1,Loans_Months,0)),0)</f>
        <v>#NAME?</v>
      </c>
      <c r="AO90" s="39" t="str">
        <f t="array" ref="AO90">_xludf.IFNA(INDEX(Loans_Forgivable_Loan_Forgivable_Income,MATCH(AO$1,Loans_Months,0)),0)</f>
        <v>#NAME?</v>
      </c>
      <c r="AP90" s="39" t="str">
        <f t="array" ref="AP90">_xludf.IFNA(INDEX(Loans_Forgivable_Loan_Forgivable_Income,MATCH(AP$1,Loans_Months,0)),0)</f>
        <v>#NAME?</v>
      </c>
      <c r="AQ90" s="39" t="str">
        <f t="array" ref="AQ90">_xludf.IFNA(INDEX(Loans_Forgivable_Loan_Forgivable_Income,MATCH(AQ$1,Loans_Months,0)),0)</f>
        <v>#NAME?</v>
      </c>
      <c r="AR90" s="39" t="str">
        <f t="array" ref="AR90">_xludf.IFNA(INDEX(Loans_Forgivable_Loan_Forgivable_Income,MATCH(AR$1,Loans_Months,0)),0)</f>
        <v>#NAME?</v>
      </c>
      <c r="AS90" s="39" t="str">
        <f t="array" ref="AS90">_xludf.IFNA(INDEX(Loans_Forgivable_Loan_Forgivable_Income,MATCH(AS$1,Loans_Months,0)),0)</f>
        <v>#NAME?</v>
      </c>
      <c r="AT90" s="39" t="str">
        <f t="array" ref="AT90">_xludf.IFNA(INDEX(Loans_Forgivable_Loan_Forgivable_Income,MATCH(AT$1,Loans_Months,0)),0)</f>
        <v>#NAME?</v>
      </c>
      <c r="AU90" s="39" t="str">
        <f t="array" ref="AU90">_xludf.IFNA(INDEX(Loans_Forgivable_Loan_Forgivable_Income,MATCH(AU$1,Loans_Months,0)),0)</f>
        <v>#NAME?</v>
      </c>
      <c r="AV90" s="39" t="str">
        <f t="array" ref="AV90">_xludf.IFNA(INDEX(Loans_Forgivable_Loan_Forgivable_Income,MATCH(AV$1,Loans_Months,0)),0)</f>
        <v>#NAME?</v>
      </c>
      <c r="AW90" s="39" t="str">
        <f t="array" ref="AW90">_xludf.IFNA(INDEX(Loans_Forgivable_Loan_Forgivable_Income,MATCH(AW$1,Loans_Months,0)),0)</f>
        <v>#NAME?</v>
      </c>
      <c r="AX90" s="39" t="str">
        <f t="array" ref="AX90">_xludf.IFNA(INDEX(Loans_Forgivable_Loan_Forgivable_Income,MATCH(AX$1,Loans_Months,0)),0)</f>
        <v>#NAME?</v>
      </c>
      <c r="AY90" s="39" t="str">
        <f t="array" ref="AY90">_xludf.IFNA(INDEX(Loans_Forgivable_Loan_Forgivable_Income,MATCH(AY$1,Loans_Months,0)),0)</f>
        <v>#NAME?</v>
      </c>
      <c r="AZ90" s="39" t="str">
        <f t="array" ref="AZ90">_xludf.IFNA(INDEX(Loans_Forgivable_Loan_Forgivable_Income,MATCH(AZ$1,Loans_Months,0)),0)</f>
        <v>#NAME?</v>
      </c>
      <c r="BA90" s="39" t="str">
        <f t="array" ref="BA90">_xludf.IFNA(INDEX(Loans_Forgivable_Loan_Forgivable_Income,MATCH(BA$1,Loans_Months,0)),0)</f>
        <v>#NAME?</v>
      </c>
      <c r="BB90" s="39" t="str">
        <f t="array" ref="BB90">_xludf.IFNA(INDEX(Loans_Forgivable_Loan_Forgivable_Income,MATCH(BB$1,Loans_Months,0)),0)</f>
        <v>#NAME?</v>
      </c>
      <c r="BC90" s="39" t="str">
        <f t="array" ref="BC90">_xludf.IFNA(INDEX(Loans_Forgivable_Loan_Forgivable_Income,MATCH(BC$1,Loans_Months,0)),0)</f>
        <v>#NAME?</v>
      </c>
      <c r="BD90" s="39" t="str">
        <f t="array" ref="BD90">_xludf.IFNA(INDEX(Loans_Forgivable_Loan_Forgivable_Income,MATCH(BD$1,Loans_Months,0)),0)</f>
        <v>#NAME?</v>
      </c>
      <c r="BE90" s="39" t="str">
        <f t="array" ref="BE90">_xludf.IFNA(INDEX(Loans_Forgivable_Loan_Forgivable_Income,MATCH(BE$1,Loans_Months,0)),0)</f>
        <v>#NAME?</v>
      </c>
      <c r="BF90" s="39" t="str">
        <f t="array" ref="BF90">_xludf.IFNA(INDEX(Loans_Forgivable_Loan_Forgivable_Income,MATCH(BF$1,Loans_Months,0)),0)</f>
        <v>#NAME?</v>
      </c>
      <c r="BG90" s="39" t="str">
        <f t="array" ref="BG90">_xludf.IFNA(INDEX(Loans_Forgivable_Loan_Forgivable_Income,MATCH(BG$1,Loans_Months,0)),0)</f>
        <v>#NAME?</v>
      </c>
      <c r="BH90" s="39" t="str">
        <f t="array" ref="BH90">_xludf.IFNA(INDEX(Loans_Forgivable_Loan_Forgivable_Income,MATCH(BH$1,Loans_Months,0)),0)</f>
        <v>#NAME?</v>
      </c>
      <c r="BI90" s="39" t="str">
        <f t="array" ref="BI90">_xludf.IFNA(INDEX(Loans_Forgivable_Loan_Forgivable_Income,MATCH(BI$1,Loans_Months,0)),0)</f>
        <v>#NAME?</v>
      </c>
      <c r="BJ90" s="39" t="str">
        <f t="array" ref="BJ90">_xludf.IFNA(INDEX(Loans_Forgivable_Loan_Forgivable_Income,MATCH(BJ$1,Loans_Months,0)),0)</f>
        <v>#NAME?</v>
      </c>
      <c r="BK90" s="39" t="str">
        <f t="array" ref="BK90">_xludf.IFNA(INDEX(Loans_Forgivable_Loan_Forgivable_Income,MATCH(BK$1,Loans_Months,0)),0)</f>
        <v>#NAME?</v>
      </c>
      <c r="BL90" s="39" t="str">
        <f t="array" ref="BL90">_xludf.IFNA(INDEX(Loans_Forgivable_Loan_Forgivable_Income,MATCH(BL$1,Loans_Months,0)),0)</f>
        <v>#NAME?</v>
      </c>
      <c r="BM90" s="39" t="str">
        <f t="array" ref="BM90">_xludf.IFNA(INDEX(Loans_Forgivable_Loan_Forgivable_Income,MATCH(BM$1,Loans_Months,0)),0)</f>
        <v>#NAME?</v>
      </c>
      <c r="BN90" s="39" t="str">
        <f t="array" ref="BN90">_xludf.IFNA(INDEX(Loans_Forgivable_Loan_Forgivable_Income,MATCH(BN$1,Loans_Months,0)),0)</f>
        <v>#NAME?</v>
      </c>
      <c r="BO90" s="39" t="str">
        <f t="array" ref="BO90">_xludf.IFNA(INDEX(Loans_Forgivable_Loan_Forgivable_Income,MATCH(BO$1,Loans_Months,0)),0)</f>
        <v>#NAME?</v>
      </c>
      <c r="BP90" s="39" t="str">
        <f t="array" ref="BP90">_xludf.IFNA(INDEX(Loans_Forgivable_Loan_Forgivable_Income,MATCH(BP$1,Loans_Months,0)),0)</f>
        <v>#NAME?</v>
      </c>
      <c r="BQ90" s="39" t="str">
        <f t="array" ref="BQ90">_xludf.IFNA(INDEX(Loans_Forgivable_Loan_Forgivable_Income,MATCH(BQ$1,Loans_Months,0)),0)</f>
        <v>#NAME?</v>
      </c>
      <c r="BR90" s="39" t="str">
        <f t="array" ref="BR90">_xludf.IFNA(INDEX(Loans_Forgivable_Loan_Forgivable_Income,MATCH(BR$1,Loans_Months,0)),0)</f>
        <v>#NAME?</v>
      </c>
      <c r="BS90" s="39" t="str">
        <f t="array" ref="BS90">_xludf.IFNA(INDEX(Loans_Forgivable_Loan_Forgivable_Income,MATCH(BS$1,Loans_Months,0)),0)</f>
        <v>#NAME?</v>
      </c>
      <c r="BT90" s="39" t="str">
        <f t="array" ref="BT90">_xludf.IFNA(INDEX(Loans_Forgivable_Loan_Forgivable_Income,MATCH(BT$1,Loans_Months,0)),0)</f>
        <v>#NAME?</v>
      </c>
      <c r="BU90" s="39" t="str">
        <f t="array" ref="BU90">_xludf.IFNA(INDEX(Loans_Forgivable_Loan_Forgivable_Income,MATCH(BU$1,Loans_Months,0)),0)</f>
        <v>#NAME?</v>
      </c>
      <c r="BV90" s="39" t="str">
        <f t="array" ref="BV90">_xludf.IFNA(INDEX(Loans_Forgivable_Loan_Forgivable_Income,MATCH(BV$1,Loans_Months,0)),0)</f>
        <v>#NAME?</v>
      </c>
      <c r="BW90" s="39" t="str">
        <f t="array" ref="BW90">_xludf.IFNA(INDEX(Loans_Forgivable_Loan_Forgivable_Income,MATCH(BW$1,Loans_Months,0)),0)</f>
        <v>#NAME?</v>
      </c>
    </row>
    <row r="91" ht="15.75" hidden="1" customHeight="1">
      <c r="B91" s="159"/>
    </row>
    <row r="92" ht="15.75" customHeight="1">
      <c r="A92" s="21" t="s">
        <v>319</v>
      </c>
      <c r="B92" s="161"/>
      <c r="C92" s="157"/>
      <c r="D92" s="157">
        <f t="shared" ref="D92:BW92" si="46">SUM(D89:D91)</f>
        <v>0</v>
      </c>
      <c r="E92" s="157">
        <f t="shared" si="46"/>
        <v>0</v>
      </c>
      <c r="F92" s="157">
        <f t="shared" si="46"/>
        <v>0</v>
      </c>
      <c r="G92" s="157">
        <f t="shared" si="46"/>
        <v>0</v>
      </c>
      <c r="H92" s="157">
        <f t="shared" si="46"/>
        <v>0</v>
      </c>
      <c r="I92" s="157">
        <f t="shared" si="46"/>
        <v>0</v>
      </c>
      <c r="J92" s="157">
        <f t="shared" si="46"/>
        <v>0</v>
      </c>
      <c r="K92" s="157">
        <f t="shared" si="46"/>
        <v>0</v>
      </c>
      <c r="L92" s="157">
        <f t="shared" si="46"/>
        <v>0</v>
      </c>
      <c r="M92" s="157">
        <f t="shared" si="46"/>
        <v>0</v>
      </c>
      <c r="N92" s="157">
        <f t="shared" si="46"/>
        <v>0</v>
      </c>
      <c r="O92" s="157">
        <f t="shared" si="46"/>
        <v>0</v>
      </c>
      <c r="P92" s="157">
        <f t="shared" si="46"/>
        <v>0</v>
      </c>
      <c r="Q92" s="157">
        <f t="shared" si="46"/>
        <v>0</v>
      </c>
      <c r="R92" s="157">
        <f t="shared" si="46"/>
        <v>0</v>
      </c>
      <c r="S92" s="157">
        <f t="shared" si="46"/>
        <v>0</v>
      </c>
      <c r="T92" s="157">
        <f t="shared" si="46"/>
        <v>0</v>
      </c>
      <c r="U92" s="157">
        <f t="shared" si="46"/>
        <v>0</v>
      </c>
      <c r="V92" s="157">
        <f t="shared" si="46"/>
        <v>0</v>
      </c>
      <c r="W92" s="157">
        <f t="shared" si="46"/>
        <v>0</v>
      </c>
      <c r="X92" s="157">
        <f t="shared" si="46"/>
        <v>0</v>
      </c>
      <c r="Y92" s="157">
        <f t="shared" si="46"/>
        <v>0</v>
      </c>
      <c r="Z92" s="157">
        <f t="shared" si="46"/>
        <v>0</v>
      </c>
      <c r="AA92" s="157">
        <f t="shared" si="46"/>
        <v>0</v>
      </c>
      <c r="AB92" s="157">
        <f t="shared" si="46"/>
        <v>0</v>
      </c>
      <c r="AC92" s="157">
        <f t="shared" si="46"/>
        <v>0</v>
      </c>
      <c r="AD92" s="157">
        <f t="shared" si="46"/>
        <v>0</v>
      </c>
      <c r="AE92" s="157">
        <f t="shared" si="46"/>
        <v>0</v>
      </c>
      <c r="AF92" s="157" t="str">
        <f t="shared" si="46"/>
        <v>#NAME?</v>
      </c>
      <c r="AG92" s="157" t="str">
        <f t="shared" si="46"/>
        <v>#NAME?</v>
      </c>
      <c r="AH92" s="157" t="str">
        <f t="shared" si="46"/>
        <v>#NAME?</v>
      </c>
      <c r="AI92" s="157" t="str">
        <f t="shared" si="46"/>
        <v>#NAME?</v>
      </c>
      <c r="AJ92" s="157" t="str">
        <f t="shared" si="46"/>
        <v>#NAME?</v>
      </c>
      <c r="AK92" s="157" t="str">
        <f t="shared" si="46"/>
        <v>#NAME?</v>
      </c>
      <c r="AL92" s="157" t="str">
        <f t="shared" si="46"/>
        <v>#NAME?</v>
      </c>
      <c r="AM92" s="157" t="str">
        <f t="shared" si="46"/>
        <v>#NAME?</v>
      </c>
      <c r="AN92" s="157" t="str">
        <f t="shared" si="46"/>
        <v>#NAME?</v>
      </c>
      <c r="AO92" s="157" t="str">
        <f t="shared" si="46"/>
        <v>#NAME?</v>
      </c>
      <c r="AP92" s="157" t="str">
        <f t="shared" si="46"/>
        <v>#NAME?</v>
      </c>
      <c r="AQ92" s="157" t="str">
        <f t="shared" si="46"/>
        <v>#NAME?</v>
      </c>
      <c r="AR92" s="157" t="str">
        <f t="shared" si="46"/>
        <v>#NAME?</v>
      </c>
      <c r="AS92" s="157" t="str">
        <f t="shared" si="46"/>
        <v>#NAME?</v>
      </c>
      <c r="AT92" s="157" t="str">
        <f t="shared" si="46"/>
        <v>#NAME?</v>
      </c>
      <c r="AU92" s="157" t="str">
        <f t="shared" si="46"/>
        <v>#NAME?</v>
      </c>
      <c r="AV92" s="157" t="str">
        <f t="shared" si="46"/>
        <v>#NAME?</v>
      </c>
      <c r="AW92" s="157" t="str">
        <f t="shared" si="46"/>
        <v>#NAME?</v>
      </c>
      <c r="AX92" s="157" t="str">
        <f t="shared" si="46"/>
        <v>#NAME?</v>
      </c>
      <c r="AY92" s="157" t="str">
        <f t="shared" si="46"/>
        <v>#NAME?</v>
      </c>
      <c r="AZ92" s="157" t="str">
        <f t="shared" si="46"/>
        <v>#NAME?</v>
      </c>
      <c r="BA92" s="157" t="str">
        <f t="shared" si="46"/>
        <v>#NAME?</v>
      </c>
      <c r="BB92" s="157" t="str">
        <f t="shared" si="46"/>
        <v>#NAME?</v>
      </c>
      <c r="BC92" s="157" t="str">
        <f t="shared" si="46"/>
        <v>#NAME?</v>
      </c>
      <c r="BD92" s="157" t="str">
        <f t="shared" si="46"/>
        <v>#NAME?</v>
      </c>
      <c r="BE92" s="157" t="str">
        <f t="shared" si="46"/>
        <v>#NAME?</v>
      </c>
      <c r="BF92" s="157" t="str">
        <f t="shared" si="46"/>
        <v>#NAME?</v>
      </c>
      <c r="BG92" s="157" t="str">
        <f t="shared" si="46"/>
        <v>#NAME?</v>
      </c>
      <c r="BH92" s="157" t="str">
        <f t="shared" si="46"/>
        <v>#NAME?</v>
      </c>
      <c r="BI92" s="157" t="str">
        <f t="shared" si="46"/>
        <v>#NAME?</v>
      </c>
      <c r="BJ92" s="157" t="str">
        <f t="shared" si="46"/>
        <v>#NAME?</v>
      </c>
      <c r="BK92" s="157" t="str">
        <f t="shared" si="46"/>
        <v>#NAME?</v>
      </c>
      <c r="BL92" s="157" t="str">
        <f t="shared" si="46"/>
        <v>#NAME?</v>
      </c>
      <c r="BM92" s="157" t="str">
        <f t="shared" si="46"/>
        <v>#NAME?</v>
      </c>
      <c r="BN92" s="157" t="str">
        <f t="shared" si="46"/>
        <v>#NAME?</v>
      </c>
      <c r="BO92" s="157" t="str">
        <f t="shared" si="46"/>
        <v>#NAME?</v>
      </c>
      <c r="BP92" s="157" t="str">
        <f t="shared" si="46"/>
        <v>#NAME?</v>
      </c>
      <c r="BQ92" s="157" t="str">
        <f t="shared" si="46"/>
        <v>#NAME?</v>
      </c>
      <c r="BR92" s="157" t="str">
        <f t="shared" si="46"/>
        <v>#NAME?</v>
      </c>
      <c r="BS92" s="157" t="str">
        <f t="shared" si="46"/>
        <v>#NAME?</v>
      </c>
      <c r="BT92" s="157" t="str">
        <f t="shared" si="46"/>
        <v>#NAME?</v>
      </c>
      <c r="BU92" s="157" t="str">
        <f t="shared" si="46"/>
        <v>#NAME?</v>
      </c>
      <c r="BV92" s="157" t="str">
        <f t="shared" si="46"/>
        <v>#NAME?</v>
      </c>
      <c r="BW92" s="157" t="str">
        <f t="shared" si="46"/>
        <v>#NAME?</v>
      </c>
    </row>
    <row r="93" ht="15.75" customHeight="1">
      <c r="A93" s="31" t="s">
        <v>320</v>
      </c>
      <c r="B93" s="159"/>
    </row>
    <row r="94" ht="15.75" customHeight="1">
      <c r="A94" s="1" t="s">
        <v>321</v>
      </c>
      <c r="B94" s="159"/>
      <c r="AF94" s="39" t="str">
        <f t="array" ref="AF94">_xludf.IFNA(INDEX(Loans_Forgivable_Loan_Interest_Owed,MATCH(AF$1,Loans_Months,0)),0)</f>
        <v>#NAME?</v>
      </c>
      <c r="AG94" s="39" t="str">
        <f t="array" ref="AG94">_xludf.IFNA(INDEX(Loans_Forgivable_Loan_Interest_Owed,MATCH(AG$1,Loans_Months,0)),0)</f>
        <v>#NAME?</v>
      </c>
      <c r="AH94" s="39" t="str">
        <f t="array" ref="AH94">_xludf.IFNA(INDEX(Loans_Forgivable_Loan_Interest_Owed,MATCH(AH$1,Loans_Months,0)),0)</f>
        <v>#NAME?</v>
      </c>
      <c r="AI94" s="39" t="str">
        <f t="array" ref="AI94">_xludf.IFNA(INDEX(Loans_Forgivable_Loan_Interest_Owed,MATCH(AI$1,Loans_Months,0)),0)</f>
        <v>#NAME?</v>
      </c>
      <c r="AJ94" s="39" t="str">
        <f t="array" ref="AJ94">_xludf.IFNA(INDEX(Loans_Forgivable_Loan_Interest_Owed,MATCH(AJ$1,Loans_Months,0)),0)</f>
        <v>#NAME?</v>
      </c>
      <c r="AK94" s="39" t="str">
        <f t="array" ref="AK94">_xludf.IFNA(INDEX(Loans_Forgivable_Loan_Interest_Owed,MATCH(AK$1,Loans_Months,0)),0)</f>
        <v>#NAME?</v>
      </c>
      <c r="AL94" s="39" t="str">
        <f t="array" ref="AL94">_xludf.IFNA(INDEX(Loans_Forgivable_Loan_Interest_Owed,MATCH(AL$1,Loans_Months,0)),0)</f>
        <v>#NAME?</v>
      </c>
      <c r="AM94" s="39" t="str">
        <f t="array" ref="AM94">_xludf.IFNA(INDEX(Loans_Forgivable_Loan_Interest_Owed,MATCH(AM$1,Loans_Months,0)),0)</f>
        <v>#NAME?</v>
      </c>
      <c r="AN94" s="39" t="str">
        <f t="array" ref="AN94">_xludf.IFNA(INDEX(Loans_Forgivable_Loan_Interest_Owed,MATCH(AN$1,Loans_Months,0)),0)</f>
        <v>#NAME?</v>
      </c>
      <c r="AO94" s="39" t="str">
        <f t="array" ref="AO94">_xludf.IFNA(INDEX(Loans_Forgivable_Loan_Interest_Owed,MATCH(AO$1,Loans_Months,0)),0)</f>
        <v>#NAME?</v>
      </c>
      <c r="AP94" s="39" t="str">
        <f t="array" ref="AP94">_xludf.IFNA(INDEX(Loans_Forgivable_Loan_Interest_Owed,MATCH(AP$1,Loans_Months,0)),0)</f>
        <v>#NAME?</v>
      </c>
      <c r="AQ94" s="39" t="str">
        <f t="array" ref="AQ94">_xludf.IFNA(INDEX(Loans_Forgivable_Loan_Interest_Owed,MATCH(AQ$1,Loans_Months,0)),0)</f>
        <v>#NAME?</v>
      </c>
      <c r="AR94" s="39" t="str">
        <f t="array" ref="AR94">_xludf.IFNA(INDEX(Loans_Forgivable_Loan_Interest_Owed,MATCH(AR$1,Loans_Months,0)),0)</f>
        <v>#NAME?</v>
      </c>
      <c r="AS94" s="39" t="str">
        <f t="array" ref="AS94">_xludf.IFNA(INDEX(Loans_Forgivable_Loan_Interest_Owed,MATCH(AS$1,Loans_Months,0)),0)</f>
        <v>#NAME?</v>
      </c>
      <c r="AT94" s="39" t="str">
        <f t="array" ref="AT94">_xludf.IFNA(INDEX(Loans_Forgivable_Loan_Interest_Owed,MATCH(AT$1,Loans_Months,0)),0)</f>
        <v>#NAME?</v>
      </c>
      <c r="AU94" s="39" t="str">
        <f t="array" ref="AU94">_xludf.IFNA(INDEX(Loans_Forgivable_Loan_Interest_Owed,MATCH(AU$1,Loans_Months,0)),0)</f>
        <v>#NAME?</v>
      </c>
      <c r="AV94" s="39" t="str">
        <f t="array" ref="AV94">_xludf.IFNA(INDEX(Loans_Forgivable_Loan_Interest_Owed,MATCH(AV$1,Loans_Months,0)),0)</f>
        <v>#NAME?</v>
      </c>
      <c r="AW94" s="39" t="str">
        <f t="array" ref="AW94">_xludf.IFNA(INDEX(Loans_Forgivable_Loan_Interest_Owed,MATCH(AW$1,Loans_Months,0)),0)</f>
        <v>#NAME?</v>
      </c>
      <c r="AX94" s="39" t="str">
        <f t="array" ref="AX94">_xludf.IFNA(INDEX(Loans_Forgivable_Loan_Interest_Owed,MATCH(AX$1,Loans_Months,0)),0)</f>
        <v>#NAME?</v>
      </c>
      <c r="AY94" s="39" t="str">
        <f t="array" ref="AY94">_xludf.IFNA(INDEX(Loans_Forgivable_Loan_Interest_Owed,MATCH(AY$1,Loans_Months,0)),0)</f>
        <v>#NAME?</v>
      </c>
      <c r="AZ94" s="39" t="str">
        <f t="array" ref="AZ94">_xludf.IFNA(INDEX(Loans_Forgivable_Loan_Interest_Owed,MATCH(AZ$1,Loans_Months,0)),0)</f>
        <v>#NAME?</v>
      </c>
      <c r="BA94" s="39" t="str">
        <f t="array" ref="BA94">_xludf.IFNA(INDEX(Loans_Forgivable_Loan_Interest_Owed,MATCH(BA$1,Loans_Months,0)),0)</f>
        <v>#NAME?</v>
      </c>
      <c r="BB94" s="39" t="str">
        <f t="array" ref="BB94">_xludf.IFNA(INDEX(Loans_Forgivable_Loan_Interest_Owed,MATCH(BB$1,Loans_Months,0)),0)</f>
        <v>#NAME?</v>
      </c>
      <c r="BC94" s="39" t="str">
        <f t="array" ref="BC94">_xludf.IFNA(INDEX(Loans_Forgivable_Loan_Interest_Owed,MATCH(BC$1,Loans_Months,0)),0)</f>
        <v>#NAME?</v>
      </c>
      <c r="BD94" s="39" t="str">
        <f t="array" ref="BD94">_xludf.IFNA(INDEX(Loans_Forgivable_Loan_Interest_Owed,MATCH(BD$1,Loans_Months,0)),0)</f>
        <v>#NAME?</v>
      </c>
      <c r="BE94" s="39" t="str">
        <f t="array" ref="BE94">_xludf.IFNA(INDEX(Loans_Forgivable_Loan_Interest_Owed,MATCH(BE$1,Loans_Months,0)),0)</f>
        <v>#NAME?</v>
      </c>
      <c r="BF94" s="39" t="str">
        <f t="array" ref="BF94">_xludf.IFNA(INDEX(Loans_Forgivable_Loan_Interest_Owed,MATCH(BF$1,Loans_Months,0)),0)</f>
        <v>#NAME?</v>
      </c>
      <c r="BG94" s="39" t="str">
        <f t="array" ref="BG94">_xludf.IFNA(INDEX(Loans_Forgivable_Loan_Interest_Owed,MATCH(BG$1,Loans_Months,0)),0)</f>
        <v>#NAME?</v>
      </c>
      <c r="BH94" s="39" t="str">
        <f t="array" ref="BH94">_xludf.IFNA(INDEX(Loans_Forgivable_Loan_Interest_Owed,MATCH(BH$1,Loans_Months,0)),0)</f>
        <v>#NAME?</v>
      </c>
      <c r="BI94" s="39" t="str">
        <f t="array" ref="BI94">_xludf.IFNA(INDEX(Loans_Forgivable_Loan_Interest_Owed,MATCH(BI$1,Loans_Months,0)),0)</f>
        <v>#NAME?</v>
      </c>
      <c r="BJ94" s="39" t="str">
        <f t="array" ref="BJ94">_xludf.IFNA(INDEX(Loans_Forgivable_Loan_Interest_Owed,MATCH(BJ$1,Loans_Months,0)),0)</f>
        <v>#NAME?</v>
      </c>
      <c r="BK94" s="39" t="str">
        <f t="array" ref="BK94">_xludf.IFNA(INDEX(Loans_Forgivable_Loan_Interest_Owed,MATCH(BK$1,Loans_Months,0)),0)</f>
        <v>#NAME?</v>
      </c>
      <c r="BL94" s="39" t="str">
        <f t="array" ref="BL94">_xludf.IFNA(INDEX(Loans_Forgivable_Loan_Interest_Owed,MATCH(BL$1,Loans_Months,0)),0)</f>
        <v>#NAME?</v>
      </c>
      <c r="BM94" s="39" t="str">
        <f t="array" ref="BM94">_xludf.IFNA(INDEX(Loans_Forgivable_Loan_Interest_Owed,MATCH(BM$1,Loans_Months,0)),0)</f>
        <v>#NAME?</v>
      </c>
      <c r="BN94" s="39" t="str">
        <f t="array" ref="BN94">_xludf.IFNA(INDEX(Loans_Forgivable_Loan_Interest_Owed,MATCH(BN$1,Loans_Months,0)),0)</f>
        <v>#NAME?</v>
      </c>
      <c r="BO94" s="39" t="str">
        <f t="array" ref="BO94">_xludf.IFNA(INDEX(Loans_Forgivable_Loan_Interest_Owed,MATCH(BO$1,Loans_Months,0)),0)</f>
        <v>#NAME?</v>
      </c>
      <c r="BP94" s="39" t="str">
        <f t="array" ref="BP94">_xludf.IFNA(INDEX(Loans_Forgivable_Loan_Interest_Owed,MATCH(BP$1,Loans_Months,0)),0)</f>
        <v>#NAME?</v>
      </c>
      <c r="BQ94" s="39" t="str">
        <f t="array" ref="BQ94">_xludf.IFNA(INDEX(Loans_Forgivable_Loan_Interest_Owed,MATCH(BQ$1,Loans_Months,0)),0)</f>
        <v>#NAME?</v>
      </c>
      <c r="BR94" s="39" t="str">
        <f t="array" ref="BR94">_xludf.IFNA(INDEX(Loans_Forgivable_Loan_Interest_Owed,MATCH(BR$1,Loans_Months,0)),0)</f>
        <v>#NAME?</v>
      </c>
      <c r="BS94" s="39" t="str">
        <f t="array" ref="BS94">_xludf.IFNA(INDEX(Loans_Forgivable_Loan_Interest_Owed,MATCH(BS$1,Loans_Months,0)),0)</f>
        <v>#NAME?</v>
      </c>
      <c r="BT94" s="39" t="str">
        <f t="array" ref="BT94">_xludf.IFNA(INDEX(Loans_Forgivable_Loan_Interest_Owed,MATCH(BT$1,Loans_Months,0)),0)</f>
        <v>#NAME?</v>
      </c>
      <c r="BU94" s="39" t="str">
        <f t="array" ref="BU94">_xludf.IFNA(INDEX(Loans_Forgivable_Loan_Interest_Owed,MATCH(BU$1,Loans_Months,0)),0)</f>
        <v>#NAME?</v>
      </c>
      <c r="BV94" s="39" t="str">
        <f t="array" ref="BV94">_xludf.IFNA(INDEX(Loans_Forgivable_Loan_Interest_Owed,MATCH(BV$1,Loans_Months,0)),0)</f>
        <v>#NAME?</v>
      </c>
      <c r="BW94" s="39" t="str">
        <f t="array" ref="BW94">_xludf.IFNA(INDEX(Loans_Forgivable_Loan_Interest_Owed,MATCH(BW$1,Loans_Months,0)),0)</f>
        <v>#NAME?</v>
      </c>
    </row>
    <row r="95" ht="15.75" customHeight="1">
      <c r="A95" s="1" t="s">
        <v>322</v>
      </c>
      <c r="B95" s="159"/>
      <c r="AF95" s="39" t="str">
        <f t="array" ref="AF95">_xludf.IFNA(INDEX(Loans_Standard_Loan_Interest_Owed,MATCH(AF$1,Loans_Months,0)),0)</f>
        <v>#NAME?</v>
      </c>
      <c r="AG95" s="39" t="str">
        <f t="array" ref="AG95">_xludf.IFNA(INDEX(Loans_Standard_Loan_Interest_Owed,MATCH(AG$1,Loans_Months,0)),0)</f>
        <v>#NAME?</v>
      </c>
      <c r="AH95" s="39" t="str">
        <f t="array" ref="AH95">_xludf.IFNA(INDEX(Loans_Standard_Loan_Interest_Owed,MATCH(AH$1,Loans_Months,0)),0)</f>
        <v>#NAME?</v>
      </c>
      <c r="AI95" s="39" t="str">
        <f t="array" ref="AI95">_xludf.IFNA(INDEX(Loans_Standard_Loan_Interest_Owed,MATCH(AI$1,Loans_Months,0)),0)</f>
        <v>#NAME?</v>
      </c>
      <c r="AJ95" s="39" t="str">
        <f t="array" ref="AJ95">_xludf.IFNA(INDEX(Loans_Standard_Loan_Interest_Owed,MATCH(AJ$1,Loans_Months,0)),0)</f>
        <v>#NAME?</v>
      </c>
      <c r="AK95" s="39" t="str">
        <f t="array" ref="AK95">_xludf.IFNA(INDEX(Loans_Standard_Loan_Interest_Owed,MATCH(AK$1,Loans_Months,0)),0)</f>
        <v>#NAME?</v>
      </c>
      <c r="AL95" s="39" t="str">
        <f t="array" ref="AL95">_xludf.IFNA(INDEX(Loans_Standard_Loan_Interest_Owed,MATCH(AL$1,Loans_Months,0)),0)</f>
        <v>#NAME?</v>
      </c>
      <c r="AM95" s="39" t="str">
        <f t="array" ref="AM95">_xludf.IFNA(INDEX(Loans_Standard_Loan_Interest_Owed,MATCH(AM$1,Loans_Months,0)),0)</f>
        <v>#NAME?</v>
      </c>
      <c r="AN95" s="39" t="str">
        <f t="array" ref="AN95">_xludf.IFNA(INDEX(Loans_Standard_Loan_Interest_Owed,MATCH(AN$1,Loans_Months,0)),0)</f>
        <v>#NAME?</v>
      </c>
      <c r="AO95" s="39" t="str">
        <f t="array" ref="AO95">_xludf.IFNA(INDEX(Loans_Standard_Loan_Interest_Owed,MATCH(AO$1,Loans_Months,0)),0)</f>
        <v>#NAME?</v>
      </c>
      <c r="AP95" s="39" t="str">
        <f t="array" ref="AP95">_xludf.IFNA(INDEX(Loans_Standard_Loan_Interest_Owed,MATCH(AP$1,Loans_Months,0)),0)</f>
        <v>#NAME?</v>
      </c>
      <c r="AQ95" s="39" t="str">
        <f t="array" ref="AQ95">_xludf.IFNA(INDEX(Loans_Standard_Loan_Interest_Owed,MATCH(AQ$1,Loans_Months,0)),0)</f>
        <v>#NAME?</v>
      </c>
      <c r="AR95" s="39" t="str">
        <f t="array" ref="AR95">_xludf.IFNA(INDEX(Loans_Standard_Loan_Interest_Owed,MATCH(AR$1,Loans_Months,0)),0)</f>
        <v>#NAME?</v>
      </c>
      <c r="AS95" s="39" t="str">
        <f t="array" ref="AS95">_xludf.IFNA(INDEX(Loans_Standard_Loan_Interest_Owed,MATCH(AS$1,Loans_Months,0)),0)</f>
        <v>#NAME?</v>
      </c>
      <c r="AT95" s="39" t="str">
        <f t="array" ref="AT95">_xludf.IFNA(INDEX(Loans_Standard_Loan_Interest_Owed,MATCH(AT$1,Loans_Months,0)),0)</f>
        <v>#NAME?</v>
      </c>
      <c r="AU95" s="39" t="str">
        <f t="array" ref="AU95">_xludf.IFNA(INDEX(Loans_Standard_Loan_Interest_Owed,MATCH(AU$1,Loans_Months,0)),0)</f>
        <v>#NAME?</v>
      </c>
      <c r="AV95" s="39" t="str">
        <f t="array" ref="AV95">_xludf.IFNA(INDEX(Loans_Standard_Loan_Interest_Owed,MATCH(AV$1,Loans_Months,0)),0)</f>
        <v>#NAME?</v>
      </c>
      <c r="AW95" s="39" t="str">
        <f t="array" ref="AW95">_xludf.IFNA(INDEX(Loans_Standard_Loan_Interest_Owed,MATCH(AW$1,Loans_Months,0)),0)</f>
        <v>#NAME?</v>
      </c>
      <c r="AX95" s="39" t="str">
        <f t="array" ref="AX95">_xludf.IFNA(INDEX(Loans_Standard_Loan_Interest_Owed,MATCH(AX$1,Loans_Months,0)),0)</f>
        <v>#NAME?</v>
      </c>
      <c r="AY95" s="39" t="str">
        <f t="array" ref="AY95">_xludf.IFNA(INDEX(Loans_Standard_Loan_Interest_Owed,MATCH(AY$1,Loans_Months,0)),0)</f>
        <v>#NAME?</v>
      </c>
      <c r="AZ95" s="39" t="str">
        <f t="array" ref="AZ95">_xludf.IFNA(INDEX(Loans_Standard_Loan_Interest_Owed,MATCH(AZ$1,Loans_Months,0)),0)</f>
        <v>#NAME?</v>
      </c>
      <c r="BA95" s="39" t="str">
        <f t="array" ref="BA95">_xludf.IFNA(INDEX(Loans_Standard_Loan_Interest_Owed,MATCH(BA$1,Loans_Months,0)),0)</f>
        <v>#NAME?</v>
      </c>
      <c r="BB95" s="39" t="str">
        <f t="array" ref="BB95">_xludf.IFNA(INDEX(Loans_Standard_Loan_Interest_Owed,MATCH(BB$1,Loans_Months,0)),0)</f>
        <v>#NAME?</v>
      </c>
      <c r="BC95" s="39" t="str">
        <f t="array" ref="BC95">_xludf.IFNA(INDEX(Loans_Standard_Loan_Interest_Owed,MATCH(BC$1,Loans_Months,0)),0)</f>
        <v>#NAME?</v>
      </c>
      <c r="BD95" s="39" t="str">
        <f t="array" ref="BD95">_xludf.IFNA(INDEX(Loans_Standard_Loan_Interest_Owed,MATCH(BD$1,Loans_Months,0)),0)</f>
        <v>#NAME?</v>
      </c>
      <c r="BE95" s="39" t="str">
        <f t="array" ref="BE95">_xludf.IFNA(INDEX(Loans_Standard_Loan_Interest_Owed,MATCH(BE$1,Loans_Months,0)),0)</f>
        <v>#NAME?</v>
      </c>
      <c r="BF95" s="39" t="str">
        <f t="array" ref="BF95">_xludf.IFNA(INDEX(Loans_Standard_Loan_Interest_Owed,MATCH(BF$1,Loans_Months,0)),0)</f>
        <v>#NAME?</v>
      </c>
      <c r="BG95" s="39" t="str">
        <f t="array" ref="BG95">_xludf.IFNA(INDEX(Loans_Standard_Loan_Interest_Owed,MATCH(BG$1,Loans_Months,0)),0)</f>
        <v>#NAME?</v>
      </c>
      <c r="BH95" s="39" t="str">
        <f t="array" ref="BH95">_xludf.IFNA(INDEX(Loans_Standard_Loan_Interest_Owed,MATCH(BH$1,Loans_Months,0)),0)</f>
        <v>#NAME?</v>
      </c>
      <c r="BI95" s="39" t="str">
        <f t="array" ref="BI95">_xludf.IFNA(INDEX(Loans_Standard_Loan_Interest_Owed,MATCH(BI$1,Loans_Months,0)),0)</f>
        <v>#NAME?</v>
      </c>
      <c r="BJ95" s="39" t="str">
        <f t="array" ref="BJ95">_xludf.IFNA(INDEX(Loans_Standard_Loan_Interest_Owed,MATCH(BJ$1,Loans_Months,0)),0)</f>
        <v>#NAME?</v>
      </c>
      <c r="BK95" s="39" t="str">
        <f t="array" ref="BK95">_xludf.IFNA(INDEX(Loans_Standard_Loan_Interest_Owed,MATCH(BK$1,Loans_Months,0)),0)</f>
        <v>#NAME?</v>
      </c>
      <c r="BL95" s="39" t="str">
        <f t="array" ref="BL95">_xludf.IFNA(INDEX(Loans_Standard_Loan_Interest_Owed,MATCH(BL$1,Loans_Months,0)),0)</f>
        <v>#NAME?</v>
      </c>
      <c r="BM95" s="39" t="str">
        <f t="array" ref="BM95">_xludf.IFNA(INDEX(Loans_Standard_Loan_Interest_Owed,MATCH(BM$1,Loans_Months,0)),0)</f>
        <v>#NAME?</v>
      </c>
      <c r="BN95" s="39" t="str">
        <f t="array" ref="BN95">_xludf.IFNA(INDEX(Loans_Standard_Loan_Interest_Owed,MATCH(BN$1,Loans_Months,0)),0)</f>
        <v>#NAME?</v>
      </c>
      <c r="BO95" s="39" t="str">
        <f t="array" ref="BO95">_xludf.IFNA(INDEX(Loans_Standard_Loan_Interest_Owed,MATCH(BO$1,Loans_Months,0)),0)</f>
        <v>#NAME?</v>
      </c>
      <c r="BP95" s="39" t="str">
        <f t="array" ref="BP95">_xludf.IFNA(INDEX(Loans_Standard_Loan_Interest_Owed,MATCH(BP$1,Loans_Months,0)),0)</f>
        <v>#NAME?</v>
      </c>
      <c r="BQ95" s="39" t="str">
        <f t="array" ref="BQ95">_xludf.IFNA(INDEX(Loans_Standard_Loan_Interest_Owed,MATCH(BQ$1,Loans_Months,0)),0)</f>
        <v>#NAME?</v>
      </c>
      <c r="BR95" s="39" t="str">
        <f t="array" ref="BR95">_xludf.IFNA(INDEX(Loans_Standard_Loan_Interest_Owed,MATCH(BR$1,Loans_Months,0)),0)</f>
        <v>#NAME?</v>
      </c>
      <c r="BS95" s="39" t="str">
        <f t="array" ref="BS95">_xludf.IFNA(INDEX(Loans_Standard_Loan_Interest_Owed,MATCH(BS$1,Loans_Months,0)),0)</f>
        <v>#NAME?</v>
      </c>
      <c r="BT95" s="39" t="str">
        <f t="array" ref="BT95">_xludf.IFNA(INDEX(Loans_Standard_Loan_Interest_Owed,MATCH(BT$1,Loans_Months,0)),0)</f>
        <v>#NAME?</v>
      </c>
      <c r="BU95" s="39" t="str">
        <f t="array" ref="BU95">_xludf.IFNA(INDEX(Loans_Standard_Loan_Interest_Owed,MATCH(BU$1,Loans_Months,0)),0)</f>
        <v>#NAME?</v>
      </c>
      <c r="BV95" s="39" t="str">
        <f t="array" ref="BV95">_xludf.IFNA(INDEX(Loans_Standard_Loan_Interest_Owed,MATCH(BV$1,Loans_Months,0)),0)</f>
        <v>#NAME?</v>
      </c>
      <c r="BW95" s="39" t="str">
        <f t="array" ref="BW95">_xludf.IFNA(INDEX(Loans_Standard_Loan_Interest_Owed,MATCH(BW$1,Loans_Months,0)),0)</f>
        <v>#NAME?</v>
      </c>
    </row>
    <row r="96" ht="15.75" customHeight="1">
      <c r="A96" s="21" t="s">
        <v>323</v>
      </c>
      <c r="B96" s="161"/>
      <c r="C96" s="157"/>
      <c r="D96" s="157">
        <f t="shared" ref="D96:BW96" si="47">SUM(D93:D95)</f>
        <v>0</v>
      </c>
      <c r="E96" s="157">
        <f t="shared" si="47"/>
        <v>0</v>
      </c>
      <c r="F96" s="157">
        <f t="shared" si="47"/>
        <v>0</v>
      </c>
      <c r="G96" s="157">
        <f t="shared" si="47"/>
        <v>0</v>
      </c>
      <c r="H96" s="157">
        <f t="shared" si="47"/>
        <v>0</v>
      </c>
      <c r="I96" s="157">
        <f t="shared" si="47"/>
        <v>0</v>
      </c>
      <c r="J96" s="157">
        <f t="shared" si="47"/>
        <v>0</v>
      </c>
      <c r="K96" s="157">
        <f t="shared" si="47"/>
        <v>0</v>
      </c>
      <c r="L96" s="157">
        <f t="shared" si="47"/>
        <v>0</v>
      </c>
      <c r="M96" s="157">
        <f t="shared" si="47"/>
        <v>0</v>
      </c>
      <c r="N96" s="157">
        <f t="shared" si="47"/>
        <v>0</v>
      </c>
      <c r="O96" s="157">
        <f t="shared" si="47"/>
        <v>0</v>
      </c>
      <c r="P96" s="157">
        <f t="shared" si="47"/>
        <v>0</v>
      </c>
      <c r="Q96" s="157">
        <f t="shared" si="47"/>
        <v>0</v>
      </c>
      <c r="R96" s="157">
        <f t="shared" si="47"/>
        <v>0</v>
      </c>
      <c r="S96" s="157">
        <f t="shared" si="47"/>
        <v>0</v>
      </c>
      <c r="T96" s="157">
        <f t="shared" si="47"/>
        <v>0</v>
      </c>
      <c r="U96" s="157">
        <f t="shared" si="47"/>
        <v>0</v>
      </c>
      <c r="V96" s="157">
        <f t="shared" si="47"/>
        <v>0</v>
      </c>
      <c r="W96" s="157">
        <f t="shared" si="47"/>
        <v>0</v>
      </c>
      <c r="X96" s="157">
        <f t="shared" si="47"/>
        <v>0</v>
      </c>
      <c r="Y96" s="157">
        <f t="shared" si="47"/>
        <v>0</v>
      </c>
      <c r="Z96" s="157">
        <f t="shared" si="47"/>
        <v>0</v>
      </c>
      <c r="AA96" s="157">
        <f t="shared" si="47"/>
        <v>0</v>
      </c>
      <c r="AB96" s="157">
        <f t="shared" si="47"/>
        <v>0</v>
      </c>
      <c r="AC96" s="157">
        <f t="shared" si="47"/>
        <v>0</v>
      </c>
      <c r="AD96" s="157">
        <f t="shared" si="47"/>
        <v>0</v>
      </c>
      <c r="AE96" s="157">
        <f t="shared" si="47"/>
        <v>0</v>
      </c>
      <c r="AF96" s="157" t="str">
        <f t="shared" si="47"/>
        <v>#NAME?</v>
      </c>
      <c r="AG96" s="157" t="str">
        <f t="shared" si="47"/>
        <v>#NAME?</v>
      </c>
      <c r="AH96" s="157" t="str">
        <f t="shared" si="47"/>
        <v>#NAME?</v>
      </c>
      <c r="AI96" s="157" t="str">
        <f t="shared" si="47"/>
        <v>#NAME?</v>
      </c>
      <c r="AJ96" s="157" t="str">
        <f t="shared" si="47"/>
        <v>#NAME?</v>
      </c>
      <c r="AK96" s="157" t="str">
        <f t="shared" si="47"/>
        <v>#NAME?</v>
      </c>
      <c r="AL96" s="157" t="str">
        <f t="shared" si="47"/>
        <v>#NAME?</v>
      </c>
      <c r="AM96" s="157" t="str">
        <f t="shared" si="47"/>
        <v>#NAME?</v>
      </c>
      <c r="AN96" s="157" t="str">
        <f t="shared" si="47"/>
        <v>#NAME?</v>
      </c>
      <c r="AO96" s="157" t="str">
        <f t="shared" si="47"/>
        <v>#NAME?</v>
      </c>
      <c r="AP96" s="157" t="str">
        <f t="shared" si="47"/>
        <v>#NAME?</v>
      </c>
      <c r="AQ96" s="157" t="str">
        <f t="shared" si="47"/>
        <v>#NAME?</v>
      </c>
      <c r="AR96" s="157" t="str">
        <f t="shared" si="47"/>
        <v>#NAME?</v>
      </c>
      <c r="AS96" s="157" t="str">
        <f t="shared" si="47"/>
        <v>#NAME?</v>
      </c>
      <c r="AT96" s="157" t="str">
        <f t="shared" si="47"/>
        <v>#NAME?</v>
      </c>
      <c r="AU96" s="157" t="str">
        <f t="shared" si="47"/>
        <v>#NAME?</v>
      </c>
      <c r="AV96" s="157" t="str">
        <f t="shared" si="47"/>
        <v>#NAME?</v>
      </c>
      <c r="AW96" s="157" t="str">
        <f t="shared" si="47"/>
        <v>#NAME?</v>
      </c>
      <c r="AX96" s="157" t="str">
        <f t="shared" si="47"/>
        <v>#NAME?</v>
      </c>
      <c r="AY96" s="157" t="str">
        <f t="shared" si="47"/>
        <v>#NAME?</v>
      </c>
      <c r="AZ96" s="157" t="str">
        <f t="shared" si="47"/>
        <v>#NAME?</v>
      </c>
      <c r="BA96" s="157" t="str">
        <f t="shared" si="47"/>
        <v>#NAME?</v>
      </c>
      <c r="BB96" s="157" t="str">
        <f t="shared" si="47"/>
        <v>#NAME?</v>
      </c>
      <c r="BC96" s="157" t="str">
        <f t="shared" si="47"/>
        <v>#NAME?</v>
      </c>
      <c r="BD96" s="157" t="str">
        <f t="shared" si="47"/>
        <v>#NAME?</v>
      </c>
      <c r="BE96" s="157" t="str">
        <f t="shared" si="47"/>
        <v>#NAME?</v>
      </c>
      <c r="BF96" s="157" t="str">
        <f t="shared" si="47"/>
        <v>#NAME?</v>
      </c>
      <c r="BG96" s="157" t="str">
        <f t="shared" si="47"/>
        <v>#NAME?</v>
      </c>
      <c r="BH96" s="157" t="str">
        <f t="shared" si="47"/>
        <v>#NAME?</v>
      </c>
      <c r="BI96" s="157" t="str">
        <f t="shared" si="47"/>
        <v>#NAME?</v>
      </c>
      <c r="BJ96" s="157" t="str">
        <f t="shared" si="47"/>
        <v>#NAME?</v>
      </c>
      <c r="BK96" s="157" t="str">
        <f t="shared" si="47"/>
        <v>#NAME?</v>
      </c>
      <c r="BL96" s="157" t="str">
        <f t="shared" si="47"/>
        <v>#NAME?</v>
      </c>
      <c r="BM96" s="157" t="str">
        <f t="shared" si="47"/>
        <v>#NAME?</v>
      </c>
      <c r="BN96" s="157" t="str">
        <f t="shared" si="47"/>
        <v>#NAME?</v>
      </c>
      <c r="BO96" s="157" t="str">
        <f t="shared" si="47"/>
        <v>#NAME?</v>
      </c>
      <c r="BP96" s="157" t="str">
        <f t="shared" si="47"/>
        <v>#NAME?</v>
      </c>
      <c r="BQ96" s="157" t="str">
        <f t="shared" si="47"/>
        <v>#NAME?</v>
      </c>
      <c r="BR96" s="157" t="str">
        <f t="shared" si="47"/>
        <v>#NAME?</v>
      </c>
      <c r="BS96" s="157" t="str">
        <f t="shared" si="47"/>
        <v>#NAME?</v>
      </c>
      <c r="BT96" s="157" t="str">
        <f t="shared" si="47"/>
        <v>#NAME?</v>
      </c>
      <c r="BU96" s="157" t="str">
        <f t="shared" si="47"/>
        <v>#NAME?</v>
      </c>
      <c r="BV96" s="157" t="str">
        <f t="shared" si="47"/>
        <v>#NAME?</v>
      </c>
      <c r="BW96" s="157" t="str">
        <f t="shared" si="47"/>
        <v>#NAME?</v>
      </c>
    </row>
    <row r="97" ht="15.75" customHeight="1">
      <c r="A97" s="21" t="s">
        <v>19</v>
      </c>
      <c r="B97" s="163"/>
      <c r="C97" s="21"/>
      <c r="D97" s="147">
        <f t="shared" ref="D97:BW97" si="48">D87+D92-D96</f>
        <v>-89438</v>
      </c>
      <c r="E97" s="147">
        <f t="shared" si="48"/>
        <v>-88124</v>
      </c>
      <c r="F97" s="147">
        <f t="shared" si="48"/>
        <v>-102956</v>
      </c>
      <c r="G97" s="147">
        <f t="shared" si="48"/>
        <v>-94595</v>
      </c>
      <c r="H97" s="147">
        <f t="shared" si="48"/>
        <v>-82065</v>
      </c>
      <c r="I97" s="147">
        <f t="shared" si="48"/>
        <v>-78132</v>
      </c>
      <c r="J97" s="147">
        <f t="shared" si="48"/>
        <v>-94045</v>
      </c>
      <c r="K97" s="147">
        <f t="shared" si="48"/>
        <v>-89766</v>
      </c>
      <c r="L97" s="147">
        <f t="shared" si="48"/>
        <v>-114445</v>
      </c>
      <c r="M97" s="147">
        <f t="shared" si="48"/>
        <v>-131881</v>
      </c>
      <c r="N97" s="147">
        <f t="shared" si="48"/>
        <v>-140597</v>
      </c>
      <c r="O97" s="147">
        <f t="shared" si="48"/>
        <v>-177194</v>
      </c>
      <c r="P97" s="147">
        <f t="shared" si="48"/>
        <v>-177124</v>
      </c>
      <c r="Q97" s="147">
        <f t="shared" si="48"/>
        <v>-189575</v>
      </c>
      <c r="R97" s="147">
        <f t="shared" si="48"/>
        <v>-184131</v>
      </c>
      <c r="S97" s="147">
        <f t="shared" si="48"/>
        <v>-128941</v>
      </c>
      <c r="T97" s="147">
        <f t="shared" si="48"/>
        <v>-151754</v>
      </c>
      <c r="U97" s="147">
        <f t="shared" si="48"/>
        <v>-122283</v>
      </c>
      <c r="V97" s="147">
        <f t="shared" si="48"/>
        <v>-102474</v>
      </c>
      <c r="W97" s="147">
        <f t="shared" si="48"/>
        <v>-82495</v>
      </c>
      <c r="X97" s="147">
        <f t="shared" si="48"/>
        <v>-60038</v>
      </c>
      <c r="Y97" s="147">
        <f t="shared" si="48"/>
        <v>-27320</v>
      </c>
      <c r="Z97" s="147">
        <f t="shared" si="48"/>
        <v>-18905</v>
      </c>
      <c r="AA97" s="147">
        <f t="shared" si="48"/>
        <v>-24211</v>
      </c>
      <c r="AB97" s="147">
        <f t="shared" si="48"/>
        <v>-13824</v>
      </c>
      <c r="AC97" s="147">
        <f t="shared" si="48"/>
        <v>-26169</v>
      </c>
      <c r="AD97" s="147">
        <f t="shared" si="48"/>
        <v>8407.19</v>
      </c>
      <c r="AE97" s="147">
        <f t="shared" si="48"/>
        <v>-117</v>
      </c>
      <c r="AF97" s="147" t="str">
        <f t="shared" si="48"/>
        <v>#NAME?</v>
      </c>
      <c r="AG97" s="147" t="str">
        <f t="shared" si="48"/>
        <v>#NAME?</v>
      </c>
      <c r="AH97" s="147" t="str">
        <f t="shared" si="48"/>
        <v>#NAME?</v>
      </c>
      <c r="AI97" s="147" t="str">
        <f t="shared" si="48"/>
        <v>#NAME?</v>
      </c>
      <c r="AJ97" s="147" t="str">
        <f t="shared" si="48"/>
        <v>#NAME?</v>
      </c>
      <c r="AK97" s="147" t="str">
        <f t="shared" si="48"/>
        <v>#NAME?</v>
      </c>
      <c r="AL97" s="147" t="str">
        <f t="shared" si="48"/>
        <v>#NAME?</v>
      </c>
      <c r="AM97" s="147" t="str">
        <f t="shared" si="48"/>
        <v>#NAME?</v>
      </c>
      <c r="AN97" s="147" t="str">
        <f t="shared" si="48"/>
        <v>#NAME?</v>
      </c>
      <c r="AO97" s="147" t="str">
        <f t="shared" si="48"/>
        <v>#NAME?</v>
      </c>
      <c r="AP97" s="147" t="str">
        <f t="shared" si="48"/>
        <v>#NAME?</v>
      </c>
      <c r="AQ97" s="147" t="str">
        <f t="shared" si="48"/>
        <v>#NAME?</v>
      </c>
      <c r="AR97" s="147" t="str">
        <f t="shared" si="48"/>
        <v>#NAME?</v>
      </c>
      <c r="AS97" s="147" t="str">
        <f t="shared" si="48"/>
        <v>#NAME?</v>
      </c>
      <c r="AT97" s="147" t="str">
        <f t="shared" si="48"/>
        <v>#NAME?</v>
      </c>
      <c r="AU97" s="147" t="str">
        <f t="shared" si="48"/>
        <v>#NAME?</v>
      </c>
      <c r="AV97" s="147" t="str">
        <f t="shared" si="48"/>
        <v>#NAME?</v>
      </c>
      <c r="AW97" s="147" t="str">
        <f t="shared" si="48"/>
        <v>#NAME?</v>
      </c>
      <c r="AX97" s="147" t="str">
        <f t="shared" si="48"/>
        <v>#NAME?</v>
      </c>
      <c r="AY97" s="147" t="str">
        <f t="shared" si="48"/>
        <v>#NAME?</v>
      </c>
      <c r="AZ97" s="147" t="str">
        <f t="shared" si="48"/>
        <v>#NAME?</v>
      </c>
      <c r="BA97" s="147" t="str">
        <f t="shared" si="48"/>
        <v>#NAME?</v>
      </c>
      <c r="BB97" s="147" t="str">
        <f t="shared" si="48"/>
        <v>#NAME?</v>
      </c>
      <c r="BC97" s="147" t="str">
        <f t="shared" si="48"/>
        <v>#NAME?</v>
      </c>
      <c r="BD97" s="147" t="str">
        <f t="shared" si="48"/>
        <v>#NAME?</v>
      </c>
      <c r="BE97" s="147" t="str">
        <f t="shared" si="48"/>
        <v>#NAME?</v>
      </c>
      <c r="BF97" s="147" t="str">
        <f t="shared" si="48"/>
        <v>#NAME?</v>
      </c>
      <c r="BG97" s="147" t="str">
        <f t="shared" si="48"/>
        <v>#NAME?</v>
      </c>
      <c r="BH97" s="147" t="str">
        <f t="shared" si="48"/>
        <v>#NAME?</v>
      </c>
      <c r="BI97" s="147" t="str">
        <f t="shared" si="48"/>
        <v>#NAME?</v>
      </c>
      <c r="BJ97" s="147" t="str">
        <f t="shared" si="48"/>
        <v>#NAME?</v>
      </c>
      <c r="BK97" s="147" t="str">
        <f t="shared" si="48"/>
        <v>#NAME?</v>
      </c>
      <c r="BL97" s="147" t="str">
        <f t="shared" si="48"/>
        <v>#NAME?</v>
      </c>
      <c r="BM97" s="147" t="str">
        <f t="shared" si="48"/>
        <v>#NAME?</v>
      </c>
      <c r="BN97" s="147" t="str">
        <f t="shared" si="48"/>
        <v>#NAME?</v>
      </c>
      <c r="BO97" s="147" t="str">
        <f t="shared" si="48"/>
        <v>#NAME?</v>
      </c>
      <c r="BP97" s="147" t="str">
        <f t="shared" si="48"/>
        <v>#NAME?</v>
      </c>
      <c r="BQ97" s="147" t="str">
        <f t="shared" si="48"/>
        <v>#NAME?</v>
      </c>
      <c r="BR97" s="147" t="str">
        <f t="shared" si="48"/>
        <v>#NAME?</v>
      </c>
      <c r="BS97" s="147" t="str">
        <f t="shared" si="48"/>
        <v>#NAME?</v>
      </c>
      <c r="BT97" s="147" t="str">
        <f t="shared" si="48"/>
        <v>#NAME?</v>
      </c>
      <c r="BU97" s="147" t="str">
        <f t="shared" si="48"/>
        <v>#NAME?</v>
      </c>
      <c r="BV97" s="147" t="str">
        <f t="shared" si="48"/>
        <v>#NAME?</v>
      </c>
      <c r="BW97" s="147" t="str">
        <f t="shared" si="48"/>
        <v>#NAME?</v>
      </c>
    </row>
    <row r="98" ht="15.75" customHeight="1">
      <c r="A98" s="31" t="s">
        <v>244</v>
      </c>
      <c r="B98" s="159"/>
      <c r="D98" s="76">
        <f t="array" ref="D98">ROUND(INDEX(INDIRECT("PnL_"&amp;TEXT(D$1,"mmm")&amp;"_"&amp;TEXT(D$1,"yyyy")),MATCH(TRIM($A97),PnL_Accounts,0))-D97,2)</f>
        <v>0</v>
      </c>
      <c r="E98" s="76">
        <f t="array" ref="E98">ROUND(INDEX(INDIRECT("PnL_"&amp;TEXT(E$1,"mmm")&amp;"_"&amp;TEXT(E$1,"yyyy")),MATCH(TRIM($A97),PnL_Accounts,0))-E97,2)</f>
        <v>0</v>
      </c>
      <c r="F98" s="76">
        <f t="array" ref="F98">ROUND(INDEX(INDIRECT("PnL_"&amp;TEXT(F$1,"mmm")&amp;"_"&amp;TEXT(F$1,"yyyy")),MATCH(TRIM($A97),PnL_Accounts,0))-F97,2)</f>
        <v>0</v>
      </c>
      <c r="G98" s="76">
        <f t="array" ref="G98">ROUND(INDEX(INDIRECT("PnL_"&amp;TEXT(G$1,"mmm")&amp;"_"&amp;TEXT(G$1,"yyyy")),MATCH(TRIM($A97),PnL_Accounts,0))-G97,2)</f>
        <v>0</v>
      </c>
      <c r="H98" s="76">
        <f t="array" ref="H98">ROUND(INDEX(INDIRECT("PnL_"&amp;TEXT(H$1,"mmm")&amp;"_"&amp;TEXT(H$1,"yyyy")),MATCH(TRIM($A97),PnL_Accounts,0))-H97,2)</f>
        <v>0</v>
      </c>
      <c r="I98" s="76">
        <f t="array" ref="I98">ROUND(INDEX(INDIRECT("PnL_"&amp;TEXT(I$1,"mmm")&amp;"_"&amp;TEXT(I$1,"yyyy")),MATCH(TRIM($A97),PnL_Accounts,0))-I97,2)</f>
        <v>0</v>
      </c>
      <c r="J98" s="76">
        <f t="array" ref="J98">ROUND(INDEX(INDIRECT("PnL_"&amp;TEXT(J$1,"mmm")&amp;"_"&amp;TEXT(J$1,"yyyy")),MATCH(TRIM($A97),PnL_Accounts,0))-J97,2)</f>
        <v>0</v>
      </c>
      <c r="K98" s="76">
        <f t="array" ref="K98">ROUND(INDEX(INDIRECT("PnL_"&amp;TEXT(K$1,"mmm")&amp;"_"&amp;TEXT(K$1,"yyyy")),MATCH(TRIM($A97),PnL_Accounts,0))-K97,2)</f>
        <v>0</v>
      </c>
      <c r="L98" s="76">
        <f t="array" ref="L98">ROUND(INDEX(INDIRECT("PnL_"&amp;TEXT(L$1,"mmm")&amp;"_"&amp;TEXT(L$1,"yyyy")),MATCH(TRIM($A97),PnL_Accounts,0))-L97,2)</f>
        <v>0</v>
      </c>
      <c r="M98" s="76">
        <f t="array" ref="M98">ROUND(INDEX(INDIRECT("PnL_"&amp;TEXT(M$1,"mmm")&amp;"_"&amp;TEXT(M$1,"yyyy")),MATCH(TRIM($A97),PnL_Accounts,0))-M97,2)</f>
        <v>0</v>
      </c>
      <c r="N98" s="76">
        <f t="array" ref="N98">ROUND(INDEX(INDIRECT("PnL_"&amp;TEXT(N$1,"mmm")&amp;"_"&amp;TEXT(N$1,"yyyy")),MATCH(TRIM($A97),PnL_Accounts,0))-N97,2)</f>
        <v>0</v>
      </c>
      <c r="O98" s="76">
        <f t="array" ref="O98">ROUND(INDEX(INDIRECT("PnL_"&amp;TEXT(O$1,"mmm")&amp;"_"&amp;TEXT(O$1,"yyyy")),MATCH(TRIM($A97),PnL_Accounts,0))-O97,2)</f>
        <v>0</v>
      </c>
      <c r="P98" s="76">
        <f t="array" ref="P98">ROUND(INDEX(INDIRECT("PnL_"&amp;TEXT(P$1,"mmm")&amp;"_"&amp;TEXT(P$1,"yyyy")),MATCH(TRIM($A97),PnL_Accounts,0))-P97,2)</f>
        <v>0</v>
      </c>
      <c r="Q98" s="76">
        <f t="array" ref="Q98">ROUND(INDEX(INDIRECT("PnL_"&amp;TEXT(Q$1,"mmm")&amp;"_"&amp;TEXT(Q$1,"yyyy")),MATCH(TRIM($A97),PnL_Accounts,0))-Q97,2)</f>
        <v>0</v>
      </c>
      <c r="R98" s="76">
        <f t="array" ref="R98">ROUND(INDEX(INDIRECT("PnL_"&amp;TEXT(R$1,"mmm")&amp;"_"&amp;TEXT(R$1,"yyyy")),MATCH(TRIM($A97),PnL_Accounts,0))-R97,2)</f>
        <v>0</v>
      </c>
      <c r="S98" s="76">
        <f t="array" ref="S98">ROUND(INDEX(INDIRECT("PnL_"&amp;TEXT(S$1,"mmm")&amp;"_"&amp;TEXT(S$1,"yyyy")),MATCH(TRIM($A97),PnL_Accounts,0))-S97,2)</f>
        <v>0</v>
      </c>
      <c r="T98" s="76">
        <f t="array" ref="T98">ROUND(INDEX(INDIRECT("PnL_"&amp;TEXT(T$1,"mmm")&amp;"_"&amp;TEXT(T$1,"yyyy")),MATCH(TRIM($A97),PnL_Accounts,0))-T97,2)</f>
        <v>0</v>
      </c>
      <c r="U98" s="76">
        <f t="array" ref="U98">ROUND(INDEX(INDIRECT("PnL_"&amp;TEXT(U$1,"mmm")&amp;"_"&amp;TEXT(U$1,"yyyy")),MATCH(TRIM($A97),PnL_Accounts,0))-U97,2)</f>
        <v>0</v>
      </c>
      <c r="V98" s="76">
        <f t="array" ref="V98">ROUND(INDEX(INDIRECT("PnL_"&amp;TEXT(V$1,"mmm")&amp;"_"&amp;TEXT(V$1,"yyyy")),MATCH(TRIM($A97),PnL_Accounts,0))-V97,2)</f>
        <v>0</v>
      </c>
      <c r="W98" s="76">
        <f t="array" ref="W98">ROUND(INDEX(INDIRECT("PnL_"&amp;TEXT(W$1,"mmm")&amp;"_"&amp;TEXT(W$1,"yyyy")),MATCH(TRIM($A97),PnL_Accounts,0))-W97,2)</f>
        <v>0</v>
      </c>
      <c r="X98" s="76">
        <f t="array" ref="X98">ROUND(INDEX(INDIRECT("PnL_"&amp;TEXT(X$1,"mmm")&amp;"_"&amp;TEXT(X$1,"yyyy")),MATCH(TRIM($A97),PnL_Accounts,0))-X97,2)</f>
        <v>0</v>
      </c>
      <c r="Y98" s="76">
        <f t="array" ref="Y98">ROUND(INDEX(INDIRECT("PnL_"&amp;TEXT(Y$1,"mmm")&amp;"_"&amp;TEXT(Y$1,"yyyy")),MATCH(TRIM($A97),PnL_Accounts,0))-Y97,2)</f>
        <v>0</v>
      </c>
      <c r="Z98" s="76">
        <f t="array" ref="Z98">ROUND(INDEX(INDIRECT("PnL_"&amp;TEXT(Z$1,"mmm")&amp;"_"&amp;TEXT(Z$1,"yyyy")),MATCH(TRIM($A97),PnL_Accounts,0))-Z97,2)</f>
        <v>0</v>
      </c>
      <c r="AA98" s="76">
        <f t="array" ref="AA98">ROUND(INDEX(INDIRECT("PnL_"&amp;TEXT(AA$1,"mmm")&amp;"_"&amp;TEXT(AA$1,"yyyy")),MATCH(TRIM($A97),PnL_Accounts,0))-AA97,2)</f>
        <v>0</v>
      </c>
      <c r="AB98" s="76">
        <f t="array" ref="AB98">ROUND(INDEX(INDIRECT("PnL_"&amp;TEXT(AB$1,"mmm")&amp;"_"&amp;TEXT(AB$1,"yyyy")),MATCH(TRIM($A97),PnL_Accounts,0))-AB97,2)</f>
        <v>0</v>
      </c>
      <c r="AC98" s="76">
        <f t="array" ref="AC98">ROUND(INDEX(INDIRECT("PnL_"&amp;TEXT(AC$1,"mmm")&amp;"_"&amp;TEXT(AC$1,"yyyy")),MATCH(TRIM($A97),PnL_Accounts,0))-AC97,2)</f>
        <v>0</v>
      </c>
      <c r="AD98" s="76">
        <f t="array" ref="AD98">ROUND(INDEX(INDIRECT("PnL_"&amp;TEXT(AD$1,"mmm")&amp;"_"&amp;TEXT(AD$1,"yyyy")),MATCH(TRIM($A97),PnL_Accounts,0))-AD97,2)</f>
        <v>0</v>
      </c>
      <c r="AE98" s="76">
        <f t="array" ref="AE98">ROUND(INDEX(INDIRECT("PnL_"&amp;TEXT(AE$1,"mmm")&amp;"_"&amp;TEXT(AE$1,"yyyy")),MATCH(TRIM($A97),PnL_Accounts,0))-AE97,2)</f>
        <v>0</v>
      </c>
    </row>
    <row r="99" ht="15.75" customHeight="1">
      <c r="B99" s="159"/>
    </row>
    <row r="100" ht="15.75" customHeight="1">
      <c r="A100" s="7" t="s">
        <v>324</v>
      </c>
      <c r="B100" s="159"/>
    </row>
    <row r="101" ht="15.75" customHeight="1">
      <c r="A101" s="1" t="s">
        <v>325</v>
      </c>
      <c r="B101" s="159"/>
    </row>
    <row r="102" ht="15.75" customHeight="1">
      <c r="A102" s="1" t="s">
        <v>326</v>
      </c>
      <c r="B102" s="159"/>
    </row>
    <row r="103" ht="15.75" customHeight="1">
      <c r="A103" s="1" t="s">
        <v>327</v>
      </c>
      <c r="B103" s="159"/>
      <c r="AF103" s="96" t="str">
        <f t="shared" ref="AF103:BW103" si="49">AE105+AF181</f>
        <v>#NAME?</v>
      </c>
      <c r="AG103" s="96" t="str">
        <f t="shared" si="49"/>
        <v>#NAME?</v>
      </c>
      <c r="AH103" s="96" t="str">
        <f t="shared" si="49"/>
        <v>#NAME?</v>
      </c>
      <c r="AI103" s="96" t="str">
        <f t="shared" si="49"/>
        <v>#NAME?</v>
      </c>
      <c r="AJ103" s="96" t="str">
        <f t="shared" si="49"/>
        <v>#NAME?</v>
      </c>
      <c r="AK103" s="96" t="str">
        <f t="shared" si="49"/>
        <v>#NAME?</v>
      </c>
      <c r="AL103" s="96" t="str">
        <f t="shared" si="49"/>
        <v>#NAME?</v>
      </c>
      <c r="AM103" s="96" t="str">
        <f t="shared" si="49"/>
        <v>#NAME?</v>
      </c>
      <c r="AN103" s="96" t="str">
        <f t="shared" si="49"/>
        <v>#NAME?</v>
      </c>
      <c r="AO103" s="96" t="str">
        <f t="shared" si="49"/>
        <v>#NAME?</v>
      </c>
      <c r="AP103" s="96" t="str">
        <f t="shared" si="49"/>
        <v>#NAME?</v>
      </c>
      <c r="AQ103" s="96" t="str">
        <f t="shared" si="49"/>
        <v>#NAME?</v>
      </c>
      <c r="AR103" s="96" t="str">
        <f t="shared" si="49"/>
        <v>#NAME?</v>
      </c>
      <c r="AS103" s="96" t="str">
        <f t="shared" si="49"/>
        <v>#NAME?</v>
      </c>
      <c r="AT103" s="96" t="str">
        <f t="shared" si="49"/>
        <v>#NAME?</v>
      </c>
      <c r="AU103" s="96" t="str">
        <f t="shared" si="49"/>
        <v>#NAME?</v>
      </c>
      <c r="AV103" s="96" t="str">
        <f t="shared" si="49"/>
        <v>#NAME?</v>
      </c>
      <c r="AW103" s="96" t="str">
        <f t="shared" si="49"/>
        <v>#NAME?</v>
      </c>
      <c r="AX103" s="96" t="str">
        <f t="shared" si="49"/>
        <v>#NAME?</v>
      </c>
      <c r="AY103" s="96" t="str">
        <f t="shared" si="49"/>
        <v>#NAME?</v>
      </c>
      <c r="AZ103" s="96" t="str">
        <f t="shared" si="49"/>
        <v>#NAME?</v>
      </c>
      <c r="BA103" s="96" t="str">
        <f t="shared" si="49"/>
        <v>#NAME?</v>
      </c>
      <c r="BB103" s="96" t="str">
        <f t="shared" si="49"/>
        <v>#NAME?</v>
      </c>
      <c r="BC103" s="96" t="str">
        <f t="shared" si="49"/>
        <v>#NAME?</v>
      </c>
      <c r="BD103" s="96" t="str">
        <f t="shared" si="49"/>
        <v>#NAME?</v>
      </c>
      <c r="BE103" s="96" t="str">
        <f t="shared" si="49"/>
        <v>#NAME?</v>
      </c>
      <c r="BF103" s="96" t="str">
        <f t="shared" si="49"/>
        <v>#NAME?</v>
      </c>
      <c r="BG103" s="96" t="str">
        <f t="shared" si="49"/>
        <v>#NAME?</v>
      </c>
      <c r="BH103" s="96" t="str">
        <f t="shared" si="49"/>
        <v>#NAME?</v>
      </c>
      <c r="BI103" s="96" t="str">
        <f t="shared" si="49"/>
        <v>#NAME?</v>
      </c>
      <c r="BJ103" s="96" t="str">
        <f t="shared" si="49"/>
        <v>#NAME?</v>
      </c>
      <c r="BK103" s="96" t="str">
        <f t="shared" si="49"/>
        <v>#NAME?</v>
      </c>
      <c r="BL103" s="96" t="str">
        <f t="shared" si="49"/>
        <v>#NAME?</v>
      </c>
      <c r="BM103" s="96" t="str">
        <f t="shared" si="49"/>
        <v>#NAME?</v>
      </c>
      <c r="BN103" s="96" t="str">
        <f t="shared" si="49"/>
        <v>#NAME?</v>
      </c>
      <c r="BO103" s="96" t="str">
        <f t="shared" si="49"/>
        <v>#NAME?</v>
      </c>
      <c r="BP103" s="96" t="str">
        <f t="shared" si="49"/>
        <v>#NAME?</v>
      </c>
      <c r="BQ103" s="96" t="str">
        <f t="shared" si="49"/>
        <v>#NAME?</v>
      </c>
      <c r="BR103" s="96" t="str">
        <f t="shared" si="49"/>
        <v>#NAME?</v>
      </c>
      <c r="BS103" s="96" t="str">
        <f t="shared" si="49"/>
        <v>#NAME?</v>
      </c>
      <c r="BT103" s="96" t="str">
        <f t="shared" si="49"/>
        <v>#NAME?</v>
      </c>
      <c r="BU103" s="96" t="str">
        <f t="shared" si="49"/>
        <v>#NAME?</v>
      </c>
      <c r="BV103" s="96" t="str">
        <f t="shared" si="49"/>
        <v>#NAME?</v>
      </c>
      <c r="BW103" s="96" t="str">
        <f t="shared" si="49"/>
        <v>#NAME?</v>
      </c>
    </row>
    <row r="104" ht="15.75" customHeight="1">
      <c r="A104" s="1" t="s">
        <v>328</v>
      </c>
      <c r="B104" s="159"/>
      <c r="D104" s="76">
        <f t="array" ref="D104">INDEX(INDIRECT("BS_"&amp;TEXT(D$1,"mmm")&amp;"_"&amp;TEXT(D$1,"yyyy")),MATCH(TRIM($A104),BS_Accounts,0))</f>
        <v>960680</v>
      </c>
      <c r="E104" s="76">
        <f t="array" ref="E104">INDEX(INDIRECT("BS_"&amp;TEXT(E$1,"mmm")&amp;"_"&amp;TEXT(E$1,"yyyy")),MATCH(TRIM($A104),BS_Accounts,0))</f>
        <v>970330</v>
      </c>
      <c r="F104" s="76">
        <f t="array" ref="F104">INDEX(INDIRECT("BS_"&amp;TEXT(F$1,"mmm")&amp;"_"&amp;TEXT(F$1,"yyyy")),MATCH(TRIM($A104),BS_Accounts,0))</f>
        <v>867374</v>
      </c>
      <c r="G104" s="76">
        <f t="array" ref="G104">INDEX(INDIRECT("BS_"&amp;TEXT(G$1,"mmm")&amp;"_"&amp;TEXT(G$1,"yyyy")),MATCH(TRIM($A104),BS_Accounts,0))</f>
        <v>772779</v>
      </c>
      <c r="H104" s="76">
        <f t="array" ref="H104">INDEX(INDIRECT("BS_"&amp;TEXT(H$1,"mmm")&amp;"_"&amp;TEXT(H$1,"yyyy")),MATCH(TRIM($A104),BS_Accounts,0))</f>
        <v>690714</v>
      </c>
      <c r="I104" s="76">
        <f t="array" ref="I104">INDEX(INDIRECT("BS_"&amp;TEXT(I$1,"mmm")&amp;"_"&amp;TEXT(I$1,"yyyy")),MATCH(TRIM($A104),BS_Accounts,0))</f>
        <v>612582</v>
      </c>
      <c r="J104" s="76">
        <f t="array" ref="J104">INDEX(INDIRECT("BS_"&amp;TEXT(J$1,"mmm")&amp;"_"&amp;TEXT(J$1,"yyyy")),MATCH(TRIM($A104),BS_Accounts,0))</f>
        <v>518537</v>
      </c>
      <c r="K104" s="76">
        <f t="array" ref="K104">INDEX(INDIRECT("BS_"&amp;TEXT(K$1,"mmm")&amp;"_"&amp;TEXT(K$1,"yyyy")),MATCH(TRIM($A104),BS_Accounts,0))</f>
        <v>428771</v>
      </c>
      <c r="L104" s="76">
        <f t="array" ref="L104">INDEX(INDIRECT("BS_"&amp;TEXT(L$1,"mmm")&amp;"_"&amp;TEXT(L$1,"yyyy")),MATCH(TRIM($A104),BS_Accounts,0))</f>
        <v>314326</v>
      </c>
      <c r="M104" s="76">
        <f t="array" ref="M104">INDEX(INDIRECT("BS_"&amp;TEXT(M$1,"mmm")&amp;"_"&amp;TEXT(M$1,"yyyy")),MATCH(TRIM($A104),BS_Accounts,0))</f>
        <v>782445</v>
      </c>
      <c r="N104" s="76">
        <f t="array" ref="N104">INDEX(INDIRECT("BS_"&amp;TEXT(N$1,"mmm")&amp;"_"&amp;TEXT(N$1,"yyyy")),MATCH(TRIM($A104),BS_Accounts,0))</f>
        <v>641848</v>
      </c>
      <c r="O104" s="76">
        <f t="array" ref="O104">INDEX(INDIRECT("BS_"&amp;TEXT(O$1,"mmm")&amp;"_"&amp;TEXT(O$1,"yyyy")),MATCH(TRIM($A104),BS_Accounts,0))</f>
        <v>464654</v>
      </c>
      <c r="P104" s="76">
        <f t="array" ref="P104">INDEX(INDIRECT("BS_"&amp;TEXT(P$1,"mmm")&amp;"_"&amp;TEXT(P$1,"yyyy")),MATCH(TRIM($A104),BS_Accounts,0))</f>
        <v>787530</v>
      </c>
      <c r="Q104" s="76">
        <f t="array" ref="Q104">INDEX(INDIRECT("BS_"&amp;TEXT(Q$1,"mmm")&amp;"_"&amp;TEXT(Q$1,"yyyy")),MATCH(TRIM($A104),BS_Accounts,0))</f>
        <v>597955</v>
      </c>
      <c r="R104" s="76">
        <f t="array" ref="R104">INDEX(INDIRECT("BS_"&amp;TEXT(R$1,"mmm")&amp;"_"&amp;TEXT(R$1,"yyyy")),MATCH(TRIM($A104),BS_Accounts,0))</f>
        <v>413824</v>
      </c>
      <c r="S104" s="76">
        <f t="array" ref="S104">INDEX(INDIRECT("BS_"&amp;TEXT(S$1,"mmm")&amp;"_"&amp;TEXT(S$1,"yyyy")),MATCH(TRIM($A104),BS_Accounts,0))</f>
        <v>284883</v>
      </c>
      <c r="T104" s="76">
        <f t="array" ref="T104">INDEX(INDIRECT("BS_"&amp;TEXT(T$1,"mmm")&amp;"_"&amp;TEXT(T$1,"yyyy")),MATCH(TRIM($A104),BS_Accounts,0))</f>
        <v>433129</v>
      </c>
      <c r="U104" s="76">
        <f t="array" ref="U104">INDEX(INDIRECT("BS_"&amp;TEXT(U$1,"mmm")&amp;"_"&amp;TEXT(U$1,"yyyy")),MATCH(TRIM($A104),BS_Accounts,0))</f>
        <v>310846</v>
      </c>
      <c r="V104" s="76">
        <f t="array" ref="V104">INDEX(INDIRECT("BS_"&amp;TEXT(V$1,"mmm")&amp;"_"&amp;TEXT(V$1,"yyyy")),MATCH(TRIM($A104),BS_Accounts,0))</f>
        <v>208372</v>
      </c>
      <c r="W104" s="76">
        <f t="array" ref="W104">INDEX(INDIRECT("BS_"&amp;TEXT(W$1,"mmm")&amp;"_"&amp;TEXT(W$1,"yyyy")),MATCH(TRIM($A104),BS_Accounts,0))</f>
        <v>125877</v>
      </c>
      <c r="X104" s="76">
        <f t="array" ref="X104">INDEX(INDIRECT("BS_"&amp;TEXT(X$1,"mmm")&amp;"_"&amp;TEXT(X$1,"yyyy")),MATCH(TRIM($A104),BS_Accounts,0))</f>
        <v>65839</v>
      </c>
      <c r="Y104" s="76">
        <f t="array" ref="Y104">INDEX(INDIRECT("BS_"&amp;TEXT(Y$1,"mmm")&amp;"_"&amp;TEXT(Y$1,"yyyy")),MATCH(TRIM($A104),BS_Accounts,0))</f>
        <v>338519</v>
      </c>
      <c r="Z104" s="76">
        <f t="array" ref="Z104">INDEX(INDIRECT("BS_"&amp;TEXT(Z$1,"mmm")&amp;"_"&amp;TEXT(Z$1,"yyyy")),MATCH(TRIM($A104),BS_Accounts,0))</f>
        <v>319614</v>
      </c>
      <c r="AA104" s="76">
        <f t="array" ref="AA104">INDEX(INDIRECT("BS_"&amp;TEXT(AA$1,"mmm")&amp;"_"&amp;TEXT(AA$1,"yyyy")),MATCH(TRIM($A104),BS_Accounts,0))</f>
        <v>295403</v>
      </c>
      <c r="AB104" s="76">
        <f t="array" ref="AB104">INDEX(INDIRECT("BS_"&amp;TEXT(AB$1,"mmm")&amp;"_"&amp;TEXT(AB$1,"yyyy")),MATCH(TRIM($A104),BS_Accounts,0))</f>
        <v>281579</v>
      </c>
      <c r="AC104" s="76">
        <f t="array" ref="AC104">INDEX(INDIRECT("BS_"&amp;TEXT(AC$1,"mmm")&amp;"_"&amp;TEXT(AC$1,"yyyy")),MATCH(TRIM($A104),BS_Accounts,0))</f>
        <v>255410</v>
      </c>
      <c r="AD104" s="76">
        <f t="array" ref="AD104">INDEX(INDIRECT("BS_"&amp;TEXT(AD$1,"mmm")&amp;"_"&amp;TEXT(AD$1,"yyyy")),MATCH(TRIM($A104),BS_Accounts,0))</f>
        <v>263817.19</v>
      </c>
      <c r="AE104" s="76">
        <f t="array" ref="AE104">INDEX(INDIRECT("BS_"&amp;TEXT(AE$1,"mmm")&amp;"_"&amp;TEXT(AE$1,"yyyy")),MATCH(TRIM($A104),BS_Accounts,0))</f>
        <v>263700.19</v>
      </c>
    </row>
    <row r="105" ht="15.75" customHeight="1">
      <c r="A105" s="21" t="s">
        <v>329</v>
      </c>
      <c r="B105" s="163"/>
      <c r="C105" s="21"/>
      <c r="D105" s="157">
        <f t="shared" ref="D105:BW105" si="50">SUM(D103:D104)</f>
        <v>960680</v>
      </c>
      <c r="E105" s="157">
        <f t="shared" si="50"/>
        <v>970330</v>
      </c>
      <c r="F105" s="157">
        <f t="shared" si="50"/>
        <v>867374</v>
      </c>
      <c r="G105" s="157">
        <f t="shared" si="50"/>
        <v>772779</v>
      </c>
      <c r="H105" s="157">
        <f t="shared" si="50"/>
        <v>690714</v>
      </c>
      <c r="I105" s="157">
        <f t="shared" si="50"/>
        <v>612582</v>
      </c>
      <c r="J105" s="157">
        <f t="shared" si="50"/>
        <v>518537</v>
      </c>
      <c r="K105" s="157">
        <f t="shared" si="50"/>
        <v>428771</v>
      </c>
      <c r="L105" s="157">
        <f t="shared" si="50"/>
        <v>314326</v>
      </c>
      <c r="M105" s="157">
        <f t="shared" si="50"/>
        <v>782445</v>
      </c>
      <c r="N105" s="157">
        <f t="shared" si="50"/>
        <v>641848</v>
      </c>
      <c r="O105" s="157">
        <f t="shared" si="50"/>
        <v>464654</v>
      </c>
      <c r="P105" s="157">
        <f t="shared" si="50"/>
        <v>787530</v>
      </c>
      <c r="Q105" s="157">
        <f t="shared" si="50"/>
        <v>597955</v>
      </c>
      <c r="R105" s="157">
        <f t="shared" si="50"/>
        <v>413824</v>
      </c>
      <c r="S105" s="157">
        <f t="shared" si="50"/>
        <v>284883</v>
      </c>
      <c r="T105" s="157">
        <f t="shared" si="50"/>
        <v>433129</v>
      </c>
      <c r="U105" s="157">
        <f t="shared" si="50"/>
        <v>310846</v>
      </c>
      <c r="V105" s="157">
        <f t="shared" si="50"/>
        <v>208372</v>
      </c>
      <c r="W105" s="157">
        <f t="shared" si="50"/>
        <v>125877</v>
      </c>
      <c r="X105" s="157">
        <f t="shared" si="50"/>
        <v>65839</v>
      </c>
      <c r="Y105" s="157">
        <f t="shared" si="50"/>
        <v>338519</v>
      </c>
      <c r="Z105" s="157">
        <f t="shared" si="50"/>
        <v>319614</v>
      </c>
      <c r="AA105" s="157">
        <f t="shared" si="50"/>
        <v>295403</v>
      </c>
      <c r="AB105" s="157">
        <f t="shared" si="50"/>
        <v>281579</v>
      </c>
      <c r="AC105" s="157">
        <f t="shared" si="50"/>
        <v>255410</v>
      </c>
      <c r="AD105" s="157">
        <f t="shared" si="50"/>
        <v>263817.19</v>
      </c>
      <c r="AE105" s="157">
        <f t="shared" si="50"/>
        <v>263700.19</v>
      </c>
      <c r="AF105" s="157" t="str">
        <f t="shared" si="50"/>
        <v>#NAME?</v>
      </c>
      <c r="AG105" s="157" t="str">
        <f t="shared" si="50"/>
        <v>#NAME?</v>
      </c>
      <c r="AH105" s="157" t="str">
        <f t="shared" si="50"/>
        <v>#NAME?</v>
      </c>
      <c r="AI105" s="157" t="str">
        <f t="shared" si="50"/>
        <v>#NAME?</v>
      </c>
      <c r="AJ105" s="157" t="str">
        <f t="shared" si="50"/>
        <v>#NAME?</v>
      </c>
      <c r="AK105" s="157" t="str">
        <f t="shared" si="50"/>
        <v>#NAME?</v>
      </c>
      <c r="AL105" s="157" t="str">
        <f t="shared" si="50"/>
        <v>#NAME?</v>
      </c>
      <c r="AM105" s="157" t="str">
        <f t="shared" si="50"/>
        <v>#NAME?</v>
      </c>
      <c r="AN105" s="157" t="str">
        <f t="shared" si="50"/>
        <v>#NAME?</v>
      </c>
      <c r="AO105" s="157" t="str">
        <f t="shared" si="50"/>
        <v>#NAME?</v>
      </c>
      <c r="AP105" s="157" t="str">
        <f t="shared" si="50"/>
        <v>#NAME?</v>
      </c>
      <c r="AQ105" s="157" t="str">
        <f t="shared" si="50"/>
        <v>#NAME?</v>
      </c>
      <c r="AR105" s="157" t="str">
        <f t="shared" si="50"/>
        <v>#NAME?</v>
      </c>
      <c r="AS105" s="157" t="str">
        <f t="shared" si="50"/>
        <v>#NAME?</v>
      </c>
      <c r="AT105" s="157" t="str">
        <f t="shared" si="50"/>
        <v>#NAME?</v>
      </c>
      <c r="AU105" s="157" t="str">
        <f t="shared" si="50"/>
        <v>#NAME?</v>
      </c>
      <c r="AV105" s="157" t="str">
        <f t="shared" si="50"/>
        <v>#NAME?</v>
      </c>
      <c r="AW105" s="157" t="str">
        <f t="shared" si="50"/>
        <v>#NAME?</v>
      </c>
      <c r="AX105" s="157" t="str">
        <f t="shared" si="50"/>
        <v>#NAME?</v>
      </c>
      <c r="AY105" s="157" t="str">
        <f t="shared" si="50"/>
        <v>#NAME?</v>
      </c>
      <c r="AZ105" s="157" t="str">
        <f t="shared" si="50"/>
        <v>#NAME?</v>
      </c>
      <c r="BA105" s="157" t="str">
        <f t="shared" si="50"/>
        <v>#NAME?</v>
      </c>
      <c r="BB105" s="157" t="str">
        <f t="shared" si="50"/>
        <v>#NAME?</v>
      </c>
      <c r="BC105" s="157" t="str">
        <f t="shared" si="50"/>
        <v>#NAME?</v>
      </c>
      <c r="BD105" s="157" t="str">
        <f t="shared" si="50"/>
        <v>#NAME?</v>
      </c>
      <c r="BE105" s="157" t="str">
        <f t="shared" si="50"/>
        <v>#NAME?</v>
      </c>
      <c r="BF105" s="157" t="str">
        <f t="shared" si="50"/>
        <v>#NAME?</v>
      </c>
      <c r="BG105" s="157" t="str">
        <f t="shared" si="50"/>
        <v>#NAME?</v>
      </c>
      <c r="BH105" s="157" t="str">
        <f t="shared" si="50"/>
        <v>#NAME?</v>
      </c>
      <c r="BI105" s="157" t="str">
        <f t="shared" si="50"/>
        <v>#NAME?</v>
      </c>
      <c r="BJ105" s="157" t="str">
        <f t="shared" si="50"/>
        <v>#NAME?</v>
      </c>
      <c r="BK105" s="157" t="str">
        <f t="shared" si="50"/>
        <v>#NAME?</v>
      </c>
      <c r="BL105" s="157" t="str">
        <f t="shared" si="50"/>
        <v>#NAME?</v>
      </c>
      <c r="BM105" s="157" t="str">
        <f t="shared" si="50"/>
        <v>#NAME?</v>
      </c>
      <c r="BN105" s="157" t="str">
        <f t="shared" si="50"/>
        <v>#NAME?</v>
      </c>
      <c r="BO105" s="157" t="str">
        <f t="shared" si="50"/>
        <v>#NAME?</v>
      </c>
      <c r="BP105" s="157" t="str">
        <f t="shared" si="50"/>
        <v>#NAME?</v>
      </c>
      <c r="BQ105" s="157" t="str">
        <f t="shared" si="50"/>
        <v>#NAME?</v>
      </c>
      <c r="BR105" s="157" t="str">
        <f t="shared" si="50"/>
        <v>#NAME?</v>
      </c>
      <c r="BS105" s="157" t="str">
        <f t="shared" si="50"/>
        <v>#NAME?</v>
      </c>
      <c r="BT105" s="157" t="str">
        <f t="shared" si="50"/>
        <v>#NAME?</v>
      </c>
      <c r="BU105" s="157" t="str">
        <f t="shared" si="50"/>
        <v>#NAME?</v>
      </c>
      <c r="BV105" s="157" t="str">
        <f t="shared" si="50"/>
        <v>#NAME?</v>
      </c>
      <c r="BW105" s="157" t="str">
        <f t="shared" si="50"/>
        <v>#NAME?</v>
      </c>
    </row>
    <row r="106" ht="15.75" customHeight="1">
      <c r="A106" s="21" t="s">
        <v>330</v>
      </c>
      <c r="B106" s="163"/>
      <c r="C106" s="21"/>
      <c r="D106" s="157">
        <f t="shared" ref="D106:BW106" si="51">SUM(D105)</f>
        <v>960680</v>
      </c>
      <c r="E106" s="157">
        <f t="shared" si="51"/>
        <v>970330</v>
      </c>
      <c r="F106" s="157">
        <f t="shared" si="51"/>
        <v>867374</v>
      </c>
      <c r="G106" s="157">
        <f t="shared" si="51"/>
        <v>772779</v>
      </c>
      <c r="H106" s="157">
        <f t="shared" si="51"/>
        <v>690714</v>
      </c>
      <c r="I106" s="157">
        <f t="shared" si="51"/>
        <v>612582</v>
      </c>
      <c r="J106" s="157">
        <f t="shared" si="51"/>
        <v>518537</v>
      </c>
      <c r="K106" s="157">
        <f t="shared" si="51"/>
        <v>428771</v>
      </c>
      <c r="L106" s="157">
        <f t="shared" si="51"/>
        <v>314326</v>
      </c>
      <c r="M106" s="157">
        <f t="shared" si="51"/>
        <v>782445</v>
      </c>
      <c r="N106" s="157">
        <f t="shared" si="51"/>
        <v>641848</v>
      </c>
      <c r="O106" s="157">
        <f t="shared" si="51"/>
        <v>464654</v>
      </c>
      <c r="P106" s="157">
        <f t="shared" si="51"/>
        <v>787530</v>
      </c>
      <c r="Q106" s="157">
        <f t="shared" si="51"/>
        <v>597955</v>
      </c>
      <c r="R106" s="157">
        <f t="shared" si="51"/>
        <v>413824</v>
      </c>
      <c r="S106" s="157">
        <f t="shared" si="51"/>
        <v>284883</v>
      </c>
      <c r="T106" s="157">
        <f t="shared" si="51"/>
        <v>433129</v>
      </c>
      <c r="U106" s="157">
        <f t="shared" si="51"/>
        <v>310846</v>
      </c>
      <c r="V106" s="157">
        <f t="shared" si="51"/>
        <v>208372</v>
      </c>
      <c r="W106" s="157">
        <f t="shared" si="51"/>
        <v>125877</v>
      </c>
      <c r="X106" s="157">
        <f t="shared" si="51"/>
        <v>65839</v>
      </c>
      <c r="Y106" s="157">
        <f t="shared" si="51"/>
        <v>338519</v>
      </c>
      <c r="Z106" s="157">
        <f t="shared" si="51"/>
        <v>319614</v>
      </c>
      <c r="AA106" s="157">
        <f t="shared" si="51"/>
        <v>295403</v>
      </c>
      <c r="AB106" s="157">
        <f t="shared" si="51"/>
        <v>281579</v>
      </c>
      <c r="AC106" s="157">
        <f t="shared" si="51"/>
        <v>255410</v>
      </c>
      <c r="AD106" s="157">
        <f t="shared" si="51"/>
        <v>263817.19</v>
      </c>
      <c r="AE106" s="157">
        <f t="shared" si="51"/>
        <v>263700.19</v>
      </c>
      <c r="AF106" s="157" t="str">
        <f t="shared" si="51"/>
        <v>#NAME?</v>
      </c>
      <c r="AG106" s="157" t="str">
        <f t="shared" si="51"/>
        <v>#NAME?</v>
      </c>
      <c r="AH106" s="157" t="str">
        <f t="shared" si="51"/>
        <v>#NAME?</v>
      </c>
      <c r="AI106" s="157" t="str">
        <f t="shared" si="51"/>
        <v>#NAME?</v>
      </c>
      <c r="AJ106" s="157" t="str">
        <f t="shared" si="51"/>
        <v>#NAME?</v>
      </c>
      <c r="AK106" s="157" t="str">
        <f t="shared" si="51"/>
        <v>#NAME?</v>
      </c>
      <c r="AL106" s="157" t="str">
        <f t="shared" si="51"/>
        <v>#NAME?</v>
      </c>
      <c r="AM106" s="157" t="str">
        <f t="shared" si="51"/>
        <v>#NAME?</v>
      </c>
      <c r="AN106" s="157" t="str">
        <f t="shared" si="51"/>
        <v>#NAME?</v>
      </c>
      <c r="AO106" s="157" t="str">
        <f t="shared" si="51"/>
        <v>#NAME?</v>
      </c>
      <c r="AP106" s="157" t="str">
        <f t="shared" si="51"/>
        <v>#NAME?</v>
      </c>
      <c r="AQ106" s="157" t="str">
        <f t="shared" si="51"/>
        <v>#NAME?</v>
      </c>
      <c r="AR106" s="157" t="str">
        <f t="shared" si="51"/>
        <v>#NAME?</v>
      </c>
      <c r="AS106" s="157" t="str">
        <f t="shared" si="51"/>
        <v>#NAME?</v>
      </c>
      <c r="AT106" s="157" t="str">
        <f t="shared" si="51"/>
        <v>#NAME?</v>
      </c>
      <c r="AU106" s="157" t="str">
        <f t="shared" si="51"/>
        <v>#NAME?</v>
      </c>
      <c r="AV106" s="157" t="str">
        <f t="shared" si="51"/>
        <v>#NAME?</v>
      </c>
      <c r="AW106" s="157" t="str">
        <f t="shared" si="51"/>
        <v>#NAME?</v>
      </c>
      <c r="AX106" s="157" t="str">
        <f t="shared" si="51"/>
        <v>#NAME?</v>
      </c>
      <c r="AY106" s="157" t="str">
        <f t="shared" si="51"/>
        <v>#NAME?</v>
      </c>
      <c r="AZ106" s="157" t="str">
        <f t="shared" si="51"/>
        <v>#NAME?</v>
      </c>
      <c r="BA106" s="157" t="str">
        <f t="shared" si="51"/>
        <v>#NAME?</v>
      </c>
      <c r="BB106" s="157" t="str">
        <f t="shared" si="51"/>
        <v>#NAME?</v>
      </c>
      <c r="BC106" s="157" t="str">
        <f t="shared" si="51"/>
        <v>#NAME?</v>
      </c>
      <c r="BD106" s="157" t="str">
        <f t="shared" si="51"/>
        <v>#NAME?</v>
      </c>
      <c r="BE106" s="157" t="str">
        <f t="shared" si="51"/>
        <v>#NAME?</v>
      </c>
      <c r="BF106" s="157" t="str">
        <f t="shared" si="51"/>
        <v>#NAME?</v>
      </c>
      <c r="BG106" s="157" t="str">
        <f t="shared" si="51"/>
        <v>#NAME?</v>
      </c>
      <c r="BH106" s="157" t="str">
        <f t="shared" si="51"/>
        <v>#NAME?</v>
      </c>
      <c r="BI106" s="157" t="str">
        <f t="shared" si="51"/>
        <v>#NAME?</v>
      </c>
      <c r="BJ106" s="157" t="str">
        <f t="shared" si="51"/>
        <v>#NAME?</v>
      </c>
      <c r="BK106" s="157" t="str">
        <f t="shared" si="51"/>
        <v>#NAME?</v>
      </c>
      <c r="BL106" s="157" t="str">
        <f t="shared" si="51"/>
        <v>#NAME?</v>
      </c>
      <c r="BM106" s="157" t="str">
        <f t="shared" si="51"/>
        <v>#NAME?</v>
      </c>
      <c r="BN106" s="157" t="str">
        <f t="shared" si="51"/>
        <v>#NAME?</v>
      </c>
      <c r="BO106" s="157" t="str">
        <f t="shared" si="51"/>
        <v>#NAME?</v>
      </c>
      <c r="BP106" s="157" t="str">
        <f t="shared" si="51"/>
        <v>#NAME?</v>
      </c>
      <c r="BQ106" s="157" t="str">
        <f t="shared" si="51"/>
        <v>#NAME?</v>
      </c>
      <c r="BR106" s="157" t="str">
        <f t="shared" si="51"/>
        <v>#NAME?</v>
      </c>
      <c r="BS106" s="157" t="str">
        <f t="shared" si="51"/>
        <v>#NAME?</v>
      </c>
      <c r="BT106" s="157" t="str">
        <f t="shared" si="51"/>
        <v>#NAME?</v>
      </c>
      <c r="BU106" s="157" t="str">
        <f t="shared" si="51"/>
        <v>#NAME?</v>
      </c>
      <c r="BV106" s="157" t="str">
        <f t="shared" si="51"/>
        <v>#NAME?</v>
      </c>
      <c r="BW106" s="157" t="str">
        <f t="shared" si="51"/>
        <v>#NAME?</v>
      </c>
    </row>
    <row r="107" ht="15.75" customHeight="1">
      <c r="A107" s="31" t="s">
        <v>244</v>
      </c>
      <c r="B107" s="159"/>
      <c r="D107" s="76">
        <f t="array" ref="D107">INDEX(INDIRECT("BS_"&amp;TEXT(D$1,"mmm")&amp;"_"&amp;TEXT(D$1,"yyyy")),MATCH(TRIM($A106),BS_Accounts,0))-D106</f>
        <v>0</v>
      </c>
      <c r="E107" s="76">
        <f t="array" ref="E107">INDEX(INDIRECT("BS_"&amp;TEXT(E$1,"mmm")&amp;"_"&amp;TEXT(E$1,"yyyy")),MATCH(TRIM($A106),BS_Accounts,0))-E106</f>
        <v>0</v>
      </c>
      <c r="F107" s="76">
        <f t="array" ref="F107">INDEX(INDIRECT("BS_"&amp;TEXT(F$1,"mmm")&amp;"_"&amp;TEXT(F$1,"yyyy")),MATCH(TRIM($A106),BS_Accounts,0))-F106</f>
        <v>0</v>
      </c>
      <c r="G107" s="76">
        <f t="array" ref="G107">INDEX(INDIRECT("BS_"&amp;TEXT(G$1,"mmm")&amp;"_"&amp;TEXT(G$1,"yyyy")),MATCH(TRIM($A106),BS_Accounts,0))-G106</f>
        <v>0</v>
      </c>
      <c r="H107" s="76">
        <f t="array" ref="H107">INDEX(INDIRECT("BS_"&amp;TEXT(H$1,"mmm")&amp;"_"&amp;TEXT(H$1,"yyyy")),MATCH(TRIM($A106),BS_Accounts,0))-H106</f>
        <v>0</v>
      </c>
      <c r="I107" s="76">
        <f t="array" ref="I107">INDEX(INDIRECT("BS_"&amp;TEXT(I$1,"mmm")&amp;"_"&amp;TEXT(I$1,"yyyy")),MATCH(TRIM($A106),BS_Accounts,0))-I106</f>
        <v>0</v>
      </c>
      <c r="J107" s="76">
        <f t="array" ref="J107">INDEX(INDIRECT("BS_"&amp;TEXT(J$1,"mmm")&amp;"_"&amp;TEXT(J$1,"yyyy")),MATCH(TRIM($A106),BS_Accounts,0))-J106</f>
        <v>0</v>
      </c>
      <c r="K107" s="76">
        <f t="array" ref="K107">INDEX(INDIRECT("BS_"&amp;TEXT(K$1,"mmm")&amp;"_"&amp;TEXT(K$1,"yyyy")),MATCH(TRIM($A106),BS_Accounts,0))-K106</f>
        <v>0</v>
      </c>
      <c r="L107" s="76">
        <f t="array" ref="L107">INDEX(INDIRECT("BS_"&amp;TEXT(L$1,"mmm")&amp;"_"&amp;TEXT(L$1,"yyyy")),MATCH(TRIM($A106),BS_Accounts,0))-L106</f>
        <v>0</v>
      </c>
      <c r="M107" s="76">
        <f t="array" ref="M107">INDEX(INDIRECT("BS_"&amp;TEXT(M$1,"mmm")&amp;"_"&amp;TEXT(M$1,"yyyy")),MATCH(TRIM($A106),BS_Accounts,0))-M106</f>
        <v>0</v>
      </c>
      <c r="N107" s="76">
        <f t="array" ref="N107">INDEX(INDIRECT("BS_"&amp;TEXT(N$1,"mmm")&amp;"_"&amp;TEXT(N$1,"yyyy")),MATCH(TRIM($A106),BS_Accounts,0))-N106</f>
        <v>0</v>
      </c>
      <c r="O107" s="76">
        <f t="array" ref="O107">INDEX(INDIRECT("BS_"&amp;TEXT(O$1,"mmm")&amp;"_"&amp;TEXT(O$1,"yyyy")),MATCH(TRIM($A106),BS_Accounts,0))-O106</f>
        <v>0</v>
      </c>
      <c r="P107" s="76">
        <f t="array" ref="P107">INDEX(INDIRECT("BS_"&amp;TEXT(P$1,"mmm")&amp;"_"&amp;TEXT(P$1,"yyyy")),MATCH(TRIM($A106),BS_Accounts,0))-P106</f>
        <v>0</v>
      </c>
      <c r="Q107" s="76">
        <f t="array" ref="Q107">INDEX(INDIRECT("BS_"&amp;TEXT(Q$1,"mmm")&amp;"_"&amp;TEXT(Q$1,"yyyy")),MATCH(TRIM($A106),BS_Accounts,0))-Q106</f>
        <v>0</v>
      </c>
      <c r="R107" s="76">
        <f t="array" ref="R107">INDEX(INDIRECT("BS_"&amp;TEXT(R$1,"mmm")&amp;"_"&amp;TEXT(R$1,"yyyy")),MATCH(TRIM($A106),BS_Accounts,0))-R106</f>
        <v>0</v>
      </c>
      <c r="S107" s="76">
        <f t="array" ref="S107">INDEX(INDIRECT("BS_"&amp;TEXT(S$1,"mmm")&amp;"_"&amp;TEXT(S$1,"yyyy")),MATCH(TRIM($A106),BS_Accounts,0))-S106</f>
        <v>0</v>
      </c>
      <c r="T107" s="76">
        <f t="array" ref="T107">INDEX(INDIRECT("BS_"&amp;TEXT(T$1,"mmm")&amp;"_"&amp;TEXT(T$1,"yyyy")),MATCH(TRIM($A106),BS_Accounts,0))-T106</f>
        <v>0</v>
      </c>
      <c r="U107" s="76">
        <f t="array" ref="U107">INDEX(INDIRECT("BS_"&amp;TEXT(U$1,"mmm")&amp;"_"&amp;TEXT(U$1,"yyyy")),MATCH(TRIM($A106),BS_Accounts,0))-U106</f>
        <v>0</v>
      </c>
      <c r="V107" s="76">
        <f t="array" ref="V107">INDEX(INDIRECT("BS_"&amp;TEXT(V$1,"mmm")&amp;"_"&amp;TEXT(V$1,"yyyy")),MATCH(TRIM($A106),BS_Accounts,0))-V106</f>
        <v>0</v>
      </c>
      <c r="W107" s="76">
        <f t="array" ref="W107">INDEX(INDIRECT("BS_"&amp;TEXT(W$1,"mmm")&amp;"_"&amp;TEXT(W$1,"yyyy")),MATCH(TRIM($A106),BS_Accounts,0))-W106</f>
        <v>0</v>
      </c>
      <c r="X107" s="76">
        <f t="array" ref="X107">INDEX(INDIRECT("BS_"&amp;TEXT(X$1,"mmm")&amp;"_"&amp;TEXT(X$1,"yyyy")),MATCH(TRIM($A106),BS_Accounts,0))-X106</f>
        <v>0</v>
      </c>
      <c r="Y107" s="76">
        <f t="array" ref="Y107">INDEX(INDIRECT("BS_"&amp;TEXT(Y$1,"mmm")&amp;"_"&amp;TEXT(Y$1,"yyyy")),MATCH(TRIM($A106),BS_Accounts,0))-Y106</f>
        <v>0</v>
      </c>
      <c r="Z107" s="76">
        <f t="array" ref="Z107">INDEX(INDIRECT("BS_"&amp;TEXT(Z$1,"mmm")&amp;"_"&amp;TEXT(Z$1,"yyyy")),MATCH(TRIM($A106),BS_Accounts,0))-Z106</f>
        <v>0</v>
      </c>
      <c r="AA107" s="76">
        <f t="array" ref="AA107">INDEX(INDIRECT("BS_"&amp;TEXT(AA$1,"mmm")&amp;"_"&amp;TEXT(AA$1,"yyyy")),MATCH(TRIM($A106),BS_Accounts,0))-AA106</f>
        <v>0</v>
      </c>
      <c r="AB107" s="76">
        <f t="array" ref="AB107">INDEX(INDIRECT("BS_"&amp;TEXT(AB$1,"mmm")&amp;"_"&amp;TEXT(AB$1,"yyyy")),MATCH(TRIM($A106),BS_Accounts,0))-AB106</f>
        <v>0</v>
      </c>
      <c r="AC107" s="76">
        <f t="array" ref="AC107">INDEX(INDIRECT("BS_"&amp;TEXT(AC$1,"mmm")&amp;"_"&amp;TEXT(AC$1,"yyyy")),MATCH(TRIM($A106),BS_Accounts,0))-AC106</f>
        <v>0</v>
      </c>
      <c r="AD107" s="76">
        <f t="array" ref="AD107">INDEX(INDIRECT("BS_"&amp;TEXT(AD$1,"mmm")&amp;"_"&amp;TEXT(AD$1,"yyyy")),MATCH(TRIM($A106),BS_Accounts,0))-AD106</f>
        <v>0</v>
      </c>
      <c r="AE107" s="76">
        <f t="array" ref="AE107">INDEX(INDIRECT("BS_"&amp;TEXT(AE$1,"mmm")&amp;"_"&amp;TEXT(AE$1,"yyyy")),MATCH(TRIM($A106),BS_Accounts,0))-AE106</f>
        <v>0</v>
      </c>
    </row>
    <row r="108" ht="15.75" customHeight="1">
      <c r="A108" s="1" t="s">
        <v>331</v>
      </c>
      <c r="B108" s="159"/>
    </row>
    <row r="109" ht="15.75" customHeight="1">
      <c r="A109" s="1" t="s">
        <v>332</v>
      </c>
      <c r="B109" s="160">
        <f>AVERAGEIFS(109:109,$1:$1,"&gt;="&amp;DATE(YEAR(Current_Month),MONTH(Current_Month),DAY(Current_Month)),$1:$1,"&lt;="&amp;EOMONTH(Current_Month,0))</f>
        <v>0</v>
      </c>
      <c r="D109" s="76">
        <f t="array" ref="D109">INDEX(INDIRECT("BS_"&amp;TEXT(D$1,"mmm")&amp;"_"&amp;TEXT(D$1,"yyyy")),MATCH(TRIM($A109),BS_Accounts,0))</f>
        <v>0</v>
      </c>
      <c r="E109" s="76">
        <f t="array" ref="E109">INDEX(INDIRECT("BS_"&amp;TEXT(E$1,"mmm")&amp;"_"&amp;TEXT(E$1,"yyyy")),MATCH(TRIM($A109),BS_Accounts,0))</f>
        <v>0</v>
      </c>
      <c r="F109" s="76">
        <f t="array" ref="F109">INDEX(INDIRECT("BS_"&amp;TEXT(F$1,"mmm")&amp;"_"&amp;TEXT(F$1,"yyyy")),MATCH(TRIM($A109),BS_Accounts,0))</f>
        <v>0</v>
      </c>
      <c r="G109" s="76">
        <f t="array" ref="G109">INDEX(INDIRECT("BS_"&amp;TEXT(G$1,"mmm")&amp;"_"&amp;TEXT(G$1,"yyyy")),MATCH(TRIM($A109),BS_Accounts,0))</f>
        <v>0</v>
      </c>
      <c r="H109" s="76">
        <f t="array" ref="H109">INDEX(INDIRECT("BS_"&amp;TEXT(H$1,"mmm")&amp;"_"&amp;TEXT(H$1,"yyyy")),MATCH(TRIM($A109),BS_Accounts,0))</f>
        <v>0</v>
      </c>
      <c r="I109" s="76">
        <f t="array" ref="I109">INDEX(INDIRECT("BS_"&amp;TEXT(I$1,"mmm")&amp;"_"&amp;TEXT(I$1,"yyyy")),MATCH(TRIM($A109),BS_Accounts,0))</f>
        <v>0</v>
      </c>
      <c r="J109" s="76">
        <f t="array" ref="J109">INDEX(INDIRECT("BS_"&amp;TEXT(J$1,"mmm")&amp;"_"&amp;TEXT(J$1,"yyyy")),MATCH(TRIM($A109),BS_Accounts,0))</f>
        <v>0</v>
      </c>
      <c r="K109" s="76">
        <f t="array" ref="K109">INDEX(INDIRECT("BS_"&amp;TEXT(K$1,"mmm")&amp;"_"&amp;TEXT(K$1,"yyyy")),MATCH(TRIM($A109),BS_Accounts,0))</f>
        <v>0</v>
      </c>
      <c r="L109" s="76">
        <f t="array" ref="L109">INDEX(INDIRECT("BS_"&amp;TEXT(L$1,"mmm")&amp;"_"&amp;TEXT(L$1,"yyyy")),MATCH(TRIM($A109),BS_Accounts,0))</f>
        <v>0</v>
      </c>
      <c r="M109" s="76">
        <f t="array" ref="M109">INDEX(INDIRECT("BS_"&amp;TEXT(M$1,"mmm")&amp;"_"&amp;TEXT(M$1,"yyyy")),MATCH(TRIM($A109),BS_Accounts,0))</f>
        <v>0</v>
      </c>
      <c r="N109" s="76">
        <f t="array" ref="N109">INDEX(INDIRECT("BS_"&amp;TEXT(N$1,"mmm")&amp;"_"&amp;TEXT(N$1,"yyyy")),MATCH(TRIM($A109),BS_Accounts,0))</f>
        <v>0</v>
      </c>
      <c r="O109" s="76">
        <f t="array" ref="O109">INDEX(INDIRECT("BS_"&amp;TEXT(O$1,"mmm")&amp;"_"&amp;TEXT(O$1,"yyyy")),MATCH(TRIM($A109),BS_Accounts,0))</f>
        <v>0</v>
      </c>
      <c r="P109" s="76">
        <f t="array" ref="P109">INDEX(INDIRECT("BS_"&amp;TEXT(P$1,"mmm")&amp;"_"&amp;TEXT(P$1,"yyyy")),MATCH(TRIM($A109),BS_Accounts,0))</f>
        <v>0</v>
      </c>
      <c r="Q109" s="76">
        <f t="array" ref="Q109">INDEX(INDIRECT("BS_"&amp;TEXT(Q$1,"mmm")&amp;"_"&amp;TEXT(Q$1,"yyyy")),MATCH(TRIM($A109),BS_Accounts,0))</f>
        <v>0</v>
      </c>
      <c r="R109" s="76">
        <f t="array" ref="R109">INDEX(INDIRECT("BS_"&amp;TEXT(R$1,"mmm")&amp;"_"&amp;TEXT(R$1,"yyyy")),MATCH(TRIM($A109),BS_Accounts,0))</f>
        <v>0</v>
      </c>
      <c r="S109" s="76">
        <f t="array" ref="S109">INDEX(INDIRECT("BS_"&amp;TEXT(S$1,"mmm")&amp;"_"&amp;TEXT(S$1,"yyyy")),MATCH(TRIM($A109),BS_Accounts,0))</f>
        <v>0</v>
      </c>
      <c r="T109" s="76">
        <f t="array" ref="T109">INDEX(INDIRECT("BS_"&amp;TEXT(T$1,"mmm")&amp;"_"&amp;TEXT(T$1,"yyyy")),MATCH(TRIM($A109),BS_Accounts,0))</f>
        <v>0</v>
      </c>
      <c r="U109" s="76">
        <f t="array" ref="U109">INDEX(INDIRECT("BS_"&amp;TEXT(U$1,"mmm")&amp;"_"&amp;TEXT(U$1,"yyyy")),MATCH(TRIM($A109),BS_Accounts,0))</f>
        <v>0</v>
      </c>
      <c r="V109" s="76">
        <f t="array" ref="V109">INDEX(INDIRECT("BS_"&amp;TEXT(V$1,"mmm")&amp;"_"&amp;TEXT(V$1,"yyyy")),MATCH(TRIM($A109),BS_Accounts,0))</f>
        <v>0</v>
      </c>
      <c r="W109" s="76">
        <f t="array" ref="W109">INDEX(INDIRECT("BS_"&amp;TEXT(W$1,"mmm")&amp;"_"&amp;TEXT(W$1,"yyyy")),MATCH(TRIM($A109),BS_Accounts,0))</f>
        <v>0</v>
      </c>
      <c r="X109" s="76">
        <f t="array" ref="X109">INDEX(INDIRECT("BS_"&amp;TEXT(X$1,"mmm")&amp;"_"&amp;TEXT(X$1,"yyyy")),MATCH(TRIM($A109),BS_Accounts,0))</f>
        <v>0</v>
      </c>
      <c r="Y109" s="76">
        <f t="array" ref="Y109">INDEX(INDIRECT("BS_"&amp;TEXT(Y$1,"mmm")&amp;"_"&amp;TEXT(Y$1,"yyyy")),MATCH(TRIM($A109),BS_Accounts,0))</f>
        <v>0</v>
      </c>
      <c r="Z109" s="76">
        <f t="array" ref="Z109">INDEX(INDIRECT("BS_"&amp;TEXT(Z$1,"mmm")&amp;"_"&amp;TEXT(Z$1,"yyyy")),MATCH(TRIM($A109),BS_Accounts,0))</f>
        <v>0</v>
      </c>
      <c r="AA109" s="76">
        <f t="array" ref="AA109">INDEX(INDIRECT("BS_"&amp;TEXT(AA$1,"mmm")&amp;"_"&amp;TEXT(AA$1,"yyyy")),MATCH(TRIM($A109),BS_Accounts,0))</f>
        <v>0</v>
      </c>
      <c r="AB109" s="76">
        <f t="array" ref="AB109">INDEX(INDIRECT("BS_"&amp;TEXT(AB$1,"mmm")&amp;"_"&amp;TEXT(AB$1,"yyyy")),MATCH(TRIM($A109),BS_Accounts,0))</f>
        <v>0</v>
      </c>
      <c r="AC109" s="76">
        <f t="array" ref="AC109">INDEX(INDIRECT("BS_"&amp;TEXT(AC$1,"mmm")&amp;"_"&amp;TEXT(AC$1,"yyyy")),MATCH(TRIM($A109),BS_Accounts,0))</f>
        <v>0</v>
      </c>
      <c r="AD109" s="76">
        <f t="array" ref="AD109">INDEX(INDIRECT("BS_"&amp;TEXT(AD$1,"mmm")&amp;"_"&amp;TEXT(AD$1,"yyyy")),MATCH(TRIM($A109),BS_Accounts,0))</f>
        <v>0</v>
      </c>
      <c r="AE109" s="76">
        <f t="array" ref="AE109">INDEX(INDIRECT("BS_"&amp;TEXT(AE$1,"mmm")&amp;"_"&amp;TEXT(AE$1,"yyyy")),MATCH(TRIM($A109),BS_Accounts,0))</f>
        <v>0</v>
      </c>
      <c r="AF109" s="96">
        <f t="shared" ref="AF109:BW109" si="52">$B109</f>
        <v>0</v>
      </c>
      <c r="AG109" s="96">
        <f t="shared" si="52"/>
        <v>0</v>
      </c>
      <c r="AH109" s="96">
        <f t="shared" si="52"/>
        <v>0</v>
      </c>
      <c r="AI109" s="96">
        <f t="shared" si="52"/>
        <v>0</v>
      </c>
      <c r="AJ109" s="96">
        <f t="shared" si="52"/>
        <v>0</v>
      </c>
      <c r="AK109" s="96">
        <f t="shared" si="52"/>
        <v>0</v>
      </c>
      <c r="AL109" s="96">
        <f t="shared" si="52"/>
        <v>0</v>
      </c>
      <c r="AM109" s="96">
        <f t="shared" si="52"/>
        <v>0</v>
      </c>
      <c r="AN109" s="96">
        <f t="shared" si="52"/>
        <v>0</v>
      </c>
      <c r="AO109" s="96">
        <f t="shared" si="52"/>
        <v>0</v>
      </c>
      <c r="AP109" s="96">
        <f t="shared" si="52"/>
        <v>0</v>
      </c>
      <c r="AQ109" s="96">
        <f t="shared" si="52"/>
        <v>0</v>
      </c>
      <c r="AR109" s="96">
        <f t="shared" si="52"/>
        <v>0</v>
      </c>
      <c r="AS109" s="96">
        <f t="shared" si="52"/>
        <v>0</v>
      </c>
      <c r="AT109" s="96">
        <f t="shared" si="52"/>
        <v>0</v>
      </c>
      <c r="AU109" s="96">
        <f t="shared" si="52"/>
        <v>0</v>
      </c>
      <c r="AV109" s="96">
        <f t="shared" si="52"/>
        <v>0</v>
      </c>
      <c r="AW109" s="96">
        <f t="shared" si="52"/>
        <v>0</v>
      </c>
      <c r="AX109" s="96">
        <f t="shared" si="52"/>
        <v>0</v>
      </c>
      <c r="AY109" s="96">
        <f t="shared" si="52"/>
        <v>0</v>
      </c>
      <c r="AZ109" s="96">
        <f t="shared" si="52"/>
        <v>0</v>
      </c>
      <c r="BA109" s="96">
        <f t="shared" si="52"/>
        <v>0</v>
      </c>
      <c r="BB109" s="96">
        <f t="shared" si="52"/>
        <v>0</v>
      </c>
      <c r="BC109" s="96">
        <f t="shared" si="52"/>
        <v>0</v>
      </c>
      <c r="BD109" s="96">
        <f t="shared" si="52"/>
        <v>0</v>
      </c>
      <c r="BE109" s="96">
        <f t="shared" si="52"/>
        <v>0</v>
      </c>
      <c r="BF109" s="96">
        <f t="shared" si="52"/>
        <v>0</v>
      </c>
      <c r="BG109" s="96">
        <f t="shared" si="52"/>
        <v>0</v>
      </c>
      <c r="BH109" s="96">
        <f t="shared" si="52"/>
        <v>0</v>
      </c>
      <c r="BI109" s="96">
        <f t="shared" si="52"/>
        <v>0</v>
      </c>
      <c r="BJ109" s="96">
        <f t="shared" si="52"/>
        <v>0</v>
      </c>
      <c r="BK109" s="96">
        <f t="shared" si="52"/>
        <v>0</v>
      </c>
      <c r="BL109" s="96">
        <f t="shared" si="52"/>
        <v>0</v>
      </c>
      <c r="BM109" s="96">
        <f t="shared" si="52"/>
        <v>0</v>
      </c>
      <c r="BN109" s="96">
        <f t="shared" si="52"/>
        <v>0</v>
      </c>
      <c r="BO109" s="96">
        <f t="shared" si="52"/>
        <v>0</v>
      </c>
      <c r="BP109" s="96">
        <f t="shared" si="52"/>
        <v>0</v>
      </c>
      <c r="BQ109" s="96">
        <f t="shared" si="52"/>
        <v>0</v>
      </c>
      <c r="BR109" s="96">
        <f t="shared" si="52"/>
        <v>0</v>
      </c>
      <c r="BS109" s="96">
        <f t="shared" si="52"/>
        <v>0</v>
      </c>
      <c r="BT109" s="96">
        <f t="shared" si="52"/>
        <v>0</v>
      </c>
      <c r="BU109" s="96">
        <f t="shared" si="52"/>
        <v>0</v>
      </c>
      <c r="BV109" s="96">
        <f t="shared" si="52"/>
        <v>0</v>
      </c>
      <c r="BW109" s="96">
        <f t="shared" si="52"/>
        <v>0</v>
      </c>
    </row>
    <row r="110" ht="15.75" customHeight="1">
      <c r="A110" s="1" t="s">
        <v>333</v>
      </c>
      <c r="B110" s="160">
        <f>AVERAGEIFS(110:110,$1:$1,"&gt;="&amp;DATE(YEAR(Current_Month),MONTH(Current_Month),DAY(Current_Month)),$1:$1,"&lt;="&amp;EOMONTH(Current_Month,0))</f>
        <v>0</v>
      </c>
      <c r="D110" s="76">
        <f t="array" ref="D110">INDEX(INDIRECT("BS_"&amp;TEXT(D$1,"mmm")&amp;"_"&amp;TEXT(D$1,"yyyy")),MATCH(TRIM($A110),BS_Accounts,0))</f>
        <v>0</v>
      </c>
      <c r="E110" s="76">
        <f t="array" ref="E110">INDEX(INDIRECT("BS_"&amp;TEXT(E$1,"mmm")&amp;"_"&amp;TEXT(E$1,"yyyy")),MATCH(TRIM($A110),BS_Accounts,0))</f>
        <v>0</v>
      </c>
      <c r="F110" s="76">
        <f t="array" ref="F110">INDEX(INDIRECT("BS_"&amp;TEXT(F$1,"mmm")&amp;"_"&amp;TEXT(F$1,"yyyy")),MATCH(TRIM($A110),BS_Accounts,0))</f>
        <v>0</v>
      </c>
      <c r="G110" s="76">
        <f t="array" ref="G110">INDEX(INDIRECT("BS_"&amp;TEXT(G$1,"mmm")&amp;"_"&amp;TEXT(G$1,"yyyy")),MATCH(TRIM($A110),BS_Accounts,0))</f>
        <v>0</v>
      </c>
      <c r="H110" s="76">
        <f t="array" ref="H110">INDEX(INDIRECT("BS_"&amp;TEXT(H$1,"mmm")&amp;"_"&amp;TEXT(H$1,"yyyy")),MATCH(TRIM($A110),BS_Accounts,0))</f>
        <v>0</v>
      </c>
      <c r="I110" s="76">
        <f t="array" ref="I110">INDEX(INDIRECT("BS_"&amp;TEXT(I$1,"mmm")&amp;"_"&amp;TEXT(I$1,"yyyy")),MATCH(TRIM($A110),BS_Accounts,0))</f>
        <v>0</v>
      </c>
      <c r="J110" s="76">
        <f t="array" ref="J110">INDEX(INDIRECT("BS_"&amp;TEXT(J$1,"mmm")&amp;"_"&amp;TEXT(J$1,"yyyy")),MATCH(TRIM($A110),BS_Accounts,0))</f>
        <v>0</v>
      </c>
      <c r="K110" s="76">
        <f t="array" ref="K110">INDEX(INDIRECT("BS_"&amp;TEXT(K$1,"mmm")&amp;"_"&amp;TEXT(K$1,"yyyy")),MATCH(TRIM($A110),BS_Accounts,0))</f>
        <v>0</v>
      </c>
      <c r="L110" s="76">
        <f t="array" ref="L110">INDEX(INDIRECT("BS_"&amp;TEXT(L$1,"mmm")&amp;"_"&amp;TEXT(L$1,"yyyy")),MATCH(TRIM($A110),BS_Accounts,0))</f>
        <v>0</v>
      </c>
      <c r="M110" s="76">
        <f t="array" ref="M110">INDEX(INDIRECT("BS_"&amp;TEXT(M$1,"mmm")&amp;"_"&amp;TEXT(M$1,"yyyy")),MATCH(TRIM($A110),BS_Accounts,0))</f>
        <v>0</v>
      </c>
      <c r="N110" s="76">
        <f t="array" ref="N110">INDEX(INDIRECT("BS_"&amp;TEXT(N$1,"mmm")&amp;"_"&amp;TEXT(N$1,"yyyy")),MATCH(TRIM($A110),BS_Accounts,0))</f>
        <v>0</v>
      </c>
      <c r="O110" s="76">
        <f t="array" ref="O110">INDEX(INDIRECT("BS_"&amp;TEXT(O$1,"mmm")&amp;"_"&amp;TEXT(O$1,"yyyy")),MATCH(TRIM($A110),BS_Accounts,0))</f>
        <v>0</v>
      </c>
      <c r="P110" s="76">
        <f t="array" ref="P110">INDEX(INDIRECT("BS_"&amp;TEXT(P$1,"mmm")&amp;"_"&amp;TEXT(P$1,"yyyy")),MATCH(TRIM($A110),BS_Accounts,0))</f>
        <v>0</v>
      </c>
      <c r="Q110" s="76">
        <f t="array" ref="Q110">INDEX(INDIRECT("BS_"&amp;TEXT(Q$1,"mmm")&amp;"_"&amp;TEXT(Q$1,"yyyy")),MATCH(TRIM($A110),BS_Accounts,0))</f>
        <v>0</v>
      </c>
      <c r="R110" s="76">
        <f t="array" ref="R110">INDEX(INDIRECT("BS_"&amp;TEXT(R$1,"mmm")&amp;"_"&amp;TEXT(R$1,"yyyy")),MATCH(TRIM($A110),BS_Accounts,0))</f>
        <v>0</v>
      </c>
      <c r="S110" s="76">
        <f t="array" ref="S110">INDEX(INDIRECT("BS_"&amp;TEXT(S$1,"mmm")&amp;"_"&amp;TEXT(S$1,"yyyy")),MATCH(TRIM($A110),BS_Accounts,0))</f>
        <v>0</v>
      </c>
      <c r="T110" s="76">
        <f t="array" ref="T110">INDEX(INDIRECT("BS_"&amp;TEXT(T$1,"mmm")&amp;"_"&amp;TEXT(T$1,"yyyy")),MATCH(TRIM($A110),BS_Accounts,0))</f>
        <v>0</v>
      </c>
      <c r="U110" s="76">
        <f t="array" ref="U110">INDEX(INDIRECT("BS_"&amp;TEXT(U$1,"mmm")&amp;"_"&amp;TEXT(U$1,"yyyy")),MATCH(TRIM($A110),BS_Accounts,0))</f>
        <v>0</v>
      </c>
      <c r="V110" s="76">
        <f t="array" ref="V110">INDEX(INDIRECT("BS_"&amp;TEXT(V$1,"mmm")&amp;"_"&amp;TEXT(V$1,"yyyy")),MATCH(TRIM($A110),BS_Accounts,0))</f>
        <v>0</v>
      </c>
      <c r="W110" s="76">
        <f t="array" ref="W110">INDEX(INDIRECT("BS_"&amp;TEXT(W$1,"mmm")&amp;"_"&amp;TEXT(W$1,"yyyy")),MATCH(TRIM($A110),BS_Accounts,0))</f>
        <v>0</v>
      </c>
      <c r="X110" s="76">
        <f t="array" ref="X110">INDEX(INDIRECT("BS_"&amp;TEXT(X$1,"mmm")&amp;"_"&amp;TEXT(X$1,"yyyy")),MATCH(TRIM($A110),BS_Accounts,0))</f>
        <v>0</v>
      </c>
      <c r="Y110" s="76">
        <f t="array" ref="Y110">INDEX(INDIRECT("BS_"&amp;TEXT(Y$1,"mmm")&amp;"_"&amp;TEXT(Y$1,"yyyy")),MATCH(TRIM($A110),BS_Accounts,0))</f>
        <v>0</v>
      </c>
      <c r="Z110" s="76">
        <f t="array" ref="Z110">INDEX(INDIRECT("BS_"&amp;TEXT(Z$1,"mmm")&amp;"_"&amp;TEXT(Z$1,"yyyy")),MATCH(TRIM($A110),BS_Accounts,0))</f>
        <v>0</v>
      </c>
      <c r="AA110" s="76">
        <f t="array" ref="AA110">INDEX(INDIRECT("BS_"&amp;TEXT(AA$1,"mmm")&amp;"_"&amp;TEXT(AA$1,"yyyy")),MATCH(TRIM($A110),BS_Accounts,0))</f>
        <v>0</v>
      </c>
      <c r="AB110" s="76">
        <f t="array" ref="AB110">INDEX(INDIRECT("BS_"&amp;TEXT(AB$1,"mmm")&amp;"_"&amp;TEXT(AB$1,"yyyy")),MATCH(TRIM($A110),BS_Accounts,0))</f>
        <v>0</v>
      </c>
      <c r="AC110" s="76">
        <f t="array" ref="AC110">INDEX(INDIRECT("BS_"&amp;TEXT(AC$1,"mmm")&amp;"_"&amp;TEXT(AC$1,"yyyy")),MATCH(TRIM($A110),BS_Accounts,0))</f>
        <v>0</v>
      </c>
      <c r="AD110" s="76">
        <f t="array" ref="AD110">INDEX(INDIRECT("BS_"&amp;TEXT(AD$1,"mmm")&amp;"_"&amp;TEXT(AD$1,"yyyy")),MATCH(TRIM($A110),BS_Accounts,0))</f>
        <v>0</v>
      </c>
      <c r="AE110" s="76">
        <f t="array" ref="AE110">INDEX(INDIRECT("BS_"&amp;TEXT(AE$1,"mmm")&amp;"_"&amp;TEXT(AE$1,"yyyy")),MATCH(TRIM($A110),BS_Accounts,0))</f>
        <v>0</v>
      </c>
      <c r="AF110" s="96">
        <f t="shared" ref="AF110:BW110" si="53">$B110</f>
        <v>0</v>
      </c>
      <c r="AG110" s="96">
        <f t="shared" si="53"/>
        <v>0</v>
      </c>
      <c r="AH110" s="96">
        <f t="shared" si="53"/>
        <v>0</v>
      </c>
      <c r="AI110" s="96">
        <f t="shared" si="53"/>
        <v>0</v>
      </c>
      <c r="AJ110" s="96">
        <f t="shared" si="53"/>
        <v>0</v>
      </c>
      <c r="AK110" s="96">
        <f t="shared" si="53"/>
        <v>0</v>
      </c>
      <c r="AL110" s="96">
        <f t="shared" si="53"/>
        <v>0</v>
      </c>
      <c r="AM110" s="96">
        <f t="shared" si="53"/>
        <v>0</v>
      </c>
      <c r="AN110" s="96">
        <f t="shared" si="53"/>
        <v>0</v>
      </c>
      <c r="AO110" s="96">
        <f t="shared" si="53"/>
        <v>0</v>
      </c>
      <c r="AP110" s="96">
        <f t="shared" si="53"/>
        <v>0</v>
      </c>
      <c r="AQ110" s="96">
        <f t="shared" si="53"/>
        <v>0</v>
      </c>
      <c r="AR110" s="96">
        <f t="shared" si="53"/>
        <v>0</v>
      </c>
      <c r="AS110" s="96">
        <f t="shared" si="53"/>
        <v>0</v>
      </c>
      <c r="AT110" s="96">
        <f t="shared" si="53"/>
        <v>0</v>
      </c>
      <c r="AU110" s="96">
        <f t="shared" si="53"/>
        <v>0</v>
      </c>
      <c r="AV110" s="96">
        <f t="shared" si="53"/>
        <v>0</v>
      </c>
      <c r="AW110" s="96">
        <f t="shared" si="53"/>
        <v>0</v>
      </c>
      <c r="AX110" s="96">
        <f t="shared" si="53"/>
        <v>0</v>
      </c>
      <c r="AY110" s="96">
        <f t="shared" si="53"/>
        <v>0</v>
      </c>
      <c r="AZ110" s="96">
        <f t="shared" si="53"/>
        <v>0</v>
      </c>
      <c r="BA110" s="96">
        <f t="shared" si="53"/>
        <v>0</v>
      </c>
      <c r="BB110" s="96">
        <f t="shared" si="53"/>
        <v>0</v>
      </c>
      <c r="BC110" s="96">
        <f t="shared" si="53"/>
        <v>0</v>
      </c>
      <c r="BD110" s="96">
        <f t="shared" si="53"/>
        <v>0</v>
      </c>
      <c r="BE110" s="96">
        <f t="shared" si="53"/>
        <v>0</v>
      </c>
      <c r="BF110" s="96">
        <f t="shared" si="53"/>
        <v>0</v>
      </c>
      <c r="BG110" s="96">
        <f t="shared" si="53"/>
        <v>0</v>
      </c>
      <c r="BH110" s="96">
        <f t="shared" si="53"/>
        <v>0</v>
      </c>
      <c r="BI110" s="96">
        <f t="shared" si="53"/>
        <v>0</v>
      </c>
      <c r="BJ110" s="96">
        <f t="shared" si="53"/>
        <v>0</v>
      </c>
      <c r="BK110" s="96">
        <f t="shared" si="53"/>
        <v>0</v>
      </c>
      <c r="BL110" s="96">
        <f t="shared" si="53"/>
        <v>0</v>
      </c>
      <c r="BM110" s="96">
        <f t="shared" si="53"/>
        <v>0</v>
      </c>
      <c r="BN110" s="96">
        <f t="shared" si="53"/>
        <v>0</v>
      </c>
      <c r="BO110" s="96">
        <f t="shared" si="53"/>
        <v>0</v>
      </c>
      <c r="BP110" s="96">
        <f t="shared" si="53"/>
        <v>0</v>
      </c>
      <c r="BQ110" s="96">
        <f t="shared" si="53"/>
        <v>0</v>
      </c>
      <c r="BR110" s="96">
        <f t="shared" si="53"/>
        <v>0</v>
      </c>
      <c r="BS110" s="96">
        <f t="shared" si="53"/>
        <v>0</v>
      </c>
      <c r="BT110" s="96">
        <f t="shared" si="53"/>
        <v>0</v>
      </c>
      <c r="BU110" s="96">
        <f t="shared" si="53"/>
        <v>0</v>
      </c>
      <c r="BV110" s="96">
        <f t="shared" si="53"/>
        <v>0</v>
      </c>
      <c r="BW110" s="96">
        <f t="shared" si="53"/>
        <v>0</v>
      </c>
    </row>
    <row r="111" ht="15.75" customHeight="1">
      <c r="A111" s="21" t="s">
        <v>334</v>
      </c>
      <c r="B111" s="163"/>
      <c r="C111" s="21"/>
      <c r="D111" s="157">
        <f t="shared" ref="D111:BW111" si="54">SUM(D109:D110)</f>
        <v>0</v>
      </c>
      <c r="E111" s="157">
        <f t="shared" si="54"/>
        <v>0</v>
      </c>
      <c r="F111" s="157">
        <f t="shared" si="54"/>
        <v>0</v>
      </c>
      <c r="G111" s="157">
        <f t="shared" si="54"/>
        <v>0</v>
      </c>
      <c r="H111" s="157">
        <f t="shared" si="54"/>
        <v>0</v>
      </c>
      <c r="I111" s="157">
        <f t="shared" si="54"/>
        <v>0</v>
      </c>
      <c r="J111" s="157">
        <f t="shared" si="54"/>
        <v>0</v>
      </c>
      <c r="K111" s="157">
        <f t="shared" si="54"/>
        <v>0</v>
      </c>
      <c r="L111" s="157">
        <f t="shared" si="54"/>
        <v>0</v>
      </c>
      <c r="M111" s="157">
        <f t="shared" si="54"/>
        <v>0</v>
      </c>
      <c r="N111" s="157">
        <f t="shared" si="54"/>
        <v>0</v>
      </c>
      <c r="O111" s="157">
        <f t="shared" si="54"/>
        <v>0</v>
      </c>
      <c r="P111" s="157">
        <f t="shared" si="54"/>
        <v>0</v>
      </c>
      <c r="Q111" s="157">
        <f t="shared" si="54"/>
        <v>0</v>
      </c>
      <c r="R111" s="157">
        <f t="shared" si="54"/>
        <v>0</v>
      </c>
      <c r="S111" s="157">
        <f t="shared" si="54"/>
        <v>0</v>
      </c>
      <c r="T111" s="157">
        <f t="shared" si="54"/>
        <v>0</v>
      </c>
      <c r="U111" s="157">
        <f t="shared" si="54"/>
        <v>0</v>
      </c>
      <c r="V111" s="157">
        <f t="shared" si="54"/>
        <v>0</v>
      </c>
      <c r="W111" s="157">
        <f t="shared" si="54"/>
        <v>0</v>
      </c>
      <c r="X111" s="157">
        <f t="shared" si="54"/>
        <v>0</v>
      </c>
      <c r="Y111" s="157">
        <f t="shared" si="54"/>
        <v>0</v>
      </c>
      <c r="Z111" s="157">
        <f t="shared" si="54"/>
        <v>0</v>
      </c>
      <c r="AA111" s="157">
        <f t="shared" si="54"/>
        <v>0</v>
      </c>
      <c r="AB111" s="157">
        <f t="shared" si="54"/>
        <v>0</v>
      </c>
      <c r="AC111" s="157">
        <f t="shared" si="54"/>
        <v>0</v>
      </c>
      <c r="AD111" s="157">
        <f t="shared" si="54"/>
        <v>0</v>
      </c>
      <c r="AE111" s="157">
        <f t="shared" si="54"/>
        <v>0</v>
      </c>
      <c r="AF111" s="157">
        <f t="shared" si="54"/>
        <v>0</v>
      </c>
      <c r="AG111" s="157">
        <f t="shared" si="54"/>
        <v>0</v>
      </c>
      <c r="AH111" s="157">
        <f t="shared" si="54"/>
        <v>0</v>
      </c>
      <c r="AI111" s="157">
        <f t="shared" si="54"/>
        <v>0</v>
      </c>
      <c r="AJ111" s="157">
        <f t="shared" si="54"/>
        <v>0</v>
      </c>
      <c r="AK111" s="157">
        <f t="shared" si="54"/>
        <v>0</v>
      </c>
      <c r="AL111" s="157">
        <f t="shared" si="54"/>
        <v>0</v>
      </c>
      <c r="AM111" s="157">
        <f t="shared" si="54"/>
        <v>0</v>
      </c>
      <c r="AN111" s="157">
        <f t="shared" si="54"/>
        <v>0</v>
      </c>
      <c r="AO111" s="157">
        <f t="shared" si="54"/>
        <v>0</v>
      </c>
      <c r="AP111" s="157">
        <f t="shared" si="54"/>
        <v>0</v>
      </c>
      <c r="AQ111" s="157">
        <f t="shared" si="54"/>
        <v>0</v>
      </c>
      <c r="AR111" s="157">
        <f t="shared" si="54"/>
        <v>0</v>
      </c>
      <c r="AS111" s="157">
        <f t="shared" si="54"/>
        <v>0</v>
      </c>
      <c r="AT111" s="157">
        <f t="shared" si="54"/>
        <v>0</v>
      </c>
      <c r="AU111" s="157">
        <f t="shared" si="54"/>
        <v>0</v>
      </c>
      <c r="AV111" s="157">
        <f t="shared" si="54"/>
        <v>0</v>
      </c>
      <c r="AW111" s="157">
        <f t="shared" si="54"/>
        <v>0</v>
      </c>
      <c r="AX111" s="157">
        <f t="shared" si="54"/>
        <v>0</v>
      </c>
      <c r="AY111" s="157">
        <f t="shared" si="54"/>
        <v>0</v>
      </c>
      <c r="AZ111" s="157">
        <f t="shared" si="54"/>
        <v>0</v>
      </c>
      <c r="BA111" s="157">
        <f t="shared" si="54"/>
        <v>0</v>
      </c>
      <c r="BB111" s="157">
        <f t="shared" si="54"/>
        <v>0</v>
      </c>
      <c r="BC111" s="157">
        <f t="shared" si="54"/>
        <v>0</v>
      </c>
      <c r="BD111" s="157">
        <f t="shared" si="54"/>
        <v>0</v>
      </c>
      <c r="BE111" s="157">
        <f t="shared" si="54"/>
        <v>0</v>
      </c>
      <c r="BF111" s="157">
        <f t="shared" si="54"/>
        <v>0</v>
      </c>
      <c r="BG111" s="157">
        <f t="shared" si="54"/>
        <v>0</v>
      </c>
      <c r="BH111" s="157">
        <f t="shared" si="54"/>
        <v>0</v>
      </c>
      <c r="BI111" s="157">
        <f t="shared" si="54"/>
        <v>0</v>
      </c>
      <c r="BJ111" s="157">
        <f t="shared" si="54"/>
        <v>0</v>
      </c>
      <c r="BK111" s="157">
        <f t="shared" si="54"/>
        <v>0</v>
      </c>
      <c r="BL111" s="157">
        <f t="shared" si="54"/>
        <v>0</v>
      </c>
      <c r="BM111" s="157">
        <f t="shared" si="54"/>
        <v>0</v>
      </c>
      <c r="BN111" s="157">
        <f t="shared" si="54"/>
        <v>0</v>
      </c>
      <c r="BO111" s="157">
        <f t="shared" si="54"/>
        <v>0</v>
      </c>
      <c r="BP111" s="157">
        <f t="shared" si="54"/>
        <v>0</v>
      </c>
      <c r="BQ111" s="157">
        <f t="shared" si="54"/>
        <v>0</v>
      </c>
      <c r="BR111" s="157">
        <f t="shared" si="54"/>
        <v>0</v>
      </c>
      <c r="BS111" s="157">
        <f t="shared" si="54"/>
        <v>0</v>
      </c>
      <c r="BT111" s="157">
        <f t="shared" si="54"/>
        <v>0</v>
      </c>
      <c r="BU111" s="157">
        <f t="shared" si="54"/>
        <v>0</v>
      </c>
      <c r="BV111" s="157">
        <f t="shared" si="54"/>
        <v>0</v>
      </c>
      <c r="BW111" s="157">
        <f t="shared" si="54"/>
        <v>0</v>
      </c>
    </row>
    <row r="112" ht="15.75" customHeight="1">
      <c r="A112" s="31" t="s">
        <v>244</v>
      </c>
      <c r="B112" s="159"/>
      <c r="D112" s="76">
        <f t="array" ref="D112">INDEX(INDIRECT("BS_"&amp;TEXT(D$1,"mmm")&amp;"_"&amp;TEXT(D$1,"yyyy")),MATCH(TRIM($A111),BS_Accounts,0))-D111</f>
        <v>0</v>
      </c>
      <c r="E112" s="76">
        <f t="array" ref="E112">INDEX(INDIRECT("BS_"&amp;TEXT(E$1,"mmm")&amp;"_"&amp;TEXT(E$1,"yyyy")),MATCH(TRIM($A111),BS_Accounts,0))-E111</f>
        <v>0</v>
      </c>
      <c r="F112" s="76">
        <f t="array" ref="F112">INDEX(INDIRECT("BS_"&amp;TEXT(F$1,"mmm")&amp;"_"&amp;TEXT(F$1,"yyyy")),MATCH(TRIM($A111),BS_Accounts,0))-F111</f>
        <v>0</v>
      </c>
      <c r="G112" s="76">
        <f t="array" ref="G112">INDEX(INDIRECT("BS_"&amp;TEXT(G$1,"mmm")&amp;"_"&amp;TEXT(G$1,"yyyy")),MATCH(TRIM($A111),BS_Accounts,0))-G111</f>
        <v>0</v>
      </c>
      <c r="H112" s="76">
        <f t="array" ref="H112">INDEX(INDIRECT("BS_"&amp;TEXT(H$1,"mmm")&amp;"_"&amp;TEXT(H$1,"yyyy")),MATCH(TRIM($A111),BS_Accounts,0))-H111</f>
        <v>0</v>
      </c>
      <c r="I112" s="76">
        <f t="array" ref="I112">INDEX(INDIRECT("BS_"&amp;TEXT(I$1,"mmm")&amp;"_"&amp;TEXT(I$1,"yyyy")),MATCH(TRIM($A111),BS_Accounts,0))-I111</f>
        <v>0</v>
      </c>
      <c r="J112" s="76">
        <f t="array" ref="J112">INDEX(INDIRECT("BS_"&amp;TEXT(J$1,"mmm")&amp;"_"&amp;TEXT(J$1,"yyyy")),MATCH(TRIM($A111),BS_Accounts,0))-J111</f>
        <v>0</v>
      </c>
      <c r="K112" s="76">
        <f t="array" ref="K112">INDEX(INDIRECT("BS_"&amp;TEXT(K$1,"mmm")&amp;"_"&amp;TEXT(K$1,"yyyy")),MATCH(TRIM($A111),BS_Accounts,0))-K111</f>
        <v>0</v>
      </c>
      <c r="L112" s="76">
        <f t="array" ref="L112">INDEX(INDIRECT("BS_"&amp;TEXT(L$1,"mmm")&amp;"_"&amp;TEXT(L$1,"yyyy")),MATCH(TRIM($A111),BS_Accounts,0))-L111</f>
        <v>0</v>
      </c>
      <c r="M112" s="76">
        <f t="array" ref="M112">INDEX(INDIRECT("BS_"&amp;TEXT(M$1,"mmm")&amp;"_"&amp;TEXT(M$1,"yyyy")),MATCH(TRIM($A111),BS_Accounts,0))-M111</f>
        <v>0</v>
      </c>
      <c r="N112" s="76">
        <f t="array" ref="N112">INDEX(INDIRECT("BS_"&amp;TEXT(N$1,"mmm")&amp;"_"&amp;TEXT(N$1,"yyyy")),MATCH(TRIM($A111),BS_Accounts,0))-N111</f>
        <v>0</v>
      </c>
      <c r="O112" s="76">
        <f t="array" ref="O112">INDEX(INDIRECT("BS_"&amp;TEXT(O$1,"mmm")&amp;"_"&amp;TEXT(O$1,"yyyy")),MATCH(TRIM($A111),BS_Accounts,0))-O111</f>
        <v>0</v>
      </c>
      <c r="P112" s="76">
        <f t="array" ref="P112">INDEX(INDIRECT("BS_"&amp;TEXT(P$1,"mmm")&amp;"_"&amp;TEXT(P$1,"yyyy")),MATCH(TRIM($A111),BS_Accounts,0))-P111</f>
        <v>0</v>
      </c>
      <c r="Q112" s="76">
        <f t="array" ref="Q112">INDEX(INDIRECT("BS_"&amp;TEXT(Q$1,"mmm")&amp;"_"&amp;TEXT(Q$1,"yyyy")),MATCH(TRIM($A111),BS_Accounts,0))-Q111</f>
        <v>0</v>
      </c>
      <c r="R112" s="76">
        <f t="array" ref="R112">INDEX(INDIRECT("BS_"&amp;TEXT(R$1,"mmm")&amp;"_"&amp;TEXT(R$1,"yyyy")),MATCH(TRIM($A111),BS_Accounts,0))-R111</f>
        <v>0</v>
      </c>
      <c r="S112" s="76">
        <f t="array" ref="S112">INDEX(INDIRECT("BS_"&amp;TEXT(S$1,"mmm")&amp;"_"&amp;TEXT(S$1,"yyyy")),MATCH(TRIM($A111),BS_Accounts,0))-S111</f>
        <v>0</v>
      </c>
      <c r="T112" s="76">
        <f t="array" ref="T112">INDEX(INDIRECT("BS_"&amp;TEXT(T$1,"mmm")&amp;"_"&amp;TEXT(T$1,"yyyy")),MATCH(TRIM($A111),BS_Accounts,0))-T111</f>
        <v>0</v>
      </c>
      <c r="U112" s="76">
        <f t="array" ref="U112">INDEX(INDIRECT("BS_"&amp;TEXT(U$1,"mmm")&amp;"_"&amp;TEXT(U$1,"yyyy")),MATCH(TRIM($A111),BS_Accounts,0))-U111</f>
        <v>0</v>
      </c>
      <c r="V112" s="76">
        <f t="array" ref="V112">INDEX(INDIRECT("BS_"&amp;TEXT(V$1,"mmm")&amp;"_"&amp;TEXT(V$1,"yyyy")),MATCH(TRIM($A111),BS_Accounts,0))-V111</f>
        <v>0</v>
      </c>
      <c r="W112" s="76">
        <f t="array" ref="W112">INDEX(INDIRECT("BS_"&amp;TEXT(W$1,"mmm")&amp;"_"&amp;TEXT(W$1,"yyyy")),MATCH(TRIM($A111),BS_Accounts,0))-W111</f>
        <v>0</v>
      </c>
      <c r="X112" s="76">
        <f t="array" ref="X112">INDEX(INDIRECT("BS_"&amp;TEXT(X$1,"mmm")&amp;"_"&amp;TEXT(X$1,"yyyy")),MATCH(TRIM($A111),BS_Accounts,0))-X111</f>
        <v>0</v>
      </c>
      <c r="Y112" s="76">
        <f t="array" ref="Y112">INDEX(INDIRECT("BS_"&amp;TEXT(Y$1,"mmm")&amp;"_"&amp;TEXT(Y$1,"yyyy")),MATCH(TRIM($A111),BS_Accounts,0))-Y111</f>
        <v>0</v>
      </c>
      <c r="Z112" s="76">
        <f t="array" ref="Z112">INDEX(INDIRECT("BS_"&amp;TEXT(Z$1,"mmm")&amp;"_"&amp;TEXT(Z$1,"yyyy")),MATCH(TRIM($A111),BS_Accounts,0))-Z111</f>
        <v>0</v>
      </c>
      <c r="AA112" s="76">
        <f t="array" ref="AA112">INDEX(INDIRECT("BS_"&amp;TEXT(AA$1,"mmm")&amp;"_"&amp;TEXT(AA$1,"yyyy")),MATCH(TRIM($A111),BS_Accounts,0))-AA111</f>
        <v>0</v>
      </c>
      <c r="AB112" s="76">
        <f t="array" ref="AB112">INDEX(INDIRECT("BS_"&amp;TEXT(AB$1,"mmm")&amp;"_"&amp;TEXT(AB$1,"yyyy")),MATCH(TRIM($A111),BS_Accounts,0))-AB111</f>
        <v>0</v>
      </c>
      <c r="AC112" s="76">
        <f t="array" ref="AC112">INDEX(INDIRECT("BS_"&amp;TEXT(AC$1,"mmm")&amp;"_"&amp;TEXT(AC$1,"yyyy")),MATCH(TRIM($A111),BS_Accounts,0))-AC111</f>
        <v>0</v>
      </c>
      <c r="AD112" s="76">
        <f t="array" ref="AD112">INDEX(INDIRECT("BS_"&amp;TEXT(AD$1,"mmm")&amp;"_"&amp;TEXT(AD$1,"yyyy")),MATCH(TRIM($A111),BS_Accounts,0))-AD111</f>
        <v>0</v>
      </c>
      <c r="AE112" s="76">
        <f t="array" ref="AE112">INDEX(INDIRECT("BS_"&amp;TEXT(AE$1,"mmm")&amp;"_"&amp;TEXT(AE$1,"yyyy")),MATCH(TRIM($A111),BS_Accounts,0))-AE111</f>
        <v>0</v>
      </c>
    </row>
    <row r="113" ht="15.75" customHeight="1">
      <c r="A113" s="1" t="s">
        <v>335</v>
      </c>
      <c r="B113" s="159"/>
    </row>
    <row r="114" ht="15.75" customHeight="1">
      <c r="A114" s="1" t="s">
        <v>336</v>
      </c>
      <c r="B114" s="160">
        <f>AVERAGEIFS(114:114,$1:$1,"&gt;="&amp;DATE(YEAR(Current_Month),MONTH(Current_Month),DAY(Current_Month)),$1:$1,"&lt;="&amp;EOMONTH(Current_Month,0))</f>
        <v>0</v>
      </c>
      <c r="D114" s="76">
        <f t="array" ref="D114">INDEX(INDIRECT("BS_"&amp;TEXT(D$1,"mmm")&amp;"_"&amp;TEXT(D$1,"yyyy")),MATCH(TRIM($A114),BS_Accounts,0))</f>
        <v>0</v>
      </c>
      <c r="E114" s="76">
        <f t="array" ref="E114">INDEX(INDIRECT("BS_"&amp;TEXT(E$1,"mmm")&amp;"_"&amp;TEXT(E$1,"yyyy")),MATCH(TRIM($A114),BS_Accounts,0))</f>
        <v>0</v>
      </c>
      <c r="F114" s="76">
        <f t="array" ref="F114">INDEX(INDIRECT("BS_"&amp;TEXT(F$1,"mmm")&amp;"_"&amp;TEXT(F$1,"yyyy")),MATCH(TRIM($A114),BS_Accounts,0))</f>
        <v>0</v>
      </c>
      <c r="G114" s="76">
        <f t="array" ref="G114">INDEX(INDIRECT("BS_"&amp;TEXT(G$1,"mmm")&amp;"_"&amp;TEXT(G$1,"yyyy")),MATCH(TRIM($A114),BS_Accounts,0))</f>
        <v>0</v>
      </c>
      <c r="H114" s="76">
        <f t="array" ref="H114">INDEX(INDIRECT("BS_"&amp;TEXT(H$1,"mmm")&amp;"_"&amp;TEXT(H$1,"yyyy")),MATCH(TRIM($A114),BS_Accounts,0))</f>
        <v>0</v>
      </c>
      <c r="I114" s="76">
        <f t="array" ref="I114">INDEX(INDIRECT("BS_"&amp;TEXT(I$1,"mmm")&amp;"_"&amp;TEXT(I$1,"yyyy")),MATCH(TRIM($A114),BS_Accounts,0))</f>
        <v>0</v>
      </c>
      <c r="J114" s="76">
        <f t="array" ref="J114">INDEX(INDIRECT("BS_"&amp;TEXT(J$1,"mmm")&amp;"_"&amp;TEXT(J$1,"yyyy")),MATCH(TRIM($A114),BS_Accounts,0))</f>
        <v>0</v>
      </c>
      <c r="K114" s="76">
        <f t="array" ref="K114">INDEX(INDIRECT("BS_"&amp;TEXT(K$1,"mmm")&amp;"_"&amp;TEXT(K$1,"yyyy")),MATCH(TRIM($A114),BS_Accounts,0))</f>
        <v>0</v>
      </c>
      <c r="L114" s="76">
        <f t="array" ref="L114">INDEX(INDIRECT("BS_"&amp;TEXT(L$1,"mmm")&amp;"_"&amp;TEXT(L$1,"yyyy")),MATCH(TRIM($A114),BS_Accounts,0))</f>
        <v>0</v>
      </c>
      <c r="M114" s="76">
        <f t="array" ref="M114">INDEX(INDIRECT("BS_"&amp;TEXT(M$1,"mmm")&amp;"_"&amp;TEXT(M$1,"yyyy")),MATCH(TRIM($A114),BS_Accounts,0))</f>
        <v>0</v>
      </c>
      <c r="N114" s="76">
        <f t="array" ref="N114">INDEX(INDIRECT("BS_"&amp;TEXT(N$1,"mmm")&amp;"_"&amp;TEXT(N$1,"yyyy")),MATCH(TRIM($A114),BS_Accounts,0))</f>
        <v>0</v>
      </c>
      <c r="O114" s="76">
        <f t="array" ref="O114">INDEX(INDIRECT("BS_"&amp;TEXT(O$1,"mmm")&amp;"_"&amp;TEXT(O$1,"yyyy")),MATCH(TRIM($A114),BS_Accounts,0))</f>
        <v>0</v>
      </c>
      <c r="P114" s="76">
        <f t="array" ref="P114">INDEX(INDIRECT("BS_"&amp;TEXT(P$1,"mmm")&amp;"_"&amp;TEXT(P$1,"yyyy")),MATCH(TRIM($A114),BS_Accounts,0))</f>
        <v>0</v>
      </c>
      <c r="Q114" s="76">
        <f t="array" ref="Q114">INDEX(INDIRECT("BS_"&amp;TEXT(Q$1,"mmm")&amp;"_"&amp;TEXT(Q$1,"yyyy")),MATCH(TRIM($A114),BS_Accounts,0))</f>
        <v>0</v>
      </c>
      <c r="R114" s="76">
        <f t="array" ref="R114">INDEX(INDIRECT("BS_"&amp;TEXT(R$1,"mmm")&amp;"_"&amp;TEXT(R$1,"yyyy")),MATCH(TRIM($A114),BS_Accounts,0))</f>
        <v>0</v>
      </c>
      <c r="S114" s="76">
        <f t="array" ref="S114">INDEX(INDIRECT("BS_"&amp;TEXT(S$1,"mmm")&amp;"_"&amp;TEXT(S$1,"yyyy")),MATCH(TRIM($A114),BS_Accounts,0))</f>
        <v>0</v>
      </c>
      <c r="T114" s="76">
        <f t="array" ref="T114">INDEX(INDIRECT("BS_"&amp;TEXT(T$1,"mmm")&amp;"_"&amp;TEXT(T$1,"yyyy")),MATCH(TRIM($A114),BS_Accounts,0))</f>
        <v>0</v>
      </c>
      <c r="U114" s="76">
        <f t="array" ref="U114">INDEX(INDIRECT("BS_"&amp;TEXT(U$1,"mmm")&amp;"_"&amp;TEXT(U$1,"yyyy")),MATCH(TRIM($A114),BS_Accounts,0))</f>
        <v>0</v>
      </c>
      <c r="V114" s="76">
        <f t="array" ref="V114">INDEX(INDIRECT("BS_"&amp;TEXT(V$1,"mmm")&amp;"_"&amp;TEXT(V$1,"yyyy")),MATCH(TRIM($A114),BS_Accounts,0))</f>
        <v>0</v>
      </c>
      <c r="W114" s="76">
        <f t="array" ref="W114">INDEX(INDIRECT("BS_"&amp;TEXT(W$1,"mmm")&amp;"_"&amp;TEXT(W$1,"yyyy")),MATCH(TRIM($A114),BS_Accounts,0))</f>
        <v>0</v>
      </c>
      <c r="X114" s="76">
        <f t="array" ref="X114">INDEX(INDIRECT("BS_"&amp;TEXT(X$1,"mmm")&amp;"_"&amp;TEXT(X$1,"yyyy")),MATCH(TRIM($A114),BS_Accounts,0))</f>
        <v>0</v>
      </c>
      <c r="Y114" s="76">
        <f t="array" ref="Y114">INDEX(INDIRECT("BS_"&amp;TEXT(Y$1,"mmm")&amp;"_"&amp;TEXT(Y$1,"yyyy")),MATCH(TRIM($A114),BS_Accounts,0))</f>
        <v>0</v>
      </c>
      <c r="Z114" s="76">
        <f t="array" ref="Z114">INDEX(INDIRECT("BS_"&amp;TEXT(Z$1,"mmm")&amp;"_"&amp;TEXT(Z$1,"yyyy")),MATCH(TRIM($A114),BS_Accounts,0))</f>
        <v>0</v>
      </c>
      <c r="AA114" s="76">
        <f t="array" ref="AA114">INDEX(INDIRECT("BS_"&amp;TEXT(AA$1,"mmm")&amp;"_"&amp;TEXT(AA$1,"yyyy")),MATCH(TRIM($A114),BS_Accounts,0))</f>
        <v>0</v>
      </c>
      <c r="AB114" s="76">
        <f t="array" ref="AB114">INDEX(INDIRECT("BS_"&amp;TEXT(AB$1,"mmm")&amp;"_"&amp;TEXT(AB$1,"yyyy")),MATCH(TRIM($A114),BS_Accounts,0))</f>
        <v>0</v>
      </c>
      <c r="AC114" s="76">
        <f t="array" ref="AC114">INDEX(INDIRECT("BS_"&amp;TEXT(AC$1,"mmm")&amp;"_"&amp;TEXT(AC$1,"yyyy")),MATCH(TRIM($A114),BS_Accounts,0))</f>
        <v>0</v>
      </c>
      <c r="AD114" s="76">
        <f t="array" ref="AD114">INDEX(INDIRECT("BS_"&amp;TEXT(AD$1,"mmm")&amp;"_"&amp;TEXT(AD$1,"yyyy")),MATCH(TRIM($A114),BS_Accounts,0))</f>
        <v>0</v>
      </c>
      <c r="AE114" s="76">
        <f t="array" ref="AE114">INDEX(INDIRECT("BS_"&amp;TEXT(AE$1,"mmm")&amp;"_"&amp;TEXT(AE$1,"yyyy")),MATCH(TRIM($A114),BS_Accounts,0))</f>
        <v>0</v>
      </c>
      <c r="AF114" s="96">
        <f t="shared" ref="AF114:BW114" si="55">$B114</f>
        <v>0</v>
      </c>
      <c r="AG114" s="96">
        <f t="shared" si="55"/>
        <v>0</v>
      </c>
      <c r="AH114" s="96">
        <f t="shared" si="55"/>
        <v>0</v>
      </c>
      <c r="AI114" s="96">
        <f t="shared" si="55"/>
        <v>0</v>
      </c>
      <c r="AJ114" s="96">
        <f t="shared" si="55"/>
        <v>0</v>
      </c>
      <c r="AK114" s="96">
        <f t="shared" si="55"/>
        <v>0</v>
      </c>
      <c r="AL114" s="96">
        <f t="shared" si="55"/>
        <v>0</v>
      </c>
      <c r="AM114" s="96">
        <f t="shared" si="55"/>
        <v>0</v>
      </c>
      <c r="AN114" s="96">
        <f t="shared" si="55"/>
        <v>0</v>
      </c>
      <c r="AO114" s="96">
        <f t="shared" si="55"/>
        <v>0</v>
      </c>
      <c r="AP114" s="96">
        <f t="shared" si="55"/>
        <v>0</v>
      </c>
      <c r="AQ114" s="96">
        <f t="shared" si="55"/>
        <v>0</v>
      </c>
      <c r="AR114" s="96">
        <f t="shared" si="55"/>
        <v>0</v>
      </c>
      <c r="AS114" s="96">
        <f t="shared" si="55"/>
        <v>0</v>
      </c>
      <c r="AT114" s="96">
        <f t="shared" si="55"/>
        <v>0</v>
      </c>
      <c r="AU114" s="96">
        <f t="shared" si="55"/>
        <v>0</v>
      </c>
      <c r="AV114" s="96">
        <f t="shared" si="55"/>
        <v>0</v>
      </c>
      <c r="AW114" s="96">
        <f t="shared" si="55"/>
        <v>0</v>
      </c>
      <c r="AX114" s="96">
        <f t="shared" si="55"/>
        <v>0</v>
      </c>
      <c r="AY114" s="96">
        <f t="shared" si="55"/>
        <v>0</v>
      </c>
      <c r="AZ114" s="96">
        <f t="shared" si="55"/>
        <v>0</v>
      </c>
      <c r="BA114" s="96">
        <f t="shared" si="55"/>
        <v>0</v>
      </c>
      <c r="BB114" s="96">
        <f t="shared" si="55"/>
        <v>0</v>
      </c>
      <c r="BC114" s="96">
        <f t="shared" si="55"/>
        <v>0</v>
      </c>
      <c r="BD114" s="96">
        <f t="shared" si="55"/>
        <v>0</v>
      </c>
      <c r="BE114" s="96">
        <f t="shared" si="55"/>
        <v>0</v>
      </c>
      <c r="BF114" s="96">
        <f t="shared" si="55"/>
        <v>0</v>
      </c>
      <c r="BG114" s="96">
        <f t="shared" si="55"/>
        <v>0</v>
      </c>
      <c r="BH114" s="96">
        <f t="shared" si="55"/>
        <v>0</v>
      </c>
      <c r="BI114" s="96">
        <f t="shared" si="55"/>
        <v>0</v>
      </c>
      <c r="BJ114" s="96">
        <f t="shared" si="55"/>
        <v>0</v>
      </c>
      <c r="BK114" s="96">
        <f t="shared" si="55"/>
        <v>0</v>
      </c>
      <c r="BL114" s="96">
        <f t="shared" si="55"/>
        <v>0</v>
      </c>
      <c r="BM114" s="96">
        <f t="shared" si="55"/>
        <v>0</v>
      </c>
      <c r="BN114" s="96">
        <f t="shared" si="55"/>
        <v>0</v>
      </c>
      <c r="BO114" s="96">
        <f t="shared" si="55"/>
        <v>0</v>
      </c>
      <c r="BP114" s="96">
        <f t="shared" si="55"/>
        <v>0</v>
      </c>
      <c r="BQ114" s="96">
        <f t="shared" si="55"/>
        <v>0</v>
      </c>
      <c r="BR114" s="96">
        <f t="shared" si="55"/>
        <v>0</v>
      </c>
      <c r="BS114" s="96">
        <f t="shared" si="55"/>
        <v>0</v>
      </c>
      <c r="BT114" s="96">
        <f t="shared" si="55"/>
        <v>0</v>
      </c>
      <c r="BU114" s="96">
        <f t="shared" si="55"/>
        <v>0</v>
      </c>
      <c r="BV114" s="96">
        <f t="shared" si="55"/>
        <v>0</v>
      </c>
      <c r="BW114" s="96">
        <f t="shared" si="55"/>
        <v>0</v>
      </c>
    </row>
    <row r="115" ht="15.75" customHeight="1">
      <c r="A115" s="1" t="s">
        <v>337</v>
      </c>
      <c r="B115" s="160">
        <f>AVERAGEIFS(115:115,$1:$1,"&gt;="&amp;DATE(YEAR(Current_Month),MONTH(Current_Month),DAY(Current_Month)),$1:$1,"&lt;="&amp;EOMONTH(Current_Month,0))</f>
        <v>0</v>
      </c>
      <c r="D115" s="76">
        <f t="array" ref="D115">INDEX(INDIRECT("BS_"&amp;TEXT(D$1,"mmm")&amp;"_"&amp;TEXT(D$1,"yyyy")),MATCH(TRIM($A115),BS_Accounts,0))</f>
        <v>0</v>
      </c>
      <c r="E115" s="76">
        <f t="array" ref="E115">INDEX(INDIRECT("BS_"&amp;TEXT(E$1,"mmm")&amp;"_"&amp;TEXT(E$1,"yyyy")),MATCH(TRIM($A115),BS_Accounts,0))</f>
        <v>0</v>
      </c>
      <c r="F115" s="76">
        <f t="array" ref="F115">INDEX(INDIRECT("BS_"&amp;TEXT(F$1,"mmm")&amp;"_"&amp;TEXT(F$1,"yyyy")),MATCH(TRIM($A115),BS_Accounts,0))</f>
        <v>0</v>
      </c>
      <c r="G115" s="76">
        <f t="array" ref="G115">INDEX(INDIRECT("BS_"&amp;TEXT(G$1,"mmm")&amp;"_"&amp;TEXT(G$1,"yyyy")),MATCH(TRIM($A115),BS_Accounts,0))</f>
        <v>0</v>
      </c>
      <c r="H115" s="76">
        <f t="array" ref="H115">INDEX(INDIRECT("BS_"&amp;TEXT(H$1,"mmm")&amp;"_"&amp;TEXT(H$1,"yyyy")),MATCH(TRIM($A115),BS_Accounts,0))</f>
        <v>0</v>
      </c>
      <c r="I115" s="76">
        <f t="array" ref="I115">INDEX(INDIRECT("BS_"&amp;TEXT(I$1,"mmm")&amp;"_"&amp;TEXT(I$1,"yyyy")),MATCH(TRIM($A115),BS_Accounts,0))</f>
        <v>0</v>
      </c>
      <c r="J115" s="76">
        <f t="array" ref="J115">INDEX(INDIRECT("BS_"&amp;TEXT(J$1,"mmm")&amp;"_"&amp;TEXT(J$1,"yyyy")),MATCH(TRIM($A115),BS_Accounts,0))</f>
        <v>0</v>
      </c>
      <c r="K115" s="76">
        <f t="array" ref="K115">INDEX(INDIRECT("BS_"&amp;TEXT(K$1,"mmm")&amp;"_"&amp;TEXT(K$1,"yyyy")),MATCH(TRIM($A115),BS_Accounts,0))</f>
        <v>0</v>
      </c>
      <c r="L115" s="76">
        <f t="array" ref="L115">INDEX(INDIRECT("BS_"&amp;TEXT(L$1,"mmm")&amp;"_"&amp;TEXT(L$1,"yyyy")),MATCH(TRIM($A115),BS_Accounts,0))</f>
        <v>0</v>
      </c>
      <c r="M115" s="76">
        <f t="array" ref="M115">INDEX(INDIRECT("BS_"&amp;TEXT(M$1,"mmm")&amp;"_"&amp;TEXT(M$1,"yyyy")),MATCH(TRIM($A115),BS_Accounts,0))</f>
        <v>0</v>
      </c>
      <c r="N115" s="76">
        <f t="array" ref="N115">INDEX(INDIRECT("BS_"&amp;TEXT(N$1,"mmm")&amp;"_"&amp;TEXT(N$1,"yyyy")),MATCH(TRIM($A115),BS_Accounts,0))</f>
        <v>0</v>
      </c>
      <c r="O115" s="76">
        <f t="array" ref="O115">INDEX(INDIRECT("BS_"&amp;TEXT(O$1,"mmm")&amp;"_"&amp;TEXT(O$1,"yyyy")),MATCH(TRIM($A115),BS_Accounts,0))</f>
        <v>0</v>
      </c>
      <c r="P115" s="76">
        <f t="array" ref="P115">INDEX(INDIRECT("BS_"&amp;TEXT(P$1,"mmm")&amp;"_"&amp;TEXT(P$1,"yyyy")),MATCH(TRIM($A115),BS_Accounts,0))</f>
        <v>0</v>
      </c>
      <c r="Q115" s="76">
        <f t="array" ref="Q115">INDEX(INDIRECT("BS_"&amp;TEXT(Q$1,"mmm")&amp;"_"&amp;TEXT(Q$1,"yyyy")),MATCH(TRIM($A115),BS_Accounts,0))</f>
        <v>0</v>
      </c>
      <c r="R115" s="76">
        <f t="array" ref="R115">INDEX(INDIRECT("BS_"&amp;TEXT(R$1,"mmm")&amp;"_"&amp;TEXT(R$1,"yyyy")),MATCH(TRIM($A115),BS_Accounts,0))</f>
        <v>0</v>
      </c>
      <c r="S115" s="76">
        <f t="array" ref="S115">INDEX(INDIRECT("BS_"&amp;TEXT(S$1,"mmm")&amp;"_"&amp;TEXT(S$1,"yyyy")),MATCH(TRIM($A115),BS_Accounts,0))</f>
        <v>0</v>
      </c>
      <c r="T115" s="76">
        <f t="array" ref="T115">INDEX(INDIRECT("BS_"&amp;TEXT(T$1,"mmm")&amp;"_"&amp;TEXT(T$1,"yyyy")),MATCH(TRIM($A115),BS_Accounts,0))</f>
        <v>0</v>
      </c>
      <c r="U115" s="76">
        <f t="array" ref="U115">INDEX(INDIRECT("BS_"&amp;TEXT(U$1,"mmm")&amp;"_"&amp;TEXT(U$1,"yyyy")),MATCH(TRIM($A115),BS_Accounts,0))</f>
        <v>0</v>
      </c>
      <c r="V115" s="76">
        <f t="array" ref="V115">INDEX(INDIRECT("BS_"&amp;TEXT(V$1,"mmm")&amp;"_"&amp;TEXT(V$1,"yyyy")),MATCH(TRIM($A115),BS_Accounts,0))</f>
        <v>0</v>
      </c>
      <c r="W115" s="76">
        <f t="array" ref="W115">INDEX(INDIRECT("BS_"&amp;TEXT(W$1,"mmm")&amp;"_"&amp;TEXT(W$1,"yyyy")),MATCH(TRIM($A115),BS_Accounts,0))</f>
        <v>0</v>
      </c>
      <c r="X115" s="76">
        <f t="array" ref="X115">INDEX(INDIRECT("BS_"&amp;TEXT(X$1,"mmm")&amp;"_"&amp;TEXT(X$1,"yyyy")),MATCH(TRIM($A115),BS_Accounts,0))</f>
        <v>0</v>
      </c>
      <c r="Y115" s="76">
        <f t="array" ref="Y115">INDEX(INDIRECT("BS_"&amp;TEXT(Y$1,"mmm")&amp;"_"&amp;TEXT(Y$1,"yyyy")),MATCH(TRIM($A115),BS_Accounts,0))</f>
        <v>0</v>
      </c>
      <c r="Z115" s="76">
        <f t="array" ref="Z115">INDEX(INDIRECT("BS_"&amp;TEXT(Z$1,"mmm")&amp;"_"&amp;TEXT(Z$1,"yyyy")),MATCH(TRIM($A115),BS_Accounts,0))</f>
        <v>0</v>
      </c>
      <c r="AA115" s="76">
        <f t="array" ref="AA115">INDEX(INDIRECT("BS_"&amp;TEXT(AA$1,"mmm")&amp;"_"&amp;TEXT(AA$1,"yyyy")),MATCH(TRIM($A115),BS_Accounts,0))</f>
        <v>0</v>
      </c>
      <c r="AB115" s="76">
        <f t="array" ref="AB115">INDEX(INDIRECT("BS_"&amp;TEXT(AB$1,"mmm")&amp;"_"&amp;TEXT(AB$1,"yyyy")),MATCH(TRIM($A115),BS_Accounts,0))</f>
        <v>0</v>
      </c>
      <c r="AC115" s="76">
        <f t="array" ref="AC115">INDEX(INDIRECT("BS_"&amp;TEXT(AC$1,"mmm")&amp;"_"&amp;TEXT(AC$1,"yyyy")),MATCH(TRIM($A115),BS_Accounts,0))</f>
        <v>0</v>
      </c>
      <c r="AD115" s="76">
        <f t="array" ref="AD115">INDEX(INDIRECT("BS_"&amp;TEXT(AD$1,"mmm")&amp;"_"&amp;TEXT(AD$1,"yyyy")),MATCH(TRIM($A115),BS_Accounts,0))</f>
        <v>0</v>
      </c>
      <c r="AE115" s="76">
        <f t="array" ref="AE115">INDEX(INDIRECT("BS_"&amp;TEXT(AE$1,"mmm")&amp;"_"&amp;TEXT(AE$1,"yyyy")),MATCH(TRIM($A115),BS_Accounts,0))</f>
        <v>0</v>
      </c>
      <c r="AF115" s="96">
        <f t="shared" ref="AF115:BW115" si="56">$B115</f>
        <v>0</v>
      </c>
      <c r="AG115" s="96">
        <f t="shared" si="56"/>
        <v>0</v>
      </c>
      <c r="AH115" s="96">
        <f t="shared" si="56"/>
        <v>0</v>
      </c>
      <c r="AI115" s="96">
        <f t="shared" si="56"/>
        <v>0</v>
      </c>
      <c r="AJ115" s="96">
        <f t="shared" si="56"/>
        <v>0</v>
      </c>
      <c r="AK115" s="96">
        <f t="shared" si="56"/>
        <v>0</v>
      </c>
      <c r="AL115" s="96">
        <f t="shared" si="56"/>
        <v>0</v>
      </c>
      <c r="AM115" s="96">
        <f t="shared" si="56"/>
        <v>0</v>
      </c>
      <c r="AN115" s="96">
        <f t="shared" si="56"/>
        <v>0</v>
      </c>
      <c r="AO115" s="96">
        <f t="shared" si="56"/>
        <v>0</v>
      </c>
      <c r="AP115" s="96">
        <f t="shared" si="56"/>
        <v>0</v>
      </c>
      <c r="AQ115" s="96">
        <f t="shared" si="56"/>
        <v>0</v>
      </c>
      <c r="AR115" s="96">
        <f t="shared" si="56"/>
        <v>0</v>
      </c>
      <c r="AS115" s="96">
        <f t="shared" si="56"/>
        <v>0</v>
      </c>
      <c r="AT115" s="96">
        <f t="shared" si="56"/>
        <v>0</v>
      </c>
      <c r="AU115" s="96">
        <f t="shared" si="56"/>
        <v>0</v>
      </c>
      <c r="AV115" s="96">
        <f t="shared" si="56"/>
        <v>0</v>
      </c>
      <c r="AW115" s="96">
        <f t="shared" si="56"/>
        <v>0</v>
      </c>
      <c r="AX115" s="96">
        <f t="shared" si="56"/>
        <v>0</v>
      </c>
      <c r="AY115" s="96">
        <f t="shared" si="56"/>
        <v>0</v>
      </c>
      <c r="AZ115" s="96">
        <f t="shared" si="56"/>
        <v>0</v>
      </c>
      <c r="BA115" s="96">
        <f t="shared" si="56"/>
        <v>0</v>
      </c>
      <c r="BB115" s="96">
        <f t="shared" si="56"/>
        <v>0</v>
      </c>
      <c r="BC115" s="96">
        <f t="shared" si="56"/>
        <v>0</v>
      </c>
      <c r="BD115" s="96">
        <f t="shared" si="56"/>
        <v>0</v>
      </c>
      <c r="BE115" s="96">
        <f t="shared" si="56"/>
        <v>0</v>
      </c>
      <c r="BF115" s="96">
        <f t="shared" si="56"/>
        <v>0</v>
      </c>
      <c r="BG115" s="96">
        <f t="shared" si="56"/>
        <v>0</v>
      </c>
      <c r="BH115" s="96">
        <f t="shared" si="56"/>
        <v>0</v>
      </c>
      <c r="BI115" s="96">
        <f t="shared" si="56"/>
        <v>0</v>
      </c>
      <c r="BJ115" s="96">
        <f t="shared" si="56"/>
        <v>0</v>
      </c>
      <c r="BK115" s="96">
        <f t="shared" si="56"/>
        <v>0</v>
      </c>
      <c r="BL115" s="96">
        <f t="shared" si="56"/>
        <v>0</v>
      </c>
      <c r="BM115" s="96">
        <f t="shared" si="56"/>
        <v>0</v>
      </c>
      <c r="BN115" s="96">
        <f t="shared" si="56"/>
        <v>0</v>
      </c>
      <c r="BO115" s="96">
        <f t="shared" si="56"/>
        <v>0</v>
      </c>
      <c r="BP115" s="96">
        <f t="shared" si="56"/>
        <v>0</v>
      </c>
      <c r="BQ115" s="96">
        <f t="shared" si="56"/>
        <v>0</v>
      </c>
      <c r="BR115" s="96">
        <f t="shared" si="56"/>
        <v>0</v>
      </c>
      <c r="BS115" s="96">
        <f t="shared" si="56"/>
        <v>0</v>
      </c>
      <c r="BT115" s="96">
        <f t="shared" si="56"/>
        <v>0</v>
      </c>
      <c r="BU115" s="96">
        <f t="shared" si="56"/>
        <v>0</v>
      </c>
      <c r="BV115" s="96">
        <f t="shared" si="56"/>
        <v>0</v>
      </c>
      <c r="BW115" s="96">
        <f t="shared" si="56"/>
        <v>0</v>
      </c>
    </row>
    <row r="116" ht="15.75" customHeight="1">
      <c r="A116" s="1" t="s">
        <v>338</v>
      </c>
      <c r="B116" s="160">
        <f>AVERAGEIFS(116:116,$1:$1,"&gt;="&amp;DATE(YEAR(Current_Month),MONTH(Current_Month),DAY(Current_Month)),$1:$1,"&lt;="&amp;EOMONTH(Current_Month,0))</f>
        <v>0</v>
      </c>
      <c r="D116" s="76">
        <f t="array" ref="D116">INDEX(INDIRECT("BS_"&amp;TEXT(D$1,"mmm")&amp;"_"&amp;TEXT(D$1,"yyyy")),MATCH(TRIM($A116),BS_Accounts,0))</f>
        <v>0</v>
      </c>
      <c r="E116" s="76">
        <f t="array" ref="E116">INDEX(INDIRECT("BS_"&amp;TEXT(E$1,"mmm")&amp;"_"&amp;TEXT(E$1,"yyyy")),MATCH(TRIM($A116),BS_Accounts,0))</f>
        <v>0</v>
      </c>
      <c r="F116" s="76">
        <f t="array" ref="F116">INDEX(INDIRECT("BS_"&amp;TEXT(F$1,"mmm")&amp;"_"&amp;TEXT(F$1,"yyyy")),MATCH(TRIM($A116),BS_Accounts,0))</f>
        <v>0</v>
      </c>
      <c r="G116" s="76">
        <f t="array" ref="G116">INDEX(INDIRECT("BS_"&amp;TEXT(G$1,"mmm")&amp;"_"&amp;TEXT(G$1,"yyyy")),MATCH(TRIM($A116),BS_Accounts,0))</f>
        <v>0</v>
      </c>
      <c r="H116" s="76">
        <f t="array" ref="H116">INDEX(INDIRECT("BS_"&amp;TEXT(H$1,"mmm")&amp;"_"&amp;TEXT(H$1,"yyyy")),MATCH(TRIM($A116),BS_Accounts,0))</f>
        <v>0</v>
      </c>
      <c r="I116" s="76">
        <f t="array" ref="I116">INDEX(INDIRECT("BS_"&amp;TEXT(I$1,"mmm")&amp;"_"&amp;TEXT(I$1,"yyyy")),MATCH(TRIM($A116),BS_Accounts,0))</f>
        <v>0</v>
      </c>
      <c r="J116" s="76">
        <f t="array" ref="J116">INDEX(INDIRECT("BS_"&amp;TEXT(J$1,"mmm")&amp;"_"&amp;TEXT(J$1,"yyyy")),MATCH(TRIM($A116),BS_Accounts,0))</f>
        <v>0</v>
      </c>
      <c r="K116" s="76">
        <f t="array" ref="K116">INDEX(INDIRECT("BS_"&amp;TEXT(K$1,"mmm")&amp;"_"&amp;TEXT(K$1,"yyyy")),MATCH(TRIM($A116),BS_Accounts,0))</f>
        <v>0</v>
      </c>
      <c r="L116" s="76">
        <f t="array" ref="L116">INDEX(INDIRECT("BS_"&amp;TEXT(L$1,"mmm")&amp;"_"&amp;TEXT(L$1,"yyyy")),MATCH(TRIM($A116),BS_Accounts,0))</f>
        <v>0</v>
      </c>
      <c r="M116" s="76">
        <f t="array" ref="M116">INDEX(INDIRECT("BS_"&amp;TEXT(M$1,"mmm")&amp;"_"&amp;TEXT(M$1,"yyyy")),MATCH(TRIM($A116),BS_Accounts,0))</f>
        <v>0</v>
      </c>
      <c r="N116" s="76">
        <f t="array" ref="N116">INDEX(INDIRECT("BS_"&amp;TEXT(N$1,"mmm")&amp;"_"&amp;TEXT(N$1,"yyyy")),MATCH(TRIM($A116),BS_Accounts,0))</f>
        <v>0</v>
      </c>
      <c r="O116" s="76">
        <f t="array" ref="O116">INDEX(INDIRECT("BS_"&amp;TEXT(O$1,"mmm")&amp;"_"&amp;TEXT(O$1,"yyyy")),MATCH(TRIM($A116),BS_Accounts,0))</f>
        <v>0</v>
      </c>
      <c r="P116" s="76">
        <f t="array" ref="P116">INDEX(INDIRECT("BS_"&amp;TEXT(P$1,"mmm")&amp;"_"&amp;TEXT(P$1,"yyyy")),MATCH(TRIM($A116),BS_Accounts,0))</f>
        <v>0</v>
      </c>
      <c r="Q116" s="76">
        <f t="array" ref="Q116">INDEX(INDIRECT("BS_"&amp;TEXT(Q$1,"mmm")&amp;"_"&amp;TEXT(Q$1,"yyyy")),MATCH(TRIM($A116),BS_Accounts,0))</f>
        <v>0</v>
      </c>
      <c r="R116" s="76">
        <f t="array" ref="R116">INDEX(INDIRECT("BS_"&amp;TEXT(R$1,"mmm")&amp;"_"&amp;TEXT(R$1,"yyyy")),MATCH(TRIM($A116),BS_Accounts,0))</f>
        <v>0</v>
      </c>
      <c r="S116" s="76">
        <f t="array" ref="S116">INDEX(INDIRECT("BS_"&amp;TEXT(S$1,"mmm")&amp;"_"&amp;TEXT(S$1,"yyyy")),MATCH(TRIM($A116),BS_Accounts,0))</f>
        <v>0</v>
      </c>
      <c r="T116" s="76">
        <f t="array" ref="T116">INDEX(INDIRECT("BS_"&amp;TEXT(T$1,"mmm")&amp;"_"&amp;TEXT(T$1,"yyyy")),MATCH(TRIM($A116),BS_Accounts,0))</f>
        <v>0</v>
      </c>
      <c r="U116" s="76">
        <f t="array" ref="U116">INDEX(INDIRECT("BS_"&amp;TEXT(U$1,"mmm")&amp;"_"&amp;TEXT(U$1,"yyyy")),MATCH(TRIM($A116),BS_Accounts,0))</f>
        <v>0</v>
      </c>
      <c r="V116" s="76">
        <f t="array" ref="V116">INDEX(INDIRECT("BS_"&amp;TEXT(V$1,"mmm")&amp;"_"&amp;TEXT(V$1,"yyyy")),MATCH(TRIM($A116),BS_Accounts,0))</f>
        <v>0</v>
      </c>
      <c r="W116" s="76">
        <f t="array" ref="W116">INDEX(INDIRECT("BS_"&amp;TEXT(W$1,"mmm")&amp;"_"&amp;TEXT(W$1,"yyyy")),MATCH(TRIM($A116),BS_Accounts,0))</f>
        <v>0</v>
      </c>
      <c r="X116" s="76">
        <f t="array" ref="X116">INDEX(INDIRECT("BS_"&amp;TEXT(X$1,"mmm")&amp;"_"&amp;TEXT(X$1,"yyyy")),MATCH(TRIM($A116),BS_Accounts,0))</f>
        <v>0</v>
      </c>
      <c r="Y116" s="76">
        <f t="array" ref="Y116">INDEX(INDIRECT("BS_"&amp;TEXT(Y$1,"mmm")&amp;"_"&amp;TEXT(Y$1,"yyyy")),MATCH(TRIM($A116),BS_Accounts,0))</f>
        <v>0</v>
      </c>
      <c r="Z116" s="76">
        <f t="array" ref="Z116">INDEX(INDIRECT("BS_"&amp;TEXT(Z$1,"mmm")&amp;"_"&amp;TEXT(Z$1,"yyyy")),MATCH(TRIM($A116),BS_Accounts,0))</f>
        <v>0</v>
      </c>
      <c r="AA116" s="76">
        <f t="array" ref="AA116">INDEX(INDIRECT("BS_"&amp;TEXT(AA$1,"mmm")&amp;"_"&amp;TEXT(AA$1,"yyyy")),MATCH(TRIM($A116),BS_Accounts,0))</f>
        <v>0</v>
      </c>
      <c r="AB116" s="76">
        <f t="array" ref="AB116">INDEX(INDIRECT("BS_"&amp;TEXT(AB$1,"mmm")&amp;"_"&amp;TEXT(AB$1,"yyyy")),MATCH(TRIM($A116),BS_Accounts,0))</f>
        <v>0</v>
      </c>
      <c r="AC116" s="76">
        <f t="array" ref="AC116">INDEX(INDIRECT("BS_"&amp;TEXT(AC$1,"mmm")&amp;"_"&amp;TEXT(AC$1,"yyyy")),MATCH(TRIM($A116),BS_Accounts,0))</f>
        <v>0</v>
      </c>
      <c r="AD116" s="76">
        <f t="array" ref="AD116">INDEX(INDIRECT("BS_"&amp;TEXT(AD$1,"mmm")&amp;"_"&amp;TEXT(AD$1,"yyyy")),MATCH(TRIM($A116),BS_Accounts,0))</f>
        <v>0</v>
      </c>
      <c r="AE116" s="76">
        <f t="array" ref="AE116">INDEX(INDIRECT("BS_"&amp;TEXT(AE$1,"mmm")&amp;"_"&amp;TEXT(AE$1,"yyyy")),MATCH(TRIM($A116),BS_Accounts,0))</f>
        <v>0</v>
      </c>
      <c r="AF116" s="96">
        <f t="shared" ref="AF116:BW116" si="57">$B116</f>
        <v>0</v>
      </c>
      <c r="AG116" s="96">
        <f t="shared" si="57"/>
        <v>0</v>
      </c>
      <c r="AH116" s="96">
        <f t="shared" si="57"/>
        <v>0</v>
      </c>
      <c r="AI116" s="96">
        <f t="shared" si="57"/>
        <v>0</v>
      </c>
      <c r="AJ116" s="96">
        <f t="shared" si="57"/>
        <v>0</v>
      </c>
      <c r="AK116" s="96">
        <f t="shared" si="57"/>
        <v>0</v>
      </c>
      <c r="AL116" s="96">
        <f t="shared" si="57"/>
        <v>0</v>
      </c>
      <c r="AM116" s="96">
        <f t="shared" si="57"/>
        <v>0</v>
      </c>
      <c r="AN116" s="96">
        <f t="shared" si="57"/>
        <v>0</v>
      </c>
      <c r="AO116" s="96">
        <f t="shared" si="57"/>
        <v>0</v>
      </c>
      <c r="AP116" s="96">
        <f t="shared" si="57"/>
        <v>0</v>
      </c>
      <c r="AQ116" s="96">
        <f t="shared" si="57"/>
        <v>0</v>
      </c>
      <c r="AR116" s="96">
        <f t="shared" si="57"/>
        <v>0</v>
      </c>
      <c r="AS116" s="96">
        <f t="shared" si="57"/>
        <v>0</v>
      </c>
      <c r="AT116" s="96">
        <f t="shared" si="57"/>
        <v>0</v>
      </c>
      <c r="AU116" s="96">
        <f t="shared" si="57"/>
        <v>0</v>
      </c>
      <c r="AV116" s="96">
        <f t="shared" si="57"/>
        <v>0</v>
      </c>
      <c r="AW116" s="96">
        <f t="shared" si="57"/>
        <v>0</v>
      </c>
      <c r="AX116" s="96">
        <f t="shared" si="57"/>
        <v>0</v>
      </c>
      <c r="AY116" s="96">
        <f t="shared" si="57"/>
        <v>0</v>
      </c>
      <c r="AZ116" s="96">
        <f t="shared" si="57"/>
        <v>0</v>
      </c>
      <c r="BA116" s="96">
        <f t="shared" si="57"/>
        <v>0</v>
      </c>
      <c r="BB116" s="96">
        <f t="shared" si="57"/>
        <v>0</v>
      </c>
      <c r="BC116" s="96">
        <f t="shared" si="57"/>
        <v>0</v>
      </c>
      <c r="BD116" s="96">
        <f t="shared" si="57"/>
        <v>0</v>
      </c>
      <c r="BE116" s="96">
        <f t="shared" si="57"/>
        <v>0</v>
      </c>
      <c r="BF116" s="96">
        <f t="shared" si="57"/>
        <v>0</v>
      </c>
      <c r="BG116" s="96">
        <f t="shared" si="57"/>
        <v>0</v>
      </c>
      <c r="BH116" s="96">
        <f t="shared" si="57"/>
        <v>0</v>
      </c>
      <c r="BI116" s="96">
        <f t="shared" si="57"/>
        <v>0</v>
      </c>
      <c r="BJ116" s="96">
        <f t="shared" si="57"/>
        <v>0</v>
      </c>
      <c r="BK116" s="96">
        <f t="shared" si="57"/>
        <v>0</v>
      </c>
      <c r="BL116" s="96">
        <f t="shared" si="57"/>
        <v>0</v>
      </c>
      <c r="BM116" s="96">
        <f t="shared" si="57"/>
        <v>0</v>
      </c>
      <c r="BN116" s="96">
        <f t="shared" si="57"/>
        <v>0</v>
      </c>
      <c r="BO116" s="96">
        <f t="shared" si="57"/>
        <v>0</v>
      </c>
      <c r="BP116" s="96">
        <f t="shared" si="57"/>
        <v>0</v>
      </c>
      <c r="BQ116" s="96">
        <f t="shared" si="57"/>
        <v>0</v>
      </c>
      <c r="BR116" s="96">
        <f t="shared" si="57"/>
        <v>0</v>
      </c>
      <c r="BS116" s="96">
        <f t="shared" si="57"/>
        <v>0</v>
      </c>
      <c r="BT116" s="96">
        <f t="shared" si="57"/>
        <v>0</v>
      </c>
      <c r="BU116" s="96">
        <f t="shared" si="57"/>
        <v>0</v>
      </c>
      <c r="BV116" s="96">
        <f t="shared" si="57"/>
        <v>0</v>
      </c>
      <c r="BW116" s="96">
        <f t="shared" si="57"/>
        <v>0</v>
      </c>
    </row>
    <row r="117" ht="15.75" customHeight="1">
      <c r="A117" s="21" t="s">
        <v>339</v>
      </c>
      <c r="B117" s="163"/>
      <c r="C117" s="21"/>
      <c r="D117" s="157">
        <f t="shared" ref="D117:BW117" si="58">SUM(D114:D116)</f>
        <v>0</v>
      </c>
      <c r="E117" s="157">
        <f t="shared" si="58"/>
        <v>0</v>
      </c>
      <c r="F117" s="157">
        <f t="shared" si="58"/>
        <v>0</v>
      </c>
      <c r="G117" s="157">
        <f t="shared" si="58"/>
        <v>0</v>
      </c>
      <c r="H117" s="157">
        <f t="shared" si="58"/>
        <v>0</v>
      </c>
      <c r="I117" s="157">
        <f t="shared" si="58"/>
        <v>0</v>
      </c>
      <c r="J117" s="157">
        <f t="shared" si="58"/>
        <v>0</v>
      </c>
      <c r="K117" s="157">
        <f t="shared" si="58"/>
        <v>0</v>
      </c>
      <c r="L117" s="157">
        <f t="shared" si="58"/>
        <v>0</v>
      </c>
      <c r="M117" s="157">
        <f t="shared" si="58"/>
        <v>0</v>
      </c>
      <c r="N117" s="157">
        <f t="shared" si="58"/>
        <v>0</v>
      </c>
      <c r="O117" s="157">
        <f t="shared" si="58"/>
        <v>0</v>
      </c>
      <c r="P117" s="157">
        <f t="shared" si="58"/>
        <v>0</v>
      </c>
      <c r="Q117" s="157">
        <f t="shared" si="58"/>
        <v>0</v>
      </c>
      <c r="R117" s="157">
        <f t="shared" si="58"/>
        <v>0</v>
      </c>
      <c r="S117" s="157">
        <f t="shared" si="58"/>
        <v>0</v>
      </c>
      <c r="T117" s="157">
        <f t="shared" si="58"/>
        <v>0</v>
      </c>
      <c r="U117" s="157">
        <f t="shared" si="58"/>
        <v>0</v>
      </c>
      <c r="V117" s="157">
        <f t="shared" si="58"/>
        <v>0</v>
      </c>
      <c r="W117" s="157">
        <f t="shared" si="58"/>
        <v>0</v>
      </c>
      <c r="X117" s="157">
        <f t="shared" si="58"/>
        <v>0</v>
      </c>
      <c r="Y117" s="157">
        <f t="shared" si="58"/>
        <v>0</v>
      </c>
      <c r="Z117" s="157">
        <f t="shared" si="58"/>
        <v>0</v>
      </c>
      <c r="AA117" s="157">
        <f t="shared" si="58"/>
        <v>0</v>
      </c>
      <c r="AB117" s="157">
        <f t="shared" si="58"/>
        <v>0</v>
      </c>
      <c r="AC117" s="157">
        <f t="shared" si="58"/>
        <v>0</v>
      </c>
      <c r="AD117" s="157">
        <f t="shared" si="58"/>
        <v>0</v>
      </c>
      <c r="AE117" s="157">
        <f t="shared" si="58"/>
        <v>0</v>
      </c>
      <c r="AF117" s="157">
        <f t="shared" si="58"/>
        <v>0</v>
      </c>
      <c r="AG117" s="157">
        <f t="shared" si="58"/>
        <v>0</v>
      </c>
      <c r="AH117" s="157">
        <f t="shared" si="58"/>
        <v>0</v>
      </c>
      <c r="AI117" s="157">
        <f t="shared" si="58"/>
        <v>0</v>
      </c>
      <c r="AJ117" s="157">
        <f t="shared" si="58"/>
        <v>0</v>
      </c>
      <c r="AK117" s="157">
        <f t="shared" si="58"/>
        <v>0</v>
      </c>
      <c r="AL117" s="157">
        <f t="shared" si="58"/>
        <v>0</v>
      </c>
      <c r="AM117" s="157">
        <f t="shared" si="58"/>
        <v>0</v>
      </c>
      <c r="AN117" s="157">
        <f t="shared" si="58"/>
        <v>0</v>
      </c>
      <c r="AO117" s="157">
        <f t="shared" si="58"/>
        <v>0</v>
      </c>
      <c r="AP117" s="157">
        <f t="shared" si="58"/>
        <v>0</v>
      </c>
      <c r="AQ117" s="157">
        <f t="shared" si="58"/>
        <v>0</v>
      </c>
      <c r="AR117" s="157">
        <f t="shared" si="58"/>
        <v>0</v>
      </c>
      <c r="AS117" s="157">
        <f t="shared" si="58"/>
        <v>0</v>
      </c>
      <c r="AT117" s="157">
        <f t="shared" si="58"/>
        <v>0</v>
      </c>
      <c r="AU117" s="157">
        <f t="shared" si="58"/>
        <v>0</v>
      </c>
      <c r="AV117" s="157">
        <f t="shared" si="58"/>
        <v>0</v>
      </c>
      <c r="AW117" s="157">
        <f t="shared" si="58"/>
        <v>0</v>
      </c>
      <c r="AX117" s="157">
        <f t="shared" si="58"/>
        <v>0</v>
      </c>
      <c r="AY117" s="157">
        <f t="shared" si="58"/>
        <v>0</v>
      </c>
      <c r="AZ117" s="157">
        <f t="shared" si="58"/>
        <v>0</v>
      </c>
      <c r="BA117" s="157">
        <f t="shared" si="58"/>
        <v>0</v>
      </c>
      <c r="BB117" s="157">
        <f t="shared" si="58"/>
        <v>0</v>
      </c>
      <c r="BC117" s="157">
        <f t="shared" si="58"/>
        <v>0</v>
      </c>
      <c r="BD117" s="157">
        <f t="shared" si="58"/>
        <v>0</v>
      </c>
      <c r="BE117" s="157">
        <f t="shared" si="58"/>
        <v>0</v>
      </c>
      <c r="BF117" s="157">
        <f t="shared" si="58"/>
        <v>0</v>
      </c>
      <c r="BG117" s="157">
        <f t="shared" si="58"/>
        <v>0</v>
      </c>
      <c r="BH117" s="157">
        <f t="shared" si="58"/>
        <v>0</v>
      </c>
      <c r="BI117" s="157">
        <f t="shared" si="58"/>
        <v>0</v>
      </c>
      <c r="BJ117" s="157">
        <f t="shared" si="58"/>
        <v>0</v>
      </c>
      <c r="BK117" s="157">
        <f t="shared" si="58"/>
        <v>0</v>
      </c>
      <c r="BL117" s="157">
        <f t="shared" si="58"/>
        <v>0</v>
      </c>
      <c r="BM117" s="157">
        <f t="shared" si="58"/>
        <v>0</v>
      </c>
      <c r="BN117" s="157">
        <f t="shared" si="58"/>
        <v>0</v>
      </c>
      <c r="BO117" s="157">
        <f t="shared" si="58"/>
        <v>0</v>
      </c>
      <c r="BP117" s="157">
        <f t="shared" si="58"/>
        <v>0</v>
      </c>
      <c r="BQ117" s="157">
        <f t="shared" si="58"/>
        <v>0</v>
      </c>
      <c r="BR117" s="157">
        <f t="shared" si="58"/>
        <v>0</v>
      </c>
      <c r="BS117" s="157">
        <f t="shared" si="58"/>
        <v>0</v>
      </c>
      <c r="BT117" s="157">
        <f t="shared" si="58"/>
        <v>0</v>
      </c>
      <c r="BU117" s="157">
        <f t="shared" si="58"/>
        <v>0</v>
      </c>
      <c r="BV117" s="157">
        <f t="shared" si="58"/>
        <v>0</v>
      </c>
      <c r="BW117" s="157">
        <f t="shared" si="58"/>
        <v>0</v>
      </c>
    </row>
    <row r="118" ht="15.75" customHeight="1">
      <c r="A118" s="31" t="s">
        <v>244</v>
      </c>
      <c r="B118" s="159"/>
      <c r="D118" s="76">
        <f t="array" ref="D118">INDEX(INDIRECT("BS_"&amp;TEXT(D$1,"mmm")&amp;"_"&amp;TEXT(D$1,"yyyy")),MATCH(TRIM($A117),BS_Accounts,0))-D117</f>
        <v>0</v>
      </c>
      <c r="E118" s="76">
        <f t="array" ref="E118">INDEX(INDIRECT("BS_"&amp;TEXT(E$1,"mmm")&amp;"_"&amp;TEXT(E$1,"yyyy")),MATCH(TRIM($A117),BS_Accounts,0))-E117</f>
        <v>0</v>
      </c>
      <c r="F118" s="76">
        <f t="array" ref="F118">INDEX(INDIRECT("BS_"&amp;TEXT(F$1,"mmm")&amp;"_"&amp;TEXT(F$1,"yyyy")),MATCH(TRIM($A117),BS_Accounts,0))-F117</f>
        <v>0</v>
      </c>
      <c r="G118" s="76">
        <f t="array" ref="G118">INDEX(INDIRECT("BS_"&amp;TEXT(G$1,"mmm")&amp;"_"&amp;TEXT(G$1,"yyyy")),MATCH(TRIM($A117),BS_Accounts,0))-G117</f>
        <v>0</v>
      </c>
      <c r="H118" s="76">
        <f t="array" ref="H118">INDEX(INDIRECT("BS_"&amp;TEXT(H$1,"mmm")&amp;"_"&amp;TEXT(H$1,"yyyy")),MATCH(TRIM($A117),BS_Accounts,0))-H117</f>
        <v>0</v>
      </c>
      <c r="I118" s="76">
        <f t="array" ref="I118">INDEX(INDIRECT("BS_"&amp;TEXT(I$1,"mmm")&amp;"_"&amp;TEXT(I$1,"yyyy")),MATCH(TRIM($A117),BS_Accounts,0))-I117</f>
        <v>0</v>
      </c>
      <c r="J118" s="76">
        <f t="array" ref="J118">INDEX(INDIRECT("BS_"&amp;TEXT(J$1,"mmm")&amp;"_"&amp;TEXT(J$1,"yyyy")),MATCH(TRIM($A117),BS_Accounts,0))-J117</f>
        <v>0</v>
      </c>
      <c r="K118" s="76">
        <f t="array" ref="K118">INDEX(INDIRECT("BS_"&amp;TEXT(K$1,"mmm")&amp;"_"&amp;TEXT(K$1,"yyyy")),MATCH(TRIM($A117),BS_Accounts,0))-K117</f>
        <v>0</v>
      </c>
      <c r="L118" s="76">
        <f t="array" ref="L118">INDEX(INDIRECT("BS_"&amp;TEXT(L$1,"mmm")&amp;"_"&amp;TEXT(L$1,"yyyy")),MATCH(TRIM($A117),BS_Accounts,0))-L117</f>
        <v>0</v>
      </c>
      <c r="M118" s="76">
        <f t="array" ref="M118">INDEX(INDIRECT("BS_"&amp;TEXT(M$1,"mmm")&amp;"_"&amp;TEXT(M$1,"yyyy")),MATCH(TRIM($A117),BS_Accounts,0))-M117</f>
        <v>0</v>
      </c>
      <c r="N118" s="76">
        <f t="array" ref="N118">INDEX(INDIRECT("BS_"&amp;TEXT(N$1,"mmm")&amp;"_"&amp;TEXT(N$1,"yyyy")),MATCH(TRIM($A117),BS_Accounts,0))-N117</f>
        <v>0</v>
      </c>
      <c r="O118" s="76">
        <f t="array" ref="O118">INDEX(INDIRECT("BS_"&amp;TEXT(O$1,"mmm")&amp;"_"&amp;TEXT(O$1,"yyyy")),MATCH(TRIM($A117),BS_Accounts,0))-O117</f>
        <v>0</v>
      </c>
      <c r="P118" s="76">
        <f t="array" ref="P118">INDEX(INDIRECT("BS_"&amp;TEXT(P$1,"mmm")&amp;"_"&amp;TEXT(P$1,"yyyy")),MATCH(TRIM($A117),BS_Accounts,0))-P117</f>
        <v>0</v>
      </c>
      <c r="Q118" s="76">
        <f t="array" ref="Q118">INDEX(INDIRECT("BS_"&amp;TEXT(Q$1,"mmm")&amp;"_"&amp;TEXT(Q$1,"yyyy")),MATCH(TRIM($A117),BS_Accounts,0))-Q117</f>
        <v>0</v>
      </c>
      <c r="R118" s="76">
        <f t="array" ref="R118">INDEX(INDIRECT("BS_"&amp;TEXT(R$1,"mmm")&amp;"_"&amp;TEXT(R$1,"yyyy")),MATCH(TRIM($A117),BS_Accounts,0))-R117</f>
        <v>0</v>
      </c>
      <c r="S118" s="76">
        <f t="array" ref="S118">INDEX(INDIRECT("BS_"&amp;TEXT(S$1,"mmm")&amp;"_"&amp;TEXT(S$1,"yyyy")),MATCH(TRIM($A117),BS_Accounts,0))-S117</f>
        <v>0</v>
      </c>
      <c r="T118" s="76">
        <f t="array" ref="T118">INDEX(INDIRECT("BS_"&amp;TEXT(T$1,"mmm")&amp;"_"&amp;TEXT(T$1,"yyyy")),MATCH(TRIM($A117),BS_Accounts,0))-T117</f>
        <v>0</v>
      </c>
      <c r="U118" s="76">
        <f t="array" ref="U118">INDEX(INDIRECT("BS_"&amp;TEXT(U$1,"mmm")&amp;"_"&amp;TEXT(U$1,"yyyy")),MATCH(TRIM($A117),BS_Accounts,0))-U117</f>
        <v>0</v>
      </c>
      <c r="V118" s="76">
        <f t="array" ref="V118">INDEX(INDIRECT("BS_"&amp;TEXT(V$1,"mmm")&amp;"_"&amp;TEXT(V$1,"yyyy")),MATCH(TRIM($A117),BS_Accounts,0))-V117</f>
        <v>0</v>
      </c>
      <c r="W118" s="76">
        <f t="array" ref="W118">INDEX(INDIRECT("BS_"&amp;TEXT(W$1,"mmm")&amp;"_"&amp;TEXT(W$1,"yyyy")),MATCH(TRIM($A117),BS_Accounts,0))-W117</f>
        <v>0</v>
      </c>
      <c r="X118" s="76">
        <f t="array" ref="X118">INDEX(INDIRECT("BS_"&amp;TEXT(X$1,"mmm")&amp;"_"&amp;TEXT(X$1,"yyyy")),MATCH(TRIM($A117),BS_Accounts,0))-X117</f>
        <v>0</v>
      </c>
      <c r="Y118" s="76">
        <f t="array" ref="Y118">INDEX(INDIRECT("BS_"&amp;TEXT(Y$1,"mmm")&amp;"_"&amp;TEXT(Y$1,"yyyy")),MATCH(TRIM($A117),BS_Accounts,0))-Y117</f>
        <v>0</v>
      </c>
      <c r="Z118" s="76">
        <f t="array" ref="Z118">INDEX(INDIRECT("BS_"&amp;TEXT(Z$1,"mmm")&amp;"_"&amp;TEXT(Z$1,"yyyy")),MATCH(TRIM($A117),BS_Accounts,0))-Z117</f>
        <v>0</v>
      </c>
      <c r="AA118" s="76">
        <f t="array" ref="AA118">INDEX(INDIRECT("BS_"&amp;TEXT(AA$1,"mmm")&amp;"_"&amp;TEXT(AA$1,"yyyy")),MATCH(TRIM($A117),BS_Accounts,0))-AA117</f>
        <v>0</v>
      </c>
      <c r="AB118" s="76">
        <f t="array" ref="AB118">INDEX(INDIRECT("BS_"&amp;TEXT(AB$1,"mmm")&amp;"_"&amp;TEXT(AB$1,"yyyy")),MATCH(TRIM($A117),BS_Accounts,0))-AB117</f>
        <v>0</v>
      </c>
      <c r="AC118" s="76">
        <f t="array" ref="AC118">INDEX(INDIRECT("BS_"&amp;TEXT(AC$1,"mmm")&amp;"_"&amp;TEXT(AC$1,"yyyy")),MATCH(TRIM($A117),BS_Accounts,0))-AC117</f>
        <v>0</v>
      </c>
      <c r="AD118" s="76">
        <f t="array" ref="AD118">INDEX(INDIRECT("BS_"&amp;TEXT(AD$1,"mmm")&amp;"_"&amp;TEXT(AD$1,"yyyy")),MATCH(TRIM($A117),BS_Accounts,0))-AD117</f>
        <v>0</v>
      </c>
      <c r="AE118" s="76">
        <f t="array" ref="AE118">INDEX(INDIRECT("BS_"&amp;TEXT(AE$1,"mmm")&amp;"_"&amp;TEXT(AE$1,"yyyy")),MATCH(TRIM($A117),BS_Accounts,0))-AE117</f>
        <v>0</v>
      </c>
    </row>
    <row r="119" ht="15.75" customHeight="1">
      <c r="A119" s="21" t="s">
        <v>340</v>
      </c>
      <c r="B119" s="163"/>
      <c r="C119" s="21"/>
      <c r="D119" s="147">
        <f t="shared" ref="D119:BW119" si="59">SUM(D117,D111,D106)</f>
        <v>960680</v>
      </c>
      <c r="E119" s="147">
        <f t="shared" si="59"/>
        <v>970330</v>
      </c>
      <c r="F119" s="147">
        <f t="shared" si="59"/>
        <v>867374</v>
      </c>
      <c r="G119" s="147">
        <f t="shared" si="59"/>
        <v>772779</v>
      </c>
      <c r="H119" s="147">
        <f t="shared" si="59"/>
        <v>690714</v>
      </c>
      <c r="I119" s="147">
        <f t="shared" si="59"/>
        <v>612582</v>
      </c>
      <c r="J119" s="147">
        <f t="shared" si="59"/>
        <v>518537</v>
      </c>
      <c r="K119" s="147">
        <f t="shared" si="59"/>
        <v>428771</v>
      </c>
      <c r="L119" s="147">
        <f t="shared" si="59"/>
        <v>314326</v>
      </c>
      <c r="M119" s="147">
        <f t="shared" si="59"/>
        <v>782445</v>
      </c>
      <c r="N119" s="147">
        <f t="shared" si="59"/>
        <v>641848</v>
      </c>
      <c r="O119" s="147">
        <f t="shared" si="59"/>
        <v>464654</v>
      </c>
      <c r="P119" s="147">
        <f t="shared" si="59"/>
        <v>787530</v>
      </c>
      <c r="Q119" s="147">
        <f t="shared" si="59"/>
        <v>597955</v>
      </c>
      <c r="R119" s="147">
        <f t="shared" si="59"/>
        <v>413824</v>
      </c>
      <c r="S119" s="147">
        <f t="shared" si="59"/>
        <v>284883</v>
      </c>
      <c r="T119" s="147">
        <f t="shared" si="59"/>
        <v>433129</v>
      </c>
      <c r="U119" s="147">
        <f t="shared" si="59"/>
        <v>310846</v>
      </c>
      <c r="V119" s="147">
        <f t="shared" si="59"/>
        <v>208372</v>
      </c>
      <c r="W119" s="147">
        <f t="shared" si="59"/>
        <v>125877</v>
      </c>
      <c r="X119" s="147">
        <f t="shared" si="59"/>
        <v>65839</v>
      </c>
      <c r="Y119" s="147">
        <f t="shared" si="59"/>
        <v>338519</v>
      </c>
      <c r="Z119" s="147">
        <f t="shared" si="59"/>
        <v>319614</v>
      </c>
      <c r="AA119" s="147">
        <f t="shared" si="59"/>
        <v>295403</v>
      </c>
      <c r="AB119" s="147">
        <f t="shared" si="59"/>
        <v>281579</v>
      </c>
      <c r="AC119" s="147">
        <f t="shared" si="59"/>
        <v>255410</v>
      </c>
      <c r="AD119" s="147">
        <f t="shared" si="59"/>
        <v>263817.19</v>
      </c>
      <c r="AE119" s="147">
        <f t="shared" si="59"/>
        <v>263700.19</v>
      </c>
      <c r="AF119" s="147" t="str">
        <f t="shared" si="59"/>
        <v>#NAME?</v>
      </c>
      <c r="AG119" s="147" t="str">
        <f t="shared" si="59"/>
        <v>#NAME?</v>
      </c>
      <c r="AH119" s="147" t="str">
        <f t="shared" si="59"/>
        <v>#NAME?</v>
      </c>
      <c r="AI119" s="147" t="str">
        <f t="shared" si="59"/>
        <v>#NAME?</v>
      </c>
      <c r="AJ119" s="147" t="str">
        <f t="shared" si="59"/>
        <v>#NAME?</v>
      </c>
      <c r="AK119" s="147" t="str">
        <f t="shared" si="59"/>
        <v>#NAME?</v>
      </c>
      <c r="AL119" s="147" t="str">
        <f t="shared" si="59"/>
        <v>#NAME?</v>
      </c>
      <c r="AM119" s="147" t="str">
        <f t="shared" si="59"/>
        <v>#NAME?</v>
      </c>
      <c r="AN119" s="147" t="str">
        <f t="shared" si="59"/>
        <v>#NAME?</v>
      </c>
      <c r="AO119" s="147" t="str">
        <f t="shared" si="59"/>
        <v>#NAME?</v>
      </c>
      <c r="AP119" s="147" t="str">
        <f t="shared" si="59"/>
        <v>#NAME?</v>
      </c>
      <c r="AQ119" s="147" t="str">
        <f t="shared" si="59"/>
        <v>#NAME?</v>
      </c>
      <c r="AR119" s="147" t="str">
        <f t="shared" si="59"/>
        <v>#NAME?</v>
      </c>
      <c r="AS119" s="147" t="str">
        <f t="shared" si="59"/>
        <v>#NAME?</v>
      </c>
      <c r="AT119" s="147" t="str">
        <f t="shared" si="59"/>
        <v>#NAME?</v>
      </c>
      <c r="AU119" s="147" t="str">
        <f t="shared" si="59"/>
        <v>#NAME?</v>
      </c>
      <c r="AV119" s="147" t="str">
        <f t="shared" si="59"/>
        <v>#NAME?</v>
      </c>
      <c r="AW119" s="147" t="str">
        <f t="shared" si="59"/>
        <v>#NAME?</v>
      </c>
      <c r="AX119" s="147" t="str">
        <f t="shared" si="59"/>
        <v>#NAME?</v>
      </c>
      <c r="AY119" s="147" t="str">
        <f t="shared" si="59"/>
        <v>#NAME?</v>
      </c>
      <c r="AZ119" s="147" t="str">
        <f t="shared" si="59"/>
        <v>#NAME?</v>
      </c>
      <c r="BA119" s="147" t="str">
        <f t="shared" si="59"/>
        <v>#NAME?</v>
      </c>
      <c r="BB119" s="147" t="str">
        <f t="shared" si="59"/>
        <v>#NAME?</v>
      </c>
      <c r="BC119" s="147" t="str">
        <f t="shared" si="59"/>
        <v>#NAME?</v>
      </c>
      <c r="BD119" s="147" t="str">
        <f t="shared" si="59"/>
        <v>#NAME?</v>
      </c>
      <c r="BE119" s="147" t="str">
        <f t="shared" si="59"/>
        <v>#NAME?</v>
      </c>
      <c r="BF119" s="147" t="str">
        <f t="shared" si="59"/>
        <v>#NAME?</v>
      </c>
      <c r="BG119" s="147" t="str">
        <f t="shared" si="59"/>
        <v>#NAME?</v>
      </c>
      <c r="BH119" s="147" t="str">
        <f t="shared" si="59"/>
        <v>#NAME?</v>
      </c>
      <c r="BI119" s="147" t="str">
        <f t="shared" si="59"/>
        <v>#NAME?</v>
      </c>
      <c r="BJ119" s="147" t="str">
        <f t="shared" si="59"/>
        <v>#NAME?</v>
      </c>
      <c r="BK119" s="147" t="str">
        <f t="shared" si="59"/>
        <v>#NAME?</v>
      </c>
      <c r="BL119" s="147" t="str">
        <f t="shared" si="59"/>
        <v>#NAME?</v>
      </c>
      <c r="BM119" s="147" t="str">
        <f t="shared" si="59"/>
        <v>#NAME?</v>
      </c>
      <c r="BN119" s="147" t="str">
        <f t="shared" si="59"/>
        <v>#NAME?</v>
      </c>
      <c r="BO119" s="147" t="str">
        <f t="shared" si="59"/>
        <v>#NAME?</v>
      </c>
      <c r="BP119" s="147" t="str">
        <f t="shared" si="59"/>
        <v>#NAME?</v>
      </c>
      <c r="BQ119" s="147" t="str">
        <f t="shared" si="59"/>
        <v>#NAME?</v>
      </c>
      <c r="BR119" s="147" t="str">
        <f t="shared" si="59"/>
        <v>#NAME?</v>
      </c>
      <c r="BS119" s="147" t="str">
        <f t="shared" si="59"/>
        <v>#NAME?</v>
      </c>
      <c r="BT119" s="147" t="str">
        <f t="shared" si="59"/>
        <v>#NAME?</v>
      </c>
      <c r="BU119" s="147" t="str">
        <f t="shared" si="59"/>
        <v>#NAME?</v>
      </c>
      <c r="BV119" s="147" t="str">
        <f t="shared" si="59"/>
        <v>#NAME?</v>
      </c>
      <c r="BW119" s="147" t="str">
        <f t="shared" si="59"/>
        <v>#NAME?</v>
      </c>
    </row>
    <row r="120" ht="15.75" customHeight="1">
      <c r="A120" s="31" t="s">
        <v>244</v>
      </c>
      <c r="B120" s="159"/>
      <c r="D120" s="76">
        <f t="array" ref="D120">INDEX(INDIRECT("BS_"&amp;TEXT(D$1,"mmm")&amp;"_"&amp;TEXT(D$1,"yyyy")),MATCH(TRIM($A119),BS_Accounts,0))-D119</f>
        <v>0</v>
      </c>
      <c r="E120" s="76">
        <f t="array" ref="E120">INDEX(INDIRECT("BS_"&amp;TEXT(E$1,"mmm")&amp;"_"&amp;TEXT(E$1,"yyyy")),MATCH(TRIM($A119),BS_Accounts,0))-E119</f>
        <v>0</v>
      </c>
      <c r="F120" s="76">
        <f t="array" ref="F120">INDEX(INDIRECT("BS_"&amp;TEXT(F$1,"mmm")&amp;"_"&amp;TEXT(F$1,"yyyy")),MATCH(TRIM($A119),BS_Accounts,0))-F119</f>
        <v>0</v>
      </c>
      <c r="G120" s="76">
        <f t="array" ref="G120">INDEX(INDIRECT("BS_"&amp;TEXT(G$1,"mmm")&amp;"_"&amp;TEXT(G$1,"yyyy")),MATCH(TRIM($A119),BS_Accounts,0))-G119</f>
        <v>0</v>
      </c>
      <c r="H120" s="76">
        <f t="array" ref="H120">INDEX(INDIRECT("BS_"&amp;TEXT(H$1,"mmm")&amp;"_"&amp;TEXT(H$1,"yyyy")),MATCH(TRIM($A119),BS_Accounts,0))-H119</f>
        <v>0</v>
      </c>
      <c r="I120" s="76">
        <f t="array" ref="I120">INDEX(INDIRECT("BS_"&amp;TEXT(I$1,"mmm")&amp;"_"&amp;TEXT(I$1,"yyyy")),MATCH(TRIM($A119),BS_Accounts,0))-I119</f>
        <v>0</v>
      </c>
      <c r="J120" s="76">
        <f t="array" ref="J120">INDEX(INDIRECT("BS_"&amp;TEXT(J$1,"mmm")&amp;"_"&amp;TEXT(J$1,"yyyy")),MATCH(TRIM($A119),BS_Accounts,0))-J119</f>
        <v>0</v>
      </c>
      <c r="K120" s="76">
        <f t="array" ref="K120">INDEX(INDIRECT("BS_"&amp;TEXT(K$1,"mmm")&amp;"_"&amp;TEXT(K$1,"yyyy")),MATCH(TRIM($A119),BS_Accounts,0))-K119</f>
        <v>0</v>
      </c>
      <c r="L120" s="76">
        <f t="array" ref="L120">INDEX(INDIRECT("BS_"&amp;TEXT(L$1,"mmm")&amp;"_"&amp;TEXT(L$1,"yyyy")),MATCH(TRIM($A119),BS_Accounts,0))-L119</f>
        <v>0</v>
      </c>
      <c r="M120" s="76">
        <f t="array" ref="M120">INDEX(INDIRECT("BS_"&amp;TEXT(M$1,"mmm")&amp;"_"&amp;TEXT(M$1,"yyyy")),MATCH(TRIM($A119),BS_Accounts,0))-M119</f>
        <v>0</v>
      </c>
      <c r="N120" s="76">
        <f t="array" ref="N120">INDEX(INDIRECT("BS_"&amp;TEXT(N$1,"mmm")&amp;"_"&amp;TEXT(N$1,"yyyy")),MATCH(TRIM($A119),BS_Accounts,0))-N119</f>
        <v>0</v>
      </c>
      <c r="O120" s="76">
        <f t="array" ref="O120">INDEX(INDIRECT("BS_"&amp;TEXT(O$1,"mmm")&amp;"_"&amp;TEXT(O$1,"yyyy")),MATCH(TRIM($A119),BS_Accounts,0))-O119</f>
        <v>0</v>
      </c>
      <c r="P120" s="76">
        <f t="array" ref="P120">INDEX(INDIRECT("BS_"&amp;TEXT(P$1,"mmm")&amp;"_"&amp;TEXT(P$1,"yyyy")),MATCH(TRIM($A119),BS_Accounts,0))-P119</f>
        <v>0</v>
      </c>
      <c r="Q120" s="76">
        <f t="array" ref="Q120">INDEX(INDIRECT("BS_"&amp;TEXT(Q$1,"mmm")&amp;"_"&amp;TEXT(Q$1,"yyyy")),MATCH(TRIM($A119),BS_Accounts,0))-Q119</f>
        <v>0</v>
      </c>
      <c r="R120" s="76">
        <f t="array" ref="R120">INDEX(INDIRECT("BS_"&amp;TEXT(R$1,"mmm")&amp;"_"&amp;TEXT(R$1,"yyyy")),MATCH(TRIM($A119),BS_Accounts,0))-R119</f>
        <v>0</v>
      </c>
      <c r="S120" s="76">
        <f t="array" ref="S120">INDEX(INDIRECT("BS_"&amp;TEXT(S$1,"mmm")&amp;"_"&amp;TEXT(S$1,"yyyy")),MATCH(TRIM($A119),BS_Accounts,0))-S119</f>
        <v>0</v>
      </c>
      <c r="T120" s="76">
        <f t="array" ref="T120">INDEX(INDIRECT("BS_"&amp;TEXT(T$1,"mmm")&amp;"_"&amp;TEXT(T$1,"yyyy")),MATCH(TRIM($A119),BS_Accounts,0))-T119</f>
        <v>0</v>
      </c>
      <c r="U120" s="76">
        <f t="array" ref="U120">INDEX(INDIRECT("BS_"&amp;TEXT(U$1,"mmm")&amp;"_"&amp;TEXT(U$1,"yyyy")),MATCH(TRIM($A119),BS_Accounts,0))-U119</f>
        <v>0</v>
      </c>
      <c r="V120" s="76">
        <f t="array" ref="V120">INDEX(INDIRECT("BS_"&amp;TEXT(V$1,"mmm")&amp;"_"&amp;TEXT(V$1,"yyyy")),MATCH(TRIM($A119),BS_Accounts,0))-V119</f>
        <v>0</v>
      </c>
      <c r="W120" s="76">
        <f t="array" ref="W120">INDEX(INDIRECT("BS_"&amp;TEXT(W$1,"mmm")&amp;"_"&amp;TEXT(W$1,"yyyy")),MATCH(TRIM($A119),BS_Accounts,0))-W119</f>
        <v>0</v>
      </c>
      <c r="X120" s="76">
        <f t="array" ref="X120">INDEX(INDIRECT("BS_"&amp;TEXT(X$1,"mmm")&amp;"_"&amp;TEXT(X$1,"yyyy")),MATCH(TRIM($A119),BS_Accounts,0))-X119</f>
        <v>0</v>
      </c>
      <c r="Y120" s="76">
        <f t="array" ref="Y120">INDEX(INDIRECT("BS_"&amp;TEXT(Y$1,"mmm")&amp;"_"&amp;TEXT(Y$1,"yyyy")),MATCH(TRIM($A119),BS_Accounts,0))-Y119</f>
        <v>0</v>
      </c>
      <c r="Z120" s="76">
        <f t="array" ref="Z120">INDEX(INDIRECT("BS_"&amp;TEXT(Z$1,"mmm")&amp;"_"&amp;TEXT(Z$1,"yyyy")),MATCH(TRIM($A119),BS_Accounts,0))-Z119</f>
        <v>0</v>
      </c>
      <c r="AA120" s="76">
        <f t="array" ref="AA120">INDEX(INDIRECT("BS_"&amp;TEXT(AA$1,"mmm")&amp;"_"&amp;TEXT(AA$1,"yyyy")),MATCH(TRIM($A119),BS_Accounts,0))-AA119</f>
        <v>0</v>
      </c>
      <c r="AB120" s="76">
        <f t="array" ref="AB120">INDEX(INDIRECT("BS_"&amp;TEXT(AB$1,"mmm")&amp;"_"&amp;TEXT(AB$1,"yyyy")),MATCH(TRIM($A119),BS_Accounts,0))-AB119</f>
        <v>0</v>
      </c>
      <c r="AC120" s="76">
        <f t="array" ref="AC120">INDEX(INDIRECT("BS_"&amp;TEXT(AC$1,"mmm")&amp;"_"&amp;TEXT(AC$1,"yyyy")),MATCH(TRIM($A119),BS_Accounts,0))-AC119</f>
        <v>0</v>
      </c>
      <c r="AD120" s="76">
        <f t="array" ref="AD120">INDEX(INDIRECT("BS_"&amp;TEXT(AD$1,"mmm")&amp;"_"&amp;TEXT(AD$1,"yyyy")),MATCH(TRIM($A119),BS_Accounts,0))-AD119</f>
        <v>0</v>
      </c>
      <c r="AE120" s="76">
        <f t="array" ref="AE120">INDEX(INDIRECT("BS_"&amp;TEXT(AE$1,"mmm")&amp;"_"&amp;TEXT(AE$1,"yyyy")),MATCH(TRIM($A119),BS_Accounts,0))-AE119</f>
        <v>0</v>
      </c>
    </row>
    <row r="121" ht="15.75" customHeight="1">
      <c r="A121" s="1" t="s">
        <v>341</v>
      </c>
      <c r="B121" s="159"/>
    </row>
    <row r="122" ht="15.75" customHeight="1">
      <c r="A122" s="1" t="s">
        <v>342</v>
      </c>
      <c r="B122" s="159"/>
    </row>
    <row r="123" ht="15.75" customHeight="1">
      <c r="A123" s="1" t="s">
        <v>343</v>
      </c>
      <c r="B123" s="159"/>
      <c r="D123" s="76" t="str">
        <f t="array" ref="D123">INDEX(INDIRECT("BS_"&amp;TEXT(D$1,"mmm")&amp;"_"&amp;TEXT(D$1,"yyyy")),MATCH(TRIM($A123),BS_Accounts,0))</f>
        <v/>
      </c>
      <c r="E123" s="76" t="str">
        <f t="array" ref="E123">INDEX(INDIRECT("BS_"&amp;TEXT(E$1,"mmm")&amp;"_"&amp;TEXT(E$1,"yyyy")),MATCH(TRIM($A123),BS_Accounts,0))</f>
        <v/>
      </c>
      <c r="F123" s="76" t="str">
        <f t="array" ref="F123">INDEX(INDIRECT("BS_"&amp;TEXT(F$1,"mmm")&amp;"_"&amp;TEXT(F$1,"yyyy")),MATCH(TRIM($A123),BS_Accounts,0))</f>
        <v/>
      </c>
      <c r="G123" s="76" t="str">
        <f t="array" ref="G123">INDEX(INDIRECT("BS_"&amp;TEXT(G$1,"mmm")&amp;"_"&amp;TEXT(G$1,"yyyy")),MATCH(TRIM($A123),BS_Accounts,0))</f>
        <v/>
      </c>
      <c r="H123" s="76" t="str">
        <f t="array" ref="H123">INDEX(INDIRECT("BS_"&amp;TEXT(H$1,"mmm")&amp;"_"&amp;TEXT(H$1,"yyyy")),MATCH(TRIM($A123),BS_Accounts,0))</f>
        <v/>
      </c>
      <c r="I123" s="76" t="str">
        <f t="array" ref="I123">INDEX(INDIRECT("BS_"&amp;TEXT(I$1,"mmm")&amp;"_"&amp;TEXT(I$1,"yyyy")),MATCH(TRIM($A123),BS_Accounts,0))</f>
        <v/>
      </c>
      <c r="J123" s="76" t="str">
        <f t="array" ref="J123">INDEX(INDIRECT("BS_"&amp;TEXT(J$1,"mmm")&amp;"_"&amp;TEXT(J$1,"yyyy")),MATCH(TRIM($A123),BS_Accounts,0))</f>
        <v/>
      </c>
      <c r="K123" s="76" t="str">
        <f t="array" ref="K123">INDEX(INDIRECT("BS_"&amp;TEXT(K$1,"mmm")&amp;"_"&amp;TEXT(K$1,"yyyy")),MATCH(TRIM($A123),BS_Accounts,0))</f>
        <v/>
      </c>
      <c r="L123" s="76" t="str">
        <f t="array" ref="L123">INDEX(INDIRECT("BS_"&amp;TEXT(L$1,"mmm")&amp;"_"&amp;TEXT(L$1,"yyyy")),MATCH(TRIM($A123),BS_Accounts,0))</f>
        <v/>
      </c>
      <c r="M123" s="76" t="str">
        <f t="array" ref="M123">INDEX(INDIRECT("BS_"&amp;TEXT(M$1,"mmm")&amp;"_"&amp;TEXT(M$1,"yyyy")),MATCH(TRIM($A123),BS_Accounts,0))</f>
        <v/>
      </c>
      <c r="N123" s="76" t="str">
        <f t="array" ref="N123">INDEX(INDIRECT("BS_"&amp;TEXT(N$1,"mmm")&amp;"_"&amp;TEXT(N$1,"yyyy")),MATCH(TRIM($A123),BS_Accounts,0))</f>
        <v/>
      </c>
      <c r="O123" s="76" t="str">
        <f t="array" ref="O123">INDEX(INDIRECT("BS_"&amp;TEXT(O$1,"mmm")&amp;"_"&amp;TEXT(O$1,"yyyy")),MATCH(TRIM($A123),BS_Accounts,0))</f>
        <v/>
      </c>
      <c r="P123" s="76" t="str">
        <f t="array" ref="P123">INDEX(INDIRECT("BS_"&amp;TEXT(P$1,"mmm")&amp;"_"&amp;TEXT(P$1,"yyyy")),MATCH(TRIM($A123),BS_Accounts,0))</f>
        <v/>
      </c>
      <c r="Q123" s="76" t="str">
        <f t="array" ref="Q123">INDEX(INDIRECT("BS_"&amp;TEXT(Q$1,"mmm")&amp;"_"&amp;TEXT(Q$1,"yyyy")),MATCH(TRIM($A123),BS_Accounts,0))</f>
        <v/>
      </c>
      <c r="R123" s="76" t="str">
        <f t="array" ref="R123">INDEX(INDIRECT("BS_"&amp;TEXT(R$1,"mmm")&amp;"_"&amp;TEXT(R$1,"yyyy")),MATCH(TRIM($A123),BS_Accounts,0))</f>
        <v/>
      </c>
      <c r="S123" s="76" t="str">
        <f t="array" ref="S123">INDEX(INDIRECT("BS_"&amp;TEXT(S$1,"mmm")&amp;"_"&amp;TEXT(S$1,"yyyy")),MATCH(TRIM($A123),BS_Accounts,0))</f>
        <v/>
      </c>
      <c r="T123" s="76" t="str">
        <f t="array" ref="T123">INDEX(INDIRECT("BS_"&amp;TEXT(T$1,"mmm")&amp;"_"&amp;TEXT(T$1,"yyyy")),MATCH(TRIM($A123),BS_Accounts,0))</f>
        <v/>
      </c>
      <c r="U123" s="76" t="str">
        <f t="array" ref="U123">INDEX(INDIRECT("BS_"&amp;TEXT(U$1,"mmm")&amp;"_"&amp;TEXT(U$1,"yyyy")),MATCH(TRIM($A123),BS_Accounts,0))</f>
        <v/>
      </c>
      <c r="V123" s="76" t="str">
        <f t="array" ref="V123">INDEX(INDIRECT("BS_"&amp;TEXT(V$1,"mmm")&amp;"_"&amp;TEXT(V$1,"yyyy")),MATCH(TRIM($A123),BS_Accounts,0))</f>
        <v/>
      </c>
      <c r="W123" s="76" t="str">
        <f t="array" ref="W123">INDEX(INDIRECT("BS_"&amp;TEXT(W$1,"mmm")&amp;"_"&amp;TEXT(W$1,"yyyy")),MATCH(TRIM($A123),BS_Accounts,0))</f>
        <v/>
      </c>
      <c r="X123" s="76" t="str">
        <f t="array" ref="X123">INDEX(INDIRECT("BS_"&amp;TEXT(X$1,"mmm")&amp;"_"&amp;TEXT(X$1,"yyyy")),MATCH(TRIM($A123),BS_Accounts,0))</f>
        <v/>
      </c>
      <c r="Y123" s="76" t="str">
        <f t="array" ref="Y123">INDEX(INDIRECT("BS_"&amp;TEXT(Y$1,"mmm")&amp;"_"&amp;TEXT(Y$1,"yyyy")),MATCH(TRIM($A123),BS_Accounts,0))</f>
        <v/>
      </c>
      <c r="Z123" s="76" t="str">
        <f t="array" ref="Z123">INDEX(INDIRECT("BS_"&amp;TEXT(Z$1,"mmm")&amp;"_"&amp;TEXT(Z$1,"yyyy")),MATCH(TRIM($A123),BS_Accounts,0))</f>
        <v/>
      </c>
      <c r="AA123" s="76" t="str">
        <f t="array" ref="AA123">INDEX(INDIRECT("BS_"&amp;TEXT(AA$1,"mmm")&amp;"_"&amp;TEXT(AA$1,"yyyy")),MATCH(TRIM($A123),BS_Accounts,0))</f>
        <v/>
      </c>
      <c r="AB123" s="76" t="str">
        <f t="array" ref="AB123">INDEX(INDIRECT("BS_"&amp;TEXT(AB$1,"mmm")&amp;"_"&amp;TEXT(AB$1,"yyyy")),MATCH(TRIM($A123),BS_Accounts,0))</f>
        <v/>
      </c>
      <c r="AC123" s="76" t="str">
        <f t="array" ref="AC123">INDEX(INDIRECT("BS_"&amp;TEXT(AC$1,"mmm")&amp;"_"&amp;TEXT(AC$1,"yyyy")),MATCH(TRIM($A123),BS_Accounts,0))</f>
        <v/>
      </c>
      <c r="AD123" s="76" t="str">
        <f t="array" ref="AD123">INDEX(INDIRECT("BS_"&amp;TEXT(AD$1,"mmm")&amp;"_"&amp;TEXT(AD$1,"yyyy")),MATCH(TRIM($A123),BS_Accounts,0))</f>
        <v/>
      </c>
      <c r="AE123" s="76" t="str">
        <f t="array" ref="AE123">INDEX(INDIRECT("BS_"&amp;TEXT(AE$1,"mmm")&amp;"_"&amp;TEXT(AE$1,"yyyy")),MATCH(TRIM($A123),BS_Accounts,0))</f>
        <v/>
      </c>
    </row>
    <row r="124" ht="15.75" customHeight="1">
      <c r="A124" s="1" t="s">
        <v>344</v>
      </c>
      <c r="B124" s="159"/>
      <c r="D124" s="76" t="str">
        <f t="array" ref="D124">INDEX(INDIRECT("BS_"&amp;TEXT(D$1,"mmm")&amp;"_"&amp;TEXT(D$1,"yyyy")),MATCH(TRIM($A124),BS_Accounts,0))</f>
        <v/>
      </c>
      <c r="E124" s="76" t="str">
        <f t="array" ref="E124">INDEX(INDIRECT("BS_"&amp;TEXT(E$1,"mmm")&amp;"_"&amp;TEXT(E$1,"yyyy")),MATCH(TRIM($A124),BS_Accounts,0))</f>
        <v/>
      </c>
      <c r="F124" s="76" t="str">
        <f t="array" ref="F124">INDEX(INDIRECT("BS_"&amp;TEXT(F$1,"mmm")&amp;"_"&amp;TEXT(F$1,"yyyy")),MATCH(TRIM($A124),BS_Accounts,0))</f>
        <v/>
      </c>
      <c r="G124" s="76" t="str">
        <f t="array" ref="G124">INDEX(INDIRECT("BS_"&amp;TEXT(G$1,"mmm")&amp;"_"&amp;TEXT(G$1,"yyyy")),MATCH(TRIM($A124),BS_Accounts,0))</f>
        <v/>
      </c>
      <c r="H124" s="76" t="str">
        <f t="array" ref="H124">INDEX(INDIRECT("BS_"&amp;TEXT(H$1,"mmm")&amp;"_"&amp;TEXT(H$1,"yyyy")),MATCH(TRIM($A124),BS_Accounts,0))</f>
        <v/>
      </c>
      <c r="I124" s="76" t="str">
        <f t="array" ref="I124">INDEX(INDIRECT("BS_"&amp;TEXT(I$1,"mmm")&amp;"_"&amp;TEXT(I$1,"yyyy")),MATCH(TRIM($A124),BS_Accounts,0))</f>
        <v/>
      </c>
      <c r="J124" s="76" t="str">
        <f t="array" ref="J124">INDEX(INDIRECT("BS_"&amp;TEXT(J$1,"mmm")&amp;"_"&amp;TEXT(J$1,"yyyy")),MATCH(TRIM($A124),BS_Accounts,0))</f>
        <v/>
      </c>
      <c r="K124" s="76" t="str">
        <f t="array" ref="K124">INDEX(INDIRECT("BS_"&amp;TEXT(K$1,"mmm")&amp;"_"&amp;TEXT(K$1,"yyyy")),MATCH(TRIM($A124),BS_Accounts,0))</f>
        <v/>
      </c>
      <c r="L124" s="76" t="str">
        <f t="array" ref="L124">INDEX(INDIRECT("BS_"&amp;TEXT(L$1,"mmm")&amp;"_"&amp;TEXT(L$1,"yyyy")),MATCH(TRIM($A124),BS_Accounts,0))</f>
        <v/>
      </c>
      <c r="M124" s="76" t="str">
        <f t="array" ref="M124">INDEX(INDIRECT("BS_"&amp;TEXT(M$1,"mmm")&amp;"_"&amp;TEXT(M$1,"yyyy")),MATCH(TRIM($A124),BS_Accounts,0))</f>
        <v/>
      </c>
      <c r="N124" s="76" t="str">
        <f t="array" ref="N124">INDEX(INDIRECT("BS_"&amp;TEXT(N$1,"mmm")&amp;"_"&amp;TEXT(N$1,"yyyy")),MATCH(TRIM($A124),BS_Accounts,0))</f>
        <v/>
      </c>
      <c r="O124" s="76" t="str">
        <f t="array" ref="O124">INDEX(INDIRECT("BS_"&amp;TEXT(O$1,"mmm")&amp;"_"&amp;TEXT(O$1,"yyyy")),MATCH(TRIM($A124),BS_Accounts,0))</f>
        <v/>
      </c>
      <c r="P124" s="76" t="str">
        <f t="array" ref="P124">INDEX(INDIRECT("BS_"&amp;TEXT(P$1,"mmm")&amp;"_"&amp;TEXT(P$1,"yyyy")),MATCH(TRIM($A124),BS_Accounts,0))</f>
        <v/>
      </c>
      <c r="Q124" s="76" t="str">
        <f t="array" ref="Q124">INDEX(INDIRECT("BS_"&amp;TEXT(Q$1,"mmm")&amp;"_"&amp;TEXT(Q$1,"yyyy")),MATCH(TRIM($A124),BS_Accounts,0))</f>
        <v/>
      </c>
      <c r="R124" s="76" t="str">
        <f t="array" ref="R124">INDEX(INDIRECT("BS_"&amp;TEXT(R$1,"mmm")&amp;"_"&amp;TEXT(R$1,"yyyy")),MATCH(TRIM($A124),BS_Accounts,0))</f>
        <v/>
      </c>
      <c r="S124" s="76" t="str">
        <f t="array" ref="S124">INDEX(INDIRECT("BS_"&amp;TEXT(S$1,"mmm")&amp;"_"&amp;TEXT(S$1,"yyyy")),MATCH(TRIM($A124),BS_Accounts,0))</f>
        <v/>
      </c>
      <c r="T124" s="76" t="str">
        <f t="array" ref="T124">INDEX(INDIRECT("BS_"&amp;TEXT(T$1,"mmm")&amp;"_"&amp;TEXT(T$1,"yyyy")),MATCH(TRIM($A124),BS_Accounts,0))</f>
        <v/>
      </c>
      <c r="U124" s="76" t="str">
        <f t="array" ref="U124">INDEX(INDIRECT("BS_"&amp;TEXT(U$1,"mmm")&amp;"_"&amp;TEXT(U$1,"yyyy")),MATCH(TRIM($A124),BS_Accounts,0))</f>
        <v/>
      </c>
      <c r="V124" s="76" t="str">
        <f t="array" ref="V124">INDEX(INDIRECT("BS_"&amp;TEXT(V$1,"mmm")&amp;"_"&amp;TEXT(V$1,"yyyy")),MATCH(TRIM($A124),BS_Accounts,0))</f>
        <v/>
      </c>
      <c r="W124" s="76" t="str">
        <f t="array" ref="W124">INDEX(INDIRECT("BS_"&amp;TEXT(W$1,"mmm")&amp;"_"&amp;TEXT(W$1,"yyyy")),MATCH(TRIM($A124),BS_Accounts,0))</f>
        <v/>
      </c>
      <c r="X124" s="76" t="str">
        <f t="array" ref="X124">INDEX(INDIRECT("BS_"&amp;TEXT(X$1,"mmm")&amp;"_"&amp;TEXT(X$1,"yyyy")),MATCH(TRIM($A124),BS_Accounts,0))</f>
        <v/>
      </c>
      <c r="Y124" s="76" t="str">
        <f t="array" ref="Y124">INDEX(INDIRECT("BS_"&amp;TEXT(Y$1,"mmm")&amp;"_"&amp;TEXT(Y$1,"yyyy")),MATCH(TRIM($A124),BS_Accounts,0))</f>
        <v/>
      </c>
      <c r="Z124" s="76" t="str">
        <f t="array" ref="Z124">INDEX(INDIRECT("BS_"&amp;TEXT(Z$1,"mmm")&amp;"_"&amp;TEXT(Z$1,"yyyy")),MATCH(TRIM($A124),BS_Accounts,0))</f>
        <v/>
      </c>
      <c r="AA124" s="76" t="str">
        <f t="array" ref="AA124">INDEX(INDIRECT("BS_"&amp;TEXT(AA$1,"mmm")&amp;"_"&amp;TEXT(AA$1,"yyyy")),MATCH(TRIM($A124),BS_Accounts,0))</f>
        <v/>
      </c>
      <c r="AB124" s="76" t="str">
        <f t="array" ref="AB124">INDEX(INDIRECT("BS_"&amp;TEXT(AB$1,"mmm")&amp;"_"&amp;TEXT(AB$1,"yyyy")),MATCH(TRIM($A124),BS_Accounts,0))</f>
        <v/>
      </c>
      <c r="AC124" s="76" t="str">
        <f t="array" ref="AC124">INDEX(INDIRECT("BS_"&amp;TEXT(AC$1,"mmm")&amp;"_"&amp;TEXT(AC$1,"yyyy")),MATCH(TRIM($A124),BS_Accounts,0))</f>
        <v/>
      </c>
      <c r="AD124" s="76" t="str">
        <f t="array" ref="AD124">INDEX(INDIRECT("BS_"&amp;TEXT(AD$1,"mmm")&amp;"_"&amp;TEXT(AD$1,"yyyy")),MATCH(TRIM($A124),BS_Accounts,0))</f>
        <v/>
      </c>
      <c r="AE124" s="76" t="str">
        <f t="array" ref="AE124">INDEX(INDIRECT("BS_"&amp;TEXT(AE$1,"mmm")&amp;"_"&amp;TEXT(AE$1,"yyyy")),MATCH(TRIM($A124),BS_Accounts,0))</f>
        <v/>
      </c>
    </row>
    <row r="125" ht="15.75" customHeight="1">
      <c r="A125" s="1" t="s">
        <v>345</v>
      </c>
      <c r="B125" s="160">
        <f>AVERAGEIFS(125:125,$1:$1,"&gt;="&amp;DATE(YEAR(Current_Month),MONTH(Current_Month),DAY(Current_Month)),$1:$1,"&lt;="&amp;EOMONTH(Current_Month,0))</f>
        <v>-1756</v>
      </c>
      <c r="D125" s="76">
        <f t="array" ref="D125">INDEX(INDIRECT("BS_"&amp;TEXT(D$1,"mmm")&amp;"_"&amp;TEXT(D$1,"yyyy")),MATCH(TRIM($A125),BS_Accounts,0))</f>
        <v>357</v>
      </c>
      <c r="E125" s="76">
        <f t="array" ref="E125">INDEX(INDIRECT("BS_"&amp;TEXT(E$1,"mmm")&amp;"_"&amp;TEXT(E$1,"yyyy")),MATCH(TRIM($A125),BS_Accounts,0))</f>
        <v>-1756</v>
      </c>
      <c r="F125" s="76">
        <f t="array" ref="F125">INDEX(INDIRECT("BS_"&amp;TEXT(F$1,"mmm")&amp;"_"&amp;TEXT(F$1,"yyyy")),MATCH(TRIM($A125),BS_Accounts,0))</f>
        <v>-1756</v>
      </c>
      <c r="G125" s="76">
        <f t="array" ref="G125">INDEX(INDIRECT("BS_"&amp;TEXT(G$1,"mmm")&amp;"_"&amp;TEXT(G$1,"yyyy")),MATCH(TRIM($A125),BS_Accounts,0))</f>
        <v>-1756</v>
      </c>
      <c r="H125" s="76">
        <f t="array" ref="H125">INDEX(INDIRECT("BS_"&amp;TEXT(H$1,"mmm")&amp;"_"&amp;TEXT(H$1,"yyyy")),MATCH(TRIM($A125),BS_Accounts,0))</f>
        <v>-1756</v>
      </c>
      <c r="I125" s="76">
        <f t="array" ref="I125">INDEX(INDIRECT("BS_"&amp;TEXT(I$1,"mmm")&amp;"_"&amp;TEXT(I$1,"yyyy")),MATCH(TRIM($A125),BS_Accounts,0))</f>
        <v>-1756</v>
      </c>
      <c r="J125" s="76">
        <f t="array" ref="J125">INDEX(INDIRECT("BS_"&amp;TEXT(J$1,"mmm")&amp;"_"&amp;TEXT(J$1,"yyyy")),MATCH(TRIM($A125),BS_Accounts,0))</f>
        <v>-1756</v>
      </c>
      <c r="K125" s="76">
        <f t="array" ref="K125">INDEX(INDIRECT("BS_"&amp;TEXT(K$1,"mmm")&amp;"_"&amp;TEXT(K$1,"yyyy")),MATCH(TRIM($A125),BS_Accounts,0))</f>
        <v>-1756</v>
      </c>
      <c r="L125" s="76">
        <f t="array" ref="L125">INDEX(INDIRECT("BS_"&amp;TEXT(L$1,"mmm")&amp;"_"&amp;TEXT(L$1,"yyyy")),MATCH(TRIM($A125),BS_Accounts,0))</f>
        <v>-1756</v>
      </c>
      <c r="M125" s="76">
        <f t="array" ref="M125">INDEX(INDIRECT("BS_"&amp;TEXT(M$1,"mmm")&amp;"_"&amp;TEXT(M$1,"yyyy")),MATCH(TRIM($A125),BS_Accounts,0))</f>
        <v>-1756</v>
      </c>
      <c r="N125" s="76">
        <f t="array" ref="N125">INDEX(INDIRECT("BS_"&amp;TEXT(N$1,"mmm")&amp;"_"&amp;TEXT(N$1,"yyyy")),MATCH(TRIM($A125),BS_Accounts,0))</f>
        <v>-1756</v>
      </c>
      <c r="O125" s="76">
        <f t="array" ref="O125">INDEX(INDIRECT("BS_"&amp;TEXT(O$1,"mmm")&amp;"_"&amp;TEXT(O$1,"yyyy")),MATCH(TRIM($A125),BS_Accounts,0))</f>
        <v>-1756</v>
      </c>
      <c r="P125" s="76">
        <f t="array" ref="P125">INDEX(INDIRECT("BS_"&amp;TEXT(P$1,"mmm")&amp;"_"&amp;TEXT(P$1,"yyyy")),MATCH(TRIM($A125),BS_Accounts,0))</f>
        <v>-1756</v>
      </c>
      <c r="Q125" s="76">
        <f t="array" ref="Q125">INDEX(INDIRECT("BS_"&amp;TEXT(Q$1,"mmm")&amp;"_"&amp;TEXT(Q$1,"yyyy")),MATCH(TRIM($A125),BS_Accounts,0))</f>
        <v>-1756</v>
      </c>
      <c r="R125" s="76">
        <f t="array" ref="R125">INDEX(INDIRECT("BS_"&amp;TEXT(R$1,"mmm")&amp;"_"&amp;TEXT(R$1,"yyyy")),MATCH(TRIM($A125),BS_Accounts,0))</f>
        <v>-1756</v>
      </c>
      <c r="S125" s="76">
        <f t="array" ref="S125">INDEX(INDIRECT("BS_"&amp;TEXT(S$1,"mmm")&amp;"_"&amp;TEXT(S$1,"yyyy")),MATCH(TRIM($A125),BS_Accounts,0))</f>
        <v>-1756</v>
      </c>
      <c r="T125" s="76">
        <f t="array" ref="T125">INDEX(INDIRECT("BS_"&amp;TEXT(T$1,"mmm")&amp;"_"&amp;TEXT(T$1,"yyyy")),MATCH(TRIM($A125),BS_Accounts,0))</f>
        <v>-1756</v>
      </c>
      <c r="U125" s="76">
        <f t="array" ref="U125">INDEX(INDIRECT("BS_"&amp;TEXT(U$1,"mmm")&amp;"_"&amp;TEXT(U$1,"yyyy")),MATCH(TRIM($A125),BS_Accounts,0))</f>
        <v>-1756</v>
      </c>
      <c r="V125" s="76">
        <f t="array" ref="V125">INDEX(INDIRECT("BS_"&amp;TEXT(V$1,"mmm")&amp;"_"&amp;TEXT(V$1,"yyyy")),MATCH(TRIM($A125),BS_Accounts,0))</f>
        <v>-1756</v>
      </c>
      <c r="W125" s="76">
        <f t="array" ref="W125">INDEX(INDIRECT("BS_"&amp;TEXT(W$1,"mmm")&amp;"_"&amp;TEXT(W$1,"yyyy")),MATCH(TRIM($A125),BS_Accounts,0))</f>
        <v>-1756</v>
      </c>
      <c r="X125" s="76">
        <f t="array" ref="X125">INDEX(INDIRECT("BS_"&amp;TEXT(X$1,"mmm")&amp;"_"&amp;TEXT(X$1,"yyyy")),MATCH(TRIM($A125),BS_Accounts,0))</f>
        <v>-1756</v>
      </c>
      <c r="Y125" s="76">
        <f t="array" ref="Y125">INDEX(INDIRECT("BS_"&amp;TEXT(Y$1,"mmm")&amp;"_"&amp;TEXT(Y$1,"yyyy")),MATCH(TRIM($A125),BS_Accounts,0))</f>
        <v>-1756</v>
      </c>
      <c r="Z125" s="76">
        <f t="array" ref="Z125">INDEX(INDIRECT("BS_"&amp;TEXT(Z$1,"mmm")&amp;"_"&amp;TEXT(Z$1,"yyyy")),MATCH(TRIM($A125),BS_Accounts,0))</f>
        <v>-1756</v>
      </c>
      <c r="AA125" s="76">
        <f t="array" ref="AA125">INDEX(INDIRECT("BS_"&amp;TEXT(AA$1,"mmm")&amp;"_"&amp;TEXT(AA$1,"yyyy")),MATCH(TRIM($A125),BS_Accounts,0))</f>
        <v>-1756</v>
      </c>
      <c r="AB125" s="76">
        <f t="array" ref="AB125">INDEX(INDIRECT("BS_"&amp;TEXT(AB$1,"mmm")&amp;"_"&amp;TEXT(AB$1,"yyyy")),MATCH(TRIM($A125),BS_Accounts,0))</f>
        <v>-1756</v>
      </c>
      <c r="AC125" s="76">
        <f t="array" ref="AC125">INDEX(INDIRECT("BS_"&amp;TEXT(AC$1,"mmm")&amp;"_"&amp;TEXT(AC$1,"yyyy")),MATCH(TRIM($A125),BS_Accounts,0))</f>
        <v>-1756</v>
      </c>
      <c r="AD125" s="76">
        <f t="array" ref="AD125">INDEX(INDIRECT("BS_"&amp;TEXT(AD$1,"mmm")&amp;"_"&amp;TEXT(AD$1,"yyyy")),MATCH(TRIM($A125),BS_Accounts,0))</f>
        <v>-1756</v>
      </c>
      <c r="AE125" s="76">
        <f t="array" ref="AE125">INDEX(INDIRECT("BS_"&amp;TEXT(AE$1,"mmm")&amp;"_"&amp;TEXT(AE$1,"yyyy")),MATCH(TRIM($A125),BS_Accounts,0))</f>
        <v>-1756</v>
      </c>
      <c r="AF125" s="96">
        <f t="shared" ref="AF125:BW125" si="60">$B125</f>
        <v>-1756</v>
      </c>
      <c r="AG125" s="96">
        <f t="shared" si="60"/>
        <v>-1756</v>
      </c>
      <c r="AH125" s="96">
        <f t="shared" si="60"/>
        <v>-1756</v>
      </c>
      <c r="AI125" s="96">
        <f t="shared" si="60"/>
        <v>-1756</v>
      </c>
      <c r="AJ125" s="96">
        <f t="shared" si="60"/>
        <v>-1756</v>
      </c>
      <c r="AK125" s="96">
        <f t="shared" si="60"/>
        <v>-1756</v>
      </c>
      <c r="AL125" s="96">
        <f t="shared" si="60"/>
        <v>-1756</v>
      </c>
      <c r="AM125" s="96">
        <f t="shared" si="60"/>
        <v>-1756</v>
      </c>
      <c r="AN125" s="96">
        <f t="shared" si="60"/>
        <v>-1756</v>
      </c>
      <c r="AO125" s="96">
        <f t="shared" si="60"/>
        <v>-1756</v>
      </c>
      <c r="AP125" s="96">
        <f t="shared" si="60"/>
        <v>-1756</v>
      </c>
      <c r="AQ125" s="96">
        <f t="shared" si="60"/>
        <v>-1756</v>
      </c>
      <c r="AR125" s="96">
        <f t="shared" si="60"/>
        <v>-1756</v>
      </c>
      <c r="AS125" s="96">
        <f t="shared" si="60"/>
        <v>-1756</v>
      </c>
      <c r="AT125" s="96">
        <f t="shared" si="60"/>
        <v>-1756</v>
      </c>
      <c r="AU125" s="96">
        <f t="shared" si="60"/>
        <v>-1756</v>
      </c>
      <c r="AV125" s="96">
        <f t="shared" si="60"/>
        <v>-1756</v>
      </c>
      <c r="AW125" s="96">
        <f t="shared" si="60"/>
        <v>-1756</v>
      </c>
      <c r="AX125" s="96">
        <f t="shared" si="60"/>
        <v>-1756</v>
      </c>
      <c r="AY125" s="96">
        <f t="shared" si="60"/>
        <v>-1756</v>
      </c>
      <c r="AZ125" s="96">
        <f t="shared" si="60"/>
        <v>-1756</v>
      </c>
      <c r="BA125" s="96">
        <f t="shared" si="60"/>
        <v>-1756</v>
      </c>
      <c r="BB125" s="96">
        <f t="shared" si="60"/>
        <v>-1756</v>
      </c>
      <c r="BC125" s="96">
        <f t="shared" si="60"/>
        <v>-1756</v>
      </c>
      <c r="BD125" s="96">
        <f t="shared" si="60"/>
        <v>-1756</v>
      </c>
      <c r="BE125" s="96">
        <f t="shared" si="60"/>
        <v>-1756</v>
      </c>
      <c r="BF125" s="96">
        <f t="shared" si="60"/>
        <v>-1756</v>
      </c>
      <c r="BG125" s="96">
        <f t="shared" si="60"/>
        <v>-1756</v>
      </c>
      <c r="BH125" s="96">
        <f t="shared" si="60"/>
        <v>-1756</v>
      </c>
      <c r="BI125" s="96">
        <f t="shared" si="60"/>
        <v>-1756</v>
      </c>
      <c r="BJ125" s="96">
        <f t="shared" si="60"/>
        <v>-1756</v>
      </c>
      <c r="BK125" s="96">
        <f t="shared" si="60"/>
        <v>-1756</v>
      </c>
      <c r="BL125" s="96">
        <f t="shared" si="60"/>
        <v>-1756</v>
      </c>
      <c r="BM125" s="96">
        <f t="shared" si="60"/>
        <v>-1756</v>
      </c>
      <c r="BN125" s="96">
        <f t="shared" si="60"/>
        <v>-1756</v>
      </c>
      <c r="BO125" s="96">
        <f t="shared" si="60"/>
        <v>-1756</v>
      </c>
      <c r="BP125" s="96">
        <f t="shared" si="60"/>
        <v>-1756</v>
      </c>
      <c r="BQ125" s="96">
        <f t="shared" si="60"/>
        <v>-1756</v>
      </c>
      <c r="BR125" s="96">
        <f t="shared" si="60"/>
        <v>-1756</v>
      </c>
      <c r="BS125" s="96">
        <f t="shared" si="60"/>
        <v>-1756</v>
      </c>
      <c r="BT125" s="96">
        <f t="shared" si="60"/>
        <v>-1756</v>
      </c>
      <c r="BU125" s="96">
        <f t="shared" si="60"/>
        <v>-1756</v>
      </c>
      <c r="BV125" s="96">
        <f t="shared" si="60"/>
        <v>-1756</v>
      </c>
      <c r="BW125" s="96">
        <f t="shared" si="60"/>
        <v>-1756</v>
      </c>
    </row>
    <row r="126" ht="15.75" customHeight="1">
      <c r="A126" s="21" t="s">
        <v>346</v>
      </c>
      <c r="B126" s="163"/>
      <c r="C126" s="21"/>
      <c r="D126" s="157">
        <f t="shared" ref="D126:BW126" si="61">SUM(D124:D125)</f>
        <v>357</v>
      </c>
      <c r="E126" s="157">
        <f t="shared" si="61"/>
        <v>-1756</v>
      </c>
      <c r="F126" s="157">
        <f t="shared" si="61"/>
        <v>-1756</v>
      </c>
      <c r="G126" s="157">
        <f t="shared" si="61"/>
        <v>-1756</v>
      </c>
      <c r="H126" s="157">
        <f t="shared" si="61"/>
        <v>-1756</v>
      </c>
      <c r="I126" s="157">
        <f t="shared" si="61"/>
        <v>-1756</v>
      </c>
      <c r="J126" s="157">
        <f t="shared" si="61"/>
        <v>-1756</v>
      </c>
      <c r="K126" s="157">
        <f t="shared" si="61"/>
        <v>-1756</v>
      </c>
      <c r="L126" s="157">
        <f t="shared" si="61"/>
        <v>-1756</v>
      </c>
      <c r="M126" s="157">
        <f t="shared" si="61"/>
        <v>-1756</v>
      </c>
      <c r="N126" s="157">
        <f t="shared" si="61"/>
        <v>-1756</v>
      </c>
      <c r="O126" s="157">
        <f t="shared" si="61"/>
        <v>-1756</v>
      </c>
      <c r="P126" s="157">
        <f t="shared" si="61"/>
        <v>-1756</v>
      </c>
      <c r="Q126" s="157">
        <f t="shared" si="61"/>
        <v>-1756</v>
      </c>
      <c r="R126" s="157">
        <f t="shared" si="61"/>
        <v>-1756</v>
      </c>
      <c r="S126" s="157">
        <f t="shared" si="61"/>
        <v>-1756</v>
      </c>
      <c r="T126" s="157">
        <f t="shared" si="61"/>
        <v>-1756</v>
      </c>
      <c r="U126" s="157">
        <f t="shared" si="61"/>
        <v>-1756</v>
      </c>
      <c r="V126" s="157">
        <f t="shared" si="61"/>
        <v>-1756</v>
      </c>
      <c r="W126" s="157">
        <f t="shared" si="61"/>
        <v>-1756</v>
      </c>
      <c r="X126" s="157">
        <f t="shared" si="61"/>
        <v>-1756</v>
      </c>
      <c r="Y126" s="157">
        <f t="shared" si="61"/>
        <v>-1756</v>
      </c>
      <c r="Z126" s="157">
        <f t="shared" si="61"/>
        <v>-1756</v>
      </c>
      <c r="AA126" s="157">
        <f t="shared" si="61"/>
        <v>-1756</v>
      </c>
      <c r="AB126" s="157">
        <f t="shared" si="61"/>
        <v>-1756</v>
      </c>
      <c r="AC126" s="157">
        <f t="shared" si="61"/>
        <v>-1756</v>
      </c>
      <c r="AD126" s="157">
        <f t="shared" si="61"/>
        <v>-1756</v>
      </c>
      <c r="AE126" s="157">
        <f t="shared" si="61"/>
        <v>-1756</v>
      </c>
      <c r="AF126" s="157">
        <f t="shared" si="61"/>
        <v>-1756</v>
      </c>
      <c r="AG126" s="157">
        <f t="shared" si="61"/>
        <v>-1756</v>
      </c>
      <c r="AH126" s="157">
        <f t="shared" si="61"/>
        <v>-1756</v>
      </c>
      <c r="AI126" s="157">
        <f t="shared" si="61"/>
        <v>-1756</v>
      </c>
      <c r="AJ126" s="157">
        <f t="shared" si="61"/>
        <v>-1756</v>
      </c>
      <c r="AK126" s="157">
        <f t="shared" si="61"/>
        <v>-1756</v>
      </c>
      <c r="AL126" s="157">
        <f t="shared" si="61"/>
        <v>-1756</v>
      </c>
      <c r="AM126" s="157">
        <f t="shared" si="61"/>
        <v>-1756</v>
      </c>
      <c r="AN126" s="157">
        <f t="shared" si="61"/>
        <v>-1756</v>
      </c>
      <c r="AO126" s="157">
        <f t="shared" si="61"/>
        <v>-1756</v>
      </c>
      <c r="AP126" s="157">
        <f t="shared" si="61"/>
        <v>-1756</v>
      </c>
      <c r="AQ126" s="157">
        <f t="shared" si="61"/>
        <v>-1756</v>
      </c>
      <c r="AR126" s="157">
        <f t="shared" si="61"/>
        <v>-1756</v>
      </c>
      <c r="AS126" s="157">
        <f t="shared" si="61"/>
        <v>-1756</v>
      </c>
      <c r="AT126" s="157">
        <f t="shared" si="61"/>
        <v>-1756</v>
      </c>
      <c r="AU126" s="157">
        <f t="shared" si="61"/>
        <v>-1756</v>
      </c>
      <c r="AV126" s="157">
        <f t="shared" si="61"/>
        <v>-1756</v>
      </c>
      <c r="AW126" s="157">
        <f t="shared" si="61"/>
        <v>-1756</v>
      </c>
      <c r="AX126" s="157">
        <f t="shared" si="61"/>
        <v>-1756</v>
      </c>
      <c r="AY126" s="157">
        <f t="shared" si="61"/>
        <v>-1756</v>
      </c>
      <c r="AZ126" s="157">
        <f t="shared" si="61"/>
        <v>-1756</v>
      </c>
      <c r="BA126" s="157">
        <f t="shared" si="61"/>
        <v>-1756</v>
      </c>
      <c r="BB126" s="157">
        <f t="shared" si="61"/>
        <v>-1756</v>
      </c>
      <c r="BC126" s="157">
        <f t="shared" si="61"/>
        <v>-1756</v>
      </c>
      <c r="BD126" s="157">
        <f t="shared" si="61"/>
        <v>-1756</v>
      </c>
      <c r="BE126" s="157">
        <f t="shared" si="61"/>
        <v>-1756</v>
      </c>
      <c r="BF126" s="157">
        <f t="shared" si="61"/>
        <v>-1756</v>
      </c>
      <c r="BG126" s="157">
        <f t="shared" si="61"/>
        <v>-1756</v>
      </c>
      <c r="BH126" s="157">
        <f t="shared" si="61"/>
        <v>-1756</v>
      </c>
      <c r="BI126" s="157">
        <f t="shared" si="61"/>
        <v>-1756</v>
      </c>
      <c r="BJ126" s="157">
        <f t="shared" si="61"/>
        <v>-1756</v>
      </c>
      <c r="BK126" s="157">
        <f t="shared" si="61"/>
        <v>-1756</v>
      </c>
      <c r="BL126" s="157">
        <f t="shared" si="61"/>
        <v>-1756</v>
      </c>
      <c r="BM126" s="157">
        <f t="shared" si="61"/>
        <v>-1756</v>
      </c>
      <c r="BN126" s="157">
        <f t="shared" si="61"/>
        <v>-1756</v>
      </c>
      <c r="BO126" s="157">
        <f t="shared" si="61"/>
        <v>-1756</v>
      </c>
      <c r="BP126" s="157">
        <f t="shared" si="61"/>
        <v>-1756</v>
      </c>
      <c r="BQ126" s="157">
        <f t="shared" si="61"/>
        <v>-1756</v>
      </c>
      <c r="BR126" s="157">
        <f t="shared" si="61"/>
        <v>-1756</v>
      </c>
      <c r="BS126" s="157">
        <f t="shared" si="61"/>
        <v>-1756</v>
      </c>
      <c r="BT126" s="157">
        <f t="shared" si="61"/>
        <v>-1756</v>
      </c>
      <c r="BU126" s="157">
        <f t="shared" si="61"/>
        <v>-1756</v>
      </c>
      <c r="BV126" s="157">
        <f t="shared" si="61"/>
        <v>-1756</v>
      </c>
      <c r="BW126" s="157">
        <f t="shared" si="61"/>
        <v>-1756</v>
      </c>
    </row>
    <row r="127" ht="15.75" customHeight="1">
      <c r="A127" s="1" t="s">
        <v>347</v>
      </c>
      <c r="B127" s="159"/>
      <c r="D127" s="76" t="str">
        <f t="array" ref="D127">INDEX(INDIRECT("BS_"&amp;TEXT(D$1,"mmm")&amp;"_"&amp;TEXT(D$1,"yyyy")),MATCH(TRIM($A127),BS_Accounts,0))</f>
        <v/>
      </c>
      <c r="E127" s="76" t="str">
        <f t="array" ref="E127">INDEX(INDIRECT("BS_"&amp;TEXT(E$1,"mmm")&amp;"_"&amp;TEXT(E$1,"yyyy")),MATCH(TRIM($A127),BS_Accounts,0))</f>
        <v/>
      </c>
      <c r="F127" s="76" t="str">
        <f t="array" ref="F127">INDEX(INDIRECT("BS_"&amp;TEXT(F$1,"mmm")&amp;"_"&amp;TEXT(F$1,"yyyy")),MATCH(TRIM($A127),BS_Accounts,0))</f>
        <v/>
      </c>
      <c r="G127" s="76" t="str">
        <f t="array" ref="G127">INDEX(INDIRECT("BS_"&amp;TEXT(G$1,"mmm")&amp;"_"&amp;TEXT(G$1,"yyyy")),MATCH(TRIM($A127),BS_Accounts,0))</f>
        <v/>
      </c>
      <c r="H127" s="76" t="str">
        <f t="array" ref="H127">INDEX(INDIRECT("BS_"&amp;TEXT(H$1,"mmm")&amp;"_"&amp;TEXT(H$1,"yyyy")),MATCH(TRIM($A127),BS_Accounts,0))</f>
        <v/>
      </c>
      <c r="I127" s="76" t="str">
        <f t="array" ref="I127">INDEX(INDIRECT("BS_"&amp;TEXT(I$1,"mmm")&amp;"_"&amp;TEXT(I$1,"yyyy")),MATCH(TRIM($A127),BS_Accounts,0))</f>
        <v/>
      </c>
      <c r="J127" s="76" t="str">
        <f t="array" ref="J127">INDEX(INDIRECT("BS_"&amp;TEXT(J$1,"mmm")&amp;"_"&amp;TEXT(J$1,"yyyy")),MATCH(TRIM($A127),BS_Accounts,0))</f>
        <v/>
      </c>
      <c r="K127" s="76" t="str">
        <f t="array" ref="K127">INDEX(INDIRECT("BS_"&amp;TEXT(K$1,"mmm")&amp;"_"&amp;TEXT(K$1,"yyyy")),MATCH(TRIM($A127),BS_Accounts,0))</f>
        <v/>
      </c>
      <c r="L127" s="76" t="str">
        <f t="array" ref="L127">INDEX(INDIRECT("BS_"&amp;TEXT(L$1,"mmm")&amp;"_"&amp;TEXT(L$1,"yyyy")),MATCH(TRIM($A127),BS_Accounts,0))</f>
        <v/>
      </c>
      <c r="M127" s="76" t="str">
        <f t="array" ref="M127">INDEX(INDIRECT("BS_"&amp;TEXT(M$1,"mmm")&amp;"_"&amp;TEXT(M$1,"yyyy")),MATCH(TRIM($A127),BS_Accounts,0))</f>
        <v/>
      </c>
      <c r="N127" s="76" t="str">
        <f t="array" ref="N127">INDEX(INDIRECT("BS_"&amp;TEXT(N$1,"mmm")&amp;"_"&amp;TEXT(N$1,"yyyy")),MATCH(TRIM($A127),BS_Accounts,0))</f>
        <v/>
      </c>
      <c r="O127" s="76" t="str">
        <f t="array" ref="O127">INDEX(INDIRECT("BS_"&amp;TEXT(O$1,"mmm")&amp;"_"&amp;TEXT(O$1,"yyyy")),MATCH(TRIM($A127),BS_Accounts,0))</f>
        <v/>
      </c>
      <c r="P127" s="76" t="str">
        <f t="array" ref="P127">INDEX(INDIRECT("BS_"&amp;TEXT(P$1,"mmm")&amp;"_"&amp;TEXT(P$1,"yyyy")),MATCH(TRIM($A127),BS_Accounts,0))</f>
        <v/>
      </c>
      <c r="Q127" s="76" t="str">
        <f t="array" ref="Q127">INDEX(INDIRECT("BS_"&amp;TEXT(Q$1,"mmm")&amp;"_"&amp;TEXT(Q$1,"yyyy")),MATCH(TRIM($A127),BS_Accounts,0))</f>
        <v/>
      </c>
      <c r="R127" s="76" t="str">
        <f t="array" ref="R127">INDEX(INDIRECT("BS_"&amp;TEXT(R$1,"mmm")&amp;"_"&amp;TEXT(R$1,"yyyy")),MATCH(TRIM($A127),BS_Accounts,0))</f>
        <v/>
      </c>
      <c r="S127" s="76" t="str">
        <f t="array" ref="S127">INDEX(INDIRECT("BS_"&amp;TEXT(S$1,"mmm")&amp;"_"&amp;TEXT(S$1,"yyyy")),MATCH(TRIM($A127),BS_Accounts,0))</f>
        <v/>
      </c>
      <c r="T127" s="76" t="str">
        <f t="array" ref="T127">INDEX(INDIRECT("BS_"&amp;TEXT(T$1,"mmm")&amp;"_"&amp;TEXT(T$1,"yyyy")),MATCH(TRIM($A127),BS_Accounts,0))</f>
        <v/>
      </c>
      <c r="U127" s="76" t="str">
        <f t="array" ref="U127">INDEX(INDIRECT("BS_"&amp;TEXT(U$1,"mmm")&amp;"_"&amp;TEXT(U$1,"yyyy")),MATCH(TRIM($A127),BS_Accounts,0))</f>
        <v/>
      </c>
      <c r="V127" s="76" t="str">
        <f t="array" ref="V127">INDEX(INDIRECT("BS_"&amp;TEXT(V$1,"mmm")&amp;"_"&amp;TEXT(V$1,"yyyy")),MATCH(TRIM($A127),BS_Accounts,0))</f>
        <v/>
      </c>
      <c r="W127" s="76" t="str">
        <f t="array" ref="W127">INDEX(INDIRECT("BS_"&amp;TEXT(W$1,"mmm")&amp;"_"&amp;TEXT(W$1,"yyyy")),MATCH(TRIM($A127),BS_Accounts,0))</f>
        <v/>
      </c>
      <c r="X127" s="76" t="str">
        <f t="array" ref="X127">INDEX(INDIRECT("BS_"&amp;TEXT(X$1,"mmm")&amp;"_"&amp;TEXT(X$1,"yyyy")),MATCH(TRIM($A127),BS_Accounts,0))</f>
        <v/>
      </c>
      <c r="Y127" s="76" t="str">
        <f t="array" ref="Y127">INDEX(INDIRECT("BS_"&amp;TEXT(Y$1,"mmm")&amp;"_"&amp;TEXT(Y$1,"yyyy")),MATCH(TRIM($A127),BS_Accounts,0))</f>
        <v/>
      </c>
      <c r="Z127" s="76" t="str">
        <f t="array" ref="Z127">INDEX(INDIRECT("BS_"&amp;TEXT(Z$1,"mmm")&amp;"_"&amp;TEXT(Z$1,"yyyy")),MATCH(TRIM($A127),BS_Accounts,0))</f>
        <v/>
      </c>
      <c r="AA127" s="76" t="str">
        <f t="array" ref="AA127">INDEX(INDIRECT("BS_"&amp;TEXT(AA$1,"mmm")&amp;"_"&amp;TEXT(AA$1,"yyyy")),MATCH(TRIM($A127),BS_Accounts,0))</f>
        <v/>
      </c>
      <c r="AB127" s="76" t="str">
        <f t="array" ref="AB127">INDEX(INDIRECT("BS_"&amp;TEXT(AB$1,"mmm")&amp;"_"&amp;TEXT(AB$1,"yyyy")),MATCH(TRIM($A127),BS_Accounts,0))</f>
        <v/>
      </c>
      <c r="AC127" s="76" t="str">
        <f t="array" ref="AC127">INDEX(INDIRECT("BS_"&amp;TEXT(AC$1,"mmm")&amp;"_"&amp;TEXT(AC$1,"yyyy")),MATCH(TRIM($A127),BS_Accounts,0))</f>
        <v/>
      </c>
      <c r="AD127" s="76" t="str">
        <f t="array" ref="AD127">INDEX(INDIRECT("BS_"&amp;TEXT(AD$1,"mmm")&amp;"_"&amp;TEXT(AD$1,"yyyy")),MATCH(TRIM($A127),BS_Accounts,0))</f>
        <v/>
      </c>
      <c r="AE127" s="76" t="str">
        <f t="array" ref="AE127">INDEX(INDIRECT("BS_"&amp;TEXT(AE$1,"mmm")&amp;"_"&amp;TEXT(AE$1,"yyyy")),MATCH(TRIM($A127),BS_Accounts,0))</f>
        <v/>
      </c>
    </row>
    <row r="128" ht="15.75" customHeight="1">
      <c r="A128" s="1" t="s">
        <v>348</v>
      </c>
      <c r="B128" s="159"/>
      <c r="D128" s="76"/>
      <c r="E128" s="76"/>
      <c r="F128" s="76"/>
      <c r="G128" s="76"/>
      <c r="H128" s="76"/>
      <c r="I128" s="76"/>
      <c r="J128" s="76"/>
      <c r="K128" s="76"/>
      <c r="L128" s="76"/>
      <c r="M128" s="76"/>
      <c r="N128" s="76"/>
      <c r="O128" s="76"/>
      <c r="P128" s="76"/>
      <c r="Q128" s="76"/>
      <c r="R128" s="76"/>
      <c r="S128" s="76"/>
      <c r="T128" s="76"/>
      <c r="U128" s="76"/>
      <c r="V128" s="76"/>
      <c r="W128" s="76"/>
      <c r="X128" s="76"/>
      <c r="Y128" s="76"/>
      <c r="Z128" s="76"/>
      <c r="AA128" s="76"/>
      <c r="AB128" s="76"/>
      <c r="AC128" s="76"/>
      <c r="AD128" s="76"/>
      <c r="AE128" s="76"/>
      <c r="AF128" s="39">
        <f t="array" ref="AF128">INDEX(Deferred_Revenue_Balance,MATCH(AF$1,Deferred_Revenue_Months,0))</f>
        <v>0</v>
      </c>
      <c r="AG128" s="39">
        <f t="array" ref="AG128">INDEX(Deferred_Revenue_Balance,MATCH(AG$1,Deferred_Revenue_Months,0))</f>
        <v>0</v>
      </c>
      <c r="AH128" s="39">
        <f t="array" ref="AH128">INDEX(Deferred_Revenue_Balance,MATCH(AH$1,Deferred_Revenue_Months,0))</f>
        <v>0</v>
      </c>
      <c r="AI128" s="39">
        <f t="array" ref="AI128">INDEX(Deferred_Revenue_Balance,MATCH(AI$1,Deferred_Revenue_Months,0))</f>
        <v>0</v>
      </c>
      <c r="AJ128" s="39">
        <f t="array" ref="AJ128">INDEX(Deferred_Revenue_Balance,MATCH(AJ$1,Deferred_Revenue_Months,0))</f>
        <v>0</v>
      </c>
      <c r="AK128" s="39">
        <f t="array" ref="AK128">INDEX(Deferred_Revenue_Balance,MATCH(AK$1,Deferred_Revenue_Months,0))</f>
        <v>0</v>
      </c>
      <c r="AL128" s="39">
        <f t="array" ref="AL128">INDEX(Deferred_Revenue_Balance,MATCH(AL$1,Deferred_Revenue_Months,0))</f>
        <v>0</v>
      </c>
      <c r="AM128" s="39">
        <f t="array" ref="AM128">INDEX(Deferred_Revenue_Balance,MATCH(AM$1,Deferred_Revenue_Months,0))</f>
        <v>0</v>
      </c>
      <c r="AN128" s="39">
        <f t="array" ref="AN128">INDEX(Deferred_Revenue_Balance,MATCH(AN$1,Deferred_Revenue_Months,0))</f>
        <v>0</v>
      </c>
      <c r="AO128" s="39">
        <f t="array" ref="AO128">INDEX(Deferred_Revenue_Balance,MATCH(AO$1,Deferred_Revenue_Months,0))</f>
        <v>0</v>
      </c>
      <c r="AP128" s="39">
        <f t="array" ref="AP128">INDEX(Deferred_Revenue_Balance,MATCH(AP$1,Deferred_Revenue_Months,0))</f>
        <v>0</v>
      </c>
      <c r="AQ128" s="39">
        <f t="array" ref="AQ128">INDEX(Deferred_Revenue_Balance,MATCH(AQ$1,Deferred_Revenue_Months,0))</f>
        <v>0</v>
      </c>
      <c r="AR128" s="39">
        <f t="array" ref="AR128">INDEX(Deferred_Revenue_Balance,MATCH(AR$1,Deferred_Revenue_Months,0))</f>
        <v>0</v>
      </c>
      <c r="AS128" s="39">
        <f t="array" ref="AS128">INDEX(Deferred_Revenue_Balance,MATCH(AS$1,Deferred_Revenue_Months,0))</f>
        <v>0</v>
      </c>
      <c r="AT128" s="39">
        <f t="array" ref="AT128">INDEX(Deferred_Revenue_Balance,MATCH(AT$1,Deferred_Revenue_Months,0))</f>
        <v>0</v>
      </c>
      <c r="AU128" s="39">
        <f t="array" ref="AU128">INDEX(Deferred_Revenue_Balance,MATCH(AU$1,Deferred_Revenue_Months,0))</f>
        <v>0</v>
      </c>
      <c r="AV128" s="39">
        <f t="array" ref="AV128">INDEX(Deferred_Revenue_Balance,MATCH(AV$1,Deferred_Revenue_Months,0))</f>
        <v>0</v>
      </c>
      <c r="AW128" s="39">
        <f t="array" ref="AW128">INDEX(Deferred_Revenue_Balance,MATCH(AW$1,Deferred_Revenue_Months,0))</f>
        <v>0</v>
      </c>
      <c r="AX128" s="39">
        <f t="array" ref="AX128">INDEX(Deferred_Revenue_Balance,MATCH(AX$1,Deferred_Revenue_Months,0))</f>
        <v>0</v>
      </c>
      <c r="AY128" s="39">
        <f t="array" ref="AY128">INDEX(Deferred_Revenue_Balance,MATCH(AY$1,Deferred_Revenue_Months,0))</f>
        <v>0</v>
      </c>
      <c r="AZ128" s="39">
        <f t="array" ref="AZ128">INDEX(Deferred_Revenue_Balance,MATCH(AZ$1,Deferred_Revenue_Months,0))</f>
        <v>0</v>
      </c>
      <c r="BA128" s="39">
        <f t="array" ref="BA128">INDEX(Deferred_Revenue_Balance,MATCH(BA$1,Deferred_Revenue_Months,0))</f>
        <v>0</v>
      </c>
      <c r="BB128" s="39">
        <f t="array" ref="BB128">INDEX(Deferred_Revenue_Balance,MATCH(BB$1,Deferred_Revenue_Months,0))</f>
        <v>0</v>
      </c>
      <c r="BC128" s="39">
        <f t="array" ref="BC128">INDEX(Deferred_Revenue_Balance,MATCH(BC$1,Deferred_Revenue_Months,0))</f>
        <v>0</v>
      </c>
      <c r="BD128" s="39">
        <f t="array" ref="BD128">INDEX(Deferred_Revenue_Balance,MATCH(BD$1,Deferred_Revenue_Months,0))</f>
        <v>0</v>
      </c>
      <c r="BE128" s="39">
        <f t="array" ref="BE128">INDEX(Deferred_Revenue_Balance,MATCH(BE$1,Deferred_Revenue_Months,0))</f>
        <v>0</v>
      </c>
      <c r="BF128" s="39">
        <f t="array" ref="BF128">INDEX(Deferred_Revenue_Balance,MATCH(BF$1,Deferred_Revenue_Months,0))</f>
        <v>0</v>
      </c>
      <c r="BG128" s="39">
        <f t="array" ref="BG128">INDEX(Deferred_Revenue_Balance,MATCH(BG$1,Deferred_Revenue_Months,0))</f>
        <v>0</v>
      </c>
      <c r="BH128" s="39">
        <f t="array" ref="BH128">INDEX(Deferred_Revenue_Balance,MATCH(BH$1,Deferred_Revenue_Months,0))</f>
        <v>0</v>
      </c>
      <c r="BI128" s="39">
        <f t="array" ref="BI128">INDEX(Deferred_Revenue_Balance,MATCH(BI$1,Deferred_Revenue_Months,0))</f>
        <v>0</v>
      </c>
      <c r="BJ128" s="39">
        <f t="array" ref="BJ128">INDEX(Deferred_Revenue_Balance,MATCH(BJ$1,Deferred_Revenue_Months,0))</f>
        <v>0</v>
      </c>
      <c r="BK128" s="39">
        <f t="array" ref="BK128">INDEX(Deferred_Revenue_Balance,MATCH(BK$1,Deferred_Revenue_Months,0))</f>
        <v>0</v>
      </c>
      <c r="BL128" s="39">
        <f t="array" ref="BL128">INDEX(Deferred_Revenue_Balance,MATCH(BL$1,Deferred_Revenue_Months,0))</f>
        <v>0</v>
      </c>
      <c r="BM128" s="39">
        <f t="array" ref="BM128">INDEX(Deferred_Revenue_Balance,MATCH(BM$1,Deferred_Revenue_Months,0))</f>
        <v>0</v>
      </c>
      <c r="BN128" s="39">
        <f t="array" ref="BN128">INDEX(Deferred_Revenue_Balance,MATCH(BN$1,Deferred_Revenue_Months,0))</f>
        <v>0</v>
      </c>
      <c r="BO128" s="39">
        <f t="array" ref="BO128">INDEX(Deferred_Revenue_Balance,MATCH(BO$1,Deferred_Revenue_Months,0))</f>
        <v>0</v>
      </c>
      <c r="BP128" s="39" t="str">
        <f t="array" ref="BP128">INDEX(Deferred_Revenue_Balance,MATCH(BP$1,Deferred_Revenue_Months,0))</f>
        <v>#N/A</v>
      </c>
      <c r="BQ128" s="39" t="str">
        <f t="array" ref="BQ128">INDEX(Deferred_Revenue_Balance,MATCH(BQ$1,Deferred_Revenue_Months,0))</f>
        <v>#N/A</v>
      </c>
      <c r="BR128" s="39" t="str">
        <f t="array" ref="BR128">INDEX(Deferred_Revenue_Balance,MATCH(BR$1,Deferred_Revenue_Months,0))</f>
        <v>#N/A</v>
      </c>
      <c r="BS128" s="39" t="str">
        <f t="array" ref="BS128">INDEX(Deferred_Revenue_Balance,MATCH(BS$1,Deferred_Revenue_Months,0))</f>
        <v>#N/A</v>
      </c>
      <c r="BT128" s="39" t="str">
        <f t="array" ref="BT128">INDEX(Deferred_Revenue_Balance,MATCH(BT$1,Deferred_Revenue_Months,0))</f>
        <v>#N/A</v>
      </c>
      <c r="BU128" s="39" t="str">
        <f t="array" ref="BU128">INDEX(Deferred_Revenue_Balance,MATCH(BU$1,Deferred_Revenue_Months,0))</f>
        <v>#N/A</v>
      </c>
      <c r="BV128" s="39" t="str">
        <f t="array" ref="BV128">INDEX(Deferred_Revenue_Balance,MATCH(BV$1,Deferred_Revenue_Months,0))</f>
        <v>#N/A</v>
      </c>
      <c r="BW128" s="39" t="str">
        <f t="array" ref="BW128">INDEX(Deferred_Revenue_Balance,MATCH(BW$1,Deferred_Revenue_Months,0))</f>
        <v>#N/A</v>
      </c>
    </row>
    <row r="129" ht="15.75" customHeight="1">
      <c r="A129" s="1" t="s">
        <v>349</v>
      </c>
      <c r="B129" s="160">
        <f>AVERAGEIFS(129:129,$1:$1,"&gt;="&amp;DATE(YEAR(Current_Month),MONTH(Current_Month),DAY(Current_Month)),$1:$1,"&lt;="&amp;EOMONTH(Current_Month,0))</f>
        <v>-352</v>
      </c>
      <c r="D129" s="76">
        <f t="array" ref="D129">INDEX(INDIRECT("BS_"&amp;TEXT(D$1,"mmm")&amp;"_"&amp;TEXT(D$1,"yyyy")),MATCH(TRIM($A129),BS_Accounts,0))</f>
        <v>-239</v>
      </c>
      <c r="E129" s="76">
        <f t="array" ref="E129">INDEX(INDIRECT("BS_"&amp;TEXT(E$1,"mmm")&amp;"_"&amp;TEXT(E$1,"yyyy")),MATCH(TRIM($A129),BS_Accounts,0))</f>
        <v>-352</v>
      </c>
      <c r="F129" s="76">
        <f t="array" ref="F129">INDEX(INDIRECT("BS_"&amp;TEXT(F$1,"mmm")&amp;"_"&amp;TEXT(F$1,"yyyy")),MATCH(TRIM($A129),BS_Accounts,0))</f>
        <v>-352</v>
      </c>
      <c r="G129" s="76">
        <f t="array" ref="G129">INDEX(INDIRECT("BS_"&amp;TEXT(G$1,"mmm")&amp;"_"&amp;TEXT(G$1,"yyyy")),MATCH(TRIM($A129),BS_Accounts,0))</f>
        <v>-352</v>
      </c>
      <c r="H129" s="76">
        <f t="array" ref="H129">INDEX(INDIRECT("BS_"&amp;TEXT(H$1,"mmm")&amp;"_"&amp;TEXT(H$1,"yyyy")),MATCH(TRIM($A129),BS_Accounts,0))</f>
        <v>-352</v>
      </c>
      <c r="I129" s="76">
        <f t="array" ref="I129">INDEX(INDIRECT("BS_"&amp;TEXT(I$1,"mmm")&amp;"_"&amp;TEXT(I$1,"yyyy")),MATCH(TRIM($A129),BS_Accounts,0))</f>
        <v>-352</v>
      </c>
      <c r="J129" s="76">
        <f t="array" ref="J129">INDEX(INDIRECT("BS_"&amp;TEXT(J$1,"mmm")&amp;"_"&amp;TEXT(J$1,"yyyy")),MATCH(TRIM($A129),BS_Accounts,0))</f>
        <v>-352</v>
      </c>
      <c r="K129" s="76">
        <f t="array" ref="K129">INDEX(INDIRECT("BS_"&amp;TEXT(K$1,"mmm")&amp;"_"&amp;TEXT(K$1,"yyyy")),MATCH(TRIM($A129),BS_Accounts,0))</f>
        <v>-352</v>
      </c>
      <c r="L129" s="76">
        <f t="array" ref="L129">INDEX(INDIRECT("BS_"&amp;TEXT(L$1,"mmm")&amp;"_"&amp;TEXT(L$1,"yyyy")),MATCH(TRIM($A129),BS_Accounts,0))</f>
        <v>-352</v>
      </c>
      <c r="M129" s="76">
        <f t="array" ref="M129">INDEX(INDIRECT("BS_"&amp;TEXT(M$1,"mmm")&amp;"_"&amp;TEXT(M$1,"yyyy")),MATCH(TRIM($A129),BS_Accounts,0))</f>
        <v>-352</v>
      </c>
      <c r="N129" s="76">
        <f t="array" ref="N129">INDEX(INDIRECT("BS_"&amp;TEXT(N$1,"mmm")&amp;"_"&amp;TEXT(N$1,"yyyy")),MATCH(TRIM($A129),BS_Accounts,0))</f>
        <v>-352</v>
      </c>
      <c r="O129" s="76">
        <f t="array" ref="O129">INDEX(INDIRECT("BS_"&amp;TEXT(O$1,"mmm")&amp;"_"&amp;TEXT(O$1,"yyyy")),MATCH(TRIM($A129),BS_Accounts,0))</f>
        <v>-352</v>
      </c>
      <c r="P129" s="76">
        <f t="array" ref="P129">INDEX(INDIRECT("BS_"&amp;TEXT(P$1,"mmm")&amp;"_"&amp;TEXT(P$1,"yyyy")),MATCH(TRIM($A129),BS_Accounts,0))</f>
        <v>-352</v>
      </c>
      <c r="Q129" s="76">
        <f t="array" ref="Q129">INDEX(INDIRECT("BS_"&amp;TEXT(Q$1,"mmm")&amp;"_"&amp;TEXT(Q$1,"yyyy")),MATCH(TRIM($A129),BS_Accounts,0))</f>
        <v>-352</v>
      </c>
      <c r="R129" s="76">
        <f t="array" ref="R129">INDEX(INDIRECT("BS_"&amp;TEXT(R$1,"mmm")&amp;"_"&amp;TEXT(R$1,"yyyy")),MATCH(TRIM($A129),BS_Accounts,0))</f>
        <v>-352</v>
      </c>
      <c r="S129" s="76">
        <f t="array" ref="S129">INDEX(INDIRECT("BS_"&amp;TEXT(S$1,"mmm")&amp;"_"&amp;TEXT(S$1,"yyyy")),MATCH(TRIM($A129),BS_Accounts,0))</f>
        <v>-352</v>
      </c>
      <c r="T129" s="76">
        <f t="array" ref="T129">INDEX(INDIRECT("BS_"&amp;TEXT(T$1,"mmm")&amp;"_"&amp;TEXT(T$1,"yyyy")),MATCH(TRIM($A129),BS_Accounts,0))</f>
        <v>-352</v>
      </c>
      <c r="U129" s="76">
        <f t="array" ref="U129">INDEX(INDIRECT("BS_"&amp;TEXT(U$1,"mmm")&amp;"_"&amp;TEXT(U$1,"yyyy")),MATCH(TRIM($A129),BS_Accounts,0))</f>
        <v>-352</v>
      </c>
      <c r="V129" s="76">
        <f t="array" ref="V129">INDEX(INDIRECT("BS_"&amp;TEXT(V$1,"mmm")&amp;"_"&amp;TEXT(V$1,"yyyy")),MATCH(TRIM($A129),BS_Accounts,0))</f>
        <v>-352</v>
      </c>
      <c r="W129" s="76">
        <f t="array" ref="W129">INDEX(INDIRECT("BS_"&amp;TEXT(W$1,"mmm")&amp;"_"&amp;TEXT(W$1,"yyyy")),MATCH(TRIM($A129),BS_Accounts,0))</f>
        <v>-352</v>
      </c>
      <c r="X129" s="76">
        <f t="array" ref="X129">INDEX(INDIRECT("BS_"&amp;TEXT(X$1,"mmm")&amp;"_"&amp;TEXT(X$1,"yyyy")),MATCH(TRIM($A129),BS_Accounts,0))</f>
        <v>-352</v>
      </c>
      <c r="Y129" s="76">
        <f t="array" ref="Y129">INDEX(INDIRECT("BS_"&amp;TEXT(Y$1,"mmm")&amp;"_"&amp;TEXT(Y$1,"yyyy")),MATCH(TRIM($A129),BS_Accounts,0))</f>
        <v>-352</v>
      </c>
      <c r="Z129" s="76">
        <f t="array" ref="Z129">INDEX(INDIRECT("BS_"&amp;TEXT(Z$1,"mmm")&amp;"_"&amp;TEXT(Z$1,"yyyy")),MATCH(TRIM($A129),BS_Accounts,0))</f>
        <v>-352</v>
      </c>
      <c r="AA129" s="76">
        <f t="array" ref="AA129">INDEX(INDIRECT("BS_"&amp;TEXT(AA$1,"mmm")&amp;"_"&amp;TEXT(AA$1,"yyyy")),MATCH(TRIM($A129),BS_Accounts,0))</f>
        <v>-352</v>
      </c>
      <c r="AB129" s="76">
        <f t="array" ref="AB129">INDEX(INDIRECT("BS_"&amp;TEXT(AB$1,"mmm")&amp;"_"&amp;TEXT(AB$1,"yyyy")),MATCH(TRIM($A129),BS_Accounts,0))</f>
        <v>-352</v>
      </c>
      <c r="AC129" s="76">
        <f t="array" ref="AC129">INDEX(INDIRECT("BS_"&amp;TEXT(AC$1,"mmm")&amp;"_"&amp;TEXT(AC$1,"yyyy")),MATCH(TRIM($A129),BS_Accounts,0))</f>
        <v>-352</v>
      </c>
      <c r="AD129" s="76">
        <f t="array" ref="AD129">INDEX(INDIRECT("BS_"&amp;TEXT(AD$1,"mmm")&amp;"_"&amp;TEXT(AD$1,"yyyy")),MATCH(TRIM($A129),BS_Accounts,0))</f>
        <v>-352</v>
      </c>
      <c r="AE129" s="76">
        <f t="array" ref="AE129">INDEX(INDIRECT("BS_"&amp;TEXT(AE$1,"mmm")&amp;"_"&amp;TEXT(AE$1,"yyyy")),MATCH(TRIM($A129),BS_Accounts,0))</f>
        <v>-352</v>
      </c>
      <c r="AF129" s="96">
        <f t="shared" ref="AF129:BW129" si="62">$B129</f>
        <v>-352</v>
      </c>
      <c r="AG129" s="96">
        <f t="shared" si="62"/>
        <v>-352</v>
      </c>
      <c r="AH129" s="96">
        <f t="shared" si="62"/>
        <v>-352</v>
      </c>
      <c r="AI129" s="96">
        <f t="shared" si="62"/>
        <v>-352</v>
      </c>
      <c r="AJ129" s="96">
        <f t="shared" si="62"/>
        <v>-352</v>
      </c>
      <c r="AK129" s="96">
        <f t="shared" si="62"/>
        <v>-352</v>
      </c>
      <c r="AL129" s="96">
        <f t="shared" si="62"/>
        <v>-352</v>
      </c>
      <c r="AM129" s="96">
        <f t="shared" si="62"/>
        <v>-352</v>
      </c>
      <c r="AN129" s="96">
        <f t="shared" si="62"/>
        <v>-352</v>
      </c>
      <c r="AO129" s="96">
        <f t="shared" si="62"/>
        <v>-352</v>
      </c>
      <c r="AP129" s="96">
        <f t="shared" si="62"/>
        <v>-352</v>
      </c>
      <c r="AQ129" s="96">
        <f t="shared" si="62"/>
        <v>-352</v>
      </c>
      <c r="AR129" s="96">
        <f t="shared" si="62"/>
        <v>-352</v>
      </c>
      <c r="AS129" s="96">
        <f t="shared" si="62"/>
        <v>-352</v>
      </c>
      <c r="AT129" s="96">
        <f t="shared" si="62"/>
        <v>-352</v>
      </c>
      <c r="AU129" s="96">
        <f t="shared" si="62"/>
        <v>-352</v>
      </c>
      <c r="AV129" s="96">
        <f t="shared" si="62"/>
        <v>-352</v>
      </c>
      <c r="AW129" s="96">
        <f t="shared" si="62"/>
        <v>-352</v>
      </c>
      <c r="AX129" s="96">
        <f t="shared" si="62"/>
        <v>-352</v>
      </c>
      <c r="AY129" s="96">
        <f t="shared" si="62"/>
        <v>-352</v>
      </c>
      <c r="AZ129" s="96">
        <f t="shared" si="62"/>
        <v>-352</v>
      </c>
      <c r="BA129" s="96">
        <f t="shared" si="62"/>
        <v>-352</v>
      </c>
      <c r="BB129" s="96">
        <f t="shared" si="62"/>
        <v>-352</v>
      </c>
      <c r="BC129" s="96">
        <f t="shared" si="62"/>
        <v>-352</v>
      </c>
      <c r="BD129" s="96">
        <f t="shared" si="62"/>
        <v>-352</v>
      </c>
      <c r="BE129" s="96">
        <f t="shared" si="62"/>
        <v>-352</v>
      </c>
      <c r="BF129" s="96">
        <f t="shared" si="62"/>
        <v>-352</v>
      </c>
      <c r="BG129" s="96">
        <f t="shared" si="62"/>
        <v>-352</v>
      </c>
      <c r="BH129" s="96">
        <f t="shared" si="62"/>
        <v>-352</v>
      </c>
      <c r="BI129" s="96">
        <f t="shared" si="62"/>
        <v>-352</v>
      </c>
      <c r="BJ129" s="96">
        <f t="shared" si="62"/>
        <v>-352</v>
      </c>
      <c r="BK129" s="96">
        <f t="shared" si="62"/>
        <v>-352</v>
      </c>
      <c r="BL129" s="96">
        <f t="shared" si="62"/>
        <v>-352</v>
      </c>
      <c r="BM129" s="96">
        <f t="shared" si="62"/>
        <v>-352</v>
      </c>
      <c r="BN129" s="96">
        <f t="shared" si="62"/>
        <v>-352</v>
      </c>
      <c r="BO129" s="96">
        <f t="shared" si="62"/>
        <v>-352</v>
      </c>
      <c r="BP129" s="96">
        <f t="shared" si="62"/>
        <v>-352</v>
      </c>
      <c r="BQ129" s="96">
        <f t="shared" si="62"/>
        <v>-352</v>
      </c>
      <c r="BR129" s="96">
        <f t="shared" si="62"/>
        <v>-352</v>
      </c>
      <c r="BS129" s="96">
        <f t="shared" si="62"/>
        <v>-352</v>
      </c>
      <c r="BT129" s="96">
        <f t="shared" si="62"/>
        <v>-352</v>
      </c>
      <c r="BU129" s="96">
        <f t="shared" si="62"/>
        <v>-352</v>
      </c>
      <c r="BV129" s="96">
        <f t="shared" si="62"/>
        <v>-352</v>
      </c>
      <c r="BW129" s="96">
        <f t="shared" si="62"/>
        <v>-352</v>
      </c>
    </row>
    <row r="130" ht="15.75" customHeight="1">
      <c r="A130" s="21" t="s">
        <v>350</v>
      </c>
      <c r="B130" s="163"/>
      <c r="C130" s="21"/>
      <c r="D130" s="157">
        <f t="shared" ref="D130:BW130" si="63">SUM(D127:D129)</f>
        <v>-239</v>
      </c>
      <c r="E130" s="157">
        <f t="shared" si="63"/>
        <v>-352</v>
      </c>
      <c r="F130" s="157">
        <f t="shared" si="63"/>
        <v>-352</v>
      </c>
      <c r="G130" s="157">
        <f t="shared" si="63"/>
        <v>-352</v>
      </c>
      <c r="H130" s="157">
        <f t="shared" si="63"/>
        <v>-352</v>
      </c>
      <c r="I130" s="157">
        <f t="shared" si="63"/>
        <v>-352</v>
      </c>
      <c r="J130" s="157">
        <f t="shared" si="63"/>
        <v>-352</v>
      </c>
      <c r="K130" s="157">
        <f t="shared" si="63"/>
        <v>-352</v>
      </c>
      <c r="L130" s="157">
        <f t="shared" si="63"/>
        <v>-352</v>
      </c>
      <c r="M130" s="157">
        <f t="shared" si="63"/>
        <v>-352</v>
      </c>
      <c r="N130" s="157">
        <f t="shared" si="63"/>
        <v>-352</v>
      </c>
      <c r="O130" s="157">
        <f t="shared" si="63"/>
        <v>-352</v>
      </c>
      <c r="P130" s="157">
        <f t="shared" si="63"/>
        <v>-352</v>
      </c>
      <c r="Q130" s="157">
        <f t="shared" si="63"/>
        <v>-352</v>
      </c>
      <c r="R130" s="157">
        <f t="shared" si="63"/>
        <v>-352</v>
      </c>
      <c r="S130" s="157">
        <f t="shared" si="63"/>
        <v>-352</v>
      </c>
      <c r="T130" s="157">
        <f t="shared" si="63"/>
        <v>-352</v>
      </c>
      <c r="U130" s="157">
        <f t="shared" si="63"/>
        <v>-352</v>
      </c>
      <c r="V130" s="157">
        <f t="shared" si="63"/>
        <v>-352</v>
      </c>
      <c r="W130" s="157">
        <f t="shared" si="63"/>
        <v>-352</v>
      </c>
      <c r="X130" s="157">
        <f t="shared" si="63"/>
        <v>-352</v>
      </c>
      <c r="Y130" s="157">
        <f t="shared" si="63"/>
        <v>-352</v>
      </c>
      <c r="Z130" s="157">
        <f t="shared" si="63"/>
        <v>-352</v>
      </c>
      <c r="AA130" s="157">
        <f t="shared" si="63"/>
        <v>-352</v>
      </c>
      <c r="AB130" s="157">
        <f t="shared" si="63"/>
        <v>-352</v>
      </c>
      <c r="AC130" s="157">
        <f t="shared" si="63"/>
        <v>-352</v>
      </c>
      <c r="AD130" s="157">
        <f t="shared" si="63"/>
        <v>-352</v>
      </c>
      <c r="AE130" s="157">
        <f t="shared" si="63"/>
        <v>-352</v>
      </c>
      <c r="AF130" s="157">
        <f t="shared" si="63"/>
        <v>-352</v>
      </c>
      <c r="AG130" s="157">
        <f t="shared" si="63"/>
        <v>-352</v>
      </c>
      <c r="AH130" s="157">
        <f t="shared" si="63"/>
        <v>-352</v>
      </c>
      <c r="AI130" s="157">
        <f t="shared" si="63"/>
        <v>-352</v>
      </c>
      <c r="AJ130" s="157">
        <f t="shared" si="63"/>
        <v>-352</v>
      </c>
      <c r="AK130" s="157">
        <f t="shared" si="63"/>
        <v>-352</v>
      </c>
      <c r="AL130" s="157">
        <f t="shared" si="63"/>
        <v>-352</v>
      </c>
      <c r="AM130" s="157">
        <f t="shared" si="63"/>
        <v>-352</v>
      </c>
      <c r="AN130" s="157">
        <f t="shared" si="63"/>
        <v>-352</v>
      </c>
      <c r="AO130" s="157">
        <f t="shared" si="63"/>
        <v>-352</v>
      </c>
      <c r="AP130" s="157">
        <f t="shared" si="63"/>
        <v>-352</v>
      </c>
      <c r="AQ130" s="157">
        <f t="shared" si="63"/>
        <v>-352</v>
      </c>
      <c r="AR130" s="157">
        <f t="shared" si="63"/>
        <v>-352</v>
      </c>
      <c r="AS130" s="157">
        <f t="shared" si="63"/>
        <v>-352</v>
      </c>
      <c r="AT130" s="157">
        <f t="shared" si="63"/>
        <v>-352</v>
      </c>
      <c r="AU130" s="157">
        <f t="shared" si="63"/>
        <v>-352</v>
      </c>
      <c r="AV130" s="157">
        <f t="shared" si="63"/>
        <v>-352</v>
      </c>
      <c r="AW130" s="157">
        <f t="shared" si="63"/>
        <v>-352</v>
      </c>
      <c r="AX130" s="157">
        <f t="shared" si="63"/>
        <v>-352</v>
      </c>
      <c r="AY130" s="157">
        <f t="shared" si="63"/>
        <v>-352</v>
      </c>
      <c r="AZ130" s="157">
        <f t="shared" si="63"/>
        <v>-352</v>
      </c>
      <c r="BA130" s="157">
        <f t="shared" si="63"/>
        <v>-352</v>
      </c>
      <c r="BB130" s="157">
        <f t="shared" si="63"/>
        <v>-352</v>
      </c>
      <c r="BC130" s="157">
        <f t="shared" si="63"/>
        <v>-352</v>
      </c>
      <c r="BD130" s="157">
        <f t="shared" si="63"/>
        <v>-352</v>
      </c>
      <c r="BE130" s="157">
        <f t="shared" si="63"/>
        <v>-352</v>
      </c>
      <c r="BF130" s="157">
        <f t="shared" si="63"/>
        <v>-352</v>
      </c>
      <c r="BG130" s="157">
        <f t="shared" si="63"/>
        <v>-352</v>
      </c>
      <c r="BH130" s="157">
        <f t="shared" si="63"/>
        <v>-352</v>
      </c>
      <c r="BI130" s="157">
        <f t="shared" si="63"/>
        <v>-352</v>
      </c>
      <c r="BJ130" s="157">
        <f t="shared" si="63"/>
        <v>-352</v>
      </c>
      <c r="BK130" s="157">
        <f t="shared" si="63"/>
        <v>-352</v>
      </c>
      <c r="BL130" s="157">
        <f t="shared" si="63"/>
        <v>-352</v>
      </c>
      <c r="BM130" s="157">
        <f t="shared" si="63"/>
        <v>-352</v>
      </c>
      <c r="BN130" s="157">
        <f t="shared" si="63"/>
        <v>-352</v>
      </c>
      <c r="BO130" s="157">
        <f t="shared" si="63"/>
        <v>-352</v>
      </c>
      <c r="BP130" s="157" t="str">
        <f t="shared" si="63"/>
        <v>#N/A</v>
      </c>
      <c r="BQ130" s="157" t="str">
        <f t="shared" si="63"/>
        <v>#N/A</v>
      </c>
      <c r="BR130" s="157" t="str">
        <f t="shared" si="63"/>
        <v>#N/A</v>
      </c>
      <c r="BS130" s="157" t="str">
        <f t="shared" si="63"/>
        <v>#N/A</v>
      </c>
      <c r="BT130" s="157" t="str">
        <f t="shared" si="63"/>
        <v>#N/A</v>
      </c>
      <c r="BU130" s="157" t="str">
        <f t="shared" si="63"/>
        <v>#N/A</v>
      </c>
      <c r="BV130" s="157" t="str">
        <f t="shared" si="63"/>
        <v>#N/A</v>
      </c>
      <c r="BW130" s="157" t="str">
        <f t="shared" si="63"/>
        <v>#N/A</v>
      </c>
    </row>
    <row r="131" ht="15.75" customHeight="1">
      <c r="A131" s="21" t="s">
        <v>351</v>
      </c>
      <c r="B131" s="163"/>
      <c r="C131" s="21"/>
      <c r="D131" s="157">
        <f t="shared" ref="D131:BW131" si="64">SUM(D130,D126)</f>
        <v>118</v>
      </c>
      <c r="E131" s="157">
        <f t="shared" si="64"/>
        <v>-2108</v>
      </c>
      <c r="F131" s="157">
        <f t="shared" si="64"/>
        <v>-2108</v>
      </c>
      <c r="G131" s="157">
        <f t="shared" si="64"/>
        <v>-2108</v>
      </c>
      <c r="H131" s="157">
        <f t="shared" si="64"/>
        <v>-2108</v>
      </c>
      <c r="I131" s="157">
        <f t="shared" si="64"/>
        <v>-2108</v>
      </c>
      <c r="J131" s="157">
        <f t="shared" si="64"/>
        <v>-2108</v>
      </c>
      <c r="K131" s="157">
        <f t="shared" si="64"/>
        <v>-2108</v>
      </c>
      <c r="L131" s="157">
        <f t="shared" si="64"/>
        <v>-2108</v>
      </c>
      <c r="M131" s="157">
        <f t="shared" si="64"/>
        <v>-2108</v>
      </c>
      <c r="N131" s="157">
        <f t="shared" si="64"/>
        <v>-2108</v>
      </c>
      <c r="O131" s="157">
        <f t="shared" si="64"/>
        <v>-2108</v>
      </c>
      <c r="P131" s="157">
        <f t="shared" si="64"/>
        <v>-2108</v>
      </c>
      <c r="Q131" s="157">
        <f t="shared" si="64"/>
        <v>-2108</v>
      </c>
      <c r="R131" s="157">
        <f t="shared" si="64"/>
        <v>-2108</v>
      </c>
      <c r="S131" s="157">
        <f t="shared" si="64"/>
        <v>-2108</v>
      </c>
      <c r="T131" s="157">
        <f t="shared" si="64"/>
        <v>-2108</v>
      </c>
      <c r="U131" s="157">
        <f t="shared" si="64"/>
        <v>-2108</v>
      </c>
      <c r="V131" s="157">
        <f t="shared" si="64"/>
        <v>-2108</v>
      </c>
      <c r="W131" s="157">
        <f t="shared" si="64"/>
        <v>-2108</v>
      </c>
      <c r="X131" s="157">
        <f t="shared" si="64"/>
        <v>-2108</v>
      </c>
      <c r="Y131" s="157">
        <f t="shared" si="64"/>
        <v>-2108</v>
      </c>
      <c r="Z131" s="157">
        <f t="shared" si="64"/>
        <v>-2108</v>
      </c>
      <c r="AA131" s="157">
        <f t="shared" si="64"/>
        <v>-2108</v>
      </c>
      <c r="AB131" s="157">
        <f t="shared" si="64"/>
        <v>-2108</v>
      </c>
      <c r="AC131" s="157">
        <f t="shared" si="64"/>
        <v>-2108</v>
      </c>
      <c r="AD131" s="157">
        <f t="shared" si="64"/>
        <v>-2108</v>
      </c>
      <c r="AE131" s="157">
        <f t="shared" si="64"/>
        <v>-2108</v>
      </c>
      <c r="AF131" s="157">
        <f t="shared" si="64"/>
        <v>-2108</v>
      </c>
      <c r="AG131" s="157">
        <f t="shared" si="64"/>
        <v>-2108</v>
      </c>
      <c r="AH131" s="157">
        <f t="shared" si="64"/>
        <v>-2108</v>
      </c>
      <c r="AI131" s="157">
        <f t="shared" si="64"/>
        <v>-2108</v>
      </c>
      <c r="AJ131" s="157">
        <f t="shared" si="64"/>
        <v>-2108</v>
      </c>
      <c r="AK131" s="157">
        <f t="shared" si="64"/>
        <v>-2108</v>
      </c>
      <c r="AL131" s="157">
        <f t="shared" si="64"/>
        <v>-2108</v>
      </c>
      <c r="AM131" s="157">
        <f t="shared" si="64"/>
        <v>-2108</v>
      </c>
      <c r="AN131" s="157">
        <f t="shared" si="64"/>
        <v>-2108</v>
      </c>
      <c r="AO131" s="157">
        <f t="shared" si="64"/>
        <v>-2108</v>
      </c>
      <c r="AP131" s="157">
        <f t="shared" si="64"/>
        <v>-2108</v>
      </c>
      <c r="AQ131" s="157">
        <f t="shared" si="64"/>
        <v>-2108</v>
      </c>
      <c r="AR131" s="157">
        <f t="shared" si="64"/>
        <v>-2108</v>
      </c>
      <c r="AS131" s="157">
        <f t="shared" si="64"/>
        <v>-2108</v>
      </c>
      <c r="AT131" s="157">
        <f t="shared" si="64"/>
        <v>-2108</v>
      </c>
      <c r="AU131" s="157">
        <f t="shared" si="64"/>
        <v>-2108</v>
      </c>
      <c r="AV131" s="157">
        <f t="shared" si="64"/>
        <v>-2108</v>
      </c>
      <c r="AW131" s="157">
        <f t="shared" si="64"/>
        <v>-2108</v>
      </c>
      <c r="AX131" s="157">
        <f t="shared" si="64"/>
        <v>-2108</v>
      </c>
      <c r="AY131" s="157">
        <f t="shared" si="64"/>
        <v>-2108</v>
      </c>
      <c r="AZ131" s="157">
        <f t="shared" si="64"/>
        <v>-2108</v>
      </c>
      <c r="BA131" s="157">
        <f t="shared" si="64"/>
        <v>-2108</v>
      </c>
      <c r="BB131" s="157">
        <f t="shared" si="64"/>
        <v>-2108</v>
      </c>
      <c r="BC131" s="157">
        <f t="shared" si="64"/>
        <v>-2108</v>
      </c>
      <c r="BD131" s="157">
        <f t="shared" si="64"/>
        <v>-2108</v>
      </c>
      <c r="BE131" s="157">
        <f t="shared" si="64"/>
        <v>-2108</v>
      </c>
      <c r="BF131" s="157">
        <f t="shared" si="64"/>
        <v>-2108</v>
      </c>
      <c r="BG131" s="157">
        <f t="shared" si="64"/>
        <v>-2108</v>
      </c>
      <c r="BH131" s="157">
        <f t="shared" si="64"/>
        <v>-2108</v>
      </c>
      <c r="BI131" s="157">
        <f t="shared" si="64"/>
        <v>-2108</v>
      </c>
      <c r="BJ131" s="157">
        <f t="shared" si="64"/>
        <v>-2108</v>
      </c>
      <c r="BK131" s="157">
        <f t="shared" si="64"/>
        <v>-2108</v>
      </c>
      <c r="BL131" s="157">
        <f t="shared" si="64"/>
        <v>-2108</v>
      </c>
      <c r="BM131" s="157">
        <f t="shared" si="64"/>
        <v>-2108</v>
      </c>
      <c r="BN131" s="157">
        <f t="shared" si="64"/>
        <v>-2108</v>
      </c>
      <c r="BO131" s="157">
        <f t="shared" si="64"/>
        <v>-2108</v>
      </c>
      <c r="BP131" s="157" t="str">
        <f t="shared" si="64"/>
        <v>#N/A</v>
      </c>
      <c r="BQ131" s="157" t="str">
        <f t="shared" si="64"/>
        <v>#N/A</v>
      </c>
      <c r="BR131" s="157" t="str">
        <f t="shared" si="64"/>
        <v>#N/A</v>
      </c>
      <c r="BS131" s="157" t="str">
        <f t="shared" si="64"/>
        <v>#N/A</v>
      </c>
      <c r="BT131" s="157" t="str">
        <f t="shared" si="64"/>
        <v>#N/A</v>
      </c>
      <c r="BU131" s="157" t="str">
        <f t="shared" si="64"/>
        <v>#N/A</v>
      </c>
      <c r="BV131" s="157" t="str">
        <f t="shared" si="64"/>
        <v>#N/A</v>
      </c>
      <c r="BW131" s="157" t="str">
        <f t="shared" si="64"/>
        <v>#N/A</v>
      </c>
    </row>
    <row r="132" ht="15.75" customHeight="1">
      <c r="A132" s="31" t="s">
        <v>244</v>
      </c>
      <c r="B132" s="159"/>
      <c r="D132" s="76">
        <f t="array" ref="D132">INDEX(INDIRECT("BS_"&amp;TEXT(D$1,"mmm")&amp;"_"&amp;TEXT(D$1,"yyyy")),MATCH(TRIM($A131),BS_Accounts,0))-D131</f>
        <v>0</v>
      </c>
      <c r="E132" s="76">
        <f t="array" ref="E132">INDEX(INDIRECT("BS_"&amp;TEXT(E$1,"mmm")&amp;"_"&amp;TEXT(E$1,"yyyy")),MATCH(TRIM($A131),BS_Accounts,0))-E131</f>
        <v>0</v>
      </c>
      <c r="F132" s="76">
        <f t="array" ref="F132">INDEX(INDIRECT("BS_"&amp;TEXT(F$1,"mmm")&amp;"_"&amp;TEXT(F$1,"yyyy")),MATCH(TRIM($A131),BS_Accounts,0))-F131</f>
        <v>0</v>
      </c>
      <c r="G132" s="76">
        <f t="array" ref="G132">INDEX(INDIRECT("BS_"&amp;TEXT(G$1,"mmm")&amp;"_"&amp;TEXT(G$1,"yyyy")),MATCH(TRIM($A131),BS_Accounts,0))-G131</f>
        <v>0</v>
      </c>
      <c r="H132" s="76">
        <f t="array" ref="H132">INDEX(INDIRECT("BS_"&amp;TEXT(H$1,"mmm")&amp;"_"&amp;TEXT(H$1,"yyyy")),MATCH(TRIM($A131),BS_Accounts,0))-H131</f>
        <v>0</v>
      </c>
      <c r="I132" s="76">
        <f t="array" ref="I132">INDEX(INDIRECT("BS_"&amp;TEXT(I$1,"mmm")&amp;"_"&amp;TEXT(I$1,"yyyy")),MATCH(TRIM($A131),BS_Accounts,0))-I131</f>
        <v>0</v>
      </c>
      <c r="J132" s="76">
        <f t="array" ref="J132">INDEX(INDIRECT("BS_"&amp;TEXT(J$1,"mmm")&amp;"_"&amp;TEXT(J$1,"yyyy")),MATCH(TRIM($A131),BS_Accounts,0))-J131</f>
        <v>0</v>
      </c>
      <c r="K132" s="76">
        <f t="array" ref="K132">INDEX(INDIRECT("BS_"&amp;TEXT(K$1,"mmm")&amp;"_"&amp;TEXT(K$1,"yyyy")),MATCH(TRIM($A131),BS_Accounts,0))-K131</f>
        <v>0</v>
      </c>
      <c r="L132" s="76">
        <f t="array" ref="L132">INDEX(INDIRECT("BS_"&amp;TEXT(L$1,"mmm")&amp;"_"&amp;TEXT(L$1,"yyyy")),MATCH(TRIM($A131),BS_Accounts,0))-L131</f>
        <v>0</v>
      </c>
      <c r="M132" s="76">
        <f t="array" ref="M132">INDEX(INDIRECT("BS_"&amp;TEXT(M$1,"mmm")&amp;"_"&amp;TEXT(M$1,"yyyy")),MATCH(TRIM($A131),BS_Accounts,0))-M131</f>
        <v>0</v>
      </c>
      <c r="N132" s="76">
        <f t="array" ref="N132">INDEX(INDIRECT("BS_"&amp;TEXT(N$1,"mmm")&amp;"_"&amp;TEXT(N$1,"yyyy")),MATCH(TRIM($A131),BS_Accounts,0))-N131</f>
        <v>0</v>
      </c>
      <c r="O132" s="76">
        <f t="array" ref="O132">INDEX(INDIRECT("BS_"&amp;TEXT(O$1,"mmm")&amp;"_"&amp;TEXT(O$1,"yyyy")),MATCH(TRIM($A131),BS_Accounts,0))-O131</f>
        <v>0</v>
      </c>
      <c r="P132" s="76">
        <f t="array" ref="P132">INDEX(INDIRECT("BS_"&amp;TEXT(P$1,"mmm")&amp;"_"&amp;TEXT(P$1,"yyyy")),MATCH(TRIM($A131),BS_Accounts,0))-P131</f>
        <v>0</v>
      </c>
      <c r="Q132" s="76">
        <f t="array" ref="Q132">INDEX(INDIRECT("BS_"&amp;TEXT(Q$1,"mmm")&amp;"_"&amp;TEXT(Q$1,"yyyy")),MATCH(TRIM($A131),BS_Accounts,0))-Q131</f>
        <v>0</v>
      </c>
      <c r="R132" s="76">
        <f t="array" ref="R132">INDEX(INDIRECT("BS_"&amp;TEXT(R$1,"mmm")&amp;"_"&amp;TEXT(R$1,"yyyy")),MATCH(TRIM($A131),BS_Accounts,0))-R131</f>
        <v>0</v>
      </c>
      <c r="S132" s="76">
        <f t="array" ref="S132">INDEX(INDIRECT("BS_"&amp;TEXT(S$1,"mmm")&amp;"_"&amp;TEXT(S$1,"yyyy")),MATCH(TRIM($A131),BS_Accounts,0))-S131</f>
        <v>0</v>
      </c>
      <c r="T132" s="76">
        <f t="array" ref="T132">INDEX(INDIRECT("BS_"&amp;TEXT(T$1,"mmm")&amp;"_"&amp;TEXT(T$1,"yyyy")),MATCH(TRIM($A131),BS_Accounts,0))-T131</f>
        <v>0</v>
      </c>
      <c r="U132" s="76">
        <f t="array" ref="U132">INDEX(INDIRECT("BS_"&amp;TEXT(U$1,"mmm")&amp;"_"&amp;TEXT(U$1,"yyyy")),MATCH(TRIM($A131),BS_Accounts,0))-U131</f>
        <v>0</v>
      </c>
      <c r="V132" s="76">
        <f t="array" ref="V132">INDEX(INDIRECT("BS_"&amp;TEXT(V$1,"mmm")&amp;"_"&amp;TEXT(V$1,"yyyy")),MATCH(TRIM($A131),BS_Accounts,0))-V131</f>
        <v>0</v>
      </c>
      <c r="W132" s="76">
        <f t="array" ref="W132">INDEX(INDIRECT("BS_"&amp;TEXT(W$1,"mmm")&amp;"_"&amp;TEXT(W$1,"yyyy")),MATCH(TRIM($A131),BS_Accounts,0))-W131</f>
        <v>0</v>
      </c>
      <c r="X132" s="76">
        <f t="array" ref="X132">INDEX(INDIRECT("BS_"&amp;TEXT(X$1,"mmm")&amp;"_"&amp;TEXT(X$1,"yyyy")),MATCH(TRIM($A131),BS_Accounts,0))-X131</f>
        <v>0</v>
      </c>
      <c r="Y132" s="76">
        <f t="array" ref="Y132">INDEX(INDIRECT("BS_"&amp;TEXT(Y$1,"mmm")&amp;"_"&amp;TEXT(Y$1,"yyyy")),MATCH(TRIM($A131),BS_Accounts,0))-Y131</f>
        <v>0</v>
      </c>
      <c r="Z132" s="76">
        <f t="array" ref="Z132">INDEX(INDIRECT("BS_"&amp;TEXT(Z$1,"mmm")&amp;"_"&amp;TEXT(Z$1,"yyyy")),MATCH(TRIM($A131),BS_Accounts,0))-Z131</f>
        <v>0</v>
      </c>
      <c r="AA132" s="76">
        <f t="array" ref="AA132">INDEX(INDIRECT("BS_"&amp;TEXT(AA$1,"mmm")&amp;"_"&amp;TEXT(AA$1,"yyyy")),MATCH(TRIM($A131),BS_Accounts,0))-AA131</f>
        <v>0</v>
      </c>
      <c r="AB132" s="76">
        <f t="array" ref="AB132">INDEX(INDIRECT("BS_"&amp;TEXT(AB$1,"mmm")&amp;"_"&amp;TEXT(AB$1,"yyyy")),MATCH(TRIM($A131),BS_Accounts,0))-AB131</f>
        <v>0</v>
      </c>
      <c r="AC132" s="76">
        <f t="array" ref="AC132">INDEX(INDIRECT("BS_"&amp;TEXT(AC$1,"mmm")&amp;"_"&amp;TEXT(AC$1,"yyyy")),MATCH(TRIM($A131),BS_Accounts,0))-AC131</f>
        <v>0</v>
      </c>
      <c r="AD132" s="76">
        <f t="array" ref="AD132">INDEX(INDIRECT("BS_"&amp;TEXT(AD$1,"mmm")&amp;"_"&amp;TEXT(AD$1,"yyyy")),MATCH(TRIM($A131),BS_Accounts,0))-AD131</f>
        <v>0</v>
      </c>
      <c r="AE132" s="76">
        <f t="array" ref="AE132">INDEX(INDIRECT("BS_"&amp;TEXT(AE$1,"mmm")&amp;"_"&amp;TEXT(AE$1,"yyyy")),MATCH(TRIM($A131),BS_Accounts,0))-AE131</f>
        <v>0</v>
      </c>
    </row>
    <row r="133" ht="15.75" customHeight="1">
      <c r="A133" s="1" t="s">
        <v>352</v>
      </c>
      <c r="B133" s="159"/>
      <c r="D133" s="96" t="str">
        <f t="array" ref="D133">INDEX(INDIRECT("BS_"&amp;TEXT(D$1,"mmm")&amp;"_"&amp;TEXT(D$1,"yyyy")),MATCH(TRIM($A133),BS_Accounts,0))</f>
        <v/>
      </c>
      <c r="E133" s="96" t="str">
        <f t="array" ref="E133">INDEX(INDIRECT("BS_"&amp;TEXT(E$1,"mmm")&amp;"_"&amp;TEXT(E$1,"yyyy")),MATCH(TRIM($A133),BS_Accounts,0))</f>
        <v/>
      </c>
      <c r="F133" s="96" t="str">
        <f t="array" ref="F133">INDEX(INDIRECT("BS_"&amp;TEXT(F$1,"mmm")&amp;"_"&amp;TEXT(F$1,"yyyy")),MATCH(TRIM($A133),BS_Accounts,0))</f>
        <v/>
      </c>
      <c r="G133" s="96" t="str">
        <f t="array" ref="G133">INDEX(INDIRECT("BS_"&amp;TEXT(G$1,"mmm")&amp;"_"&amp;TEXT(G$1,"yyyy")),MATCH(TRIM($A133),BS_Accounts,0))</f>
        <v/>
      </c>
      <c r="H133" s="96" t="str">
        <f t="array" ref="H133">INDEX(INDIRECT("BS_"&amp;TEXT(H$1,"mmm")&amp;"_"&amp;TEXT(H$1,"yyyy")),MATCH(TRIM($A133),BS_Accounts,0))</f>
        <v/>
      </c>
      <c r="I133" s="96" t="str">
        <f t="array" ref="I133">INDEX(INDIRECT("BS_"&amp;TEXT(I$1,"mmm")&amp;"_"&amp;TEXT(I$1,"yyyy")),MATCH(TRIM($A133),BS_Accounts,0))</f>
        <v/>
      </c>
      <c r="J133" s="96" t="str">
        <f t="array" ref="J133">INDEX(INDIRECT("BS_"&amp;TEXT(J$1,"mmm")&amp;"_"&amp;TEXT(J$1,"yyyy")),MATCH(TRIM($A133),BS_Accounts,0))</f>
        <v/>
      </c>
      <c r="K133" s="96" t="str">
        <f t="array" ref="K133">INDEX(INDIRECT("BS_"&amp;TEXT(K$1,"mmm")&amp;"_"&amp;TEXT(K$1,"yyyy")),MATCH(TRIM($A133),BS_Accounts,0))</f>
        <v/>
      </c>
      <c r="L133" s="96" t="str">
        <f t="array" ref="L133">INDEX(INDIRECT("BS_"&amp;TEXT(L$1,"mmm")&amp;"_"&amp;TEXT(L$1,"yyyy")),MATCH(TRIM($A133),BS_Accounts,0))</f>
        <v/>
      </c>
      <c r="M133" s="96" t="str">
        <f t="array" ref="M133">INDEX(INDIRECT("BS_"&amp;TEXT(M$1,"mmm")&amp;"_"&amp;TEXT(M$1,"yyyy")),MATCH(TRIM($A133),BS_Accounts,0))</f>
        <v/>
      </c>
      <c r="N133" s="96" t="str">
        <f t="array" ref="N133">INDEX(INDIRECT("BS_"&amp;TEXT(N$1,"mmm")&amp;"_"&amp;TEXT(N$1,"yyyy")),MATCH(TRIM($A133),BS_Accounts,0))</f>
        <v/>
      </c>
      <c r="O133" s="96" t="str">
        <f t="array" ref="O133">INDEX(INDIRECT("BS_"&amp;TEXT(O$1,"mmm")&amp;"_"&amp;TEXT(O$1,"yyyy")),MATCH(TRIM($A133),BS_Accounts,0))</f>
        <v/>
      </c>
      <c r="P133" s="96" t="str">
        <f t="array" ref="P133">INDEX(INDIRECT("BS_"&amp;TEXT(P$1,"mmm")&amp;"_"&amp;TEXT(P$1,"yyyy")),MATCH(TRIM($A133),BS_Accounts,0))</f>
        <v/>
      </c>
      <c r="Q133" s="96" t="str">
        <f t="array" ref="Q133">INDEX(INDIRECT("BS_"&amp;TEXT(Q$1,"mmm")&amp;"_"&amp;TEXT(Q$1,"yyyy")),MATCH(TRIM($A133),BS_Accounts,0))</f>
        <v/>
      </c>
      <c r="R133" s="96" t="str">
        <f t="array" ref="R133">INDEX(INDIRECT("BS_"&amp;TEXT(R$1,"mmm")&amp;"_"&amp;TEXT(R$1,"yyyy")),MATCH(TRIM($A133),BS_Accounts,0))</f>
        <v/>
      </c>
      <c r="S133" s="96" t="str">
        <f t="array" ref="S133">INDEX(INDIRECT("BS_"&amp;TEXT(S$1,"mmm")&amp;"_"&amp;TEXT(S$1,"yyyy")),MATCH(TRIM($A133),BS_Accounts,0))</f>
        <v/>
      </c>
      <c r="T133" s="96" t="str">
        <f t="array" ref="T133">INDEX(INDIRECT("BS_"&amp;TEXT(T$1,"mmm")&amp;"_"&amp;TEXT(T$1,"yyyy")),MATCH(TRIM($A133),BS_Accounts,0))</f>
        <v/>
      </c>
      <c r="U133" s="96" t="str">
        <f t="array" ref="U133">INDEX(INDIRECT("BS_"&amp;TEXT(U$1,"mmm")&amp;"_"&amp;TEXT(U$1,"yyyy")),MATCH(TRIM($A133),BS_Accounts,0))</f>
        <v/>
      </c>
      <c r="V133" s="96" t="str">
        <f t="array" ref="V133">INDEX(INDIRECT("BS_"&amp;TEXT(V$1,"mmm")&amp;"_"&amp;TEXT(V$1,"yyyy")),MATCH(TRIM($A133),BS_Accounts,0))</f>
        <v/>
      </c>
      <c r="W133" s="96" t="str">
        <f t="array" ref="W133">INDEX(INDIRECT("BS_"&amp;TEXT(W$1,"mmm")&amp;"_"&amp;TEXT(W$1,"yyyy")),MATCH(TRIM($A133),BS_Accounts,0))</f>
        <v/>
      </c>
      <c r="X133" s="96" t="str">
        <f t="array" ref="X133">INDEX(INDIRECT("BS_"&amp;TEXT(X$1,"mmm")&amp;"_"&amp;TEXT(X$1,"yyyy")),MATCH(TRIM($A133),BS_Accounts,0))</f>
        <v/>
      </c>
      <c r="Y133" s="96" t="str">
        <f t="array" ref="Y133">INDEX(INDIRECT("BS_"&amp;TEXT(Y$1,"mmm")&amp;"_"&amp;TEXT(Y$1,"yyyy")),MATCH(TRIM($A133),BS_Accounts,0))</f>
        <v/>
      </c>
      <c r="Z133" s="96" t="str">
        <f t="array" ref="Z133">INDEX(INDIRECT("BS_"&amp;TEXT(Z$1,"mmm")&amp;"_"&amp;TEXT(Z$1,"yyyy")),MATCH(TRIM($A133),BS_Accounts,0))</f>
        <v/>
      </c>
      <c r="AA133" s="96" t="str">
        <f t="array" ref="AA133">INDEX(INDIRECT("BS_"&amp;TEXT(AA$1,"mmm")&amp;"_"&amp;TEXT(AA$1,"yyyy")),MATCH(TRIM($A133),BS_Accounts,0))</f>
        <v/>
      </c>
      <c r="AB133" s="96" t="str">
        <f t="array" ref="AB133">INDEX(INDIRECT("BS_"&amp;TEXT(AB$1,"mmm")&amp;"_"&amp;TEXT(AB$1,"yyyy")),MATCH(TRIM($A133),BS_Accounts,0))</f>
        <v/>
      </c>
      <c r="AC133" s="96" t="str">
        <f t="array" ref="AC133">INDEX(INDIRECT("BS_"&amp;TEXT(AC$1,"mmm")&amp;"_"&amp;TEXT(AC$1,"yyyy")),MATCH(TRIM($A133),BS_Accounts,0))</f>
        <v/>
      </c>
      <c r="AD133" s="96" t="str">
        <f t="array" ref="AD133">INDEX(INDIRECT("BS_"&amp;TEXT(AD$1,"mmm")&amp;"_"&amp;TEXT(AD$1,"yyyy")),MATCH(TRIM($A133),BS_Accounts,0))</f>
        <v/>
      </c>
      <c r="AE133" s="96" t="str">
        <f t="array" ref="AE133">INDEX(INDIRECT("BS_"&amp;TEXT(AE$1,"mmm")&amp;"_"&amp;TEXT(AE$1,"yyyy")),MATCH(TRIM($A133),BS_Accounts,0))</f>
        <v/>
      </c>
    </row>
    <row r="134" ht="15.75" customHeight="1">
      <c r="A134" s="1" t="s">
        <v>353</v>
      </c>
      <c r="B134" s="160">
        <f>AVERAGEIFS(134:134,$1:$1,"&gt;="&amp;DATE(YEAR(Current_Month),MONTH(Current_Month),DAY(Current_Month)),$1:$1,"&lt;="&amp;EOMONTH(Current_Month,0))</f>
        <v>2350000</v>
      </c>
      <c r="D134" s="76">
        <f t="array" ref="D134">INDEX(INDIRECT("BS_"&amp;TEXT(D$1,"mmm")&amp;"_"&amp;TEXT(D$1,"yyyy")),MATCH(TRIM($A134),BS_Accounts,0))</f>
        <v>550000</v>
      </c>
      <c r="E134" s="76">
        <f t="array" ref="E134">INDEX(INDIRECT("BS_"&amp;TEXT(E$1,"mmm")&amp;"_"&amp;TEXT(E$1,"yyyy")),MATCH(TRIM($A134),BS_Accounts,0))</f>
        <v>650000</v>
      </c>
      <c r="F134" s="76">
        <f t="array" ref="F134">INDEX(INDIRECT("BS_"&amp;TEXT(F$1,"mmm")&amp;"_"&amp;TEXT(F$1,"yyyy")),MATCH(TRIM($A134),BS_Accounts,0))</f>
        <v>650000</v>
      </c>
      <c r="G134" s="76">
        <f t="array" ref="G134">INDEX(INDIRECT("BS_"&amp;TEXT(G$1,"mmm")&amp;"_"&amp;TEXT(G$1,"yyyy")),MATCH(TRIM($A134),BS_Accounts,0))</f>
        <v>650000</v>
      </c>
      <c r="H134" s="76">
        <f t="array" ref="H134">INDEX(INDIRECT("BS_"&amp;TEXT(H$1,"mmm")&amp;"_"&amp;TEXT(H$1,"yyyy")),MATCH(TRIM($A134),BS_Accounts,0))</f>
        <v>650000</v>
      </c>
      <c r="I134" s="76">
        <f t="array" ref="I134">INDEX(INDIRECT("BS_"&amp;TEXT(I$1,"mmm")&amp;"_"&amp;TEXT(I$1,"yyyy")),MATCH(TRIM($A134),BS_Accounts,0))</f>
        <v>650000</v>
      </c>
      <c r="J134" s="76">
        <f t="array" ref="J134">INDEX(INDIRECT("BS_"&amp;TEXT(J$1,"mmm")&amp;"_"&amp;TEXT(J$1,"yyyy")),MATCH(TRIM($A134),BS_Accounts,0))</f>
        <v>650000</v>
      </c>
      <c r="K134" s="76">
        <f t="array" ref="K134">INDEX(INDIRECT("BS_"&amp;TEXT(K$1,"mmm")&amp;"_"&amp;TEXT(K$1,"yyyy")),MATCH(TRIM($A134),BS_Accounts,0))</f>
        <v>650000</v>
      </c>
      <c r="L134" s="76">
        <f t="array" ref="L134">INDEX(INDIRECT("BS_"&amp;TEXT(L$1,"mmm")&amp;"_"&amp;TEXT(L$1,"yyyy")),MATCH(TRIM($A134),BS_Accounts,0))</f>
        <v>650000</v>
      </c>
      <c r="M134" s="76">
        <f t="array" ref="M134">INDEX(INDIRECT("BS_"&amp;TEXT(M$1,"mmm")&amp;"_"&amp;TEXT(M$1,"yyyy")),MATCH(TRIM($A134),BS_Accounts,0))</f>
        <v>1250000</v>
      </c>
      <c r="N134" s="76">
        <f t="array" ref="N134">INDEX(INDIRECT("BS_"&amp;TEXT(N$1,"mmm")&amp;"_"&amp;TEXT(N$1,"yyyy")),MATCH(TRIM($A134),BS_Accounts,0))</f>
        <v>1250000</v>
      </c>
      <c r="O134" s="76">
        <f t="array" ref="O134">INDEX(INDIRECT("BS_"&amp;TEXT(O$1,"mmm")&amp;"_"&amp;TEXT(O$1,"yyyy")),MATCH(TRIM($A134),BS_Accounts,0))</f>
        <v>1250000</v>
      </c>
      <c r="P134" s="76">
        <f t="array" ref="P134">INDEX(INDIRECT("BS_"&amp;TEXT(P$1,"mmm")&amp;"_"&amp;TEXT(P$1,"yyyy")),MATCH(TRIM($A134),BS_Accounts,0))</f>
        <v>1750000</v>
      </c>
      <c r="Q134" s="76">
        <f t="array" ref="Q134">INDEX(INDIRECT("BS_"&amp;TEXT(Q$1,"mmm")&amp;"_"&amp;TEXT(Q$1,"yyyy")),MATCH(TRIM($A134),BS_Accounts,0))</f>
        <v>1750000</v>
      </c>
      <c r="R134" s="76">
        <f t="array" ref="R134">INDEX(INDIRECT("BS_"&amp;TEXT(R$1,"mmm")&amp;"_"&amp;TEXT(R$1,"yyyy")),MATCH(TRIM($A134),BS_Accounts,0))</f>
        <v>1750000</v>
      </c>
      <c r="S134" s="76">
        <f t="array" ref="S134">INDEX(INDIRECT("BS_"&amp;TEXT(S$1,"mmm")&amp;"_"&amp;TEXT(S$1,"yyyy")),MATCH(TRIM($A134),BS_Accounts,0))</f>
        <v>1750000</v>
      </c>
      <c r="T134" s="76">
        <f t="array" ref="T134">INDEX(INDIRECT("BS_"&amp;TEXT(T$1,"mmm")&amp;"_"&amp;TEXT(T$1,"yyyy")),MATCH(TRIM($A134),BS_Accounts,0))</f>
        <v>2050000</v>
      </c>
      <c r="U134" s="76">
        <f t="array" ref="U134">INDEX(INDIRECT("BS_"&amp;TEXT(U$1,"mmm")&amp;"_"&amp;TEXT(U$1,"yyyy")),MATCH(TRIM($A134),BS_Accounts,0))</f>
        <v>2050000</v>
      </c>
      <c r="V134" s="76">
        <f t="array" ref="V134">INDEX(INDIRECT("BS_"&amp;TEXT(V$1,"mmm")&amp;"_"&amp;TEXT(V$1,"yyyy")),MATCH(TRIM($A134),BS_Accounts,0))</f>
        <v>2050000</v>
      </c>
      <c r="W134" s="76">
        <f t="array" ref="W134">INDEX(INDIRECT("BS_"&amp;TEXT(W$1,"mmm")&amp;"_"&amp;TEXT(W$1,"yyyy")),MATCH(TRIM($A134),BS_Accounts,0))</f>
        <v>2050000</v>
      </c>
      <c r="X134" s="76">
        <f t="array" ref="X134">INDEX(INDIRECT("BS_"&amp;TEXT(X$1,"mmm")&amp;"_"&amp;TEXT(X$1,"yyyy")),MATCH(TRIM($A134),BS_Accounts,0))</f>
        <v>2050000</v>
      </c>
      <c r="Y134" s="76">
        <f t="array" ref="Y134">INDEX(INDIRECT("BS_"&amp;TEXT(Y$1,"mmm")&amp;"_"&amp;TEXT(Y$1,"yyyy")),MATCH(TRIM($A134),BS_Accounts,0))</f>
        <v>2350000</v>
      </c>
      <c r="Z134" s="76">
        <f t="array" ref="Z134">INDEX(INDIRECT("BS_"&amp;TEXT(Z$1,"mmm")&amp;"_"&amp;TEXT(Z$1,"yyyy")),MATCH(TRIM($A134),BS_Accounts,0))</f>
        <v>2350000</v>
      </c>
      <c r="AA134" s="76">
        <f t="array" ref="AA134">INDEX(INDIRECT("BS_"&amp;TEXT(AA$1,"mmm")&amp;"_"&amp;TEXT(AA$1,"yyyy")),MATCH(TRIM($A134),BS_Accounts,0))</f>
        <v>2350000</v>
      </c>
      <c r="AB134" s="76">
        <f t="array" ref="AB134">INDEX(INDIRECT("BS_"&amp;TEXT(AB$1,"mmm")&amp;"_"&amp;TEXT(AB$1,"yyyy")),MATCH(TRIM($A134),BS_Accounts,0))</f>
        <v>2350000</v>
      </c>
      <c r="AC134" s="76">
        <f t="array" ref="AC134">INDEX(INDIRECT("BS_"&amp;TEXT(AC$1,"mmm")&amp;"_"&amp;TEXT(AC$1,"yyyy")),MATCH(TRIM($A134),BS_Accounts,0))</f>
        <v>2350000</v>
      </c>
      <c r="AD134" s="76">
        <f t="array" ref="AD134">INDEX(INDIRECT("BS_"&amp;TEXT(AD$1,"mmm")&amp;"_"&amp;TEXT(AD$1,"yyyy")),MATCH(TRIM($A134),BS_Accounts,0))</f>
        <v>2350000</v>
      </c>
      <c r="AE134" s="76">
        <f t="array" ref="AE134">INDEX(INDIRECT("BS_"&amp;TEXT(AE$1,"mmm")&amp;"_"&amp;TEXT(AE$1,"yyyy")),MATCH(TRIM($A134),BS_Accounts,0))</f>
        <v>2350000</v>
      </c>
      <c r="AF134" s="96">
        <f t="shared" ref="AF134:BW134" si="65">$B134</f>
        <v>2350000</v>
      </c>
      <c r="AG134" s="96">
        <f t="shared" si="65"/>
        <v>2350000</v>
      </c>
      <c r="AH134" s="96">
        <f t="shared" si="65"/>
        <v>2350000</v>
      </c>
      <c r="AI134" s="96">
        <f t="shared" si="65"/>
        <v>2350000</v>
      </c>
      <c r="AJ134" s="96">
        <f t="shared" si="65"/>
        <v>2350000</v>
      </c>
      <c r="AK134" s="96">
        <f t="shared" si="65"/>
        <v>2350000</v>
      </c>
      <c r="AL134" s="96">
        <f t="shared" si="65"/>
        <v>2350000</v>
      </c>
      <c r="AM134" s="96">
        <f t="shared" si="65"/>
        <v>2350000</v>
      </c>
      <c r="AN134" s="96">
        <f t="shared" si="65"/>
        <v>2350000</v>
      </c>
      <c r="AO134" s="96">
        <f t="shared" si="65"/>
        <v>2350000</v>
      </c>
      <c r="AP134" s="96">
        <f t="shared" si="65"/>
        <v>2350000</v>
      </c>
      <c r="AQ134" s="96">
        <f t="shared" si="65"/>
        <v>2350000</v>
      </c>
      <c r="AR134" s="96">
        <f t="shared" si="65"/>
        <v>2350000</v>
      </c>
      <c r="AS134" s="96">
        <f t="shared" si="65"/>
        <v>2350000</v>
      </c>
      <c r="AT134" s="96">
        <f t="shared" si="65"/>
        <v>2350000</v>
      </c>
      <c r="AU134" s="96">
        <f t="shared" si="65"/>
        <v>2350000</v>
      </c>
      <c r="AV134" s="96">
        <f t="shared" si="65"/>
        <v>2350000</v>
      </c>
      <c r="AW134" s="96">
        <f t="shared" si="65"/>
        <v>2350000</v>
      </c>
      <c r="AX134" s="96">
        <f t="shared" si="65"/>
        <v>2350000</v>
      </c>
      <c r="AY134" s="96">
        <f t="shared" si="65"/>
        <v>2350000</v>
      </c>
      <c r="AZ134" s="96">
        <f t="shared" si="65"/>
        <v>2350000</v>
      </c>
      <c r="BA134" s="96">
        <f t="shared" si="65"/>
        <v>2350000</v>
      </c>
      <c r="BB134" s="96">
        <f t="shared" si="65"/>
        <v>2350000</v>
      </c>
      <c r="BC134" s="96">
        <f t="shared" si="65"/>
        <v>2350000</v>
      </c>
      <c r="BD134" s="96">
        <f t="shared" si="65"/>
        <v>2350000</v>
      </c>
      <c r="BE134" s="96">
        <f t="shared" si="65"/>
        <v>2350000</v>
      </c>
      <c r="BF134" s="96">
        <f t="shared" si="65"/>
        <v>2350000</v>
      </c>
      <c r="BG134" s="96">
        <f t="shared" si="65"/>
        <v>2350000</v>
      </c>
      <c r="BH134" s="96">
        <f t="shared" si="65"/>
        <v>2350000</v>
      </c>
      <c r="BI134" s="96">
        <f t="shared" si="65"/>
        <v>2350000</v>
      </c>
      <c r="BJ134" s="96">
        <f t="shared" si="65"/>
        <v>2350000</v>
      </c>
      <c r="BK134" s="96">
        <f t="shared" si="65"/>
        <v>2350000</v>
      </c>
      <c r="BL134" s="96">
        <f t="shared" si="65"/>
        <v>2350000</v>
      </c>
      <c r="BM134" s="96">
        <f t="shared" si="65"/>
        <v>2350000</v>
      </c>
      <c r="BN134" s="96">
        <f t="shared" si="65"/>
        <v>2350000</v>
      </c>
      <c r="BO134" s="96">
        <f t="shared" si="65"/>
        <v>2350000</v>
      </c>
      <c r="BP134" s="96">
        <f t="shared" si="65"/>
        <v>2350000</v>
      </c>
      <c r="BQ134" s="96">
        <f t="shared" si="65"/>
        <v>2350000</v>
      </c>
      <c r="BR134" s="96">
        <f t="shared" si="65"/>
        <v>2350000</v>
      </c>
      <c r="BS134" s="96">
        <f t="shared" si="65"/>
        <v>2350000</v>
      </c>
      <c r="BT134" s="96">
        <f t="shared" si="65"/>
        <v>2350000</v>
      </c>
      <c r="BU134" s="96">
        <f t="shared" si="65"/>
        <v>2350000</v>
      </c>
      <c r="BV134" s="96">
        <f t="shared" si="65"/>
        <v>2350000</v>
      </c>
      <c r="BW134" s="96">
        <f t="shared" si="65"/>
        <v>2350000</v>
      </c>
    </row>
    <row r="135" ht="15.75" customHeight="1">
      <c r="A135" s="1" t="s">
        <v>354</v>
      </c>
      <c r="B135" s="160">
        <f>AVERAGEIFS(135:135,$1:$1,"&gt;="&amp;DATE(YEAR(Current_Month),MONTH(Current_Month),DAY(Current_Month)),$1:$1,"&lt;="&amp;EOMONTH(Current_Month,0))</f>
        <v>500000</v>
      </c>
      <c r="D135" s="76">
        <f t="array" ref="D135">INDEX(INDIRECT("BS_"&amp;TEXT(D$1,"mmm")&amp;"_"&amp;TEXT(D$1,"yyyy")),MATCH(TRIM($A135),BS_Accounts,0))</f>
        <v>500000</v>
      </c>
      <c r="E135" s="76">
        <f t="array" ref="E135">INDEX(INDIRECT("BS_"&amp;TEXT(E$1,"mmm")&amp;"_"&amp;TEXT(E$1,"yyyy")),MATCH(TRIM($A135),BS_Accounts,0))</f>
        <v>500000</v>
      </c>
      <c r="F135" s="76">
        <f t="array" ref="F135">INDEX(INDIRECT("BS_"&amp;TEXT(F$1,"mmm")&amp;"_"&amp;TEXT(F$1,"yyyy")),MATCH(TRIM($A135),BS_Accounts,0))</f>
        <v>500000</v>
      </c>
      <c r="G135" s="76">
        <f t="array" ref="G135">INDEX(INDIRECT("BS_"&amp;TEXT(G$1,"mmm")&amp;"_"&amp;TEXT(G$1,"yyyy")),MATCH(TRIM($A135),BS_Accounts,0))</f>
        <v>500000</v>
      </c>
      <c r="H135" s="76">
        <f t="array" ref="H135">INDEX(INDIRECT("BS_"&amp;TEXT(H$1,"mmm")&amp;"_"&amp;TEXT(H$1,"yyyy")),MATCH(TRIM($A135),BS_Accounts,0))</f>
        <v>500000</v>
      </c>
      <c r="I135" s="76">
        <f t="array" ref="I135">INDEX(INDIRECT("BS_"&amp;TEXT(I$1,"mmm")&amp;"_"&amp;TEXT(I$1,"yyyy")),MATCH(TRIM($A135),BS_Accounts,0))</f>
        <v>500000</v>
      </c>
      <c r="J135" s="76">
        <f t="array" ref="J135">INDEX(INDIRECT("BS_"&amp;TEXT(J$1,"mmm")&amp;"_"&amp;TEXT(J$1,"yyyy")),MATCH(TRIM($A135),BS_Accounts,0))</f>
        <v>500000</v>
      </c>
      <c r="K135" s="76">
        <f t="array" ref="K135">INDEX(INDIRECT("BS_"&amp;TEXT(K$1,"mmm")&amp;"_"&amp;TEXT(K$1,"yyyy")),MATCH(TRIM($A135),BS_Accounts,0))</f>
        <v>500000</v>
      </c>
      <c r="L135" s="76">
        <f t="array" ref="L135">INDEX(INDIRECT("BS_"&amp;TEXT(L$1,"mmm")&amp;"_"&amp;TEXT(L$1,"yyyy")),MATCH(TRIM($A135),BS_Accounts,0))</f>
        <v>500000</v>
      </c>
      <c r="M135" s="76">
        <f t="array" ref="M135">INDEX(INDIRECT("BS_"&amp;TEXT(M$1,"mmm")&amp;"_"&amp;TEXT(M$1,"yyyy")),MATCH(TRIM($A135),BS_Accounts,0))</f>
        <v>500000</v>
      </c>
      <c r="N135" s="76">
        <f t="array" ref="N135">INDEX(INDIRECT("BS_"&amp;TEXT(N$1,"mmm")&amp;"_"&amp;TEXT(N$1,"yyyy")),MATCH(TRIM($A135),BS_Accounts,0))</f>
        <v>500000</v>
      </c>
      <c r="O135" s="76">
        <f t="array" ref="O135">INDEX(INDIRECT("BS_"&amp;TEXT(O$1,"mmm")&amp;"_"&amp;TEXT(O$1,"yyyy")),MATCH(TRIM($A135),BS_Accounts,0))</f>
        <v>500000</v>
      </c>
      <c r="P135" s="76">
        <f t="array" ref="P135">INDEX(INDIRECT("BS_"&amp;TEXT(P$1,"mmm")&amp;"_"&amp;TEXT(P$1,"yyyy")),MATCH(TRIM($A135),BS_Accounts,0))</f>
        <v>500000</v>
      </c>
      <c r="Q135" s="76">
        <f t="array" ref="Q135">INDEX(INDIRECT("BS_"&amp;TEXT(Q$1,"mmm")&amp;"_"&amp;TEXT(Q$1,"yyyy")),MATCH(TRIM($A135),BS_Accounts,0))</f>
        <v>500000</v>
      </c>
      <c r="R135" s="76">
        <f t="array" ref="R135">INDEX(INDIRECT("BS_"&amp;TEXT(R$1,"mmm")&amp;"_"&amp;TEXT(R$1,"yyyy")),MATCH(TRIM($A135),BS_Accounts,0))</f>
        <v>500000</v>
      </c>
      <c r="S135" s="76">
        <f t="array" ref="S135">INDEX(INDIRECT("BS_"&amp;TEXT(S$1,"mmm")&amp;"_"&amp;TEXT(S$1,"yyyy")),MATCH(TRIM($A135),BS_Accounts,0))</f>
        <v>500000</v>
      </c>
      <c r="T135" s="76">
        <f t="array" ref="T135">INDEX(INDIRECT("BS_"&amp;TEXT(T$1,"mmm")&amp;"_"&amp;TEXT(T$1,"yyyy")),MATCH(TRIM($A135),BS_Accounts,0))</f>
        <v>500000</v>
      </c>
      <c r="U135" s="76">
        <f t="array" ref="U135">INDEX(INDIRECT("BS_"&amp;TEXT(U$1,"mmm")&amp;"_"&amp;TEXT(U$1,"yyyy")),MATCH(TRIM($A135),BS_Accounts,0))</f>
        <v>500000</v>
      </c>
      <c r="V135" s="76">
        <f t="array" ref="V135">INDEX(INDIRECT("BS_"&amp;TEXT(V$1,"mmm")&amp;"_"&amp;TEXT(V$1,"yyyy")),MATCH(TRIM($A135),BS_Accounts,0))</f>
        <v>500000</v>
      </c>
      <c r="W135" s="76">
        <f t="array" ref="W135">INDEX(INDIRECT("BS_"&amp;TEXT(W$1,"mmm")&amp;"_"&amp;TEXT(W$1,"yyyy")),MATCH(TRIM($A135),BS_Accounts,0))</f>
        <v>500000</v>
      </c>
      <c r="X135" s="76">
        <f t="array" ref="X135">INDEX(INDIRECT("BS_"&amp;TEXT(X$1,"mmm")&amp;"_"&amp;TEXT(X$1,"yyyy")),MATCH(TRIM($A135),BS_Accounts,0))</f>
        <v>500000</v>
      </c>
      <c r="Y135" s="76">
        <f t="array" ref="Y135">INDEX(INDIRECT("BS_"&amp;TEXT(Y$1,"mmm")&amp;"_"&amp;TEXT(Y$1,"yyyy")),MATCH(TRIM($A135),BS_Accounts,0))</f>
        <v>500000</v>
      </c>
      <c r="Z135" s="76">
        <f t="array" ref="Z135">INDEX(INDIRECT("BS_"&amp;TEXT(Z$1,"mmm")&amp;"_"&amp;TEXT(Z$1,"yyyy")),MATCH(TRIM($A135),BS_Accounts,0))</f>
        <v>500000</v>
      </c>
      <c r="AA135" s="76">
        <f t="array" ref="AA135">INDEX(INDIRECT("BS_"&amp;TEXT(AA$1,"mmm")&amp;"_"&amp;TEXT(AA$1,"yyyy")),MATCH(TRIM($A135),BS_Accounts,0))</f>
        <v>500000</v>
      </c>
      <c r="AB135" s="76">
        <f t="array" ref="AB135">INDEX(INDIRECT("BS_"&amp;TEXT(AB$1,"mmm")&amp;"_"&amp;TEXT(AB$1,"yyyy")),MATCH(TRIM($A135),BS_Accounts,0))</f>
        <v>500000</v>
      </c>
      <c r="AC135" s="76">
        <f t="array" ref="AC135">INDEX(INDIRECT("BS_"&amp;TEXT(AC$1,"mmm")&amp;"_"&amp;TEXT(AC$1,"yyyy")),MATCH(TRIM($A135),BS_Accounts,0))</f>
        <v>500000</v>
      </c>
      <c r="AD135" s="76">
        <f t="array" ref="AD135">INDEX(INDIRECT("BS_"&amp;TEXT(AD$1,"mmm")&amp;"_"&amp;TEXT(AD$1,"yyyy")),MATCH(TRIM($A135),BS_Accounts,0))</f>
        <v>500000</v>
      </c>
      <c r="AE135" s="76">
        <f t="array" ref="AE135">INDEX(INDIRECT("BS_"&amp;TEXT(AE$1,"mmm")&amp;"_"&amp;TEXT(AE$1,"yyyy")),MATCH(TRIM($A135),BS_Accounts,0))</f>
        <v>500000</v>
      </c>
      <c r="AF135" s="96">
        <f t="shared" ref="AF135:BW135" si="66">$B135</f>
        <v>500000</v>
      </c>
      <c r="AG135" s="96">
        <f t="shared" si="66"/>
        <v>500000</v>
      </c>
      <c r="AH135" s="96">
        <f t="shared" si="66"/>
        <v>500000</v>
      </c>
      <c r="AI135" s="96">
        <f t="shared" si="66"/>
        <v>500000</v>
      </c>
      <c r="AJ135" s="96">
        <f t="shared" si="66"/>
        <v>500000</v>
      </c>
      <c r="AK135" s="96">
        <f t="shared" si="66"/>
        <v>500000</v>
      </c>
      <c r="AL135" s="96">
        <f t="shared" si="66"/>
        <v>500000</v>
      </c>
      <c r="AM135" s="96">
        <f t="shared" si="66"/>
        <v>500000</v>
      </c>
      <c r="AN135" s="96">
        <f t="shared" si="66"/>
        <v>500000</v>
      </c>
      <c r="AO135" s="96">
        <f t="shared" si="66"/>
        <v>500000</v>
      </c>
      <c r="AP135" s="96">
        <f t="shared" si="66"/>
        <v>500000</v>
      </c>
      <c r="AQ135" s="96">
        <f t="shared" si="66"/>
        <v>500000</v>
      </c>
      <c r="AR135" s="96">
        <f t="shared" si="66"/>
        <v>500000</v>
      </c>
      <c r="AS135" s="96">
        <f t="shared" si="66"/>
        <v>500000</v>
      </c>
      <c r="AT135" s="96">
        <f t="shared" si="66"/>
        <v>500000</v>
      </c>
      <c r="AU135" s="96">
        <f t="shared" si="66"/>
        <v>500000</v>
      </c>
      <c r="AV135" s="96">
        <f t="shared" si="66"/>
        <v>500000</v>
      </c>
      <c r="AW135" s="96">
        <f t="shared" si="66"/>
        <v>500000</v>
      </c>
      <c r="AX135" s="96">
        <f t="shared" si="66"/>
        <v>500000</v>
      </c>
      <c r="AY135" s="96">
        <f t="shared" si="66"/>
        <v>500000</v>
      </c>
      <c r="AZ135" s="96">
        <f t="shared" si="66"/>
        <v>500000</v>
      </c>
      <c r="BA135" s="96">
        <f t="shared" si="66"/>
        <v>500000</v>
      </c>
      <c r="BB135" s="96">
        <f t="shared" si="66"/>
        <v>500000</v>
      </c>
      <c r="BC135" s="96">
        <f t="shared" si="66"/>
        <v>500000</v>
      </c>
      <c r="BD135" s="96">
        <f t="shared" si="66"/>
        <v>500000</v>
      </c>
      <c r="BE135" s="96">
        <f t="shared" si="66"/>
        <v>500000</v>
      </c>
      <c r="BF135" s="96">
        <f t="shared" si="66"/>
        <v>500000</v>
      </c>
      <c r="BG135" s="96">
        <f t="shared" si="66"/>
        <v>500000</v>
      </c>
      <c r="BH135" s="96">
        <f t="shared" si="66"/>
        <v>500000</v>
      </c>
      <c r="BI135" s="96">
        <f t="shared" si="66"/>
        <v>500000</v>
      </c>
      <c r="BJ135" s="96">
        <f t="shared" si="66"/>
        <v>500000</v>
      </c>
      <c r="BK135" s="96">
        <f t="shared" si="66"/>
        <v>500000</v>
      </c>
      <c r="BL135" s="96">
        <f t="shared" si="66"/>
        <v>500000</v>
      </c>
      <c r="BM135" s="96">
        <f t="shared" si="66"/>
        <v>500000</v>
      </c>
      <c r="BN135" s="96">
        <f t="shared" si="66"/>
        <v>500000</v>
      </c>
      <c r="BO135" s="96">
        <f t="shared" si="66"/>
        <v>500000</v>
      </c>
      <c r="BP135" s="96">
        <f t="shared" si="66"/>
        <v>500000</v>
      </c>
      <c r="BQ135" s="96">
        <f t="shared" si="66"/>
        <v>500000</v>
      </c>
      <c r="BR135" s="96">
        <f t="shared" si="66"/>
        <v>500000</v>
      </c>
      <c r="BS135" s="96">
        <f t="shared" si="66"/>
        <v>500000</v>
      </c>
      <c r="BT135" s="96">
        <f t="shared" si="66"/>
        <v>500000</v>
      </c>
      <c r="BU135" s="96">
        <f t="shared" si="66"/>
        <v>500000</v>
      </c>
      <c r="BV135" s="96">
        <f t="shared" si="66"/>
        <v>500000</v>
      </c>
      <c r="BW135" s="96">
        <f t="shared" si="66"/>
        <v>500000</v>
      </c>
    </row>
    <row r="136" ht="15.75" customHeight="1">
      <c r="A136" s="1" t="s">
        <v>355</v>
      </c>
      <c r="B136" s="160">
        <f>AVERAGEIFS(136:136,$1:$1,"&gt;="&amp;DATE(YEAR(Current_Month),MONTH(Current_Month),DAY(Current_Month)),$1:$1,"&lt;="&amp;EOMONTH(Current_Month,0))</f>
        <v>0</v>
      </c>
      <c r="D136" s="76">
        <f t="array" ref="D136">INDEX(INDIRECT("BS_"&amp;TEXT(D$1,"mmm")&amp;"_"&amp;TEXT(D$1,"yyyy")),MATCH(TRIM($A136),BS_Accounts,0))</f>
        <v>0</v>
      </c>
      <c r="E136" s="76">
        <f t="array" ref="E136">INDEX(INDIRECT("BS_"&amp;TEXT(E$1,"mmm")&amp;"_"&amp;TEXT(E$1,"yyyy")),MATCH(TRIM($A136),BS_Accounts,0))</f>
        <v>0</v>
      </c>
      <c r="F136" s="76">
        <f t="array" ref="F136">INDEX(INDIRECT("BS_"&amp;TEXT(F$1,"mmm")&amp;"_"&amp;TEXT(F$1,"yyyy")),MATCH(TRIM($A136),BS_Accounts,0))</f>
        <v>0</v>
      </c>
      <c r="G136" s="76">
        <f t="array" ref="G136">INDEX(INDIRECT("BS_"&amp;TEXT(G$1,"mmm")&amp;"_"&amp;TEXT(G$1,"yyyy")),MATCH(TRIM($A136),BS_Accounts,0))</f>
        <v>0</v>
      </c>
      <c r="H136" s="76">
        <f t="array" ref="H136">INDEX(INDIRECT("BS_"&amp;TEXT(H$1,"mmm")&amp;"_"&amp;TEXT(H$1,"yyyy")),MATCH(TRIM($A136),BS_Accounts,0))</f>
        <v>0</v>
      </c>
      <c r="I136" s="76">
        <f t="array" ref="I136">INDEX(INDIRECT("BS_"&amp;TEXT(I$1,"mmm")&amp;"_"&amp;TEXT(I$1,"yyyy")),MATCH(TRIM($A136),BS_Accounts,0))</f>
        <v>0</v>
      </c>
      <c r="J136" s="76">
        <f t="array" ref="J136">INDEX(INDIRECT("BS_"&amp;TEXT(J$1,"mmm")&amp;"_"&amp;TEXT(J$1,"yyyy")),MATCH(TRIM($A136),BS_Accounts,0))</f>
        <v>0</v>
      </c>
      <c r="K136" s="76">
        <f t="array" ref="K136">INDEX(INDIRECT("BS_"&amp;TEXT(K$1,"mmm")&amp;"_"&amp;TEXT(K$1,"yyyy")),MATCH(TRIM($A136),BS_Accounts,0))</f>
        <v>0</v>
      </c>
      <c r="L136" s="76">
        <f t="array" ref="L136">INDEX(INDIRECT("BS_"&amp;TEXT(L$1,"mmm")&amp;"_"&amp;TEXT(L$1,"yyyy")),MATCH(TRIM($A136),BS_Accounts,0))</f>
        <v>0</v>
      </c>
      <c r="M136" s="76">
        <f t="array" ref="M136">INDEX(INDIRECT("BS_"&amp;TEXT(M$1,"mmm")&amp;"_"&amp;TEXT(M$1,"yyyy")),MATCH(TRIM($A136),BS_Accounts,0))</f>
        <v>0</v>
      </c>
      <c r="N136" s="76">
        <f t="array" ref="N136">INDEX(INDIRECT("BS_"&amp;TEXT(N$1,"mmm")&amp;"_"&amp;TEXT(N$1,"yyyy")),MATCH(TRIM($A136),BS_Accounts,0))</f>
        <v>0</v>
      </c>
      <c r="O136" s="76">
        <f t="array" ref="O136">INDEX(INDIRECT("BS_"&amp;TEXT(O$1,"mmm")&amp;"_"&amp;TEXT(O$1,"yyyy")),MATCH(TRIM($A136),BS_Accounts,0))</f>
        <v>0</v>
      </c>
      <c r="P136" s="76">
        <f t="array" ref="P136">INDEX(INDIRECT("BS_"&amp;TEXT(P$1,"mmm")&amp;"_"&amp;TEXT(P$1,"yyyy")),MATCH(TRIM($A136),BS_Accounts,0))</f>
        <v>0</v>
      </c>
      <c r="Q136" s="76">
        <f t="array" ref="Q136">INDEX(INDIRECT("BS_"&amp;TEXT(Q$1,"mmm")&amp;"_"&amp;TEXT(Q$1,"yyyy")),MATCH(TRIM($A136),BS_Accounts,0))</f>
        <v>0</v>
      </c>
      <c r="R136" s="76">
        <f t="array" ref="R136">INDEX(INDIRECT("BS_"&amp;TEXT(R$1,"mmm")&amp;"_"&amp;TEXT(R$1,"yyyy")),MATCH(TRIM($A136),BS_Accounts,0))</f>
        <v>0</v>
      </c>
      <c r="S136" s="76">
        <f t="array" ref="S136">INDEX(INDIRECT("BS_"&amp;TEXT(S$1,"mmm")&amp;"_"&amp;TEXT(S$1,"yyyy")),MATCH(TRIM($A136),BS_Accounts,0))</f>
        <v>0</v>
      </c>
      <c r="T136" s="76">
        <f t="array" ref="T136">INDEX(INDIRECT("BS_"&amp;TEXT(T$1,"mmm")&amp;"_"&amp;TEXT(T$1,"yyyy")),MATCH(TRIM($A136),BS_Accounts,0))</f>
        <v>0</v>
      </c>
      <c r="U136" s="76">
        <f t="array" ref="U136">INDEX(INDIRECT("BS_"&amp;TEXT(U$1,"mmm")&amp;"_"&amp;TEXT(U$1,"yyyy")),MATCH(TRIM($A136),BS_Accounts,0))</f>
        <v>0</v>
      </c>
      <c r="V136" s="76">
        <f t="array" ref="V136">INDEX(INDIRECT("BS_"&amp;TEXT(V$1,"mmm")&amp;"_"&amp;TEXT(V$1,"yyyy")),MATCH(TRIM($A136),BS_Accounts,0))</f>
        <v>0</v>
      </c>
      <c r="W136" s="76">
        <f t="array" ref="W136">INDEX(INDIRECT("BS_"&amp;TEXT(W$1,"mmm")&amp;"_"&amp;TEXT(W$1,"yyyy")),MATCH(TRIM($A136),BS_Accounts,0))</f>
        <v>0</v>
      </c>
      <c r="X136" s="76">
        <f t="array" ref="X136">INDEX(INDIRECT("BS_"&amp;TEXT(X$1,"mmm")&amp;"_"&amp;TEXT(X$1,"yyyy")),MATCH(TRIM($A136),BS_Accounts,0))</f>
        <v>0</v>
      </c>
      <c r="Y136" s="76">
        <f t="array" ref="Y136">INDEX(INDIRECT("BS_"&amp;TEXT(Y$1,"mmm")&amp;"_"&amp;TEXT(Y$1,"yyyy")),MATCH(TRIM($A136),BS_Accounts,0))</f>
        <v>0</v>
      </c>
      <c r="Z136" s="76">
        <f t="array" ref="Z136">INDEX(INDIRECT("BS_"&amp;TEXT(Z$1,"mmm")&amp;"_"&amp;TEXT(Z$1,"yyyy")),MATCH(TRIM($A136),BS_Accounts,0))</f>
        <v>0</v>
      </c>
      <c r="AA136" s="76">
        <f t="array" ref="AA136">INDEX(INDIRECT("BS_"&amp;TEXT(AA$1,"mmm")&amp;"_"&amp;TEXT(AA$1,"yyyy")),MATCH(TRIM($A136),BS_Accounts,0))</f>
        <v>0</v>
      </c>
      <c r="AB136" s="76">
        <f t="array" ref="AB136">INDEX(INDIRECT("BS_"&amp;TEXT(AB$1,"mmm")&amp;"_"&amp;TEXT(AB$1,"yyyy")),MATCH(TRIM($A136),BS_Accounts,0))</f>
        <v>0</v>
      </c>
      <c r="AC136" s="76">
        <f t="array" ref="AC136">INDEX(INDIRECT("BS_"&amp;TEXT(AC$1,"mmm")&amp;"_"&amp;TEXT(AC$1,"yyyy")),MATCH(TRIM($A136),BS_Accounts,0))</f>
        <v>0</v>
      </c>
      <c r="AD136" s="76">
        <f t="array" ref="AD136">INDEX(INDIRECT("BS_"&amp;TEXT(AD$1,"mmm")&amp;"_"&amp;TEXT(AD$1,"yyyy")),MATCH(TRIM($A136),BS_Accounts,0))</f>
        <v>0</v>
      </c>
      <c r="AE136" s="76">
        <f t="array" ref="AE136">INDEX(INDIRECT("BS_"&amp;TEXT(AE$1,"mmm")&amp;"_"&amp;TEXT(AE$1,"yyyy")),MATCH(TRIM($A136),BS_Accounts,0))</f>
        <v>0</v>
      </c>
      <c r="AF136" s="96">
        <f t="shared" ref="AF136:BW136" si="67">$B136</f>
        <v>0</v>
      </c>
      <c r="AG136" s="96">
        <f t="shared" si="67"/>
        <v>0</v>
      </c>
      <c r="AH136" s="96">
        <f t="shared" si="67"/>
        <v>0</v>
      </c>
      <c r="AI136" s="96">
        <f t="shared" si="67"/>
        <v>0</v>
      </c>
      <c r="AJ136" s="96">
        <f t="shared" si="67"/>
        <v>0</v>
      </c>
      <c r="AK136" s="96">
        <f t="shared" si="67"/>
        <v>0</v>
      </c>
      <c r="AL136" s="96">
        <f t="shared" si="67"/>
        <v>0</v>
      </c>
      <c r="AM136" s="96">
        <f t="shared" si="67"/>
        <v>0</v>
      </c>
      <c r="AN136" s="96">
        <f t="shared" si="67"/>
        <v>0</v>
      </c>
      <c r="AO136" s="96">
        <f t="shared" si="67"/>
        <v>0</v>
      </c>
      <c r="AP136" s="96">
        <f t="shared" si="67"/>
        <v>0</v>
      </c>
      <c r="AQ136" s="96">
        <f t="shared" si="67"/>
        <v>0</v>
      </c>
      <c r="AR136" s="96">
        <f t="shared" si="67"/>
        <v>0</v>
      </c>
      <c r="AS136" s="96">
        <f t="shared" si="67"/>
        <v>0</v>
      </c>
      <c r="AT136" s="96">
        <f t="shared" si="67"/>
        <v>0</v>
      </c>
      <c r="AU136" s="96">
        <f t="shared" si="67"/>
        <v>0</v>
      </c>
      <c r="AV136" s="96">
        <f t="shared" si="67"/>
        <v>0</v>
      </c>
      <c r="AW136" s="96">
        <f t="shared" si="67"/>
        <v>0</v>
      </c>
      <c r="AX136" s="96">
        <f t="shared" si="67"/>
        <v>0</v>
      </c>
      <c r="AY136" s="96">
        <f t="shared" si="67"/>
        <v>0</v>
      </c>
      <c r="AZ136" s="96">
        <f t="shared" si="67"/>
        <v>0</v>
      </c>
      <c r="BA136" s="96">
        <f t="shared" si="67"/>
        <v>0</v>
      </c>
      <c r="BB136" s="96">
        <f t="shared" si="67"/>
        <v>0</v>
      </c>
      <c r="BC136" s="96">
        <f t="shared" si="67"/>
        <v>0</v>
      </c>
      <c r="BD136" s="96">
        <f t="shared" si="67"/>
        <v>0</v>
      </c>
      <c r="BE136" s="96">
        <f t="shared" si="67"/>
        <v>0</v>
      </c>
      <c r="BF136" s="96">
        <f t="shared" si="67"/>
        <v>0</v>
      </c>
      <c r="BG136" s="96">
        <f t="shared" si="67"/>
        <v>0</v>
      </c>
      <c r="BH136" s="96">
        <f t="shared" si="67"/>
        <v>0</v>
      </c>
      <c r="BI136" s="96">
        <f t="shared" si="67"/>
        <v>0</v>
      </c>
      <c r="BJ136" s="96">
        <f t="shared" si="67"/>
        <v>0</v>
      </c>
      <c r="BK136" s="96">
        <f t="shared" si="67"/>
        <v>0</v>
      </c>
      <c r="BL136" s="96">
        <f t="shared" si="67"/>
        <v>0</v>
      </c>
      <c r="BM136" s="96">
        <f t="shared" si="67"/>
        <v>0</v>
      </c>
      <c r="BN136" s="96">
        <f t="shared" si="67"/>
        <v>0</v>
      </c>
      <c r="BO136" s="96">
        <f t="shared" si="67"/>
        <v>0</v>
      </c>
      <c r="BP136" s="96">
        <f t="shared" si="67"/>
        <v>0</v>
      </c>
      <c r="BQ136" s="96">
        <f t="shared" si="67"/>
        <v>0</v>
      </c>
      <c r="BR136" s="96">
        <f t="shared" si="67"/>
        <v>0</v>
      </c>
      <c r="BS136" s="96">
        <f t="shared" si="67"/>
        <v>0</v>
      </c>
      <c r="BT136" s="96">
        <f t="shared" si="67"/>
        <v>0</v>
      </c>
      <c r="BU136" s="96">
        <f t="shared" si="67"/>
        <v>0</v>
      </c>
      <c r="BV136" s="96">
        <f t="shared" si="67"/>
        <v>0</v>
      </c>
      <c r="BW136" s="96">
        <f t="shared" si="67"/>
        <v>0</v>
      </c>
    </row>
    <row r="137" ht="15.75" customHeight="1">
      <c r="A137" s="1" t="s">
        <v>356</v>
      </c>
      <c r="B137" s="160"/>
      <c r="D137" s="76"/>
      <c r="E137" s="76"/>
      <c r="F137" s="76"/>
      <c r="G137" s="76"/>
      <c r="H137" s="76"/>
      <c r="I137" s="76"/>
      <c r="J137" s="76"/>
      <c r="K137" s="76"/>
      <c r="L137" s="76"/>
      <c r="M137" s="76"/>
      <c r="N137" s="76"/>
      <c r="O137" s="76"/>
      <c r="P137" s="76"/>
      <c r="Q137" s="76"/>
      <c r="R137" s="76"/>
      <c r="S137" s="76"/>
      <c r="T137" s="76"/>
      <c r="U137" s="76"/>
      <c r="V137" s="76"/>
      <c r="W137" s="76"/>
      <c r="X137" s="76"/>
      <c r="Y137" s="76"/>
      <c r="Z137" s="76"/>
      <c r="AA137" s="76"/>
      <c r="AB137" s="76"/>
      <c r="AC137" s="76"/>
      <c r="AD137" s="76"/>
      <c r="AE137" s="76"/>
      <c r="AF137" s="39" t="str">
        <f t="array" ref="AF137">_xludf.IFNA(INDEX(Loans_Forgivable_Loan_Nonforgivable_Balance,MATCH(AF$1,Loans_Months,0)),0)</f>
        <v>#NAME?</v>
      </c>
      <c r="AG137" s="39" t="str">
        <f t="array" ref="AG137">_xludf.IFNA(INDEX(Loans_Forgivable_Loan_Nonforgivable_Balance,MATCH(AG$1,Loans_Months,0)),0)</f>
        <v>#NAME?</v>
      </c>
      <c r="AH137" s="39" t="str">
        <f t="array" ref="AH137">_xludf.IFNA(INDEX(Loans_Forgivable_Loan_Nonforgivable_Balance,MATCH(AH$1,Loans_Months,0)),0)</f>
        <v>#NAME?</v>
      </c>
      <c r="AI137" s="39" t="str">
        <f t="array" ref="AI137">_xludf.IFNA(INDEX(Loans_Forgivable_Loan_Nonforgivable_Balance,MATCH(AI$1,Loans_Months,0)),0)</f>
        <v>#NAME?</v>
      </c>
      <c r="AJ137" s="39" t="str">
        <f t="array" ref="AJ137">_xludf.IFNA(INDEX(Loans_Forgivable_Loan_Nonforgivable_Balance,MATCH(AJ$1,Loans_Months,0)),0)</f>
        <v>#NAME?</v>
      </c>
      <c r="AK137" s="39" t="str">
        <f t="array" ref="AK137">_xludf.IFNA(INDEX(Loans_Forgivable_Loan_Nonforgivable_Balance,MATCH(AK$1,Loans_Months,0)),0)</f>
        <v>#NAME?</v>
      </c>
      <c r="AL137" s="39" t="str">
        <f t="array" ref="AL137">_xludf.IFNA(INDEX(Loans_Forgivable_Loan_Nonforgivable_Balance,MATCH(AL$1,Loans_Months,0)),0)</f>
        <v>#NAME?</v>
      </c>
      <c r="AM137" s="39" t="str">
        <f t="array" ref="AM137">_xludf.IFNA(INDEX(Loans_Forgivable_Loan_Nonforgivable_Balance,MATCH(AM$1,Loans_Months,0)),0)</f>
        <v>#NAME?</v>
      </c>
      <c r="AN137" s="39" t="str">
        <f t="array" ref="AN137">_xludf.IFNA(INDEX(Loans_Forgivable_Loan_Nonforgivable_Balance,MATCH(AN$1,Loans_Months,0)),0)</f>
        <v>#NAME?</v>
      </c>
      <c r="AO137" s="39" t="str">
        <f t="array" ref="AO137">_xludf.IFNA(INDEX(Loans_Forgivable_Loan_Nonforgivable_Balance,MATCH(AO$1,Loans_Months,0)),0)</f>
        <v>#NAME?</v>
      </c>
      <c r="AP137" s="39" t="str">
        <f t="array" ref="AP137">_xludf.IFNA(INDEX(Loans_Forgivable_Loan_Nonforgivable_Balance,MATCH(AP$1,Loans_Months,0)),0)</f>
        <v>#NAME?</v>
      </c>
      <c r="AQ137" s="39" t="str">
        <f t="array" ref="AQ137">_xludf.IFNA(INDEX(Loans_Forgivable_Loan_Nonforgivable_Balance,MATCH(AQ$1,Loans_Months,0)),0)</f>
        <v>#NAME?</v>
      </c>
      <c r="AR137" s="39" t="str">
        <f t="array" ref="AR137">_xludf.IFNA(INDEX(Loans_Forgivable_Loan_Nonforgivable_Balance,MATCH(AR$1,Loans_Months,0)),0)</f>
        <v>#NAME?</v>
      </c>
      <c r="AS137" s="39" t="str">
        <f t="array" ref="AS137">_xludf.IFNA(INDEX(Loans_Forgivable_Loan_Nonforgivable_Balance,MATCH(AS$1,Loans_Months,0)),0)</f>
        <v>#NAME?</v>
      </c>
      <c r="AT137" s="39" t="str">
        <f t="array" ref="AT137">_xludf.IFNA(INDEX(Loans_Forgivable_Loan_Nonforgivable_Balance,MATCH(AT$1,Loans_Months,0)),0)</f>
        <v>#NAME?</v>
      </c>
      <c r="AU137" s="39" t="str">
        <f t="array" ref="AU137">_xludf.IFNA(INDEX(Loans_Forgivable_Loan_Nonforgivable_Balance,MATCH(AU$1,Loans_Months,0)),0)</f>
        <v>#NAME?</v>
      </c>
      <c r="AV137" s="39" t="str">
        <f t="array" ref="AV137">_xludf.IFNA(INDEX(Loans_Forgivable_Loan_Nonforgivable_Balance,MATCH(AV$1,Loans_Months,0)),0)</f>
        <v>#NAME?</v>
      </c>
      <c r="AW137" s="39" t="str">
        <f t="array" ref="AW137">_xludf.IFNA(INDEX(Loans_Forgivable_Loan_Nonforgivable_Balance,MATCH(AW$1,Loans_Months,0)),0)</f>
        <v>#NAME?</v>
      </c>
      <c r="AX137" s="39" t="str">
        <f t="array" ref="AX137">_xludf.IFNA(INDEX(Loans_Forgivable_Loan_Nonforgivable_Balance,MATCH(AX$1,Loans_Months,0)),0)</f>
        <v>#NAME?</v>
      </c>
      <c r="AY137" s="39" t="str">
        <f t="array" ref="AY137">_xludf.IFNA(INDEX(Loans_Forgivable_Loan_Nonforgivable_Balance,MATCH(AY$1,Loans_Months,0)),0)</f>
        <v>#NAME?</v>
      </c>
      <c r="AZ137" s="39" t="str">
        <f t="array" ref="AZ137">_xludf.IFNA(INDEX(Loans_Forgivable_Loan_Nonforgivable_Balance,MATCH(AZ$1,Loans_Months,0)),0)</f>
        <v>#NAME?</v>
      </c>
      <c r="BA137" s="39" t="str">
        <f t="array" ref="BA137">_xludf.IFNA(INDEX(Loans_Forgivable_Loan_Nonforgivable_Balance,MATCH(BA$1,Loans_Months,0)),0)</f>
        <v>#NAME?</v>
      </c>
      <c r="BB137" s="39" t="str">
        <f t="array" ref="BB137">_xludf.IFNA(INDEX(Loans_Forgivable_Loan_Nonforgivable_Balance,MATCH(BB$1,Loans_Months,0)),0)</f>
        <v>#NAME?</v>
      </c>
      <c r="BC137" s="39" t="str">
        <f t="array" ref="BC137">_xludf.IFNA(INDEX(Loans_Forgivable_Loan_Nonforgivable_Balance,MATCH(BC$1,Loans_Months,0)),0)</f>
        <v>#NAME?</v>
      </c>
      <c r="BD137" s="39" t="str">
        <f t="array" ref="BD137">_xludf.IFNA(INDEX(Loans_Forgivable_Loan_Nonforgivable_Balance,MATCH(BD$1,Loans_Months,0)),0)</f>
        <v>#NAME?</v>
      </c>
      <c r="BE137" s="39" t="str">
        <f t="array" ref="BE137">_xludf.IFNA(INDEX(Loans_Forgivable_Loan_Nonforgivable_Balance,MATCH(BE$1,Loans_Months,0)),0)</f>
        <v>#NAME?</v>
      </c>
      <c r="BF137" s="39" t="str">
        <f t="array" ref="BF137">_xludf.IFNA(INDEX(Loans_Forgivable_Loan_Nonforgivable_Balance,MATCH(BF$1,Loans_Months,0)),0)</f>
        <v>#NAME?</v>
      </c>
      <c r="BG137" s="39" t="str">
        <f t="array" ref="BG137">_xludf.IFNA(INDEX(Loans_Forgivable_Loan_Nonforgivable_Balance,MATCH(BG$1,Loans_Months,0)),0)</f>
        <v>#NAME?</v>
      </c>
      <c r="BH137" s="39" t="str">
        <f t="array" ref="BH137">_xludf.IFNA(INDEX(Loans_Forgivable_Loan_Nonforgivable_Balance,MATCH(BH$1,Loans_Months,0)),0)</f>
        <v>#NAME?</v>
      </c>
      <c r="BI137" s="39" t="str">
        <f t="array" ref="BI137">_xludf.IFNA(INDEX(Loans_Forgivable_Loan_Nonforgivable_Balance,MATCH(BI$1,Loans_Months,0)),0)</f>
        <v>#NAME?</v>
      </c>
      <c r="BJ137" s="39" t="str">
        <f t="array" ref="BJ137">_xludf.IFNA(INDEX(Loans_Forgivable_Loan_Nonforgivable_Balance,MATCH(BJ$1,Loans_Months,0)),0)</f>
        <v>#NAME?</v>
      </c>
      <c r="BK137" s="39" t="str">
        <f t="array" ref="BK137">_xludf.IFNA(INDEX(Loans_Forgivable_Loan_Nonforgivable_Balance,MATCH(BK$1,Loans_Months,0)),0)</f>
        <v>#NAME?</v>
      </c>
      <c r="BL137" s="39" t="str">
        <f t="array" ref="BL137">_xludf.IFNA(INDEX(Loans_Forgivable_Loan_Nonforgivable_Balance,MATCH(BL$1,Loans_Months,0)),0)</f>
        <v>#NAME?</v>
      </c>
      <c r="BM137" s="39" t="str">
        <f t="array" ref="BM137">_xludf.IFNA(INDEX(Loans_Forgivable_Loan_Nonforgivable_Balance,MATCH(BM$1,Loans_Months,0)),0)</f>
        <v>#NAME?</v>
      </c>
      <c r="BN137" s="39" t="str">
        <f t="array" ref="BN137">_xludf.IFNA(INDEX(Loans_Forgivable_Loan_Nonforgivable_Balance,MATCH(BN$1,Loans_Months,0)),0)</f>
        <v>#NAME?</v>
      </c>
      <c r="BO137" s="39" t="str">
        <f t="array" ref="BO137">_xludf.IFNA(INDEX(Loans_Forgivable_Loan_Nonforgivable_Balance,MATCH(BO$1,Loans_Months,0)),0)</f>
        <v>#NAME?</v>
      </c>
      <c r="BP137" s="39" t="str">
        <f t="array" ref="BP137">_xludf.IFNA(INDEX(Loans_Forgivable_Loan_Nonforgivable_Balance,MATCH(BP$1,Loans_Months,0)),0)</f>
        <v>#NAME?</v>
      </c>
      <c r="BQ137" s="39" t="str">
        <f t="array" ref="BQ137">_xludf.IFNA(INDEX(Loans_Forgivable_Loan_Nonforgivable_Balance,MATCH(BQ$1,Loans_Months,0)),0)</f>
        <v>#NAME?</v>
      </c>
      <c r="BR137" s="39" t="str">
        <f t="array" ref="BR137">_xludf.IFNA(INDEX(Loans_Forgivable_Loan_Nonforgivable_Balance,MATCH(BR$1,Loans_Months,0)),0)</f>
        <v>#NAME?</v>
      </c>
      <c r="BS137" s="39" t="str">
        <f t="array" ref="BS137">_xludf.IFNA(INDEX(Loans_Forgivable_Loan_Nonforgivable_Balance,MATCH(BS$1,Loans_Months,0)),0)</f>
        <v>#NAME?</v>
      </c>
      <c r="BT137" s="39" t="str">
        <f t="array" ref="BT137">_xludf.IFNA(INDEX(Loans_Forgivable_Loan_Nonforgivable_Balance,MATCH(BT$1,Loans_Months,0)),0)</f>
        <v>#NAME?</v>
      </c>
      <c r="BU137" s="39" t="str">
        <f t="array" ref="BU137">_xludf.IFNA(INDEX(Loans_Forgivable_Loan_Nonforgivable_Balance,MATCH(BU$1,Loans_Months,0)),0)</f>
        <v>#NAME?</v>
      </c>
      <c r="BV137" s="39" t="str">
        <f t="array" ref="BV137">_xludf.IFNA(INDEX(Loans_Forgivable_Loan_Nonforgivable_Balance,MATCH(BV$1,Loans_Months,0)),0)</f>
        <v>#NAME?</v>
      </c>
      <c r="BW137" s="39" t="str">
        <f t="array" ref="BW137">_xludf.IFNA(INDEX(Loans_Forgivable_Loan_Nonforgivable_Balance,MATCH(BW$1,Loans_Months,0)),0)</f>
        <v>#NAME?</v>
      </c>
    </row>
    <row r="138" ht="15.75" customHeight="1">
      <c r="A138" s="1" t="s">
        <v>357</v>
      </c>
      <c r="B138" s="160"/>
      <c r="D138" s="76"/>
      <c r="E138" s="76"/>
      <c r="F138" s="76"/>
      <c r="G138" s="76"/>
      <c r="H138" s="76"/>
      <c r="I138" s="76"/>
      <c r="J138" s="76"/>
      <c r="K138" s="76"/>
      <c r="L138" s="76"/>
      <c r="M138" s="76"/>
      <c r="N138" s="76"/>
      <c r="O138" s="76"/>
      <c r="P138" s="76"/>
      <c r="Q138" s="76"/>
      <c r="R138" s="76"/>
      <c r="S138" s="76"/>
      <c r="T138" s="76"/>
      <c r="U138" s="76"/>
      <c r="V138" s="76"/>
      <c r="W138" s="76"/>
      <c r="X138" s="76"/>
      <c r="Y138" s="76"/>
      <c r="Z138" s="76"/>
      <c r="AA138" s="76"/>
      <c r="AB138" s="76"/>
      <c r="AC138" s="76"/>
      <c r="AD138" s="76"/>
      <c r="AE138" s="76"/>
      <c r="AF138" s="39" t="str">
        <f t="array" ref="AF138">_xludf.IFNA(INDEX(Loans_Standard_Loan_Balance,MATCH(AF$1,Loans_Months,0)),0)</f>
        <v>#NAME?</v>
      </c>
      <c r="AG138" s="39" t="str">
        <f t="array" ref="AG138">_xludf.IFNA(INDEX(Loans_Standard_Loan_Balance,MATCH(AG$1,Loans_Months,0)),0)</f>
        <v>#NAME?</v>
      </c>
      <c r="AH138" s="39" t="str">
        <f t="array" ref="AH138">_xludf.IFNA(INDEX(Loans_Standard_Loan_Balance,MATCH(AH$1,Loans_Months,0)),0)</f>
        <v>#NAME?</v>
      </c>
      <c r="AI138" s="39" t="str">
        <f t="array" ref="AI138">_xludf.IFNA(INDEX(Loans_Standard_Loan_Balance,MATCH(AI$1,Loans_Months,0)),0)</f>
        <v>#NAME?</v>
      </c>
      <c r="AJ138" s="39" t="str">
        <f t="array" ref="AJ138">_xludf.IFNA(INDEX(Loans_Standard_Loan_Balance,MATCH(AJ$1,Loans_Months,0)),0)</f>
        <v>#NAME?</v>
      </c>
      <c r="AK138" s="39" t="str">
        <f t="array" ref="AK138">_xludf.IFNA(INDEX(Loans_Standard_Loan_Balance,MATCH(AK$1,Loans_Months,0)),0)</f>
        <v>#NAME?</v>
      </c>
      <c r="AL138" s="39" t="str">
        <f t="array" ref="AL138">_xludf.IFNA(INDEX(Loans_Standard_Loan_Balance,MATCH(AL$1,Loans_Months,0)),0)</f>
        <v>#NAME?</v>
      </c>
      <c r="AM138" s="39" t="str">
        <f t="array" ref="AM138">_xludf.IFNA(INDEX(Loans_Standard_Loan_Balance,MATCH(AM$1,Loans_Months,0)),0)</f>
        <v>#NAME?</v>
      </c>
      <c r="AN138" s="39" t="str">
        <f t="array" ref="AN138">_xludf.IFNA(INDEX(Loans_Standard_Loan_Balance,MATCH(AN$1,Loans_Months,0)),0)</f>
        <v>#NAME?</v>
      </c>
      <c r="AO138" s="39" t="str">
        <f t="array" ref="AO138">_xludf.IFNA(INDEX(Loans_Standard_Loan_Balance,MATCH(AO$1,Loans_Months,0)),0)</f>
        <v>#NAME?</v>
      </c>
      <c r="AP138" s="39" t="str">
        <f t="array" ref="AP138">_xludf.IFNA(INDEX(Loans_Standard_Loan_Balance,MATCH(AP$1,Loans_Months,0)),0)</f>
        <v>#NAME?</v>
      </c>
      <c r="AQ138" s="39" t="str">
        <f t="array" ref="AQ138">_xludf.IFNA(INDEX(Loans_Standard_Loan_Balance,MATCH(AQ$1,Loans_Months,0)),0)</f>
        <v>#NAME?</v>
      </c>
      <c r="AR138" s="39" t="str">
        <f t="array" ref="AR138">_xludf.IFNA(INDEX(Loans_Standard_Loan_Balance,MATCH(AR$1,Loans_Months,0)),0)</f>
        <v>#NAME?</v>
      </c>
      <c r="AS138" s="39" t="str">
        <f t="array" ref="AS138">_xludf.IFNA(INDEX(Loans_Standard_Loan_Balance,MATCH(AS$1,Loans_Months,0)),0)</f>
        <v>#NAME?</v>
      </c>
      <c r="AT138" s="39" t="str">
        <f t="array" ref="AT138">_xludf.IFNA(INDEX(Loans_Standard_Loan_Balance,MATCH(AT$1,Loans_Months,0)),0)</f>
        <v>#NAME?</v>
      </c>
      <c r="AU138" s="39" t="str">
        <f t="array" ref="AU138">_xludf.IFNA(INDEX(Loans_Standard_Loan_Balance,MATCH(AU$1,Loans_Months,0)),0)</f>
        <v>#NAME?</v>
      </c>
      <c r="AV138" s="39" t="str">
        <f t="array" ref="AV138">_xludf.IFNA(INDEX(Loans_Standard_Loan_Balance,MATCH(AV$1,Loans_Months,0)),0)</f>
        <v>#NAME?</v>
      </c>
      <c r="AW138" s="39" t="str">
        <f t="array" ref="AW138">_xludf.IFNA(INDEX(Loans_Standard_Loan_Balance,MATCH(AW$1,Loans_Months,0)),0)</f>
        <v>#NAME?</v>
      </c>
      <c r="AX138" s="39" t="str">
        <f t="array" ref="AX138">_xludf.IFNA(INDEX(Loans_Standard_Loan_Balance,MATCH(AX$1,Loans_Months,0)),0)</f>
        <v>#NAME?</v>
      </c>
      <c r="AY138" s="39" t="str">
        <f t="array" ref="AY138">_xludf.IFNA(INDEX(Loans_Standard_Loan_Balance,MATCH(AY$1,Loans_Months,0)),0)</f>
        <v>#NAME?</v>
      </c>
      <c r="AZ138" s="39" t="str">
        <f t="array" ref="AZ138">_xludf.IFNA(INDEX(Loans_Standard_Loan_Balance,MATCH(AZ$1,Loans_Months,0)),0)</f>
        <v>#NAME?</v>
      </c>
      <c r="BA138" s="39" t="str">
        <f t="array" ref="BA138">_xludf.IFNA(INDEX(Loans_Standard_Loan_Balance,MATCH(BA$1,Loans_Months,0)),0)</f>
        <v>#NAME?</v>
      </c>
      <c r="BB138" s="39" t="str">
        <f t="array" ref="BB138">_xludf.IFNA(INDEX(Loans_Standard_Loan_Balance,MATCH(BB$1,Loans_Months,0)),0)</f>
        <v>#NAME?</v>
      </c>
      <c r="BC138" s="39" t="str">
        <f t="array" ref="BC138">_xludf.IFNA(INDEX(Loans_Standard_Loan_Balance,MATCH(BC$1,Loans_Months,0)),0)</f>
        <v>#NAME?</v>
      </c>
      <c r="BD138" s="39" t="str">
        <f t="array" ref="BD138">_xludf.IFNA(INDEX(Loans_Standard_Loan_Balance,MATCH(BD$1,Loans_Months,0)),0)</f>
        <v>#NAME?</v>
      </c>
      <c r="BE138" s="39" t="str">
        <f t="array" ref="BE138">_xludf.IFNA(INDEX(Loans_Standard_Loan_Balance,MATCH(BE$1,Loans_Months,0)),0)</f>
        <v>#NAME?</v>
      </c>
      <c r="BF138" s="39" t="str">
        <f t="array" ref="BF138">_xludf.IFNA(INDEX(Loans_Standard_Loan_Balance,MATCH(BF$1,Loans_Months,0)),0)</f>
        <v>#NAME?</v>
      </c>
      <c r="BG138" s="39" t="str">
        <f t="array" ref="BG138">_xludf.IFNA(INDEX(Loans_Standard_Loan_Balance,MATCH(BG$1,Loans_Months,0)),0)</f>
        <v>#NAME?</v>
      </c>
      <c r="BH138" s="39" t="str">
        <f t="array" ref="BH138">_xludf.IFNA(INDEX(Loans_Standard_Loan_Balance,MATCH(BH$1,Loans_Months,0)),0)</f>
        <v>#NAME?</v>
      </c>
      <c r="BI138" s="39" t="str">
        <f t="array" ref="BI138">_xludf.IFNA(INDEX(Loans_Standard_Loan_Balance,MATCH(BI$1,Loans_Months,0)),0)</f>
        <v>#NAME?</v>
      </c>
      <c r="BJ138" s="39" t="str">
        <f t="array" ref="BJ138">_xludf.IFNA(INDEX(Loans_Standard_Loan_Balance,MATCH(BJ$1,Loans_Months,0)),0)</f>
        <v>#NAME?</v>
      </c>
      <c r="BK138" s="39" t="str">
        <f t="array" ref="BK138">_xludf.IFNA(INDEX(Loans_Standard_Loan_Balance,MATCH(BK$1,Loans_Months,0)),0)</f>
        <v>#NAME?</v>
      </c>
      <c r="BL138" s="39" t="str">
        <f t="array" ref="BL138">_xludf.IFNA(INDEX(Loans_Standard_Loan_Balance,MATCH(BL$1,Loans_Months,0)),0)</f>
        <v>#NAME?</v>
      </c>
      <c r="BM138" s="39" t="str">
        <f t="array" ref="BM138">_xludf.IFNA(INDEX(Loans_Standard_Loan_Balance,MATCH(BM$1,Loans_Months,0)),0)</f>
        <v>#NAME?</v>
      </c>
      <c r="BN138" s="39" t="str">
        <f t="array" ref="BN138">_xludf.IFNA(INDEX(Loans_Standard_Loan_Balance,MATCH(BN$1,Loans_Months,0)),0)</f>
        <v>#NAME?</v>
      </c>
      <c r="BO138" s="39" t="str">
        <f t="array" ref="BO138">_xludf.IFNA(INDEX(Loans_Standard_Loan_Balance,MATCH(BO$1,Loans_Months,0)),0)</f>
        <v>#NAME?</v>
      </c>
      <c r="BP138" s="39" t="str">
        <f t="array" ref="BP138">_xludf.IFNA(INDEX(Loans_Standard_Loan_Balance,MATCH(BP$1,Loans_Months,0)),0)</f>
        <v>#NAME?</v>
      </c>
      <c r="BQ138" s="39" t="str">
        <f t="array" ref="BQ138">_xludf.IFNA(INDEX(Loans_Standard_Loan_Balance,MATCH(BQ$1,Loans_Months,0)),0)</f>
        <v>#NAME?</v>
      </c>
      <c r="BR138" s="39" t="str">
        <f t="array" ref="BR138">_xludf.IFNA(INDEX(Loans_Standard_Loan_Balance,MATCH(BR$1,Loans_Months,0)),0)</f>
        <v>#NAME?</v>
      </c>
      <c r="BS138" s="39" t="str">
        <f t="array" ref="BS138">_xludf.IFNA(INDEX(Loans_Standard_Loan_Balance,MATCH(BS$1,Loans_Months,0)),0)</f>
        <v>#NAME?</v>
      </c>
      <c r="BT138" s="39" t="str">
        <f t="array" ref="BT138">_xludf.IFNA(INDEX(Loans_Standard_Loan_Balance,MATCH(BT$1,Loans_Months,0)),0)</f>
        <v>#NAME?</v>
      </c>
      <c r="BU138" s="39" t="str">
        <f t="array" ref="BU138">_xludf.IFNA(INDEX(Loans_Standard_Loan_Balance,MATCH(BU$1,Loans_Months,0)),0)</f>
        <v>#NAME?</v>
      </c>
      <c r="BV138" s="39" t="str">
        <f t="array" ref="BV138">_xludf.IFNA(INDEX(Loans_Standard_Loan_Balance,MATCH(BV$1,Loans_Months,0)),0)</f>
        <v>#NAME?</v>
      </c>
      <c r="BW138" s="39" t="str">
        <f t="array" ref="BW138">_xludf.IFNA(INDEX(Loans_Standard_Loan_Balance,MATCH(BW$1,Loans_Months,0)),0)</f>
        <v>#NAME?</v>
      </c>
    </row>
    <row r="139" ht="15.75" customHeight="1">
      <c r="A139" s="21" t="s">
        <v>358</v>
      </c>
      <c r="B139" s="163"/>
      <c r="C139" s="21"/>
      <c r="D139" s="147">
        <f t="shared" ref="D139:BW139" si="68">SUM(D134:D138)</f>
        <v>1050000</v>
      </c>
      <c r="E139" s="147">
        <f t="shared" si="68"/>
        <v>1150000</v>
      </c>
      <c r="F139" s="147">
        <f t="shared" si="68"/>
        <v>1150000</v>
      </c>
      <c r="G139" s="147">
        <f t="shared" si="68"/>
        <v>1150000</v>
      </c>
      <c r="H139" s="147">
        <f t="shared" si="68"/>
        <v>1150000</v>
      </c>
      <c r="I139" s="147">
        <f t="shared" si="68"/>
        <v>1150000</v>
      </c>
      <c r="J139" s="147">
        <f t="shared" si="68"/>
        <v>1150000</v>
      </c>
      <c r="K139" s="147">
        <f t="shared" si="68"/>
        <v>1150000</v>
      </c>
      <c r="L139" s="147">
        <f t="shared" si="68"/>
        <v>1150000</v>
      </c>
      <c r="M139" s="147">
        <f t="shared" si="68"/>
        <v>1750000</v>
      </c>
      <c r="N139" s="147">
        <f t="shared" si="68"/>
        <v>1750000</v>
      </c>
      <c r="O139" s="147">
        <f t="shared" si="68"/>
        <v>1750000</v>
      </c>
      <c r="P139" s="147">
        <f t="shared" si="68"/>
        <v>2250000</v>
      </c>
      <c r="Q139" s="147">
        <f t="shared" si="68"/>
        <v>2250000</v>
      </c>
      <c r="R139" s="147">
        <f t="shared" si="68"/>
        <v>2250000</v>
      </c>
      <c r="S139" s="147">
        <f t="shared" si="68"/>
        <v>2250000</v>
      </c>
      <c r="T139" s="147">
        <f t="shared" si="68"/>
        <v>2550000</v>
      </c>
      <c r="U139" s="147">
        <f t="shared" si="68"/>
        <v>2550000</v>
      </c>
      <c r="V139" s="147">
        <f t="shared" si="68"/>
        <v>2550000</v>
      </c>
      <c r="W139" s="147">
        <f t="shared" si="68"/>
        <v>2550000</v>
      </c>
      <c r="X139" s="147">
        <f t="shared" si="68"/>
        <v>2550000</v>
      </c>
      <c r="Y139" s="147">
        <f t="shared" si="68"/>
        <v>2850000</v>
      </c>
      <c r="Z139" s="147">
        <f t="shared" si="68"/>
        <v>2850000</v>
      </c>
      <c r="AA139" s="147">
        <f t="shared" si="68"/>
        <v>2850000</v>
      </c>
      <c r="AB139" s="147">
        <f t="shared" si="68"/>
        <v>2850000</v>
      </c>
      <c r="AC139" s="147">
        <f t="shared" si="68"/>
        <v>2850000</v>
      </c>
      <c r="AD139" s="147">
        <f t="shared" si="68"/>
        <v>2850000</v>
      </c>
      <c r="AE139" s="147">
        <f t="shared" si="68"/>
        <v>2850000</v>
      </c>
      <c r="AF139" s="147" t="str">
        <f t="shared" si="68"/>
        <v>#NAME?</v>
      </c>
      <c r="AG139" s="147" t="str">
        <f t="shared" si="68"/>
        <v>#NAME?</v>
      </c>
      <c r="AH139" s="147" t="str">
        <f t="shared" si="68"/>
        <v>#NAME?</v>
      </c>
      <c r="AI139" s="147" t="str">
        <f t="shared" si="68"/>
        <v>#NAME?</v>
      </c>
      <c r="AJ139" s="147" t="str">
        <f t="shared" si="68"/>
        <v>#NAME?</v>
      </c>
      <c r="AK139" s="147" t="str">
        <f t="shared" si="68"/>
        <v>#NAME?</v>
      </c>
      <c r="AL139" s="147" t="str">
        <f t="shared" si="68"/>
        <v>#NAME?</v>
      </c>
      <c r="AM139" s="147" t="str">
        <f t="shared" si="68"/>
        <v>#NAME?</v>
      </c>
      <c r="AN139" s="147" t="str">
        <f t="shared" si="68"/>
        <v>#NAME?</v>
      </c>
      <c r="AO139" s="147" t="str">
        <f t="shared" si="68"/>
        <v>#NAME?</v>
      </c>
      <c r="AP139" s="147" t="str">
        <f t="shared" si="68"/>
        <v>#NAME?</v>
      </c>
      <c r="AQ139" s="147" t="str">
        <f t="shared" si="68"/>
        <v>#NAME?</v>
      </c>
      <c r="AR139" s="147" t="str">
        <f t="shared" si="68"/>
        <v>#NAME?</v>
      </c>
      <c r="AS139" s="147" t="str">
        <f t="shared" si="68"/>
        <v>#NAME?</v>
      </c>
      <c r="AT139" s="147" t="str">
        <f t="shared" si="68"/>
        <v>#NAME?</v>
      </c>
      <c r="AU139" s="147" t="str">
        <f t="shared" si="68"/>
        <v>#NAME?</v>
      </c>
      <c r="AV139" s="147" t="str">
        <f t="shared" si="68"/>
        <v>#NAME?</v>
      </c>
      <c r="AW139" s="147" t="str">
        <f t="shared" si="68"/>
        <v>#NAME?</v>
      </c>
      <c r="AX139" s="147" t="str">
        <f t="shared" si="68"/>
        <v>#NAME?</v>
      </c>
      <c r="AY139" s="147" t="str">
        <f t="shared" si="68"/>
        <v>#NAME?</v>
      </c>
      <c r="AZ139" s="147" t="str">
        <f t="shared" si="68"/>
        <v>#NAME?</v>
      </c>
      <c r="BA139" s="147" t="str">
        <f t="shared" si="68"/>
        <v>#NAME?</v>
      </c>
      <c r="BB139" s="147" t="str">
        <f t="shared" si="68"/>
        <v>#NAME?</v>
      </c>
      <c r="BC139" s="147" t="str">
        <f t="shared" si="68"/>
        <v>#NAME?</v>
      </c>
      <c r="BD139" s="147" t="str">
        <f t="shared" si="68"/>
        <v>#NAME?</v>
      </c>
      <c r="BE139" s="147" t="str">
        <f t="shared" si="68"/>
        <v>#NAME?</v>
      </c>
      <c r="BF139" s="147" t="str">
        <f t="shared" si="68"/>
        <v>#NAME?</v>
      </c>
      <c r="BG139" s="147" t="str">
        <f t="shared" si="68"/>
        <v>#NAME?</v>
      </c>
      <c r="BH139" s="147" t="str">
        <f t="shared" si="68"/>
        <v>#NAME?</v>
      </c>
      <c r="BI139" s="147" t="str">
        <f t="shared" si="68"/>
        <v>#NAME?</v>
      </c>
      <c r="BJ139" s="147" t="str">
        <f t="shared" si="68"/>
        <v>#NAME?</v>
      </c>
      <c r="BK139" s="147" t="str">
        <f t="shared" si="68"/>
        <v>#NAME?</v>
      </c>
      <c r="BL139" s="147" t="str">
        <f t="shared" si="68"/>
        <v>#NAME?</v>
      </c>
      <c r="BM139" s="147" t="str">
        <f t="shared" si="68"/>
        <v>#NAME?</v>
      </c>
      <c r="BN139" s="147" t="str">
        <f t="shared" si="68"/>
        <v>#NAME?</v>
      </c>
      <c r="BO139" s="147" t="str">
        <f t="shared" si="68"/>
        <v>#NAME?</v>
      </c>
      <c r="BP139" s="147" t="str">
        <f t="shared" si="68"/>
        <v>#NAME?</v>
      </c>
      <c r="BQ139" s="147" t="str">
        <f t="shared" si="68"/>
        <v>#NAME?</v>
      </c>
      <c r="BR139" s="147" t="str">
        <f t="shared" si="68"/>
        <v>#NAME?</v>
      </c>
      <c r="BS139" s="147" t="str">
        <f t="shared" si="68"/>
        <v>#NAME?</v>
      </c>
      <c r="BT139" s="147" t="str">
        <f t="shared" si="68"/>
        <v>#NAME?</v>
      </c>
      <c r="BU139" s="147" t="str">
        <f t="shared" si="68"/>
        <v>#NAME?</v>
      </c>
      <c r="BV139" s="147" t="str">
        <f t="shared" si="68"/>
        <v>#NAME?</v>
      </c>
      <c r="BW139" s="147" t="str">
        <f t="shared" si="68"/>
        <v>#NAME?</v>
      </c>
    </row>
    <row r="140" ht="15.75" customHeight="1">
      <c r="A140" s="31" t="s">
        <v>244</v>
      </c>
      <c r="B140" s="159"/>
      <c r="D140" s="76">
        <f t="array" ref="D140">INDEX(INDIRECT("BS_"&amp;TEXT(D$1,"mmm")&amp;"_"&amp;TEXT(D$1,"yyyy")),MATCH(TRIM($A139),BS_Accounts,0))-D139</f>
        <v>0</v>
      </c>
      <c r="E140" s="76">
        <f t="array" ref="E140">INDEX(INDIRECT("BS_"&amp;TEXT(E$1,"mmm")&amp;"_"&amp;TEXT(E$1,"yyyy")),MATCH(TRIM($A139),BS_Accounts,0))-E139</f>
        <v>0</v>
      </c>
      <c r="F140" s="76">
        <f t="array" ref="F140">INDEX(INDIRECT("BS_"&amp;TEXT(F$1,"mmm")&amp;"_"&amp;TEXT(F$1,"yyyy")),MATCH(TRIM($A139),BS_Accounts,0))-F139</f>
        <v>0</v>
      </c>
      <c r="G140" s="76">
        <f t="array" ref="G140">INDEX(INDIRECT("BS_"&amp;TEXT(G$1,"mmm")&amp;"_"&amp;TEXT(G$1,"yyyy")),MATCH(TRIM($A139),BS_Accounts,0))-G139</f>
        <v>0</v>
      </c>
      <c r="H140" s="76">
        <f t="array" ref="H140">INDEX(INDIRECT("BS_"&amp;TEXT(H$1,"mmm")&amp;"_"&amp;TEXT(H$1,"yyyy")),MATCH(TRIM($A139),BS_Accounts,0))-H139</f>
        <v>0</v>
      </c>
      <c r="I140" s="76">
        <f t="array" ref="I140">INDEX(INDIRECT("BS_"&amp;TEXT(I$1,"mmm")&amp;"_"&amp;TEXT(I$1,"yyyy")),MATCH(TRIM($A139),BS_Accounts,0))-I139</f>
        <v>0</v>
      </c>
      <c r="J140" s="76">
        <f t="array" ref="J140">INDEX(INDIRECT("BS_"&amp;TEXT(J$1,"mmm")&amp;"_"&amp;TEXT(J$1,"yyyy")),MATCH(TRIM($A139),BS_Accounts,0))-J139</f>
        <v>0</v>
      </c>
      <c r="K140" s="76">
        <f t="array" ref="K140">INDEX(INDIRECT("BS_"&amp;TEXT(K$1,"mmm")&amp;"_"&amp;TEXT(K$1,"yyyy")),MATCH(TRIM($A139),BS_Accounts,0))-K139</f>
        <v>0</v>
      </c>
      <c r="L140" s="76">
        <f t="array" ref="L140">INDEX(INDIRECT("BS_"&amp;TEXT(L$1,"mmm")&amp;"_"&amp;TEXT(L$1,"yyyy")),MATCH(TRIM($A139),BS_Accounts,0))-L139</f>
        <v>0</v>
      </c>
      <c r="M140" s="76">
        <f t="array" ref="M140">INDEX(INDIRECT("BS_"&amp;TEXT(M$1,"mmm")&amp;"_"&amp;TEXT(M$1,"yyyy")),MATCH(TRIM($A139),BS_Accounts,0))-M139</f>
        <v>0</v>
      </c>
      <c r="N140" s="76">
        <f t="array" ref="N140">INDEX(INDIRECT("BS_"&amp;TEXT(N$1,"mmm")&amp;"_"&amp;TEXT(N$1,"yyyy")),MATCH(TRIM($A139),BS_Accounts,0))-N139</f>
        <v>0</v>
      </c>
      <c r="O140" s="76">
        <f t="array" ref="O140">INDEX(INDIRECT("BS_"&amp;TEXT(O$1,"mmm")&amp;"_"&amp;TEXT(O$1,"yyyy")),MATCH(TRIM($A139),BS_Accounts,0))-O139</f>
        <v>0</v>
      </c>
      <c r="P140" s="76">
        <f t="array" ref="P140">INDEX(INDIRECT("BS_"&amp;TEXT(P$1,"mmm")&amp;"_"&amp;TEXT(P$1,"yyyy")),MATCH(TRIM($A139),BS_Accounts,0))-P139</f>
        <v>0</v>
      </c>
      <c r="Q140" s="76">
        <f t="array" ref="Q140">INDEX(INDIRECT("BS_"&amp;TEXT(Q$1,"mmm")&amp;"_"&amp;TEXT(Q$1,"yyyy")),MATCH(TRIM($A139),BS_Accounts,0))-Q139</f>
        <v>0</v>
      </c>
      <c r="R140" s="76">
        <f t="array" ref="R140">INDEX(INDIRECT("BS_"&amp;TEXT(R$1,"mmm")&amp;"_"&amp;TEXT(R$1,"yyyy")),MATCH(TRIM($A139),BS_Accounts,0))-R139</f>
        <v>0</v>
      </c>
      <c r="S140" s="76">
        <f t="array" ref="S140">INDEX(INDIRECT("BS_"&amp;TEXT(S$1,"mmm")&amp;"_"&amp;TEXT(S$1,"yyyy")),MATCH(TRIM($A139),BS_Accounts,0))-S139</f>
        <v>0</v>
      </c>
      <c r="T140" s="76">
        <f t="array" ref="T140">INDEX(INDIRECT("BS_"&amp;TEXT(T$1,"mmm")&amp;"_"&amp;TEXT(T$1,"yyyy")),MATCH(TRIM($A139),BS_Accounts,0))-T139</f>
        <v>0</v>
      </c>
      <c r="U140" s="76">
        <f t="array" ref="U140">INDEX(INDIRECT("BS_"&amp;TEXT(U$1,"mmm")&amp;"_"&amp;TEXT(U$1,"yyyy")),MATCH(TRIM($A139),BS_Accounts,0))-U139</f>
        <v>0</v>
      </c>
      <c r="V140" s="76">
        <f t="array" ref="V140">INDEX(INDIRECT("BS_"&amp;TEXT(V$1,"mmm")&amp;"_"&amp;TEXT(V$1,"yyyy")),MATCH(TRIM($A139),BS_Accounts,0))-V139</f>
        <v>0</v>
      </c>
      <c r="W140" s="76">
        <f t="array" ref="W140">INDEX(INDIRECT("BS_"&amp;TEXT(W$1,"mmm")&amp;"_"&amp;TEXT(W$1,"yyyy")),MATCH(TRIM($A139),BS_Accounts,0))-W139</f>
        <v>0</v>
      </c>
      <c r="X140" s="76">
        <f t="array" ref="X140">INDEX(INDIRECT("BS_"&amp;TEXT(X$1,"mmm")&amp;"_"&amp;TEXT(X$1,"yyyy")),MATCH(TRIM($A139),BS_Accounts,0))-X139</f>
        <v>0</v>
      </c>
      <c r="Y140" s="76">
        <f t="array" ref="Y140">INDEX(INDIRECT("BS_"&amp;TEXT(Y$1,"mmm")&amp;"_"&amp;TEXT(Y$1,"yyyy")),MATCH(TRIM($A139),BS_Accounts,0))-Y139</f>
        <v>0</v>
      </c>
      <c r="Z140" s="76">
        <f t="array" ref="Z140">INDEX(INDIRECT("BS_"&amp;TEXT(Z$1,"mmm")&amp;"_"&amp;TEXT(Z$1,"yyyy")),MATCH(TRIM($A139),BS_Accounts,0))-Z139</f>
        <v>0</v>
      </c>
      <c r="AA140" s="76">
        <f t="array" ref="AA140">INDEX(INDIRECT("BS_"&amp;TEXT(AA$1,"mmm")&amp;"_"&amp;TEXT(AA$1,"yyyy")),MATCH(TRIM($A139),BS_Accounts,0))-AA139</f>
        <v>0</v>
      </c>
      <c r="AB140" s="76">
        <f t="array" ref="AB140">INDEX(INDIRECT("BS_"&amp;TEXT(AB$1,"mmm")&amp;"_"&amp;TEXT(AB$1,"yyyy")),MATCH(TRIM($A139),BS_Accounts,0))-AB139</f>
        <v>0</v>
      </c>
      <c r="AC140" s="76">
        <f t="array" ref="AC140">INDEX(INDIRECT("BS_"&amp;TEXT(AC$1,"mmm")&amp;"_"&amp;TEXT(AC$1,"yyyy")),MATCH(TRIM($A139),BS_Accounts,0))-AC139</f>
        <v>0</v>
      </c>
      <c r="AD140" s="76">
        <f t="array" ref="AD140">INDEX(INDIRECT("BS_"&amp;TEXT(AD$1,"mmm")&amp;"_"&amp;TEXT(AD$1,"yyyy")),MATCH(TRIM($A139),BS_Accounts,0))-AD139</f>
        <v>0</v>
      </c>
      <c r="AE140" s="76">
        <f t="array" ref="AE140">INDEX(INDIRECT("BS_"&amp;TEXT(AE$1,"mmm")&amp;"_"&amp;TEXT(AE$1,"yyyy")),MATCH(TRIM($A139),BS_Accounts,0))-AE139</f>
        <v>0</v>
      </c>
    </row>
    <row r="141" ht="15.75" customHeight="1">
      <c r="A141" s="21" t="s">
        <v>359</v>
      </c>
      <c r="B141" s="163"/>
      <c r="C141" s="21"/>
      <c r="D141" s="147">
        <f t="shared" ref="D141:BW141" si="69">SUM(D139,D131)</f>
        <v>1050118</v>
      </c>
      <c r="E141" s="147">
        <f t="shared" si="69"/>
        <v>1147892</v>
      </c>
      <c r="F141" s="147">
        <f t="shared" si="69"/>
        <v>1147892</v>
      </c>
      <c r="G141" s="147">
        <f t="shared" si="69"/>
        <v>1147892</v>
      </c>
      <c r="H141" s="147">
        <f t="shared" si="69"/>
        <v>1147892</v>
      </c>
      <c r="I141" s="147">
        <f t="shared" si="69"/>
        <v>1147892</v>
      </c>
      <c r="J141" s="147">
        <f t="shared" si="69"/>
        <v>1147892</v>
      </c>
      <c r="K141" s="147">
        <f t="shared" si="69"/>
        <v>1147892</v>
      </c>
      <c r="L141" s="147">
        <f t="shared" si="69"/>
        <v>1147892</v>
      </c>
      <c r="M141" s="147">
        <f t="shared" si="69"/>
        <v>1747892</v>
      </c>
      <c r="N141" s="147">
        <f t="shared" si="69"/>
        <v>1747892</v>
      </c>
      <c r="O141" s="147">
        <f t="shared" si="69"/>
        <v>1747892</v>
      </c>
      <c r="P141" s="147">
        <f t="shared" si="69"/>
        <v>2247892</v>
      </c>
      <c r="Q141" s="147">
        <f t="shared" si="69"/>
        <v>2247892</v>
      </c>
      <c r="R141" s="147">
        <f t="shared" si="69"/>
        <v>2247892</v>
      </c>
      <c r="S141" s="147">
        <f t="shared" si="69"/>
        <v>2247892</v>
      </c>
      <c r="T141" s="147">
        <f t="shared" si="69"/>
        <v>2547892</v>
      </c>
      <c r="U141" s="147">
        <f t="shared" si="69"/>
        <v>2547892</v>
      </c>
      <c r="V141" s="147">
        <f t="shared" si="69"/>
        <v>2547892</v>
      </c>
      <c r="W141" s="147">
        <f t="shared" si="69"/>
        <v>2547892</v>
      </c>
      <c r="X141" s="147">
        <f t="shared" si="69"/>
        <v>2547892</v>
      </c>
      <c r="Y141" s="147">
        <f t="shared" si="69"/>
        <v>2847892</v>
      </c>
      <c r="Z141" s="147">
        <f t="shared" si="69"/>
        <v>2847892</v>
      </c>
      <c r="AA141" s="147">
        <f t="shared" si="69"/>
        <v>2847892</v>
      </c>
      <c r="AB141" s="147">
        <f t="shared" si="69"/>
        <v>2847892</v>
      </c>
      <c r="AC141" s="147">
        <f t="shared" si="69"/>
        <v>2847892</v>
      </c>
      <c r="AD141" s="147">
        <f t="shared" si="69"/>
        <v>2847892</v>
      </c>
      <c r="AE141" s="147">
        <f t="shared" si="69"/>
        <v>2847892</v>
      </c>
      <c r="AF141" s="147" t="str">
        <f t="shared" si="69"/>
        <v>#NAME?</v>
      </c>
      <c r="AG141" s="147" t="str">
        <f t="shared" si="69"/>
        <v>#NAME?</v>
      </c>
      <c r="AH141" s="147" t="str">
        <f t="shared" si="69"/>
        <v>#NAME?</v>
      </c>
      <c r="AI141" s="147" t="str">
        <f t="shared" si="69"/>
        <v>#NAME?</v>
      </c>
      <c r="AJ141" s="147" t="str">
        <f t="shared" si="69"/>
        <v>#NAME?</v>
      </c>
      <c r="AK141" s="147" t="str">
        <f t="shared" si="69"/>
        <v>#NAME?</v>
      </c>
      <c r="AL141" s="147" t="str">
        <f t="shared" si="69"/>
        <v>#NAME?</v>
      </c>
      <c r="AM141" s="147" t="str">
        <f t="shared" si="69"/>
        <v>#NAME?</v>
      </c>
      <c r="AN141" s="147" t="str">
        <f t="shared" si="69"/>
        <v>#NAME?</v>
      </c>
      <c r="AO141" s="147" t="str">
        <f t="shared" si="69"/>
        <v>#NAME?</v>
      </c>
      <c r="AP141" s="147" t="str">
        <f t="shared" si="69"/>
        <v>#NAME?</v>
      </c>
      <c r="AQ141" s="147" t="str">
        <f t="shared" si="69"/>
        <v>#NAME?</v>
      </c>
      <c r="AR141" s="147" t="str">
        <f t="shared" si="69"/>
        <v>#NAME?</v>
      </c>
      <c r="AS141" s="147" t="str">
        <f t="shared" si="69"/>
        <v>#NAME?</v>
      </c>
      <c r="AT141" s="147" t="str">
        <f t="shared" si="69"/>
        <v>#NAME?</v>
      </c>
      <c r="AU141" s="147" t="str">
        <f t="shared" si="69"/>
        <v>#NAME?</v>
      </c>
      <c r="AV141" s="147" t="str">
        <f t="shared" si="69"/>
        <v>#NAME?</v>
      </c>
      <c r="AW141" s="147" t="str">
        <f t="shared" si="69"/>
        <v>#NAME?</v>
      </c>
      <c r="AX141" s="147" t="str">
        <f t="shared" si="69"/>
        <v>#NAME?</v>
      </c>
      <c r="AY141" s="147" t="str">
        <f t="shared" si="69"/>
        <v>#NAME?</v>
      </c>
      <c r="AZ141" s="147" t="str">
        <f t="shared" si="69"/>
        <v>#NAME?</v>
      </c>
      <c r="BA141" s="147" t="str">
        <f t="shared" si="69"/>
        <v>#NAME?</v>
      </c>
      <c r="BB141" s="147" t="str">
        <f t="shared" si="69"/>
        <v>#NAME?</v>
      </c>
      <c r="BC141" s="147" t="str">
        <f t="shared" si="69"/>
        <v>#NAME?</v>
      </c>
      <c r="BD141" s="147" t="str">
        <f t="shared" si="69"/>
        <v>#NAME?</v>
      </c>
      <c r="BE141" s="147" t="str">
        <f t="shared" si="69"/>
        <v>#NAME?</v>
      </c>
      <c r="BF141" s="147" t="str">
        <f t="shared" si="69"/>
        <v>#NAME?</v>
      </c>
      <c r="BG141" s="147" t="str">
        <f t="shared" si="69"/>
        <v>#NAME?</v>
      </c>
      <c r="BH141" s="147" t="str">
        <f t="shared" si="69"/>
        <v>#NAME?</v>
      </c>
      <c r="BI141" s="147" t="str">
        <f t="shared" si="69"/>
        <v>#NAME?</v>
      </c>
      <c r="BJ141" s="147" t="str">
        <f t="shared" si="69"/>
        <v>#NAME?</v>
      </c>
      <c r="BK141" s="147" t="str">
        <f t="shared" si="69"/>
        <v>#NAME?</v>
      </c>
      <c r="BL141" s="147" t="str">
        <f t="shared" si="69"/>
        <v>#NAME?</v>
      </c>
      <c r="BM141" s="147" t="str">
        <f t="shared" si="69"/>
        <v>#NAME?</v>
      </c>
      <c r="BN141" s="147" t="str">
        <f t="shared" si="69"/>
        <v>#NAME?</v>
      </c>
      <c r="BO141" s="147" t="str">
        <f t="shared" si="69"/>
        <v>#NAME?</v>
      </c>
      <c r="BP141" s="147" t="str">
        <f t="shared" si="69"/>
        <v>#NAME?</v>
      </c>
      <c r="BQ141" s="147" t="str">
        <f t="shared" si="69"/>
        <v>#NAME?</v>
      </c>
      <c r="BR141" s="147" t="str">
        <f t="shared" si="69"/>
        <v>#NAME?</v>
      </c>
      <c r="BS141" s="147" t="str">
        <f t="shared" si="69"/>
        <v>#NAME?</v>
      </c>
      <c r="BT141" s="147" t="str">
        <f t="shared" si="69"/>
        <v>#NAME?</v>
      </c>
      <c r="BU141" s="147" t="str">
        <f t="shared" si="69"/>
        <v>#NAME?</v>
      </c>
      <c r="BV141" s="147" t="str">
        <f t="shared" si="69"/>
        <v>#NAME?</v>
      </c>
      <c r="BW141" s="147" t="str">
        <f t="shared" si="69"/>
        <v>#NAME?</v>
      </c>
    </row>
    <row r="142" ht="15.75" customHeight="1">
      <c r="A142" s="31" t="s">
        <v>244</v>
      </c>
      <c r="B142" s="159"/>
      <c r="D142" s="76">
        <f t="array" ref="D142">INDEX(INDIRECT("BS_"&amp;TEXT(D$1,"mmm")&amp;"_"&amp;TEXT(D$1,"yyyy")),MATCH(TRIM($A141),BS_Accounts,0))-D141</f>
        <v>0</v>
      </c>
      <c r="E142" s="76">
        <f t="array" ref="E142">INDEX(INDIRECT("BS_"&amp;TEXT(E$1,"mmm")&amp;"_"&amp;TEXT(E$1,"yyyy")),MATCH(TRIM($A141),BS_Accounts,0))-E141</f>
        <v>0</v>
      </c>
      <c r="F142" s="76">
        <f t="array" ref="F142">INDEX(INDIRECT("BS_"&amp;TEXT(F$1,"mmm")&amp;"_"&amp;TEXT(F$1,"yyyy")),MATCH(TRIM($A141),BS_Accounts,0))-F141</f>
        <v>0</v>
      </c>
      <c r="G142" s="76">
        <f t="array" ref="G142">INDEX(INDIRECT("BS_"&amp;TEXT(G$1,"mmm")&amp;"_"&amp;TEXT(G$1,"yyyy")),MATCH(TRIM($A141),BS_Accounts,0))-G141</f>
        <v>0</v>
      </c>
      <c r="H142" s="76">
        <f t="array" ref="H142">INDEX(INDIRECT("BS_"&amp;TEXT(H$1,"mmm")&amp;"_"&amp;TEXT(H$1,"yyyy")),MATCH(TRIM($A141),BS_Accounts,0))-H141</f>
        <v>0</v>
      </c>
      <c r="I142" s="76">
        <f t="array" ref="I142">INDEX(INDIRECT("BS_"&amp;TEXT(I$1,"mmm")&amp;"_"&amp;TEXT(I$1,"yyyy")),MATCH(TRIM($A141),BS_Accounts,0))-I141</f>
        <v>0</v>
      </c>
      <c r="J142" s="76">
        <f t="array" ref="J142">INDEX(INDIRECT("BS_"&amp;TEXT(J$1,"mmm")&amp;"_"&amp;TEXT(J$1,"yyyy")),MATCH(TRIM($A141),BS_Accounts,0))-J141</f>
        <v>0</v>
      </c>
      <c r="K142" s="76">
        <f t="array" ref="K142">INDEX(INDIRECT("BS_"&amp;TEXT(K$1,"mmm")&amp;"_"&amp;TEXT(K$1,"yyyy")),MATCH(TRIM($A141),BS_Accounts,0))-K141</f>
        <v>0</v>
      </c>
      <c r="L142" s="76">
        <f t="array" ref="L142">INDEX(INDIRECT("BS_"&amp;TEXT(L$1,"mmm")&amp;"_"&amp;TEXT(L$1,"yyyy")),MATCH(TRIM($A141),BS_Accounts,0))-L141</f>
        <v>0</v>
      </c>
      <c r="M142" s="76">
        <f t="array" ref="M142">INDEX(INDIRECT("BS_"&amp;TEXT(M$1,"mmm")&amp;"_"&amp;TEXT(M$1,"yyyy")),MATCH(TRIM($A141),BS_Accounts,0))-M141</f>
        <v>0</v>
      </c>
      <c r="N142" s="76">
        <f t="array" ref="N142">INDEX(INDIRECT("BS_"&amp;TEXT(N$1,"mmm")&amp;"_"&amp;TEXT(N$1,"yyyy")),MATCH(TRIM($A141),BS_Accounts,0))-N141</f>
        <v>0</v>
      </c>
      <c r="O142" s="76">
        <f t="array" ref="O142">INDEX(INDIRECT("BS_"&amp;TEXT(O$1,"mmm")&amp;"_"&amp;TEXT(O$1,"yyyy")),MATCH(TRIM($A141),BS_Accounts,0))-O141</f>
        <v>0</v>
      </c>
      <c r="P142" s="76">
        <f t="array" ref="P142">INDEX(INDIRECT("BS_"&amp;TEXT(P$1,"mmm")&amp;"_"&amp;TEXT(P$1,"yyyy")),MATCH(TRIM($A141),BS_Accounts,0))-P141</f>
        <v>0</v>
      </c>
      <c r="Q142" s="76">
        <f t="array" ref="Q142">INDEX(INDIRECT("BS_"&amp;TEXT(Q$1,"mmm")&amp;"_"&amp;TEXT(Q$1,"yyyy")),MATCH(TRIM($A141),BS_Accounts,0))-Q141</f>
        <v>0</v>
      </c>
      <c r="R142" s="76">
        <f t="array" ref="R142">INDEX(INDIRECT("BS_"&amp;TEXT(R$1,"mmm")&amp;"_"&amp;TEXT(R$1,"yyyy")),MATCH(TRIM($A141),BS_Accounts,0))-R141</f>
        <v>0</v>
      </c>
      <c r="S142" s="76">
        <f t="array" ref="S142">INDEX(INDIRECT("BS_"&amp;TEXT(S$1,"mmm")&amp;"_"&amp;TEXT(S$1,"yyyy")),MATCH(TRIM($A141),BS_Accounts,0))-S141</f>
        <v>0</v>
      </c>
      <c r="T142" s="76">
        <f t="array" ref="T142">INDEX(INDIRECT("BS_"&amp;TEXT(T$1,"mmm")&amp;"_"&amp;TEXT(T$1,"yyyy")),MATCH(TRIM($A141),BS_Accounts,0))-T141</f>
        <v>0</v>
      </c>
      <c r="U142" s="76">
        <f t="array" ref="U142">INDEX(INDIRECT("BS_"&amp;TEXT(U$1,"mmm")&amp;"_"&amp;TEXT(U$1,"yyyy")),MATCH(TRIM($A141),BS_Accounts,0))-U141</f>
        <v>0</v>
      </c>
      <c r="V142" s="76">
        <f t="array" ref="V142">INDEX(INDIRECT("BS_"&amp;TEXT(V$1,"mmm")&amp;"_"&amp;TEXT(V$1,"yyyy")),MATCH(TRIM($A141),BS_Accounts,0))-V141</f>
        <v>0</v>
      </c>
      <c r="W142" s="76">
        <f t="array" ref="W142">INDEX(INDIRECT("BS_"&amp;TEXT(W$1,"mmm")&amp;"_"&amp;TEXT(W$1,"yyyy")),MATCH(TRIM($A141),BS_Accounts,0))-W141</f>
        <v>0</v>
      </c>
      <c r="X142" s="76">
        <f t="array" ref="X142">INDEX(INDIRECT("BS_"&amp;TEXT(X$1,"mmm")&amp;"_"&amp;TEXT(X$1,"yyyy")),MATCH(TRIM($A141),BS_Accounts,0))-X141</f>
        <v>0</v>
      </c>
      <c r="Y142" s="76">
        <f t="array" ref="Y142">INDEX(INDIRECT("BS_"&amp;TEXT(Y$1,"mmm")&amp;"_"&amp;TEXT(Y$1,"yyyy")),MATCH(TRIM($A141),BS_Accounts,0))-Y141</f>
        <v>0</v>
      </c>
      <c r="Z142" s="76">
        <f t="array" ref="Z142">INDEX(INDIRECT("BS_"&amp;TEXT(Z$1,"mmm")&amp;"_"&amp;TEXT(Z$1,"yyyy")),MATCH(TRIM($A141),BS_Accounts,0))-Z141</f>
        <v>0</v>
      </c>
      <c r="AA142" s="76">
        <f t="array" ref="AA142">INDEX(INDIRECT("BS_"&amp;TEXT(AA$1,"mmm")&amp;"_"&amp;TEXT(AA$1,"yyyy")),MATCH(TRIM($A141),BS_Accounts,0))-AA141</f>
        <v>0</v>
      </c>
      <c r="AB142" s="76">
        <f t="array" ref="AB142">INDEX(INDIRECT("BS_"&amp;TEXT(AB$1,"mmm")&amp;"_"&amp;TEXT(AB$1,"yyyy")),MATCH(TRIM($A141),BS_Accounts,0))-AB141</f>
        <v>0</v>
      </c>
      <c r="AC142" s="76">
        <f t="array" ref="AC142">INDEX(INDIRECT("BS_"&amp;TEXT(AC$1,"mmm")&amp;"_"&amp;TEXT(AC$1,"yyyy")),MATCH(TRIM($A141),BS_Accounts,0))-AC141</f>
        <v>0</v>
      </c>
      <c r="AD142" s="76">
        <f t="array" ref="AD142">INDEX(INDIRECT("BS_"&amp;TEXT(AD$1,"mmm")&amp;"_"&amp;TEXT(AD$1,"yyyy")),MATCH(TRIM($A141),BS_Accounts,0))-AD141</f>
        <v>0</v>
      </c>
      <c r="AE142" s="76">
        <f t="array" ref="AE142">INDEX(INDIRECT("BS_"&amp;TEXT(AE$1,"mmm")&amp;"_"&amp;TEXT(AE$1,"yyyy")),MATCH(TRIM($A141),BS_Accounts,0))-AE141</f>
        <v>0</v>
      </c>
    </row>
    <row r="143" ht="15.75" customHeight="1">
      <c r="A143" s="1" t="s">
        <v>360</v>
      </c>
      <c r="B143" s="159"/>
    </row>
    <row r="144" ht="15.75" customHeight="1">
      <c r="A144" s="1" t="s">
        <v>361</v>
      </c>
      <c r="B144" s="160">
        <f>AVERAGEIFS(144:144,$1:$1,"&gt;="&amp;DATE(YEAR(Current_Month),MONTH(Current_Month),DAY(Current_Month)),$1:$1,"&lt;="&amp;EOMONTH(Current_Month,0))</f>
        <v>0</v>
      </c>
      <c r="D144" s="76">
        <f t="array" ref="D144">INDEX(INDIRECT("BS_"&amp;TEXT(D$1,"mmm")&amp;"_"&amp;TEXT(D$1,"yyyy")),MATCH(TRIM($A144),BS_Accounts,0))</f>
        <v>0</v>
      </c>
      <c r="E144" s="76">
        <f t="array" ref="E144">INDEX(INDIRECT("BS_"&amp;TEXT(E$1,"mmm")&amp;"_"&amp;TEXT(E$1,"yyyy")),MATCH(TRIM($A144),BS_Accounts,0))</f>
        <v>0</v>
      </c>
      <c r="F144" s="76">
        <f t="array" ref="F144">INDEX(INDIRECT("BS_"&amp;TEXT(F$1,"mmm")&amp;"_"&amp;TEXT(F$1,"yyyy")),MATCH(TRIM($A144),BS_Accounts,0))</f>
        <v>0</v>
      </c>
      <c r="G144" s="76">
        <f t="array" ref="G144">INDEX(INDIRECT("BS_"&amp;TEXT(G$1,"mmm")&amp;"_"&amp;TEXT(G$1,"yyyy")),MATCH(TRIM($A144),BS_Accounts,0))</f>
        <v>0</v>
      </c>
      <c r="H144" s="76">
        <f t="array" ref="H144">INDEX(INDIRECT("BS_"&amp;TEXT(H$1,"mmm")&amp;"_"&amp;TEXT(H$1,"yyyy")),MATCH(TRIM($A144),BS_Accounts,0))</f>
        <v>0</v>
      </c>
      <c r="I144" s="76">
        <f t="array" ref="I144">INDEX(INDIRECT("BS_"&amp;TEXT(I$1,"mmm")&amp;"_"&amp;TEXT(I$1,"yyyy")),MATCH(TRIM($A144),BS_Accounts,0))</f>
        <v>0</v>
      </c>
      <c r="J144" s="76">
        <f t="array" ref="J144">INDEX(INDIRECT("BS_"&amp;TEXT(J$1,"mmm")&amp;"_"&amp;TEXT(J$1,"yyyy")),MATCH(TRIM($A144),BS_Accounts,0))</f>
        <v>0</v>
      </c>
      <c r="K144" s="76">
        <f t="array" ref="K144">INDEX(INDIRECT("BS_"&amp;TEXT(K$1,"mmm")&amp;"_"&amp;TEXT(K$1,"yyyy")),MATCH(TRIM($A144),BS_Accounts,0))</f>
        <v>0</v>
      </c>
      <c r="L144" s="76">
        <f t="array" ref="L144">INDEX(INDIRECT("BS_"&amp;TEXT(L$1,"mmm")&amp;"_"&amp;TEXT(L$1,"yyyy")),MATCH(TRIM($A144),BS_Accounts,0))</f>
        <v>0</v>
      </c>
      <c r="M144" s="76">
        <f t="array" ref="M144">INDEX(INDIRECT("BS_"&amp;TEXT(M$1,"mmm")&amp;"_"&amp;TEXT(M$1,"yyyy")),MATCH(TRIM($A144),BS_Accounts,0))</f>
        <v>0</v>
      </c>
      <c r="N144" s="76">
        <f t="array" ref="N144">INDEX(INDIRECT("BS_"&amp;TEXT(N$1,"mmm")&amp;"_"&amp;TEXT(N$1,"yyyy")),MATCH(TRIM($A144),BS_Accounts,0))</f>
        <v>0</v>
      </c>
      <c r="O144" s="76">
        <f t="array" ref="O144">INDEX(INDIRECT("BS_"&amp;TEXT(O$1,"mmm")&amp;"_"&amp;TEXT(O$1,"yyyy")),MATCH(TRIM($A144),BS_Accounts,0))</f>
        <v>0</v>
      </c>
      <c r="P144" s="76">
        <f t="array" ref="P144">INDEX(INDIRECT("BS_"&amp;TEXT(P$1,"mmm")&amp;"_"&amp;TEXT(P$1,"yyyy")),MATCH(TRIM($A144),BS_Accounts,0))</f>
        <v>0</v>
      </c>
      <c r="Q144" s="76">
        <f t="array" ref="Q144">INDEX(INDIRECT("BS_"&amp;TEXT(Q$1,"mmm")&amp;"_"&amp;TEXT(Q$1,"yyyy")),MATCH(TRIM($A144),BS_Accounts,0))</f>
        <v>0</v>
      </c>
      <c r="R144" s="76">
        <f t="array" ref="R144">INDEX(INDIRECT("BS_"&amp;TEXT(R$1,"mmm")&amp;"_"&amp;TEXT(R$1,"yyyy")),MATCH(TRIM($A144),BS_Accounts,0))</f>
        <v>0</v>
      </c>
      <c r="S144" s="76">
        <f t="array" ref="S144">INDEX(INDIRECT("BS_"&amp;TEXT(S$1,"mmm")&amp;"_"&amp;TEXT(S$1,"yyyy")),MATCH(TRIM($A144),BS_Accounts,0))</f>
        <v>0</v>
      </c>
      <c r="T144" s="76">
        <f t="array" ref="T144">INDEX(INDIRECT("BS_"&amp;TEXT(T$1,"mmm")&amp;"_"&amp;TEXT(T$1,"yyyy")),MATCH(TRIM($A144),BS_Accounts,0))</f>
        <v>0</v>
      </c>
      <c r="U144" s="76">
        <f t="array" ref="U144">INDEX(INDIRECT("BS_"&amp;TEXT(U$1,"mmm")&amp;"_"&amp;TEXT(U$1,"yyyy")),MATCH(TRIM($A144),BS_Accounts,0))</f>
        <v>0</v>
      </c>
      <c r="V144" s="76">
        <f t="array" ref="V144">INDEX(INDIRECT("BS_"&amp;TEXT(V$1,"mmm")&amp;"_"&amp;TEXT(V$1,"yyyy")),MATCH(TRIM($A144),BS_Accounts,0))</f>
        <v>0</v>
      </c>
      <c r="W144" s="76">
        <f t="array" ref="W144">INDEX(INDIRECT("BS_"&amp;TEXT(W$1,"mmm")&amp;"_"&amp;TEXT(W$1,"yyyy")),MATCH(TRIM($A144),BS_Accounts,0))</f>
        <v>0</v>
      </c>
      <c r="X144" s="76">
        <f t="array" ref="X144">INDEX(INDIRECT("BS_"&amp;TEXT(X$1,"mmm")&amp;"_"&amp;TEXT(X$1,"yyyy")),MATCH(TRIM($A144),BS_Accounts,0))</f>
        <v>0</v>
      </c>
      <c r="Y144" s="76">
        <f t="array" ref="Y144">INDEX(INDIRECT("BS_"&amp;TEXT(Y$1,"mmm")&amp;"_"&amp;TEXT(Y$1,"yyyy")),MATCH(TRIM($A144),BS_Accounts,0))</f>
        <v>0</v>
      </c>
      <c r="Z144" s="76">
        <f t="array" ref="Z144">INDEX(INDIRECT("BS_"&amp;TEXT(Z$1,"mmm")&amp;"_"&amp;TEXT(Z$1,"yyyy")),MATCH(TRIM($A144),BS_Accounts,0))</f>
        <v>0</v>
      </c>
      <c r="AA144" s="76">
        <f t="array" ref="AA144">INDEX(INDIRECT("BS_"&amp;TEXT(AA$1,"mmm")&amp;"_"&amp;TEXT(AA$1,"yyyy")),MATCH(TRIM($A144),BS_Accounts,0))</f>
        <v>0</v>
      </c>
      <c r="AB144" s="76">
        <f t="array" ref="AB144">INDEX(INDIRECT("BS_"&amp;TEXT(AB$1,"mmm")&amp;"_"&amp;TEXT(AB$1,"yyyy")),MATCH(TRIM($A144),BS_Accounts,0))</f>
        <v>0</v>
      </c>
      <c r="AC144" s="76">
        <f t="array" ref="AC144">INDEX(INDIRECT("BS_"&amp;TEXT(AC$1,"mmm")&amp;"_"&amp;TEXT(AC$1,"yyyy")),MATCH(TRIM($A144),BS_Accounts,0))</f>
        <v>0</v>
      </c>
      <c r="AD144" s="76">
        <f t="array" ref="AD144">INDEX(INDIRECT("BS_"&amp;TEXT(AD$1,"mmm")&amp;"_"&amp;TEXT(AD$1,"yyyy")),MATCH(TRIM($A144),BS_Accounts,0))</f>
        <v>0</v>
      </c>
      <c r="AE144" s="76">
        <f t="array" ref="AE144">INDEX(INDIRECT("BS_"&amp;TEXT(AE$1,"mmm")&amp;"_"&amp;TEXT(AE$1,"yyyy")),MATCH(TRIM($A144),BS_Accounts,0))</f>
        <v>0</v>
      </c>
      <c r="AF144" s="96">
        <f t="shared" ref="AF144:BW144" si="70">$B144</f>
        <v>0</v>
      </c>
      <c r="AG144" s="96">
        <f t="shared" si="70"/>
        <v>0</v>
      </c>
      <c r="AH144" s="96">
        <f t="shared" si="70"/>
        <v>0</v>
      </c>
      <c r="AI144" s="96">
        <f t="shared" si="70"/>
        <v>0</v>
      </c>
      <c r="AJ144" s="96">
        <f t="shared" si="70"/>
        <v>0</v>
      </c>
      <c r="AK144" s="96">
        <f t="shared" si="70"/>
        <v>0</v>
      </c>
      <c r="AL144" s="96">
        <f t="shared" si="70"/>
        <v>0</v>
      </c>
      <c r="AM144" s="96">
        <f t="shared" si="70"/>
        <v>0</v>
      </c>
      <c r="AN144" s="96">
        <f t="shared" si="70"/>
        <v>0</v>
      </c>
      <c r="AO144" s="96">
        <f t="shared" si="70"/>
        <v>0</v>
      </c>
      <c r="AP144" s="96">
        <f t="shared" si="70"/>
        <v>0</v>
      </c>
      <c r="AQ144" s="96">
        <f t="shared" si="70"/>
        <v>0</v>
      </c>
      <c r="AR144" s="96">
        <f t="shared" si="70"/>
        <v>0</v>
      </c>
      <c r="AS144" s="96">
        <f t="shared" si="70"/>
        <v>0</v>
      </c>
      <c r="AT144" s="96">
        <f t="shared" si="70"/>
        <v>0</v>
      </c>
      <c r="AU144" s="96">
        <f t="shared" si="70"/>
        <v>0</v>
      </c>
      <c r="AV144" s="96">
        <f t="shared" si="70"/>
        <v>0</v>
      </c>
      <c r="AW144" s="96">
        <f t="shared" si="70"/>
        <v>0</v>
      </c>
      <c r="AX144" s="96">
        <f t="shared" si="70"/>
        <v>0</v>
      </c>
      <c r="AY144" s="96">
        <f t="shared" si="70"/>
        <v>0</v>
      </c>
      <c r="AZ144" s="96">
        <f t="shared" si="70"/>
        <v>0</v>
      </c>
      <c r="BA144" s="96">
        <f t="shared" si="70"/>
        <v>0</v>
      </c>
      <c r="BB144" s="96">
        <f t="shared" si="70"/>
        <v>0</v>
      </c>
      <c r="BC144" s="96">
        <f t="shared" si="70"/>
        <v>0</v>
      </c>
      <c r="BD144" s="96">
        <f t="shared" si="70"/>
        <v>0</v>
      </c>
      <c r="BE144" s="96">
        <f t="shared" si="70"/>
        <v>0</v>
      </c>
      <c r="BF144" s="96">
        <f t="shared" si="70"/>
        <v>0</v>
      </c>
      <c r="BG144" s="96">
        <f t="shared" si="70"/>
        <v>0</v>
      </c>
      <c r="BH144" s="96">
        <f t="shared" si="70"/>
        <v>0</v>
      </c>
      <c r="BI144" s="96">
        <f t="shared" si="70"/>
        <v>0</v>
      </c>
      <c r="BJ144" s="96">
        <f t="shared" si="70"/>
        <v>0</v>
      </c>
      <c r="BK144" s="96">
        <f t="shared" si="70"/>
        <v>0</v>
      </c>
      <c r="BL144" s="96">
        <f t="shared" si="70"/>
        <v>0</v>
      </c>
      <c r="BM144" s="96">
        <f t="shared" si="70"/>
        <v>0</v>
      </c>
      <c r="BN144" s="96">
        <f t="shared" si="70"/>
        <v>0</v>
      </c>
      <c r="BO144" s="96">
        <f t="shared" si="70"/>
        <v>0</v>
      </c>
      <c r="BP144" s="96">
        <f t="shared" si="70"/>
        <v>0</v>
      </c>
      <c r="BQ144" s="96">
        <f t="shared" si="70"/>
        <v>0</v>
      </c>
      <c r="BR144" s="96">
        <f t="shared" si="70"/>
        <v>0</v>
      </c>
      <c r="BS144" s="96">
        <f t="shared" si="70"/>
        <v>0</v>
      </c>
      <c r="BT144" s="96">
        <f t="shared" si="70"/>
        <v>0</v>
      </c>
      <c r="BU144" s="96">
        <f t="shared" si="70"/>
        <v>0</v>
      </c>
      <c r="BV144" s="96">
        <f t="shared" si="70"/>
        <v>0</v>
      </c>
      <c r="BW144" s="96">
        <f t="shared" si="70"/>
        <v>0</v>
      </c>
    </row>
    <row r="145" ht="15.75" customHeight="1">
      <c r="A145" s="1" t="s">
        <v>362</v>
      </c>
      <c r="B145" s="160">
        <f>AVERAGEIFS(145:145,$1:$1,"&gt;="&amp;DATE(YEAR(Current_Month),MONTH(Current_Month),DAY(Current_Month)),$1:$1,"&lt;="&amp;EOMONTH(Current_Month,0))</f>
        <v>332421</v>
      </c>
      <c r="D145" s="76">
        <f t="array" ref="D145">INDEX(INDIRECT("BS_"&amp;TEXT(D$1,"mmm")&amp;"_"&amp;TEXT(D$1,"yyyy")),MATCH(TRIM($A145),BS_Accounts,0))</f>
        <v>332421</v>
      </c>
      <c r="E145" s="76">
        <f t="array" ref="E145">INDEX(INDIRECT("BS_"&amp;TEXT(E$1,"mmm")&amp;"_"&amp;TEXT(E$1,"yyyy")),MATCH(TRIM($A145),BS_Accounts,0))</f>
        <v>332421</v>
      </c>
      <c r="F145" s="76">
        <f t="array" ref="F145">INDEX(INDIRECT("BS_"&amp;TEXT(F$1,"mmm")&amp;"_"&amp;TEXT(F$1,"yyyy")),MATCH(TRIM($A145),BS_Accounts,0))</f>
        <v>332421</v>
      </c>
      <c r="G145" s="76">
        <f t="array" ref="G145">INDEX(INDIRECT("BS_"&amp;TEXT(G$1,"mmm")&amp;"_"&amp;TEXT(G$1,"yyyy")),MATCH(TRIM($A145),BS_Accounts,0))</f>
        <v>332421</v>
      </c>
      <c r="H145" s="76">
        <f t="array" ref="H145">INDEX(INDIRECT("BS_"&amp;TEXT(H$1,"mmm")&amp;"_"&amp;TEXT(H$1,"yyyy")),MATCH(TRIM($A145),BS_Accounts,0))</f>
        <v>332421</v>
      </c>
      <c r="I145" s="76">
        <f t="array" ref="I145">INDEX(INDIRECT("BS_"&amp;TEXT(I$1,"mmm")&amp;"_"&amp;TEXT(I$1,"yyyy")),MATCH(TRIM($A145),BS_Accounts,0))</f>
        <v>332421</v>
      </c>
      <c r="J145" s="76">
        <f t="array" ref="J145">INDEX(INDIRECT("BS_"&amp;TEXT(J$1,"mmm")&amp;"_"&amp;TEXT(J$1,"yyyy")),MATCH(TRIM($A145),BS_Accounts,0))</f>
        <v>332421</v>
      </c>
      <c r="K145" s="76">
        <f t="array" ref="K145">INDEX(INDIRECT("BS_"&amp;TEXT(K$1,"mmm")&amp;"_"&amp;TEXT(K$1,"yyyy")),MATCH(TRIM($A145),BS_Accounts,0))</f>
        <v>332421</v>
      </c>
      <c r="L145" s="76">
        <f t="array" ref="L145">INDEX(INDIRECT("BS_"&amp;TEXT(L$1,"mmm")&amp;"_"&amp;TEXT(L$1,"yyyy")),MATCH(TRIM($A145),BS_Accounts,0))</f>
        <v>332421</v>
      </c>
      <c r="M145" s="76">
        <f t="array" ref="M145">INDEX(INDIRECT("BS_"&amp;TEXT(M$1,"mmm")&amp;"_"&amp;TEXT(M$1,"yyyy")),MATCH(TRIM($A145),BS_Accounts,0))</f>
        <v>332421</v>
      </c>
      <c r="N145" s="76">
        <f t="array" ref="N145">INDEX(INDIRECT("BS_"&amp;TEXT(N$1,"mmm")&amp;"_"&amp;TEXT(N$1,"yyyy")),MATCH(TRIM($A145),BS_Accounts,0))</f>
        <v>332421</v>
      </c>
      <c r="O145" s="76">
        <f t="array" ref="O145">INDEX(INDIRECT("BS_"&amp;TEXT(O$1,"mmm")&amp;"_"&amp;TEXT(O$1,"yyyy")),MATCH(TRIM($A145),BS_Accounts,0))</f>
        <v>332421</v>
      </c>
      <c r="P145" s="76">
        <f t="array" ref="P145">INDEX(INDIRECT("BS_"&amp;TEXT(P$1,"mmm")&amp;"_"&amp;TEXT(P$1,"yyyy")),MATCH(TRIM($A145),BS_Accounts,0))</f>
        <v>332421</v>
      </c>
      <c r="Q145" s="76">
        <f t="array" ref="Q145">INDEX(INDIRECT("BS_"&amp;TEXT(Q$1,"mmm")&amp;"_"&amp;TEXT(Q$1,"yyyy")),MATCH(TRIM($A145),BS_Accounts,0))</f>
        <v>332421</v>
      </c>
      <c r="R145" s="76">
        <f t="array" ref="R145">INDEX(INDIRECT("BS_"&amp;TEXT(R$1,"mmm")&amp;"_"&amp;TEXT(R$1,"yyyy")),MATCH(TRIM($A145),BS_Accounts,0))</f>
        <v>332421</v>
      </c>
      <c r="S145" s="76">
        <f t="array" ref="S145">INDEX(INDIRECT("BS_"&amp;TEXT(S$1,"mmm")&amp;"_"&amp;TEXT(S$1,"yyyy")),MATCH(TRIM($A145),BS_Accounts,0))</f>
        <v>332421</v>
      </c>
      <c r="T145" s="76">
        <f t="array" ref="T145">INDEX(INDIRECT("BS_"&amp;TEXT(T$1,"mmm")&amp;"_"&amp;TEXT(T$1,"yyyy")),MATCH(TRIM($A145),BS_Accounts,0))</f>
        <v>332421</v>
      </c>
      <c r="U145" s="76">
        <f t="array" ref="U145">INDEX(INDIRECT("BS_"&amp;TEXT(U$1,"mmm")&amp;"_"&amp;TEXT(U$1,"yyyy")),MATCH(TRIM($A145),BS_Accounts,0))</f>
        <v>332421</v>
      </c>
      <c r="V145" s="76">
        <f t="array" ref="V145">INDEX(INDIRECT("BS_"&amp;TEXT(V$1,"mmm")&amp;"_"&amp;TEXT(V$1,"yyyy")),MATCH(TRIM($A145),BS_Accounts,0))</f>
        <v>332421</v>
      </c>
      <c r="W145" s="76">
        <f t="array" ref="W145">INDEX(INDIRECT("BS_"&amp;TEXT(W$1,"mmm")&amp;"_"&amp;TEXT(W$1,"yyyy")),MATCH(TRIM($A145),BS_Accounts,0))</f>
        <v>332421</v>
      </c>
      <c r="X145" s="76">
        <f t="array" ref="X145">INDEX(INDIRECT("BS_"&amp;TEXT(X$1,"mmm")&amp;"_"&amp;TEXT(X$1,"yyyy")),MATCH(TRIM($A145),BS_Accounts,0))</f>
        <v>332421</v>
      </c>
      <c r="Y145" s="76">
        <f t="array" ref="Y145">INDEX(INDIRECT("BS_"&amp;TEXT(Y$1,"mmm")&amp;"_"&amp;TEXT(Y$1,"yyyy")),MATCH(TRIM($A145),BS_Accounts,0))</f>
        <v>332421</v>
      </c>
      <c r="Z145" s="76">
        <f t="array" ref="Z145">INDEX(INDIRECT("BS_"&amp;TEXT(Z$1,"mmm")&amp;"_"&amp;TEXT(Z$1,"yyyy")),MATCH(TRIM($A145),BS_Accounts,0))</f>
        <v>332421</v>
      </c>
      <c r="AA145" s="76">
        <f t="array" ref="AA145">INDEX(INDIRECT("BS_"&amp;TEXT(AA$1,"mmm")&amp;"_"&amp;TEXT(AA$1,"yyyy")),MATCH(TRIM($A145),BS_Accounts,0))</f>
        <v>332421</v>
      </c>
      <c r="AB145" s="76">
        <f t="array" ref="AB145">INDEX(INDIRECT("BS_"&amp;TEXT(AB$1,"mmm")&amp;"_"&amp;TEXT(AB$1,"yyyy")),MATCH(TRIM($A145),BS_Accounts,0))</f>
        <v>332421</v>
      </c>
      <c r="AC145" s="76">
        <f t="array" ref="AC145">INDEX(INDIRECT("BS_"&amp;TEXT(AC$1,"mmm")&amp;"_"&amp;TEXT(AC$1,"yyyy")),MATCH(TRIM($A145),BS_Accounts,0))</f>
        <v>332421</v>
      </c>
      <c r="AD145" s="76">
        <f t="array" ref="AD145">INDEX(INDIRECT("BS_"&amp;TEXT(AD$1,"mmm")&amp;"_"&amp;TEXT(AD$1,"yyyy")),MATCH(TRIM($A145),BS_Accounts,0))</f>
        <v>332421</v>
      </c>
      <c r="AE145" s="76">
        <f t="array" ref="AE145">INDEX(INDIRECT("BS_"&amp;TEXT(AE$1,"mmm")&amp;"_"&amp;TEXT(AE$1,"yyyy")),MATCH(TRIM($A145),BS_Accounts,0))</f>
        <v>332421</v>
      </c>
      <c r="AF145" s="96">
        <f t="shared" ref="AF145:BW145" si="71">$B145</f>
        <v>332421</v>
      </c>
      <c r="AG145" s="96">
        <f t="shared" si="71"/>
        <v>332421</v>
      </c>
      <c r="AH145" s="96">
        <f t="shared" si="71"/>
        <v>332421</v>
      </c>
      <c r="AI145" s="96">
        <f t="shared" si="71"/>
        <v>332421</v>
      </c>
      <c r="AJ145" s="96">
        <f t="shared" si="71"/>
        <v>332421</v>
      </c>
      <c r="AK145" s="96">
        <f t="shared" si="71"/>
        <v>332421</v>
      </c>
      <c r="AL145" s="96">
        <f t="shared" si="71"/>
        <v>332421</v>
      </c>
      <c r="AM145" s="96">
        <f t="shared" si="71"/>
        <v>332421</v>
      </c>
      <c r="AN145" s="96">
        <f t="shared" si="71"/>
        <v>332421</v>
      </c>
      <c r="AO145" s="96">
        <f t="shared" si="71"/>
        <v>332421</v>
      </c>
      <c r="AP145" s="96">
        <f t="shared" si="71"/>
        <v>332421</v>
      </c>
      <c r="AQ145" s="96">
        <f t="shared" si="71"/>
        <v>332421</v>
      </c>
      <c r="AR145" s="96">
        <f t="shared" si="71"/>
        <v>332421</v>
      </c>
      <c r="AS145" s="96">
        <f t="shared" si="71"/>
        <v>332421</v>
      </c>
      <c r="AT145" s="96">
        <f t="shared" si="71"/>
        <v>332421</v>
      </c>
      <c r="AU145" s="96">
        <f t="shared" si="71"/>
        <v>332421</v>
      </c>
      <c r="AV145" s="96">
        <f t="shared" si="71"/>
        <v>332421</v>
      </c>
      <c r="AW145" s="96">
        <f t="shared" si="71"/>
        <v>332421</v>
      </c>
      <c r="AX145" s="96">
        <f t="shared" si="71"/>
        <v>332421</v>
      </c>
      <c r="AY145" s="96">
        <f t="shared" si="71"/>
        <v>332421</v>
      </c>
      <c r="AZ145" s="96">
        <f t="shared" si="71"/>
        <v>332421</v>
      </c>
      <c r="BA145" s="96">
        <f t="shared" si="71"/>
        <v>332421</v>
      </c>
      <c r="BB145" s="96">
        <f t="shared" si="71"/>
        <v>332421</v>
      </c>
      <c r="BC145" s="96">
        <f t="shared" si="71"/>
        <v>332421</v>
      </c>
      <c r="BD145" s="96">
        <f t="shared" si="71"/>
        <v>332421</v>
      </c>
      <c r="BE145" s="96">
        <f t="shared" si="71"/>
        <v>332421</v>
      </c>
      <c r="BF145" s="96">
        <f t="shared" si="71"/>
        <v>332421</v>
      </c>
      <c r="BG145" s="96">
        <f t="shared" si="71"/>
        <v>332421</v>
      </c>
      <c r="BH145" s="96">
        <f t="shared" si="71"/>
        <v>332421</v>
      </c>
      <c r="BI145" s="96">
        <f t="shared" si="71"/>
        <v>332421</v>
      </c>
      <c r="BJ145" s="96">
        <f t="shared" si="71"/>
        <v>332421</v>
      </c>
      <c r="BK145" s="96">
        <f t="shared" si="71"/>
        <v>332421</v>
      </c>
      <c r="BL145" s="96">
        <f t="shared" si="71"/>
        <v>332421</v>
      </c>
      <c r="BM145" s="96">
        <f t="shared" si="71"/>
        <v>332421</v>
      </c>
      <c r="BN145" s="96">
        <f t="shared" si="71"/>
        <v>332421</v>
      </c>
      <c r="BO145" s="96">
        <f t="shared" si="71"/>
        <v>332421</v>
      </c>
      <c r="BP145" s="96">
        <f t="shared" si="71"/>
        <v>332421</v>
      </c>
      <c r="BQ145" s="96">
        <f t="shared" si="71"/>
        <v>332421</v>
      </c>
      <c r="BR145" s="96">
        <f t="shared" si="71"/>
        <v>332421</v>
      </c>
      <c r="BS145" s="96">
        <f t="shared" si="71"/>
        <v>332421</v>
      </c>
      <c r="BT145" s="96">
        <f t="shared" si="71"/>
        <v>332421</v>
      </c>
      <c r="BU145" s="96">
        <f t="shared" si="71"/>
        <v>332421</v>
      </c>
      <c r="BV145" s="96">
        <f t="shared" si="71"/>
        <v>332421</v>
      </c>
      <c r="BW145" s="96">
        <f t="shared" si="71"/>
        <v>332421</v>
      </c>
    </row>
    <row r="146" ht="15.75" customHeight="1">
      <c r="A146" s="1" t="s">
        <v>363</v>
      </c>
      <c r="B146" s="160">
        <f>AVERAGEIFS(146:146,$1:$1,"&gt;="&amp;DATE(YEAR(Current_Month),MONTH(Current_Month),DAY(Current_Month)),$1:$1,"&lt;="&amp;EOMONTH(Current_Month,0))</f>
        <v>-2884910</v>
      </c>
      <c r="D146" s="76">
        <f t="array" ref="D146">INDEX(INDIRECT("BS_"&amp;TEXT(D$1,"mmm")&amp;"_"&amp;TEXT(D$1,"yyyy")),MATCH(TRIM($A146),BS_Accounts,0))</f>
        <v>-332421</v>
      </c>
      <c r="E146" s="76">
        <f t="array" ref="E146">INDEX(INDIRECT("BS_"&amp;TEXT(E$1,"mmm")&amp;"_"&amp;TEXT(E$1,"yyyy")),MATCH(TRIM($A146),BS_Accounts,0))</f>
        <v>-332421</v>
      </c>
      <c r="F146" s="76">
        <f t="array" ref="F146">INDEX(INDIRECT("BS_"&amp;TEXT(F$1,"mmm")&amp;"_"&amp;TEXT(F$1,"yyyy")),MATCH(TRIM($A146),BS_Accounts,0))</f>
        <v>-332421</v>
      </c>
      <c r="G146" s="76">
        <f t="array" ref="G146">INDEX(INDIRECT("BS_"&amp;TEXT(G$1,"mmm")&amp;"_"&amp;TEXT(G$1,"yyyy")),MATCH(TRIM($A146),BS_Accounts,0))</f>
        <v>-332421</v>
      </c>
      <c r="H146" s="76">
        <f t="array" ref="H146">INDEX(INDIRECT("BS_"&amp;TEXT(H$1,"mmm")&amp;"_"&amp;TEXT(H$1,"yyyy")),MATCH(TRIM($A146),BS_Accounts,0))</f>
        <v>-332421</v>
      </c>
      <c r="I146" s="76">
        <f t="array" ref="I146">INDEX(INDIRECT("BS_"&amp;TEXT(I$1,"mmm")&amp;"_"&amp;TEXT(I$1,"yyyy")),MATCH(TRIM($A146),BS_Accounts,0))</f>
        <v>-332421</v>
      </c>
      <c r="J146" s="76">
        <f t="array" ref="J146">INDEX(INDIRECT("BS_"&amp;TEXT(J$1,"mmm")&amp;"_"&amp;TEXT(J$1,"yyyy")),MATCH(TRIM($A146),BS_Accounts,0))</f>
        <v>-332421</v>
      </c>
      <c r="K146" s="76">
        <f t="array" ref="K146">INDEX(INDIRECT("BS_"&amp;TEXT(K$1,"mmm")&amp;"_"&amp;TEXT(K$1,"yyyy")),MATCH(TRIM($A146),BS_Accounts,0))</f>
        <v>-332421</v>
      </c>
      <c r="L146" s="76">
        <f t="array" ref="L146">INDEX(INDIRECT("BS_"&amp;TEXT(L$1,"mmm")&amp;"_"&amp;TEXT(L$1,"yyyy")),MATCH(TRIM($A146),BS_Accounts,0))</f>
        <v>-332421</v>
      </c>
      <c r="M146" s="76">
        <f t="array" ref="M146">INDEX(INDIRECT("BS_"&amp;TEXT(M$1,"mmm")&amp;"_"&amp;TEXT(M$1,"yyyy")),MATCH(TRIM($A146),BS_Accounts,0))</f>
        <v>-332421</v>
      </c>
      <c r="N146" s="76">
        <f t="array" ref="N146">INDEX(INDIRECT("BS_"&amp;TEXT(N$1,"mmm")&amp;"_"&amp;TEXT(N$1,"yyyy")),MATCH(TRIM($A146),BS_Accounts,0))</f>
        <v>-332421</v>
      </c>
      <c r="O146" s="76">
        <f t="array" ref="O146">INDEX(INDIRECT("BS_"&amp;TEXT(O$1,"mmm")&amp;"_"&amp;TEXT(O$1,"yyyy")),MATCH(TRIM($A146),BS_Accounts,0))</f>
        <v>-332421</v>
      </c>
      <c r="P146" s="76">
        <f t="array" ref="P146">INDEX(INDIRECT("BS_"&amp;TEXT(P$1,"mmm")&amp;"_"&amp;TEXT(P$1,"yyyy")),MATCH(TRIM($A146),BS_Accounts,0))</f>
        <v>-1615659</v>
      </c>
      <c r="Q146" s="76">
        <f t="array" ref="Q146">INDEX(INDIRECT("BS_"&amp;TEXT(Q$1,"mmm")&amp;"_"&amp;TEXT(Q$1,"yyyy")),MATCH(TRIM($A146),BS_Accounts,0))</f>
        <v>-1615659</v>
      </c>
      <c r="R146" s="76">
        <f t="array" ref="R146">INDEX(INDIRECT("BS_"&amp;TEXT(R$1,"mmm")&amp;"_"&amp;TEXT(R$1,"yyyy")),MATCH(TRIM($A146),BS_Accounts,0))</f>
        <v>-1615659</v>
      </c>
      <c r="S146" s="76">
        <f t="array" ref="S146">INDEX(INDIRECT("BS_"&amp;TEXT(S$1,"mmm")&amp;"_"&amp;TEXT(S$1,"yyyy")),MATCH(TRIM($A146),BS_Accounts,0))</f>
        <v>-1615659</v>
      </c>
      <c r="T146" s="76">
        <f t="array" ref="T146">INDEX(INDIRECT("BS_"&amp;TEXT(T$1,"mmm")&amp;"_"&amp;TEXT(T$1,"yyyy")),MATCH(TRIM($A146),BS_Accounts,0))</f>
        <v>-1615659</v>
      </c>
      <c r="U146" s="76">
        <f t="array" ref="U146">INDEX(INDIRECT("BS_"&amp;TEXT(U$1,"mmm")&amp;"_"&amp;TEXT(U$1,"yyyy")),MATCH(TRIM($A146),BS_Accounts,0))</f>
        <v>-1615659</v>
      </c>
      <c r="V146" s="76">
        <f t="array" ref="V146">INDEX(INDIRECT("BS_"&amp;TEXT(V$1,"mmm")&amp;"_"&amp;TEXT(V$1,"yyyy")),MATCH(TRIM($A146),BS_Accounts,0))</f>
        <v>-1615659</v>
      </c>
      <c r="W146" s="76">
        <f t="array" ref="W146">INDEX(INDIRECT("BS_"&amp;TEXT(W$1,"mmm")&amp;"_"&amp;TEXT(W$1,"yyyy")),MATCH(TRIM($A146),BS_Accounts,0))</f>
        <v>-1615659</v>
      </c>
      <c r="X146" s="76">
        <f t="array" ref="X146">INDEX(INDIRECT("BS_"&amp;TEXT(X$1,"mmm")&amp;"_"&amp;TEXT(X$1,"yyyy")),MATCH(TRIM($A146),BS_Accounts,0))</f>
        <v>-1615659</v>
      </c>
      <c r="Y146" s="76">
        <f t="array" ref="Y146">INDEX(INDIRECT("BS_"&amp;TEXT(Y$1,"mmm")&amp;"_"&amp;TEXT(Y$1,"yyyy")),MATCH(TRIM($A146),BS_Accounts,0))</f>
        <v>-1615659</v>
      </c>
      <c r="Z146" s="76">
        <f t="array" ref="Z146">INDEX(INDIRECT("BS_"&amp;TEXT(Z$1,"mmm")&amp;"_"&amp;TEXT(Z$1,"yyyy")),MATCH(TRIM($A146),BS_Accounts,0))</f>
        <v>-1615659</v>
      </c>
      <c r="AA146" s="76">
        <f t="array" ref="AA146">INDEX(INDIRECT("BS_"&amp;TEXT(AA$1,"mmm")&amp;"_"&amp;TEXT(AA$1,"yyyy")),MATCH(TRIM($A146),BS_Accounts,0))</f>
        <v>-1615659</v>
      </c>
      <c r="AB146" s="76">
        <f t="array" ref="AB146">INDEX(INDIRECT("BS_"&amp;TEXT(AB$1,"mmm")&amp;"_"&amp;TEXT(AB$1,"yyyy")),MATCH(TRIM($A146),BS_Accounts,0))</f>
        <v>-2884910</v>
      </c>
      <c r="AC146" s="76">
        <f t="array" ref="AC146">INDEX(INDIRECT("BS_"&amp;TEXT(AC$1,"mmm")&amp;"_"&amp;TEXT(AC$1,"yyyy")),MATCH(TRIM($A146),BS_Accounts,0))</f>
        <v>-2884910</v>
      </c>
      <c r="AD146" s="76">
        <f t="array" ref="AD146">INDEX(INDIRECT("BS_"&amp;TEXT(AD$1,"mmm")&amp;"_"&amp;TEXT(AD$1,"yyyy")),MATCH(TRIM($A146),BS_Accounts,0))</f>
        <v>-2884910</v>
      </c>
      <c r="AE146" s="76">
        <f t="array" ref="AE146">INDEX(INDIRECT("BS_"&amp;TEXT(AE$1,"mmm")&amp;"_"&amp;TEXT(AE$1,"yyyy")),MATCH(TRIM($A146),BS_Accounts,0))</f>
        <v>-2884910</v>
      </c>
      <c r="AF146" s="96">
        <f t="shared" ref="AF146:BW146" si="72">$B146</f>
        <v>-2884910</v>
      </c>
      <c r="AG146" s="96">
        <f t="shared" si="72"/>
        <v>-2884910</v>
      </c>
      <c r="AH146" s="96">
        <f t="shared" si="72"/>
        <v>-2884910</v>
      </c>
      <c r="AI146" s="96">
        <f t="shared" si="72"/>
        <v>-2884910</v>
      </c>
      <c r="AJ146" s="96">
        <f t="shared" si="72"/>
        <v>-2884910</v>
      </c>
      <c r="AK146" s="96">
        <f t="shared" si="72"/>
        <v>-2884910</v>
      </c>
      <c r="AL146" s="96">
        <f t="shared" si="72"/>
        <v>-2884910</v>
      </c>
      <c r="AM146" s="96">
        <f t="shared" si="72"/>
        <v>-2884910</v>
      </c>
      <c r="AN146" s="96">
        <f t="shared" si="72"/>
        <v>-2884910</v>
      </c>
      <c r="AO146" s="96">
        <f t="shared" si="72"/>
        <v>-2884910</v>
      </c>
      <c r="AP146" s="96">
        <f t="shared" si="72"/>
        <v>-2884910</v>
      </c>
      <c r="AQ146" s="96">
        <f t="shared" si="72"/>
        <v>-2884910</v>
      </c>
      <c r="AR146" s="96">
        <f t="shared" si="72"/>
        <v>-2884910</v>
      </c>
      <c r="AS146" s="96">
        <f t="shared" si="72"/>
        <v>-2884910</v>
      </c>
      <c r="AT146" s="96">
        <f t="shared" si="72"/>
        <v>-2884910</v>
      </c>
      <c r="AU146" s="96">
        <f t="shared" si="72"/>
        <v>-2884910</v>
      </c>
      <c r="AV146" s="96">
        <f t="shared" si="72"/>
        <v>-2884910</v>
      </c>
      <c r="AW146" s="96">
        <f t="shared" si="72"/>
        <v>-2884910</v>
      </c>
      <c r="AX146" s="96">
        <f t="shared" si="72"/>
        <v>-2884910</v>
      </c>
      <c r="AY146" s="96">
        <f t="shared" si="72"/>
        <v>-2884910</v>
      </c>
      <c r="AZ146" s="96">
        <f t="shared" si="72"/>
        <v>-2884910</v>
      </c>
      <c r="BA146" s="96">
        <f t="shared" si="72"/>
        <v>-2884910</v>
      </c>
      <c r="BB146" s="96">
        <f t="shared" si="72"/>
        <v>-2884910</v>
      </c>
      <c r="BC146" s="96">
        <f t="shared" si="72"/>
        <v>-2884910</v>
      </c>
      <c r="BD146" s="96">
        <f t="shared" si="72"/>
        <v>-2884910</v>
      </c>
      <c r="BE146" s="96">
        <f t="shared" si="72"/>
        <v>-2884910</v>
      </c>
      <c r="BF146" s="96">
        <f t="shared" si="72"/>
        <v>-2884910</v>
      </c>
      <c r="BG146" s="96">
        <f t="shared" si="72"/>
        <v>-2884910</v>
      </c>
      <c r="BH146" s="96">
        <f t="shared" si="72"/>
        <v>-2884910</v>
      </c>
      <c r="BI146" s="96">
        <f t="shared" si="72"/>
        <v>-2884910</v>
      </c>
      <c r="BJ146" s="96">
        <f t="shared" si="72"/>
        <v>-2884910</v>
      </c>
      <c r="BK146" s="96">
        <f t="shared" si="72"/>
        <v>-2884910</v>
      </c>
      <c r="BL146" s="96">
        <f t="shared" si="72"/>
        <v>-2884910</v>
      </c>
      <c r="BM146" s="96">
        <f t="shared" si="72"/>
        <v>-2884910</v>
      </c>
      <c r="BN146" s="96">
        <f t="shared" si="72"/>
        <v>-2884910</v>
      </c>
      <c r="BO146" s="96">
        <f t="shared" si="72"/>
        <v>-2884910</v>
      </c>
      <c r="BP146" s="96">
        <f t="shared" si="72"/>
        <v>-2884910</v>
      </c>
      <c r="BQ146" s="96">
        <f t="shared" si="72"/>
        <v>-2884910</v>
      </c>
      <c r="BR146" s="96">
        <f t="shared" si="72"/>
        <v>-2884910</v>
      </c>
      <c r="BS146" s="96">
        <f t="shared" si="72"/>
        <v>-2884910</v>
      </c>
      <c r="BT146" s="96">
        <f t="shared" si="72"/>
        <v>-2884910</v>
      </c>
      <c r="BU146" s="96">
        <f t="shared" si="72"/>
        <v>-2884910</v>
      </c>
      <c r="BV146" s="96">
        <f t="shared" si="72"/>
        <v>-2884910</v>
      </c>
      <c r="BW146" s="96">
        <f t="shared" si="72"/>
        <v>-2884910</v>
      </c>
    </row>
    <row r="147" ht="15.75" customHeight="1">
      <c r="A147" s="1" t="s">
        <v>364</v>
      </c>
      <c r="B147" s="159"/>
      <c r="D147" s="76">
        <f t="array" ref="D147">INDEX(INDIRECT("BS_"&amp;TEXT(D$1,"mmm")&amp;"_"&amp;TEXT(D$1,"yyyy")),MATCH(TRIM($A147),BS_Accounts,0))</f>
        <v>-89438</v>
      </c>
      <c r="E147" s="76">
        <f t="array" ref="E147">INDEX(INDIRECT("BS_"&amp;TEXT(E$1,"mmm")&amp;"_"&amp;TEXT(E$1,"yyyy")),MATCH(TRIM($A147),BS_Accounts,0))</f>
        <v>-177562</v>
      </c>
      <c r="F147" s="76">
        <f t="array" ref="F147">INDEX(INDIRECT("BS_"&amp;TEXT(F$1,"mmm")&amp;"_"&amp;TEXT(F$1,"yyyy")),MATCH(TRIM($A147),BS_Accounts,0))</f>
        <v>-280518</v>
      </c>
      <c r="G147" s="76">
        <f t="array" ref="G147">INDEX(INDIRECT("BS_"&amp;TEXT(G$1,"mmm")&amp;"_"&amp;TEXT(G$1,"yyyy")),MATCH(TRIM($A147),BS_Accounts,0))</f>
        <v>-375113</v>
      </c>
      <c r="H147" s="76">
        <f t="array" ref="H147">INDEX(INDIRECT("BS_"&amp;TEXT(H$1,"mmm")&amp;"_"&amp;TEXT(H$1,"yyyy")),MATCH(TRIM($A147),BS_Accounts,0))</f>
        <v>-457178</v>
      </c>
      <c r="I147" s="76">
        <f t="array" ref="I147">INDEX(INDIRECT("BS_"&amp;TEXT(I$1,"mmm")&amp;"_"&amp;TEXT(I$1,"yyyy")),MATCH(TRIM($A147),BS_Accounts,0))</f>
        <v>-535310</v>
      </c>
      <c r="J147" s="76">
        <f t="array" ref="J147">INDEX(INDIRECT("BS_"&amp;TEXT(J$1,"mmm")&amp;"_"&amp;TEXT(J$1,"yyyy")),MATCH(TRIM($A147),BS_Accounts,0))</f>
        <v>-629355</v>
      </c>
      <c r="K147" s="76">
        <f t="array" ref="K147">INDEX(INDIRECT("BS_"&amp;TEXT(K$1,"mmm")&amp;"_"&amp;TEXT(K$1,"yyyy")),MATCH(TRIM($A147),BS_Accounts,0))</f>
        <v>-719121</v>
      </c>
      <c r="L147" s="76">
        <f t="array" ref="L147">INDEX(INDIRECT("BS_"&amp;TEXT(L$1,"mmm")&amp;"_"&amp;TEXT(L$1,"yyyy")),MATCH(TRIM($A147),BS_Accounts,0))</f>
        <v>-833566</v>
      </c>
      <c r="M147" s="76">
        <f t="array" ref="M147">INDEX(INDIRECT("BS_"&amp;TEXT(M$1,"mmm")&amp;"_"&amp;TEXT(M$1,"yyyy")),MATCH(TRIM($A147),BS_Accounts,0))</f>
        <v>-965447</v>
      </c>
      <c r="N147" s="76">
        <f t="array" ref="N147">INDEX(INDIRECT("BS_"&amp;TEXT(N$1,"mmm")&amp;"_"&amp;TEXT(N$1,"yyyy")),MATCH(TRIM($A147),BS_Accounts,0))</f>
        <v>-1106044</v>
      </c>
      <c r="O147" s="76">
        <f t="array" ref="O147">INDEX(INDIRECT("BS_"&amp;TEXT(O$1,"mmm")&amp;"_"&amp;TEXT(O$1,"yyyy")),MATCH(TRIM($A147),BS_Accounts,0))</f>
        <v>-1283238</v>
      </c>
      <c r="P147" s="76">
        <f t="array" ref="P147">INDEX(INDIRECT("BS_"&amp;TEXT(P$1,"mmm")&amp;"_"&amp;TEXT(P$1,"yyyy")),MATCH(TRIM($A147),BS_Accounts,0))</f>
        <v>-177124</v>
      </c>
      <c r="Q147" s="76">
        <f t="array" ref="Q147">INDEX(INDIRECT("BS_"&amp;TEXT(Q$1,"mmm")&amp;"_"&amp;TEXT(Q$1,"yyyy")),MATCH(TRIM($A147),BS_Accounts,0))</f>
        <v>-366699</v>
      </c>
      <c r="R147" s="76">
        <f t="array" ref="R147">INDEX(INDIRECT("BS_"&amp;TEXT(R$1,"mmm")&amp;"_"&amp;TEXT(R$1,"yyyy")),MATCH(TRIM($A147),BS_Accounts,0))</f>
        <v>-550830</v>
      </c>
      <c r="S147" s="76">
        <f t="array" ref="S147">INDEX(INDIRECT("BS_"&amp;TEXT(S$1,"mmm")&amp;"_"&amp;TEXT(S$1,"yyyy")),MATCH(TRIM($A147),BS_Accounts,0))</f>
        <v>-679771</v>
      </c>
      <c r="T147" s="76">
        <f t="array" ref="T147">INDEX(INDIRECT("BS_"&amp;TEXT(T$1,"mmm")&amp;"_"&amp;TEXT(T$1,"yyyy")),MATCH(TRIM($A147),BS_Accounts,0))</f>
        <v>-831525</v>
      </c>
      <c r="U147" s="76">
        <f t="array" ref="U147">INDEX(INDIRECT("BS_"&amp;TEXT(U$1,"mmm")&amp;"_"&amp;TEXT(U$1,"yyyy")),MATCH(TRIM($A147),BS_Accounts,0))</f>
        <v>-953808</v>
      </c>
      <c r="V147" s="76">
        <f t="array" ref="V147">INDEX(INDIRECT("BS_"&amp;TEXT(V$1,"mmm")&amp;"_"&amp;TEXT(V$1,"yyyy")),MATCH(TRIM($A147),BS_Accounts,0))</f>
        <v>-1056282</v>
      </c>
      <c r="W147" s="76">
        <f t="array" ref="W147">INDEX(INDIRECT("BS_"&amp;TEXT(W$1,"mmm")&amp;"_"&amp;TEXT(W$1,"yyyy")),MATCH(TRIM($A147),BS_Accounts,0))</f>
        <v>-1138777</v>
      </c>
      <c r="X147" s="76">
        <f t="array" ref="X147">INDEX(INDIRECT("BS_"&amp;TEXT(X$1,"mmm")&amp;"_"&amp;TEXT(X$1,"yyyy")),MATCH(TRIM($A147),BS_Accounts,0))</f>
        <v>-1198815</v>
      </c>
      <c r="Y147" s="76">
        <f t="array" ref="Y147">INDEX(INDIRECT("BS_"&amp;TEXT(Y$1,"mmm")&amp;"_"&amp;TEXT(Y$1,"yyyy")),MATCH(TRIM($A147),BS_Accounts,0))</f>
        <v>-1226135</v>
      </c>
      <c r="Z147" s="76">
        <f t="array" ref="Z147">INDEX(INDIRECT("BS_"&amp;TEXT(Z$1,"mmm")&amp;"_"&amp;TEXT(Z$1,"yyyy")),MATCH(TRIM($A147),BS_Accounts,0))</f>
        <v>-1245040</v>
      </c>
      <c r="AA147" s="76">
        <f t="array" ref="AA147">INDEX(INDIRECT("BS_"&amp;TEXT(AA$1,"mmm")&amp;"_"&amp;TEXT(AA$1,"yyyy")),MATCH(TRIM($A147),BS_Accounts,0))</f>
        <v>-1269251</v>
      </c>
      <c r="AB147" s="76">
        <f t="array" ref="AB147">INDEX(INDIRECT("BS_"&amp;TEXT(AB$1,"mmm")&amp;"_"&amp;TEXT(AB$1,"yyyy")),MATCH(TRIM($A147),BS_Accounts,0))</f>
        <v>-13824</v>
      </c>
      <c r="AC147" s="76">
        <f t="array" ref="AC147">INDEX(INDIRECT("BS_"&amp;TEXT(AC$1,"mmm")&amp;"_"&amp;TEXT(AC$1,"yyyy")),MATCH(TRIM($A147),BS_Accounts,0))</f>
        <v>-39993</v>
      </c>
      <c r="AD147" s="76">
        <f t="array" ref="AD147">INDEX(INDIRECT("BS_"&amp;TEXT(AD$1,"mmm")&amp;"_"&amp;TEXT(AD$1,"yyyy")),MATCH(TRIM($A147),BS_Accounts,0))</f>
        <v>-31585.81</v>
      </c>
      <c r="AE147" s="76">
        <f t="array" ref="AE147">INDEX(INDIRECT("BS_"&amp;TEXT(AE$1,"mmm")&amp;"_"&amp;TEXT(AE$1,"yyyy")),MATCH(TRIM($A147),BS_Accounts,0))</f>
        <v>-31702.81</v>
      </c>
      <c r="AF147" s="76" t="str">
        <f t="shared" ref="AF147:BW147" si="73">AE147+AF97</f>
        <v>#NAME?</v>
      </c>
      <c r="AG147" s="76" t="str">
        <f t="shared" si="73"/>
        <v>#NAME?</v>
      </c>
      <c r="AH147" s="76" t="str">
        <f t="shared" si="73"/>
        <v>#NAME?</v>
      </c>
      <c r="AI147" s="76" t="str">
        <f t="shared" si="73"/>
        <v>#NAME?</v>
      </c>
      <c r="AJ147" s="76" t="str">
        <f t="shared" si="73"/>
        <v>#NAME?</v>
      </c>
      <c r="AK147" s="76" t="str">
        <f t="shared" si="73"/>
        <v>#NAME?</v>
      </c>
      <c r="AL147" s="76" t="str">
        <f t="shared" si="73"/>
        <v>#NAME?</v>
      </c>
      <c r="AM147" s="76" t="str">
        <f t="shared" si="73"/>
        <v>#NAME?</v>
      </c>
      <c r="AN147" s="76" t="str">
        <f t="shared" si="73"/>
        <v>#NAME?</v>
      </c>
      <c r="AO147" s="76" t="str">
        <f t="shared" si="73"/>
        <v>#NAME?</v>
      </c>
      <c r="AP147" s="76" t="str">
        <f t="shared" si="73"/>
        <v>#NAME?</v>
      </c>
      <c r="AQ147" s="76" t="str">
        <f t="shared" si="73"/>
        <v>#NAME?</v>
      </c>
      <c r="AR147" s="76" t="str">
        <f t="shared" si="73"/>
        <v>#NAME?</v>
      </c>
      <c r="AS147" s="76" t="str">
        <f t="shared" si="73"/>
        <v>#NAME?</v>
      </c>
      <c r="AT147" s="76" t="str">
        <f t="shared" si="73"/>
        <v>#NAME?</v>
      </c>
      <c r="AU147" s="76" t="str">
        <f t="shared" si="73"/>
        <v>#NAME?</v>
      </c>
      <c r="AV147" s="76" t="str">
        <f t="shared" si="73"/>
        <v>#NAME?</v>
      </c>
      <c r="AW147" s="76" t="str">
        <f t="shared" si="73"/>
        <v>#NAME?</v>
      </c>
      <c r="AX147" s="76" t="str">
        <f t="shared" si="73"/>
        <v>#NAME?</v>
      </c>
      <c r="AY147" s="76" t="str">
        <f t="shared" si="73"/>
        <v>#NAME?</v>
      </c>
      <c r="AZ147" s="76" t="str">
        <f t="shared" si="73"/>
        <v>#NAME?</v>
      </c>
      <c r="BA147" s="76" t="str">
        <f t="shared" si="73"/>
        <v>#NAME?</v>
      </c>
      <c r="BB147" s="76" t="str">
        <f t="shared" si="73"/>
        <v>#NAME?</v>
      </c>
      <c r="BC147" s="76" t="str">
        <f t="shared" si="73"/>
        <v>#NAME?</v>
      </c>
      <c r="BD147" s="76" t="str">
        <f t="shared" si="73"/>
        <v>#NAME?</v>
      </c>
      <c r="BE147" s="76" t="str">
        <f t="shared" si="73"/>
        <v>#NAME?</v>
      </c>
      <c r="BF147" s="76" t="str">
        <f t="shared" si="73"/>
        <v>#NAME?</v>
      </c>
      <c r="BG147" s="76" t="str">
        <f t="shared" si="73"/>
        <v>#NAME?</v>
      </c>
      <c r="BH147" s="76" t="str">
        <f t="shared" si="73"/>
        <v>#NAME?</v>
      </c>
      <c r="BI147" s="76" t="str">
        <f t="shared" si="73"/>
        <v>#NAME?</v>
      </c>
      <c r="BJ147" s="76" t="str">
        <f t="shared" si="73"/>
        <v>#NAME?</v>
      </c>
      <c r="BK147" s="76" t="str">
        <f t="shared" si="73"/>
        <v>#NAME?</v>
      </c>
      <c r="BL147" s="76" t="str">
        <f t="shared" si="73"/>
        <v>#NAME?</v>
      </c>
      <c r="BM147" s="76" t="str">
        <f t="shared" si="73"/>
        <v>#NAME?</v>
      </c>
      <c r="BN147" s="76" t="str">
        <f t="shared" si="73"/>
        <v>#NAME?</v>
      </c>
      <c r="BO147" s="76" t="str">
        <f t="shared" si="73"/>
        <v>#NAME?</v>
      </c>
      <c r="BP147" s="76" t="str">
        <f t="shared" si="73"/>
        <v>#NAME?</v>
      </c>
      <c r="BQ147" s="76" t="str">
        <f t="shared" si="73"/>
        <v>#NAME?</v>
      </c>
      <c r="BR147" s="76" t="str">
        <f t="shared" si="73"/>
        <v>#NAME?</v>
      </c>
      <c r="BS147" s="76" t="str">
        <f t="shared" si="73"/>
        <v>#NAME?</v>
      </c>
      <c r="BT147" s="76" t="str">
        <f t="shared" si="73"/>
        <v>#NAME?</v>
      </c>
      <c r="BU147" s="76" t="str">
        <f t="shared" si="73"/>
        <v>#NAME?</v>
      </c>
      <c r="BV147" s="76" t="str">
        <f t="shared" si="73"/>
        <v>#NAME?</v>
      </c>
      <c r="BW147" s="76" t="str">
        <f t="shared" si="73"/>
        <v>#NAME?</v>
      </c>
    </row>
    <row r="148" ht="15.75" customHeight="1">
      <c r="A148" s="21" t="s">
        <v>365</v>
      </c>
      <c r="B148" s="163"/>
      <c r="C148" s="21"/>
      <c r="D148" s="147">
        <f t="shared" ref="D148:BW148" si="74">SUM(D144:D147)</f>
        <v>-89438</v>
      </c>
      <c r="E148" s="147">
        <f t="shared" si="74"/>
        <v>-177562</v>
      </c>
      <c r="F148" s="147">
        <f t="shared" si="74"/>
        <v>-280518</v>
      </c>
      <c r="G148" s="147">
        <f t="shared" si="74"/>
        <v>-375113</v>
      </c>
      <c r="H148" s="147">
        <f t="shared" si="74"/>
        <v>-457178</v>
      </c>
      <c r="I148" s="147">
        <f t="shared" si="74"/>
        <v>-535310</v>
      </c>
      <c r="J148" s="147">
        <f t="shared" si="74"/>
        <v>-629355</v>
      </c>
      <c r="K148" s="147">
        <f t="shared" si="74"/>
        <v>-719121</v>
      </c>
      <c r="L148" s="147">
        <f t="shared" si="74"/>
        <v>-833566</v>
      </c>
      <c r="M148" s="147">
        <f t="shared" si="74"/>
        <v>-965447</v>
      </c>
      <c r="N148" s="147">
        <f t="shared" si="74"/>
        <v>-1106044</v>
      </c>
      <c r="O148" s="147">
        <f t="shared" si="74"/>
        <v>-1283238</v>
      </c>
      <c r="P148" s="147">
        <f t="shared" si="74"/>
        <v>-1460362</v>
      </c>
      <c r="Q148" s="147">
        <f t="shared" si="74"/>
        <v>-1649937</v>
      </c>
      <c r="R148" s="147">
        <f t="shared" si="74"/>
        <v>-1834068</v>
      </c>
      <c r="S148" s="147">
        <f t="shared" si="74"/>
        <v>-1963009</v>
      </c>
      <c r="T148" s="147">
        <f t="shared" si="74"/>
        <v>-2114763</v>
      </c>
      <c r="U148" s="147">
        <f t="shared" si="74"/>
        <v>-2237046</v>
      </c>
      <c r="V148" s="147">
        <f t="shared" si="74"/>
        <v>-2339520</v>
      </c>
      <c r="W148" s="147">
        <f t="shared" si="74"/>
        <v>-2422015</v>
      </c>
      <c r="X148" s="147">
        <f t="shared" si="74"/>
        <v>-2482053</v>
      </c>
      <c r="Y148" s="147">
        <f t="shared" si="74"/>
        <v>-2509373</v>
      </c>
      <c r="Z148" s="147">
        <f t="shared" si="74"/>
        <v>-2528278</v>
      </c>
      <c r="AA148" s="147">
        <f t="shared" si="74"/>
        <v>-2552489</v>
      </c>
      <c r="AB148" s="147">
        <f t="shared" si="74"/>
        <v>-2566313</v>
      </c>
      <c r="AC148" s="147">
        <f t="shared" si="74"/>
        <v>-2592482</v>
      </c>
      <c r="AD148" s="147">
        <f t="shared" si="74"/>
        <v>-2584074.81</v>
      </c>
      <c r="AE148" s="147">
        <f t="shared" si="74"/>
        <v>-2584191.81</v>
      </c>
      <c r="AF148" s="157" t="str">
        <f t="shared" si="74"/>
        <v>#NAME?</v>
      </c>
      <c r="AG148" s="157" t="str">
        <f t="shared" si="74"/>
        <v>#NAME?</v>
      </c>
      <c r="AH148" s="157" t="str">
        <f t="shared" si="74"/>
        <v>#NAME?</v>
      </c>
      <c r="AI148" s="157" t="str">
        <f t="shared" si="74"/>
        <v>#NAME?</v>
      </c>
      <c r="AJ148" s="157" t="str">
        <f t="shared" si="74"/>
        <v>#NAME?</v>
      </c>
      <c r="AK148" s="157" t="str">
        <f t="shared" si="74"/>
        <v>#NAME?</v>
      </c>
      <c r="AL148" s="157" t="str">
        <f t="shared" si="74"/>
        <v>#NAME?</v>
      </c>
      <c r="AM148" s="157" t="str">
        <f t="shared" si="74"/>
        <v>#NAME?</v>
      </c>
      <c r="AN148" s="157" t="str">
        <f t="shared" si="74"/>
        <v>#NAME?</v>
      </c>
      <c r="AO148" s="157" t="str">
        <f t="shared" si="74"/>
        <v>#NAME?</v>
      </c>
      <c r="AP148" s="157" t="str">
        <f t="shared" si="74"/>
        <v>#NAME?</v>
      </c>
      <c r="AQ148" s="157" t="str">
        <f t="shared" si="74"/>
        <v>#NAME?</v>
      </c>
      <c r="AR148" s="157" t="str">
        <f t="shared" si="74"/>
        <v>#NAME?</v>
      </c>
      <c r="AS148" s="157" t="str">
        <f t="shared" si="74"/>
        <v>#NAME?</v>
      </c>
      <c r="AT148" s="157" t="str">
        <f t="shared" si="74"/>
        <v>#NAME?</v>
      </c>
      <c r="AU148" s="157" t="str">
        <f t="shared" si="74"/>
        <v>#NAME?</v>
      </c>
      <c r="AV148" s="157" t="str">
        <f t="shared" si="74"/>
        <v>#NAME?</v>
      </c>
      <c r="AW148" s="157" t="str">
        <f t="shared" si="74"/>
        <v>#NAME?</v>
      </c>
      <c r="AX148" s="157" t="str">
        <f t="shared" si="74"/>
        <v>#NAME?</v>
      </c>
      <c r="AY148" s="157" t="str">
        <f t="shared" si="74"/>
        <v>#NAME?</v>
      </c>
      <c r="AZ148" s="157" t="str">
        <f t="shared" si="74"/>
        <v>#NAME?</v>
      </c>
      <c r="BA148" s="157" t="str">
        <f t="shared" si="74"/>
        <v>#NAME?</v>
      </c>
      <c r="BB148" s="157" t="str">
        <f t="shared" si="74"/>
        <v>#NAME?</v>
      </c>
      <c r="BC148" s="157" t="str">
        <f t="shared" si="74"/>
        <v>#NAME?</v>
      </c>
      <c r="BD148" s="157" t="str">
        <f t="shared" si="74"/>
        <v>#NAME?</v>
      </c>
      <c r="BE148" s="157" t="str">
        <f t="shared" si="74"/>
        <v>#NAME?</v>
      </c>
      <c r="BF148" s="157" t="str">
        <f t="shared" si="74"/>
        <v>#NAME?</v>
      </c>
      <c r="BG148" s="157" t="str">
        <f t="shared" si="74"/>
        <v>#NAME?</v>
      </c>
      <c r="BH148" s="157" t="str">
        <f t="shared" si="74"/>
        <v>#NAME?</v>
      </c>
      <c r="BI148" s="157" t="str">
        <f t="shared" si="74"/>
        <v>#NAME?</v>
      </c>
      <c r="BJ148" s="157" t="str">
        <f t="shared" si="74"/>
        <v>#NAME?</v>
      </c>
      <c r="BK148" s="157" t="str">
        <f t="shared" si="74"/>
        <v>#NAME?</v>
      </c>
      <c r="BL148" s="157" t="str">
        <f t="shared" si="74"/>
        <v>#NAME?</v>
      </c>
      <c r="BM148" s="157" t="str">
        <f t="shared" si="74"/>
        <v>#NAME?</v>
      </c>
      <c r="BN148" s="157" t="str">
        <f t="shared" si="74"/>
        <v>#NAME?</v>
      </c>
      <c r="BO148" s="157" t="str">
        <f t="shared" si="74"/>
        <v>#NAME?</v>
      </c>
      <c r="BP148" s="157" t="str">
        <f t="shared" si="74"/>
        <v>#NAME?</v>
      </c>
      <c r="BQ148" s="157" t="str">
        <f t="shared" si="74"/>
        <v>#NAME?</v>
      </c>
      <c r="BR148" s="157" t="str">
        <f t="shared" si="74"/>
        <v>#NAME?</v>
      </c>
      <c r="BS148" s="157" t="str">
        <f t="shared" si="74"/>
        <v>#NAME?</v>
      </c>
      <c r="BT148" s="157" t="str">
        <f t="shared" si="74"/>
        <v>#NAME?</v>
      </c>
      <c r="BU148" s="157" t="str">
        <f t="shared" si="74"/>
        <v>#NAME?</v>
      </c>
      <c r="BV148" s="157" t="str">
        <f t="shared" si="74"/>
        <v>#NAME?</v>
      </c>
      <c r="BW148" s="157" t="str">
        <f t="shared" si="74"/>
        <v>#NAME?</v>
      </c>
    </row>
    <row r="149" ht="15.75" customHeight="1">
      <c r="A149" s="31" t="s">
        <v>244</v>
      </c>
      <c r="B149" s="159"/>
      <c r="D149" s="76">
        <f t="array" ref="D149">INDEX(INDIRECT("BS_"&amp;TEXT(D$1,"mmm")&amp;"_"&amp;TEXT(D$1,"yyyy")),MATCH(TRIM($A148),BS_Accounts,0))-D148</f>
        <v>0</v>
      </c>
      <c r="E149" s="76">
        <f t="array" ref="E149">INDEX(INDIRECT("BS_"&amp;TEXT(E$1,"mmm")&amp;"_"&amp;TEXT(E$1,"yyyy")),MATCH(TRIM($A148),BS_Accounts,0))-E148</f>
        <v>0</v>
      </c>
      <c r="F149" s="76">
        <f t="array" ref="F149">INDEX(INDIRECT("BS_"&amp;TEXT(F$1,"mmm")&amp;"_"&amp;TEXT(F$1,"yyyy")),MATCH(TRIM($A148),BS_Accounts,0))-F148</f>
        <v>0</v>
      </c>
      <c r="G149" s="76">
        <f t="array" ref="G149">INDEX(INDIRECT("BS_"&amp;TEXT(G$1,"mmm")&amp;"_"&amp;TEXT(G$1,"yyyy")),MATCH(TRIM($A148),BS_Accounts,0))-G148</f>
        <v>0</v>
      </c>
      <c r="H149" s="76">
        <f t="array" ref="H149">INDEX(INDIRECT("BS_"&amp;TEXT(H$1,"mmm")&amp;"_"&amp;TEXT(H$1,"yyyy")),MATCH(TRIM($A148),BS_Accounts,0))-H148</f>
        <v>0</v>
      </c>
      <c r="I149" s="76">
        <f t="array" ref="I149">INDEX(INDIRECT("BS_"&amp;TEXT(I$1,"mmm")&amp;"_"&amp;TEXT(I$1,"yyyy")),MATCH(TRIM($A148),BS_Accounts,0))-I148</f>
        <v>0</v>
      </c>
      <c r="J149" s="76">
        <f t="array" ref="J149">INDEX(INDIRECT("BS_"&amp;TEXT(J$1,"mmm")&amp;"_"&amp;TEXT(J$1,"yyyy")),MATCH(TRIM($A148),BS_Accounts,0))-J148</f>
        <v>0</v>
      </c>
      <c r="K149" s="76">
        <f t="array" ref="K149">INDEX(INDIRECT("BS_"&amp;TEXT(K$1,"mmm")&amp;"_"&amp;TEXT(K$1,"yyyy")),MATCH(TRIM($A148),BS_Accounts,0))-K148</f>
        <v>0</v>
      </c>
      <c r="L149" s="76">
        <f t="array" ref="L149">INDEX(INDIRECT("BS_"&amp;TEXT(L$1,"mmm")&amp;"_"&amp;TEXT(L$1,"yyyy")),MATCH(TRIM($A148),BS_Accounts,0))-L148</f>
        <v>0</v>
      </c>
      <c r="M149" s="76">
        <f t="array" ref="M149">INDEX(INDIRECT("BS_"&amp;TEXT(M$1,"mmm")&amp;"_"&amp;TEXT(M$1,"yyyy")),MATCH(TRIM($A148),BS_Accounts,0))-M148</f>
        <v>0</v>
      </c>
      <c r="N149" s="76">
        <f t="array" ref="N149">INDEX(INDIRECT("BS_"&amp;TEXT(N$1,"mmm")&amp;"_"&amp;TEXT(N$1,"yyyy")),MATCH(TRIM($A148),BS_Accounts,0))-N148</f>
        <v>0</v>
      </c>
      <c r="O149" s="76">
        <f t="array" ref="O149">INDEX(INDIRECT("BS_"&amp;TEXT(O$1,"mmm")&amp;"_"&amp;TEXT(O$1,"yyyy")),MATCH(TRIM($A148),BS_Accounts,0))-O148</f>
        <v>0</v>
      </c>
      <c r="P149" s="76">
        <f t="array" ref="P149">INDEX(INDIRECT("BS_"&amp;TEXT(P$1,"mmm")&amp;"_"&amp;TEXT(P$1,"yyyy")),MATCH(TRIM($A148),BS_Accounts,0))-P148</f>
        <v>0</v>
      </c>
      <c r="Q149" s="76">
        <f t="array" ref="Q149">INDEX(INDIRECT("BS_"&amp;TEXT(Q$1,"mmm")&amp;"_"&amp;TEXT(Q$1,"yyyy")),MATCH(TRIM($A148),BS_Accounts,0))-Q148</f>
        <v>0</v>
      </c>
      <c r="R149" s="76">
        <f t="array" ref="R149">INDEX(INDIRECT("BS_"&amp;TEXT(R$1,"mmm")&amp;"_"&amp;TEXT(R$1,"yyyy")),MATCH(TRIM($A148),BS_Accounts,0))-R148</f>
        <v>0</v>
      </c>
      <c r="S149" s="76">
        <f t="array" ref="S149">INDEX(INDIRECT("BS_"&amp;TEXT(S$1,"mmm")&amp;"_"&amp;TEXT(S$1,"yyyy")),MATCH(TRIM($A148),BS_Accounts,0))-S148</f>
        <v>0</v>
      </c>
      <c r="T149" s="76">
        <f t="array" ref="T149">INDEX(INDIRECT("BS_"&amp;TEXT(T$1,"mmm")&amp;"_"&amp;TEXT(T$1,"yyyy")),MATCH(TRIM($A148),BS_Accounts,0))-T148</f>
        <v>0</v>
      </c>
      <c r="U149" s="76">
        <f t="array" ref="U149">INDEX(INDIRECT("BS_"&amp;TEXT(U$1,"mmm")&amp;"_"&amp;TEXT(U$1,"yyyy")),MATCH(TRIM($A148),BS_Accounts,0))-U148</f>
        <v>0</v>
      </c>
      <c r="V149" s="76">
        <f t="array" ref="V149">INDEX(INDIRECT("BS_"&amp;TEXT(V$1,"mmm")&amp;"_"&amp;TEXT(V$1,"yyyy")),MATCH(TRIM($A148),BS_Accounts,0))-V148</f>
        <v>0</v>
      </c>
      <c r="W149" s="76">
        <f t="array" ref="W149">INDEX(INDIRECT("BS_"&amp;TEXT(W$1,"mmm")&amp;"_"&amp;TEXT(W$1,"yyyy")),MATCH(TRIM($A148),BS_Accounts,0))-W148</f>
        <v>0</v>
      </c>
      <c r="X149" s="76">
        <f t="array" ref="X149">INDEX(INDIRECT("BS_"&amp;TEXT(X$1,"mmm")&amp;"_"&amp;TEXT(X$1,"yyyy")),MATCH(TRIM($A148),BS_Accounts,0))-X148</f>
        <v>0</v>
      </c>
      <c r="Y149" s="76">
        <f t="array" ref="Y149">INDEX(INDIRECT("BS_"&amp;TEXT(Y$1,"mmm")&amp;"_"&amp;TEXT(Y$1,"yyyy")),MATCH(TRIM($A148),BS_Accounts,0))-Y148</f>
        <v>0</v>
      </c>
      <c r="Z149" s="76">
        <f t="array" ref="Z149">INDEX(INDIRECT("BS_"&amp;TEXT(Z$1,"mmm")&amp;"_"&amp;TEXT(Z$1,"yyyy")),MATCH(TRIM($A148),BS_Accounts,0))-Z148</f>
        <v>0</v>
      </c>
      <c r="AA149" s="76">
        <f t="array" ref="AA149">INDEX(INDIRECT("BS_"&amp;TEXT(AA$1,"mmm")&amp;"_"&amp;TEXT(AA$1,"yyyy")),MATCH(TRIM($A148),BS_Accounts,0))-AA148</f>
        <v>0</v>
      </c>
      <c r="AB149" s="76">
        <f t="array" ref="AB149">INDEX(INDIRECT("BS_"&amp;TEXT(AB$1,"mmm")&amp;"_"&amp;TEXT(AB$1,"yyyy")),MATCH(TRIM($A148),BS_Accounts,0))-AB148</f>
        <v>0</v>
      </c>
      <c r="AC149" s="76">
        <f t="array" ref="AC149">INDEX(INDIRECT("BS_"&amp;TEXT(AC$1,"mmm")&amp;"_"&amp;TEXT(AC$1,"yyyy")),MATCH(TRIM($A148),BS_Accounts,0))-AC148</f>
        <v>0</v>
      </c>
      <c r="AD149" s="76">
        <f t="array" ref="AD149">INDEX(INDIRECT("BS_"&amp;TEXT(AD$1,"mmm")&amp;"_"&amp;TEXT(AD$1,"yyyy")),MATCH(TRIM($A148),BS_Accounts,0))-AD148</f>
        <v>0</v>
      </c>
      <c r="AE149" s="76">
        <f t="array" ref="AE149">INDEX(INDIRECT("BS_"&amp;TEXT(AE$1,"mmm")&amp;"_"&amp;TEXT(AE$1,"yyyy")),MATCH(TRIM($A148),BS_Accounts,0))-AE148</f>
        <v>0</v>
      </c>
    </row>
    <row r="150" ht="15.75" customHeight="1">
      <c r="A150" s="21" t="s">
        <v>366</v>
      </c>
      <c r="B150" s="163"/>
      <c r="C150" s="21"/>
      <c r="D150" s="147">
        <f t="shared" ref="D150:BW150" si="75">SUM(D148,D141)</f>
        <v>960680</v>
      </c>
      <c r="E150" s="147">
        <f t="shared" si="75"/>
        <v>970330</v>
      </c>
      <c r="F150" s="147">
        <f t="shared" si="75"/>
        <v>867374</v>
      </c>
      <c r="G150" s="147">
        <f t="shared" si="75"/>
        <v>772779</v>
      </c>
      <c r="H150" s="147">
        <f t="shared" si="75"/>
        <v>690714</v>
      </c>
      <c r="I150" s="147">
        <f t="shared" si="75"/>
        <v>612582</v>
      </c>
      <c r="J150" s="147">
        <f t="shared" si="75"/>
        <v>518537</v>
      </c>
      <c r="K150" s="147">
        <f t="shared" si="75"/>
        <v>428771</v>
      </c>
      <c r="L150" s="147">
        <f t="shared" si="75"/>
        <v>314326</v>
      </c>
      <c r="M150" s="147">
        <f t="shared" si="75"/>
        <v>782445</v>
      </c>
      <c r="N150" s="147">
        <f t="shared" si="75"/>
        <v>641848</v>
      </c>
      <c r="O150" s="147">
        <f t="shared" si="75"/>
        <v>464654</v>
      </c>
      <c r="P150" s="147">
        <f t="shared" si="75"/>
        <v>787530</v>
      </c>
      <c r="Q150" s="147">
        <f t="shared" si="75"/>
        <v>597955</v>
      </c>
      <c r="R150" s="147">
        <f t="shared" si="75"/>
        <v>413824</v>
      </c>
      <c r="S150" s="147">
        <f t="shared" si="75"/>
        <v>284883</v>
      </c>
      <c r="T150" s="147">
        <f t="shared" si="75"/>
        <v>433129</v>
      </c>
      <c r="U150" s="147">
        <f t="shared" si="75"/>
        <v>310846</v>
      </c>
      <c r="V150" s="147">
        <f t="shared" si="75"/>
        <v>208372</v>
      </c>
      <c r="W150" s="147">
        <f t="shared" si="75"/>
        <v>125877</v>
      </c>
      <c r="X150" s="147">
        <f t="shared" si="75"/>
        <v>65839</v>
      </c>
      <c r="Y150" s="147">
        <f t="shared" si="75"/>
        <v>338519</v>
      </c>
      <c r="Z150" s="147">
        <f t="shared" si="75"/>
        <v>319614</v>
      </c>
      <c r="AA150" s="147">
        <f t="shared" si="75"/>
        <v>295403</v>
      </c>
      <c r="AB150" s="147">
        <f t="shared" si="75"/>
        <v>281579</v>
      </c>
      <c r="AC150" s="147">
        <f t="shared" si="75"/>
        <v>255410</v>
      </c>
      <c r="AD150" s="147">
        <f t="shared" si="75"/>
        <v>263817.19</v>
      </c>
      <c r="AE150" s="147">
        <f t="shared" si="75"/>
        <v>263700.19</v>
      </c>
      <c r="AF150" s="147" t="str">
        <f t="shared" si="75"/>
        <v>#NAME?</v>
      </c>
      <c r="AG150" s="147" t="str">
        <f t="shared" si="75"/>
        <v>#NAME?</v>
      </c>
      <c r="AH150" s="147" t="str">
        <f t="shared" si="75"/>
        <v>#NAME?</v>
      </c>
      <c r="AI150" s="147" t="str">
        <f t="shared" si="75"/>
        <v>#NAME?</v>
      </c>
      <c r="AJ150" s="147" t="str">
        <f t="shared" si="75"/>
        <v>#NAME?</v>
      </c>
      <c r="AK150" s="147" t="str">
        <f t="shared" si="75"/>
        <v>#NAME?</v>
      </c>
      <c r="AL150" s="147" t="str">
        <f t="shared" si="75"/>
        <v>#NAME?</v>
      </c>
      <c r="AM150" s="147" t="str">
        <f t="shared" si="75"/>
        <v>#NAME?</v>
      </c>
      <c r="AN150" s="147" t="str">
        <f t="shared" si="75"/>
        <v>#NAME?</v>
      </c>
      <c r="AO150" s="147" t="str">
        <f t="shared" si="75"/>
        <v>#NAME?</v>
      </c>
      <c r="AP150" s="147" t="str">
        <f t="shared" si="75"/>
        <v>#NAME?</v>
      </c>
      <c r="AQ150" s="147" t="str">
        <f t="shared" si="75"/>
        <v>#NAME?</v>
      </c>
      <c r="AR150" s="147" t="str">
        <f t="shared" si="75"/>
        <v>#NAME?</v>
      </c>
      <c r="AS150" s="147" t="str">
        <f t="shared" si="75"/>
        <v>#NAME?</v>
      </c>
      <c r="AT150" s="147" t="str">
        <f t="shared" si="75"/>
        <v>#NAME?</v>
      </c>
      <c r="AU150" s="147" t="str">
        <f t="shared" si="75"/>
        <v>#NAME?</v>
      </c>
      <c r="AV150" s="147" t="str">
        <f t="shared" si="75"/>
        <v>#NAME?</v>
      </c>
      <c r="AW150" s="147" t="str">
        <f t="shared" si="75"/>
        <v>#NAME?</v>
      </c>
      <c r="AX150" s="147" t="str">
        <f t="shared" si="75"/>
        <v>#NAME?</v>
      </c>
      <c r="AY150" s="147" t="str">
        <f t="shared" si="75"/>
        <v>#NAME?</v>
      </c>
      <c r="AZ150" s="147" t="str">
        <f t="shared" si="75"/>
        <v>#NAME?</v>
      </c>
      <c r="BA150" s="147" t="str">
        <f t="shared" si="75"/>
        <v>#NAME?</v>
      </c>
      <c r="BB150" s="147" t="str">
        <f t="shared" si="75"/>
        <v>#NAME?</v>
      </c>
      <c r="BC150" s="147" t="str">
        <f t="shared" si="75"/>
        <v>#NAME?</v>
      </c>
      <c r="BD150" s="147" t="str">
        <f t="shared" si="75"/>
        <v>#NAME?</v>
      </c>
      <c r="BE150" s="147" t="str">
        <f t="shared" si="75"/>
        <v>#NAME?</v>
      </c>
      <c r="BF150" s="147" t="str">
        <f t="shared" si="75"/>
        <v>#NAME?</v>
      </c>
      <c r="BG150" s="147" t="str">
        <f t="shared" si="75"/>
        <v>#NAME?</v>
      </c>
      <c r="BH150" s="147" t="str">
        <f t="shared" si="75"/>
        <v>#NAME?</v>
      </c>
      <c r="BI150" s="147" t="str">
        <f t="shared" si="75"/>
        <v>#NAME?</v>
      </c>
      <c r="BJ150" s="147" t="str">
        <f t="shared" si="75"/>
        <v>#NAME?</v>
      </c>
      <c r="BK150" s="147" t="str">
        <f t="shared" si="75"/>
        <v>#NAME?</v>
      </c>
      <c r="BL150" s="147" t="str">
        <f t="shared" si="75"/>
        <v>#NAME?</v>
      </c>
      <c r="BM150" s="147" t="str">
        <f t="shared" si="75"/>
        <v>#NAME?</v>
      </c>
      <c r="BN150" s="147" t="str">
        <f t="shared" si="75"/>
        <v>#NAME?</v>
      </c>
      <c r="BO150" s="147" t="str">
        <f t="shared" si="75"/>
        <v>#NAME?</v>
      </c>
      <c r="BP150" s="147" t="str">
        <f t="shared" si="75"/>
        <v>#NAME?</v>
      </c>
      <c r="BQ150" s="147" t="str">
        <f t="shared" si="75"/>
        <v>#NAME?</v>
      </c>
      <c r="BR150" s="147" t="str">
        <f t="shared" si="75"/>
        <v>#NAME?</v>
      </c>
      <c r="BS150" s="147" t="str">
        <f t="shared" si="75"/>
        <v>#NAME?</v>
      </c>
      <c r="BT150" s="147" t="str">
        <f t="shared" si="75"/>
        <v>#NAME?</v>
      </c>
      <c r="BU150" s="147" t="str">
        <f t="shared" si="75"/>
        <v>#NAME?</v>
      </c>
      <c r="BV150" s="147" t="str">
        <f t="shared" si="75"/>
        <v>#NAME?</v>
      </c>
      <c r="BW150" s="147" t="str">
        <f t="shared" si="75"/>
        <v>#NAME?</v>
      </c>
    </row>
    <row r="151" ht="15.75" customHeight="1">
      <c r="A151" s="31" t="s">
        <v>244</v>
      </c>
      <c r="B151" s="159"/>
      <c r="D151" s="76">
        <f t="array" ref="D151">ROUND(INDEX(INDIRECT("BS_"&amp;TEXT(D$1,"mmm")&amp;"_"&amp;TEXT(D$1,"yyyy")),MATCH(TRIM($A150),BS_Accounts,0))-D150,2)</f>
        <v>0</v>
      </c>
      <c r="E151" s="76">
        <f t="array" ref="E151">ROUND(INDEX(INDIRECT("BS_"&amp;TEXT(E$1,"mmm")&amp;"_"&amp;TEXT(E$1,"yyyy")),MATCH(TRIM($A150),BS_Accounts,0))-E150,2)</f>
        <v>0</v>
      </c>
      <c r="F151" s="76">
        <f t="array" ref="F151">ROUND(INDEX(INDIRECT("BS_"&amp;TEXT(F$1,"mmm")&amp;"_"&amp;TEXT(F$1,"yyyy")),MATCH(TRIM($A150),BS_Accounts,0))-F150,2)</f>
        <v>0</v>
      </c>
      <c r="G151" s="76">
        <f t="array" ref="G151">ROUND(INDEX(INDIRECT("BS_"&amp;TEXT(G$1,"mmm")&amp;"_"&amp;TEXT(G$1,"yyyy")),MATCH(TRIM($A150),BS_Accounts,0))-G150,2)</f>
        <v>0</v>
      </c>
      <c r="H151" s="76">
        <f t="array" ref="H151">ROUND(INDEX(INDIRECT("BS_"&amp;TEXT(H$1,"mmm")&amp;"_"&amp;TEXT(H$1,"yyyy")),MATCH(TRIM($A150),BS_Accounts,0))-H150,2)</f>
        <v>0</v>
      </c>
      <c r="I151" s="76">
        <f t="array" ref="I151">ROUND(INDEX(INDIRECT("BS_"&amp;TEXT(I$1,"mmm")&amp;"_"&amp;TEXT(I$1,"yyyy")),MATCH(TRIM($A150),BS_Accounts,0))-I150,2)</f>
        <v>0</v>
      </c>
      <c r="J151" s="76">
        <f t="array" ref="J151">ROUND(INDEX(INDIRECT("BS_"&amp;TEXT(J$1,"mmm")&amp;"_"&amp;TEXT(J$1,"yyyy")),MATCH(TRIM($A150),BS_Accounts,0))-J150,2)</f>
        <v>0</v>
      </c>
      <c r="K151" s="76">
        <f t="array" ref="K151">ROUND(INDEX(INDIRECT("BS_"&amp;TEXT(K$1,"mmm")&amp;"_"&amp;TEXT(K$1,"yyyy")),MATCH(TRIM($A150),BS_Accounts,0))-K150,2)</f>
        <v>0</v>
      </c>
      <c r="L151" s="76">
        <f t="array" ref="L151">ROUND(INDEX(INDIRECT("BS_"&amp;TEXT(L$1,"mmm")&amp;"_"&amp;TEXT(L$1,"yyyy")),MATCH(TRIM($A150),BS_Accounts,0))-L150,2)</f>
        <v>0</v>
      </c>
      <c r="M151" s="76">
        <f t="array" ref="M151">ROUND(INDEX(INDIRECT("BS_"&amp;TEXT(M$1,"mmm")&amp;"_"&amp;TEXT(M$1,"yyyy")),MATCH(TRIM($A150),BS_Accounts,0))-M150,2)</f>
        <v>0</v>
      </c>
      <c r="N151" s="76">
        <f t="array" ref="N151">ROUND(INDEX(INDIRECT("BS_"&amp;TEXT(N$1,"mmm")&amp;"_"&amp;TEXT(N$1,"yyyy")),MATCH(TRIM($A150),BS_Accounts,0))-N150,2)</f>
        <v>0</v>
      </c>
      <c r="O151" s="76">
        <f t="array" ref="O151">ROUND(INDEX(INDIRECT("BS_"&amp;TEXT(O$1,"mmm")&amp;"_"&amp;TEXT(O$1,"yyyy")),MATCH(TRIM($A150),BS_Accounts,0))-O150,2)</f>
        <v>0</v>
      </c>
      <c r="P151" s="76">
        <f t="array" ref="P151">ROUND(INDEX(INDIRECT("BS_"&amp;TEXT(P$1,"mmm")&amp;"_"&amp;TEXT(P$1,"yyyy")),MATCH(TRIM($A150),BS_Accounts,0))-P150,2)</f>
        <v>0</v>
      </c>
      <c r="Q151" s="76">
        <f t="array" ref="Q151">ROUND(INDEX(INDIRECT("BS_"&amp;TEXT(Q$1,"mmm")&amp;"_"&amp;TEXT(Q$1,"yyyy")),MATCH(TRIM($A150),BS_Accounts,0))-Q150,2)</f>
        <v>0</v>
      </c>
      <c r="R151" s="76">
        <f t="array" ref="R151">ROUND(INDEX(INDIRECT("BS_"&amp;TEXT(R$1,"mmm")&amp;"_"&amp;TEXT(R$1,"yyyy")),MATCH(TRIM($A150),BS_Accounts,0))-R150,2)</f>
        <v>0</v>
      </c>
      <c r="S151" s="76">
        <f t="array" ref="S151">ROUND(INDEX(INDIRECT("BS_"&amp;TEXT(S$1,"mmm")&amp;"_"&amp;TEXT(S$1,"yyyy")),MATCH(TRIM($A150),BS_Accounts,0))-S150,2)</f>
        <v>0</v>
      </c>
      <c r="T151" s="76">
        <f t="array" ref="T151">ROUND(INDEX(INDIRECT("BS_"&amp;TEXT(T$1,"mmm")&amp;"_"&amp;TEXT(T$1,"yyyy")),MATCH(TRIM($A150),BS_Accounts,0))-T150,2)</f>
        <v>0</v>
      </c>
      <c r="U151" s="76">
        <f t="array" ref="U151">ROUND(INDEX(INDIRECT("BS_"&amp;TEXT(U$1,"mmm")&amp;"_"&amp;TEXT(U$1,"yyyy")),MATCH(TRIM($A150),BS_Accounts,0))-U150,2)</f>
        <v>0</v>
      </c>
      <c r="V151" s="76">
        <f t="array" ref="V151">ROUND(INDEX(INDIRECT("BS_"&amp;TEXT(V$1,"mmm")&amp;"_"&amp;TEXT(V$1,"yyyy")),MATCH(TRIM($A150),BS_Accounts,0))-V150,2)</f>
        <v>0</v>
      </c>
      <c r="W151" s="76">
        <f t="array" ref="W151">ROUND(INDEX(INDIRECT("BS_"&amp;TEXT(W$1,"mmm")&amp;"_"&amp;TEXT(W$1,"yyyy")),MATCH(TRIM($A150),BS_Accounts,0))-W150,2)</f>
        <v>0</v>
      </c>
      <c r="X151" s="76">
        <f t="array" ref="X151">ROUND(INDEX(INDIRECT("BS_"&amp;TEXT(X$1,"mmm")&amp;"_"&amp;TEXT(X$1,"yyyy")),MATCH(TRIM($A150),BS_Accounts,0))-X150,2)</f>
        <v>0</v>
      </c>
      <c r="Y151" s="76">
        <f t="array" ref="Y151">ROUND(INDEX(INDIRECT("BS_"&amp;TEXT(Y$1,"mmm")&amp;"_"&amp;TEXT(Y$1,"yyyy")),MATCH(TRIM($A150),BS_Accounts,0))-Y150,2)</f>
        <v>0</v>
      </c>
      <c r="Z151" s="76">
        <f t="array" ref="Z151">ROUND(INDEX(INDIRECT("BS_"&amp;TEXT(Z$1,"mmm")&amp;"_"&amp;TEXT(Z$1,"yyyy")),MATCH(TRIM($A150),BS_Accounts,0))-Z150,2)</f>
        <v>0</v>
      </c>
      <c r="AA151" s="76">
        <f t="array" ref="AA151">ROUND(INDEX(INDIRECT("BS_"&amp;TEXT(AA$1,"mmm")&amp;"_"&amp;TEXT(AA$1,"yyyy")),MATCH(TRIM($A150),BS_Accounts,0))-AA150,2)</f>
        <v>0</v>
      </c>
      <c r="AB151" s="76">
        <f t="array" ref="AB151">ROUND(INDEX(INDIRECT("BS_"&amp;TEXT(AB$1,"mmm")&amp;"_"&amp;TEXT(AB$1,"yyyy")),MATCH(TRIM($A150),BS_Accounts,0))-AB150,2)</f>
        <v>0</v>
      </c>
      <c r="AC151" s="76">
        <f t="array" ref="AC151">ROUND(INDEX(INDIRECT("BS_"&amp;TEXT(AC$1,"mmm")&amp;"_"&amp;TEXT(AC$1,"yyyy")),MATCH(TRIM($A150),BS_Accounts,0))-AC150,2)</f>
        <v>0</v>
      </c>
      <c r="AD151" s="76">
        <f t="array" ref="AD151">ROUND(INDEX(INDIRECT("BS_"&amp;TEXT(AD$1,"mmm")&amp;"_"&amp;TEXT(AD$1,"yyyy")),MATCH(TRIM($A150),BS_Accounts,0))-AD150,2)</f>
        <v>0</v>
      </c>
      <c r="AE151" s="76">
        <f t="array" ref="AE151">ROUND(INDEX(INDIRECT("BS_"&amp;TEXT(AE$1,"mmm")&amp;"_"&amp;TEXT(AE$1,"yyyy")),MATCH(TRIM($A150),BS_Accounts,0))-AE150,2)</f>
        <v>0</v>
      </c>
    </row>
    <row r="152" ht="15.75" customHeight="1">
      <c r="A152" s="31" t="s">
        <v>367</v>
      </c>
      <c r="B152" s="159"/>
      <c r="D152" s="76">
        <f t="shared" ref="D152:BW152" si="76">ROUND(D150-D119,2)</f>
        <v>0</v>
      </c>
      <c r="E152" s="76">
        <f t="shared" si="76"/>
        <v>0</v>
      </c>
      <c r="F152" s="76">
        <f t="shared" si="76"/>
        <v>0</v>
      </c>
      <c r="G152" s="76">
        <f t="shared" si="76"/>
        <v>0</v>
      </c>
      <c r="H152" s="76">
        <f t="shared" si="76"/>
        <v>0</v>
      </c>
      <c r="I152" s="76">
        <f t="shared" si="76"/>
        <v>0</v>
      </c>
      <c r="J152" s="76">
        <f t="shared" si="76"/>
        <v>0</v>
      </c>
      <c r="K152" s="76">
        <f t="shared" si="76"/>
        <v>0</v>
      </c>
      <c r="L152" s="76">
        <f t="shared" si="76"/>
        <v>0</v>
      </c>
      <c r="M152" s="76">
        <f t="shared" si="76"/>
        <v>0</v>
      </c>
      <c r="N152" s="76">
        <f t="shared" si="76"/>
        <v>0</v>
      </c>
      <c r="O152" s="76">
        <f t="shared" si="76"/>
        <v>0</v>
      </c>
      <c r="P152" s="76">
        <f t="shared" si="76"/>
        <v>0</v>
      </c>
      <c r="Q152" s="76">
        <f t="shared" si="76"/>
        <v>0</v>
      </c>
      <c r="R152" s="76">
        <f t="shared" si="76"/>
        <v>0</v>
      </c>
      <c r="S152" s="76">
        <f t="shared" si="76"/>
        <v>0</v>
      </c>
      <c r="T152" s="76">
        <f t="shared" si="76"/>
        <v>0</v>
      </c>
      <c r="U152" s="76">
        <f t="shared" si="76"/>
        <v>0</v>
      </c>
      <c r="V152" s="76">
        <f t="shared" si="76"/>
        <v>0</v>
      </c>
      <c r="W152" s="76">
        <f t="shared" si="76"/>
        <v>0</v>
      </c>
      <c r="X152" s="76">
        <f t="shared" si="76"/>
        <v>0</v>
      </c>
      <c r="Y152" s="76">
        <f t="shared" si="76"/>
        <v>0</v>
      </c>
      <c r="Z152" s="76">
        <f t="shared" si="76"/>
        <v>0</v>
      </c>
      <c r="AA152" s="76">
        <f t="shared" si="76"/>
        <v>0</v>
      </c>
      <c r="AB152" s="76">
        <f t="shared" si="76"/>
        <v>0</v>
      </c>
      <c r="AC152" s="76">
        <f t="shared" si="76"/>
        <v>0</v>
      </c>
      <c r="AD152" s="76">
        <f t="shared" si="76"/>
        <v>0</v>
      </c>
      <c r="AE152" s="76">
        <f t="shared" si="76"/>
        <v>0</v>
      </c>
      <c r="AF152" s="76" t="str">
        <f t="shared" si="76"/>
        <v>#NAME?</v>
      </c>
      <c r="AG152" s="76" t="str">
        <f t="shared" si="76"/>
        <v>#NAME?</v>
      </c>
      <c r="AH152" s="76" t="str">
        <f t="shared" si="76"/>
        <v>#NAME?</v>
      </c>
      <c r="AI152" s="76" t="str">
        <f t="shared" si="76"/>
        <v>#NAME?</v>
      </c>
      <c r="AJ152" s="76" t="str">
        <f t="shared" si="76"/>
        <v>#NAME?</v>
      </c>
      <c r="AK152" s="76" t="str">
        <f t="shared" si="76"/>
        <v>#NAME?</v>
      </c>
      <c r="AL152" s="76" t="str">
        <f t="shared" si="76"/>
        <v>#NAME?</v>
      </c>
      <c r="AM152" s="76" t="str">
        <f t="shared" si="76"/>
        <v>#NAME?</v>
      </c>
      <c r="AN152" s="76" t="str">
        <f t="shared" si="76"/>
        <v>#NAME?</v>
      </c>
      <c r="AO152" s="76" t="str">
        <f t="shared" si="76"/>
        <v>#NAME?</v>
      </c>
      <c r="AP152" s="76" t="str">
        <f t="shared" si="76"/>
        <v>#NAME?</v>
      </c>
      <c r="AQ152" s="76" t="str">
        <f t="shared" si="76"/>
        <v>#NAME?</v>
      </c>
      <c r="AR152" s="76" t="str">
        <f t="shared" si="76"/>
        <v>#NAME?</v>
      </c>
      <c r="AS152" s="76" t="str">
        <f t="shared" si="76"/>
        <v>#NAME?</v>
      </c>
      <c r="AT152" s="76" t="str">
        <f t="shared" si="76"/>
        <v>#NAME?</v>
      </c>
      <c r="AU152" s="76" t="str">
        <f t="shared" si="76"/>
        <v>#NAME?</v>
      </c>
      <c r="AV152" s="76" t="str">
        <f t="shared" si="76"/>
        <v>#NAME?</v>
      </c>
      <c r="AW152" s="76" t="str">
        <f t="shared" si="76"/>
        <v>#NAME?</v>
      </c>
      <c r="AX152" s="76" t="str">
        <f t="shared" si="76"/>
        <v>#NAME?</v>
      </c>
      <c r="AY152" s="76" t="str">
        <f t="shared" si="76"/>
        <v>#NAME?</v>
      </c>
      <c r="AZ152" s="76" t="str">
        <f t="shared" si="76"/>
        <v>#NAME?</v>
      </c>
      <c r="BA152" s="76" t="str">
        <f t="shared" si="76"/>
        <v>#NAME?</v>
      </c>
      <c r="BB152" s="76" t="str">
        <f t="shared" si="76"/>
        <v>#NAME?</v>
      </c>
      <c r="BC152" s="76" t="str">
        <f t="shared" si="76"/>
        <v>#NAME?</v>
      </c>
      <c r="BD152" s="76" t="str">
        <f t="shared" si="76"/>
        <v>#NAME?</v>
      </c>
      <c r="BE152" s="76" t="str">
        <f t="shared" si="76"/>
        <v>#NAME?</v>
      </c>
      <c r="BF152" s="76" t="str">
        <f t="shared" si="76"/>
        <v>#NAME?</v>
      </c>
      <c r="BG152" s="76" t="str">
        <f t="shared" si="76"/>
        <v>#NAME?</v>
      </c>
      <c r="BH152" s="76" t="str">
        <f t="shared" si="76"/>
        <v>#NAME?</v>
      </c>
      <c r="BI152" s="76" t="str">
        <f t="shared" si="76"/>
        <v>#NAME?</v>
      </c>
      <c r="BJ152" s="76" t="str">
        <f t="shared" si="76"/>
        <v>#NAME?</v>
      </c>
      <c r="BK152" s="76" t="str">
        <f t="shared" si="76"/>
        <v>#NAME?</v>
      </c>
      <c r="BL152" s="76" t="str">
        <f t="shared" si="76"/>
        <v>#NAME?</v>
      </c>
      <c r="BM152" s="76" t="str">
        <f t="shared" si="76"/>
        <v>#NAME?</v>
      </c>
      <c r="BN152" s="76" t="str">
        <f t="shared" si="76"/>
        <v>#NAME?</v>
      </c>
      <c r="BO152" s="76" t="str">
        <f t="shared" si="76"/>
        <v>#NAME?</v>
      </c>
      <c r="BP152" s="76" t="str">
        <f t="shared" si="76"/>
        <v>#NAME?</v>
      </c>
      <c r="BQ152" s="76" t="str">
        <f t="shared" si="76"/>
        <v>#NAME?</v>
      </c>
      <c r="BR152" s="76" t="str">
        <f t="shared" si="76"/>
        <v>#NAME?</v>
      </c>
      <c r="BS152" s="76" t="str">
        <f t="shared" si="76"/>
        <v>#NAME?</v>
      </c>
      <c r="BT152" s="76" t="str">
        <f t="shared" si="76"/>
        <v>#NAME?</v>
      </c>
      <c r="BU152" s="76" t="str">
        <f t="shared" si="76"/>
        <v>#NAME?</v>
      </c>
      <c r="BV152" s="76" t="str">
        <f t="shared" si="76"/>
        <v>#NAME?</v>
      </c>
      <c r="BW152" s="76" t="str">
        <f t="shared" si="76"/>
        <v>#NAME?</v>
      </c>
    </row>
    <row r="153" ht="15.75" customHeight="1">
      <c r="B153" s="159"/>
    </row>
    <row r="154" ht="15.75" customHeight="1">
      <c r="A154" s="7" t="s">
        <v>368</v>
      </c>
      <c r="B154" s="159"/>
    </row>
    <row r="155" ht="15.75" customHeight="1">
      <c r="A155" s="1" t="s">
        <v>369</v>
      </c>
      <c r="B155" s="159"/>
    </row>
    <row r="156" ht="15.75" customHeight="1">
      <c r="A156" s="1" t="s">
        <v>370</v>
      </c>
      <c r="B156" s="159"/>
      <c r="D156" s="96">
        <f t="shared" ref="D156:BW156" si="77">D$97</f>
        <v>-89438</v>
      </c>
      <c r="E156" s="96">
        <f t="shared" si="77"/>
        <v>-88124</v>
      </c>
      <c r="F156" s="96">
        <f t="shared" si="77"/>
        <v>-102956</v>
      </c>
      <c r="G156" s="96">
        <f t="shared" si="77"/>
        <v>-94595</v>
      </c>
      <c r="H156" s="96">
        <f t="shared" si="77"/>
        <v>-82065</v>
      </c>
      <c r="I156" s="96">
        <f t="shared" si="77"/>
        <v>-78132</v>
      </c>
      <c r="J156" s="96">
        <f t="shared" si="77"/>
        <v>-94045</v>
      </c>
      <c r="K156" s="96">
        <f t="shared" si="77"/>
        <v>-89766</v>
      </c>
      <c r="L156" s="96">
        <f t="shared" si="77"/>
        <v>-114445</v>
      </c>
      <c r="M156" s="96">
        <f t="shared" si="77"/>
        <v>-131881</v>
      </c>
      <c r="N156" s="96">
        <f t="shared" si="77"/>
        <v>-140597</v>
      </c>
      <c r="O156" s="96">
        <f t="shared" si="77"/>
        <v>-177194</v>
      </c>
      <c r="P156" s="96">
        <f t="shared" si="77"/>
        <v>-177124</v>
      </c>
      <c r="Q156" s="96">
        <f t="shared" si="77"/>
        <v>-189575</v>
      </c>
      <c r="R156" s="96">
        <f t="shared" si="77"/>
        <v>-184131</v>
      </c>
      <c r="S156" s="96">
        <f t="shared" si="77"/>
        <v>-128941</v>
      </c>
      <c r="T156" s="96">
        <f t="shared" si="77"/>
        <v>-151754</v>
      </c>
      <c r="U156" s="96">
        <f t="shared" si="77"/>
        <v>-122283</v>
      </c>
      <c r="V156" s="96">
        <f t="shared" si="77"/>
        <v>-102474</v>
      </c>
      <c r="W156" s="96">
        <f t="shared" si="77"/>
        <v>-82495</v>
      </c>
      <c r="X156" s="96">
        <f t="shared" si="77"/>
        <v>-60038</v>
      </c>
      <c r="Y156" s="96">
        <f t="shared" si="77"/>
        <v>-27320</v>
      </c>
      <c r="Z156" s="96">
        <f t="shared" si="77"/>
        <v>-18905</v>
      </c>
      <c r="AA156" s="96">
        <f t="shared" si="77"/>
        <v>-24211</v>
      </c>
      <c r="AB156" s="96">
        <f t="shared" si="77"/>
        <v>-13824</v>
      </c>
      <c r="AC156" s="96">
        <f t="shared" si="77"/>
        <v>-26169</v>
      </c>
      <c r="AD156" s="96">
        <f t="shared" si="77"/>
        <v>8407.19</v>
      </c>
      <c r="AE156" s="96">
        <f t="shared" si="77"/>
        <v>-117</v>
      </c>
      <c r="AF156" s="96" t="str">
        <f t="shared" si="77"/>
        <v>#NAME?</v>
      </c>
      <c r="AG156" s="96" t="str">
        <f t="shared" si="77"/>
        <v>#NAME?</v>
      </c>
      <c r="AH156" s="96" t="str">
        <f t="shared" si="77"/>
        <v>#NAME?</v>
      </c>
      <c r="AI156" s="96" t="str">
        <f t="shared" si="77"/>
        <v>#NAME?</v>
      </c>
      <c r="AJ156" s="96" t="str">
        <f t="shared" si="77"/>
        <v>#NAME?</v>
      </c>
      <c r="AK156" s="96" t="str">
        <f t="shared" si="77"/>
        <v>#NAME?</v>
      </c>
      <c r="AL156" s="96" t="str">
        <f t="shared" si="77"/>
        <v>#NAME?</v>
      </c>
      <c r="AM156" s="96" t="str">
        <f t="shared" si="77"/>
        <v>#NAME?</v>
      </c>
      <c r="AN156" s="96" t="str">
        <f t="shared" si="77"/>
        <v>#NAME?</v>
      </c>
      <c r="AO156" s="96" t="str">
        <f t="shared" si="77"/>
        <v>#NAME?</v>
      </c>
      <c r="AP156" s="96" t="str">
        <f t="shared" si="77"/>
        <v>#NAME?</v>
      </c>
      <c r="AQ156" s="96" t="str">
        <f t="shared" si="77"/>
        <v>#NAME?</v>
      </c>
      <c r="AR156" s="96" t="str">
        <f t="shared" si="77"/>
        <v>#NAME?</v>
      </c>
      <c r="AS156" s="96" t="str">
        <f t="shared" si="77"/>
        <v>#NAME?</v>
      </c>
      <c r="AT156" s="96" t="str">
        <f t="shared" si="77"/>
        <v>#NAME?</v>
      </c>
      <c r="AU156" s="96" t="str">
        <f t="shared" si="77"/>
        <v>#NAME?</v>
      </c>
      <c r="AV156" s="96" t="str">
        <f t="shared" si="77"/>
        <v>#NAME?</v>
      </c>
      <c r="AW156" s="96" t="str">
        <f t="shared" si="77"/>
        <v>#NAME?</v>
      </c>
      <c r="AX156" s="96" t="str">
        <f t="shared" si="77"/>
        <v>#NAME?</v>
      </c>
      <c r="AY156" s="96" t="str">
        <f t="shared" si="77"/>
        <v>#NAME?</v>
      </c>
      <c r="AZ156" s="96" t="str">
        <f t="shared" si="77"/>
        <v>#NAME?</v>
      </c>
      <c r="BA156" s="96" t="str">
        <f t="shared" si="77"/>
        <v>#NAME?</v>
      </c>
      <c r="BB156" s="96" t="str">
        <f t="shared" si="77"/>
        <v>#NAME?</v>
      </c>
      <c r="BC156" s="96" t="str">
        <f t="shared" si="77"/>
        <v>#NAME?</v>
      </c>
      <c r="BD156" s="96" t="str">
        <f t="shared" si="77"/>
        <v>#NAME?</v>
      </c>
      <c r="BE156" s="96" t="str">
        <f t="shared" si="77"/>
        <v>#NAME?</v>
      </c>
      <c r="BF156" s="96" t="str">
        <f t="shared" si="77"/>
        <v>#NAME?</v>
      </c>
      <c r="BG156" s="96" t="str">
        <f t="shared" si="77"/>
        <v>#NAME?</v>
      </c>
      <c r="BH156" s="96" t="str">
        <f t="shared" si="77"/>
        <v>#NAME?</v>
      </c>
      <c r="BI156" s="96" t="str">
        <f t="shared" si="77"/>
        <v>#NAME?</v>
      </c>
      <c r="BJ156" s="96" t="str">
        <f t="shared" si="77"/>
        <v>#NAME?</v>
      </c>
      <c r="BK156" s="96" t="str">
        <f t="shared" si="77"/>
        <v>#NAME?</v>
      </c>
      <c r="BL156" s="96" t="str">
        <f t="shared" si="77"/>
        <v>#NAME?</v>
      </c>
      <c r="BM156" s="96" t="str">
        <f t="shared" si="77"/>
        <v>#NAME?</v>
      </c>
      <c r="BN156" s="96" t="str">
        <f t="shared" si="77"/>
        <v>#NAME?</v>
      </c>
      <c r="BO156" s="96" t="str">
        <f t="shared" si="77"/>
        <v>#NAME?</v>
      </c>
      <c r="BP156" s="96" t="str">
        <f t="shared" si="77"/>
        <v>#NAME?</v>
      </c>
      <c r="BQ156" s="96" t="str">
        <f t="shared" si="77"/>
        <v>#NAME?</v>
      </c>
      <c r="BR156" s="96" t="str">
        <f t="shared" si="77"/>
        <v>#NAME?</v>
      </c>
      <c r="BS156" s="96" t="str">
        <f t="shared" si="77"/>
        <v>#NAME?</v>
      </c>
      <c r="BT156" s="96" t="str">
        <f t="shared" si="77"/>
        <v>#NAME?</v>
      </c>
      <c r="BU156" s="96" t="str">
        <f t="shared" si="77"/>
        <v>#NAME?</v>
      </c>
      <c r="BV156" s="96" t="str">
        <f t="shared" si="77"/>
        <v>#NAME?</v>
      </c>
      <c r="BW156" s="96" t="str">
        <f t="shared" si="77"/>
        <v>#NAME?</v>
      </c>
    </row>
    <row r="157" ht="15.75" customHeight="1">
      <c r="A157" s="1" t="s">
        <v>371</v>
      </c>
      <c r="B157" s="159"/>
    </row>
    <row r="158" ht="15.75" customHeight="1">
      <c r="A158" s="1" t="s">
        <v>332</v>
      </c>
      <c r="B158" s="159"/>
      <c r="D158" s="96">
        <f t="shared" ref="D158:BW158" si="78">-D114+C114</f>
        <v>0</v>
      </c>
      <c r="E158" s="96">
        <f t="shared" si="78"/>
        <v>0</v>
      </c>
      <c r="F158" s="96">
        <f t="shared" si="78"/>
        <v>0</v>
      </c>
      <c r="G158" s="96">
        <f t="shared" si="78"/>
        <v>0</v>
      </c>
      <c r="H158" s="96">
        <f t="shared" si="78"/>
        <v>0</v>
      </c>
      <c r="I158" s="96">
        <f t="shared" si="78"/>
        <v>0</v>
      </c>
      <c r="J158" s="96">
        <f t="shared" si="78"/>
        <v>0</v>
      </c>
      <c r="K158" s="96">
        <f t="shared" si="78"/>
        <v>0</v>
      </c>
      <c r="L158" s="96">
        <f t="shared" si="78"/>
        <v>0</v>
      </c>
      <c r="M158" s="96">
        <f t="shared" si="78"/>
        <v>0</v>
      </c>
      <c r="N158" s="96">
        <f t="shared" si="78"/>
        <v>0</v>
      </c>
      <c r="O158" s="96">
        <f t="shared" si="78"/>
        <v>0</v>
      </c>
      <c r="P158" s="96">
        <f t="shared" si="78"/>
        <v>0</v>
      </c>
      <c r="Q158" s="96">
        <f t="shared" si="78"/>
        <v>0</v>
      </c>
      <c r="R158" s="96">
        <f t="shared" si="78"/>
        <v>0</v>
      </c>
      <c r="S158" s="96">
        <f t="shared" si="78"/>
        <v>0</v>
      </c>
      <c r="T158" s="96">
        <f t="shared" si="78"/>
        <v>0</v>
      </c>
      <c r="U158" s="96">
        <f t="shared" si="78"/>
        <v>0</v>
      </c>
      <c r="V158" s="96">
        <f t="shared" si="78"/>
        <v>0</v>
      </c>
      <c r="W158" s="96">
        <f t="shared" si="78"/>
        <v>0</v>
      </c>
      <c r="X158" s="96">
        <f t="shared" si="78"/>
        <v>0</v>
      </c>
      <c r="Y158" s="96">
        <f t="shared" si="78"/>
        <v>0</v>
      </c>
      <c r="Z158" s="96">
        <f t="shared" si="78"/>
        <v>0</v>
      </c>
      <c r="AA158" s="96">
        <f t="shared" si="78"/>
        <v>0</v>
      </c>
      <c r="AB158" s="96">
        <f t="shared" si="78"/>
        <v>0</v>
      </c>
      <c r="AC158" s="96">
        <f t="shared" si="78"/>
        <v>0</v>
      </c>
      <c r="AD158" s="96">
        <f t="shared" si="78"/>
        <v>0</v>
      </c>
      <c r="AE158" s="96">
        <f t="shared" si="78"/>
        <v>0</v>
      </c>
      <c r="AF158" s="96">
        <f t="shared" si="78"/>
        <v>0</v>
      </c>
      <c r="AG158" s="96">
        <f t="shared" si="78"/>
        <v>0</v>
      </c>
      <c r="AH158" s="96">
        <f t="shared" si="78"/>
        <v>0</v>
      </c>
      <c r="AI158" s="96">
        <f t="shared" si="78"/>
        <v>0</v>
      </c>
      <c r="AJ158" s="96">
        <f t="shared" si="78"/>
        <v>0</v>
      </c>
      <c r="AK158" s="96">
        <f t="shared" si="78"/>
        <v>0</v>
      </c>
      <c r="AL158" s="96">
        <f t="shared" si="78"/>
        <v>0</v>
      </c>
      <c r="AM158" s="96">
        <f t="shared" si="78"/>
        <v>0</v>
      </c>
      <c r="AN158" s="96">
        <f t="shared" si="78"/>
        <v>0</v>
      </c>
      <c r="AO158" s="96">
        <f t="shared" si="78"/>
        <v>0</v>
      </c>
      <c r="AP158" s="96">
        <f t="shared" si="78"/>
        <v>0</v>
      </c>
      <c r="AQ158" s="96">
        <f t="shared" si="78"/>
        <v>0</v>
      </c>
      <c r="AR158" s="96">
        <f t="shared" si="78"/>
        <v>0</v>
      </c>
      <c r="AS158" s="96">
        <f t="shared" si="78"/>
        <v>0</v>
      </c>
      <c r="AT158" s="96">
        <f t="shared" si="78"/>
        <v>0</v>
      </c>
      <c r="AU158" s="96">
        <f t="shared" si="78"/>
        <v>0</v>
      </c>
      <c r="AV158" s="96">
        <f t="shared" si="78"/>
        <v>0</v>
      </c>
      <c r="AW158" s="96">
        <f t="shared" si="78"/>
        <v>0</v>
      </c>
      <c r="AX158" s="96">
        <f t="shared" si="78"/>
        <v>0</v>
      </c>
      <c r="AY158" s="96">
        <f t="shared" si="78"/>
        <v>0</v>
      </c>
      <c r="AZ158" s="96">
        <f t="shared" si="78"/>
        <v>0</v>
      </c>
      <c r="BA158" s="96">
        <f t="shared" si="78"/>
        <v>0</v>
      </c>
      <c r="BB158" s="96">
        <f t="shared" si="78"/>
        <v>0</v>
      </c>
      <c r="BC158" s="96">
        <f t="shared" si="78"/>
        <v>0</v>
      </c>
      <c r="BD158" s="96">
        <f t="shared" si="78"/>
        <v>0</v>
      </c>
      <c r="BE158" s="96">
        <f t="shared" si="78"/>
        <v>0</v>
      </c>
      <c r="BF158" s="96">
        <f t="shared" si="78"/>
        <v>0</v>
      </c>
      <c r="BG158" s="96">
        <f t="shared" si="78"/>
        <v>0</v>
      </c>
      <c r="BH158" s="96">
        <f t="shared" si="78"/>
        <v>0</v>
      </c>
      <c r="BI158" s="96">
        <f t="shared" si="78"/>
        <v>0</v>
      </c>
      <c r="BJ158" s="96">
        <f t="shared" si="78"/>
        <v>0</v>
      </c>
      <c r="BK158" s="96">
        <f t="shared" si="78"/>
        <v>0</v>
      </c>
      <c r="BL158" s="96">
        <f t="shared" si="78"/>
        <v>0</v>
      </c>
      <c r="BM158" s="96">
        <f t="shared" si="78"/>
        <v>0</v>
      </c>
      <c r="BN158" s="96">
        <f t="shared" si="78"/>
        <v>0</v>
      </c>
      <c r="BO158" s="96">
        <f t="shared" si="78"/>
        <v>0</v>
      </c>
      <c r="BP158" s="96">
        <f t="shared" si="78"/>
        <v>0</v>
      </c>
      <c r="BQ158" s="96">
        <f t="shared" si="78"/>
        <v>0</v>
      </c>
      <c r="BR158" s="96">
        <f t="shared" si="78"/>
        <v>0</v>
      </c>
      <c r="BS158" s="96">
        <f t="shared" si="78"/>
        <v>0</v>
      </c>
      <c r="BT158" s="96">
        <f t="shared" si="78"/>
        <v>0</v>
      </c>
      <c r="BU158" s="96">
        <f t="shared" si="78"/>
        <v>0</v>
      </c>
      <c r="BV158" s="96">
        <f t="shared" si="78"/>
        <v>0</v>
      </c>
      <c r="BW158" s="96">
        <f t="shared" si="78"/>
        <v>0</v>
      </c>
    </row>
    <row r="159" ht="15.75" customHeight="1">
      <c r="A159" s="1" t="s">
        <v>336</v>
      </c>
      <c r="B159" s="159"/>
      <c r="D159" s="96">
        <f t="shared" ref="D159:BW159" si="79">-D109+C109</f>
        <v>0</v>
      </c>
      <c r="E159" s="96">
        <f t="shared" si="79"/>
        <v>0</v>
      </c>
      <c r="F159" s="96">
        <f t="shared" si="79"/>
        <v>0</v>
      </c>
      <c r="G159" s="96">
        <f t="shared" si="79"/>
        <v>0</v>
      </c>
      <c r="H159" s="96">
        <f t="shared" si="79"/>
        <v>0</v>
      </c>
      <c r="I159" s="96">
        <f t="shared" si="79"/>
        <v>0</v>
      </c>
      <c r="J159" s="96">
        <f t="shared" si="79"/>
        <v>0</v>
      </c>
      <c r="K159" s="96">
        <f t="shared" si="79"/>
        <v>0</v>
      </c>
      <c r="L159" s="96">
        <f t="shared" si="79"/>
        <v>0</v>
      </c>
      <c r="M159" s="96">
        <f t="shared" si="79"/>
        <v>0</v>
      </c>
      <c r="N159" s="96">
        <f t="shared" si="79"/>
        <v>0</v>
      </c>
      <c r="O159" s="96">
        <f t="shared" si="79"/>
        <v>0</v>
      </c>
      <c r="P159" s="96">
        <f t="shared" si="79"/>
        <v>0</v>
      </c>
      <c r="Q159" s="96">
        <f t="shared" si="79"/>
        <v>0</v>
      </c>
      <c r="R159" s="96">
        <f t="shared" si="79"/>
        <v>0</v>
      </c>
      <c r="S159" s="96">
        <f t="shared" si="79"/>
        <v>0</v>
      </c>
      <c r="T159" s="96">
        <f t="shared" si="79"/>
        <v>0</v>
      </c>
      <c r="U159" s="96">
        <f t="shared" si="79"/>
        <v>0</v>
      </c>
      <c r="V159" s="96">
        <f t="shared" si="79"/>
        <v>0</v>
      </c>
      <c r="W159" s="96">
        <f t="shared" si="79"/>
        <v>0</v>
      </c>
      <c r="X159" s="96">
        <f t="shared" si="79"/>
        <v>0</v>
      </c>
      <c r="Y159" s="96">
        <f t="shared" si="79"/>
        <v>0</v>
      </c>
      <c r="Z159" s="96">
        <f t="shared" si="79"/>
        <v>0</v>
      </c>
      <c r="AA159" s="96">
        <f t="shared" si="79"/>
        <v>0</v>
      </c>
      <c r="AB159" s="96">
        <f t="shared" si="79"/>
        <v>0</v>
      </c>
      <c r="AC159" s="96">
        <f t="shared" si="79"/>
        <v>0</v>
      </c>
      <c r="AD159" s="96">
        <f t="shared" si="79"/>
        <v>0</v>
      </c>
      <c r="AE159" s="96">
        <f t="shared" si="79"/>
        <v>0</v>
      </c>
      <c r="AF159" s="96">
        <f t="shared" si="79"/>
        <v>0</v>
      </c>
      <c r="AG159" s="96">
        <f t="shared" si="79"/>
        <v>0</v>
      </c>
      <c r="AH159" s="96">
        <f t="shared" si="79"/>
        <v>0</v>
      </c>
      <c r="AI159" s="96">
        <f t="shared" si="79"/>
        <v>0</v>
      </c>
      <c r="AJ159" s="96">
        <f t="shared" si="79"/>
        <v>0</v>
      </c>
      <c r="AK159" s="96">
        <f t="shared" si="79"/>
        <v>0</v>
      </c>
      <c r="AL159" s="96">
        <f t="shared" si="79"/>
        <v>0</v>
      </c>
      <c r="AM159" s="96">
        <f t="shared" si="79"/>
        <v>0</v>
      </c>
      <c r="AN159" s="96">
        <f t="shared" si="79"/>
        <v>0</v>
      </c>
      <c r="AO159" s="96">
        <f t="shared" si="79"/>
        <v>0</v>
      </c>
      <c r="AP159" s="96">
        <f t="shared" si="79"/>
        <v>0</v>
      </c>
      <c r="AQ159" s="96">
        <f t="shared" si="79"/>
        <v>0</v>
      </c>
      <c r="AR159" s="96">
        <f t="shared" si="79"/>
        <v>0</v>
      </c>
      <c r="AS159" s="96">
        <f t="shared" si="79"/>
        <v>0</v>
      </c>
      <c r="AT159" s="96">
        <f t="shared" si="79"/>
        <v>0</v>
      </c>
      <c r="AU159" s="96">
        <f t="shared" si="79"/>
        <v>0</v>
      </c>
      <c r="AV159" s="96">
        <f t="shared" si="79"/>
        <v>0</v>
      </c>
      <c r="AW159" s="96">
        <f t="shared" si="79"/>
        <v>0</v>
      </c>
      <c r="AX159" s="96">
        <f t="shared" si="79"/>
        <v>0</v>
      </c>
      <c r="AY159" s="96">
        <f t="shared" si="79"/>
        <v>0</v>
      </c>
      <c r="AZ159" s="96">
        <f t="shared" si="79"/>
        <v>0</v>
      </c>
      <c r="BA159" s="96">
        <f t="shared" si="79"/>
        <v>0</v>
      </c>
      <c r="BB159" s="96">
        <f t="shared" si="79"/>
        <v>0</v>
      </c>
      <c r="BC159" s="96">
        <f t="shared" si="79"/>
        <v>0</v>
      </c>
      <c r="BD159" s="96">
        <f t="shared" si="79"/>
        <v>0</v>
      </c>
      <c r="BE159" s="96">
        <f t="shared" si="79"/>
        <v>0</v>
      </c>
      <c r="BF159" s="96">
        <f t="shared" si="79"/>
        <v>0</v>
      </c>
      <c r="BG159" s="96">
        <f t="shared" si="79"/>
        <v>0</v>
      </c>
      <c r="BH159" s="96">
        <f t="shared" si="79"/>
        <v>0</v>
      </c>
      <c r="BI159" s="96">
        <f t="shared" si="79"/>
        <v>0</v>
      </c>
      <c r="BJ159" s="96">
        <f t="shared" si="79"/>
        <v>0</v>
      </c>
      <c r="BK159" s="96">
        <f t="shared" si="79"/>
        <v>0</v>
      </c>
      <c r="BL159" s="96">
        <f t="shared" si="79"/>
        <v>0</v>
      </c>
      <c r="BM159" s="96">
        <f t="shared" si="79"/>
        <v>0</v>
      </c>
      <c r="BN159" s="96">
        <f t="shared" si="79"/>
        <v>0</v>
      </c>
      <c r="BO159" s="96">
        <f t="shared" si="79"/>
        <v>0</v>
      </c>
      <c r="BP159" s="96">
        <f t="shared" si="79"/>
        <v>0</v>
      </c>
      <c r="BQ159" s="96">
        <f t="shared" si="79"/>
        <v>0</v>
      </c>
      <c r="BR159" s="96">
        <f t="shared" si="79"/>
        <v>0</v>
      </c>
      <c r="BS159" s="96">
        <f t="shared" si="79"/>
        <v>0</v>
      </c>
      <c r="BT159" s="96">
        <f t="shared" si="79"/>
        <v>0</v>
      </c>
      <c r="BU159" s="96">
        <f t="shared" si="79"/>
        <v>0</v>
      </c>
      <c r="BV159" s="96">
        <f t="shared" si="79"/>
        <v>0</v>
      </c>
      <c r="BW159" s="96">
        <f t="shared" si="79"/>
        <v>0</v>
      </c>
    </row>
    <row r="160" ht="15.75" customHeight="1">
      <c r="A160" s="1" t="s">
        <v>372</v>
      </c>
      <c r="B160" s="159"/>
      <c r="D160" s="96">
        <f t="shared" ref="D160:BW160" si="80">D125-C125</f>
        <v>357</v>
      </c>
      <c r="E160" s="96">
        <f t="shared" si="80"/>
        <v>-2113</v>
      </c>
      <c r="F160" s="96">
        <f t="shared" si="80"/>
        <v>0</v>
      </c>
      <c r="G160" s="96">
        <f t="shared" si="80"/>
        <v>0</v>
      </c>
      <c r="H160" s="96">
        <f t="shared" si="80"/>
        <v>0</v>
      </c>
      <c r="I160" s="96">
        <f t="shared" si="80"/>
        <v>0</v>
      </c>
      <c r="J160" s="96">
        <f t="shared" si="80"/>
        <v>0</v>
      </c>
      <c r="K160" s="96">
        <f t="shared" si="80"/>
        <v>0</v>
      </c>
      <c r="L160" s="96">
        <f t="shared" si="80"/>
        <v>0</v>
      </c>
      <c r="M160" s="96">
        <f t="shared" si="80"/>
        <v>0</v>
      </c>
      <c r="N160" s="96">
        <f t="shared" si="80"/>
        <v>0</v>
      </c>
      <c r="O160" s="96">
        <f t="shared" si="80"/>
        <v>0</v>
      </c>
      <c r="P160" s="96">
        <f t="shared" si="80"/>
        <v>0</v>
      </c>
      <c r="Q160" s="96">
        <f t="shared" si="80"/>
        <v>0</v>
      </c>
      <c r="R160" s="96">
        <f t="shared" si="80"/>
        <v>0</v>
      </c>
      <c r="S160" s="96">
        <f t="shared" si="80"/>
        <v>0</v>
      </c>
      <c r="T160" s="96">
        <f t="shared" si="80"/>
        <v>0</v>
      </c>
      <c r="U160" s="96">
        <f t="shared" si="80"/>
        <v>0</v>
      </c>
      <c r="V160" s="96">
        <f t="shared" si="80"/>
        <v>0</v>
      </c>
      <c r="W160" s="96">
        <f t="shared" si="80"/>
        <v>0</v>
      </c>
      <c r="X160" s="96">
        <f t="shared" si="80"/>
        <v>0</v>
      </c>
      <c r="Y160" s="96">
        <f t="shared" si="80"/>
        <v>0</v>
      </c>
      <c r="Z160" s="96">
        <f t="shared" si="80"/>
        <v>0</v>
      </c>
      <c r="AA160" s="96">
        <f t="shared" si="80"/>
        <v>0</v>
      </c>
      <c r="AB160" s="96">
        <f t="shared" si="80"/>
        <v>0</v>
      </c>
      <c r="AC160" s="96">
        <f t="shared" si="80"/>
        <v>0</v>
      </c>
      <c r="AD160" s="96">
        <f t="shared" si="80"/>
        <v>0</v>
      </c>
      <c r="AE160" s="96">
        <f t="shared" si="80"/>
        <v>0</v>
      </c>
      <c r="AF160" s="96">
        <f t="shared" si="80"/>
        <v>0</v>
      </c>
      <c r="AG160" s="96">
        <f t="shared" si="80"/>
        <v>0</v>
      </c>
      <c r="AH160" s="96">
        <f t="shared" si="80"/>
        <v>0</v>
      </c>
      <c r="AI160" s="96">
        <f t="shared" si="80"/>
        <v>0</v>
      </c>
      <c r="AJ160" s="96">
        <f t="shared" si="80"/>
        <v>0</v>
      </c>
      <c r="AK160" s="96">
        <f t="shared" si="80"/>
        <v>0</v>
      </c>
      <c r="AL160" s="96">
        <f t="shared" si="80"/>
        <v>0</v>
      </c>
      <c r="AM160" s="96">
        <f t="shared" si="80"/>
        <v>0</v>
      </c>
      <c r="AN160" s="96">
        <f t="shared" si="80"/>
        <v>0</v>
      </c>
      <c r="AO160" s="96">
        <f t="shared" si="80"/>
        <v>0</v>
      </c>
      <c r="AP160" s="96">
        <f t="shared" si="80"/>
        <v>0</v>
      </c>
      <c r="AQ160" s="96">
        <f t="shared" si="80"/>
        <v>0</v>
      </c>
      <c r="AR160" s="96">
        <f t="shared" si="80"/>
        <v>0</v>
      </c>
      <c r="AS160" s="96">
        <f t="shared" si="80"/>
        <v>0</v>
      </c>
      <c r="AT160" s="96">
        <f t="shared" si="80"/>
        <v>0</v>
      </c>
      <c r="AU160" s="96">
        <f t="shared" si="80"/>
        <v>0</v>
      </c>
      <c r="AV160" s="96">
        <f t="shared" si="80"/>
        <v>0</v>
      </c>
      <c r="AW160" s="96">
        <f t="shared" si="80"/>
        <v>0</v>
      </c>
      <c r="AX160" s="96">
        <f t="shared" si="80"/>
        <v>0</v>
      </c>
      <c r="AY160" s="96">
        <f t="shared" si="80"/>
        <v>0</v>
      </c>
      <c r="AZ160" s="96">
        <f t="shared" si="80"/>
        <v>0</v>
      </c>
      <c r="BA160" s="96">
        <f t="shared" si="80"/>
        <v>0</v>
      </c>
      <c r="BB160" s="96">
        <f t="shared" si="80"/>
        <v>0</v>
      </c>
      <c r="BC160" s="96">
        <f t="shared" si="80"/>
        <v>0</v>
      </c>
      <c r="BD160" s="96">
        <f t="shared" si="80"/>
        <v>0</v>
      </c>
      <c r="BE160" s="96">
        <f t="shared" si="80"/>
        <v>0</v>
      </c>
      <c r="BF160" s="96">
        <f t="shared" si="80"/>
        <v>0</v>
      </c>
      <c r="BG160" s="96">
        <f t="shared" si="80"/>
        <v>0</v>
      </c>
      <c r="BH160" s="96">
        <f t="shared" si="80"/>
        <v>0</v>
      </c>
      <c r="BI160" s="96">
        <f t="shared" si="80"/>
        <v>0</v>
      </c>
      <c r="BJ160" s="96">
        <f t="shared" si="80"/>
        <v>0</v>
      </c>
      <c r="BK160" s="96">
        <f t="shared" si="80"/>
        <v>0</v>
      </c>
      <c r="BL160" s="96">
        <f t="shared" si="80"/>
        <v>0</v>
      </c>
      <c r="BM160" s="96">
        <f t="shared" si="80"/>
        <v>0</v>
      </c>
      <c r="BN160" s="96">
        <f t="shared" si="80"/>
        <v>0</v>
      </c>
      <c r="BO160" s="96">
        <f t="shared" si="80"/>
        <v>0</v>
      </c>
      <c r="BP160" s="96">
        <f t="shared" si="80"/>
        <v>0</v>
      </c>
      <c r="BQ160" s="96">
        <f t="shared" si="80"/>
        <v>0</v>
      </c>
      <c r="BR160" s="96">
        <f t="shared" si="80"/>
        <v>0</v>
      </c>
      <c r="BS160" s="96">
        <f t="shared" si="80"/>
        <v>0</v>
      </c>
      <c r="BT160" s="96">
        <f t="shared" si="80"/>
        <v>0</v>
      </c>
      <c r="BU160" s="96">
        <f t="shared" si="80"/>
        <v>0</v>
      </c>
      <c r="BV160" s="96">
        <f t="shared" si="80"/>
        <v>0</v>
      </c>
      <c r="BW160" s="96">
        <f t="shared" si="80"/>
        <v>0</v>
      </c>
    </row>
    <row r="161" ht="15.75" customHeight="1">
      <c r="A161" s="1" t="s">
        <v>373</v>
      </c>
      <c r="B161" s="159"/>
      <c r="D161" s="96"/>
      <c r="E161" s="96"/>
      <c r="F161" s="96"/>
      <c r="G161" s="96"/>
      <c r="H161" s="96"/>
      <c r="I161" s="96"/>
      <c r="J161" s="96"/>
      <c r="K161" s="96"/>
      <c r="L161" s="96"/>
      <c r="M161" s="96"/>
      <c r="N161" s="96"/>
      <c r="O161" s="96"/>
      <c r="P161" s="96"/>
      <c r="Q161" s="96"/>
      <c r="R161" s="96"/>
      <c r="S161" s="96"/>
      <c r="T161" s="96"/>
      <c r="U161" s="96"/>
      <c r="V161" s="96"/>
      <c r="W161" s="96"/>
      <c r="X161" s="96"/>
      <c r="Y161" s="96"/>
      <c r="Z161" s="96"/>
      <c r="AA161" s="96"/>
      <c r="AB161" s="96"/>
      <c r="AC161" s="96"/>
      <c r="AD161" s="96"/>
      <c r="AE161" s="96"/>
      <c r="AF161" s="96">
        <f t="shared" ref="AF161:BW161" si="81">AF128-AE128</f>
        <v>0</v>
      </c>
      <c r="AG161" s="96">
        <f t="shared" si="81"/>
        <v>0</v>
      </c>
      <c r="AH161" s="96">
        <f t="shared" si="81"/>
        <v>0</v>
      </c>
      <c r="AI161" s="96">
        <f t="shared" si="81"/>
        <v>0</v>
      </c>
      <c r="AJ161" s="96">
        <f t="shared" si="81"/>
        <v>0</v>
      </c>
      <c r="AK161" s="96">
        <f t="shared" si="81"/>
        <v>0</v>
      </c>
      <c r="AL161" s="96">
        <f t="shared" si="81"/>
        <v>0</v>
      </c>
      <c r="AM161" s="96">
        <f t="shared" si="81"/>
        <v>0</v>
      </c>
      <c r="AN161" s="96">
        <f t="shared" si="81"/>
        <v>0</v>
      </c>
      <c r="AO161" s="96">
        <f t="shared" si="81"/>
        <v>0</v>
      </c>
      <c r="AP161" s="96">
        <f t="shared" si="81"/>
        <v>0</v>
      </c>
      <c r="AQ161" s="96">
        <f t="shared" si="81"/>
        <v>0</v>
      </c>
      <c r="AR161" s="96">
        <f t="shared" si="81"/>
        <v>0</v>
      </c>
      <c r="AS161" s="96">
        <f t="shared" si="81"/>
        <v>0</v>
      </c>
      <c r="AT161" s="96">
        <f t="shared" si="81"/>
        <v>0</v>
      </c>
      <c r="AU161" s="96">
        <f t="shared" si="81"/>
        <v>0</v>
      </c>
      <c r="AV161" s="96">
        <f t="shared" si="81"/>
        <v>0</v>
      </c>
      <c r="AW161" s="96">
        <f t="shared" si="81"/>
        <v>0</v>
      </c>
      <c r="AX161" s="96">
        <f t="shared" si="81"/>
        <v>0</v>
      </c>
      <c r="AY161" s="96">
        <f t="shared" si="81"/>
        <v>0</v>
      </c>
      <c r="AZ161" s="96">
        <f t="shared" si="81"/>
        <v>0</v>
      </c>
      <c r="BA161" s="96">
        <f t="shared" si="81"/>
        <v>0</v>
      </c>
      <c r="BB161" s="96">
        <f t="shared" si="81"/>
        <v>0</v>
      </c>
      <c r="BC161" s="96">
        <f t="shared" si="81"/>
        <v>0</v>
      </c>
      <c r="BD161" s="96">
        <f t="shared" si="81"/>
        <v>0</v>
      </c>
      <c r="BE161" s="96">
        <f t="shared" si="81"/>
        <v>0</v>
      </c>
      <c r="BF161" s="96">
        <f t="shared" si="81"/>
        <v>0</v>
      </c>
      <c r="BG161" s="96">
        <f t="shared" si="81"/>
        <v>0</v>
      </c>
      <c r="BH161" s="96">
        <f t="shared" si="81"/>
        <v>0</v>
      </c>
      <c r="BI161" s="96">
        <f t="shared" si="81"/>
        <v>0</v>
      </c>
      <c r="BJ161" s="96">
        <f t="shared" si="81"/>
        <v>0</v>
      </c>
      <c r="BK161" s="96">
        <f t="shared" si="81"/>
        <v>0</v>
      </c>
      <c r="BL161" s="96">
        <f t="shared" si="81"/>
        <v>0</v>
      </c>
      <c r="BM161" s="96">
        <f t="shared" si="81"/>
        <v>0</v>
      </c>
      <c r="BN161" s="96">
        <f t="shared" si="81"/>
        <v>0</v>
      </c>
      <c r="BO161" s="96">
        <f t="shared" si="81"/>
        <v>0</v>
      </c>
      <c r="BP161" s="96" t="str">
        <f t="shared" si="81"/>
        <v>#N/A</v>
      </c>
      <c r="BQ161" s="96" t="str">
        <f t="shared" si="81"/>
        <v>#N/A</v>
      </c>
      <c r="BR161" s="96" t="str">
        <f t="shared" si="81"/>
        <v>#N/A</v>
      </c>
      <c r="BS161" s="96" t="str">
        <f t="shared" si="81"/>
        <v>#N/A</v>
      </c>
      <c r="BT161" s="96" t="str">
        <f t="shared" si="81"/>
        <v>#N/A</v>
      </c>
      <c r="BU161" s="96" t="str">
        <f t="shared" si="81"/>
        <v>#N/A</v>
      </c>
      <c r="BV161" s="96" t="str">
        <f t="shared" si="81"/>
        <v>#N/A</v>
      </c>
      <c r="BW161" s="96" t="str">
        <f t="shared" si="81"/>
        <v>#N/A</v>
      </c>
    </row>
    <row r="162" ht="15.75" customHeight="1">
      <c r="A162" s="1" t="s">
        <v>374</v>
      </c>
      <c r="B162" s="159"/>
      <c r="D162" s="96">
        <f t="shared" ref="D162:BW162" si="82">D129-C129</f>
        <v>-239</v>
      </c>
      <c r="E162" s="96">
        <f t="shared" si="82"/>
        <v>-113</v>
      </c>
      <c r="F162" s="96">
        <f t="shared" si="82"/>
        <v>0</v>
      </c>
      <c r="G162" s="96">
        <f t="shared" si="82"/>
        <v>0</v>
      </c>
      <c r="H162" s="96">
        <f t="shared" si="82"/>
        <v>0</v>
      </c>
      <c r="I162" s="96">
        <f t="shared" si="82"/>
        <v>0</v>
      </c>
      <c r="J162" s="96">
        <f t="shared" si="82"/>
        <v>0</v>
      </c>
      <c r="K162" s="96">
        <f t="shared" si="82"/>
        <v>0</v>
      </c>
      <c r="L162" s="96">
        <f t="shared" si="82"/>
        <v>0</v>
      </c>
      <c r="M162" s="96">
        <f t="shared" si="82"/>
        <v>0</v>
      </c>
      <c r="N162" s="96">
        <f t="shared" si="82"/>
        <v>0</v>
      </c>
      <c r="O162" s="96">
        <f t="shared" si="82"/>
        <v>0</v>
      </c>
      <c r="P162" s="96">
        <f t="shared" si="82"/>
        <v>0</v>
      </c>
      <c r="Q162" s="96">
        <f t="shared" si="82"/>
        <v>0</v>
      </c>
      <c r="R162" s="96">
        <f t="shared" si="82"/>
        <v>0</v>
      </c>
      <c r="S162" s="96">
        <f t="shared" si="82"/>
        <v>0</v>
      </c>
      <c r="T162" s="96">
        <f t="shared" si="82"/>
        <v>0</v>
      </c>
      <c r="U162" s="96">
        <f t="shared" si="82"/>
        <v>0</v>
      </c>
      <c r="V162" s="96">
        <f t="shared" si="82"/>
        <v>0</v>
      </c>
      <c r="W162" s="96">
        <f t="shared" si="82"/>
        <v>0</v>
      </c>
      <c r="X162" s="96">
        <f t="shared" si="82"/>
        <v>0</v>
      </c>
      <c r="Y162" s="96">
        <f t="shared" si="82"/>
        <v>0</v>
      </c>
      <c r="Z162" s="96">
        <f t="shared" si="82"/>
        <v>0</v>
      </c>
      <c r="AA162" s="96">
        <f t="shared" si="82"/>
        <v>0</v>
      </c>
      <c r="AB162" s="96">
        <f t="shared" si="82"/>
        <v>0</v>
      </c>
      <c r="AC162" s="96">
        <f t="shared" si="82"/>
        <v>0</v>
      </c>
      <c r="AD162" s="96">
        <f t="shared" si="82"/>
        <v>0</v>
      </c>
      <c r="AE162" s="96">
        <f t="shared" si="82"/>
        <v>0</v>
      </c>
      <c r="AF162" s="96">
        <f t="shared" si="82"/>
        <v>0</v>
      </c>
      <c r="AG162" s="96">
        <f t="shared" si="82"/>
        <v>0</v>
      </c>
      <c r="AH162" s="96">
        <f t="shared" si="82"/>
        <v>0</v>
      </c>
      <c r="AI162" s="96">
        <f t="shared" si="82"/>
        <v>0</v>
      </c>
      <c r="AJ162" s="96">
        <f t="shared" si="82"/>
        <v>0</v>
      </c>
      <c r="AK162" s="96">
        <f t="shared" si="82"/>
        <v>0</v>
      </c>
      <c r="AL162" s="96">
        <f t="shared" si="82"/>
        <v>0</v>
      </c>
      <c r="AM162" s="96">
        <f t="shared" si="82"/>
        <v>0</v>
      </c>
      <c r="AN162" s="96">
        <f t="shared" si="82"/>
        <v>0</v>
      </c>
      <c r="AO162" s="96">
        <f t="shared" si="82"/>
        <v>0</v>
      </c>
      <c r="AP162" s="96">
        <f t="shared" si="82"/>
        <v>0</v>
      </c>
      <c r="AQ162" s="96">
        <f t="shared" si="82"/>
        <v>0</v>
      </c>
      <c r="AR162" s="96">
        <f t="shared" si="82"/>
        <v>0</v>
      </c>
      <c r="AS162" s="96">
        <f t="shared" si="82"/>
        <v>0</v>
      </c>
      <c r="AT162" s="96">
        <f t="shared" si="82"/>
        <v>0</v>
      </c>
      <c r="AU162" s="96">
        <f t="shared" si="82"/>
        <v>0</v>
      </c>
      <c r="AV162" s="96">
        <f t="shared" si="82"/>
        <v>0</v>
      </c>
      <c r="AW162" s="96">
        <f t="shared" si="82"/>
        <v>0</v>
      </c>
      <c r="AX162" s="96">
        <f t="shared" si="82"/>
        <v>0</v>
      </c>
      <c r="AY162" s="96">
        <f t="shared" si="82"/>
        <v>0</v>
      </c>
      <c r="AZ162" s="96">
        <f t="shared" si="82"/>
        <v>0</v>
      </c>
      <c r="BA162" s="96">
        <f t="shared" si="82"/>
        <v>0</v>
      </c>
      <c r="BB162" s="96">
        <f t="shared" si="82"/>
        <v>0</v>
      </c>
      <c r="BC162" s="96">
        <f t="shared" si="82"/>
        <v>0</v>
      </c>
      <c r="BD162" s="96">
        <f t="shared" si="82"/>
        <v>0</v>
      </c>
      <c r="BE162" s="96">
        <f t="shared" si="82"/>
        <v>0</v>
      </c>
      <c r="BF162" s="96">
        <f t="shared" si="82"/>
        <v>0</v>
      </c>
      <c r="BG162" s="96">
        <f t="shared" si="82"/>
        <v>0</v>
      </c>
      <c r="BH162" s="96">
        <f t="shared" si="82"/>
        <v>0</v>
      </c>
      <c r="BI162" s="96">
        <f t="shared" si="82"/>
        <v>0</v>
      </c>
      <c r="BJ162" s="96">
        <f t="shared" si="82"/>
        <v>0</v>
      </c>
      <c r="BK162" s="96">
        <f t="shared" si="82"/>
        <v>0</v>
      </c>
      <c r="BL162" s="96">
        <f t="shared" si="82"/>
        <v>0</v>
      </c>
      <c r="BM162" s="96">
        <f t="shared" si="82"/>
        <v>0</v>
      </c>
      <c r="BN162" s="96">
        <f t="shared" si="82"/>
        <v>0</v>
      </c>
      <c r="BO162" s="96">
        <f t="shared" si="82"/>
        <v>0</v>
      </c>
      <c r="BP162" s="96">
        <f t="shared" si="82"/>
        <v>0</v>
      </c>
      <c r="BQ162" s="96">
        <f t="shared" si="82"/>
        <v>0</v>
      </c>
      <c r="BR162" s="96">
        <f t="shared" si="82"/>
        <v>0</v>
      </c>
      <c r="BS162" s="96">
        <f t="shared" si="82"/>
        <v>0</v>
      </c>
      <c r="BT162" s="96">
        <f t="shared" si="82"/>
        <v>0</v>
      </c>
      <c r="BU162" s="96">
        <f t="shared" si="82"/>
        <v>0</v>
      </c>
      <c r="BV162" s="96">
        <f t="shared" si="82"/>
        <v>0</v>
      </c>
      <c r="BW162" s="96">
        <f t="shared" si="82"/>
        <v>0</v>
      </c>
    </row>
    <row r="163" ht="15.75" customHeight="1">
      <c r="A163" s="21" t="s">
        <v>375</v>
      </c>
      <c r="B163" s="163"/>
      <c r="C163" s="21"/>
      <c r="D163" s="147">
        <f t="shared" ref="D163:BW163" si="83">SUM(D157:D162)</f>
        <v>118</v>
      </c>
      <c r="E163" s="147">
        <f t="shared" si="83"/>
        <v>-2226</v>
      </c>
      <c r="F163" s="147">
        <f t="shared" si="83"/>
        <v>0</v>
      </c>
      <c r="G163" s="147">
        <f t="shared" si="83"/>
        <v>0</v>
      </c>
      <c r="H163" s="147">
        <f t="shared" si="83"/>
        <v>0</v>
      </c>
      <c r="I163" s="147">
        <f t="shared" si="83"/>
        <v>0</v>
      </c>
      <c r="J163" s="147">
        <f t="shared" si="83"/>
        <v>0</v>
      </c>
      <c r="K163" s="147">
        <f t="shared" si="83"/>
        <v>0</v>
      </c>
      <c r="L163" s="147">
        <f t="shared" si="83"/>
        <v>0</v>
      </c>
      <c r="M163" s="147">
        <f t="shared" si="83"/>
        <v>0</v>
      </c>
      <c r="N163" s="147">
        <f t="shared" si="83"/>
        <v>0</v>
      </c>
      <c r="O163" s="147">
        <f t="shared" si="83"/>
        <v>0</v>
      </c>
      <c r="P163" s="147">
        <f t="shared" si="83"/>
        <v>0</v>
      </c>
      <c r="Q163" s="147">
        <f t="shared" si="83"/>
        <v>0</v>
      </c>
      <c r="R163" s="147">
        <f t="shared" si="83"/>
        <v>0</v>
      </c>
      <c r="S163" s="147">
        <f t="shared" si="83"/>
        <v>0</v>
      </c>
      <c r="T163" s="147">
        <f t="shared" si="83"/>
        <v>0</v>
      </c>
      <c r="U163" s="147">
        <f t="shared" si="83"/>
        <v>0</v>
      </c>
      <c r="V163" s="147">
        <f t="shared" si="83"/>
        <v>0</v>
      </c>
      <c r="W163" s="147">
        <f t="shared" si="83"/>
        <v>0</v>
      </c>
      <c r="X163" s="147">
        <f t="shared" si="83"/>
        <v>0</v>
      </c>
      <c r="Y163" s="147">
        <f t="shared" si="83"/>
        <v>0</v>
      </c>
      <c r="Z163" s="147">
        <f t="shared" si="83"/>
        <v>0</v>
      </c>
      <c r="AA163" s="147">
        <f t="shared" si="83"/>
        <v>0</v>
      </c>
      <c r="AB163" s="147">
        <f t="shared" si="83"/>
        <v>0</v>
      </c>
      <c r="AC163" s="147">
        <f t="shared" si="83"/>
        <v>0</v>
      </c>
      <c r="AD163" s="147">
        <f t="shared" si="83"/>
        <v>0</v>
      </c>
      <c r="AE163" s="147">
        <f t="shared" si="83"/>
        <v>0</v>
      </c>
      <c r="AF163" s="147">
        <f t="shared" si="83"/>
        <v>0</v>
      </c>
      <c r="AG163" s="147">
        <f t="shared" si="83"/>
        <v>0</v>
      </c>
      <c r="AH163" s="147">
        <f t="shared" si="83"/>
        <v>0</v>
      </c>
      <c r="AI163" s="147">
        <f t="shared" si="83"/>
        <v>0</v>
      </c>
      <c r="AJ163" s="147">
        <f t="shared" si="83"/>
        <v>0</v>
      </c>
      <c r="AK163" s="147">
        <f t="shared" si="83"/>
        <v>0</v>
      </c>
      <c r="AL163" s="147">
        <f t="shared" si="83"/>
        <v>0</v>
      </c>
      <c r="AM163" s="147">
        <f t="shared" si="83"/>
        <v>0</v>
      </c>
      <c r="AN163" s="147">
        <f t="shared" si="83"/>
        <v>0</v>
      </c>
      <c r="AO163" s="147">
        <f t="shared" si="83"/>
        <v>0</v>
      </c>
      <c r="AP163" s="147">
        <f t="shared" si="83"/>
        <v>0</v>
      </c>
      <c r="AQ163" s="147">
        <f t="shared" si="83"/>
        <v>0</v>
      </c>
      <c r="AR163" s="147">
        <f t="shared" si="83"/>
        <v>0</v>
      </c>
      <c r="AS163" s="147">
        <f t="shared" si="83"/>
        <v>0</v>
      </c>
      <c r="AT163" s="147">
        <f t="shared" si="83"/>
        <v>0</v>
      </c>
      <c r="AU163" s="147">
        <f t="shared" si="83"/>
        <v>0</v>
      </c>
      <c r="AV163" s="147">
        <f t="shared" si="83"/>
        <v>0</v>
      </c>
      <c r="AW163" s="147">
        <f t="shared" si="83"/>
        <v>0</v>
      </c>
      <c r="AX163" s="147">
        <f t="shared" si="83"/>
        <v>0</v>
      </c>
      <c r="AY163" s="147">
        <f t="shared" si="83"/>
        <v>0</v>
      </c>
      <c r="AZ163" s="147">
        <f t="shared" si="83"/>
        <v>0</v>
      </c>
      <c r="BA163" s="147">
        <f t="shared" si="83"/>
        <v>0</v>
      </c>
      <c r="BB163" s="147">
        <f t="shared" si="83"/>
        <v>0</v>
      </c>
      <c r="BC163" s="147">
        <f t="shared" si="83"/>
        <v>0</v>
      </c>
      <c r="BD163" s="147">
        <f t="shared" si="83"/>
        <v>0</v>
      </c>
      <c r="BE163" s="147">
        <f t="shared" si="83"/>
        <v>0</v>
      </c>
      <c r="BF163" s="147">
        <f t="shared" si="83"/>
        <v>0</v>
      </c>
      <c r="BG163" s="147">
        <f t="shared" si="83"/>
        <v>0</v>
      </c>
      <c r="BH163" s="147">
        <f t="shared" si="83"/>
        <v>0</v>
      </c>
      <c r="BI163" s="147">
        <f t="shared" si="83"/>
        <v>0</v>
      </c>
      <c r="BJ163" s="147">
        <f t="shared" si="83"/>
        <v>0</v>
      </c>
      <c r="BK163" s="147">
        <f t="shared" si="83"/>
        <v>0</v>
      </c>
      <c r="BL163" s="147">
        <f t="shared" si="83"/>
        <v>0</v>
      </c>
      <c r="BM163" s="147">
        <f t="shared" si="83"/>
        <v>0</v>
      </c>
      <c r="BN163" s="147">
        <f t="shared" si="83"/>
        <v>0</v>
      </c>
      <c r="BO163" s="147">
        <f t="shared" si="83"/>
        <v>0</v>
      </c>
      <c r="BP163" s="147" t="str">
        <f t="shared" si="83"/>
        <v>#N/A</v>
      </c>
      <c r="BQ163" s="147" t="str">
        <f t="shared" si="83"/>
        <v>#N/A</v>
      </c>
      <c r="BR163" s="147" t="str">
        <f t="shared" si="83"/>
        <v>#N/A</v>
      </c>
      <c r="BS163" s="147" t="str">
        <f t="shared" si="83"/>
        <v>#N/A</v>
      </c>
      <c r="BT163" s="147" t="str">
        <f t="shared" si="83"/>
        <v>#N/A</v>
      </c>
      <c r="BU163" s="147" t="str">
        <f t="shared" si="83"/>
        <v>#N/A</v>
      </c>
      <c r="BV163" s="147" t="str">
        <f t="shared" si="83"/>
        <v>#N/A</v>
      </c>
      <c r="BW163" s="147" t="str">
        <f t="shared" si="83"/>
        <v>#N/A</v>
      </c>
    </row>
    <row r="164" ht="15.75" customHeight="1">
      <c r="A164" s="21" t="s">
        <v>376</v>
      </c>
      <c r="B164" s="163"/>
      <c r="C164" s="21"/>
      <c r="D164" s="147">
        <f t="shared" ref="D164:BW164" si="84">SUM(D163,D156)</f>
        <v>-89320</v>
      </c>
      <c r="E164" s="147">
        <f t="shared" si="84"/>
        <v>-90350</v>
      </c>
      <c r="F164" s="147">
        <f t="shared" si="84"/>
        <v>-102956</v>
      </c>
      <c r="G164" s="147">
        <f t="shared" si="84"/>
        <v>-94595</v>
      </c>
      <c r="H164" s="147">
        <f t="shared" si="84"/>
        <v>-82065</v>
      </c>
      <c r="I164" s="147">
        <f t="shared" si="84"/>
        <v>-78132</v>
      </c>
      <c r="J164" s="147">
        <f t="shared" si="84"/>
        <v>-94045</v>
      </c>
      <c r="K164" s="147">
        <f t="shared" si="84"/>
        <v>-89766</v>
      </c>
      <c r="L164" s="147">
        <f t="shared" si="84"/>
        <v>-114445</v>
      </c>
      <c r="M164" s="147">
        <f t="shared" si="84"/>
        <v>-131881</v>
      </c>
      <c r="N164" s="147">
        <f t="shared" si="84"/>
        <v>-140597</v>
      </c>
      <c r="O164" s="147">
        <f t="shared" si="84"/>
        <v>-177194</v>
      </c>
      <c r="P164" s="147">
        <f t="shared" si="84"/>
        <v>-177124</v>
      </c>
      <c r="Q164" s="147">
        <f t="shared" si="84"/>
        <v>-189575</v>
      </c>
      <c r="R164" s="147">
        <f t="shared" si="84"/>
        <v>-184131</v>
      </c>
      <c r="S164" s="147">
        <f t="shared" si="84"/>
        <v>-128941</v>
      </c>
      <c r="T164" s="147">
        <f t="shared" si="84"/>
        <v>-151754</v>
      </c>
      <c r="U164" s="147">
        <f t="shared" si="84"/>
        <v>-122283</v>
      </c>
      <c r="V164" s="147">
        <f t="shared" si="84"/>
        <v>-102474</v>
      </c>
      <c r="W164" s="147">
        <f t="shared" si="84"/>
        <v>-82495</v>
      </c>
      <c r="X164" s="147">
        <f t="shared" si="84"/>
        <v>-60038</v>
      </c>
      <c r="Y164" s="147">
        <f t="shared" si="84"/>
        <v>-27320</v>
      </c>
      <c r="Z164" s="147">
        <f t="shared" si="84"/>
        <v>-18905</v>
      </c>
      <c r="AA164" s="147">
        <f t="shared" si="84"/>
        <v>-24211</v>
      </c>
      <c r="AB164" s="147">
        <f t="shared" si="84"/>
        <v>-13824</v>
      </c>
      <c r="AC164" s="147">
        <f t="shared" si="84"/>
        <v>-26169</v>
      </c>
      <c r="AD164" s="147">
        <f t="shared" si="84"/>
        <v>8407.19</v>
      </c>
      <c r="AE164" s="147">
        <f t="shared" si="84"/>
        <v>-117</v>
      </c>
      <c r="AF164" s="147" t="str">
        <f t="shared" si="84"/>
        <v>#NAME?</v>
      </c>
      <c r="AG164" s="147" t="str">
        <f t="shared" si="84"/>
        <v>#NAME?</v>
      </c>
      <c r="AH164" s="147" t="str">
        <f t="shared" si="84"/>
        <v>#NAME?</v>
      </c>
      <c r="AI164" s="147" t="str">
        <f t="shared" si="84"/>
        <v>#NAME?</v>
      </c>
      <c r="AJ164" s="147" t="str">
        <f t="shared" si="84"/>
        <v>#NAME?</v>
      </c>
      <c r="AK164" s="147" t="str">
        <f t="shared" si="84"/>
        <v>#NAME?</v>
      </c>
      <c r="AL164" s="147" t="str">
        <f t="shared" si="84"/>
        <v>#NAME?</v>
      </c>
      <c r="AM164" s="147" t="str">
        <f t="shared" si="84"/>
        <v>#NAME?</v>
      </c>
      <c r="AN164" s="147" t="str">
        <f t="shared" si="84"/>
        <v>#NAME?</v>
      </c>
      <c r="AO164" s="147" t="str">
        <f t="shared" si="84"/>
        <v>#NAME?</v>
      </c>
      <c r="AP164" s="147" t="str">
        <f t="shared" si="84"/>
        <v>#NAME?</v>
      </c>
      <c r="AQ164" s="147" t="str">
        <f t="shared" si="84"/>
        <v>#NAME?</v>
      </c>
      <c r="AR164" s="147" t="str">
        <f t="shared" si="84"/>
        <v>#NAME?</v>
      </c>
      <c r="AS164" s="147" t="str">
        <f t="shared" si="84"/>
        <v>#NAME?</v>
      </c>
      <c r="AT164" s="147" t="str">
        <f t="shared" si="84"/>
        <v>#NAME?</v>
      </c>
      <c r="AU164" s="147" t="str">
        <f t="shared" si="84"/>
        <v>#NAME?</v>
      </c>
      <c r="AV164" s="147" t="str">
        <f t="shared" si="84"/>
        <v>#NAME?</v>
      </c>
      <c r="AW164" s="147" t="str">
        <f t="shared" si="84"/>
        <v>#NAME?</v>
      </c>
      <c r="AX164" s="147" t="str">
        <f t="shared" si="84"/>
        <v>#NAME?</v>
      </c>
      <c r="AY164" s="147" t="str">
        <f t="shared" si="84"/>
        <v>#NAME?</v>
      </c>
      <c r="AZ164" s="147" t="str">
        <f t="shared" si="84"/>
        <v>#NAME?</v>
      </c>
      <c r="BA164" s="147" t="str">
        <f t="shared" si="84"/>
        <v>#NAME?</v>
      </c>
      <c r="BB164" s="147" t="str">
        <f t="shared" si="84"/>
        <v>#NAME?</v>
      </c>
      <c r="BC164" s="147" t="str">
        <f t="shared" si="84"/>
        <v>#NAME?</v>
      </c>
      <c r="BD164" s="147" t="str">
        <f t="shared" si="84"/>
        <v>#NAME?</v>
      </c>
      <c r="BE164" s="147" t="str">
        <f t="shared" si="84"/>
        <v>#NAME?</v>
      </c>
      <c r="BF164" s="147" t="str">
        <f t="shared" si="84"/>
        <v>#NAME?</v>
      </c>
      <c r="BG164" s="147" t="str">
        <f t="shared" si="84"/>
        <v>#NAME?</v>
      </c>
      <c r="BH164" s="147" t="str">
        <f t="shared" si="84"/>
        <v>#NAME?</v>
      </c>
      <c r="BI164" s="147" t="str">
        <f t="shared" si="84"/>
        <v>#NAME?</v>
      </c>
      <c r="BJ164" s="147" t="str">
        <f t="shared" si="84"/>
        <v>#NAME?</v>
      </c>
      <c r="BK164" s="147" t="str">
        <f t="shared" si="84"/>
        <v>#NAME?</v>
      </c>
      <c r="BL164" s="147" t="str">
        <f t="shared" si="84"/>
        <v>#NAME?</v>
      </c>
      <c r="BM164" s="147" t="str">
        <f t="shared" si="84"/>
        <v>#NAME?</v>
      </c>
      <c r="BN164" s="147" t="str">
        <f t="shared" si="84"/>
        <v>#NAME?</v>
      </c>
      <c r="BO164" s="147" t="str">
        <f t="shared" si="84"/>
        <v>#NAME?</v>
      </c>
      <c r="BP164" s="147" t="str">
        <f t="shared" si="84"/>
        <v>#N/A</v>
      </c>
      <c r="BQ164" s="147" t="str">
        <f t="shared" si="84"/>
        <v>#N/A</v>
      </c>
      <c r="BR164" s="147" t="str">
        <f t="shared" si="84"/>
        <v>#N/A</v>
      </c>
      <c r="BS164" s="147" t="str">
        <f t="shared" si="84"/>
        <v>#N/A</v>
      </c>
      <c r="BT164" s="147" t="str">
        <f t="shared" si="84"/>
        <v>#N/A</v>
      </c>
      <c r="BU164" s="147" t="str">
        <f t="shared" si="84"/>
        <v>#N/A</v>
      </c>
      <c r="BV164" s="147" t="str">
        <f t="shared" si="84"/>
        <v>#N/A</v>
      </c>
      <c r="BW164" s="147" t="str">
        <f t="shared" si="84"/>
        <v>#N/A</v>
      </c>
    </row>
    <row r="165" ht="15.75" customHeight="1">
      <c r="A165" s="31" t="s">
        <v>244</v>
      </c>
      <c r="B165" s="159"/>
      <c r="D165" s="76">
        <f t="array" ref="D165">ROUND(INDEX(INDIRECT("CFS_"&amp;TEXT(D$1,"mmm")&amp;"_"&amp;TEXT(D$1,"yyyy")),MATCH(TRIM($A164),CFS_Accounts,0))-D164,2)</f>
        <v>0</v>
      </c>
      <c r="E165" s="76">
        <f t="array" ref="E165">ROUND(INDEX(INDIRECT("CFS_"&amp;TEXT(E$1,"mmm")&amp;"_"&amp;TEXT(E$1,"yyyy")),MATCH(TRIM($A164),CFS_Accounts,0))-E164,2)</f>
        <v>0</v>
      </c>
      <c r="F165" s="76">
        <f t="array" ref="F165">ROUND(INDEX(INDIRECT("CFS_"&amp;TEXT(F$1,"mmm")&amp;"_"&amp;TEXT(F$1,"yyyy")),MATCH(TRIM($A164),CFS_Accounts,0))-F164,2)</f>
        <v>0</v>
      </c>
      <c r="G165" s="76">
        <f t="array" ref="G165">ROUND(INDEX(INDIRECT("CFS_"&amp;TEXT(G$1,"mmm")&amp;"_"&amp;TEXT(G$1,"yyyy")),MATCH(TRIM($A164),CFS_Accounts,0))-G164,2)</f>
        <v>0</v>
      </c>
      <c r="H165" s="76">
        <f t="array" ref="H165">ROUND(INDEX(INDIRECT("CFS_"&amp;TEXT(H$1,"mmm")&amp;"_"&amp;TEXT(H$1,"yyyy")),MATCH(TRIM($A164),CFS_Accounts,0))-H164,2)</f>
        <v>0</v>
      </c>
      <c r="I165" s="76">
        <f t="array" ref="I165">ROUND(INDEX(INDIRECT("CFS_"&amp;TEXT(I$1,"mmm")&amp;"_"&amp;TEXT(I$1,"yyyy")),MATCH(TRIM($A164),CFS_Accounts,0))-I164,2)</f>
        <v>0</v>
      </c>
      <c r="J165" s="76">
        <f t="array" ref="J165">ROUND(INDEX(INDIRECT("CFS_"&amp;TEXT(J$1,"mmm")&amp;"_"&amp;TEXT(J$1,"yyyy")),MATCH(TRIM($A164),CFS_Accounts,0))-J164,2)</f>
        <v>0</v>
      </c>
      <c r="K165" s="76">
        <f t="array" ref="K165">ROUND(INDEX(INDIRECT("CFS_"&amp;TEXT(K$1,"mmm")&amp;"_"&amp;TEXT(K$1,"yyyy")),MATCH(TRIM($A164),CFS_Accounts,0))-K164,2)</f>
        <v>0</v>
      </c>
      <c r="L165" s="76">
        <f t="array" ref="L165">ROUND(INDEX(INDIRECT("CFS_"&amp;TEXT(L$1,"mmm")&amp;"_"&amp;TEXT(L$1,"yyyy")),MATCH(TRIM($A164),CFS_Accounts,0))-L164,2)</f>
        <v>0</v>
      </c>
      <c r="M165" s="76">
        <f t="array" ref="M165">ROUND(INDEX(INDIRECT("CFS_"&amp;TEXT(M$1,"mmm")&amp;"_"&amp;TEXT(M$1,"yyyy")),MATCH(TRIM($A164),CFS_Accounts,0))-M164,2)</f>
        <v>0</v>
      </c>
      <c r="N165" s="76">
        <f t="array" ref="N165">ROUND(INDEX(INDIRECT("CFS_"&amp;TEXT(N$1,"mmm")&amp;"_"&amp;TEXT(N$1,"yyyy")),MATCH(TRIM($A164),CFS_Accounts,0))-N164,2)</f>
        <v>0</v>
      </c>
      <c r="O165" s="76">
        <f t="array" ref="O165">ROUND(INDEX(INDIRECT("CFS_"&amp;TEXT(O$1,"mmm")&amp;"_"&amp;TEXT(O$1,"yyyy")),MATCH(TRIM($A164),CFS_Accounts,0))-O164,2)</f>
        <v>0</v>
      </c>
      <c r="P165" s="76">
        <f t="array" ref="P165">ROUND(INDEX(INDIRECT("CFS_"&amp;TEXT(P$1,"mmm")&amp;"_"&amp;TEXT(P$1,"yyyy")),MATCH(TRIM($A164),CFS_Accounts,0))-P164,2)</f>
        <v>0</v>
      </c>
      <c r="Q165" s="76">
        <f t="array" ref="Q165">ROUND(INDEX(INDIRECT("CFS_"&amp;TEXT(Q$1,"mmm")&amp;"_"&amp;TEXT(Q$1,"yyyy")),MATCH(TRIM($A164),CFS_Accounts,0))-Q164,2)</f>
        <v>0</v>
      </c>
      <c r="R165" s="76">
        <f t="array" ref="R165">ROUND(INDEX(INDIRECT("CFS_"&amp;TEXT(R$1,"mmm")&amp;"_"&amp;TEXT(R$1,"yyyy")),MATCH(TRIM($A164),CFS_Accounts,0))-R164,2)</f>
        <v>0</v>
      </c>
      <c r="S165" s="76">
        <f t="array" ref="S165">ROUND(INDEX(INDIRECT("CFS_"&amp;TEXT(S$1,"mmm")&amp;"_"&amp;TEXT(S$1,"yyyy")),MATCH(TRIM($A164),CFS_Accounts,0))-S164,2)</f>
        <v>0</v>
      </c>
      <c r="T165" s="76">
        <f t="array" ref="T165">ROUND(INDEX(INDIRECT("CFS_"&amp;TEXT(T$1,"mmm")&amp;"_"&amp;TEXT(T$1,"yyyy")),MATCH(TRIM($A164),CFS_Accounts,0))-T164,2)</f>
        <v>0</v>
      </c>
      <c r="U165" s="76">
        <f t="array" ref="U165">ROUND(INDEX(INDIRECT("CFS_"&amp;TEXT(U$1,"mmm")&amp;"_"&amp;TEXT(U$1,"yyyy")),MATCH(TRIM($A164),CFS_Accounts,0))-U164,2)</f>
        <v>0</v>
      </c>
      <c r="V165" s="76">
        <f t="array" ref="V165">ROUND(INDEX(INDIRECT("CFS_"&amp;TEXT(V$1,"mmm")&amp;"_"&amp;TEXT(V$1,"yyyy")),MATCH(TRIM($A164),CFS_Accounts,0))-V164,2)</f>
        <v>0</v>
      </c>
      <c r="W165" s="76">
        <f t="array" ref="W165">ROUND(INDEX(INDIRECT("CFS_"&amp;TEXT(W$1,"mmm")&amp;"_"&amp;TEXT(W$1,"yyyy")),MATCH(TRIM($A164),CFS_Accounts,0))-W164,2)</f>
        <v>0</v>
      </c>
      <c r="X165" s="76">
        <f t="array" ref="X165">ROUND(INDEX(INDIRECT("CFS_"&amp;TEXT(X$1,"mmm")&amp;"_"&amp;TEXT(X$1,"yyyy")),MATCH(TRIM($A164),CFS_Accounts,0))-X164,2)</f>
        <v>0</v>
      </c>
      <c r="Y165" s="76">
        <f t="array" ref="Y165">ROUND(INDEX(INDIRECT("CFS_"&amp;TEXT(Y$1,"mmm")&amp;"_"&amp;TEXT(Y$1,"yyyy")),MATCH(TRIM($A164),CFS_Accounts,0))-Y164,2)</f>
        <v>0</v>
      </c>
      <c r="Z165" s="76">
        <f t="array" ref="Z165">ROUND(INDEX(INDIRECT("CFS_"&amp;TEXT(Z$1,"mmm")&amp;"_"&amp;TEXT(Z$1,"yyyy")),MATCH(TRIM($A164),CFS_Accounts,0))-Z164,2)</f>
        <v>0</v>
      </c>
      <c r="AA165" s="76">
        <f t="array" ref="AA165">ROUND(INDEX(INDIRECT("CFS_"&amp;TEXT(AA$1,"mmm")&amp;"_"&amp;TEXT(AA$1,"yyyy")),MATCH(TRIM($A164),CFS_Accounts,0))-AA164,2)</f>
        <v>0</v>
      </c>
      <c r="AB165" s="76">
        <f t="array" ref="AB165">ROUND(INDEX(INDIRECT("CFS_"&amp;TEXT(AB$1,"mmm")&amp;"_"&amp;TEXT(AB$1,"yyyy")),MATCH(TRIM($A164),CFS_Accounts,0))-AB164,2)</f>
        <v>0</v>
      </c>
      <c r="AC165" s="76">
        <f t="array" ref="AC165">ROUND(INDEX(INDIRECT("CFS_"&amp;TEXT(AC$1,"mmm")&amp;"_"&amp;TEXT(AC$1,"yyyy")),MATCH(TRIM($A164),CFS_Accounts,0))-AC164,2)</f>
        <v>0</v>
      </c>
      <c r="AD165" s="76">
        <f t="array" ref="AD165">ROUND(INDEX(INDIRECT("CFS_"&amp;TEXT(AD$1,"mmm")&amp;"_"&amp;TEXT(AD$1,"yyyy")),MATCH(TRIM($A164),CFS_Accounts,0))-AD164,2)</f>
        <v>0</v>
      </c>
      <c r="AE165" s="76">
        <f t="array" ref="AE165">ROUND(INDEX(INDIRECT("CFS_"&amp;TEXT(AE$1,"mmm")&amp;"_"&amp;TEXT(AE$1,"yyyy")),MATCH(TRIM($A164),CFS_Accounts,0))-AE164,2)</f>
        <v>0</v>
      </c>
    </row>
    <row r="166" ht="15.75" customHeight="1">
      <c r="A166" s="1" t="s">
        <v>377</v>
      </c>
      <c r="B166" s="159"/>
    </row>
    <row r="167" ht="15.75" customHeight="1">
      <c r="A167" s="1" t="s">
        <v>378</v>
      </c>
      <c r="B167" s="159"/>
      <c r="D167" s="96">
        <f t="shared" ref="D167:BW167" si="85">-D110+C110</f>
        <v>0</v>
      </c>
      <c r="E167" s="96">
        <f t="shared" si="85"/>
        <v>0</v>
      </c>
      <c r="F167" s="96">
        <f t="shared" si="85"/>
        <v>0</v>
      </c>
      <c r="G167" s="96">
        <f t="shared" si="85"/>
        <v>0</v>
      </c>
      <c r="H167" s="96">
        <f t="shared" si="85"/>
        <v>0</v>
      </c>
      <c r="I167" s="96">
        <f t="shared" si="85"/>
        <v>0</v>
      </c>
      <c r="J167" s="96">
        <f t="shared" si="85"/>
        <v>0</v>
      </c>
      <c r="K167" s="96">
        <f t="shared" si="85"/>
        <v>0</v>
      </c>
      <c r="L167" s="96">
        <f t="shared" si="85"/>
        <v>0</v>
      </c>
      <c r="M167" s="96">
        <f t="shared" si="85"/>
        <v>0</v>
      </c>
      <c r="N167" s="96">
        <f t="shared" si="85"/>
        <v>0</v>
      </c>
      <c r="O167" s="96">
        <f t="shared" si="85"/>
        <v>0</v>
      </c>
      <c r="P167" s="96">
        <f t="shared" si="85"/>
        <v>0</v>
      </c>
      <c r="Q167" s="96">
        <f t="shared" si="85"/>
        <v>0</v>
      </c>
      <c r="R167" s="96">
        <f t="shared" si="85"/>
        <v>0</v>
      </c>
      <c r="S167" s="96">
        <f t="shared" si="85"/>
        <v>0</v>
      </c>
      <c r="T167" s="96">
        <f t="shared" si="85"/>
        <v>0</v>
      </c>
      <c r="U167" s="96">
        <f t="shared" si="85"/>
        <v>0</v>
      </c>
      <c r="V167" s="96">
        <f t="shared" si="85"/>
        <v>0</v>
      </c>
      <c r="W167" s="96">
        <f t="shared" si="85"/>
        <v>0</v>
      </c>
      <c r="X167" s="96">
        <f t="shared" si="85"/>
        <v>0</v>
      </c>
      <c r="Y167" s="96">
        <f t="shared" si="85"/>
        <v>0</v>
      </c>
      <c r="Z167" s="96">
        <f t="shared" si="85"/>
        <v>0</v>
      </c>
      <c r="AA167" s="96">
        <f t="shared" si="85"/>
        <v>0</v>
      </c>
      <c r="AB167" s="96">
        <f t="shared" si="85"/>
        <v>0</v>
      </c>
      <c r="AC167" s="96">
        <f t="shared" si="85"/>
        <v>0</v>
      </c>
      <c r="AD167" s="96">
        <f t="shared" si="85"/>
        <v>0</v>
      </c>
      <c r="AE167" s="96">
        <f t="shared" si="85"/>
        <v>0</v>
      </c>
      <c r="AF167" s="96">
        <f t="shared" si="85"/>
        <v>0</v>
      </c>
      <c r="AG167" s="96">
        <f t="shared" si="85"/>
        <v>0</v>
      </c>
      <c r="AH167" s="96">
        <f t="shared" si="85"/>
        <v>0</v>
      </c>
      <c r="AI167" s="96">
        <f t="shared" si="85"/>
        <v>0</v>
      </c>
      <c r="AJ167" s="96">
        <f t="shared" si="85"/>
        <v>0</v>
      </c>
      <c r="AK167" s="96">
        <f t="shared" si="85"/>
        <v>0</v>
      </c>
      <c r="AL167" s="96">
        <f t="shared" si="85"/>
        <v>0</v>
      </c>
      <c r="AM167" s="96">
        <f t="shared" si="85"/>
        <v>0</v>
      </c>
      <c r="AN167" s="96">
        <f t="shared" si="85"/>
        <v>0</v>
      </c>
      <c r="AO167" s="96">
        <f t="shared" si="85"/>
        <v>0</v>
      </c>
      <c r="AP167" s="96">
        <f t="shared" si="85"/>
        <v>0</v>
      </c>
      <c r="AQ167" s="96">
        <f t="shared" si="85"/>
        <v>0</v>
      </c>
      <c r="AR167" s="96">
        <f t="shared" si="85"/>
        <v>0</v>
      </c>
      <c r="AS167" s="96">
        <f t="shared" si="85"/>
        <v>0</v>
      </c>
      <c r="AT167" s="96">
        <f t="shared" si="85"/>
        <v>0</v>
      </c>
      <c r="AU167" s="96">
        <f t="shared" si="85"/>
        <v>0</v>
      </c>
      <c r="AV167" s="96">
        <f t="shared" si="85"/>
        <v>0</v>
      </c>
      <c r="AW167" s="96">
        <f t="shared" si="85"/>
        <v>0</v>
      </c>
      <c r="AX167" s="96">
        <f t="shared" si="85"/>
        <v>0</v>
      </c>
      <c r="AY167" s="96">
        <f t="shared" si="85"/>
        <v>0</v>
      </c>
      <c r="AZ167" s="96">
        <f t="shared" si="85"/>
        <v>0</v>
      </c>
      <c r="BA167" s="96">
        <f t="shared" si="85"/>
        <v>0</v>
      </c>
      <c r="BB167" s="96">
        <f t="shared" si="85"/>
        <v>0</v>
      </c>
      <c r="BC167" s="96">
        <f t="shared" si="85"/>
        <v>0</v>
      </c>
      <c r="BD167" s="96">
        <f t="shared" si="85"/>
        <v>0</v>
      </c>
      <c r="BE167" s="96">
        <f t="shared" si="85"/>
        <v>0</v>
      </c>
      <c r="BF167" s="96">
        <f t="shared" si="85"/>
        <v>0</v>
      </c>
      <c r="BG167" s="96">
        <f t="shared" si="85"/>
        <v>0</v>
      </c>
      <c r="BH167" s="96">
        <f t="shared" si="85"/>
        <v>0</v>
      </c>
      <c r="BI167" s="96">
        <f t="shared" si="85"/>
        <v>0</v>
      </c>
      <c r="BJ167" s="96">
        <f t="shared" si="85"/>
        <v>0</v>
      </c>
      <c r="BK167" s="96">
        <f t="shared" si="85"/>
        <v>0</v>
      </c>
      <c r="BL167" s="96">
        <f t="shared" si="85"/>
        <v>0</v>
      </c>
      <c r="BM167" s="96">
        <f t="shared" si="85"/>
        <v>0</v>
      </c>
      <c r="BN167" s="96">
        <f t="shared" si="85"/>
        <v>0</v>
      </c>
      <c r="BO167" s="96">
        <f t="shared" si="85"/>
        <v>0</v>
      </c>
      <c r="BP167" s="96">
        <f t="shared" si="85"/>
        <v>0</v>
      </c>
      <c r="BQ167" s="96">
        <f t="shared" si="85"/>
        <v>0</v>
      </c>
      <c r="BR167" s="96">
        <f t="shared" si="85"/>
        <v>0</v>
      </c>
      <c r="BS167" s="96">
        <f t="shared" si="85"/>
        <v>0</v>
      </c>
      <c r="BT167" s="96">
        <f t="shared" si="85"/>
        <v>0</v>
      </c>
      <c r="BU167" s="96">
        <f t="shared" si="85"/>
        <v>0</v>
      </c>
      <c r="BV167" s="96">
        <f t="shared" si="85"/>
        <v>0</v>
      </c>
      <c r="BW167" s="96">
        <f t="shared" si="85"/>
        <v>0</v>
      </c>
    </row>
    <row r="168" ht="15.75" customHeight="1">
      <c r="A168" s="1" t="s">
        <v>379</v>
      </c>
      <c r="B168" s="159"/>
      <c r="D168" s="96">
        <f t="shared" ref="D168:BW168" si="86">-D115+C115</f>
        <v>0</v>
      </c>
      <c r="E168" s="96">
        <f t="shared" si="86"/>
        <v>0</v>
      </c>
      <c r="F168" s="96">
        <f t="shared" si="86"/>
        <v>0</v>
      </c>
      <c r="G168" s="96">
        <f t="shared" si="86"/>
        <v>0</v>
      </c>
      <c r="H168" s="96">
        <f t="shared" si="86"/>
        <v>0</v>
      </c>
      <c r="I168" s="96">
        <f t="shared" si="86"/>
        <v>0</v>
      </c>
      <c r="J168" s="96">
        <f t="shared" si="86"/>
        <v>0</v>
      </c>
      <c r="K168" s="96">
        <f t="shared" si="86"/>
        <v>0</v>
      </c>
      <c r="L168" s="96">
        <f t="shared" si="86"/>
        <v>0</v>
      </c>
      <c r="M168" s="96">
        <f t="shared" si="86"/>
        <v>0</v>
      </c>
      <c r="N168" s="96">
        <f t="shared" si="86"/>
        <v>0</v>
      </c>
      <c r="O168" s="96">
        <f t="shared" si="86"/>
        <v>0</v>
      </c>
      <c r="P168" s="96">
        <f t="shared" si="86"/>
        <v>0</v>
      </c>
      <c r="Q168" s="96">
        <f t="shared" si="86"/>
        <v>0</v>
      </c>
      <c r="R168" s="96">
        <f t="shared" si="86"/>
        <v>0</v>
      </c>
      <c r="S168" s="96">
        <f t="shared" si="86"/>
        <v>0</v>
      </c>
      <c r="T168" s="96">
        <f t="shared" si="86"/>
        <v>0</v>
      </c>
      <c r="U168" s="96">
        <f t="shared" si="86"/>
        <v>0</v>
      </c>
      <c r="V168" s="96">
        <f t="shared" si="86"/>
        <v>0</v>
      </c>
      <c r="W168" s="96">
        <f t="shared" si="86"/>
        <v>0</v>
      </c>
      <c r="X168" s="96">
        <f t="shared" si="86"/>
        <v>0</v>
      </c>
      <c r="Y168" s="96">
        <f t="shared" si="86"/>
        <v>0</v>
      </c>
      <c r="Z168" s="96">
        <f t="shared" si="86"/>
        <v>0</v>
      </c>
      <c r="AA168" s="96">
        <f t="shared" si="86"/>
        <v>0</v>
      </c>
      <c r="AB168" s="96">
        <f t="shared" si="86"/>
        <v>0</v>
      </c>
      <c r="AC168" s="96">
        <f t="shared" si="86"/>
        <v>0</v>
      </c>
      <c r="AD168" s="96">
        <f t="shared" si="86"/>
        <v>0</v>
      </c>
      <c r="AE168" s="96">
        <f t="shared" si="86"/>
        <v>0</v>
      </c>
      <c r="AF168" s="96">
        <f t="shared" si="86"/>
        <v>0</v>
      </c>
      <c r="AG168" s="96">
        <f t="shared" si="86"/>
        <v>0</v>
      </c>
      <c r="AH168" s="96">
        <f t="shared" si="86"/>
        <v>0</v>
      </c>
      <c r="AI168" s="96">
        <f t="shared" si="86"/>
        <v>0</v>
      </c>
      <c r="AJ168" s="96">
        <f t="shared" si="86"/>
        <v>0</v>
      </c>
      <c r="AK168" s="96">
        <f t="shared" si="86"/>
        <v>0</v>
      </c>
      <c r="AL168" s="96">
        <f t="shared" si="86"/>
        <v>0</v>
      </c>
      <c r="AM168" s="96">
        <f t="shared" si="86"/>
        <v>0</v>
      </c>
      <c r="AN168" s="96">
        <f t="shared" si="86"/>
        <v>0</v>
      </c>
      <c r="AO168" s="96">
        <f t="shared" si="86"/>
        <v>0</v>
      </c>
      <c r="AP168" s="96">
        <f t="shared" si="86"/>
        <v>0</v>
      </c>
      <c r="AQ168" s="96">
        <f t="shared" si="86"/>
        <v>0</v>
      </c>
      <c r="AR168" s="96">
        <f t="shared" si="86"/>
        <v>0</v>
      </c>
      <c r="AS168" s="96">
        <f t="shared" si="86"/>
        <v>0</v>
      </c>
      <c r="AT168" s="96">
        <f t="shared" si="86"/>
        <v>0</v>
      </c>
      <c r="AU168" s="96">
        <f t="shared" si="86"/>
        <v>0</v>
      </c>
      <c r="AV168" s="96">
        <f t="shared" si="86"/>
        <v>0</v>
      </c>
      <c r="AW168" s="96">
        <f t="shared" si="86"/>
        <v>0</v>
      </c>
      <c r="AX168" s="96">
        <f t="shared" si="86"/>
        <v>0</v>
      </c>
      <c r="AY168" s="96">
        <f t="shared" si="86"/>
        <v>0</v>
      </c>
      <c r="AZ168" s="96">
        <f t="shared" si="86"/>
        <v>0</v>
      </c>
      <c r="BA168" s="96">
        <f t="shared" si="86"/>
        <v>0</v>
      </c>
      <c r="BB168" s="96">
        <f t="shared" si="86"/>
        <v>0</v>
      </c>
      <c r="BC168" s="96">
        <f t="shared" si="86"/>
        <v>0</v>
      </c>
      <c r="BD168" s="96">
        <f t="shared" si="86"/>
        <v>0</v>
      </c>
      <c r="BE168" s="96">
        <f t="shared" si="86"/>
        <v>0</v>
      </c>
      <c r="BF168" s="96">
        <f t="shared" si="86"/>
        <v>0</v>
      </c>
      <c r="BG168" s="96">
        <f t="shared" si="86"/>
        <v>0</v>
      </c>
      <c r="BH168" s="96">
        <f t="shared" si="86"/>
        <v>0</v>
      </c>
      <c r="BI168" s="96">
        <f t="shared" si="86"/>
        <v>0</v>
      </c>
      <c r="BJ168" s="96">
        <f t="shared" si="86"/>
        <v>0</v>
      </c>
      <c r="BK168" s="96">
        <f t="shared" si="86"/>
        <v>0</v>
      </c>
      <c r="BL168" s="96">
        <f t="shared" si="86"/>
        <v>0</v>
      </c>
      <c r="BM168" s="96">
        <f t="shared" si="86"/>
        <v>0</v>
      </c>
      <c r="BN168" s="96">
        <f t="shared" si="86"/>
        <v>0</v>
      </c>
      <c r="BO168" s="96">
        <f t="shared" si="86"/>
        <v>0</v>
      </c>
      <c r="BP168" s="96">
        <f t="shared" si="86"/>
        <v>0</v>
      </c>
      <c r="BQ168" s="96">
        <f t="shared" si="86"/>
        <v>0</v>
      </c>
      <c r="BR168" s="96">
        <f t="shared" si="86"/>
        <v>0</v>
      </c>
      <c r="BS168" s="96">
        <f t="shared" si="86"/>
        <v>0</v>
      </c>
      <c r="BT168" s="96">
        <f t="shared" si="86"/>
        <v>0</v>
      </c>
      <c r="BU168" s="96">
        <f t="shared" si="86"/>
        <v>0</v>
      </c>
      <c r="BV168" s="96">
        <f t="shared" si="86"/>
        <v>0</v>
      </c>
      <c r="BW168" s="96">
        <f t="shared" si="86"/>
        <v>0</v>
      </c>
    </row>
    <row r="169" ht="15.75" customHeight="1">
      <c r="A169" s="1" t="s">
        <v>380</v>
      </c>
      <c r="B169" s="159"/>
      <c r="D169" s="96">
        <f t="shared" ref="D169:BW169" si="87">-D116+C116</f>
        <v>0</v>
      </c>
      <c r="E169" s="96">
        <f t="shared" si="87"/>
        <v>0</v>
      </c>
      <c r="F169" s="96">
        <f t="shared" si="87"/>
        <v>0</v>
      </c>
      <c r="G169" s="96">
        <f t="shared" si="87"/>
        <v>0</v>
      </c>
      <c r="H169" s="96">
        <f t="shared" si="87"/>
        <v>0</v>
      </c>
      <c r="I169" s="96">
        <f t="shared" si="87"/>
        <v>0</v>
      </c>
      <c r="J169" s="96">
        <f t="shared" si="87"/>
        <v>0</v>
      </c>
      <c r="K169" s="96">
        <f t="shared" si="87"/>
        <v>0</v>
      </c>
      <c r="L169" s="96">
        <f t="shared" si="87"/>
        <v>0</v>
      </c>
      <c r="M169" s="96">
        <f t="shared" si="87"/>
        <v>0</v>
      </c>
      <c r="N169" s="96">
        <f t="shared" si="87"/>
        <v>0</v>
      </c>
      <c r="O169" s="96">
        <f t="shared" si="87"/>
        <v>0</v>
      </c>
      <c r="P169" s="96">
        <f t="shared" si="87"/>
        <v>0</v>
      </c>
      <c r="Q169" s="96">
        <f t="shared" si="87"/>
        <v>0</v>
      </c>
      <c r="R169" s="96">
        <f t="shared" si="87"/>
        <v>0</v>
      </c>
      <c r="S169" s="96">
        <f t="shared" si="87"/>
        <v>0</v>
      </c>
      <c r="T169" s="96">
        <f t="shared" si="87"/>
        <v>0</v>
      </c>
      <c r="U169" s="96">
        <f t="shared" si="87"/>
        <v>0</v>
      </c>
      <c r="V169" s="96">
        <f t="shared" si="87"/>
        <v>0</v>
      </c>
      <c r="W169" s="96">
        <f t="shared" si="87"/>
        <v>0</v>
      </c>
      <c r="X169" s="96">
        <f t="shared" si="87"/>
        <v>0</v>
      </c>
      <c r="Y169" s="96">
        <f t="shared" si="87"/>
        <v>0</v>
      </c>
      <c r="Z169" s="96">
        <f t="shared" si="87"/>
        <v>0</v>
      </c>
      <c r="AA169" s="96">
        <f t="shared" si="87"/>
        <v>0</v>
      </c>
      <c r="AB169" s="96">
        <f t="shared" si="87"/>
        <v>0</v>
      </c>
      <c r="AC169" s="96">
        <f t="shared" si="87"/>
        <v>0</v>
      </c>
      <c r="AD169" s="96">
        <f t="shared" si="87"/>
        <v>0</v>
      </c>
      <c r="AE169" s="96">
        <f t="shared" si="87"/>
        <v>0</v>
      </c>
      <c r="AF169" s="96">
        <f t="shared" si="87"/>
        <v>0</v>
      </c>
      <c r="AG169" s="96">
        <f t="shared" si="87"/>
        <v>0</v>
      </c>
      <c r="AH169" s="96">
        <f t="shared" si="87"/>
        <v>0</v>
      </c>
      <c r="AI169" s="96">
        <f t="shared" si="87"/>
        <v>0</v>
      </c>
      <c r="AJ169" s="96">
        <f t="shared" si="87"/>
        <v>0</v>
      </c>
      <c r="AK169" s="96">
        <f t="shared" si="87"/>
        <v>0</v>
      </c>
      <c r="AL169" s="96">
        <f t="shared" si="87"/>
        <v>0</v>
      </c>
      <c r="AM169" s="96">
        <f t="shared" si="87"/>
        <v>0</v>
      </c>
      <c r="AN169" s="96">
        <f t="shared" si="87"/>
        <v>0</v>
      </c>
      <c r="AO169" s="96">
        <f t="shared" si="87"/>
        <v>0</v>
      </c>
      <c r="AP169" s="96">
        <f t="shared" si="87"/>
        <v>0</v>
      </c>
      <c r="AQ169" s="96">
        <f t="shared" si="87"/>
        <v>0</v>
      </c>
      <c r="AR169" s="96">
        <f t="shared" si="87"/>
        <v>0</v>
      </c>
      <c r="AS169" s="96">
        <f t="shared" si="87"/>
        <v>0</v>
      </c>
      <c r="AT169" s="96">
        <f t="shared" si="87"/>
        <v>0</v>
      </c>
      <c r="AU169" s="96">
        <f t="shared" si="87"/>
        <v>0</v>
      </c>
      <c r="AV169" s="96">
        <f t="shared" si="87"/>
        <v>0</v>
      </c>
      <c r="AW169" s="96">
        <f t="shared" si="87"/>
        <v>0</v>
      </c>
      <c r="AX169" s="96">
        <f t="shared" si="87"/>
        <v>0</v>
      </c>
      <c r="AY169" s="96">
        <f t="shared" si="87"/>
        <v>0</v>
      </c>
      <c r="AZ169" s="96">
        <f t="shared" si="87"/>
        <v>0</v>
      </c>
      <c r="BA169" s="96">
        <f t="shared" si="87"/>
        <v>0</v>
      </c>
      <c r="BB169" s="96">
        <f t="shared" si="87"/>
        <v>0</v>
      </c>
      <c r="BC169" s="96">
        <f t="shared" si="87"/>
        <v>0</v>
      </c>
      <c r="BD169" s="96">
        <f t="shared" si="87"/>
        <v>0</v>
      </c>
      <c r="BE169" s="96">
        <f t="shared" si="87"/>
        <v>0</v>
      </c>
      <c r="BF169" s="96">
        <f t="shared" si="87"/>
        <v>0</v>
      </c>
      <c r="BG169" s="96">
        <f t="shared" si="87"/>
        <v>0</v>
      </c>
      <c r="BH169" s="96">
        <f t="shared" si="87"/>
        <v>0</v>
      </c>
      <c r="BI169" s="96">
        <f t="shared" si="87"/>
        <v>0</v>
      </c>
      <c r="BJ169" s="96">
        <f t="shared" si="87"/>
        <v>0</v>
      </c>
      <c r="BK169" s="96">
        <f t="shared" si="87"/>
        <v>0</v>
      </c>
      <c r="BL169" s="96">
        <f t="shared" si="87"/>
        <v>0</v>
      </c>
      <c r="BM169" s="96">
        <f t="shared" si="87"/>
        <v>0</v>
      </c>
      <c r="BN169" s="96">
        <f t="shared" si="87"/>
        <v>0</v>
      </c>
      <c r="BO169" s="96">
        <f t="shared" si="87"/>
        <v>0</v>
      </c>
      <c r="BP169" s="96">
        <f t="shared" si="87"/>
        <v>0</v>
      </c>
      <c r="BQ169" s="96">
        <f t="shared" si="87"/>
        <v>0</v>
      </c>
      <c r="BR169" s="96">
        <f t="shared" si="87"/>
        <v>0</v>
      </c>
      <c r="BS169" s="96">
        <f t="shared" si="87"/>
        <v>0</v>
      </c>
      <c r="BT169" s="96">
        <f t="shared" si="87"/>
        <v>0</v>
      </c>
      <c r="BU169" s="96">
        <f t="shared" si="87"/>
        <v>0</v>
      </c>
      <c r="BV169" s="96">
        <f t="shared" si="87"/>
        <v>0</v>
      </c>
      <c r="BW169" s="96">
        <f t="shared" si="87"/>
        <v>0</v>
      </c>
    </row>
    <row r="170" ht="15.75" customHeight="1">
      <c r="A170" s="21" t="s">
        <v>381</v>
      </c>
      <c r="B170" s="163"/>
      <c r="C170" s="21"/>
      <c r="D170" s="147">
        <f t="shared" ref="D170:BW170" si="88">SUM(D167:D169)</f>
        <v>0</v>
      </c>
      <c r="E170" s="147">
        <f t="shared" si="88"/>
        <v>0</v>
      </c>
      <c r="F170" s="147">
        <f t="shared" si="88"/>
        <v>0</v>
      </c>
      <c r="G170" s="147">
        <f t="shared" si="88"/>
        <v>0</v>
      </c>
      <c r="H170" s="147">
        <f t="shared" si="88"/>
        <v>0</v>
      </c>
      <c r="I170" s="147">
        <f t="shared" si="88"/>
        <v>0</v>
      </c>
      <c r="J170" s="147">
        <f t="shared" si="88"/>
        <v>0</v>
      </c>
      <c r="K170" s="147">
        <f t="shared" si="88"/>
        <v>0</v>
      </c>
      <c r="L170" s="147">
        <f t="shared" si="88"/>
        <v>0</v>
      </c>
      <c r="M170" s="147">
        <f t="shared" si="88"/>
        <v>0</v>
      </c>
      <c r="N170" s="147">
        <f t="shared" si="88"/>
        <v>0</v>
      </c>
      <c r="O170" s="147">
        <f t="shared" si="88"/>
        <v>0</v>
      </c>
      <c r="P170" s="147">
        <f t="shared" si="88"/>
        <v>0</v>
      </c>
      <c r="Q170" s="147">
        <f t="shared" si="88"/>
        <v>0</v>
      </c>
      <c r="R170" s="147">
        <f t="shared" si="88"/>
        <v>0</v>
      </c>
      <c r="S170" s="147">
        <f t="shared" si="88"/>
        <v>0</v>
      </c>
      <c r="T170" s="147">
        <f t="shared" si="88"/>
        <v>0</v>
      </c>
      <c r="U170" s="147">
        <f t="shared" si="88"/>
        <v>0</v>
      </c>
      <c r="V170" s="147">
        <f t="shared" si="88"/>
        <v>0</v>
      </c>
      <c r="W170" s="147">
        <f t="shared" si="88"/>
        <v>0</v>
      </c>
      <c r="X170" s="147">
        <f t="shared" si="88"/>
        <v>0</v>
      </c>
      <c r="Y170" s="147">
        <f t="shared" si="88"/>
        <v>0</v>
      </c>
      <c r="Z170" s="147">
        <f t="shared" si="88"/>
        <v>0</v>
      </c>
      <c r="AA170" s="147">
        <f t="shared" si="88"/>
        <v>0</v>
      </c>
      <c r="AB170" s="147">
        <f t="shared" si="88"/>
        <v>0</v>
      </c>
      <c r="AC170" s="147">
        <f t="shared" si="88"/>
        <v>0</v>
      </c>
      <c r="AD170" s="147">
        <f t="shared" si="88"/>
        <v>0</v>
      </c>
      <c r="AE170" s="147">
        <f t="shared" si="88"/>
        <v>0</v>
      </c>
      <c r="AF170" s="147">
        <f t="shared" si="88"/>
        <v>0</v>
      </c>
      <c r="AG170" s="147">
        <f t="shared" si="88"/>
        <v>0</v>
      </c>
      <c r="AH170" s="147">
        <f t="shared" si="88"/>
        <v>0</v>
      </c>
      <c r="AI170" s="147">
        <f t="shared" si="88"/>
        <v>0</v>
      </c>
      <c r="AJ170" s="147">
        <f t="shared" si="88"/>
        <v>0</v>
      </c>
      <c r="AK170" s="147">
        <f t="shared" si="88"/>
        <v>0</v>
      </c>
      <c r="AL170" s="147">
        <f t="shared" si="88"/>
        <v>0</v>
      </c>
      <c r="AM170" s="147">
        <f t="shared" si="88"/>
        <v>0</v>
      </c>
      <c r="AN170" s="147">
        <f t="shared" si="88"/>
        <v>0</v>
      </c>
      <c r="AO170" s="147">
        <f t="shared" si="88"/>
        <v>0</v>
      </c>
      <c r="AP170" s="147">
        <f t="shared" si="88"/>
        <v>0</v>
      </c>
      <c r="AQ170" s="147">
        <f t="shared" si="88"/>
        <v>0</v>
      </c>
      <c r="AR170" s="147">
        <f t="shared" si="88"/>
        <v>0</v>
      </c>
      <c r="AS170" s="147">
        <f t="shared" si="88"/>
        <v>0</v>
      </c>
      <c r="AT170" s="147">
        <f t="shared" si="88"/>
        <v>0</v>
      </c>
      <c r="AU170" s="147">
        <f t="shared" si="88"/>
        <v>0</v>
      </c>
      <c r="AV170" s="147">
        <f t="shared" si="88"/>
        <v>0</v>
      </c>
      <c r="AW170" s="147">
        <f t="shared" si="88"/>
        <v>0</v>
      </c>
      <c r="AX170" s="147">
        <f t="shared" si="88"/>
        <v>0</v>
      </c>
      <c r="AY170" s="147">
        <f t="shared" si="88"/>
        <v>0</v>
      </c>
      <c r="AZ170" s="147">
        <f t="shared" si="88"/>
        <v>0</v>
      </c>
      <c r="BA170" s="147">
        <f t="shared" si="88"/>
        <v>0</v>
      </c>
      <c r="BB170" s="147">
        <f t="shared" si="88"/>
        <v>0</v>
      </c>
      <c r="BC170" s="147">
        <f t="shared" si="88"/>
        <v>0</v>
      </c>
      <c r="BD170" s="147">
        <f t="shared" si="88"/>
        <v>0</v>
      </c>
      <c r="BE170" s="147">
        <f t="shared" si="88"/>
        <v>0</v>
      </c>
      <c r="BF170" s="147">
        <f t="shared" si="88"/>
        <v>0</v>
      </c>
      <c r="BG170" s="147">
        <f t="shared" si="88"/>
        <v>0</v>
      </c>
      <c r="BH170" s="147">
        <f t="shared" si="88"/>
        <v>0</v>
      </c>
      <c r="BI170" s="147">
        <f t="shared" si="88"/>
        <v>0</v>
      </c>
      <c r="BJ170" s="147">
        <f t="shared" si="88"/>
        <v>0</v>
      </c>
      <c r="BK170" s="147">
        <f t="shared" si="88"/>
        <v>0</v>
      </c>
      <c r="BL170" s="147">
        <f t="shared" si="88"/>
        <v>0</v>
      </c>
      <c r="BM170" s="147">
        <f t="shared" si="88"/>
        <v>0</v>
      </c>
      <c r="BN170" s="147">
        <f t="shared" si="88"/>
        <v>0</v>
      </c>
      <c r="BO170" s="147">
        <f t="shared" si="88"/>
        <v>0</v>
      </c>
      <c r="BP170" s="147">
        <f t="shared" si="88"/>
        <v>0</v>
      </c>
      <c r="BQ170" s="147">
        <f t="shared" si="88"/>
        <v>0</v>
      </c>
      <c r="BR170" s="147">
        <f t="shared" si="88"/>
        <v>0</v>
      </c>
      <c r="BS170" s="147">
        <f t="shared" si="88"/>
        <v>0</v>
      </c>
      <c r="BT170" s="147">
        <f t="shared" si="88"/>
        <v>0</v>
      </c>
      <c r="BU170" s="147">
        <f t="shared" si="88"/>
        <v>0</v>
      </c>
      <c r="BV170" s="147">
        <f t="shared" si="88"/>
        <v>0</v>
      </c>
      <c r="BW170" s="147">
        <f t="shared" si="88"/>
        <v>0</v>
      </c>
    </row>
    <row r="171" ht="15.75" customHeight="1">
      <c r="A171" s="31" t="s">
        <v>244</v>
      </c>
      <c r="B171" s="159"/>
      <c r="D171" s="76">
        <f t="array" ref="D171">ROUND(INDEX(INDIRECT("CFS_"&amp;TEXT(D$1,"mmm")&amp;"_"&amp;TEXT(D$1,"yyyy")),MATCH(TRIM($A170),CFS_Accounts,0))-D170,2)</f>
        <v>0</v>
      </c>
      <c r="E171" s="76">
        <f t="array" ref="E171">ROUND(INDEX(INDIRECT("CFS_"&amp;TEXT(E$1,"mmm")&amp;"_"&amp;TEXT(E$1,"yyyy")),MATCH(TRIM($A170),CFS_Accounts,0))-E170,2)</f>
        <v>0</v>
      </c>
      <c r="F171" s="76">
        <f t="array" ref="F171">ROUND(INDEX(INDIRECT("CFS_"&amp;TEXT(F$1,"mmm")&amp;"_"&amp;TEXT(F$1,"yyyy")),MATCH(TRIM($A170),CFS_Accounts,0))-F170,2)</f>
        <v>0</v>
      </c>
      <c r="G171" s="76">
        <f t="array" ref="G171">ROUND(INDEX(INDIRECT("CFS_"&amp;TEXT(G$1,"mmm")&amp;"_"&amp;TEXT(G$1,"yyyy")),MATCH(TRIM($A170),CFS_Accounts,0))-G170,2)</f>
        <v>0</v>
      </c>
      <c r="H171" s="76">
        <f t="array" ref="H171">ROUND(INDEX(INDIRECT("CFS_"&amp;TEXT(H$1,"mmm")&amp;"_"&amp;TEXT(H$1,"yyyy")),MATCH(TRIM($A170),CFS_Accounts,0))-H170,2)</f>
        <v>0</v>
      </c>
      <c r="I171" s="76">
        <f t="array" ref="I171">ROUND(INDEX(INDIRECT("CFS_"&amp;TEXT(I$1,"mmm")&amp;"_"&amp;TEXT(I$1,"yyyy")),MATCH(TRIM($A170),CFS_Accounts,0))-I170,2)</f>
        <v>0</v>
      </c>
      <c r="J171" s="76">
        <f t="array" ref="J171">ROUND(INDEX(INDIRECT("CFS_"&amp;TEXT(J$1,"mmm")&amp;"_"&amp;TEXT(J$1,"yyyy")),MATCH(TRIM($A170),CFS_Accounts,0))-J170,2)</f>
        <v>0</v>
      </c>
      <c r="K171" s="76">
        <f t="array" ref="K171">ROUND(INDEX(INDIRECT("CFS_"&amp;TEXT(K$1,"mmm")&amp;"_"&amp;TEXT(K$1,"yyyy")),MATCH(TRIM($A170),CFS_Accounts,0))-K170,2)</f>
        <v>0</v>
      </c>
      <c r="L171" s="76">
        <f t="array" ref="L171">ROUND(INDEX(INDIRECT("CFS_"&amp;TEXT(L$1,"mmm")&amp;"_"&amp;TEXT(L$1,"yyyy")),MATCH(TRIM($A170),CFS_Accounts,0))-L170,2)</f>
        <v>0</v>
      </c>
      <c r="M171" s="76">
        <f t="array" ref="M171">ROUND(INDEX(INDIRECT("CFS_"&amp;TEXT(M$1,"mmm")&amp;"_"&amp;TEXT(M$1,"yyyy")),MATCH(TRIM($A170),CFS_Accounts,0))-M170,2)</f>
        <v>0</v>
      </c>
      <c r="N171" s="76">
        <f t="array" ref="N171">ROUND(INDEX(INDIRECT("CFS_"&amp;TEXT(N$1,"mmm")&amp;"_"&amp;TEXT(N$1,"yyyy")),MATCH(TRIM($A170),CFS_Accounts,0))-N170,2)</f>
        <v>0</v>
      </c>
      <c r="O171" s="76">
        <f t="array" ref="O171">ROUND(INDEX(INDIRECT("CFS_"&amp;TEXT(O$1,"mmm")&amp;"_"&amp;TEXT(O$1,"yyyy")),MATCH(TRIM($A170),CFS_Accounts,0))-O170,2)</f>
        <v>0</v>
      </c>
      <c r="P171" s="76">
        <f t="array" ref="P171">ROUND(INDEX(INDIRECT("CFS_"&amp;TEXT(P$1,"mmm")&amp;"_"&amp;TEXT(P$1,"yyyy")),MATCH(TRIM($A170),CFS_Accounts,0))-P170,2)</f>
        <v>0</v>
      </c>
      <c r="Q171" s="76">
        <f t="array" ref="Q171">ROUND(INDEX(INDIRECT("CFS_"&amp;TEXT(Q$1,"mmm")&amp;"_"&amp;TEXT(Q$1,"yyyy")),MATCH(TRIM($A170),CFS_Accounts,0))-Q170,2)</f>
        <v>0</v>
      </c>
      <c r="R171" s="76">
        <f t="array" ref="R171">ROUND(INDEX(INDIRECT("CFS_"&amp;TEXT(R$1,"mmm")&amp;"_"&amp;TEXT(R$1,"yyyy")),MATCH(TRIM($A170),CFS_Accounts,0))-R170,2)</f>
        <v>0</v>
      </c>
      <c r="S171" s="76">
        <f t="array" ref="S171">ROUND(INDEX(INDIRECT("CFS_"&amp;TEXT(S$1,"mmm")&amp;"_"&amp;TEXT(S$1,"yyyy")),MATCH(TRIM($A170),CFS_Accounts,0))-S170,2)</f>
        <v>0</v>
      </c>
      <c r="T171" s="76">
        <f t="array" ref="T171">ROUND(INDEX(INDIRECT("CFS_"&amp;TEXT(T$1,"mmm")&amp;"_"&amp;TEXT(T$1,"yyyy")),MATCH(TRIM($A170),CFS_Accounts,0))-T170,2)</f>
        <v>0</v>
      </c>
      <c r="U171" s="76">
        <f t="array" ref="U171">ROUND(INDEX(INDIRECT("CFS_"&amp;TEXT(U$1,"mmm")&amp;"_"&amp;TEXT(U$1,"yyyy")),MATCH(TRIM($A170),CFS_Accounts,0))-U170,2)</f>
        <v>0</v>
      </c>
      <c r="V171" s="76">
        <f t="array" ref="V171">ROUND(INDEX(INDIRECT("CFS_"&amp;TEXT(V$1,"mmm")&amp;"_"&amp;TEXT(V$1,"yyyy")),MATCH(TRIM($A170),CFS_Accounts,0))-V170,2)</f>
        <v>0</v>
      </c>
      <c r="W171" s="76">
        <f t="array" ref="W171">ROUND(INDEX(INDIRECT("CFS_"&amp;TEXT(W$1,"mmm")&amp;"_"&amp;TEXT(W$1,"yyyy")),MATCH(TRIM($A170),CFS_Accounts,0))-W170,2)</f>
        <v>0</v>
      </c>
      <c r="X171" s="76">
        <f t="array" ref="X171">ROUND(INDEX(INDIRECT("CFS_"&amp;TEXT(X$1,"mmm")&amp;"_"&amp;TEXT(X$1,"yyyy")),MATCH(TRIM($A170),CFS_Accounts,0))-X170,2)</f>
        <v>0</v>
      </c>
      <c r="Y171" s="76">
        <f t="array" ref="Y171">ROUND(INDEX(INDIRECT("CFS_"&amp;TEXT(Y$1,"mmm")&amp;"_"&amp;TEXT(Y$1,"yyyy")),MATCH(TRIM($A170),CFS_Accounts,0))-Y170,2)</f>
        <v>0</v>
      </c>
      <c r="Z171" s="76">
        <f t="array" ref="Z171">ROUND(INDEX(INDIRECT("CFS_"&amp;TEXT(Z$1,"mmm")&amp;"_"&amp;TEXT(Z$1,"yyyy")),MATCH(TRIM($A170),CFS_Accounts,0))-Z170,2)</f>
        <v>0</v>
      </c>
      <c r="AA171" s="76">
        <f t="array" ref="AA171">ROUND(INDEX(INDIRECT("CFS_"&amp;TEXT(AA$1,"mmm")&amp;"_"&amp;TEXT(AA$1,"yyyy")),MATCH(TRIM($A170),CFS_Accounts,0))-AA170,2)</f>
        <v>0</v>
      </c>
      <c r="AB171" s="76">
        <f t="array" ref="AB171">ROUND(INDEX(INDIRECT("CFS_"&amp;TEXT(AB$1,"mmm")&amp;"_"&amp;TEXT(AB$1,"yyyy")),MATCH(TRIM($A170),CFS_Accounts,0))-AB170,2)</f>
        <v>0</v>
      </c>
      <c r="AC171" s="76">
        <f t="array" ref="AC171">ROUND(INDEX(INDIRECT("CFS_"&amp;TEXT(AC$1,"mmm")&amp;"_"&amp;TEXT(AC$1,"yyyy")),MATCH(TRIM($A170),CFS_Accounts,0))-AC170,2)</f>
        <v>0</v>
      </c>
      <c r="AD171" s="76">
        <f t="array" ref="AD171">ROUND(INDEX(INDIRECT("CFS_"&amp;TEXT(AD$1,"mmm")&amp;"_"&amp;TEXT(AD$1,"yyyy")),MATCH(TRIM($A170),CFS_Accounts,0))-AD170,2)</f>
        <v>0</v>
      </c>
      <c r="AE171" s="76">
        <f t="array" ref="AE171">ROUND(INDEX(INDIRECT("CFS_"&amp;TEXT(AE$1,"mmm")&amp;"_"&amp;TEXT(AE$1,"yyyy")),MATCH(TRIM($A170),CFS_Accounts,0))-AE170,2)</f>
        <v>0</v>
      </c>
    </row>
    <row r="172" ht="15.75" customHeight="1">
      <c r="A172" s="1" t="s">
        <v>382</v>
      </c>
      <c r="B172" s="159"/>
    </row>
    <row r="173" ht="15.75" customHeight="1">
      <c r="A173" s="1" t="s">
        <v>383</v>
      </c>
      <c r="B173" s="159"/>
      <c r="D173" s="96">
        <f t="shared" ref="D173:BW173" si="89">D134-C134</f>
        <v>550000</v>
      </c>
      <c r="E173" s="96">
        <f t="shared" si="89"/>
        <v>100000</v>
      </c>
      <c r="F173" s="96">
        <f t="shared" si="89"/>
        <v>0</v>
      </c>
      <c r="G173" s="96">
        <f t="shared" si="89"/>
        <v>0</v>
      </c>
      <c r="H173" s="96">
        <f t="shared" si="89"/>
        <v>0</v>
      </c>
      <c r="I173" s="96">
        <f t="shared" si="89"/>
        <v>0</v>
      </c>
      <c r="J173" s="96">
        <f t="shared" si="89"/>
        <v>0</v>
      </c>
      <c r="K173" s="96">
        <f t="shared" si="89"/>
        <v>0</v>
      </c>
      <c r="L173" s="96">
        <f t="shared" si="89"/>
        <v>0</v>
      </c>
      <c r="M173" s="96">
        <f t="shared" si="89"/>
        <v>600000</v>
      </c>
      <c r="N173" s="96">
        <f t="shared" si="89"/>
        <v>0</v>
      </c>
      <c r="O173" s="96">
        <f t="shared" si="89"/>
        <v>0</v>
      </c>
      <c r="P173" s="96">
        <f t="shared" si="89"/>
        <v>500000</v>
      </c>
      <c r="Q173" s="96">
        <f t="shared" si="89"/>
        <v>0</v>
      </c>
      <c r="R173" s="96">
        <f t="shared" si="89"/>
        <v>0</v>
      </c>
      <c r="S173" s="96">
        <f t="shared" si="89"/>
        <v>0</v>
      </c>
      <c r="T173" s="96">
        <f t="shared" si="89"/>
        <v>300000</v>
      </c>
      <c r="U173" s="96">
        <f t="shared" si="89"/>
        <v>0</v>
      </c>
      <c r="V173" s="96">
        <f t="shared" si="89"/>
        <v>0</v>
      </c>
      <c r="W173" s="96">
        <f t="shared" si="89"/>
        <v>0</v>
      </c>
      <c r="X173" s="96">
        <f t="shared" si="89"/>
        <v>0</v>
      </c>
      <c r="Y173" s="96">
        <f t="shared" si="89"/>
        <v>300000</v>
      </c>
      <c r="Z173" s="96">
        <f t="shared" si="89"/>
        <v>0</v>
      </c>
      <c r="AA173" s="96">
        <f t="shared" si="89"/>
        <v>0</v>
      </c>
      <c r="AB173" s="96">
        <f t="shared" si="89"/>
        <v>0</v>
      </c>
      <c r="AC173" s="96">
        <f t="shared" si="89"/>
        <v>0</v>
      </c>
      <c r="AD173" s="96">
        <f t="shared" si="89"/>
        <v>0</v>
      </c>
      <c r="AE173" s="96">
        <f t="shared" si="89"/>
        <v>0</v>
      </c>
      <c r="AF173" s="96">
        <f t="shared" si="89"/>
        <v>0</v>
      </c>
      <c r="AG173" s="96">
        <f t="shared" si="89"/>
        <v>0</v>
      </c>
      <c r="AH173" s="96">
        <f t="shared" si="89"/>
        <v>0</v>
      </c>
      <c r="AI173" s="96">
        <f t="shared" si="89"/>
        <v>0</v>
      </c>
      <c r="AJ173" s="96">
        <f t="shared" si="89"/>
        <v>0</v>
      </c>
      <c r="AK173" s="96">
        <f t="shared" si="89"/>
        <v>0</v>
      </c>
      <c r="AL173" s="96">
        <f t="shared" si="89"/>
        <v>0</v>
      </c>
      <c r="AM173" s="96">
        <f t="shared" si="89"/>
        <v>0</v>
      </c>
      <c r="AN173" s="96">
        <f t="shared" si="89"/>
        <v>0</v>
      </c>
      <c r="AO173" s="96">
        <f t="shared" si="89"/>
        <v>0</v>
      </c>
      <c r="AP173" s="96">
        <f t="shared" si="89"/>
        <v>0</v>
      </c>
      <c r="AQ173" s="96">
        <f t="shared" si="89"/>
        <v>0</v>
      </c>
      <c r="AR173" s="96">
        <f t="shared" si="89"/>
        <v>0</v>
      </c>
      <c r="AS173" s="96">
        <f t="shared" si="89"/>
        <v>0</v>
      </c>
      <c r="AT173" s="96">
        <f t="shared" si="89"/>
        <v>0</v>
      </c>
      <c r="AU173" s="96">
        <f t="shared" si="89"/>
        <v>0</v>
      </c>
      <c r="AV173" s="96">
        <f t="shared" si="89"/>
        <v>0</v>
      </c>
      <c r="AW173" s="96">
        <f t="shared" si="89"/>
        <v>0</v>
      </c>
      <c r="AX173" s="96">
        <f t="shared" si="89"/>
        <v>0</v>
      </c>
      <c r="AY173" s="96">
        <f t="shared" si="89"/>
        <v>0</v>
      </c>
      <c r="AZ173" s="96">
        <f t="shared" si="89"/>
        <v>0</v>
      </c>
      <c r="BA173" s="96">
        <f t="shared" si="89"/>
        <v>0</v>
      </c>
      <c r="BB173" s="96">
        <f t="shared" si="89"/>
        <v>0</v>
      </c>
      <c r="BC173" s="96">
        <f t="shared" si="89"/>
        <v>0</v>
      </c>
      <c r="BD173" s="96">
        <f t="shared" si="89"/>
        <v>0</v>
      </c>
      <c r="BE173" s="96">
        <f t="shared" si="89"/>
        <v>0</v>
      </c>
      <c r="BF173" s="96">
        <f t="shared" si="89"/>
        <v>0</v>
      </c>
      <c r="BG173" s="96">
        <f t="shared" si="89"/>
        <v>0</v>
      </c>
      <c r="BH173" s="96">
        <f t="shared" si="89"/>
        <v>0</v>
      </c>
      <c r="BI173" s="96">
        <f t="shared" si="89"/>
        <v>0</v>
      </c>
      <c r="BJ173" s="96">
        <f t="shared" si="89"/>
        <v>0</v>
      </c>
      <c r="BK173" s="96">
        <f t="shared" si="89"/>
        <v>0</v>
      </c>
      <c r="BL173" s="96">
        <f t="shared" si="89"/>
        <v>0</v>
      </c>
      <c r="BM173" s="96">
        <f t="shared" si="89"/>
        <v>0</v>
      </c>
      <c r="BN173" s="96">
        <f t="shared" si="89"/>
        <v>0</v>
      </c>
      <c r="BO173" s="96">
        <f t="shared" si="89"/>
        <v>0</v>
      </c>
      <c r="BP173" s="96">
        <f t="shared" si="89"/>
        <v>0</v>
      </c>
      <c r="BQ173" s="96">
        <f t="shared" si="89"/>
        <v>0</v>
      </c>
      <c r="BR173" s="96">
        <f t="shared" si="89"/>
        <v>0</v>
      </c>
      <c r="BS173" s="96">
        <f t="shared" si="89"/>
        <v>0</v>
      </c>
      <c r="BT173" s="96">
        <f t="shared" si="89"/>
        <v>0</v>
      </c>
      <c r="BU173" s="96">
        <f t="shared" si="89"/>
        <v>0</v>
      </c>
      <c r="BV173" s="96">
        <f t="shared" si="89"/>
        <v>0</v>
      </c>
      <c r="BW173" s="96">
        <f t="shared" si="89"/>
        <v>0</v>
      </c>
    </row>
    <row r="174" ht="15.75" customHeight="1">
      <c r="A174" s="1" t="s">
        <v>384</v>
      </c>
      <c r="B174" s="159"/>
      <c r="D174" s="96">
        <f t="shared" ref="D174:BW174" si="90">D135-C135</f>
        <v>500000</v>
      </c>
      <c r="E174" s="96">
        <f t="shared" si="90"/>
        <v>0</v>
      </c>
      <c r="F174" s="96">
        <f t="shared" si="90"/>
        <v>0</v>
      </c>
      <c r="G174" s="96">
        <f t="shared" si="90"/>
        <v>0</v>
      </c>
      <c r="H174" s="96">
        <f t="shared" si="90"/>
        <v>0</v>
      </c>
      <c r="I174" s="96">
        <f t="shared" si="90"/>
        <v>0</v>
      </c>
      <c r="J174" s="96">
        <f t="shared" si="90"/>
        <v>0</v>
      </c>
      <c r="K174" s="96">
        <f t="shared" si="90"/>
        <v>0</v>
      </c>
      <c r="L174" s="96">
        <f t="shared" si="90"/>
        <v>0</v>
      </c>
      <c r="M174" s="96">
        <f t="shared" si="90"/>
        <v>0</v>
      </c>
      <c r="N174" s="96">
        <f t="shared" si="90"/>
        <v>0</v>
      </c>
      <c r="O174" s="96">
        <f t="shared" si="90"/>
        <v>0</v>
      </c>
      <c r="P174" s="96">
        <f t="shared" si="90"/>
        <v>0</v>
      </c>
      <c r="Q174" s="96">
        <f t="shared" si="90"/>
        <v>0</v>
      </c>
      <c r="R174" s="96">
        <f t="shared" si="90"/>
        <v>0</v>
      </c>
      <c r="S174" s="96">
        <f t="shared" si="90"/>
        <v>0</v>
      </c>
      <c r="T174" s="96">
        <f t="shared" si="90"/>
        <v>0</v>
      </c>
      <c r="U174" s="96">
        <f t="shared" si="90"/>
        <v>0</v>
      </c>
      <c r="V174" s="96">
        <f t="shared" si="90"/>
        <v>0</v>
      </c>
      <c r="W174" s="96">
        <f t="shared" si="90"/>
        <v>0</v>
      </c>
      <c r="X174" s="96">
        <f t="shared" si="90"/>
        <v>0</v>
      </c>
      <c r="Y174" s="96">
        <f t="shared" si="90"/>
        <v>0</v>
      </c>
      <c r="Z174" s="96">
        <f t="shared" si="90"/>
        <v>0</v>
      </c>
      <c r="AA174" s="96">
        <f t="shared" si="90"/>
        <v>0</v>
      </c>
      <c r="AB174" s="96">
        <f t="shared" si="90"/>
        <v>0</v>
      </c>
      <c r="AC174" s="96">
        <f t="shared" si="90"/>
        <v>0</v>
      </c>
      <c r="AD174" s="96">
        <f t="shared" si="90"/>
        <v>0</v>
      </c>
      <c r="AE174" s="96">
        <f t="shared" si="90"/>
        <v>0</v>
      </c>
      <c r="AF174" s="96">
        <f t="shared" si="90"/>
        <v>0</v>
      </c>
      <c r="AG174" s="96">
        <f t="shared" si="90"/>
        <v>0</v>
      </c>
      <c r="AH174" s="96">
        <f t="shared" si="90"/>
        <v>0</v>
      </c>
      <c r="AI174" s="96">
        <f t="shared" si="90"/>
        <v>0</v>
      </c>
      <c r="AJ174" s="96">
        <f t="shared" si="90"/>
        <v>0</v>
      </c>
      <c r="AK174" s="96">
        <f t="shared" si="90"/>
        <v>0</v>
      </c>
      <c r="AL174" s="96">
        <f t="shared" si="90"/>
        <v>0</v>
      </c>
      <c r="AM174" s="96">
        <f t="shared" si="90"/>
        <v>0</v>
      </c>
      <c r="AN174" s="96">
        <f t="shared" si="90"/>
        <v>0</v>
      </c>
      <c r="AO174" s="96">
        <f t="shared" si="90"/>
        <v>0</v>
      </c>
      <c r="AP174" s="96">
        <f t="shared" si="90"/>
        <v>0</v>
      </c>
      <c r="AQ174" s="96">
        <f t="shared" si="90"/>
        <v>0</v>
      </c>
      <c r="AR174" s="96">
        <f t="shared" si="90"/>
        <v>0</v>
      </c>
      <c r="AS174" s="96">
        <f t="shared" si="90"/>
        <v>0</v>
      </c>
      <c r="AT174" s="96">
        <f t="shared" si="90"/>
        <v>0</v>
      </c>
      <c r="AU174" s="96">
        <f t="shared" si="90"/>
        <v>0</v>
      </c>
      <c r="AV174" s="96">
        <f t="shared" si="90"/>
        <v>0</v>
      </c>
      <c r="AW174" s="96">
        <f t="shared" si="90"/>
        <v>0</v>
      </c>
      <c r="AX174" s="96">
        <f t="shared" si="90"/>
        <v>0</v>
      </c>
      <c r="AY174" s="96">
        <f t="shared" si="90"/>
        <v>0</v>
      </c>
      <c r="AZ174" s="96">
        <f t="shared" si="90"/>
        <v>0</v>
      </c>
      <c r="BA174" s="96">
        <f t="shared" si="90"/>
        <v>0</v>
      </c>
      <c r="BB174" s="96">
        <f t="shared" si="90"/>
        <v>0</v>
      </c>
      <c r="BC174" s="96">
        <f t="shared" si="90"/>
        <v>0</v>
      </c>
      <c r="BD174" s="96">
        <f t="shared" si="90"/>
        <v>0</v>
      </c>
      <c r="BE174" s="96">
        <f t="shared" si="90"/>
        <v>0</v>
      </c>
      <c r="BF174" s="96">
        <f t="shared" si="90"/>
        <v>0</v>
      </c>
      <c r="BG174" s="96">
        <f t="shared" si="90"/>
        <v>0</v>
      </c>
      <c r="BH174" s="96">
        <f t="shared" si="90"/>
        <v>0</v>
      </c>
      <c r="BI174" s="96">
        <f t="shared" si="90"/>
        <v>0</v>
      </c>
      <c r="BJ174" s="96">
        <f t="shared" si="90"/>
        <v>0</v>
      </c>
      <c r="BK174" s="96">
        <f t="shared" si="90"/>
        <v>0</v>
      </c>
      <c r="BL174" s="96">
        <f t="shared" si="90"/>
        <v>0</v>
      </c>
      <c r="BM174" s="96">
        <f t="shared" si="90"/>
        <v>0</v>
      </c>
      <c r="BN174" s="96">
        <f t="shared" si="90"/>
        <v>0</v>
      </c>
      <c r="BO174" s="96">
        <f t="shared" si="90"/>
        <v>0</v>
      </c>
      <c r="BP174" s="96">
        <f t="shared" si="90"/>
        <v>0</v>
      </c>
      <c r="BQ174" s="96">
        <f t="shared" si="90"/>
        <v>0</v>
      </c>
      <c r="BR174" s="96">
        <f t="shared" si="90"/>
        <v>0</v>
      </c>
      <c r="BS174" s="96">
        <f t="shared" si="90"/>
        <v>0</v>
      </c>
      <c r="BT174" s="96">
        <f t="shared" si="90"/>
        <v>0</v>
      </c>
      <c r="BU174" s="96">
        <f t="shared" si="90"/>
        <v>0</v>
      </c>
      <c r="BV174" s="96">
        <f t="shared" si="90"/>
        <v>0</v>
      </c>
      <c r="BW174" s="96">
        <f t="shared" si="90"/>
        <v>0</v>
      </c>
    </row>
    <row r="175" ht="15.75" customHeight="1">
      <c r="A175" s="1" t="s">
        <v>385</v>
      </c>
      <c r="B175" s="159"/>
      <c r="D175" s="96">
        <f t="shared" ref="D175:BW175" si="91">D136-C136</f>
        <v>0</v>
      </c>
      <c r="E175" s="96">
        <f t="shared" si="91"/>
        <v>0</v>
      </c>
      <c r="F175" s="96">
        <f t="shared" si="91"/>
        <v>0</v>
      </c>
      <c r="G175" s="96">
        <f t="shared" si="91"/>
        <v>0</v>
      </c>
      <c r="H175" s="96">
        <f t="shared" si="91"/>
        <v>0</v>
      </c>
      <c r="I175" s="96">
        <f t="shared" si="91"/>
        <v>0</v>
      </c>
      <c r="J175" s="96">
        <f t="shared" si="91"/>
        <v>0</v>
      </c>
      <c r="K175" s="96">
        <f t="shared" si="91"/>
        <v>0</v>
      </c>
      <c r="L175" s="96">
        <f t="shared" si="91"/>
        <v>0</v>
      </c>
      <c r="M175" s="96">
        <f t="shared" si="91"/>
        <v>0</v>
      </c>
      <c r="N175" s="96">
        <f t="shared" si="91"/>
        <v>0</v>
      </c>
      <c r="O175" s="96">
        <f t="shared" si="91"/>
        <v>0</v>
      </c>
      <c r="P175" s="96">
        <f t="shared" si="91"/>
        <v>0</v>
      </c>
      <c r="Q175" s="96">
        <f t="shared" si="91"/>
        <v>0</v>
      </c>
      <c r="R175" s="96">
        <f t="shared" si="91"/>
        <v>0</v>
      </c>
      <c r="S175" s="96">
        <f t="shared" si="91"/>
        <v>0</v>
      </c>
      <c r="T175" s="96">
        <f t="shared" si="91"/>
        <v>0</v>
      </c>
      <c r="U175" s="96">
        <f t="shared" si="91"/>
        <v>0</v>
      </c>
      <c r="V175" s="96">
        <f t="shared" si="91"/>
        <v>0</v>
      </c>
      <c r="W175" s="96">
        <f t="shared" si="91"/>
        <v>0</v>
      </c>
      <c r="X175" s="96">
        <f t="shared" si="91"/>
        <v>0</v>
      </c>
      <c r="Y175" s="96">
        <f t="shared" si="91"/>
        <v>0</v>
      </c>
      <c r="Z175" s="96">
        <f t="shared" si="91"/>
        <v>0</v>
      </c>
      <c r="AA175" s="96">
        <f t="shared" si="91"/>
        <v>0</v>
      </c>
      <c r="AB175" s="96">
        <f t="shared" si="91"/>
        <v>0</v>
      </c>
      <c r="AC175" s="96">
        <f t="shared" si="91"/>
        <v>0</v>
      </c>
      <c r="AD175" s="96">
        <f t="shared" si="91"/>
        <v>0</v>
      </c>
      <c r="AE175" s="96">
        <f t="shared" si="91"/>
        <v>0</v>
      </c>
      <c r="AF175" s="96">
        <f t="shared" si="91"/>
        <v>0</v>
      </c>
      <c r="AG175" s="96">
        <f t="shared" si="91"/>
        <v>0</v>
      </c>
      <c r="AH175" s="96">
        <f t="shared" si="91"/>
        <v>0</v>
      </c>
      <c r="AI175" s="96">
        <f t="shared" si="91"/>
        <v>0</v>
      </c>
      <c r="AJ175" s="96">
        <f t="shared" si="91"/>
        <v>0</v>
      </c>
      <c r="AK175" s="96">
        <f t="shared" si="91"/>
        <v>0</v>
      </c>
      <c r="AL175" s="96">
        <f t="shared" si="91"/>
        <v>0</v>
      </c>
      <c r="AM175" s="96">
        <f t="shared" si="91"/>
        <v>0</v>
      </c>
      <c r="AN175" s="96">
        <f t="shared" si="91"/>
        <v>0</v>
      </c>
      <c r="AO175" s="96">
        <f t="shared" si="91"/>
        <v>0</v>
      </c>
      <c r="AP175" s="96">
        <f t="shared" si="91"/>
        <v>0</v>
      </c>
      <c r="AQ175" s="96">
        <f t="shared" si="91"/>
        <v>0</v>
      </c>
      <c r="AR175" s="96">
        <f t="shared" si="91"/>
        <v>0</v>
      </c>
      <c r="AS175" s="96">
        <f t="shared" si="91"/>
        <v>0</v>
      </c>
      <c r="AT175" s="96">
        <f t="shared" si="91"/>
        <v>0</v>
      </c>
      <c r="AU175" s="96">
        <f t="shared" si="91"/>
        <v>0</v>
      </c>
      <c r="AV175" s="96">
        <f t="shared" si="91"/>
        <v>0</v>
      </c>
      <c r="AW175" s="96">
        <f t="shared" si="91"/>
        <v>0</v>
      </c>
      <c r="AX175" s="96">
        <f t="shared" si="91"/>
        <v>0</v>
      </c>
      <c r="AY175" s="96">
        <f t="shared" si="91"/>
        <v>0</v>
      </c>
      <c r="AZ175" s="96">
        <f t="shared" si="91"/>
        <v>0</v>
      </c>
      <c r="BA175" s="96">
        <f t="shared" si="91"/>
        <v>0</v>
      </c>
      <c r="BB175" s="96">
        <f t="shared" si="91"/>
        <v>0</v>
      </c>
      <c r="BC175" s="96">
        <f t="shared" si="91"/>
        <v>0</v>
      </c>
      <c r="BD175" s="96">
        <f t="shared" si="91"/>
        <v>0</v>
      </c>
      <c r="BE175" s="96">
        <f t="shared" si="91"/>
        <v>0</v>
      </c>
      <c r="BF175" s="96">
        <f t="shared" si="91"/>
        <v>0</v>
      </c>
      <c r="BG175" s="96">
        <f t="shared" si="91"/>
        <v>0</v>
      </c>
      <c r="BH175" s="96">
        <f t="shared" si="91"/>
        <v>0</v>
      </c>
      <c r="BI175" s="96">
        <f t="shared" si="91"/>
        <v>0</v>
      </c>
      <c r="BJ175" s="96">
        <f t="shared" si="91"/>
        <v>0</v>
      </c>
      <c r="BK175" s="96">
        <f t="shared" si="91"/>
        <v>0</v>
      </c>
      <c r="BL175" s="96">
        <f t="shared" si="91"/>
        <v>0</v>
      </c>
      <c r="BM175" s="96">
        <f t="shared" si="91"/>
        <v>0</v>
      </c>
      <c r="BN175" s="96">
        <f t="shared" si="91"/>
        <v>0</v>
      </c>
      <c r="BO175" s="96">
        <f t="shared" si="91"/>
        <v>0</v>
      </c>
      <c r="BP175" s="96">
        <f t="shared" si="91"/>
        <v>0</v>
      </c>
      <c r="BQ175" s="96">
        <f t="shared" si="91"/>
        <v>0</v>
      </c>
      <c r="BR175" s="96">
        <f t="shared" si="91"/>
        <v>0</v>
      </c>
      <c r="BS175" s="96">
        <f t="shared" si="91"/>
        <v>0</v>
      </c>
      <c r="BT175" s="96">
        <f t="shared" si="91"/>
        <v>0</v>
      </c>
      <c r="BU175" s="96">
        <f t="shared" si="91"/>
        <v>0</v>
      </c>
      <c r="BV175" s="96">
        <f t="shared" si="91"/>
        <v>0</v>
      </c>
      <c r="BW175" s="96">
        <f t="shared" si="91"/>
        <v>0</v>
      </c>
    </row>
    <row r="176" ht="15.75" customHeight="1">
      <c r="A176" s="1" t="s">
        <v>386</v>
      </c>
      <c r="B176" s="159"/>
      <c r="D176" s="96">
        <f t="shared" ref="D176:BW176" si="92">D137-C137</f>
        <v>0</v>
      </c>
      <c r="E176" s="96">
        <f t="shared" si="92"/>
        <v>0</v>
      </c>
      <c r="F176" s="96">
        <f t="shared" si="92"/>
        <v>0</v>
      </c>
      <c r="G176" s="96">
        <f t="shared" si="92"/>
        <v>0</v>
      </c>
      <c r="H176" s="96">
        <f t="shared" si="92"/>
        <v>0</v>
      </c>
      <c r="I176" s="96">
        <f t="shared" si="92"/>
        <v>0</v>
      </c>
      <c r="J176" s="96">
        <f t="shared" si="92"/>
        <v>0</v>
      </c>
      <c r="K176" s="96">
        <f t="shared" si="92"/>
        <v>0</v>
      </c>
      <c r="L176" s="96">
        <f t="shared" si="92"/>
        <v>0</v>
      </c>
      <c r="M176" s="96">
        <f t="shared" si="92"/>
        <v>0</v>
      </c>
      <c r="N176" s="96">
        <f t="shared" si="92"/>
        <v>0</v>
      </c>
      <c r="O176" s="96">
        <f t="shared" si="92"/>
        <v>0</v>
      </c>
      <c r="P176" s="96">
        <f t="shared" si="92"/>
        <v>0</v>
      </c>
      <c r="Q176" s="96">
        <f t="shared" si="92"/>
        <v>0</v>
      </c>
      <c r="R176" s="96">
        <f t="shared" si="92"/>
        <v>0</v>
      </c>
      <c r="S176" s="96">
        <f t="shared" si="92"/>
        <v>0</v>
      </c>
      <c r="T176" s="96">
        <f t="shared" si="92"/>
        <v>0</v>
      </c>
      <c r="U176" s="96">
        <f t="shared" si="92"/>
        <v>0</v>
      </c>
      <c r="V176" s="96">
        <f t="shared" si="92"/>
        <v>0</v>
      </c>
      <c r="W176" s="96">
        <f t="shared" si="92"/>
        <v>0</v>
      </c>
      <c r="X176" s="96">
        <f t="shared" si="92"/>
        <v>0</v>
      </c>
      <c r="Y176" s="96">
        <f t="shared" si="92"/>
        <v>0</v>
      </c>
      <c r="Z176" s="96">
        <f t="shared" si="92"/>
        <v>0</v>
      </c>
      <c r="AA176" s="96">
        <f t="shared" si="92"/>
        <v>0</v>
      </c>
      <c r="AB176" s="96">
        <f t="shared" si="92"/>
        <v>0</v>
      </c>
      <c r="AC176" s="96">
        <f t="shared" si="92"/>
        <v>0</v>
      </c>
      <c r="AD176" s="96">
        <f t="shared" si="92"/>
        <v>0</v>
      </c>
      <c r="AE176" s="96">
        <f t="shared" si="92"/>
        <v>0</v>
      </c>
      <c r="AF176" s="96" t="str">
        <f t="shared" si="92"/>
        <v>#NAME?</v>
      </c>
      <c r="AG176" s="96" t="str">
        <f t="shared" si="92"/>
        <v>#NAME?</v>
      </c>
      <c r="AH176" s="96" t="str">
        <f t="shared" si="92"/>
        <v>#NAME?</v>
      </c>
      <c r="AI176" s="96" t="str">
        <f t="shared" si="92"/>
        <v>#NAME?</v>
      </c>
      <c r="AJ176" s="96" t="str">
        <f t="shared" si="92"/>
        <v>#NAME?</v>
      </c>
      <c r="AK176" s="96" t="str">
        <f t="shared" si="92"/>
        <v>#NAME?</v>
      </c>
      <c r="AL176" s="96" t="str">
        <f t="shared" si="92"/>
        <v>#NAME?</v>
      </c>
      <c r="AM176" s="96" t="str">
        <f t="shared" si="92"/>
        <v>#NAME?</v>
      </c>
      <c r="AN176" s="96" t="str">
        <f t="shared" si="92"/>
        <v>#NAME?</v>
      </c>
      <c r="AO176" s="96" t="str">
        <f t="shared" si="92"/>
        <v>#NAME?</v>
      </c>
      <c r="AP176" s="96" t="str">
        <f t="shared" si="92"/>
        <v>#NAME?</v>
      </c>
      <c r="AQ176" s="96" t="str">
        <f t="shared" si="92"/>
        <v>#NAME?</v>
      </c>
      <c r="AR176" s="96" t="str">
        <f t="shared" si="92"/>
        <v>#NAME?</v>
      </c>
      <c r="AS176" s="96" t="str">
        <f t="shared" si="92"/>
        <v>#NAME?</v>
      </c>
      <c r="AT176" s="96" t="str">
        <f t="shared" si="92"/>
        <v>#NAME?</v>
      </c>
      <c r="AU176" s="96" t="str">
        <f t="shared" si="92"/>
        <v>#NAME?</v>
      </c>
      <c r="AV176" s="96" t="str">
        <f t="shared" si="92"/>
        <v>#NAME?</v>
      </c>
      <c r="AW176" s="96" t="str">
        <f t="shared" si="92"/>
        <v>#NAME?</v>
      </c>
      <c r="AX176" s="96" t="str">
        <f t="shared" si="92"/>
        <v>#NAME?</v>
      </c>
      <c r="AY176" s="96" t="str">
        <f t="shared" si="92"/>
        <v>#NAME?</v>
      </c>
      <c r="AZ176" s="96" t="str">
        <f t="shared" si="92"/>
        <v>#NAME?</v>
      </c>
      <c r="BA176" s="96" t="str">
        <f t="shared" si="92"/>
        <v>#NAME?</v>
      </c>
      <c r="BB176" s="96" t="str">
        <f t="shared" si="92"/>
        <v>#NAME?</v>
      </c>
      <c r="BC176" s="96" t="str">
        <f t="shared" si="92"/>
        <v>#NAME?</v>
      </c>
      <c r="BD176" s="96" t="str">
        <f t="shared" si="92"/>
        <v>#NAME?</v>
      </c>
      <c r="BE176" s="96" t="str">
        <f t="shared" si="92"/>
        <v>#NAME?</v>
      </c>
      <c r="BF176" s="96" t="str">
        <f t="shared" si="92"/>
        <v>#NAME?</v>
      </c>
      <c r="BG176" s="96" t="str">
        <f t="shared" si="92"/>
        <v>#NAME?</v>
      </c>
      <c r="BH176" s="96" t="str">
        <f t="shared" si="92"/>
        <v>#NAME?</v>
      </c>
      <c r="BI176" s="96" t="str">
        <f t="shared" si="92"/>
        <v>#NAME?</v>
      </c>
      <c r="BJ176" s="96" t="str">
        <f t="shared" si="92"/>
        <v>#NAME?</v>
      </c>
      <c r="BK176" s="96" t="str">
        <f t="shared" si="92"/>
        <v>#NAME?</v>
      </c>
      <c r="BL176" s="96" t="str">
        <f t="shared" si="92"/>
        <v>#NAME?</v>
      </c>
      <c r="BM176" s="96" t="str">
        <f t="shared" si="92"/>
        <v>#NAME?</v>
      </c>
      <c r="BN176" s="96" t="str">
        <f t="shared" si="92"/>
        <v>#NAME?</v>
      </c>
      <c r="BO176" s="96" t="str">
        <f t="shared" si="92"/>
        <v>#NAME?</v>
      </c>
      <c r="BP176" s="96" t="str">
        <f t="shared" si="92"/>
        <v>#NAME?</v>
      </c>
      <c r="BQ176" s="96" t="str">
        <f t="shared" si="92"/>
        <v>#NAME?</v>
      </c>
      <c r="BR176" s="96" t="str">
        <f t="shared" si="92"/>
        <v>#NAME?</v>
      </c>
      <c r="BS176" s="96" t="str">
        <f t="shared" si="92"/>
        <v>#NAME?</v>
      </c>
      <c r="BT176" s="96" t="str">
        <f t="shared" si="92"/>
        <v>#NAME?</v>
      </c>
      <c r="BU176" s="96" t="str">
        <f t="shared" si="92"/>
        <v>#NAME?</v>
      </c>
      <c r="BV176" s="96" t="str">
        <f t="shared" si="92"/>
        <v>#NAME?</v>
      </c>
      <c r="BW176" s="96" t="str">
        <f t="shared" si="92"/>
        <v>#NAME?</v>
      </c>
    </row>
    <row r="177" ht="15.75" customHeight="1">
      <c r="A177" s="1" t="s">
        <v>387</v>
      </c>
      <c r="B177" s="159"/>
      <c r="D177" s="96">
        <f t="shared" ref="D177:BW177" si="93">D138-C138</f>
        <v>0</v>
      </c>
      <c r="E177" s="96">
        <f t="shared" si="93"/>
        <v>0</v>
      </c>
      <c r="F177" s="96">
        <f t="shared" si="93"/>
        <v>0</v>
      </c>
      <c r="G177" s="96">
        <f t="shared" si="93"/>
        <v>0</v>
      </c>
      <c r="H177" s="96">
        <f t="shared" si="93"/>
        <v>0</v>
      </c>
      <c r="I177" s="96">
        <f t="shared" si="93"/>
        <v>0</v>
      </c>
      <c r="J177" s="96">
        <f t="shared" si="93"/>
        <v>0</v>
      </c>
      <c r="K177" s="96">
        <f t="shared" si="93"/>
        <v>0</v>
      </c>
      <c r="L177" s="96">
        <f t="shared" si="93"/>
        <v>0</v>
      </c>
      <c r="M177" s="96">
        <f t="shared" si="93"/>
        <v>0</v>
      </c>
      <c r="N177" s="96">
        <f t="shared" si="93"/>
        <v>0</v>
      </c>
      <c r="O177" s="96">
        <f t="shared" si="93"/>
        <v>0</v>
      </c>
      <c r="P177" s="96">
        <f t="shared" si="93"/>
        <v>0</v>
      </c>
      <c r="Q177" s="96">
        <f t="shared" si="93"/>
        <v>0</v>
      </c>
      <c r="R177" s="96">
        <f t="shared" si="93"/>
        <v>0</v>
      </c>
      <c r="S177" s="96">
        <f t="shared" si="93"/>
        <v>0</v>
      </c>
      <c r="T177" s="96">
        <f t="shared" si="93"/>
        <v>0</v>
      </c>
      <c r="U177" s="96">
        <f t="shared" si="93"/>
        <v>0</v>
      </c>
      <c r="V177" s="96">
        <f t="shared" si="93"/>
        <v>0</v>
      </c>
      <c r="W177" s="96">
        <f t="shared" si="93"/>
        <v>0</v>
      </c>
      <c r="X177" s="96">
        <f t="shared" si="93"/>
        <v>0</v>
      </c>
      <c r="Y177" s="96">
        <f t="shared" si="93"/>
        <v>0</v>
      </c>
      <c r="Z177" s="96">
        <f t="shared" si="93"/>
        <v>0</v>
      </c>
      <c r="AA177" s="96">
        <f t="shared" si="93"/>
        <v>0</v>
      </c>
      <c r="AB177" s="96">
        <f t="shared" si="93"/>
        <v>0</v>
      </c>
      <c r="AC177" s="96">
        <f t="shared" si="93"/>
        <v>0</v>
      </c>
      <c r="AD177" s="96">
        <f t="shared" si="93"/>
        <v>0</v>
      </c>
      <c r="AE177" s="96">
        <f t="shared" si="93"/>
        <v>0</v>
      </c>
      <c r="AF177" s="96" t="str">
        <f t="shared" si="93"/>
        <v>#NAME?</v>
      </c>
      <c r="AG177" s="96" t="str">
        <f t="shared" si="93"/>
        <v>#NAME?</v>
      </c>
      <c r="AH177" s="96" t="str">
        <f t="shared" si="93"/>
        <v>#NAME?</v>
      </c>
      <c r="AI177" s="96" t="str">
        <f t="shared" si="93"/>
        <v>#NAME?</v>
      </c>
      <c r="AJ177" s="96" t="str">
        <f t="shared" si="93"/>
        <v>#NAME?</v>
      </c>
      <c r="AK177" s="96" t="str">
        <f t="shared" si="93"/>
        <v>#NAME?</v>
      </c>
      <c r="AL177" s="96" t="str">
        <f t="shared" si="93"/>
        <v>#NAME?</v>
      </c>
      <c r="AM177" s="96" t="str">
        <f t="shared" si="93"/>
        <v>#NAME?</v>
      </c>
      <c r="AN177" s="96" t="str">
        <f t="shared" si="93"/>
        <v>#NAME?</v>
      </c>
      <c r="AO177" s="96" t="str">
        <f t="shared" si="93"/>
        <v>#NAME?</v>
      </c>
      <c r="AP177" s="96" t="str">
        <f t="shared" si="93"/>
        <v>#NAME?</v>
      </c>
      <c r="AQ177" s="96" t="str">
        <f t="shared" si="93"/>
        <v>#NAME?</v>
      </c>
      <c r="AR177" s="96" t="str">
        <f t="shared" si="93"/>
        <v>#NAME?</v>
      </c>
      <c r="AS177" s="96" t="str">
        <f t="shared" si="93"/>
        <v>#NAME?</v>
      </c>
      <c r="AT177" s="96" t="str">
        <f t="shared" si="93"/>
        <v>#NAME?</v>
      </c>
      <c r="AU177" s="96" t="str">
        <f t="shared" si="93"/>
        <v>#NAME?</v>
      </c>
      <c r="AV177" s="96" t="str">
        <f t="shared" si="93"/>
        <v>#NAME?</v>
      </c>
      <c r="AW177" s="96" t="str">
        <f t="shared" si="93"/>
        <v>#NAME?</v>
      </c>
      <c r="AX177" s="96" t="str">
        <f t="shared" si="93"/>
        <v>#NAME?</v>
      </c>
      <c r="AY177" s="96" t="str">
        <f t="shared" si="93"/>
        <v>#NAME?</v>
      </c>
      <c r="AZ177" s="96" t="str">
        <f t="shared" si="93"/>
        <v>#NAME?</v>
      </c>
      <c r="BA177" s="96" t="str">
        <f t="shared" si="93"/>
        <v>#NAME?</v>
      </c>
      <c r="BB177" s="96" t="str">
        <f t="shared" si="93"/>
        <v>#NAME?</v>
      </c>
      <c r="BC177" s="96" t="str">
        <f t="shared" si="93"/>
        <v>#NAME?</v>
      </c>
      <c r="BD177" s="96" t="str">
        <f t="shared" si="93"/>
        <v>#NAME?</v>
      </c>
      <c r="BE177" s="96" t="str">
        <f t="shared" si="93"/>
        <v>#NAME?</v>
      </c>
      <c r="BF177" s="96" t="str">
        <f t="shared" si="93"/>
        <v>#NAME?</v>
      </c>
      <c r="BG177" s="96" t="str">
        <f t="shared" si="93"/>
        <v>#NAME?</v>
      </c>
      <c r="BH177" s="96" t="str">
        <f t="shared" si="93"/>
        <v>#NAME?</v>
      </c>
      <c r="BI177" s="96" t="str">
        <f t="shared" si="93"/>
        <v>#NAME?</v>
      </c>
      <c r="BJ177" s="96" t="str">
        <f t="shared" si="93"/>
        <v>#NAME?</v>
      </c>
      <c r="BK177" s="96" t="str">
        <f t="shared" si="93"/>
        <v>#NAME?</v>
      </c>
      <c r="BL177" s="96" t="str">
        <f t="shared" si="93"/>
        <v>#NAME?</v>
      </c>
      <c r="BM177" s="96" t="str">
        <f t="shared" si="93"/>
        <v>#NAME?</v>
      </c>
      <c r="BN177" s="96" t="str">
        <f t="shared" si="93"/>
        <v>#NAME?</v>
      </c>
      <c r="BO177" s="96" t="str">
        <f t="shared" si="93"/>
        <v>#NAME?</v>
      </c>
      <c r="BP177" s="96" t="str">
        <f t="shared" si="93"/>
        <v>#NAME?</v>
      </c>
      <c r="BQ177" s="96" t="str">
        <f t="shared" si="93"/>
        <v>#NAME?</v>
      </c>
      <c r="BR177" s="96" t="str">
        <f t="shared" si="93"/>
        <v>#NAME?</v>
      </c>
      <c r="BS177" s="96" t="str">
        <f t="shared" si="93"/>
        <v>#NAME?</v>
      </c>
      <c r="BT177" s="96" t="str">
        <f t="shared" si="93"/>
        <v>#NAME?</v>
      </c>
      <c r="BU177" s="96" t="str">
        <f t="shared" si="93"/>
        <v>#NAME?</v>
      </c>
      <c r="BV177" s="96" t="str">
        <f t="shared" si="93"/>
        <v>#NAME?</v>
      </c>
      <c r="BW177" s="96" t="str">
        <f t="shared" si="93"/>
        <v>#NAME?</v>
      </c>
    </row>
    <row r="178" ht="15.75" customHeight="1">
      <c r="A178" s="1" t="s">
        <v>388</v>
      </c>
      <c r="B178" s="159"/>
      <c r="D178" s="96">
        <f t="shared" ref="D178:BW178" si="94">D136-C136</f>
        <v>0</v>
      </c>
      <c r="E178" s="96">
        <f t="shared" si="94"/>
        <v>0</v>
      </c>
      <c r="F178" s="96">
        <f t="shared" si="94"/>
        <v>0</v>
      </c>
      <c r="G178" s="96">
        <f t="shared" si="94"/>
        <v>0</v>
      </c>
      <c r="H178" s="96">
        <f t="shared" si="94"/>
        <v>0</v>
      </c>
      <c r="I178" s="96">
        <f t="shared" si="94"/>
        <v>0</v>
      </c>
      <c r="J178" s="96">
        <f t="shared" si="94"/>
        <v>0</v>
      </c>
      <c r="K178" s="96">
        <f t="shared" si="94"/>
        <v>0</v>
      </c>
      <c r="L178" s="96">
        <f t="shared" si="94"/>
        <v>0</v>
      </c>
      <c r="M178" s="96">
        <f t="shared" si="94"/>
        <v>0</v>
      </c>
      <c r="N178" s="96">
        <f t="shared" si="94"/>
        <v>0</v>
      </c>
      <c r="O178" s="96">
        <f t="shared" si="94"/>
        <v>0</v>
      </c>
      <c r="P178" s="96">
        <f t="shared" si="94"/>
        <v>0</v>
      </c>
      <c r="Q178" s="96">
        <f t="shared" si="94"/>
        <v>0</v>
      </c>
      <c r="R178" s="96">
        <f t="shared" si="94"/>
        <v>0</v>
      </c>
      <c r="S178" s="96">
        <f t="shared" si="94"/>
        <v>0</v>
      </c>
      <c r="T178" s="96">
        <f t="shared" si="94"/>
        <v>0</v>
      </c>
      <c r="U178" s="96">
        <f t="shared" si="94"/>
        <v>0</v>
      </c>
      <c r="V178" s="96">
        <f t="shared" si="94"/>
        <v>0</v>
      </c>
      <c r="W178" s="96">
        <f t="shared" si="94"/>
        <v>0</v>
      </c>
      <c r="X178" s="96">
        <f t="shared" si="94"/>
        <v>0</v>
      </c>
      <c r="Y178" s="96">
        <f t="shared" si="94"/>
        <v>0</v>
      </c>
      <c r="Z178" s="96">
        <f t="shared" si="94"/>
        <v>0</v>
      </c>
      <c r="AA178" s="96">
        <f t="shared" si="94"/>
        <v>0</v>
      </c>
      <c r="AB178" s="96">
        <f t="shared" si="94"/>
        <v>0</v>
      </c>
      <c r="AC178" s="96">
        <f t="shared" si="94"/>
        <v>0</v>
      </c>
      <c r="AD178" s="96">
        <f t="shared" si="94"/>
        <v>0</v>
      </c>
      <c r="AE178" s="96">
        <f t="shared" si="94"/>
        <v>0</v>
      </c>
      <c r="AF178" s="96">
        <f t="shared" si="94"/>
        <v>0</v>
      </c>
      <c r="AG178" s="96">
        <f t="shared" si="94"/>
        <v>0</v>
      </c>
      <c r="AH178" s="96">
        <f t="shared" si="94"/>
        <v>0</v>
      </c>
      <c r="AI178" s="96">
        <f t="shared" si="94"/>
        <v>0</v>
      </c>
      <c r="AJ178" s="96">
        <f t="shared" si="94"/>
        <v>0</v>
      </c>
      <c r="AK178" s="96">
        <f t="shared" si="94"/>
        <v>0</v>
      </c>
      <c r="AL178" s="96">
        <f t="shared" si="94"/>
        <v>0</v>
      </c>
      <c r="AM178" s="96">
        <f t="shared" si="94"/>
        <v>0</v>
      </c>
      <c r="AN178" s="96">
        <f t="shared" si="94"/>
        <v>0</v>
      </c>
      <c r="AO178" s="96">
        <f t="shared" si="94"/>
        <v>0</v>
      </c>
      <c r="AP178" s="96">
        <f t="shared" si="94"/>
        <v>0</v>
      </c>
      <c r="AQ178" s="96">
        <f t="shared" si="94"/>
        <v>0</v>
      </c>
      <c r="AR178" s="96">
        <f t="shared" si="94"/>
        <v>0</v>
      </c>
      <c r="AS178" s="96">
        <f t="shared" si="94"/>
        <v>0</v>
      </c>
      <c r="AT178" s="96">
        <f t="shared" si="94"/>
        <v>0</v>
      </c>
      <c r="AU178" s="96">
        <f t="shared" si="94"/>
        <v>0</v>
      </c>
      <c r="AV178" s="96">
        <f t="shared" si="94"/>
        <v>0</v>
      </c>
      <c r="AW178" s="96">
        <f t="shared" si="94"/>
        <v>0</v>
      </c>
      <c r="AX178" s="96">
        <f t="shared" si="94"/>
        <v>0</v>
      </c>
      <c r="AY178" s="96">
        <f t="shared" si="94"/>
        <v>0</v>
      </c>
      <c r="AZ178" s="96">
        <f t="shared" si="94"/>
        <v>0</v>
      </c>
      <c r="BA178" s="96">
        <f t="shared" si="94"/>
        <v>0</v>
      </c>
      <c r="BB178" s="96">
        <f t="shared" si="94"/>
        <v>0</v>
      </c>
      <c r="BC178" s="96">
        <f t="shared" si="94"/>
        <v>0</v>
      </c>
      <c r="BD178" s="96">
        <f t="shared" si="94"/>
        <v>0</v>
      </c>
      <c r="BE178" s="96">
        <f t="shared" si="94"/>
        <v>0</v>
      </c>
      <c r="BF178" s="96">
        <f t="shared" si="94"/>
        <v>0</v>
      </c>
      <c r="BG178" s="96">
        <f t="shared" si="94"/>
        <v>0</v>
      </c>
      <c r="BH178" s="96">
        <f t="shared" si="94"/>
        <v>0</v>
      </c>
      <c r="BI178" s="96">
        <f t="shared" si="94"/>
        <v>0</v>
      </c>
      <c r="BJ178" s="96">
        <f t="shared" si="94"/>
        <v>0</v>
      </c>
      <c r="BK178" s="96">
        <f t="shared" si="94"/>
        <v>0</v>
      </c>
      <c r="BL178" s="96">
        <f t="shared" si="94"/>
        <v>0</v>
      </c>
      <c r="BM178" s="96">
        <f t="shared" si="94"/>
        <v>0</v>
      </c>
      <c r="BN178" s="96">
        <f t="shared" si="94"/>
        <v>0</v>
      </c>
      <c r="BO178" s="96">
        <f t="shared" si="94"/>
        <v>0</v>
      </c>
      <c r="BP178" s="96">
        <f t="shared" si="94"/>
        <v>0</v>
      </c>
      <c r="BQ178" s="96">
        <f t="shared" si="94"/>
        <v>0</v>
      </c>
      <c r="BR178" s="96">
        <f t="shared" si="94"/>
        <v>0</v>
      </c>
      <c r="BS178" s="96">
        <f t="shared" si="94"/>
        <v>0</v>
      </c>
      <c r="BT178" s="96">
        <f t="shared" si="94"/>
        <v>0</v>
      </c>
      <c r="BU178" s="96">
        <f t="shared" si="94"/>
        <v>0</v>
      </c>
      <c r="BV178" s="96">
        <f t="shared" si="94"/>
        <v>0</v>
      </c>
      <c r="BW178" s="96">
        <f t="shared" si="94"/>
        <v>0</v>
      </c>
    </row>
    <row r="179" ht="15.75" customHeight="1">
      <c r="A179" s="21" t="s">
        <v>389</v>
      </c>
      <c r="B179" s="163"/>
      <c r="C179" s="21"/>
      <c r="D179" s="147">
        <f t="shared" ref="D179:BW179" si="95">SUM(D173:D178)</f>
        <v>1050000</v>
      </c>
      <c r="E179" s="147">
        <f t="shared" si="95"/>
        <v>100000</v>
      </c>
      <c r="F179" s="147">
        <f t="shared" si="95"/>
        <v>0</v>
      </c>
      <c r="G179" s="147">
        <f t="shared" si="95"/>
        <v>0</v>
      </c>
      <c r="H179" s="147">
        <f t="shared" si="95"/>
        <v>0</v>
      </c>
      <c r="I179" s="147">
        <f t="shared" si="95"/>
        <v>0</v>
      </c>
      <c r="J179" s="147">
        <f t="shared" si="95"/>
        <v>0</v>
      </c>
      <c r="K179" s="147">
        <f t="shared" si="95"/>
        <v>0</v>
      </c>
      <c r="L179" s="147">
        <f t="shared" si="95"/>
        <v>0</v>
      </c>
      <c r="M179" s="147">
        <f t="shared" si="95"/>
        <v>600000</v>
      </c>
      <c r="N179" s="147">
        <f t="shared" si="95"/>
        <v>0</v>
      </c>
      <c r="O179" s="147">
        <f t="shared" si="95"/>
        <v>0</v>
      </c>
      <c r="P179" s="147">
        <f t="shared" si="95"/>
        <v>500000</v>
      </c>
      <c r="Q179" s="147">
        <f t="shared" si="95"/>
        <v>0</v>
      </c>
      <c r="R179" s="147">
        <f t="shared" si="95"/>
        <v>0</v>
      </c>
      <c r="S179" s="147">
        <f t="shared" si="95"/>
        <v>0</v>
      </c>
      <c r="T179" s="147">
        <f t="shared" si="95"/>
        <v>300000</v>
      </c>
      <c r="U179" s="147">
        <f t="shared" si="95"/>
        <v>0</v>
      </c>
      <c r="V179" s="147">
        <f t="shared" si="95"/>
        <v>0</v>
      </c>
      <c r="W179" s="147">
        <f t="shared" si="95"/>
        <v>0</v>
      </c>
      <c r="X179" s="147">
        <f t="shared" si="95"/>
        <v>0</v>
      </c>
      <c r="Y179" s="147">
        <f t="shared" si="95"/>
        <v>300000</v>
      </c>
      <c r="Z179" s="147">
        <f t="shared" si="95"/>
        <v>0</v>
      </c>
      <c r="AA179" s="147">
        <f t="shared" si="95"/>
        <v>0</v>
      </c>
      <c r="AB179" s="147">
        <f t="shared" si="95"/>
        <v>0</v>
      </c>
      <c r="AC179" s="147">
        <f t="shared" si="95"/>
        <v>0</v>
      </c>
      <c r="AD179" s="147">
        <f t="shared" si="95"/>
        <v>0</v>
      </c>
      <c r="AE179" s="147">
        <f t="shared" si="95"/>
        <v>0</v>
      </c>
      <c r="AF179" s="147" t="str">
        <f t="shared" si="95"/>
        <v>#NAME?</v>
      </c>
      <c r="AG179" s="147" t="str">
        <f t="shared" si="95"/>
        <v>#NAME?</v>
      </c>
      <c r="AH179" s="147" t="str">
        <f t="shared" si="95"/>
        <v>#NAME?</v>
      </c>
      <c r="AI179" s="147" t="str">
        <f t="shared" si="95"/>
        <v>#NAME?</v>
      </c>
      <c r="AJ179" s="147" t="str">
        <f t="shared" si="95"/>
        <v>#NAME?</v>
      </c>
      <c r="AK179" s="147" t="str">
        <f t="shared" si="95"/>
        <v>#NAME?</v>
      </c>
      <c r="AL179" s="147" t="str">
        <f t="shared" si="95"/>
        <v>#NAME?</v>
      </c>
      <c r="AM179" s="147" t="str">
        <f t="shared" si="95"/>
        <v>#NAME?</v>
      </c>
      <c r="AN179" s="147" t="str">
        <f t="shared" si="95"/>
        <v>#NAME?</v>
      </c>
      <c r="AO179" s="147" t="str">
        <f t="shared" si="95"/>
        <v>#NAME?</v>
      </c>
      <c r="AP179" s="147" t="str">
        <f t="shared" si="95"/>
        <v>#NAME?</v>
      </c>
      <c r="AQ179" s="147" t="str">
        <f t="shared" si="95"/>
        <v>#NAME?</v>
      </c>
      <c r="AR179" s="147" t="str">
        <f t="shared" si="95"/>
        <v>#NAME?</v>
      </c>
      <c r="AS179" s="147" t="str">
        <f t="shared" si="95"/>
        <v>#NAME?</v>
      </c>
      <c r="AT179" s="147" t="str">
        <f t="shared" si="95"/>
        <v>#NAME?</v>
      </c>
      <c r="AU179" s="147" t="str">
        <f t="shared" si="95"/>
        <v>#NAME?</v>
      </c>
      <c r="AV179" s="147" t="str">
        <f t="shared" si="95"/>
        <v>#NAME?</v>
      </c>
      <c r="AW179" s="147" t="str">
        <f t="shared" si="95"/>
        <v>#NAME?</v>
      </c>
      <c r="AX179" s="147" t="str">
        <f t="shared" si="95"/>
        <v>#NAME?</v>
      </c>
      <c r="AY179" s="147" t="str">
        <f t="shared" si="95"/>
        <v>#NAME?</v>
      </c>
      <c r="AZ179" s="147" t="str">
        <f t="shared" si="95"/>
        <v>#NAME?</v>
      </c>
      <c r="BA179" s="147" t="str">
        <f t="shared" si="95"/>
        <v>#NAME?</v>
      </c>
      <c r="BB179" s="147" t="str">
        <f t="shared" si="95"/>
        <v>#NAME?</v>
      </c>
      <c r="BC179" s="147" t="str">
        <f t="shared" si="95"/>
        <v>#NAME?</v>
      </c>
      <c r="BD179" s="147" t="str">
        <f t="shared" si="95"/>
        <v>#NAME?</v>
      </c>
      <c r="BE179" s="147" t="str">
        <f t="shared" si="95"/>
        <v>#NAME?</v>
      </c>
      <c r="BF179" s="147" t="str">
        <f t="shared" si="95"/>
        <v>#NAME?</v>
      </c>
      <c r="BG179" s="147" t="str">
        <f t="shared" si="95"/>
        <v>#NAME?</v>
      </c>
      <c r="BH179" s="147" t="str">
        <f t="shared" si="95"/>
        <v>#NAME?</v>
      </c>
      <c r="BI179" s="147" t="str">
        <f t="shared" si="95"/>
        <v>#NAME?</v>
      </c>
      <c r="BJ179" s="147" t="str">
        <f t="shared" si="95"/>
        <v>#NAME?</v>
      </c>
      <c r="BK179" s="147" t="str">
        <f t="shared" si="95"/>
        <v>#NAME?</v>
      </c>
      <c r="BL179" s="147" t="str">
        <f t="shared" si="95"/>
        <v>#NAME?</v>
      </c>
      <c r="BM179" s="147" t="str">
        <f t="shared" si="95"/>
        <v>#NAME?</v>
      </c>
      <c r="BN179" s="147" t="str">
        <f t="shared" si="95"/>
        <v>#NAME?</v>
      </c>
      <c r="BO179" s="147" t="str">
        <f t="shared" si="95"/>
        <v>#NAME?</v>
      </c>
      <c r="BP179" s="147" t="str">
        <f t="shared" si="95"/>
        <v>#NAME?</v>
      </c>
      <c r="BQ179" s="147" t="str">
        <f t="shared" si="95"/>
        <v>#NAME?</v>
      </c>
      <c r="BR179" s="147" t="str">
        <f t="shared" si="95"/>
        <v>#NAME?</v>
      </c>
      <c r="BS179" s="147" t="str">
        <f t="shared" si="95"/>
        <v>#NAME?</v>
      </c>
      <c r="BT179" s="147" t="str">
        <f t="shared" si="95"/>
        <v>#NAME?</v>
      </c>
      <c r="BU179" s="147" t="str">
        <f t="shared" si="95"/>
        <v>#NAME?</v>
      </c>
      <c r="BV179" s="147" t="str">
        <f t="shared" si="95"/>
        <v>#NAME?</v>
      </c>
      <c r="BW179" s="147" t="str">
        <f t="shared" si="95"/>
        <v>#NAME?</v>
      </c>
    </row>
    <row r="180" ht="15.75" customHeight="1">
      <c r="A180" s="31" t="s">
        <v>244</v>
      </c>
      <c r="B180" s="159"/>
      <c r="D180" s="76">
        <f t="array" ref="D180">ROUND(INDEX(INDIRECT("CFS_"&amp;TEXT(D$1,"mmm")&amp;"_"&amp;TEXT(D$1,"yyyy")),MATCH(TRIM($A179),CFS_Accounts,0))-D179,2)</f>
        <v>0</v>
      </c>
      <c r="E180" s="76">
        <f t="array" ref="E180">ROUND(INDEX(INDIRECT("CFS_"&amp;TEXT(E$1,"mmm")&amp;"_"&amp;TEXT(E$1,"yyyy")),MATCH(TRIM($A179),CFS_Accounts,0))-E179,2)</f>
        <v>0</v>
      </c>
      <c r="F180" s="76">
        <f t="array" ref="F180">ROUND(INDEX(INDIRECT("CFS_"&amp;TEXT(F$1,"mmm")&amp;"_"&amp;TEXT(F$1,"yyyy")),MATCH(TRIM($A179),CFS_Accounts,0))-F179,2)</f>
        <v>0</v>
      </c>
      <c r="G180" s="76">
        <f t="array" ref="G180">ROUND(INDEX(INDIRECT("CFS_"&amp;TEXT(G$1,"mmm")&amp;"_"&amp;TEXT(G$1,"yyyy")),MATCH(TRIM($A179),CFS_Accounts,0))-G179,2)</f>
        <v>0</v>
      </c>
      <c r="H180" s="76">
        <f t="array" ref="H180">ROUND(INDEX(INDIRECT("CFS_"&amp;TEXT(H$1,"mmm")&amp;"_"&amp;TEXT(H$1,"yyyy")),MATCH(TRIM($A179),CFS_Accounts,0))-H179,2)</f>
        <v>0</v>
      </c>
      <c r="I180" s="76">
        <f t="array" ref="I180">ROUND(INDEX(INDIRECT("CFS_"&amp;TEXT(I$1,"mmm")&amp;"_"&amp;TEXT(I$1,"yyyy")),MATCH(TRIM($A179),CFS_Accounts,0))-I179,2)</f>
        <v>0</v>
      </c>
      <c r="J180" s="76">
        <f t="array" ref="J180">ROUND(INDEX(INDIRECT("CFS_"&amp;TEXT(J$1,"mmm")&amp;"_"&amp;TEXT(J$1,"yyyy")),MATCH(TRIM($A179),CFS_Accounts,0))-J179,2)</f>
        <v>0</v>
      </c>
      <c r="K180" s="76">
        <f t="array" ref="K180">ROUND(INDEX(INDIRECT("CFS_"&amp;TEXT(K$1,"mmm")&amp;"_"&amp;TEXT(K$1,"yyyy")),MATCH(TRIM($A179),CFS_Accounts,0))-K179,2)</f>
        <v>0</v>
      </c>
      <c r="L180" s="76">
        <f t="array" ref="L180">ROUND(INDEX(INDIRECT("CFS_"&amp;TEXT(L$1,"mmm")&amp;"_"&amp;TEXT(L$1,"yyyy")),MATCH(TRIM($A179),CFS_Accounts,0))-L179,2)</f>
        <v>0</v>
      </c>
      <c r="M180" s="76">
        <f t="array" ref="M180">ROUND(INDEX(INDIRECT("CFS_"&amp;TEXT(M$1,"mmm")&amp;"_"&amp;TEXT(M$1,"yyyy")),MATCH(TRIM($A179),CFS_Accounts,0))-M179,2)</f>
        <v>0</v>
      </c>
      <c r="N180" s="76">
        <f t="array" ref="N180">ROUND(INDEX(INDIRECT("CFS_"&amp;TEXT(N$1,"mmm")&amp;"_"&amp;TEXT(N$1,"yyyy")),MATCH(TRIM($A179),CFS_Accounts,0))-N179,2)</f>
        <v>0</v>
      </c>
      <c r="O180" s="76">
        <f t="array" ref="O180">ROUND(INDEX(INDIRECT("CFS_"&amp;TEXT(O$1,"mmm")&amp;"_"&amp;TEXT(O$1,"yyyy")),MATCH(TRIM($A179),CFS_Accounts,0))-O179,2)</f>
        <v>0</v>
      </c>
      <c r="P180" s="76">
        <f t="array" ref="P180">ROUND(INDEX(INDIRECT("CFS_"&amp;TEXT(P$1,"mmm")&amp;"_"&amp;TEXT(P$1,"yyyy")),MATCH(TRIM($A179),CFS_Accounts,0))-P179,2)</f>
        <v>0</v>
      </c>
      <c r="Q180" s="76">
        <f t="array" ref="Q180">ROUND(INDEX(INDIRECT("CFS_"&amp;TEXT(Q$1,"mmm")&amp;"_"&amp;TEXT(Q$1,"yyyy")),MATCH(TRIM($A179),CFS_Accounts,0))-Q179,2)</f>
        <v>0</v>
      </c>
      <c r="R180" s="76">
        <f t="array" ref="R180">ROUND(INDEX(INDIRECT("CFS_"&amp;TEXT(R$1,"mmm")&amp;"_"&amp;TEXT(R$1,"yyyy")),MATCH(TRIM($A179),CFS_Accounts,0))-R179,2)</f>
        <v>0</v>
      </c>
      <c r="S180" s="76">
        <f t="array" ref="S180">ROUND(INDEX(INDIRECT("CFS_"&amp;TEXT(S$1,"mmm")&amp;"_"&amp;TEXT(S$1,"yyyy")),MATCH(TRIM($A179),CFS_Accounts,0))-S179,2)</f>
        <v>0</v>
      </c>
      <c r="T180" s="76">
        <f t="array" ref="T180">ROUND(INDEX(INDIRECT("CFS_"&amp;TEXT(T$1,"mmm")&amp;"_"&amp;TEXT(T$1,"yyyy")),MATCH(TRIM($A179),CFS_Accounts,0))-T179,2)</f>
        <v>0</v>
      </c>
      <c r="U180" s="76">
        <f t="array" ref="U180">ROUND(INDEX(INDIRECT("CFS_"&amp;TEXT(U$1,"mmm")&amp;"_"&amp;TEXT(U$1,"yyyy")),MATCH(TRIM($A179),CFS_Accounts,0))-U179,2)</f>
        <v>0</v>
      </c>
      <c r="V180" s="76">
        <f t="array" ref="V180">ROUND(INDEX(INDIRECT("CFS_"&amp;TEXT(V$1,"mmm")&amp;"_"&amp;TEXT(V$1,"yyyy")),MATCH(TRIM($A179),CFS_Accounts,0))-V179,2)</f>
        <v>0</v>
      </c>
      <c r="W180" s="76">
        <f t="array" ref="W180">ROUND(INDEX(INDIRECT("CFS_"&amp;TEXT(W$1,"mmm")&amp;"_"&amp;TEXT(W$1,"yyyy")),MATCH(TRIM($A179),CFS_Accounts,0))-W179,2)</f>
        <v>0</v>
      </c>
      <c r="X180" s="76">
        <f t="array" ref="X180">ROUND(INDEX(INDIRECT("CFS_"&amp;TEXT(X$1,"mmm")&amp;"_"&amp;TEXT(X$1,"yyyy")),MATCH(TRIM($A179),CFS_Accounts,0))-X179,2)</f>
        <v>0</v>
      </c>
      <c r="Y180" s="76">
        <f t="array" ref="Y180">ROUND(INDEX(INDIRECT("CFS_"&amp;TEXT(Y$1,"mmm")&amp;"_"&amp;TEXT(Y$1,"yyyy")),MATCH(TRIM($A179),CFS_Accounts,0))-Y179,2)</f>
        <v>0</v>
      </c>
      <c r="Z180" s="76">
        <f t="array" ref="Z180">ROUND(INDEX(INDIRECT("CFS_"&amp;TEXT(Z$1,"mmm")&amp;"_"&amp;TEXT(Z$1,"yyyy")),MATCH(TRIM($A179),CFS_Accounts,0))-Z179,2)</f>
        <v>0</v>
      </c>
      <c r="AA180" s="76">
        <f t="array" ref="AA180">ROUND(INDEX(INDIRECT("CFS_"&amp;TEXT(AA$1,"mmm")&amp;"_"&amp;TEXT(AA$1,"yyyy")),MATCH(TRIM($A179),CFS_Accounts,0))-AA179,2)</f>
        <v>0</v>
      </c>
      <c r="AB180" s="76">
        <f t="array" ref="AB180">ROUND(INDEX(INDIRECT("CFS_"&amp;TEXT(AB$1,"mmm")&amp;"_"&amp;TEXT(AB$1,"yyyy")),MATCH(TRIM($A179),CFS_Accounts,0))-AB179,2)</f>
        <v>0</v>
      </c>
      <c r="AC180" s="76">
        <f t="array" ref="AC180">ROUND(INDEX(INDIRECT("CFS_"&amp;TEXT(AC$1,"mmm")&amp;"_"&amp;TEXT(AC$1,"yyyy")),MATCH(TRIM($A179),CFS_Accounts,0))-AC179,2)</f>
        <v>0</v>
      </c>
      <c r="AD180" s="76">
        <f t="array" ref="AD180">ROUND(INDEX(INDIRECT("CFS_"&amp;TEXT(AD$1,"mmm")&amp;"_"&amp;TEXT(AD$1,"yyyy")),MATCH(TRIM($A179),CFS_Accounts,0))-AD179,2)</f>
        <v>0</v>
      </c>
      <c r="AE180" s="76">
        <f t="array" ref="AE180">ROUND(INDEX(INDIRECT("CFS_"&amp;TEXT(AE$1,"mmm")&amp;"_"&amp;TEXT(AE$1,"yyyy")),MATCH(TRIM($A179),CFS_Accounts,0))-AE179,2)</f>
        <v>0</v>
      </c>
    </row>
    <row r="181" ht="15.75" customHeight="1">
      <c r="A181" s="21" t="s">
        <v>390</v>
      </c>
      <c r="B181" s="163"/>
      <c r="C181" s="21"/>
      <c r="D181" s="147">
        <f t="shared" ref="D181:BW181" si="96">SUM(D179,D170,D164)</f>
        <v>960680</v>
      </c>
      <c r="E181" s="147">
        <f t="shared" si="96"/>
        <v>9650</v>
      </c>
      <c r="F181" s="147">
        <f t="shared" si="96"/>
        <v>-102956</v>
      </c>
      <c r="G181" s="147">
        <f t="shared" si="96"/>
        <v>-94595</v>
      </c>
      <c r="H181" s="147">
        <f t="shared" si="96"/>
        <v>-82065</v>
      </c>
      <c r="I181" s="147">
        <f t="shared" si="96"/>
        <v>-78132</v>
      </c>
      <c r="J181" s="147">
        <f t="shared" si="96"/>
        <v>-94045</v>
      </c>
      <c r="K181" s="147">
        <f t="shared" si="96"/>
        <v>-89766</v>
      </c>
      <c r="L181" s="147">
        <f t="shared" si="96"/>
        <v>-114445</v>
      </c>
      <c r="M181" s="147">
        <f t="shared" si="96"/>
        <v>468119</v>
      </c>
      <c r="N181" s="147">
        <f t="shared" si="96"/>
        <v>-140597</v>
      </c>
      <c r="O181" s="147">
        <f t="shared" si="96"/>
        <v>-177194</v>
      </c>
      <c r="P181" s="147">
        <f t="shared" si="96"/>
        <v>322876</v>
      </c>
      <c r="Q181" s="147">
        <f t="shared" si="96"/>
        <v>-189575</v>
      </c>
      <c r="R181" s="147">
        <f t="shared" si="96"/>
        <v>-184131</v>
      </c>
      <c r="S181" s="147">
        <f t="shared" si="96"/>
        <v>-128941</v>
      </c>
      <c r="T181" s="147">
        <f t="shared" si="96"/>
        <v>148246</v>
      </c>
      <c r="U181" s="147">
        <f t="shared" si="96"/>
        <v>-122283</v>
      </c>
      <c r="V181" s="147">
        <f t="shared" si="96"/>
        <v>-102474</v>
      </c>
      <c r="W181" s="147">
        <f t="shared" si="96"/>
        <v>-82495</v>
      </c>
      <c r="X181" s="147">
        <f t="shared" si="96"/>
        <v>-60038</v>
      </c>
      <c r="Y181" s="147">
        <f t="shared" si="96"/>
        <v>272680</v>
      </c>
      <c r="Z181" s="147">
        <f t="shared" si="96"/>
        <v>-18905</v>
      </c>
      <c r="AA181" s="147">
        <f t="shared" si="96"/>
        <v>-24211</v>
      </c>
      <c r="AB181" s="147">
        <f t="shared" si="96"/>
        <v>-13824</v>
      </c>
      <c r="AC181" s="147">
        <f t="shared" si="96"/>
        <v>-26169</v>
      </c>
      <c r="AD181" s="147">
        <f t="shared" si="96"/>
        <v>8407.19</v>
      </c>
      <c r="AE181" s="147">
        <f t="shared" si="96"/>
        <v>-117</v>
      </c>
      <c r="AF181" s="147" t="str">
        <f t="shared" si="96"/>
        <v>#NAME?</v>
      </c>
      <c r="AG181" s="147" t="str">
        <f t="shared" si="96"/>
        <v>#NAME?</v>
      </c>
      <c r="AH181" s="147" t="str">
        <f t="shared" si="96"/>
        <v>#NAME?</v>
      </c>
      <c r="AI181" s="147" t="str">
        <f t="shared" si="96"/>
        <v>#NAME?</v>
      </c>
      <c r="AJ181" s="147" t="str">
        <f t="shared" si="96"/>
        <v>#NAME?</v>
      </c>
      <c r="AK181" s="147" t="str">
        <f t="shared" si="96"/>
        <v>#NAME?</v>
      </c>
      <c r="AL181" s="147" t="str">
        <f t="shared" si="96"/>
        <v>#NAME?</v>
      </c>
      <c r="AM181" s="147" t="str">
        <f t="shared" si="96"/>
        <v>#NAME?</v>
      </c>
      <c r="AN181" s="147" t="str">
        <f t="shared" si="96"/>
        <v>#NAME?</v>
      </c>
      <c r="AO181" s="147" t="str">
        <f t="shared" si="96"/>
        <v>#NAME?</v>
      </c>
      <c r="AP181" s="147" t="str">
        <f t="shared" si="96"/>
        <v>#NAME?</v>
      </c>
      <c r="AQ181" s="147" t="str">
        <f t="shared" si="96"/>
        <v>#NAME?</v>
      </c>
      <c r="AR181" s="147" t="str">
        <f t="shared" si="96"/>
        <v>#NAME?</v>
      </c>
      <c r="AS181" s="147" t="str">
        <f t="shared" si="96"/>
        <v>#NAME?</v>
      </c>
      <c r="AT181" s="147" t="str">
        <f t="shared" si="96"/>
        <v>#NAME?</v>
      </c>
      <c r="AU181" s="147" t="str">
        <f t="shared" si="96"/>
        <v>#NAME?</v>
      </c>
      <c r="AV181" s="147" t="str">
        <f t="shared" si="96"/>
        <v>#NAME?</v>
      </c>
      <c r="AW181" s="147" t="str">
        <f t="shared" si="96"/>
        <v>#NAME?</v>
      </c>
      <c r="AX181" s="147" t="str">
        <f t="shared" si="96"/>
        <v>#NAME?</v>
      </c>
      <c r="AY181" s="147" t="str">
        <f t="shared" si="96"/>
        <v>#NAME?</v>
      </c>
      <c r="AZ181" s="147" t="str">
        <f t="shared" si="96"/>
        <v>#NAME?</v>
      </c>
      <c r="BA181" s="147" t="str">
        <f t="shared" si="96"/>
        <v>#NAME?</v>
      </c>
      <c r="BB181" s="147" t="str">
        <f t="shared" si="96"/>
        <v>#NAME?</v>
      </c>
      <c r="BC181" s="147" t="str">
        <f t="shared" si="96"/>
        <v>#NAME?</v>
      </c>
      <c r="BD181" s="147" t="str">
        <f t="shared" si="96"/>
        <v>#NAME?</v>
      </c>
      <c r="BE181" s="147" t="str">
        <f t="shared" si="96"/>
        <v>#NAME?</v>
      </c>
      <c r="BF181" s="147" t="str">
        <f t="shared" si="96"/>
        <v>#NAME?</v>
      </c>
      <c r="BG181" s="147" t="str">
        <f t="shared" si="96"/>
        <v>#NAME?</v>
      </c>
      <c r="BH181" s="147" t="str">
        <f t="shared" si="96"/>
        <v>#NAME?</v>
      </c>
      <c r="BI181" s="147" t="str">
        <f t="shared" si="96"/>
        <v>#NAME?</v>
      </c>
      <c r="BJ181" s="147" t="str">
        <f t="shared" si="96"/>
        <v>#NAME?</v>
      </c>
      <c r="BK181" s="147" t="str">
        <f t="shared" si="96"/>
        <v>#NAME?</v>
      </c>
      <c r="BL181" s="147" t="str">
        <f t="shared" si="96"/>
        <v>#NAME?</v>
      </c>
      <c r="BM181" s="147" t="str">
        <f t="shared" si="96"/>
        <v>#NAME?</v>
      </c>
      <c r="BN181" s="147" t="str">
        <f t="shared" si="96"/>
        <v>#NAME?</v>
      </c>
      <c r="BO181" s="147" t="str">
        <f t="shared" si="96"/>
        <v>#NAME?</v>
      </c>
      <c r="BP181" s="147" t="str">
        <f t="shared" si="96"/>
        <v>#NAME?</v>
      </c>
      <c r="BQ181" s="147" t="str">
        <f t="shared" si="96"/>
        <v>#NAME?</v>
      </c>
      <c r="BR181" s="147" t="str">
        <f t="shared" si="96"/>
        <v>#NAME?</v>
      </c>
      <c r="BS181" s="147" t="str">
        <f t="shared" si="96"/>
        <v>#NAME?</v>
      </c>
      <c r="BT181" s="147" t="str">
        <f t="shared" si="96"/>
        <v>#NAME?</v>
      </c>
      <c r="BU181" s="147" t="str">
        <f t="shared" si="96"/>
        <v>#NAME?</v>
      </c>
      <c r="BV181" s="147" t="str">
        <f t="shared" si="96"/>
        <v>#NAME?</v>
      </c>
      <c r="BW181" s="147" t="str">
        <f t="shared" si="96"/>
        <v>#NAME?</v>
      </c>
    </row>
    <row r="182" ht="15.75" customHeight="1">
      <c r="A182" s="31" t="s">
        <v>244</v>
      </c>
      <c r="B182" s="159"/>
      <c r="D182" s="76">
        <f t="array" ref="D182">ROUND(INDEX(INDIRECT("CFS_"&amp;TEXT(D$1,"mmm")&amp;"_"&amp;TEXT(D$1,"yyyy")),MATCH(TRIM($A181),CFS_Accounts,0))-D181,2)</f>
        <v>0</v>
      </c>
      <c r="E182" s="76">
        <f t="array" ref="E182">ROUND(INDEX(INDIRECT("CFS_"&amp;TEXT(E$1,"mmm")&amp;"_"&amp;TEXT(E$1,"yyyy")),MATCH(TRIM($A181),CFS_Accounts,0))-E181,2)</f>
        <v>0</v>
      </c>
      <c r="F182" s="76">
        <f t="array" ref="F182">ROUND(INDEX(INDIRECT("CFS_"&amp;TEXT(F$1,"mmm")&amp;"_"&amp;TEXT(F$1,"yyyy")),MATCH(TRIM($A181),CFS_Accounts,0))-F181,2)</f>
        <v>0</v>
      </c>
      <c r="G182" s="76">
        <f t="array" ref="G182">ROUND(INDEX(INDIRECT("CFS_"&amp;TEXT(G$1,"mmm")&amp;"_"&amp;TEXT(G$1,"yyyy")),MATCH(TRIM($A181),CFS_Accounts,0))-G181,2)</f>
        <v>0</v>
      </c>
      <c r="H182" s="76">
        <f t="array" ref="H182">ROUND(INDEX(INDIRECT("CFS_"&amp;TEXT(H$1,"mmm")&amp;"_"&amp;TEXT(H$1,"yyyy")),MATCH(TRIM($A181),CFS_Accounts,0))-H181,2)</f>
        <v>0</v>
      </c>
      <c r="I182" s="76">
        <f t="array" ref="I182">ROUND(INDEX(INDIRECT("CFS_"&amp;TEXT(I$1,"mmm")&amp;"_"&amp;TEXT(I$1,"yyyy")),MATCH(TRIM($A181),CFS_Accounts,0))-I181,2)</f>
        <v>0</v>
      </c>
      <c r="J182" s="76">
        <f t="array" ref="J182">ROUND(INDEX(INDIRECT("CFS_"&amp;TEXT(J$1,"mmm")&amp;"_"&amp;TEXT(J$1,"yyyy")),MATCH(TRIM($A181),CFS_Accounts,0))-J181,2)</f>
        <v>0</v>
      </c>
      <c r="K182" s="76">
        <f t="array" ref="K182">ROUND(INDEX(INDIRECT("CFS_"&amp;TEXT(K$1,"mmm")&amp;"_"&amp;TEXT(K$1,"yyyy")),MATCH(TRIM($A181),CFS_Accounts,0))-K181,2)</f>
        <v>0</v>
      </c>
      <c r="L182" s="76">
        <f t="array" ref="L182">ROUND(INDEX(INDIRECT("CFS_"&amp;TEXT(L$1,"mmm")&amp;"_"&amp;TEXT(L$1,"yyyy")),MATCH(TRIM($A181),CFS_Accounts,0))-L181,2)</f>
        <v>0</v>
      </c>
      <c r="M182" s="76">
        <f t="array" ref="M182">ROUND(INDEX(INDIRECT("CFS_"&amp;TEXT(M$1,"mmm")&amp;"_"&amp;TEXT(M$1,"yyyy")),MATCH(TRIM($A181),CFS_Accounts,0))-M181,2)</f>
        <v>0</v>
      </c>
      <c r="N182" s="76">
        <f t="array" ref="N182">ROUND(INDEX(INDIRECT("CFS_"&amp;TEXT(N$1,"mmm")&amp;"_"&amp;TEXT(N$1,"yyyy")),MATCH(TRIM($A181),CFS_Accounts,0))-N181,2)</f>
        <v>0</v>
      </c>
      <c r="O182" s="76">
        <f t="array" ref="O182">ROUND(INDEX(INDIRECT("CFS_"&amp;TEXT(O$1,"mmm")&amp;"_"&amp;TEXT(O$1,"yyyy")),MATCH(TRIM($A181),CFS_Accounts,0))-O181,2)</f>
        <v>0</v>
      </c>
      <c r="P182" s="76">
        <f t="array" ref="P182">ROUND(INDEX(INDIRECT("CFS_"&amp;TEXT(P$1,"mmm")&amp;"_"&amp;TEXT(P$1,"yyyy")),MATCH(TRIM($A181),CFS_Accounts,0))-P181,2)</f>
        <v>0</v>
      </c>
      <c r="Q182" s="76">
        <f t="array" ref="Q182">ROUND(INDEX(INDIRECT("CFS_"&amp;TEXT(Q$1,"mmm")&amp;"_"&amp;TEXT(Q$1,"yyyy")),MATCH(TRIM($A181),CFS_Accounts,0))-Q181,2)</f>
        <v>0</v>
      </c>
      <c r="R182" s="76">
        <f t="array" ref="R182">ROUND(INDEX(INDIRECT("CFS_"&amp;TEXT(R$1,"mmm")&amp;"_"&amp;TEXT(R$1,"yyyy")),MATCH(TRIM($A181),CFS_Accounts,0))-R181,2)</f>
        <v>0</v>
      </c>
      <c r="S182" s="76">
        <f t="array" ref="S182">ROUND(INDEX(INDIRECT("CFS_"&amp;TEXT(S$1,"mmm")&amp;"_"&amp;TEXT(S$1,"yyyy")),MATCH(TRIM($A181),CFS_Accounts,0))-S181,2)</f>
        <v>0</v>
      </c>
      <c r="T182" s="76">
        <f t="array" ref="T182">ROUND(INDEX(INDIRECT("CFS_"&amp;TEXT(T$1,"mmm")&amp;"_"&amp;TEXT(T$1,"yyyy")),MATCH(TRIM($A181),CFS_Accounts,0))-T181,2)</f>
        <v>0</v>
      </c>
      <c r="U182" s="76">
        <f t="array" ref="U182">ROUND(INDEX(INDIRECT("CFS_"&amp;TEXT(U$1,"mmm")&amp;"_"&amp;TEXT(U$1,"yyyy")),MATCH(TRIM($A181),CFS_Accounts,0))-U181,2)</f>
        <v>0</v>
      </c>
      <c r="V182" s="76">
        <f t="array" ref="V182">ROUND(INDEX(INDIRECT("CFS_"&amp;TEXT(V$1,"mmm")&amp;"_"&amp;TEXT(V$1,"yyyy")),MATCH(TRIM($A181),CFS_Accounts,0))-V181,2)</f>
        <v>0</v>
      </c>
      <c r="W182" s="76">
        <f t="array" ref="W182">ROUND(INDEX(INDIRECT("CFS_"&amp;TEXT(W$1,"mmm")&amp;"_"&amp;TEXT(W$1,"yyyy")),MATCH(TRIM($A181),CFS_Accounts,0))-W181,2)</f>
        <v>0</v>
      </c>
      <c r="X182" s="76">
        <f t="array" ref="X182">ROUND(INDEX(INDIRECT("CFS_"&amp;TEXT(X$1,"mmm")&amp;"_"&amp;TEXT(X$1,"yyyy")),MATCH(TRIM($A181),CFS_Accounts,0))-X181,2)</f>
        <v>0</v>
      </c>
      <c r="Y182" s="76">
        <f t="array" ref="Y182">ROUND(INDEX(INDIRECT("CFS_"&amp;TEXT(Y$1,"mmm")&amp;"_"&amp;TEXT(Y$1,"yyyy")),MATCH(TRIM($A181),CFS_Accounts,0))-Y181,2)</f>
        <v>0</v>
      </c>
      <c r="Z182" s="76">
        <f t="array" ref="Z182">ROUND(INDEX(INDIRECT("CFS_"&amp;TEXT(Z$1,"mmm")&amp;"_"&amp;TEXT(Z$1,"yyyy")),MATCH(TRIM($A181),CFS_Accounts,0))-Z181,2)</f>
        <v>0</v>
      </c>
      <c r="AA182" s="76">
        <f t="array" ref="AA182">ROUND(INDEX(INDIRECT("CFS_"&amp;TEXT(AA$1,"mmm")&amp;"_"&amp;TEXT(AA$1,"yyyy")),MATCH(TRIM($A181),CFS_Accounts,0))-AA181,2)</f>
        <v>0</v>
      </c>
      <c r="AB182" s="76">
        <f t="array" ref="AB182">ROUND(INDEX(INDIRECT("CFS_"&amp;TEXT(AB$1,"mmm")&amp;"_"&amp;TEXT(AB$1,"yyyy")),MATCH(TRIM($A181),CFS_Accounts,0))-AB181,2)</f>
        <v>0</v>
      </c>
      <c r="AC182" s="76">
        <f t="array" ref="AC182">ROUND(INDEX(INDIRECT("CFS_"&amp;TEXT(AC$1,"mmm")&amp;"_"&amp;TEXT(AC$1,"yyyy")),MATCH(TRIM($A181),CFS_Accounts,0))-AC181,2)</f>
        <v>0</v>
      </c>
      <c r="AD182" s="76">
        <f t="array" ref="AD182">ROUND(INDEX(INDIRECT("CFS_"&amp;TEXT(AD$1,"mmm")&amp;"_"&amp;TEXT(AD$1,"yyyy")),MATCH(TRIM($A181),CFS_Accounts,0))-AD181,2)</f>
        <v>0</v>
      </c>
      <c r="AE182" s="76">
        <f t="array" ref="AE182">ROUND(INDEX(INDIRECT("CFS_"&amp;TEXT(AE$1,"mmm")&amp;"_"&amp;TEXT(AE$1,"yyyy")),MATCH(TRIM($A181),CFS_Accounts,0))-AE181,2)</f>
        <v>0</v>
      </c>
    </row>
    <row r="183" ht="15.75" customHeight="1">
      <c r="B183" s="159"/>
    </row>
    <row r="184" ht="15.75" customHeight="1">
      <c r="B184" s="159"/>
    </row>
    <row r="185" ht="15.75" customHeight="1">
      <c r="B185" s="159"/>
    </row>
    <row r="186" ht="15.75" customHeight="1">
      <c r="B186" s="159"/>
    </row>
    <row r="187" ht="15.75" customHeight="1">
      <c r="B187" s="159"/>
    </row>
    <row r="188" ht="15.75" customHeight="1">
      <c r="B188" s="159"/>
    </row>
    <row r="189" ht="15.75" customHeight="1">
      <c r="B189" s="159"/>
    </row>
    <row r="190" ht="15.75" customHeight="1">
      <c r="B190" s="159"/>
    </row>
    <row r="191" ht="15.75" customHeight="1">
      <c r="B191" s="159"/>
    </row>
    <row r="192" ht="15.75" customHeight="1">
      <c r="B192" s="159"/>
    </row>
    <row r="193" ht="15.75" customHeight="1">
      <c r="B193" s="159"/>
    </row>
    <row r="194" ht="15.75" customHeight="1">
      <c r="B194" s="159"/>
    </row>
    <row r="195" ht="15.75" customHeight="1">
      <c r="B195" s="159"/>
    </row>
    <row r="196" ht="15.75" customHeight="1">
      <c r="B196" s="159"/>
    </row>
    <row r="197" ht="15.75" customHeight="1">
      <c r="B197" s="159"/>
    </row>
    <row r="198" ht="15.75" customHeight="1">
      <c r="B198" s="159"/>
    </row>
    <row r="199" ht="15.75" customHeight="1">
      <c r="B199" s="159"/>
    </row>
    <row r="200" ht="15.75" customHeight="1">
      <c r="B200" s="159"/>
    </row>
    <row r="201" ht="15.75" customHeight="1">
      <c r="B201" s="159"/>
    </row>
    <row r="202" ht="15.75" customHeight="1">
      <c r="B202" s="159"/>
    </row>
    <row r="203" ht="15.75" customHeight="1">
      <c r="B203" s="159"/>
    </row>
    <row r="204" ht="15.75" customHeight="1">
      <c r="B204" s="159"/>
    </row>
    <row r="205" ht="15.75" customHeight="1">
      <c r="B205" s="159"/>
    </row>
    <row r="206" ht="15.75" customHeight="1">
      <c r="B206" s="159"/>
    </row>
    <row r="207" ht="15.75" customHeight="1">
      <c r="B207" s="159"/>
    </row>
    <row r="208" ht="15.75" customHeight="1">
      <c r="B208" s="159"/>
    </row>
    <row r="209" ht="15.75" customHeight="1">
      <c r="B209" s="159"/>
    </row>
    <row r="210" ht="15.75" customHeight="1">
      <c r="B210" s="159"/>
    </row>
    <row r="211" ht="15.75" customHeight="1">
      <c r="B211" s="159"/>
    </row>
    <row r="212" ht="15.75" customHeight="1">
      <c r="B212" s="159"/>
    </row>
    <row r="213" ht="15.75" customHeight="1">
      <c r="B213" s="159"/>
    </row>
    <row r="214" ht="15.75" customHeight="1">
      <c r="B214" s="159"/>
    </row>
    <row r="215" ht="15.75" customHeight="1">
      <c r="B215" s="159"/>
    </row>
    <row r="216" ht="15.75" customHeight="1">
      <c r="B216" s="159"/>
    </row>
    <row r="217" ht="15.75" customHeight="1">
      <c r="B217" s="159"/>
    </row>
    <row r="218" ht="15.75" customHeight="1">
      <c r="B218" s="159"/>
    </row>
    <row r="219" ht="15.75" customHeight="1">
      <c r="B219" s="159"/>
    </row>
    <row r="220" ht="15.75" customHeight="1">
      <c r="B220" s="159"/>
    </row>
    <row r="221" ht="15.75" customHeight="1">
      <c r="B221" s="159"/>
    </row>
    <row r="222" ht="15.75" customHeight="1">
      <c r="B222" s="159"/>
    </row>
    <row r="223" ht="15.75" customHeight="1">
      <c r="B223" s="159"/>
    </row>
    <row r="224" ht="15.75" customHeight="1">
      <c r="B224" s="159"/>
    </row>
    <row r="225" ht="15.75" customHeight="1">
      <c r="B225" s="159"/>
    </row>
    <row r="226" ht="15.75" customHeight="1">
      <c r="B226" s="159"/>
    </row>
    <row r="227" ht="15.75" customHeight="1">
      <c r="B227" s="159"/>
    </row>
    <row r="228" ht="15.75" customHeight="1">
      <c r="B228" s="159"/>
    </row>
    <row r="229" ht="15.75" customHeight="1">
      <c r="B229" s="159"/>
    </row>
    <row r="230" ht="15.75" customHeight="1">
      <c r="B230" s="159"/>
    </row>
    <row r="231" ht="15.75" customHeight="1">
      <c r="B231" s="159"/>
    </row>
    <row r="232" ht="15.75" customHeight="1">
      <c r="B232" s="159"/>
    </row>
    <row r="233" ht="15.75" customHeight="1">
      <c r="B233" s="159"/>
    </row>
    <row r="234" ht="15.75" customHeight="1">
      <c r="B234" s="159"/>
    </row>
    <row r="235" ht="15.75" customHeight="1">
      <c r="B235" s="159"/>
    </row>
    <row r="236" ht="15.75" customHeight="1">
      <c r="B236" s="159"/>
    </row>
    <row r="237" ht="15.75" customHeight="1">
      <c r="B237" s="159"/>
    </row>
    <row r="238" ht="15.75" customHeight="1">
      <c r="B238" s="159"/>
    </row>
    <row r="239" ht="15.75" customHeight="1">
      <c r="B239" s="159"/>
    </row>
    <row r="240" ht="15.75" customHeight="1">
      <c r="B240" s="159"/>
    </row>
    <row r="241" ht="15.75" customHeight="1">
      <c r="B241" s="159"/>
    </row>
    <row r="242" ht="15.75" customHeight="1">
      <c r="B242" s="159"/>
    </row>
    <row r="243" ht="15.75" customHeight="1">
      <c r="B243" s="159"/>
    </row>
    <row r="244" ht="15.75" customHeight="1">
      <c r="B244" s="159"/>
    </row>
    <row r="245" ht="15.75" customHeight="1">
      <c r="B245" s="159"/>
    </row>
    <row r="246" ht="15.75" customHeight="1">
      <c r="B246" s="159"/>
    </row>
    <row r="247" ht="15.75" customHeight="1">
      <c r="B247" s="159"/>
    </row>
    <row r="248" ht="15.75" customHeight="1">
      <c r="B248" s="159"/>
    </row>
    <row r="249" ht="15.75" customHeight="1">
      <c r="B249" s="159"/>
    </row>
    <row r="250" ht="15.75" customHeight="1">
      <c r="B250" s="159"/>
    </row>
    <row r="251" ht="15.75" customHeight="1">
      <c r="B251" s="159"/>
    </row>
    <row r="252" ht="15.75" customHeight="1">
      <c r="B252" s="159"/>
    </row>
    <row r="253" ht="15.75" customHeight="1">
      <c r="B253" s="159"/>
    </row>
    <row r="254" ht="15.75" customHeight="1">
      <c r="B254" s="159"/>
    </row>
    <row r="255" ht="15.75" customHeight="1">
      <c r="B255" s="159"/>
    </row>
    <row r="256" ht="15.75" customHeight="1">
      <c r="B256" s="159"/>
    </row>
    <row r="257" ht="15.75" customHeight="1">
      <c r="B257" s="159"/>
    </row>
    <row r="258" ht="15.75" customHeight="1">
      <c r="B258" s="159"/>
    </row>
    <row r="259" ht="15.75" customHeight="1">
      <c r="B259" s="159"/>
    </row>
    <row r="260" ht="15.75" customHeight="1">
      <c r="B260" s="159"/>
    </row>
    <row r="261" ht="15.75" customHeight="1">
      <c r="B261" s="159"/>
    </row>
    <row r="262" ht="15.75" customHeight="1">
      <c r="B262" s="159"/>
    </row>
    <row r="263" ht="15.75" customHeight="1">
      <c r="B263" s="159"/>
    </row>
    <row r="264" ht="15.75" customHeight="1">
      <c r="B264" s="159"/>
    </row>
    <row r="265" ht="15.75" customHeight="1">
      <c r="B265" s="159"/>
    </row>
    <row r="266" ht="15.75" customHeight="1">
      <c r="B266" s="159"/>
    </row>
    <row r="267" ht="15.75" customHeight="1">
      <c r="B267" s="159"/>
    </row>
    <row r="268" ht="15.75" customHeight="1">
      <c r="B268" s="159"/>
    </row>
    <row r="269" ht="15.75" customHeight="1">
      <c r="B269" s="159"/>
    </row>
    <row r="270" ht="15.75" customHeight="1">
      <c r="B270" s="159"/>
    </row>
    <row r="271" ht="15.75" customHeight="1">
      <c r="B271" s="159"/>
    </row>
    <row r="272" ht="15.75" customHeight="1">
      <c r="B272" s="159"/>
    </row>
    <row r="273" ht="15.75" customHeight="1">
      <c r="B273" s="159"/>
    </row>
    <row r="274" ht="15.75" customHeight="1">
      <c r="B274" s="159"/>
    </row>
    <row r="275" ht="15.75" customHeight="1">
      <c r="B275" s="159"/>
    </row>
    <row r="276" ht="15.75" customHeight="1">
      <c r="B276" s="159"/>
    </row>
    <row r="277" ht="15.75" customHeight="1">
      <c r="B277" s="159"/>
    </row>
    <row r="278" ht="15.75" customHeight="1">
      <c r="B278" s="159"/>
    </row>
    <row r="279" ht="15.75" customHeight="1">
      <c r="B279" s="159"/>
    </row>
    <row r="280" ht="15.75" customHeight="1">
      <c r="B280" s="159"/>
    </row>
    <row r="281" ht="15.75" customHeight="1">
      <c r="B281" s="159"/>
    </row>
    <row r="282" ht="15.75" customHeight="1">
      <c r="B282" s="159"/>
    </row>
    <row r="283" ht="15.75" customHeight="1">
      <c r="B283" s="159"/>
    </row>
    <row r="284" ht="15.75" customHeight="1">
      <c r="B284" s="159"/>
    </row>
    <row r="285" ht="15.75" customHeight="1">
      <c r="B285" s="159"/>
    </row>
    <row r="286" ht="15.75" customHeight="1">
      <c r="B286" s="159"/>
    </row>
    <row r="287" ht="15.75" customHeight="1">
      <c r="B287" s="159"/>
    </row>
    <row r="288" ht="15.75" customHeight="1">
      <c r="B288" s="159"/>
    </row>
    <row r="289" ht="15.75" customHeight="1">
      <c r="B289" s="159"/>
    </row>
    <row r="290" ht="15.75" customHeight="1">
      <c r="B290" s="159"/>
    </row>
    <row r="291" ht="15.75" customHeight="1">
      <c r="B291" s="159"/>
    </row>
    <row r="292" ht="15.75" customHeight="1">
      <c r="B292" s="159"/>
    </row>
    <row r="293" ht="15.75" customHeight="1">
      <c r="B293" s="159"/>
    </row>
    <row r="294" ht="15.75" customHeight="1">
      <c r="B294" s="159"/>
    </row>
    <row r="295" ht="15.75" customHeight="1">
      <c r="B295" s="159"/>
    </row>
    <row r="296" ht="15.75" customHeight="1">
      <c r="B296" s="159"/>
    </row>
    <row r="297" ht="15.75" customHeight="1">
      <c r="B297" s="159"/>
    </row>
    <row r="298" ht="15.75" customHeight="1">
      <c r="B298" s="159"/>
    </row>
    <row r="299" ht="15.75" customHeight="1">
      <c r="B299" s="159"/>
    </row>
    <row r="300" ht="15.75" customHeight="1">
      <c r="B300" s="159"/>
    </row>
    <row r="301" ht="15.75" customHeight="1">
      <c r="B301" s="159"/>
    </row>
    <row r="302" ht="15.75" customHeight="1">
      <c r="B302" s="159"/>
    </row>
    <row r="303" ht="15.75" customHeight="1">
      <c r="B303" s="159"/>
    </row>
    <row r="304" ht="15.75" customHeight="1">
      <c r="B304" s="159"/>
    </row>
    <row r="305" ht="15.75" customHeight="1">
      <c r="B305" s="159"/>
    </row>
    <row r="306" ht="15.75" customHeight="1">
      <c r="B306" s="159"/>
    </row>
    <row r="307" ht="15.75" customHeight="1">
      <c r="B307" s="159"/>
    </row>
    <row r="308" ht="15.75" customHeight="1">
      <c r="B308" s="159"/>
    </row>
    <row r="309" ht="15.75" customHeight="1">
      <c r="B309" s="159"/>
    </row>
    <row r="310" ht="15.75" customHeight="1">
      <c r="B310" s="159"/>
    </row>
    <row r="311" ht="15.75" customHeight="1">
      <c r="B311" s="159"/>
    </row>
    <row r="312" ht="15.75" customHeight="1">
      <c r="B312" s="159"/>
    </row>
    <row r="313" ht="15.75" customHeight="1">
      <c r="B313" s="159"/>
    </row>
    <row r="314" ht="15.75" customHeight="1">
      <c r="B314" s="159"/>
    </row>
    <row r="315" ht="15.75" customHeight="1">
      <c r="B315" s="159"/>
    </row>
    <row r="316" ht="15.75" customHeight="1">
      <c r="B316" s="159"/>
    </row>
    <row r="317" ht="15.75" customHeight="1">
      <c r="B317" s="159"/>
    </row>
    <row r="318" ht="15.75" customHeight="1">
      <c r="B318" s="159"/>
    </row>
    <row r="319" ht="15.75" customHeight="1">
      <c r="B319" s="159"/>
    </row>
    <row r="320" ht="15.75" customHeight="1">
      <c r="B320" s="159"/>
    </row>
    <row r="321" ht="15.75" customHeight="1">
      <c r="B321" s="159"/>
    </row>
    <row r="322" ht="15.75" customHeight="1">
      <c r="B322" s="159"/>
    </row>
    <row r="323" ht="15.75" customHeight="1">
      <c r="B323" s="159"/>
    </row>
    <row r="324" ht="15.75" customHeight="1">
      <c r="B324" s="159"/>
    </row>
    <row r="325" ht="15.75" customHeight="1">
      <c r="B325" s="159"/>
    </row>
    <row r="326" ht="15.75" customHeight="1">
      <c r="B326" s="159"/>
    </row>
    <row r="327" ht="15.75" customHeight="1">
      <c r="B327" s="159"/>
    </row>
    <row r="328" ht="15.75" customHeight="1">
      <c r="B328" s="159"/>
    </row>
    <row r="329" ht="15.75" customHeight="1">
      <c r="B329" s="159"/>
    </row>
    <row r="330" ht="15.75" customHeight="1">
      <c r="B330" s="159"/>
    </row>
    <row r="331" ht="15.75" customHeight="1">
      <c r="B331" s="159"/>
    </row>
    <row r="332" ht="15.75" customHeight="1">
      <c r="B332" s="159"/>
    </row>
    <row r="333" ht="15.75" customHeight="1">
      <c r="B333" s="159"/>
    </row>
    <row r="334" ht="15.75" customHeight="1">
      <c r="B334" s="159"/>
    </row>
    <row r="335" ht="15.75" customHeight="1">
      <c r="B335" s="159"/>
    </row>
    <row r="336" ht="15.75" customHeight="1">
      <c r="B336" s="159"/>
    </row>
    <row r="337" ht="15.75" customHeight="1">
      <c r="B337" s="159"/>
    </row>
    <row r="338" ht="15.75" customHeight="1">
      <c r="B338" s="159"/>
    </row>
    <row r="339" ht="15.75" customHeight="1">
      <c r="B339" s="159"/>
    </row>
    <row r="340" ht="15.75" customHeight="1">
      <c r="B340" s="159"/>
    </row>
    <row r="341" ht="15.75" customHeight="1">
      <c r="B341" s="159"/>
    </row>
    <row r="342" ht="15.75" customHeight="1">
      <c r="B342" s="159"/>
    </row>
    <row r="343" ht="15.75" customHeight="1">
      <c r="B343" s="159"/>
    </row>
    <row r="344" ht="15.75" customHeight="1">
      <c r="B344" s="159"/>
    </row>
    <row r="345" ht="15.75" customHeight="1">
      <c r="B345" s="159"/>
    </row>
    <row r="346" ht="15.75" customHeight="1">
      <c r="B346" s="159"/>
    </row>
    <row r="347" ht="15.75" customHeight="1">
      <c r="B347" s="159"/>
    </row>
    <row r="348" ht="15.75" customHeight="1">
      <c r="B348" s="159"/>
    </row>
    <row r="349" ht="15.75" customHeight="1">
      <c r="B349" s="159"/>
    </row>
    <row r="350" ht="15.75" customHeight="1">
      <c r="B350" s="159"/>
    </row>
    <row r="351" ht="15.75" customHeight="1">
      <c r="B351" s="159"/>
    </row>
    <row r="352" ht="15.75" customHeight="1">
      <c r="B352" s="159"/>
    </row>
    <row r="353" ht="15.75" customHeight="1">
      <c r="B353" s="159"/>
    </row>
    <row r="354" ht="15.75" customHeight="1">
      <c r="B354" s="159"/>
    </row>
    <row r="355" ht="15.75" customHeight="1">
      <c r="B355" s="159"/>
    </row>
    <row r="356" ht="15.75" customHeight="1">
      <c r="B356" s="159"/>
    </row>
    <row r="357" ht="15.75" customHeight="1">
      <c r="B357" s="159"/>
    </row>
    <row r="358" ht="15.75" customHeight="1">
      <c r="B358" s="159"/>
    </row>
    <row r="359" ht="15.75" customHeight="1">
      <c r="B359" s="159"/>
    </row>
    <row r="360" ht="15.75" customHeight="1">
      <c r="B360" s="159"/>
    </row>
    <row r="361" ht="15.75" customHeight="1">
      <c r="B361" s="159"/>
    </row>
    <row r="362" ht="15.75" customHeight="1">
      <c r="B362" s="159"/>
    </row>
    <row r="363" ht="15.75" customHeight="1">
      <c r="B363" s="159"/>
    </row>
    <row r="364" ht="15.75" customHeight="1">
      <c r="B364" s="159"/>
    </row>
    <row r="365" ht="15.75" customHeight="1">
      <c r="B365" s="159"/>
    </row>
    <row r="366" ht="15.75" customHeight="1">
      <c r="B366" s="159"/>
    </row>
    <row r="367" ht="15.75" customHeight="1">
      <c r="B367" s="159"/>
    </row>
    <row r="368" ht="15.75" customHeight="1">
      <c r="B368" s="159"/>
    </row>
    <row r="369" ht="15.75" customHeight="1">
      <c r="B369" s="159"/>
    </row>
    <row r="370" ht="15.75" customHeight="1">
      <c r="B370" s="159"/>
    </row>
    <row r="371" ht="15.75" customHeight="1">
      <c r="B371" s="159"/>
    </row>
    <row r="372" ht="15.75" customHeight="1">
      <c r="B372" s="159"/>
    </row>
    <row r="373" ht="15.75" customHeight="1">
      <c r="B373" s="159"/>
    </row>
    <row r="374" ht="15.75" customHeight="1">
      <c r="B374" s="159"/>
    </row>
    <row r="375" ht="15.75" customHeight="1">
      <c r="B375" s="159"/>
    </row>
    <row r="376" ht="15.75" customHeight="1">
      <c r="B376" s="159"/>
    </row>
    <row r="377" ht="15.75" customHeight="1">
      <c r="B377" s="159"/>
    </row>
    <row r="378" ht="15.75" customHeight="1">
      <c r="B378" s="159"/>
    </row>
    <row r="379" ht="15.75" customHeight="1">
      <c r="B379" s="159"/>
    </row>
    <row r="380" ht="15.75" customHeight="1">
      <c r="B380" s="159"/>
    </row>
    <row r="381" ht="15.75" customHeight="1">
      <c r="B381" s="159"/>
    </row>
    <row r="382" ht="15.75" customHeight="1">
      <c r="B382" s="159"/>
    </row>
  </sheetData>
  <conditionalFormatting sqref="D6:AE6 D21:AE21 D31:AE31 D63:AE63 D85:AE85 D88:AE88 D98:AE98 D107:AE107 D112:AE112 D118:AE118 D120:AE120 D132:AE132 D140:AE140 D142:AE142 D149:AE149 D151:AE152 D165:AE165 D171:AE171 D180:AE180 D182:AE182 AF152:BW152">
    <cfRule type="cellIs" dxfId="4" priority="1" operator="equal">
      <formula>0</formula>
    </cfRule>
  </conditionalFormatting>
  <conditionalFormatting sqref="D6:AE6 D21:AE21 D31:AE31 D63:AE63 D85:AE85 D88:AE88 D98:AE98 D107:AE107 D112:AE112 D118:AE118 D120:AE120 D132:AE132 D140:AE140 D142:AE142 D149:AE149 D151:AE152 D165:AE165 D171:AE171 D180:AE180 D182:AE182 AF152:BW152">
    <cfRule type="cellIs" dxfId="5" priority="2" operator="notEqual">
      <formula>0</formula>
    </cfRule>
  </conditionalFormatting>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B888"/>
    <outlinePr summaryBelow="0" summaryRight="0"/>
    <pageSetUpPr/>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39.88"/>
    <col customWidth="1" min="2" max="146" width="14.38"/>
  </cols>
  <sheetData>
    <row r="1" ht="15.75" hidden="1" customHeight="1">
      <c r="A1" s="1"/>
      <c r="B1" s="1"/>
      <c r="C1" s="166">
        <v>1.0</v>
      </c>
      <c r="D1" s="166">
        <f t="shared" ref="D1:EP1" si="1">C1+1</f>
        <v>2</v>
      </c>
      <c r="E1" s="166">
        <f t="shared" si="1"/>
        <v>3</v>
      </c>
      <c r="F1" s="166">
        <f t="shared" si="1"/>
        <v>4</v>
      </c>
      <c r="G1" s="166">
        <f t="shared" si="1"/>
        <v>5</v>
      </c>
      <c r="H1" s="166">
        <f t="shared" si="1"/>
        <v>6</v>
      </c>
      <c r="I1" s="166">
        <f t="shared" si="1"/>
        <v>7</v>
      </c>
      <c r="J1" s="166">
        <f t="shared" si="1"/>
        <v>8</v>
      </c>
      <c r="K1" s="166">
        <f t="shared" si="1"/>
        <v>9</v>
      </c>
      <c r="L1" s="166">
        <f t="shared" si="1"/>
        <v>10</v>
      </c>
      <c r="M1" s="166">
        <f t="shared" si="1"/>
        <v>11</v>
      </c>
      <c r="N1" s="166">
        <f t="shared" si="1"/>
        <v>12</v>
      </c>
      <c r="O1" s="166">
        <f t="shared" si="1"/>
        <v>13</v>
      </c>
      <c r="P1" s="166">
        <f t="shared" si="1"/>
        <v>14</v>
      </c>
      <c r="Q1" s="166">
        <f t="shared" si="1"/>
        <v>15</v>
      </c>
      <c r="R1" s="166">
        <f t="shared" si="1"/>
        <v>16</v>
      </c>
      <c r="S1" s="166">
        <f t="shared" si="1"/>
        <v>17</v>
      </c>
      <c r="T1" s="166">
        <f t="shared" si="1"/>
        <v>18</v>
      </c>
      <c r="U1" s="166">
        <f t="shared" si="1"/>
        <v>19</v>
      </c>
      <c r="V1" s="166">
        <f t="shared" si="1"/>
        <v>20</v>
      </c>
      <c r="W1" s="166">
        <f t="shared" si="1"/>
        <v>21</v>
      </c>
      <c r="X1" s="166">
        <f t="shared" si="1"/>
        <v>22</v>
      </c>
      <c r="Y1" s="166">
        <f t="shared" si="1"/>
        <v>23</v>
      </c>
      <c r="Z1" s="166">
        <f t="shared" si="1"/>
        <v>24</v>
      </c>
      <c r="AA1" s="166">
        <f t="shared" si="1"/>
        <v>25</v>
      </c>
      <c r="AB1" s="166">
        <f t="shared" si="1"/>
        <v>26</v>
      </c>
      <c r="AC1" s="166">
        <f t="shared" si="1"/>
        <v>27</v>
      </c>
      <c r="AD1" s="166">
        <f t="shared" si="1"/>
        <v>28</v>
      </c>
      <c r="AE1" s="166">
        <f t="shared" si="1"/>
        <v>29</v>
      </c>
      <c r="AF1" s="166">
        <f t="shared" si="1"/>
        <v>30</v>
      </c>
      <c r="AG1" s="166">
        <f t="shared" si="1"/>
        <v>31</v>
      </c>
      <c r="AH1" s="166">
        <f t="shared" si="1"/>
        <v>32</v>
      </c>
      <c r="AI1" s="166">
        <f t="shared" si="1"/>
        <v>33</v>
      </c>
      <c r="AJ1" s="166">
        <f t="shared" si="1"/>
        <v>34</v>
      </c>
      <c r="AK1" s="166">
        <f t="shared" si="1"/>
        <v>35</v>
      </c>
      <c r="AL1" s="166">
        <f t="shared" si="1"/>
        <v>36</v>
      </c>
      <c r="AM1" s="166">
        <f t="shared" si="1"/>
        <v>37</v>
      </c>
      <c r="AN1" s="166">
        <f t="shared" si="1"/>
        <v>38</v>
      </c>
      <c r="AO1" s="166">
        <f t="shared" si="1"/>
        <v>39</v>
      </c>
      <c r="AP1" s="166">
        <f t="shared" si="1"/>
        <v>40</v>
      </c>
      <c r="AQ1" s="166">
        <f t="shared" si="1"/>
        <v>41</v>
      </c>
      <c r="AR1" s="166">
        <f t="shared" si="1"/>
        <v>42</v>
      </c>
      <c r="AS1" s="166">
        <f t="shared" si="1"/>
        <v>43</v>
      </c>
      <c r="AT1" s="166">
        <f t="shared" si="1"/>
        <v>44</v>
      </c>
      <c r="AU1" s="166">
        <f t="shared" si="1"/>
        <v>45</v>
      </c>
      <c r="AV1" s="166">
        <f t="shared" si="1"/>
        <v>46</v>
      </c>
      <c r="AW1" s="166">
        <f t="shared" si="1"/>
        <v>47</v>
      </c>
      <c r="AX1" s="166">
        <f t="shared" si="1"/>
        <v>48</v>
      </c>
      <c r="AY1" s="166">
        <f t="shared" si="1"/>
        <v>49</v>
      </c>
      <c r="AZ1" s="166">
        <f t="shared" si="1"/>
        <v>50</v>
      </c>
      <c r="BA1" s="166">
        <f t="shared" si="1"/>
        <v>51</v>
      </c>
      <c r="BB1" s="166">
        <f t="shared" si="1"/>
        <v>52</v>
      </c>
      <c r="BC1" s="166">
        <f t="shared" si="1"/>
        <v>53</v>
      </c>
      <c r="BD1" s="166">
        <f t="shared" si="1"/>
        <v>54</v>
      </c>
      <c r="BE1" s="166">
        <f t="shared" si="1"/>
        <v>55</v>
      </c>
      <c r="BF1" s="166">
        <f t="shared" si="1"/>
        <v>56</v>
      </c>
      <c r="BG1" s="166">
        <f t="shared" si="1"/>
        <v>57</v>
      </c>
      <c r="BH1" s="166">
        <f t="shared" si="1"/>
        <v>58</v>
      </c>
      <c r="BI1" s="166">
        <f t="shared" si="1"/>
        <v>59</v>
      </c>
      <c r="BJ1" s="166">
        <f t="shared" si="1"/>
        <v>60</v>
      </c>
      <c r="BK1" s="166">
        <f t="shared" si="1"/>
        <v>61</v>
      </c>
      <c r="BL1" s="166">
        <f t="shared" si="1"/>
        <v>62</v>
      </c>
      <c r="BM1" s="166">
        <f t="shared" si="1"/>
        <v>63</v>
      </c>
      <c r="BN1" s="166">
        <f t="shared" si="1"/>
        <v>64</v>
      </c>
      <c r="BO1" s="166">
        <f t="shared" si="1"/>
        <v>65</v>
      </c>
      <c r="BP1" s="166">
        <f t="shared" si="1"/>
        <v>66</v>
      </c>
      <c r="BQ1" s="166">
        <f t="shared" si="1"/>
        <v>67</v>
      </c>
      <c r="BR1" s="166">
        <f t="shared" si="1"/>
        <v>68</v>
      </c>
      <c r="BS1" s="166">
        <f t="shared" si="1"/>
        <v>69</v>
      </c>
      <c r="BT1" s="166">
        <f t="shared" si="1"/>
        <v>70</v>
      </c>
      <c r="BU1" s="166">
        <f t="shared" si="1"/>
        <v>71</v>
      </c>
      <c r="BV1" s="166">
        <f t="shared" si="1"/>
        <v>72</v>
      </c>
      <c r="BW1" s="166">
        <f t="shared" si="1"/>
        <v>73</v>
      </c>
      <c r="BX1" s="166">
        <f t="shared" si="1"/>
        <v>74</v>
      </c>
      <c r="BY1" s="166">
        <f t="shared" si="1"/>
        <v>75</v>
      </c>
      <c r="BZ1" s="166">
        <f t="shared" si="1"/>
        <v>76</v>
      </c>
      <c r="CA1" s="166">
        <f t="shared" si="1"/>
        <v>77</v>
      </c>
      <c r="CB1" s="166">
        <f t="shared" si="1"/>
        <v>78</v>
      </c>
      <c r="CC1" s="166">
        <f t="shared" si="1"/>
        <v>79</v>
      </c>
      <c r="CD1" s="166">
        <f t="shared" si="1"/>
        <v>80</v>
      </c>
      <c r="CE1" s="166">
        <f t="shared" si="1"/>
        <v>81</v>
      </c>
      <c r="CF1" s="166">
        <f t="shared" si="1"/>
        <v>82</v>
      </c>
      <c r="CG1" s="166">
        <f t="shared" si="1"/>
        <v>83</v>
      </c>
      <c r="CH1" s="166">
        <f t="shared" si="1"/>
        <v>84</v>
      </c>
      <c r="CI1" s="166">
        <f t="shared" si="1"/>
        <v>85</v>
      </c>
      <c r="CJ1" s="166">
        <f t="shared" si="1"/>
        <v>86</v>
      </c>
      <c r="CK1" s="166">
        <f t="shared" si="1"/>
        <v>87</v>
      </c>
      <c r="CL1" s="166">
        <f t="shared" si="1"/>
        <v>88</v>
      </c>
      <c r="CM1" s="166">
        <f t="shared" si="1"/>
        <v>89</v>
      </c>
      <c r="CN1" s="166">
        <f t="shared" si="1"/>
        <v>90</v>
      </c>
      <c r="CO1" s="166">
        <f t="shared" si="1"/>
        <v>91</v>
      </c>
      <c r="CP1" s="166">
        <f t="shared" si="1"/>
        <v>92</v>
      </c>
      <c r="CQ1" s="166">
        <f t="shared" si="1"/>
        <v>93</v>
      </c>
      <c r="CR1" s="166">
        <f t="shared" si="1"/>
        <v>94</v>
      </c>
      <c r="CS1" s="166">
        <f t="shared" si="1"/>
        <v>95</v>
      </c>
      <c r="CT1" s="166">
        <f t="shared" si="1"/>
        <v>96</v>
      </c>
      <c r="CU1" s="166">
        <f t="shared" si="1"/>
        <v>97</v>
      </c>
      <c r="CV1" s="166">
        <f t="shared" si="1"/>
        <v>98</v>
      </c>
      <c r="CW1" s="166">
        <f t="shared" si="1"/>
        <v>99</v>
      </c>
      <c r="CX1" s="166">
        <f t="shared" si="1"/>
        <v>100</v>
      </c>
      <c r="CY1" s="166">
        <f t="shared" si="1"/>
        <v>101</v>
      </c>
      <c r="CZ1" s="166">
        <f t="shared" si="1"/>
        <v>102</v>
      </c>
      <c r="DA1" s="166">
        <f t="shared" si="1"/>
        <v>103</v>
      </c>
      <c r="DB1" s="166">
        <f t="shared" si="1"/>
        <v>104</v>
      </c>
      <c r="DC1" s="166">
        <f t="shared" si="1"/>
        <v>105</v>
      </c>
      <c r="DD1" s="166">
        <f t="shared" si="1"/>
        <v>106</v>
      </c>
      <c r="DE1" s="166">
        <f t="shared" si="1"/>
        <v>107</v>
      </c>
      <c r="DF1" s="166">
        <f t="shared" si="1"/>
        <v>108</v>
      </c>
      <c r="DG1" s="166">
        <f t="shared" si="1"/>
        <v>109</v>
      </c>
      <c r="DH1" s="166">
        <f t="shared" si="1"/>
        <v>110</v>
      </c>
      <c r="DI1" s="166">
        <f t="shared" si="1"/>
        <v>111</v>
      </c>
      <c r="DJ1" s="166">
        <f t="shared" si="1"/>
        <v>112</v>
      </c>
      <c r="DK1" s="166">
        <f t="shared" si="1"/>
        <v>113</v>
      </c>
      <c r="DL1" s="166">
        <f t="shared" si="1"/>
        <v>114</v>
      </c>
      <c r="DM1" s="166">
        <f t="shared" si="1"/>
        <v>115</v>
      </c>
      <c r="DN1" s="166">
        <f t="shared" si="1"/>
        <v>116</v>
      </c>
      <c r="DO1" s="166">
        <f t="shared" si="1"/>
        <v>117</v>
      </c>
      <c r="DP1" s="166">
        <f t="shared" si="1"/>
        <v>118</v>
      </c>
      <c r="DQ1" s="166">
        <f t="shared" si="1"/>
        <v>119</v>
      </c>
      <c r="DR1" s="166">
        <f t="shared" si="1"/>
        <v>120</v>
      </c>
      <c r="DS1" s="166">
        <f t="shared" si="1"/>
        <v>121</v>
      </c>
      <c r="DT1" s="166">
        <f t="shared" si="1"/>
        <v>122</v>
      </c>
      <c r="DU1" s="166">
        <f t="shared" si="1"/>
        <v>123</v>
      </c>
      <c r="DV1" s="166">
        <f t="shared" si="1"/>
        <v>124</v>
      </c>
      <c r="DW1" s="166">
        <f t="shared" si="1"/>
        <v>125</v>
      </c>
      <c r="DX1" s="166">
        <f t="shared" si="1"/>
        <v>126</v>
      </c>
      <c r="DY1" s="166">
        <f t="shared" si="1"/>
        <v>127</v>
      </c>
      <c r="DZ1" s="166">
        <f t="shared" si="1"/>
        <v>128</v>
      </c>
      <c r="EA1" s="166">
        <f t="shared" si="1"/>
        <v>129</v>
      </c>
      <c r="EB1" s="166">
        <f t="shared" si="1"/>
        <v>130</v>
      </c>
      <c r="EC1" s="166">
        <f t="shared" si="1"/>
        <v>131</v>
      </c>
      <c r="ED1" s="166">
        <f t="shared" si="1"/>
        <v>132</v>
      </c>
      <c r="EE1" s="166">
        <f t="shared" si="1"/>
        <v>133</v>
      </c>
      <c r="EF1" s="166">
        <f t="shared" si="1"/>
        <v>134</v>
      </c>
      <c r="EG1" s="166">
        <f t="shared" si="1"/>
        <v>135</v>
      </c>
      <c r="EH1" s="166">
        <f t="shared" si="1"/>
        <v>136</v>
      </c>
      <c r="EI1" s="166">
        <f t="shared" si="1"/>
        <v>137</v>
      </c>
      <c r="EJ1" s="166">
        <f t="shared" si="1"/>
        <v>138</v>
      </c>
      <c r="EK1" s="166">
        <f t="shared" si="1"/>
        <v>139</v>
      </c>
      <c r="EL1" s="166">
        <f t="shared" si="1"/>
        <v>140</v>
      </c>
      <c r="EM1" s="166">
        <f t="shared" si="1"/>
        <v>141</v>
      </c>
      <c r="EN1" s="166">
        <f t="shared" si="1"/>
        <v>142</v>
      </c>
      <c r="EO1" s="166">
        <f t="shared" si="1"/>
        <v>143</v>
      </c>
      <c r="EP1" s="166">
        <f t="shared" si="1"/>
        <v>144</v>
      </c>
    </row>
    <row r="2" ht="15.75" customHeight="1">
      <c r="A2" s="77" t="s">
        <v>392</v>
      </c>
      <c r="B2" s="167"/>
      <c r="C2" s="168">
        <f>B14</f>
        <v>44013</v>
      </c>
      <c r="D2" s="168">
        <f t="shared" ref="D2:EP2" si="2">EDATE(C2,1)</f>
        <v>44044</v>
      </c>
      <c r="E2" s="168">
        <f t="shared" si="2"/>
        <v>44075</v>
      </c>
      <c r="F2" s="168">
        <f t="shared" si="2"/>
        <v>44105</v>
      </c>
      <c r="G2" s="168">
        <f t="shared" si="2"/>
        <v>44136</v>
      </c>
      <c r="H2" s="168">
        <f t="shared" si="2"/>
        <v>44166</v>
      </c>
      <c r="I2" s="168">
        <f t="shared" si="2"/>
        <v>44197</v>
      </c>
      <c r="J2" s="168">
        <f t="shared" si="2"/>
        <v>44228</v>
      </c>
      <c r="K2" s="168">
        <f t="shared" si="2"/>
        <v>44256</v>
      </c>
      <c r="L2" s="168">
        <f t="shared" si="2"/>
        <v>44287</v>
      </c>
      <c r="M2" s="168">
        <f t="shared" si="2"/>
        <v>44317</v>
      </c>
      <c r="N2" s="168">
        <f t="shared" si="2"/>
        <v>44348</v>
      </c>
      <c r="O2" s="168">
        <f t="shared" si="2"/>
        <v>44378</v>
      </c>
      <c r="P2" s="168">
        <f t="shared" si="2"/>
        <v>44409</v>
      </c>
      <c r="Q2" s="168">
        <f t="shared" si="2"/>
        <v>44440</v>
      </c>
      <c r="R2" s="168">
        <f t="shared" si="2"/>
        <v>44470</v>
      </c>
      <c r="S2" s="168">
        <f t="shared" si="2"/>
        <v>44501</v>
      </c>
      <c r="T2" s="168">
        <f t="shared" si="2"/>
        <v>44531</v>
      </c>
      <c r="U2" s="168">
        <f t="shared" si="2"/>
        <v>44562</v>
      </c>
      <c r="V2" s="168">
        <f t="shared" si="2"/>
        <v>44593</v>
      </c>
      <c r="W2" s="168">
        <f t="shared" si="2"/>
        <v>44621</v>
      </c>
      <c r="X2" s="168">
        <f t="shared" si="2"/>
        <v>44652</v>
      </c>
      <c r="Y2" s="168">
        <f t="shared" si="2"/>
        <v>44682</v>
      </c>
      <c r="Z2" s="168">
        <f t="shared" si="2"/>
        <v>44713</v>
      </c>
      <c r="AA2" s="168">
        <f t="shared" si="2"/>
        <v>44743</v>
      </c>
      <c r="AB2" s="168">
        <f t="shared" si="2"/>
        <v>44774</v>
      </c>
      <c r="AC2" s="168">
        <f t="shared" si="2"/>
        <v>44805</v>
      </c>
      <c r="AD2" s="168">
        <f t="shared" si="2"/>
        <v>44835</v>
      </c>
      <c r="AE2" s="168">
        <f t="shared" si="2"/>
        <v>44866</v>
      </c>
      <c r="AF2" s="168">
        <f t="shared" si="2"/>
        <v>44896</v>
      </c>
      <c r="AG2" s="168">
        <f t="shared" si="2"/>
        <v>44927</v>
      </c>
      <c r="AH2" s="168">
        <f t="shared" si="2"/>
        <v>44958</v>
      </c>
      <c r="AI2" s="168">
        <f t="shared" si="2"/>
        <v>44986</v>
      </c>
      <c r="AJ2" s="168">
        <f t="shared" si="2"/>
        <v>45017</v>
      </c>
      <c r="AK2" s="168">
        <f t="shared" si="2"/>
        <v>45047</v>
      </c>
      <c r="AL2" s="168">
        <f t="shared" si="2"/>
        <v>45078</v>
      </c>
      <c r="AM2" s="168">
        <f t="shared" si="2"/>
        <v>45108</v>
      </c>
      <c r="AN2" s="168">
        <f t="shared" si="2"/>
        <v>45139</v>
      </c>
      <c r="AO2" s="168">
        <f t="shared" si="2"/>
        <v>45170</v>
      </c>
      <c r="AP2" s="168">
        <f t="shared" si="2"/>
        <v>45200</v>
      </c>
      <c r="AQ2" s="168">
        <f t="shared" si="2"/>
        <v>45231</v>
      </c>
      <c r="AR2" s="168">
        <f t="shared" si="2"/>
        <v>45261</v>
      </c>
      <c r="AS2" s="168">
        <f t="shared" si="2"/>
        <v>45292</v>
      </c>
      <c r="AT2" s="168">
        <f t="shared" si="2"/>
        <v>45323</v>
      </c>
      <c r="AU2" s="168">
        <f t="shared" si="2"/>
        <v>45352</v>
      </c>
      <c r="AV2" s="168">
        <f t="shared" si="2"/>
        <v>45383</v>
      </c>
      <c r="AW2" s="168">
        <f t="shared" si="2"/>
        <v>45413</v>
      </c>
      <c r="AX2" s="168">
        <f t="shared" si="2"/>
        <v>45444</v>
      </c>
      <c r="AY2" s="168">
        <f t="shared" si="2"/>
        <v>45474</v>
      </c>
      <c r="AZ2" s="168">
        <f t="shared" si="2"/>
        <v>45505</v>
      </c>
      <c r="BA2" s="168">
        <f t="shared" si="2"/>
        <v>45536</v>
      </c>
      <c r="BB2" s="168">
        <f t="shared" si="2"/>
        <v>45566</v>
      </c>
      <c r="BC2" s="168">
        <f t="shared" si="2"/>
        <v>45597</v>
      </c>
      <c r="BD2" s="168">
        <f t="shared" si="2"/>
        <v>45627</v>
      </c>
      <c r="BE2" s="168">
        <f t="shared" si="2"/>
        <v>45658</v>
      </c>
      <c r="BF2" s="168">
        <f t="shared" si="2"/>
        <v>45689</v>
      </c>
      <c r="BG2" s="168">
        <f t="shared" si="2"/>
        <v>45717</v>
      </c>
      <c r="BH2" s="168">
        <f t="shared" si="2"/>
        <v>45748</v>
      </c>
      <c r="BI2" s="168">
        <f t="shared" si="2"/>
        <v>45778</v>
      </c>
      <c r="BJ2" s="168">
        <f t="shared" si="2"/>
        <v>45809</v>
      </c>
      <c r="BK2" s="168">
        <f t="shared" si="2"/>
        <v>45839</v>
      </c>
      <c r="BL2" s="168">
        <f t="shared" si="2"/>
        <v>45870</v>
      </c>
      <c r="BM2" s="168">
        <f t="shared" si="2"/>
        <v>45901</v>
      </c>
      <c r="BN2" s="168">
        <f t="shared" si="2"/>
        <v>45931</v>
      </c>
      <c r="BO2" s="168">
        <f t="shared" si="2"/>
        <v>45962</v>
      </c>
      <c r="BP2" s="168">
        <f t="shared" si="2"/>
        <v>45992</v>
      </c>
      <c r="BQ2" s="168">
        <f t="shared" si="2"/>
        <v>46023</v>
      </c>
      <c r="BR2" s="168">
        <f t="shared" si="2"/>
        <v>46054</v>
      </c>
      <c r="BS2" s="168">
        <f t="shared" si="2"/>
        <v>46082</v>
      </c>
      <c r="BT2" s="168">
        <f t="shared" si="2"/>
        <v>46113</v>
      </c>
      <c r="BU2" s="168">
        <f t="shared" si="2"/>
        <v>46143</v>
      </c>
      <c r="BV2" s="168">
        <f t="shared" si="2"/>
        <v>46174</v>
      </c>
      <c r="BW2" s="168">
        <f t="shared" si="2"/>
        <v>46204</v>
      </c>
      <c r="BX2" s="168">
        <f t="shared" si="2"/>
        <v>46235</v>
      </c>
      <c r="BY2" s="168">
        <f t="shared" si="2"/>
        <v>46266</v>
      </c>
      <c r="BZ2" s="168">
        <f t="shared" si="2"/>
        <v>46296</v>
      </c>
      <c r="CA2" s="168">
        <f t="shared" si="2"/>
        <v>46327</v>
      </c>
      <c r="CB2" s="168">
        <f t="shared" si="2"/>
        <v>46357</v>
      </c>
      <c r="CC2" s="168">
        <f t="shared" si="2"/>
        <v>46388</v>
      </c>
      <c r="CD2" s="168">
        <f t="shared" si="2"/>
        <v>46419</v>
      </c>
      <c r="CE2" s="168">
        <f t="shared" si="2"/>
        <v>46447</v>
      </c>
      <c r="CF2" s="168">
        <f t="shared" si="2"/>
        <v>46478</v>
      </c>
      <c r="CG2" s="168">
        <f t="shared" si="2"/>
        <v>46508</v>
      </c>
      <c r="CH2" s="168">
        <f t="shared" si="2"/>
        <v>46539</v>
      </c>
      <c r="CI2" s="168">
        <f t="shared" si="2"/>
        <v>46569</v>
      </c>
      <c r="CJ2" s="168">
        <f t="shared" si="2"/>
        <v>46600</v>
      </c>
      <c r="CK2" s="168">
        <f t="shared" si="2"/>
        <v>46631</v>
      </c>
      <c r="CL2" s="168">
        <f t="shared" si="2"/>
        <v>46661</v>
      </c>
      <c r="CM2" s="168">
        <f t="shared" si="2"/>
        <v>46692</v>
      </c>
      <c r="CN2" s="168">
        <f t="shared" si="2"/>
        <v>46722</v>
      </c>
      <c r="CO2" s="168">
        <f t="shared" si="2"/>
        <v>46753</v>
      </c>
      <c r="CP2" s="168">
        <f t="shared" si="2"/>
        <v>46784</v>
      </c>
      <c r="CQ2" s="168">
        <f t="shared" si="2"/>
        <v>46813</v>
      </c>
      <c r="CR2" s="168">
        <f t="shared" si="2"/>
        <v>46844</v>
      </c>
      <c r="CS2" s="168">
        <f t="shared" si="2"/>
        <v>46874</v>
      </c>
      <c r="CT2" s="168">
        <f t="shared" si="2"/>
        <v>46905</v>
      </c>
      <c r="CU2" s="168">
        <f t="shared" si="2"/>
        <v>46935</v>
      </c>
      <c r="CV2" s="168">
        <f t="shared" si="2"/>
        <v>46966</v>
      </c>
      <c r="CW2" s="168">
        <f t="shared" si="2"/>
        <v>46997</v>
      </c>
      <c r="CX2" s="168">
        <f t="shared" si="2"/>
        <v>47027</v>
      </c>
      <c r="CY2" s="168">
        <f t="shared" si="2"/>
        <v>47058</v>
      </c>
      <c r="CZ2" s="168">
        <f t="shared" si="2"/>
        <v>47088</v>
      </c>
      <c r="DA2" s="168">
        <f t="shared" si="2"/>
        <v>47119</v>
      </c>
      <c r="DB2" s="168">
        <f t="shared" si="2"/>
        <v>47150</v>
      </c>
      <c r="DC2" s="168">
        <f t="shared" si="2"/>
        <v>47178</v>
      </c>
      <c r="DD2" s="168">
        <f t="shared" si="2"/>
        <v>47209</v>
      </c>
      <c r="DE2" s="168">
        <f t="shared" si="2"/>
        <v>47239</v>
      </c>
      <c r="DF2" s="168">
        <f t="shared" si="2"/>
        <v>47270</v>
      </c>
      <c r="DG2" s="168">
        <f t="shared" si="2"/>
        <v>47300</v>
      </c>
      <c r="DH2" s="168">
        <f t="shared" si="2"/>
        <v>47331</v>
      </c>
      <c r="DI2" s="168">
        <f t="shared" si="2"/>
        <v>47362</v>
      </c>
      <c r="DJ2" s="168">
        <f t="shared" si="2"/>
        <v>47392</v>
      </c>
      <c r="DK2" s="168">
        <f t="shared" si="2"/>
        <v>47423</v>
      </c>
      <c r="DL2" s="168">
        <f t="shared" si="2"/>
        <v>47453</v>
      </c>
      <c r="DM2" s="168">
        <f t="shared" si="2"/>
        <v>47484</v>
      </c>
      <c r="DN2" s="168">
        <f t="shared" si="2"/>
        <v>47515</v>
      </c>
      <c r="DO2" s="168">
        <f t="shared" si="2"/>
        <v>47543</v>
      </c>
      <c r="DP2" s="168">
        <f t="shared" si="2"/>
        <v>47574</v>
      </c>
      <c r="DQ2" s="168">
        <f t="shared" si="2"/>
        <v>47604</v>
      </c>
      <c r="DR2" s="168">
        <f t="shared" si="2"/>
        <v>47635</v>
      </c>
      <c r="DS2" s="168">
        <f t="shared" si="2"/>
        <v>47665</v>
      </c>
      <c r="DT2" s="168">
        <f t="shared" si="2"/>
        <v>47696</v>
      </c>
      <c r="DU2" s="168">
        <f t="shared" si="2"/>
        <v>47727</v>
      </c>
      <c r="DV2" s="168">
        <f t="shared" si="2"/>
        <v>47757</v>
      </c>
      <c r="DW2" s="168">
        <f t="shared" si="2"/>
        <v>47788</v>
      </c>
      <c r="DX2" s="168">
        <f t="shared" si="2"/>
        <v>47818</v>
      </c>
      <c r="DY2" s="168">
        <f t="shared" si="2"/>
        <v>47849</v>
      </c>
      <c r="DZ2" s="168">
        <f t="shared" si="2"/>
        <v>47880</v>
      </c>
      <c r="EA2" s="168">
        <f t="shared" si="2"/>
        <v>47908</v>
      </c>
      <c r="EB2" s="168">
        <f t="shared" si="2"/>
        <v>47939</v>
      </c>
      <c r="EC2" s="168">
        <f t="shared" si="2"/>
        <v>47969</v>
      </c>
      <c r="ED2" s="168">
        <f t="shared" si="2"/>
        <v>48000</v>
      </c>
      <c r="EE2" s="168">
        <f t="shared" si="2"/>
        <v>48030</v>
      </c>
      <c r="EF2" s="168">
        <f t="shared" si="2"/>
        <v>48061</v>
      </c>
      <c r="EG2" s="168">
        <f t="shared" si="2"/>
        <v>48092</v>
      </c>
      <c r="EH2" s="168">
        <f t="shared" si="2"/>
        <v>48122</v>
      </c>
      <c r="EI2" s="168">
        <f t="shared" si="2"/>
        <v>48153</v>
      </c>
      <c r="EJ2" s="168">
        <f t="shared" si="2"/>
        <v>48183</v>
      </c>
      <c r="EK2" s="168">
        <f t="shared" si="2"/>
        <v>48214</v>
      </c>
      <c r="EL2" s="168">
        <f t="shared" si="2"/>
        <v>48245</v>
      </c>
      <c r="EM2" s="168">
        <f t="shared" si="2"/>
        <v>48274</v>
      </c>
      <c r="EN2" s="168">
        <f t="shared" si="2"/>
        <v>48305</v>
      </c>
      <c r="EO2" s="168">
        <f t="shared" si="2"/>
        <v>48335</v>
      </c>
      <c r="EP2" s="168">
        <f t="shared" si="2"/>
        <v>48366</v>
      </c>
    </row>
    <row r="3" ht="15.75" customHeight="1">
      <c r="A3" s="169" t="s">
        <v>393</v>
      </c>
      <c r="B3" s="170"/>
      <c r="C3" s="171"/>
      <c r="D3" s="172"/>
      <c r="E3" s="172"/>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172"/>
      <c r="AH3" s="172"/>
      <c r="AI3" s="172"/>
      <c r="AJ3" s="172"/>
      <c r="AK3" s="172"/>
      <c r="AL3" s="172"/>
      <c r="AM3" s="172"/>
      <c r="AN3" s="172"/>
      <c r="AO3" s="172"/>
      <c r="AP3" s="172"/>
      <c r="AQ3" s="172"/>
      <c r="AR3" s="172"/>
      <c r="AS3" s="172"/>
      <c r="AT3" s="172"/>
      <c r="AU3" s="172"/>
      <c r="AV3" s="172"/>
      <c r="AW3" s="172"/>
      <c r="AX3" s="172"/>
      <c r="AY3" s="172"/>
      <c r="AZ3" s="172"/>
      <c r="BA3" s="172"/>
      <c r="BB3" s="172"/>
      <c r="BC3" s="172"/>
      <c r="BD3" s="172"/>
      <c r="BE3" s="172"/>
      <c r="BF3" s="172"/>
      <c r="BG3" s="172"/>
      <c r="BH3" s="172"/>
      <c r="BI3" s="172"/>
      <c r="BJ3" s="172"/>
      <c r="BK3" s="172"/>
      <c r="BL3" s="172"/>
      <c r="BM3" s="172"/>
      <c r="BN3" s="172"/>
      <c r="BO3" s="172"/>
      <c r="BP3" s="172"/>
      <c r="BQ3" s="172"/>
      <c r="BR3" s="172"/>
      <c r="BS3" s="172"/>
      <c r="BT3" s="172"/>
      <c r="BU3" s="172"/>
      <c r="BV3" s="172"/>
      <c r="BW3" s="172"/>
      <c r="BX3" s="172"/>
      <c r="BY3" s="172"/>
      <c r="BZ3" s="172"/>
      <c r="CA3" s="172"/>
      <c r="CB3" s="172"/>
      <c r="CC3" s="172"/>
      <c r="CD3" s="172"/>
      <c r="CE3" s="172"/>
      <c r="CF3" s="172"/>
      <c r="CG3" s="172"/>
      <c r="CH3" s="172"/>
      <c r="CI3" s="172"/>
      <c r="CJ3" s="172"/>
      <c r="CK3" s="172"/>
      <c r="CL3" s="172"/>
      <c r="CM3" s="172"/>
      <c r="CN3" s="172"/>
      <c r="CO3" s="172"/>
      <c r="CP3" s="172"/>
      <c r="CQ3" s="172"/>
      <c r="CR3" s="172"/>
      <c r="CS3" s="172"/>
      <c r="CT3" s="172"/>
      <c r="CU3" s="172"/>
      <c r="CV3" s="172"/>
      <c r="CW3" s="172"/>
      <c r="CX3" s="172"/>
      <c r="CY3" s="172"/>
      <c r="CZ3" s="172"/>
      <c r="DA3" s="172"/>
      <c r="DB3" s="172"/>
      <c r="DC3" s="172"/>
      <c r="DD3" s="172"/>
      <c r="DE3" s="172"/>
      <c r="DF3" s="172"/>
      <c r="DG3" s="172"/>
      <c r="DH3" s="172"/>
      <c r="DI3" s="172"/>
      <c r="DJ3" s="172"/>
      <c r="DK3" s="172"/>
      <c r="DL3" s="172"/>
      <c r="DM3" s="172"/>
      <c r="DN3" s="172"/>
      <c r="DO3" s="172"/>
      <c r="DP3" s="172"/>
      <c r="DQ3" s="172"/>
      <c r="DR3" s="172"/>
      <c r="DS3" s="172"/>
      <c r="DT3" s="172"/>
      <c r="DU3" s="172"/>
      <c r="DV3" s="172"/>
      <c r="DW3" s="172"/>
      <c r="DX3" s="172"/>
      <c r="DY3" s="172"/>
      <c r="DZ3" s="172"/>
      <c r="EA3" s="172"/>
      <c r="EB3" s="172"/>
      <c r="EC3" s="172"/>
      <c r="ED3" s="172"/>
      <c r="EE3" s="172"/>
      <c r="EF3" s="172"/>
      <c r="EG3" s="172"/>
      <c r="EH3" s="172"/>
      <c r="EI3" s="172"/>
      <c r="EJ3" s="172"/>
      <c r="EK3" s="172"/>
      <c r="EL3" s="172"/>
      <c r="EM3" s="172"/>
      <c r="EN3" s="172"/>
      <c r="EO3" s="172"/>
      <c r="EP3" s="172"/>
    </row>
    <row r="4" ht="15.75" customHeight="1">
      <c r="A4" s="170" t="s">
        <v>394</v>
      </c>
      <c r="B4" s="170"/>
      <c r="C4" s="171"/>
      <c r="D4" s="172">
        <f t="shared" ref="D4:EP4" si="3">C9</f>
        <v>0</v>
      </c>
      <c r="E4" s="172">
        <f t="shared" si="3"/>
        <v>0</v>
      </c>
      <c r="F4" s="172">
        <f t="shared" si="3"/>
        <v>0</v>
      </c>
      <c r="G4" s="172">
        <f t="shared" si="3"/>
        <v>0</v>
      </c>
      <c r="H4" s="172">
        <f t="shared" si="3"/>
        <v>0</v>
      </c>
      <c r="I4" s="172">
        <f t="shared" si="3"/>
        <v>0</v>
      </c>
      <c r="J4" s="172">
        <f t="shared" si="3"/>
        <v>0</v>
      </c>
      <c r="K4" s="172">
        <f t="shared" si="3"/>
        <v>0</v>
      </c>
      <c r="L4" s="172">
        <f t="shared" si="3"/>
        <v>0</v>
      </c>
      <c r="M4" s="172">
        <f t="shared" si="3"/>
        <v>0</v>
      </c>
      <c r="N4" s="172">
        <f t="shared" si="3"/>
        <v>0</v>
      </c>
      <c r="O4" s="172">
        <f t="shared" si="3"/>
        <v>0</v>
      </c>
      <c r="P4" s="172">
        <f t="shared" si="3"/>
        <v>0</v>
      </c>
      <c r="Q4" s="172">
        <f t="shared" si="3"/>
        <v>0</v>
      </c>
      <c r="R4" s="172">
        <f t="shared" si="3"/>
        <v>0</v>
      </c>
      <c r="S4" s="172">
        <f t="shared" si="3"/>
        <v>0</v>
      </c>
      <c r="T4" s="172">
        <f t="shared" si="3"/>
        <v>0</v>
      </c>
      <c r="U4" s="172">
        <f t="shared" si="3"/>
        <v>0</v>
      </c>
      <c r="V4" s="172">
        <f t="shared" si="3"/>
        <v>0</v>
      </c>
      <c r="W4" s="172">
        <f t="shared" si="3"/>
        <v>0</v>
      </c>
      <c r="X4" s="172">
        <f t="shared" si="3"/>
        <v>0</v>
      </c>
      <c r="Y4" s="172">
        <f t="shared" si="3"/>
        <v>0</v>
      </c>
      <c r="Z4" s="172">
        <f t="shared" si="3"/>
        <v>0</v>
      </c>
      <c r="AA4" s="172">
        <f t="shared" si="3"/>
        <v>0</v>
      </c>
      <c r="AB4" s="172">
        <f t="shared" si="3"/>
        <v>0</v>
      </c>
      <c r="AC4" s="172">
        <f t="shared" si="3"/>
        <v>0</v>
      </c>
      <c r="AD4" s="172">
        <f t="shared" si="3"/>
        <v>0</v>
      </c>
      <c r="AE4" s="172">
        <f t="shared" si="3"/>
        <v>0</v>
      </c>
      <c r="AF4" s="172">
        <f t="shared" si="3"/>
        <v>0</v>
      </c>
      <c r="AG4" s="172">
        <f t="shared" si="3"/>
        <v>0</v>
      </c>
      <c r="AH4" s="172">
        <f t="shared" si="3"/>
        <v>0</v>
      </c>
      <c r="AI4" s="172">
        <f t="shared" si="3"/>
        <v>0</v>
      </c>
      <c r="AJ4" s="172">
        <f t="shared" si="3"/>
        <v>0</v>
      </c>
      <c r="AK4" s="172">
        <f t="shared" si="3"/>
        <v>0</v>
      </c>
      <c r="AL4" s="172">
        <f t="shared" si="3"/>
        <v>0</v>
      </c>
      <c r="AM4" s="172">
        <f t="shared" si="3"/>
        <v>0</v>
      </c>
      <c r="AN4" s="172">
        <f t="shared" si="3"/>
        <v>0</v>
      </c>
      <c r="AO4" s="172">
        <f t="shared" si="3"/>
        <v>0</v>
      </c>
      <c r="AP4" s="172">
        <f t="shared" si="3"/>
        <v>0</v>
      </c>
      <c r="AQ4" s="172">
        <f t="shared" si="3"/>
        <v>0</v>
      </c>
      <c r="AR4" s="172">
        <f t="shared" si="3"/>
        <v>0</v>
      </c>
      <c r="AS4" s="172">
        <f t="shared" si="3"/>
        <v>0</v>
      </c>
      <c r="AT4" s="172">
        <f t="shared" si="3"/>
        <v>0</v>
      </c>
      <c r="AU4" s="172">
        <f t="shared" si="3"/>
        <v>0</v>
      </c>
      <c r="AV4" s="172">
        <f t="shared" si="3"/>
        <v>0</v>
      </c>
      <c r="AW4" s="172">
        <f t="shared" si="3"/>
        <v>0</v>
      </c>
      <c r="AX4" s="172">
        <f t="shared" si="3"/>
        <v>0</v>
      </c>
      <c r="AY4" s="172">
        <f t="shared" si="3"/>
        <v>0</v>
      </c>
      <c r="AZ4" s="172">
        <f t="shared" si="3"/>
        <v>0</v>
      </c>
      <c r="BA4" s="172">
        <f t="shared" si="3"/>
        <v>0</v>
      </c>
      <c r="BB4" s="172">
        <f t="shared" si="3"/>
        <v>0</v>
      </c>
      <c r="BC4" s="172">
        <f t="shared" si="3"/>
        <v>0</v>
      </c>
      <c r="BD4" s="172">
        <f t="shared" si="3"/>
        <v>0</v>
      </c>
      <c r="BE4" s="172">
        <f t="shared" si="3"/>
        <v>0</v>
      </c>
      <c r="BF4" s="172">
        <f t="shared" si="3"/>
        <v>0</v>
      </c>
      <c r="BG4" s="172">
        <f t="shared" si="3"/>
        <v>0</v>
      </c>
      <c r="BH4" s="172">
        <f t="shared" si="3"/>
        <v>0</v>
      </c>
      <c r="BI4" s="172">
        <f t="shared" si="3"/>
        <v>0</v>
      </c>
      <c r="BJ4" s="172">
        <f t="shared" si="3"/>
        <v>0</v>
      </c>
      <c r="BK4" s="172">
        <f t="shared" si="3"/>
        <v>0</v>
      </c>
      <c r="BL4" s="172">
        <f t="shared" si="3"/>
        <v>0</v>
      </c>
      <c r="BM4" s="172">
        <f t="shared" si="3"/>
        <v>0</v>
      </c>
      <c r="BN4" s="172">
        <f t="shared" si="3"/>
        <v>0</v>
      </c>
      <c r="BO4" s="172">
        <f t="shared" si="3"/>
        <v>0</v>
      </c>
      <c r="BP4" s="172">
        <f t="shared" si="3"/>
        <v>0</v>
      </c>
      <c r="BQ4" s="172">
        <f t="shared" si="3"/>
        <v>0</v>
      </c>
      <c r="BR4" s="172">
        <f t="shared" si="3"/>
        <v>0</v>
      </c>
      <c r="BS4" s="172">
        <f t="shared" si="3"/>
        <v>0</v>
      </c>
      <c r="BT4" s="172">
        <f t="shared" si="3"/>
        <v>0</v>
      </c>
      <c r="BU4" s="172">
        <f t="shared" si="3"/>
        <v>0</v>
      </c>
      <c r="BV4" s="172">
        <f t="shared" si="3"/>
        <v>0</v>
      </c>
      <c r="BW4" s="172">
        <f t="shared" si="3"/>
        <v>0</v>
      </c>
      <c r="BX4" s="172">
        <f t="shared" si="3"/>
        <v>0</v>
      </c>
      <c r="BY4" s="172">
        <f t="shared" si="3"/>
        <v>0</v>
      </c>
      <c r="BZ4" s="172">
        <f t="shared" si="3"/>
        <v>0</v>
      </c>
      <c r="CA4" s="172">
        <f t="shared" si="3"/>
        <v>0</v>
      </c>
      <c r="CB4" s="172">
        <f t="shared" si="3"/>
        <v>0</v>
      </c>
      <c r="CC4" s="172">
        <f t="shared" si="3"/>
        <v>0</v>
      </c>
      <c r="CD4" s="172">
        <f t="shared" si="3"/>
        <v>0</v>
      </c>
      <c r="CE4" s="172">
        <f t="shared" si="3"/>
        <v>0</v>
      </c>
      <c r="CF4" s="172">
        <f t="shared" si="3"/>
        <v>0</v>
      </c>
      <c r="CG4" s="172">
        <f t="shared" si="3"/>
        <v>0</v>
      </c>
      <c r="CH4" s="172">
        <f t="shared" si="3"/>
        <v>0</v>
      </c>
      <c r="CI4" s="172">
        <f t="shared" si="3"/>
        <v>0</v>
      </c>
      <c r="CJ4" s="172">
        <f t="shared" si="3"/>
        <v>0</v>
      </c>
      <c r="CK4" s="172">
        <f t="shared" si="3"/>
        <v>0</v>
      </c>
      <c r="CL4" s="172">
        <f t="shared" si="3"/>
        <v>0</v>
      </c>
      <c r="CM4" s="172">
        <f t="shared" si="3"/>
        <v>0</v>
      </c>
      <c r="CN4" s="172">
        <f t="shared" si="3"/>
        <v>0</v>
      </c>
      <c r="CO4" s="172">
        <f t="shared" si="3"/>
        <v>0</v>
      </c>
      <c r="CP4" s="172">
        <f t="shared" si="3"/>
        <v>0</v>
      </c>
      <c r="CQ4" s="172">
        <f t="shared" si="3"/>
        <v>0</v>
      </c>
      <c r="CR4" s="172">
        <f t="shared" si="3"/>
        <v>0</v>
      </c>
      <c r="CS4" s="172">
        <f t="shared" si="3"/>
        <v>0</v>
      </c>
      <c r="CT4" s="172">
        <f t="shared" si="3"/>
        <v>0</v>
      </c>
      <c r="CU4" s="172">
        <f t="shared" si="3"/>
        <v>0</v>
      </c>
      <c r="CV4" s="172">
        <f t="shared" si="3"/>
        <v>0</v>
      </c>
      <c r="CW4" s="172">
        <f t="shared" si="3"/>
        <v>0</v>
      </c>
      <c r="CX4" s="172">
        <f t="shared" si="3"/>
        <v>0</v>
      </c>
      <c r="CY4" s="172">
        <f t="shared" si="3"/>
        <v>0</v>
      </c>
      <c r="CZ4" s="172">
        <f t="shared" si="3"/>
        <v>0</v>
      </c>
      <c r="DA4" s="172">
        <f t="shared" si="3"/>
        <v>0</v>
      </c>
      <c r="DB4" s="172">
        <f t="shared" si="3"/>
        <v>0</v>
      </c>
      <c r="DC4" s="172">
        <f t="shared" si="3"/>
        <v>0</v>
      </c>
      <c r="DD4" s="172">
        <f t="shared" si="3"/>
        <v>0</v>
      </c>
      <c r="DE4" s="172">
        <f t="shared" si="3"/>
        <v>0</v>
      </c>
      <c r="DF4" s="172">
        <f t="shared" si="3"/>
        <v>0</v>
      </c>
      <c r="DG4" s="172">
        <f t="shared" si="3"/>
        <v>0</v>
      </c>
      <c r="DH4" s="172">
        <f t="shared" si="3"/>
        <v>0</v>
      </c>
      <c r="DI4" s="172">
        <f t="shared" si="3"/>
        <v>0</v>
      </c>
      <c r="DJ4" s="172">
        <f t="shared" si="3"/>
        <v>0</v>
      </c>
      <c r="DK4" s="172">
        <f t="shared" si="3"/>
        <v>0</v>
      </c>
      <c r="DL4" s="172">
        <f t="shared" si="3"/>
        <v>0</v>
      </c>
      <c r="DM4" s="172">
        <f t="shared" si="3"/>
        <v>0</v>
      </c>
      <c r="DN4" s="172">
        <f t="shared" si="3"/>
        <v>0</v>
      </c>
      <c r="DO4" s="172">
        <f t="shared" si="3"/>
        <v>0</v>
      </c>
      <c r="DP4" s="172">
        <f t="shared" si="3"/>
        <v>0</v>
      </c>
      <c r="DQ4" s="172">
        <f t="shared" si="3"/>
        <v>0</v>
      </c>
      <c r="DR4" s="172">
        <f t="shared" si="3"/>
        <v>0</v>
      </c>
      <c r="DS4" s="172">
        <f t="shared" si="3"/>
        <v>0</v>
      </c>
      <c r="DT4" s="172">
        <f t="shared" si="3"/>
        <v>0</v>
      </c>
      <c r="DU4" s="172">
        <f t="shared" si="3"/>
        <v>0</v>
      </c>
      <c r="DV4" s="172">
        <f t="shared" si="3"/>
        <v>0</v>
      </c>
      <c r="DW4" s="172">
        <f t="shared" si="3"/>
        <v>0</v>
      </c>
      <c r="DX4" s="172">
        <f t="shared" si="3"/>
        <v>0</v>
      </c>
      <c r="DY4" s="172">
        <f t="shared" si="3"/>
        <v>0</v>
      </c>
      <c r="DZ4" s="172">
        <f t="shared" si="3"/>
        <v>0</v>
      </c>
      <c r="EA4" s="172">
        <f t="shared" si="3"/>
        <v>0</v>
      </c>
      <c r="EB4" s="172">
        <f t="shared" si="3"/>
        <v>0</v>
      </c>
      <c r="EC4" s="172">
        <f t="shared" si="3"/>
        <v>0</v>
      </c>
      <c r="ED4" s="172">
        <f t="shared" si="3"/>
        <v>0</v>
      </c>
      <c r="EE4" s="172">
        <f t="shared" si="3"/>
        <v>0</v>
      </c>
      <c r="EF4" s="172">
        <f t="shared" si="3"/>
        <v>0</v>
      </c>
      <c r="EG4" s="172">
        <f t="shared" si="3"/>
        <v>0</v>
      </c>
      <c r="EH4" s="172">
        <f t="shared" si="3"/>
        <v>0</v>
      </c>
      <c r="EI4" s="172">
        <f t="shared" si="3"/>
        <v>0</v>
      </c>
      <c r="EJ4" s="172">
        <f t="shared" si="3"/>
        <v>0</v>
      </c>
      <c r="EK4" s="172">
        <f t="shared" si="3"/>
        <v>0</v>
      </c>
      <c r="EL4" s="172">
        <f t="shared" si="3"/>
        <v>0</v>
      </c>
      <c r="EM4" s="172">
        <f t="shared" si="3"/>
        <v>0</v>
      </c>
      <c r="EN4" s="172">
        <f t="shared" si="3"/>
        <v>0</v>
      </c>
      <c r="EO4" s="172">
        <f t="shared" si="3"/>
        <v>0</v>
      </c>
      <c r="EP4" s="172">
        <f t="shared" si="3"/>
        <v>0</v>
      </c>
    </row>
    <row r="5" ht="15.75" customHeight="1">
      <c r="A5" s="170" t="s">
        <v>395</v>
      </c>
      <c r="B5" s="170"/>
      <c r="C5" s="172">
        <f t="shared" ref="C5:EP5" si="4">IF(MONTH($B$14)&amp;YEAR($B$14)=MONTH(C$2)&amp;YEAR(C$2),$B$18,0)</f>
        <v>0</v>
      </c>
      <c r="D5" s="172">
        <f t="shared" si="4"/>
        <v>0</v>
      </c>
      <c r="E5" s="172">
        <f t="shared" si="4"/>
        <v>0</v>
      </c>
      <c r="F5" s="172">
        <f t="shared" si="4"/>
        <v>0</v>
      </c>
      <c r="G5" s="172">
        <f t="shared" si="4"/>
        <v>0</v>
      </c>
      <c r="H5" s="172">
        <f t="shared" si="4"/>
        <v>0</v>
      </c>
      <c r="I5" s="172">
        <f t="shared" si="4"/>
        <v>0</v>
      </c>
      <c r="J5" s="172">
        <f t="shared" si="4"/>
        <v>0</v>
      </c>
      <c r="K5" s="172">
        <f t="shared" si="4"/>
        <v>0</v>
      </c>
      <c r="L5" s="172">
        <f t="shared" si="4"/>
        <v>0</v>
      </c>
      <c r="M5" s="172">
        <f t="shared" si="4"/>
        <v>0</v>
      </c>
      <c r="N5" s="172">
        <f t="shared" si="4"/>
        <v>0</v>
      </c>
      <c r="O5" s="172">
        <f t="shared" si="4"/>
        <v>0</v>
      </c>
      <c r="P5" s="172">
        <f t="shared" si="4"/>
        <v>0</v>
      </c>
      <c r="Q5" s="172">
        <f t="shared" si="4"/>
        <v>0</v>
      </c>
      <c r="R5" s="172">
        <f t="shared" si="4"/>
        <v>0</v>
      </c>
      <c r="S5" s="172">
        <f t="shared" si="4"/>
        <v>0</v>
      </c>
      <c r="T5" s="172">
        <f t="shared" si="4"/>
        <v>0</v>
      </c>
      <c r="U5" s="172">
        <f t="shared" si="4"/>
        <v>0</v>
      </c>
      <c r="V5" s="172">
        <f t="shared" si="4"/>
        <v>0</v>
      </c>
      <c r="W5" s="172">
        <f t="shared" si="4"/>
        <v>0</v>
      </c>
      <c r="X5" s="172">
        <f t="shared" si="4"/>
        <v>0</v>
      </c>
      <c r="Y5" s="172">
        <f t="shared" si="4"/>
        <v>0</v>
      </c>
      <c r="Z5" s="172">
        <f t="shared" si="4"/>
        <v>0</v>
      </c>
      <c r="AA5" s="172">
        <f t="shared" si="4"/>
        <v>0</v>
      </c>
      <c r="AB5" s="172">
        <f t="shared" si="4"/>
        <v>0</v>
      </c>
      <c r="AC5" s="172">
        <f t="shared" si="4"/>
        <v>0</v>
      </c>
      <c r="AD5" s="172">
        <f t="shared" si="4"/>
        <v>0</v>
      </c>
      <c r="AE5" s="172">
        <f t="shared" si="4"/>
        <v>0</v>
      </c>
      <c r="AF5" s="172">
        <f t="shared" si="4"/>
        <v>0</v>
      </c>
      <c r="AG5" s="172">
        <f t="shared" si="4"/>
        <v>0</v>
      </c>
      <c r="AH5" s="172">
        <f t="shared" si="4"/>
        <v>0</v>
      </c>
      <c r="AI5" s="172">
        <f t="shared" si="4"/>
        <v>0</v>
      </c>
      <c r="AJ5" s="172">
        <f t="shared" si="4"/>
        <v>0</v>
      </c>
      <c r="AK5" s="172">
        <f t="shared" si="4"/>
        <v>0</v>
      </c>
      <c r="AL5" s="172">
        <f t="shared" si="4"/>
        <v>0</v>
      </c>
      <c r="AM5" s="172">
        <f t="shared" si="4"/>
        <v>0</v>
      </c>
      <c r="AN5" s="172">
        <f t="shared" si="4"/>
        <v>0</v>
      </c>
      <c r="AO5" s="172">
        <f t="shared" si="4"/>
        <v>0</v>
      </c>
      <c r="AP5" s="172">
        <f t="shared" si="4"/>
        <v>0</v>
      </c>
      <c r="AQ5" s="172">
        <f t="shared" si="4"/>
        <v>0</v>
      </c>
      <c r="AR5" s="172">
        <f t="shared" si="4"/>
        <v>0</v>
      </c>
      <c r="AS5" s="172">
        <f t="shared" si="4"/>
        <v>0</v>
      </c>
      <c r="AT5" s="172">
        <f t="shared" si="4"/>
        <v>0</v>
      </c>
      <c r="AU5" s="172">
        <f t="shared" si="4"/>
        <v>0</v>
      </c>
      <c r="AV5" s="172">
        <f t="shared" si="4"/>
        <v>0</v>
      </c>
      <c r="AW5" s="172">
        <f t="shared" si="4"/>
        <v>0</v>
      </c>
      <c r="AX5" s="172">
        <f t="shared" si="4"/>
        <v>0</v>
      </c>
      <c r="AY5" s="172">
        <f t="shared" si="4"/>
        <v>0</v>
      </c>
      <c r="AZ5" s="172">
        <f t="shared" si="4"/>
        <v>0</v>
      </c>
      <c r="BA5" s="172">
        <f t="shared" si="4"/>
        <v>0</v>
      </c>
      <c r="BB5" s="172">
        <f t="shared" si="4"/>
        <v>0</v>
      </c>
      <c r="BC5" s="172">
        <f t="shared" si="4"/>
        <v>0</v>
      </c>
      <c r="BD5" s="172">
        <f t="shared" si="4"/>
        <v>0</v>
      </c>
      <c r="BE5" s="172">
        <f t="shared" si="4"/>
        <v>0</v>
      </c>
      <c r="BF5" s="172">
        <f t="shared" si="4"/>
        <v>0</v>
      </c>
      <c r="BG5" s="172">
        <f t="shared" si="4"/>
        <v>0</v>
      </c>
      <c r="BH5" s="172">
        <f t="shared" si="4"/>
        <v>0</v>
      </c>
      <c r="BI5" s="172">
        <f t="shared" si="4"/>
        <v>0</v>
      </c>
      <c r="BJ5" s="172">
        <f t="shared" si="4"/>
        <v>0</v>
      </c>
      <c r="BK5" s="172">
        <f t="shared" si="4"/>
        <v>0</v>
      </c>
      <c r="BL5" s="172">
        <f t="shared" si="4"/>
        <v>0</v>
      </c>
      <c r="BM5" s="172">
        <f t="shared" si="4"/>
        <v>0</v>
      </c>
      <c r="BN5" s="172">
        <f t="shared" si="4"/>
        <v>0</v>
      </c>
      <c r="BO5" s="172">
        <f t="shared" si="4"/>
        <v>0</v>
      </c>
      <c r="BP5" s="172">
        <f t="shared" si="4"/>
        <v>0</v>
      </c>
      <c r="BQ5" s="172">
        <f t="shared" si="4"/>
        <v>0</v>
      </c>
      <c r="BR5" s="172">
        <f t="shared" si="4"/>
        <v>0</v>
      </c>
      <c r="BS5" s="172">
        <f t="shared" si="4"/>
        <v>0</v>
      </c>
      <c r="BT5" s="172">
        <f t="shared" si="4"/>
        <v>0</v>
      </c>
      <c r="BU5" s="172">
        <f t="shared" si="4"/>
        <v>0</v>
      </c>
      <c r="BV5" s="172">
        <f t="shared" si="4"/>
        <v>0</v>
      </c>
      <c r="BW5" s="172">
        <f t="shared" si="4"/>
        <v>0</v>
      </c>
      <c r="BX5" s="172">
        <f t="shared" si="4"/>
        <v>0</v>
      </c>
      <c r="BY5" s="172">
        <f t="shared" si="4"/>
        <v>0</v>
      </c>
      <c r="BZ5" s="172">
        <f t="shared" si="4"/>
        <v>0</v>
      </c>
      <c r="CA5" s="172">
        <f t="shared" si="4"/>
        <v>0</v>
      </c>
      <c r="CB5" s="172">
        <f t="shared" si="4"/>
        <v>0</v>
      </c>
      <c r="CC5" s="172">
        <f t="shared" si="4"/>
        <v>0</v>
      </c>
      <c r="CD5" s="172">
        <f t="shared" si="4"/>
        <v>0</v>
      </c>
      <c r="CE5" s="172">
        <f t="shared" si="4"/>
        <v>0</v>
      </c>
      <c r="CF5" s="172">
        <f t="shared" si="4"/>
        <v>0</v>
      </c>
      <c r="CG5" s="172">
        <f t="shared" si="4"/>
        <v>0</v>
      </c>
      <c r="CH5" s="172">
        <f t="shared" si="4"/>
        <v>0</v>
      </c>
      <c r="CI5" s="172">
        <f t="shared" si="4"/>
        <v>0</v>
      </c>
      <c r="CJ5" s="172">
        <f t="shared" si="4"/>
        <v>0</v>
      </c>
      <c r="CK5" s="172">
        <f t="shared" si="4"/>
        <v>0</v>
      </c>
      <c r="CL5" s="172">
        <f t="shared" si="4"/>
        <v>0</v>
      </c>
      <c r="CM5" s="172">
        <f t="shared" si="4"/>
        <v>0</v>
      </c>
      <c r="CN5" s="172">
        <f t="shared" si="4"/>
        <v>0</v>
      </c>
      <c r="CO5" s="172">
        <f t="shared" si="4"/>
        <v>0</v>
      </c>
      <c r="CP5" s="172">
        <f t="shared" si="4"/>
        <v>0</v>
      </c>
      <c r="CQ5" s="172">
        <f t="shared" si="4"/>
        <v>0</v>
      </c>
      <c r="CR5" s="172">
        <f t="shared" si="4"/>
        <v>0</v>
      </c>
      <c r="CS5" s="172">
        <f t="shared" si="4"/>
        <v>0</v>
      </c>
      <c r="CT5" s="172">
        <f t="shared" si="4"/>
        <v>0</v>
      </c>
      <c r="CU5" s="172">
        <f t="shared" si="4"/>
        <v>0</v>
      </c>
      <c r="CV5" s="172">
        <f t="shared" si="4"/>
        <v>0</v>
      </c>
      <c r="CW5" s="172">
        <f t="shared" si="4"/>
        <v>0</v>
      </c>
      <c r="CX5" s="172">
        <f t="shared" si="4"/>
        <v>0</v>
      </c>
      <c r="CY5" s="172">
        <f t="shared" si="4"/>
        <v>0</v>
      </c>
      <c r="CZ5" s="172">
        <f t="shared" si="4"/>
        <v>0</v>
      </c>
      <c r="DA5" s="172">
        <f t="shared" si="4"/>
        <v>0</v>
      </c>
      <c r="DB5" s="172">
        <f t="shared" si="4"/>
        <v>0</v>
      </c>
      <c r="DC5" s="172">
        <f t="shared" si="4"/>
        <v>0</v>
      </c>
      <c r="DD5" s="172">
        <f t="shared" si="4"/>
        <v>0</v>
      </c>
      <c r="DE5" s="172">
        <f t="shared" si="4"/>
        <v>0</v>
      </c>
      <c r="DF5" s="172">
        <f t="shared" si="4"/>
        <v>0</v>
      </c>
      <c r="DG5" s="172">
        <f t="shared" si="4"/>
        <v>0</v>
      </c>
      <c r="DH5" s="172">
        <f t="shared" si="4"/>
        <v>0</v>
      </c>
      <c r="DI5" s="172">
        <f t="shared" si="4"/>
        <v>0</v>
      </c>
      <c r="DJ5" s="172">
        <f t="shared" si="4"/>
        <v>0</v>
      </c>
      <c r="DK5" s="172">
        <f t="shared" si="4"/>
        <v>0</v>
      </c>
      <c r="DL5" s="172">
        <f t="shared" si="4"/>
        <v>0</v>
      </c>
      <c r="DM5" s="172">
        <f t="shared" si="4"/>
        <v>0</v>
      </c>
      <c r="DN5" s="172">
        <f t="shared" si="4"/>
        <v>0</v>
      </c>
      <c r="DO5" s="172">
        <f t="shared" si="4"/>
        <v>0</v>
      </c>
      <c r="DP5" s="172">
        <f t="shared" si="4"/>
        <v>0</v>
      </c>
      <c r="DQ5" s="172">
        <f t="shared" si="4"/>
        <v>0</v>
      </c>
      <c r="DR5" s="172">
        <f t="shared" si="4"/>
        <v>0</v>
      </c>
      <c r="DS5" s="172">
        <f t="shared" si="4"/>
        <v>0</v>
      </c>
      <c r="DT5" s="172">
        <f t="shared" si="4"/>
        <v>0</v>
      </c>
      <c r="DU5" s="172">
        <f t="shared" si="4"/>
        <v>0</v>
      </c>
      <c r="DV5" s="172">
        <f t="shared" si="4"/>
        <v>0</v>
      </c>
      <c r="DW5" s="172">
        <f t="shared" si="4"/>
        <v>0</v>
      </c>
      <c r="DX5" s="172">
        <f t="shared" si="4"/>
        <v>0</v>
      </c>
      <c r="DY5" s="172">
        <f t="shared" si="4"/>
        <v>0</v>
      </c>
      <c r="DZ5" s="172">
        <f t="shared" si="4"/>
        <v>0</v>
      </c>
      <c r="EA5" s="172">
        <f t="shared" si="4"/>
        <v>0</v>
      </c>
      <c r="EB5" s="172">
        <f t="shared" si="4"/>
        <v>0</v>
      </c>
      <c r="EC5" s="172">
        <f t="shared" si="4"/>
        <v>0</v>
      </c>
      <c r="ED5" s="172">
        <f t="shared" si="4"/>
        <v>0</v>
      </c>
      <c r="EE5" s="172">
        <f t="shared" si="4"/>
        <v>0</v>
      </c>
      <c r="EF5" s="172">
        <f t="shared" si="4"/>
        <v>0</v>
      </c>
      <c r="EG5" s="172">
        <f t="shared" si="4"/>
        <v>0</v>
      </c>
      <c r="EH5" s="172">
        <f t="shared" si="4"/>
        <v>0</v>
      </c>
      <c r="EI5" s="172">
        <f t="shared" si="4"/>
        <v>0</v>
      </c>
      <c r="EJ5" s="172">
        <f t="shared" si="4"/>
        <v>0</v>
      </c>
      <c r="EK5" s="172">
        <f t="shared" si="4"/>
        <v>0</v>
      </c>
      <c r="EL5" s="172">
        <f t="shared" si="4"/>
        <v>0</v>
      </c>
      <c r="EM5" s="172">
        <f t="shared" si="4"/>
        <v>0</v>
      </c>
      <c r="EN5" s="172">
        <f t="shared" si="4"/>
        <v>0</v>
      </c>
      <c r="EO5" s="172">
        <f t="shared" si="4"/>
        <v>0</v>
      </c>
      <c r="EP5" s="172">
        <f t="shared" si="4"/>
        <v>0</v>
      </c>
    </row>
    <row r="6" ht="15.75" customHeight="1">
      <c r="A6" s="170" t="s">
        <v>396</v>
      </c>
      <c r="B6" s="170"/>
      <c r="C6" s="172">
        <f t="shared" ref="C6:EP6" si="5">-IF(AND(C$1&gt;$B$20,C$1&lt;=($B$19+$B$20)),$B$18/$B$19,0)</f>
        <v>0</v>
      </c>
      <c r="D6" s="172">
        <f t="shared" si="5"/>
        <v>0</v>
      </c>
      <c r="E6" s="172">
        <f t="shared" si="5"/>
        <v>0</v>
      </c>
      <c r="F6" s="172">
        <f t="shared" si="5"/>
        <v>0</v>
      </c>
      <c r="G6" s="172">
        <f t="shared" si="5"/>
        <v>0</v>
      </c>
      <c r="H6" s="172">
        <f t="shared" si="5"/>
        <v>0</v>
      </c>
      <c r="I6" s="172">
        <f t="shared" si="5"/>
        <v>0</v>
      </c>
      <c r="J6" s="172">
        <f t="shared" si="5"/>
        <v>0</v>
      </c>
      <c r="K6" s="172">
        <f t="shared" si="5"/>
        <v>0</v>
      </c>
      <c r="L6" s="172">
        <f t="shared" si="5"/>
        <v>0</v>
      </c>
      <c r="M6" s="172">
        <f t="shared" si="5"/>
        <v>0</v>
      </c>
      <c r="N6" s="172">
        <f t="shared" si="5"/>
        <v>0</v>
      </c>
      <c r="O6" s="172">
        <f t="shared" si="5"/>
        <v>0</v>
      </c>
      <c r="P6" s="172">
        <f t="shared" si="5"/>
        <v>0</v>
      </c>
      <c r="Q6" s="172">
        <f t="shared" si="5"/>
        <v>0</v>
      </c>
      <c r="R6" s="172">
        <f t="shared" si="5"/>
        <v>0</v>
      </c>
      <c r="S6" s="172">
        <f t="shared" si="5"/>
        <v>0</v>
      </c>
      <c r="T6" s="172">
        <f t="shared" si="5"/>
        <v>0</v>
      </c>
      <c r="U6" s="172">
        <f t="shared" si="5"/>
        <v>0</v>
      </c>
      <c r="V6" s="172">
        <f t="shared" si="5"/>
        <v>0</v>
      </c>
      <c r="W6" s="172">
        <f t="shared" si="5"/>
        <v>0</v>
      </c>
      <c r="X6" s="172">
        <f t="shared" si="5"/>
        <v>0</v>
      </c>
      <c r="Y6" s="172">
        <f t="shared" si="5"/>
        <v>0</v>
      </c>
      <c r="Z6" s="172">
        <f t="shared" si="5"/>
        <v>0</v>
      </c>
      <c r="AA6" s="172">
        <f t="shared" si="5"/>
        <v>0</v>
      </c>
      <c r="AB6" s="172">
        <f t="shared" si="5"/>
        <v>0</v>
      </c>
      <c r="AC6" s="172">
        <f t="shared" si="5"/>
        <v>0</v>
      </c>
      <c r="AD6" s="172">
        <f t="shared" si="5"/>
        <v>0</v>
      </c>
      <c r="AE6" s="172">
        <f t="shared" si="5"/>
        <v>0</v>
      </c>
      <c r="AF6" s="172">
        <f t="shared" si="5"/>
        <v>0</v>
      </c>
      <c r="AG6" s="172">
        <f t="shared" si="5"/>
        <v>0</v>
      </c>
      <c r="AH6" s="172">
        <f t="shared" si="5"/>
        <v>0</v>
      </c>
      <c r="AI6" s="172">
        <f t="shared" si="5"/>
        <v>0</v>
      </c>
      <c r="AJ6" s="172">
        <f t="shared" si="5"/>
        <v>0</v>
      </c>
      <c r="AK6" s="172">
        <f t="shared" si="5"/>
        <v>0</v>
      </c>
      <c r="AL6" s="172">
        <f t="shared" si="5"/>
        <v>0</v>
      </c>
      <c r="AM6" s="172">
        <f t="shared" si="5"/>
        <v>0</v>
      </c>
      <c r="AN6" s="172">
        <f t="shared" si="5"/>
        <v>0</v>
      </c>
      <c r="AO6" s="172">
        <f t="shared" si="5"/>
        <v>0</v>
      </c>
      <c r="AP6" s="172">
        <f t="shared" si="5"/>
        <v>0</v>
      </c>
      <c r="AQ6" s="172">
        <f t="shared" si="5"/>
        <v>0</v>
      </c>
      <c r="AR6" s="172">
        <f t="shared" si="5"/>
        <v>0</v>
      </c>
      <c r="AS6" s="172">
        <f t="shared" si="5"/>
        <v>0</v>
      </c>
      <c r="AT6" s="172">
        <f t="shared" si="5"/>
        <v>0</v>
      </c>
      <c r="AU6" s="172">
        <f t="shared" si="5"/>
        <v>0</v>
      </c>
      <c r="AV6" s="172">
        <f t="shared" si="5"/>
        <v>0</v>
      </c>
      <c r="AW6" s="172">
        <f t="shared" si="5"/>
        <v>0</v>
      </c>
      <c r="AX6" s="172">
        <f t="shared" si="5"/>
        <v>0</v>
      </c>
      <c r="AY6" s="172">
        <f t="shared" si="5"/>
        <v>0</v>
      </c>
      <c r="AZ6" s="172">
        <f t="shared" si="5"/>
        <v>0</v>
      </c>
      <c r="BA6" s="172">
        <f t="shared" si="5"/>
        <v>0</v>
      </c>
      <c r="BB6" s="172">
        <f t="shared" si="5"/>
        <v>0</v>
      </c>
      <c r="BC6" s="172">
        <f t="shared" si="5"/>
        <v>0</v>
      </c>
      <c r="BD6" s="172">
        <f t="shared" si="5"/>
        <v>0</v>
      </c>
      <c r="BE6" s="172">
        <f t="shared" si="5"/>
        <v>0</v>
      </c>
      <c r="BF6" s="172">
        <f t="shared" si="5"/>
        <v>0</v>
      </c>
      <c r="BG6" s="172">
        <f t="shared" si="5"/>
        <v>0</v>
      </c>
      <c r="BH6" s="172">
        <f t="shared" si="5"/>
        <v>0</v>
      </c>
      <c r="BI6" s="172">
        <f t="shared" si="5"/>
        <v>0</v>
      </c>
      <c r="BJ6" s="172">
        <f t="shared" si="5"/>
        <v>0</v>
      </c>
      <c r="BK6" s="172">
        <f t="shared" si="5"/>
        <v>0</v>
      </c>
      <c r="BL6" s="172">
        <f t="shared" si="5"/>
        <v>0</v>
      </c>
      <c r="BM6" s="172">
        <f t="shared" si="5"/>
        <v>0</v>
      </c>
      <c r="BN6" s="172">
        <f t="shared" si="5"/>
        <v>0</v>
      </c>
      <c r="BO6" s="172">
        <f t="shared" si="5"/>
        <v>0</v>
      </c>
      <c r="BP6" s="172">
        <f t="shared" si="5"/>
        <v>0</v>
      </c>
      <c r="BQ6" s="172">
        <f t="shared" si="5"/>
        <v>0</v>
      </c>
      <c r="BR6" s="172">
        <f t="shared" si="5"/>
        <v>0</v>
      </c>
      <c r="BS6" s="172">
        <f t="shared" si="5"/>
        <v>0</v>
      </c>
      <c r="BT6" s="172">
        <f t="shared" si="5"/>
        <v>0</v>
      </c>
      <c r="BU6" s="172">
        <f t="shared" si="5"/>
        <v>0</v>
      </c>
      <c r="BV6" s="172">
        <f t="shared" si="5"/>
        <v>0</v>
      </c>
      <c r="BW6" s="172">
        <f t="shared" si="5"/>
        <v>0</v>
      </c>
      <c r="BX6" s="172">
        <f t="shared" si="5"/>
        <v>0</v>
      </c>
      <c r="BY6" s="172">
        <f t="shared" si="5"/>
        <v>0</v>
      </c>
      <c r="BZ6" s="172">
        <f t="shared" si="5"/>
        <v>0</v>
      </c>
      <c r="CA6" s="172">
        <f t="shared" si="5"/>
        <v>0</v>
      </c>
      <c r="CB6" s="172">
        <f t="shared" si="5"/>
        <v>0</v>
      </c>
      <c r="CC6" s="172">
        <f t="shared" si="5"/>
        <v>0</v>
      </c>
      <c r="CD6" s="172">
        <f t="shared" si="5"/>
        <v>0</v>
      </c>
      <c r="CE6" s="172">
        <f t="shared" si="5"/>
        <v>0</v>
      </c>
      <c r="CF6" s="172">
        <f t="shared" si="5"/>
        <v>0</v>
      </c>
      <c r="CG6" s="172">
        <f t="shared" si="5"/>
        <v>0</v>
      </c>
      <c r="CH6" s="172">
        <f t="shared" si="5"/>
        <v>0</v>
      </c>
      <c r="CI6" s="172">
        <f t="shared" si="5"/>
        <v>0</v>
      </c>
      <c r="CJ6" s="172">
        <f t="shared" si="5"/>
        <v>0</v>
      </c>
      <c r="CK6" s="172">
        <f t="shared" si="5"/>
        <v>0</v>
      </c>
      <c r="CL6" s="172">
        <f t="shared" si="5"/>
        <v>0</v>
      </c>
      <c r="CM6" s="172">
        <f t="shared" si="5"/>
        <v>0</v>
      </c>
      <c r="CN6" s="172">
        <f t="shared" si="5"/>
        <v>0</v>
      </c>
      <c r="CO6" s="172">
        <f t="shared" si="5"/>
        <v>0</v>
      </c>
      <c r="CP6" s="172">
        <f t="shared" si="5"/>
        <v>0</v>
      </c>
      <c r="CQ6" s="172">
        <f t="shared" si="5"/>
        <v>0</v>
      </c>
      <c r="CR6" s="172">
        <f t="shared" si="5"/>
        <v>0</v>
      </c>
      <c r="CS6" s="172">
        <f t="shared" si="5"/>
        <v>0</v>
      </c>
      <c r="CT6" s="172">
        <f t="shared" si="5"/>
        <v>0</v>
      </c>
      <c r="CU6" s="172">
        <f t="shared" si="5"/>
        <v>0</v>
      </c>
      <c r="CV6" s="172">
        <f t="shared" si="5"/>
        <v>0</v>
      </c>
      <c r="CW6" s="172">
        <f t="shared" si="5"/>
        <v>0</v>
      </c>
      <c r="CX6" s="172">
        <f t="shared" si="5"/>
        <v>0</v>
      </c>
      <c r="CY6" s="172">
        <f t="shared" si="5"/>
        <v>0</v>
      </c>
      <c r="CZ6" s="172">
        <f t="shared" si="5"/>
        <v>0</v>
      </c>
      <c r="DA6" s="172">
        <f t="shared" si="5"/>
        <v>0</v>
      </c>
      <c r="DB6" s="172">
        <f t="shared" si="5"/>
        <v>0</v>
      </c>
      <c r="DC6" s="172">
        <f t="shared" si="5"/>
        <v>0</v>
      </c>
      <c r="DD6" s="172">
        <f t="shared" si="5"/>
        <v>0</v>
      </c>
      <c r="DE6" s="172">
        <f t="shared" si="5"/>
        <v>0</v>
      </c>
      <c r="DF6" s="172">
        <f t="shared" si="5"/>
        <v>0</v>
      </c>
      <c r="DG6" s="172">
        <f t="shared" si="5"/>
        <v>0</v>
      </c>
      <c r="DH6" s="172">
        <f t="shared" si="5"/>
        <v>0</v>
      </c>
      <c r="DI6" s="172">
        <f t="shared" si="5"/>
        <v>0</v>
      </c>
      <c r="DJ6" s="172">
        <f t="shared" si="5"/>
        <v>0</v>
      </c>
      <c r="DK6" s="172">
        <f t="shared" si="5"/>
        <v>0</v>
      </c>
      <c r="DL6" s="172">
        <f t="shared" si="5"/>
        <v>0</v>
      </c>
      <c r="DM6" s="172">
        <f t="shared" si="5"/>
        <v>0</v>
      </c>
      <c r="DN6" s="172">
        <f t="shared" si="5"/>
        <v>0</v>
      </c>
      <c r="DO6" s="172">
        <f t="shared" si="5"/>
        <v>0</v>
      </c>
      <c r="DP6" s="172">
        <f t="shared" si="5"/>
        <v>0</v>
      </c>
      <c r="DQ6" s="172">
        <f t="shared" si="5"/>
        <v>0</v>
      </c>
      <c r="DR6" s="172">
        <f t="shared" si="5"/>
        <v>0</v>
      </c>
      <c r="DS6" s="172">
        <f t="shared" si="5"/>
        <v>0</v>
      </c>
      <c r="DT6" s="172">
        <f t="shared" si="5"/>
        <v>0</v>
      </c>
      <c r="DU6" s="172">
        <f t="shared" si="5"/>
        <v>0</v>
      </c>
      <c r="DV6" s="172">
        <f t="shared" si="5"/>
        <v>0</v>
      </c>
      <c r="DW6" s="172">
        <f t="shared" si="5"/>
        <v>0</v>
      </c>
      <c r="DX6" s="172">
        <f t="shared" si="5"/>
        <v>0</v>
      </c>
      <c r="DY6" s="172">
        <f t="shared" si="5"/>
        <v>0</v>
      </c>
      <c r="DZ6" s="172">
        <f t="shared" si="5"/>
        <v>0</v>
      </c>
      <c r="EA6" s="172">
        <f t="shared" si="5"/>
        <v>0</v>
      </c>
      <c r="EB6" s="172">
        <f t="shared" si="5"/>
        <v>0</v>
      </c>
      <c r="EC6" s="172">
        <f t="shared" si="5"/>
        <v>0</v>
      </c>
      <c r="ED6" s="172">
        <f t="shared" si="5"/>
        <v>0</v>
      </c>
      <c r="EE6" s="172">
        <f t="shared" si="5"/>
        <v>0</v>
      </c>
      <c r="EF6" s="172">
        <f t="shared" si="5"/>
        <v>0</v>
      </c>
      <c r="EG6" s="172">
        <f t="shared" si="5"/>
        <v>0</v>
      </c>
      <c r="EH6" s="172">
        <f t="shared" si="5"/>
        <v>0</v>
      </c>
      <c r="EI6" s="172">
        <f t="shared" si="5"/>
        <v>0</v>
      </c>
      <c r="EJ6" s="172">
        <f t="shared" si="5"/>
        <v>0</v>
      </c>
      <c r="EK6" s="172">
        <f t="shared" si="5"/>
        <v>0</v>
      </c>
      <c r="EL6" s="172">
        <f t="shared" si="5"/>
        <v>0</v>
      </c>
      <c r="EM6" s="172">
        <f t="shared" si="5"/>
        <v>0</v>
      </c>
      <c r="EN6" s="172">
        <f t="shared" si="5"/>
        <v>0</v>
      </c>
      <c r="EO6" s="172">
        <f t="shared" si="5"/>
        <v>0</v>
      </c>
      <c r="EP6" s="172">
        <f t="shared" si="5"/>
        <v>0</v>
      </c>
    </row>
    <row r="7" ht="15.75" customHeight="1">
      <c r="A7" s="170" t="s">
        <v>397</v>
      </c>
      <c r="B7" s="170"/>
      <c r="C7" s="172">
        <f t="shared" ref="C7:EP7" si="6">IF(C$1&gt;$B$20,C$4*$B$21/12,0)</f>
        <v>0</v>
      </c>
      <c r="D7" s="172">
        <f t="shared" si="6"/>
        <v>0</v>
      </c>
      <c r="E7" s="172">
        <f t="shared" si="6"/>
        <v>0</v>
      </c>
      <c r="F7" s="172">
        <f t="shared" si="6"/>
        <v>0</v>
      </c>
      <c r="G7" s="172">
        <f t="shared" si="6"/>
        <v>0</v>
      </c>
      <c r="H7" s="172">
        <f t="shared" si="6"/>
        <v>0</v>
      </c>
      <c r="I7" s="172">
        <f t="shared" si="6"/>
        <v>0</v>
      </c>
      <c r="J7" s="172">
        <f t="shared" si="6"/>
        <v>0</v>
      </c>
      <c r="K7" s="172">
        <f t="shared" si="6"/>
        <v>0</v>
      </c>
      <c r="L7" s="172">
        <f t="shared" si="6"/>
        <v>0</v>
      </c>
      <c r="M7" s="172">
        <f t="shared" si="6"/>
        <v>0</v>
      </c>
      <c r="N7" s="172">
        <f t="shared" si="6"/>
        <v>0</v>
      </c>
      <c r="O7" s="172">
        <f t="shared" si="6"/>
        <v>0</v>
      </c>
      <c r="P7" s="172">
        <f t="shared" si="6"/>
        <v>0</v>
      </c>
      <c r="Q7" s="172">
        <f t="shared" si="6"/>
        <v>0</v>
      </c>
      <c r="R7" s="172">
        <f t="shared" si="6"/>
        <v>0</v>
      </c>
      <c r="S7" s="172">
        <f t="shared" si="6"/>
        <v>0</v>
      </c>
      <c r="T7" s="172">
        <f t="shared" si="6"/>
        <v>0</v>
      </c>
      <c r="U7" s="172">
        <f t="shared" si="6"/>
        <v>0</v>
      </c>
      <c r="V7" s="172">
        <f t="shared" si="6"/>
        <v>0</v>
      </c>
      <c r="W7" s="172">
        <f t="shared" si="6"/>
        <v>0</v>
      </c>
      <c r="X7" s="172">
        <f t="shared" si="6"/>
        <v>0</v>
      </c>
      <c r="Y7" s="172">
        <f t="shared" si="6"/>
        <v>0</v>
      </c>
      <c r="Z7" s="172">
        <f t="shared" si="6"/>
        <v>0</v>
      </c>
      <c r="AA7" s="172">
        <f t="shared" si="6"/>
        <v>0</v>
      </c>
      <c r="AB7" s="172">
        <f t="shared" si="6"/>
        <v>0</v>
      </c>
      <c r="AC7" s="172">
        <f t="shared" si="6"/>
        <v>0</v>
      </c>
      <c r="AD7" s="172">
        <f t="shared" si="6"/>
        <v>0</v>
      </c>
      <c r="AE7" s="172">
        <f t="shared" si="6"/>
        <v>0</v>
      </c>
      <c r="AF7" s="172">
        <f t="shared" si="6"/>
        <v>0</v>
      </c>
      <c r="AG7" s="172">
        <f t="shared" si="6"/>
        <v>0</v>
      </c>
      <c r="AH7" s="172">
        <f t="shared" si="6"/>
        <v>0</v>
      </c>
      <c r="AI7" s="172">
        <f t="shared" si="6"/>
        <v>0</v>
      </c>
      <c r="AJ7" s="172">
        <f t="shared" si="6"/>
        <v>0</v>
      </c>
      <c r="AK7" s="172">
        <f t="shared" si="6"/>
        <v>0</v>
      </c>
      <c r="AL7" s="172">
        <f t="shared" si="6"/>
        <v>0</v>
      </c>
      <c r="AM7" s="172">
        <f t="shared" si="6"/>
        <v>0</v>
      </c>
      <c r="AN7" s="172">
        <f t="shared" si="6"/>
        <v>0</v>
      </c>
      <c r="AO7" s="172">
        <f t="shared" si="6"/>
        <v>0</v>
      </c>
      <c r="AP7" s="172">
        <f t="shared" si="6"/>
        <v>0</v>
      </c>
      <c r="AQ7" s="172">
        <f t="shared" si="6"/>
        <v>0</v>
      </c>
      <c r="AR7" s="172">
        <f t="shared" si="6"/>
        <v>0</v>
      </c>
      <c r="AS7" s="172">
        <f t="shared" si="6"/>
        <v>0</v>
      </c>
      <c r="AT7" s="172">
        <f t="shared" si="6"/>
        <v>0</v>
      </c>
      <c r="AU7" s="172">
        <f t="shared" si="6"/>
        <v>0</v>
      </c>
      <c r="AV7" s="172">
        <f t="shared" si="6"/>
        <v>0</v>
      </c>
      <c r="AW7" s="172">
        <f t="shared" si="6"/>
        <v>0</v>
      </c>
      <c r="AX7" s="172">
        <f t="shared" si="6"/>
        <v>0</v>
      </c>
      <c r="AY7" s="172">
        <f t="shared" si="6"/>
        <v>0</v>
      </c>
      <c r="AZ7" s="172">
        <f t="shared" si="6"/>
        <v>0</v>
      </c>
      <c r="BA7" s="172">
        <f t="shared" si="6"/>
        <v>0</v>
      </c>
      <c r="BB7" s="172">
        <f t="shared" si="6"/>
        <v>0</v>
      </c>
      <c r="BC7" s="172">
        <f t="shared" si="6"/>
        <v>0</v>
      </c>
      <c r="BD7" s="172">
        <f t="shared" si="6"/>
        <v>0</v>
      </c>
      <c r="BE7" s="172">
        <f t="shared" si="6"/>
        <v>0</v>
      </c>
      <c r="BF7" s="172">
        <f t="shared" si="6"/>
        <v>0</v>
      </c>
      <c r="BG7" s="172">
        <f t="shared" si="6"/>
        <v>0</v>
      </c>
      <c r="BH7" s="172">
        <f t="shared" si="6"/>
        <v>0</v>
      </c>
      <c r="BI7" s="172">
        <f t="shared" si="6"/>
        <v>0</v>
      </c>
      <c r="BJ7" s="172">
        <f t="shared" si="6"/>
        <v>0</v>
      </c>
      <c r="BK7" s="172">
        <f t="shared" si="6"/>
        <v>0</v>
      </c>
      <c r="BL7" s="172">
        <f t="shared" si="6"/>
        <v>0</v>
      </c>
      <c r="BM7" s="172">
        <f t="shared" si="6"/>
        <v>0</v>
      </c>
      <c r="BN7" s="172">
        <f t="shared" si="6"/>
        <v>0</v>
      </c>
      <c r="BO7" s="172">
        <f t="shared" si="6"/>
        <v>0</v>
      </c>
      <c r="BP7" s="172">
        <f t="shared" si="6"/>
        <v>0</v>
      </c>
      <c r="BQ7" s="172">
        <f t="shared" si="6"/>
        <v>0</v>
      </c>
      <c r="BR7" s="172">
        <f t="shared" si="6"/>
        <v>0</v>
      </c>
      <c r="BS7" s="172">
        <f t="shared" si="6"/>
        <v>0</v>
      </c>
      <c r="BT7" s="172">
        <f t="shared" si="6"/>
        <v>0</v>
      </c>
      <c r="BU7" s="172">
        <f t="shared" si="6"/>
        <v>0</v>
      </c>
      <c r="BV7" s="172">
        <f t="shared" si="6"/>
        <v>0</v>
      </c>
      <c r="BW7" s="172">
        <f t="shared" si="6"/>
        <v>0</v>
      </c>
      <c r="BX7" s="172">
        <f t="shared" si="6"/>
        <v>0</v>
      </c>
      <c r="BY7" s="172">
        <f t="shared" si="6"/>
        <v>0</v>
      </c>
      <c r="BZ7" s="172">
        <f t="shared" si="6"/>
        <v>0</v>
      </c>
      <c r="CA7" s="172">
        <f t="shared" si="6"/>
        <v>0</v>
      </c>
      <c r="CB7" s="172">
        <f t="shared" si="6"/>
        <v>0</v>
      </c>
      <c r="CC7" s="172">
        <f t="shared" si="6"/>
        <v>0</v>
      </c>
      <c r="CD7" s="172">
        <f t="shared" si="6"/>
        <v>0</v>
      </c>
      <c r="CE7" s="172">
        <f t="shared" si="6"/>
        <v>0</v>
      </c>
      <c r="CF7" s="172">
        <f t="shared" si="6"/>
        <v>0</v>
      </c>
      <c r="CG7" s="172">
        <f t="shared" si="6"/>
        <v>0</v>
      </c>
      <c r="CH7" s="172">
        <f t="shared" si="6"/>
        <v>0</v>
      </c>
      <c r="CI7" s="172">
        <f t="shared" si="6"/>
        <v>0</v>
      </c>
      <c r="CJ7" s="172">
        <f t="shared" si="6"/>
        <v>0</v>
      </c>
      <c r="CK7" s="172">
        <f t="shared" si="6"/>
        <v>0</v>
      </c>
      <c r="CL7" s="172">
        <f t="shared" si="6"/>
        <v>0</v>
      </c>
      <c r="CM7" s="172">
        <f t="shared" si="6"/>
        <v>0</v>
      </c>
      <c r="CN7" s="172">
        <f t="shared" si="6"/>
        <v>0</v>
      </c>
      <c r="CO7" s="172">
        <f t="shared" si="6"/>
        <v>0</v>
      </c>
      <c r="CP7" s="172">
        <f t="shared" si="6"/>
        <v>0</v>
      </c>
      <c r="CQ7" s="172">
        <f t="shared" si="6"/>
        <v>0</v>
      </c>
      <c r="CR7" s="172">
        <f t="shared" si="6"/>
        <v>0</v>
      </c>
      <c r="CS7" s="172">
        <f t="shared" si="6"/>
        <v>0</v>
      </c>
      <c r="CT7" s="172">
        <f t="shared" si="6"/>
        <v>0</v>
      </c>
      <c r="CU7" s="172">
        <f t="shared" si="6"/>
        <v>0</v>
      </c>
      <c r="CV7" s="172">
        <f t="shared" si="6"/>
        <v>0</v>
      </c>
      <c r="CW7" s="172">
        <f t="shared" si="6"/>
        <v>0</v>
      </c>
      <c r="CX7" s="172">
        <f t="shared" si="6"/>
        <v>0</v>
      </c>
      <c r="CY7" s="172">
        <f t="shared" si="6"/>
        <v>0</v>
      </c>
      <c r="CZ7" s="172">
        <f t="shared" si="6"/>
        <v>0</v>
      </c>
      <c r="DA7" s="172">
        <f t="shared" si="6"/>
        <v>0</v>
      </c>
      <c r="DB7" s="172">
        <f t="shared" si="6"/>
        <v>0</v>
      </c>
      <c r="DC7" s="172">
        <f t="shared" si="6"/>
        <v>0</v>
      </c>
      <c r="DD7" s="172">
        <f t="shared" si="6"/>
        <v>0</v>
      </c>
      <c r="DE7" s="172">
        <f t="shared" si="6"/>
        <v>0</v>
      </c>
      <c r="DF7" s="172">
        <f t="shared" si="6"/>
        <v>0</v>
      </c>
      <c r="DG7" s="172">
        <f t="shared" si="6"/>
        <v>0</v>
      </c>
      <c r="DH7" s="172">
        <f t="shared" si="6"/>
        <v>0</v>
      </c>
      <c r="DI7" s="172">
        <f t="shared" si="6"/>
        <v>0</v>
      </c>
      <c r="DJ7" s="172">
        <f t="shared" si="6"/>
        <v>0</v>
      </c>
      <c r="DK7" s="172">
        <f t="shared" si="6"/>
        <v>0</v>
      </c>
      <c r="DL7" s="172">
        <f t="shared" si="6"/>
        <v>0</v>
      </c>
      <c r="DM7" s="172">
        <f t="shared" si="6"/>
        <v>0</v>
      </c>
      <c r="DN7" s="172">
        <f t="shared" si="6"/>
        <v>0</v>
      </c>
      <c r="DO7" s="172">
        <f t="shared" si="6"/>
        <v>0</v>
      </c>
      <c r="DP7" s="172">
        <f t="shared" si="6"/>
        <v>0</v>
      </c>
      <c r="DQ7" s="172">
        <f t="shared" si="6"/>
        <v>0</v>
      </c>
      <c r="DR7" s="172">
        <f t="shared" si="6"/>
        <v>0</v>
      </c>
      <c r="DS7" s="172">
        <f t="shared" si="6"/>
        <v>0</v>
      </c>
      <c r="DT7" s="172">
        <f t="shared" si="6"/>
        <v>0</v>
      </c>
      <c r="DU7" s="172">
        <f t="shared" si="6"/>
        <v>0</v>
      </c>
      <c r="DV7" s="172">
        <f t="shared" si="6"/>
        <v>0</v>
      </c>
      <c r="DW7" s="172">
        <f t="shared" si="6"/>
        <v>0</v>
      </c>
      <c r="DX7" s="172">
        <f t="shared" si="6"/>
        <v>0</v>
      </c>
      <c r="DY7" s="172">
        <f t="shared" si="6"/>
        <v>0</v>
      </c>
      <c r="DZ7" s="172">
        <f t="shared" si="6"/>
        <v>0</v>
      </c>
      <c r="EA7" s="172">
        <f t="shared" si="6"/>
        <v>0</v>
      </c>
      <c r="EB7" s="172">
        <f t="shared" si="6"/>
        <v>0</v>
      </c>
      <c r="EC7" s="172">
        <f t="shared" si="6"/>
        <v>0</v>
      </c>
      <c r="ED7" s="172">
        <f t="shared" si="6"/>
        <v>0</v>
      </c>
      <c r="EE7" s="172">
        <f t="shared" si="6"/>
        <v>0</v>
      </c>
      <c r="EF7" s="172">
        <f t="shared" si="6"/>
        <v>0</v>
      </c>
      <c r="EG7" s="172">
        <f t="shared" si="6"/>
        <v>0</v>
      </c>
      <c r="EH7" s="172">
        <f t="shared" si="6"/>
        <v>0</v>
      </c>
      <c r="EI7" s="172">
        <f t="shared" si="6"/>
        <v>0</v>
      </c>
      <c r="EJ7" s="172">
        <f t="shared" si="6"/>
        <v>0</v>
      </c>
      <c r="EK7" s="172">
        <f t="shared" si="6"/>
        <v>0</v>
      </c>
      <c r="EL7" s="172">
        <f t="shared" si="6"/>
        <v>0</v>
      </c>
      <c r="EM7" s="172">
        <f t="shared" si="6"/>
        <v>0</v>
      </c>
      <c r="EN7" s="172">
        <f t="shared" si="6"/>
        <v>0</v>
      </c>
      <c r="EO7" s="172">
        <f t="shared" si="6"/>
        <v>0</v>
      </c>
      <c r="EP7" s="172">
        <f t="shared" si="6"/>
        <v>0</v>
      </c>
    </row>
    <row r="8" ht="15.75" customHeight="1">
      <c r="A8" s="170" t="s">
        <v>398</v>
      </c>
      <c r="B8" s="170"/>
      <c r="C8" s="172">
        <f t="shared" ref="C8:EP8" si="7">-C7</f>
        <v>0</v>
      </c>
      <c r="D8" s="172">
        <f t="shared" si="7"/>
        <v>0</v>
      </c>
      <c r="E8" s="172">
        <f t="shared" si="7"/>
        <v>0</v>
      </c>
      <c r="F8" s="172">
        <f t="shared" si="7"/>
        <v>0</v>
      </c>
      <c r="G8" s="172">
        <f t="shared" si="7"/>
        <v>0</v>
      </c>
      <c r="H8" s="172">
        <f t="shared" si="7"/>
        <v>0</v>
      </c>
      <c r="I8" s="172">
        <f t="shared" si="7"/>
        <v>0</v>
      </c>
      <c r="J8" s="172">
        <f t="shared" si="7"/>
        <v>0</v>
      </c>
      <c r="K8" s="172">
        <f t="shared" si="7"/>
        <v>0</v>
      </c>
      <c r="L8" s="172">
        <f t="shared" si="7"/>
        <v>0</v>
      </c>
      <c r="M8" s="172">
        <f t="shared" si="7"/>
        <v>0</v>
      </c>
      <c r="N8" s="172">
        <f t="shared" si="7"/>
        <v>0</v>
      </c>
      <c r="O8" s="172">
        <f t="shared" si="7"/>
        <v>0</v>
      </c>
      <c r="P8" s="172">
        <f t="shared" si="7"/>
        <v>0</v>
      </c>
      <c r="Q8" s="172">
        <f t="shared" si="7"/>
        <v>0</v>
      </c>
      <c r="R8" s="172">
        <f t="shared" si="7"/>
        <v>0</v>
      </c>
      <c r="S8" s="172">
        <f t="shared" si="7"/>
        <v>0</v>
      </c>
      <c r="T8" s="172">
        <f t="shared" si="7"/>
        <v>0</v>
      </c>
      <c r="U8" s="172">
        <f t="shared" si="7"/>
        <v>0</v>
      </c>
      <c r="V8" s="172">
        <f t="shared" si="7"/>
        <v>0</v>
      </c>
      <c r="W8" s="172">
        <f t="shared" si="7"/>
        <v>0</v>
      </c>
      <c r="X8" s="172">
        <f t="shared" si="7"/>
        <v>0</v>
      </c>
      <c r="Y8" s="172">
        <f t="shared" si="7"/>
        <v>0</v>
      </c>
      <c r="Z8" s="172">
        <f t="shared" si="7"/>
        <v>0</v>
      </c>
      <c r="AA8" s="172">
        <f t="shared" si="7"/>
        <v>0</v>
      </c>
      <c r="AB8" s="172">
        <f t="shared" si="7"/>
        <v>0</v>
      </c>
      <c r="AC8" s="172">
        <f t="shared" si="7"/>
        <v>0</v>
      </c>
      <c r="AD8" s="172">
        <f t="shared" si="7"/>
        <v>0</v>
      </c>
      <c r="AE8" s="172">
        <f t="shared" si="7"/>
        <v>0</v>
      </c>
      <c r="AF8" s="172">
        <f t="shared" si="7"/>
        <v>0</v>
      </c>
      <c r="AG8" s="172">
        <f t="shared" si="7"/>
        <v>0</v>
      </c>
      <c r="AH8" s="172">
        <f t="shared" si="7"/>
        <v>0</v>
      </c>
      <c r="AI8" s="172">
        <f t="shared" si="7"/>
        <v>0</v>
      </c>
      <c r="AJ8" s="172">
        <f t="shared" si="7"/>
        <v>0</v>
      </c>
      <c r="AK8" s="172">
        <f t="shared" si="7"/>
        <v>0</v>
      </c>
      <c r="AL8" s="172">
        <f t="shared" si="7"/>
        <v>0</v>
      </c>
      <c r="AM8" s="172">
        <f t="shared" si="7"/>
        <v>0</v>
      </c>
      <c r="AN8" s="172">
        <f t="shared" si="7"/>
        <v>0</v>
      </c>
      <c r="AO8" s="172">
        <f t="shared" si="7"/>
        <v>0</v>
      </c>
      <c r="AP8" s="172">
        <f t="shared" si="7"/>
        <v>0</v>
      </c>
      <c r="AQ8" s="172">
        <f t="shared" si="7"/>
        <v>0</v>
      </c>
      <c r="AR8" s="172">
        <f t="shared" si="7"/>
        <v>0</v>
      </c>
      <c r="AS8" s="172">
        <f t="shared" si="7"/>
        <v>0</v>
      </c>
      <c r="AT8" s="172">
        <f t="shared" si="7"/>
        <v>0</v>
      </c>
      <c r="AU8" s="172">
        <f t="shared" si="7"/>
        <v>0</v>
      </c>
      <c r="AV8" s="172">
        <f t="shared" si="7"/>
        <v>0</v>
      </c>
      <c r="AW8" s="172">
        <f t="shared" si="7"/>
        <v>0</v>
      </c>
      <c r="AX8" s="172">
        <f t="shared" si="7"/>
        <v>0</v>
      </c>
      <c r="AY8" s="172">
        <f t="shared" si="7"/>
        <v>0</v>
      </c>
      <c r="AZ8" s="172">
        <f t="shared" si="7"/>
        <v>0</v>
      </c>
      <c r="BA8" s="172">
        <f t="shared" si="7"/>
        <v>0</v>
      </c>
      <c r="BB8" s="172">
        <f t="shared" si="7"/>
        <v>0</v>
      </c>
      <c r="BC8" s="172">
        <f t="shared" si="7"/>
        <v>0</v>
      </c>
      <c r="BD8" s="172">
        <f t="shared" si="7"/>
        <v>0</v>
      </c>
      <c r="BE8" s="172">
        <f t="shared" si="7"/>
        <v>0</v>
      </c>
      <c r="BF8" s="172">
        <f t="shared" si="7"/>
        <v>0</v>
      </c>
      <c r="BG8" s="172">
        <f t="shared" si="7"/>
        <v>0</v>
      </c>
      <c r="BH8" s="172">
        <f t="shared" si="7"/>
        <v>0</v>
      </c>
      <c r="BI8" s="172">
        <f t="shared" si="7"/>
        <v>0</v>
      </c>
      <c r="BJ8" s="172">
        <f t="shared" si="7"/>
        <v>0</v>
      </c>
      <c r="BK8" s="172">
        <f t="shared" si="7"/>
        <v>0</v>
      </c>
      <c r="BL8" s="172">
        <f t="shared" si="7"/>
        <v>0</v>
      </c>
      <c r="BM8" s="172">
        <f t="shared" si="7"/>
        <v>0</v>
      </c>
      <c r="BN8" s="172">
        <f t="shared" si="7"/>
        <v>0</v>
      </c>
      <c r="BO8" s="172">
        <f t="shared" si="7"/>
        <v>0</v>
      </c>
      <c r="BP8" s="172">
        <f t="shared" si="7"/>
        <v>0</v>
      </c>
      <c r="BQ8" s="172">
        <f t="shared" si="7"/>
        <v>0</v>
      </c>
      <c r="BR8" s="172">
        <f t="shared" si="7"/>
        <v>0</v>
      </c>
      <c r="BS8" s="172">
        <f t="shared" si="7"/>
        <v>0</v>
      </c>
      <c r="BT8" s="172">
        <f t="shared" si="7"/>
        <v>0</v>
      </c>
      <c r="BU8" s="172">
        <f t="shared" si="7"/>
        <v>0</v>
      </c>
      <c r="BV8" s="172">
        <f t="shared" si="7"/>
        <v>0</v>
      </c>
      <c r="BW8" s="172">
        <f t="shared" si="7"/>
        <v>0</v>
      </c>
      <c r="BX8" s="172">
        <f t="shared" si="7"/>
        <v>0</v>
      </c>
      <c r="BY8" s="172">
        <f t="shared" si="7"/>
        <v>0</v>
      </c>
      <c r="BZ8" s="172">
        <f t="shared" si="7"/>
        <v>0</v>
      </c>
      <c r="CA8" s="172">
        <f t="shared" si="7"/>
        <v>0</v>
      </c>
      <c r="CB8" s="172">
        <f t="shared" si="7"/>
        <v>0</v>
      </c>
      <c r="CC8" s="172">
        <f t="shared" si="7"/>
        <v>0</v>
      </c>
      <c r="CD8" s="172">
        <f t="shared" si="7"/>
        <v>0</v>
      </c>
      <c r="CE8" s="172">
        <f t="shared" si="7"/>
        <v>0</v>
      </c>
      <c r="CF8" s="172">
        <f t="shared" si="7"/>
        <v>0</v>
      </c>
      <c r="CG8" s="172">
        <f t="shared" si="7"/>
        <v>0</v>
      </c>
      <c r="CH8" s="172">
        <f t="shared" si="7"/>
        <v>0</v>
      </c>
      <c r="CI8" s="172">
        <f t="shared" si="7"/>
        <v>0</v>
      </c>
      <c r="CJ8" s="172">
        <f t="shared" si="7"/>
        <v>0</v>
      </c>
      <c r="CK8" s="172">
        <f t="shared" si="7"/>
        <v>0</v>
      </c>
      <c r="CL8" s="172">
        <f t="shared" si="7"/>
        <v>0</v>
      </c>
      <c r="CM8" s="172">
        <f t="shared" si="7"/>
        <v>0</v>
      </c>
      <c r="CN8" s="172">
        <f t="shared" si="7"/>
        <v>0</v>
      </c>
      <c r="CO8" s="172">
        <f t="shared" si="7"/>
        <v>0</v>
      </c>
      <c r="CP8" s="172">
        <f t="shared" si="7"/>
        <v>0</v>
      </c>
      <c r="CQ8" s="172">
        <f t="shared" si="7"/>
        <v>0</v>
      </c>
      <c r="CR8" s="172">
        <f t="shared" si="7"/>
        <v>0</v>
      </c>
      <c r="CS8" s="172">
        <f t="shared" si="7"/>
        <v>0</v>
      </c>
      <c r="CT8" s="172">
        <f t="shared" si="7"/>
        <v>0</v>
      </c>
      <c r="CU8" s="172">
        <f t="shared" si="7"/>
        <v>0</v>
      </c>
      <c r="CV8" s="172">
        <f t="shared" si="7"/>
        <v>0</v>
      </c>
      <c r="CW8" s="172">
        <f t="shared" si="7"/>
        <v>0</v>
      </c>
      <c r="CX8" s="172">
        <f t="shared" si="7"/>
        <v>0</v>
      </c>
      <c r="CY8" s="172">
        <f t="shared" si="7"/>
        <v>0</v>
      </c>
      <c r="CZ8" s="172">
        <f t="shared" si="7"/>
        <v>0</v>
      </c>
      <c r="DA8" s="172">
        <f t="shared" si="7"/>
        <v>0</v>
      </c>
      <c r="DB8" s="172">
        <f t="shared" si="7"/>
        <v>0</v>
      </c>
      <c r="DC8" s="172">
        <f t="shared" si="7"/>
        <v>0</v>
      </c>
      <c r="DD8" s="172">
        <f t="shared" si="7"/>
        <v>0</v>
      </c>
      <c r="DE8" s="172">
        <f t="shared" si="7"/>
        <v>0</v>
      </c>
      <c r="DF8" s="172">
        <f t="shared" si="7"/>
        <v>0</v>
      </c>
      <c r="DG8" s="172">
        <f t="shared" si="7"/>
        <v>0</v>
      </c>
      <c r="DH8" s="172">
        <f t="shared" si="7"/>
        <v>0</v>
      </c>
      <c r="DI8" s="172">
        <f t="shared" si="7"/>
        <v>0</v>
      </c>
      <c r="DJ8" s="172">
        <f t="shared" si="7"/>
        <v>0</v>
      </c>
      <c r="DK8" s="172">
        <f t="shared" si="7"/>
        <v>0</v>
      </c>
      <c r="DL8" s="172">
        <f t="shared" si="7"/>
        <v>0</v>
      </c>
      <c r="DM8" s="172">
        <f t="shared" si="7"/>
        <v>0</v>
      </c>
      <c r="DN8" s="172">
        <f t="shared" si="7"/>
        <v>0</v>
      </c>
      <c r="DO8" s="172">
        <f t="shared" si="7"/>
        <v>0</v>
      </c>
      <c r="DP8" s="172">
        <f t="shared" si="7"/>
        <v>0</v>
      </c>
      <c r="DQ8" s="172">
        <f t="shared" si="7"/>
        <v>0</v>
      </c>
      <c r="DR8" s="172">
        <f t="shared" si="7"/>
        <v>0</v>
      </c>
      <c r="DS8" s="172">
        <f t="shared" si="7"/>
        <v>0</v>
      </c>
      <c r="DT8" s="172">
        <f t="shared" si="7"/>
        <v>0</v>
      </c>
      <c r="DU8" s="172">
        <f t="shared" si="7"/>
        <v>0</v>
      </c>
      <c r="DV8" s="172">
        <f t="shared" si="7"/>
        <v>0</v>
      </c>
      <c r="DW8" s="172">
        <f t="shared" si="7"/>
        <v>0</v>
      </c>
      <c r="DX8" s="172">
        <f t="shared" si="7"/>
        <v>0</v>
      </c>
      <c r="DY8" s="172">
        <f t="shared" si="7"/>
        <v>0</v>
      </c>
      <c r="DZ8" s="172">
        <f t="shared" si="7"/>
        <v>0</v>
      </c>
      <c r="EA8" s="172">
        <f t="shared" si="7"/>
        <v>0</v>
      </c>
      <c r="EB8" s="172">
        <f t="shared" si="7"/>
        <v>0</v>
      </c>
      <c r="EC8" s="172">
        <f t="shared" si="7"/>
        <v>0</v>
      </c>
      <c r="ED8" s="172">
        <f t="shared" si="7"/>
        <v>0</v>
      </c>
      <c r="EE8" s="172">
        <f t="shared" si="7"/>
        <v>0</v>
      </c>
      <c r="EF8" s="172">
        <f t="shared" si="7"/>
        <v>0</v>
      </c>
      <c r="EG8" s="172">
        <f t="shared" si="7"/>
        <v>0</v>
      </c>
      <c r="EH8" s="172">
        <f t="shared" si="7"/>
        <v>0</v>
      </c>
      <c r="EI8" s="172">
        <f t="shared" si="7"/>
        <v>0</v>
      </c>
      <c r="EJ8" s="172">
        <f t="shared" si="7"/>
        <v>0</v>
      </c>
      <c r="EK8" s="172">
        <f t="shared" si="7"/>
        <v>0</v>
      </c>
      <c r="EL8" s="172">
        <f t="shared" si="7"/>
        <v>0</v>
      </c>
      <c r="EM8" s="172">
        <f t="shared" si="7"/>
        <v>0</v>
      </c>
      <c r="EN8" s="172">
        <f t="shared" si="7"/>
        <v>0</v>
      </c>
      <c r="EO8" s="172">
        <f t="shared" si="7"/>
        <v>0</v>
      </c>
      <c r="EP8" s="172">
        <f t="shared" si="7"/>
        <v>0</v>
      </c>
    </row>
    <row r="9" ht="15.75" customHeight="1">
      <c r="A9" s="173" t="s">
        <v>399</v>
      </c>
      <c r="B9" s="174"/>
      <c r="C9" s="175">
        <f t="shared" ref="C9:EP9" si="8">SUM(C4:C8)</f>
        <v>0</v>
      </c>
      <c r="D9" s="175">
        <f t="shared" si="8"/>
        <v>0</v>
      </c>
      <c r="E9" s="175">
        <f t="shared" si="8"/>
        <v>0</v>
      </c>
      <c r="F9" s="175">
        <f t="shared" si="8"/>
        <v>0</v>
      </c>
      <c r="G9" s="175">
        <f t="shared" si="8"/>
        <v>0</v>
      </c>
      <c r="H9" s="175">
        <f t="shared" si="8"/>
        <v>0</v>
      </c>
      <c r="I9" s="175">
        <f t="shared" si="8"/>
        <v>0</v>
      </c>
      <c r="J9" s="175">
        <f t="shared" si="8"/>
        <v>0</v>
      </c>
      <c r="K9" s="175">
        <f t="shared" si="8"/>
        <v>0</v>
      </c>
      <c r="L9" s="175">
        <f t="shared" si="8"/>
        <v>0</v>
      </c>
      <c r="M9" s="175">
        <f t="shared" si="8"/>
        <v>0</v>
      </c>
      <c r="N9" s="175">
        <f t="shared" si="8"/>
        <v>0</v>
      </c>
      <c r="O9" s="175">
        <f t="shared" si="8"/>
        <v>0</v>
      </c>
      <c r="P9" s="175">
        <f t="shared" si="8"/>
        <v>0</v>
      </c>
      <c r="Q9" s="175">
        <f t="shared" si="8"/>
        <v>0</v>
      </c>
      <c r="R9" s="175">
        <f t="shared" si="8"/>
        <v>0</v>
      </c>
      <c r="S9" s="175">
        <f t="shared" si="8"/>
        <v>0</v>
      </c>
      <c r="T9" s="175">
        <f t="shared" si="8"/>
        <v>0</v>
      </c>
      <c r="U9" s="175">
        <f t="shared" si="8"/>
        <v>0</v>
      </c>
      <c r="V9" s="175">
        <f t="shared" si="8"/>
        <v>0</v>
      </c>
      <c r="W9" s="175">
        <f t="shared" si="8"/>
        <v>0</v>
      </c>
      <c r="X9" s="175">
        <f t="shared" si="8"/>
        <v>0</v>
      </c>
      <c r="Y9" s="175">
        <f t="shared" si="8"/>
        <v>0</v>
      </c>
      <c r="Z9" s="175">
        <f t="shared" si="8"/>
        <v>0</v>
      </c>
      <c r="AA9" s="175">
        <f t="shared" si="8"/>
        <v>0</v>
      </c>
      <c r="AB9" s="175">
        <f t="shared" si="8"/>
        <v>0</v>
      </c>
      <c r="AC9" s="175">
        <f t="shared" si="8"/>
        <v>0</v>
      </c>
      <c r="AD9" s="175">
        <f t="shared" si="8"/>
        <v>0</v>
      </c>
      <c r="AE9" s="175">
        <f t="shared" si="8"/>
        <v>0</v>
      </c>
      <c r="AF9" s="175">
        <f t="shared" si="8"/>
        <v>0</v>
      </c>
      <c r="AG9" s="175">
        <f t="shared" si="8"/>
        <v>0</v>
      </c>
      <c r="AH9" s="175">
        <f t="shared" si="8"/>
        <v>0</v>
      </c>
      <c r="AI9" s="175">
        <f t="shared" si="8"/>
        <v>0</v>
      </c>
      <c r="AJ9" s="175">
        <f t="shared" si="8"/>
        <v>0</v>
      </c>
      <c r="AK9" s="175">
        <f t="shared" si="8"/>
        <v>0</v>
      </c>
      <c r="AL9" s="175">
        <f t="shared" si="8"/>
        <v>0</v>
      </c>
      <c r="AM9" s="175">
        <f t="shared" si="8"/>
        <v>0</v>
      </c>
      <c r="AN9" s="175">
        <f t="shared" si="8"/>
        <v>0</v>
      </c>
      <c r="AO9" s="175">
        <f t="shared" si="8"/>
        <v>0</v>
      </c>
      <c r="AP9" s="175">
        <f t="shared" si="8"/>
        <v>0</v>
      </c>
      <c r="AQ9" s="175">
        <f t="shared" si="8"/>
        <v>0</v>
      </c>
      <c r="AR9" s="175">
        <f t="shared" si="8"/>
        <v>0</v>
      </c>
      <c r="AS9" s="175">
        <f t="shared" si="8"/>
        <v>0</v>
      </c>
      <c r="AT9" s="175">
        <f t="shared" si="8"/>
        <v>0</v>
      </c>
      <c r="AU9" s="175">
        <f t="shared" si="8"/>
        <v>0</v>
      </c>
      <c r="AV9" s="175">
        <f t="shared" si="8"/>
        <v>0</v>
      </c>
      <c r="AW9" s="175">
        <f t="shared" si="8"/>
        <v>0</v>
      </c>
      <c r="AX9" s="175">
        <f t="shared" si="8"/>
        <v>0</v>
      </c>
      <c r="AY9" s="175">
        <f t="shared" si="8"/>
        <v>0</v>
      </c>
      <c r="AZ9" s="175">
        <f t="shared" si="8"/>
        <v>0</v>
      </c>
      <c r="BA9" s="175">
        <f t="shared" si="8"/>
        <v>0</v>
      </c>
      <c r="BB9" s="175">
        <f t="shared" si="8"/>
        <v>0</v>
      </c>
      <c r="BC9" s="175">
        <f t="shared" si="8"/>
        <v>0</v>
      </c>
      <c r="BD9" s="175">
        <f t="shared" si="8"/>
        <v>0</v>
      </c>
      <c r="BE9" s="175">
        <f t="shared" si="8"/>
        <v>0</v>
      </c>
      <c r="BF9" s="175">
        <f t="shared" si="8"/>
        <v>0</v>
      </c>
      <c r="BG9" s="175">
        <f t="shared" si="8"/>
        <v>0</v>
      </c>
      <c r="BH9" s="175">
        <f t="shared" si="8"/>
        <v>0</v>
      </c>
      <c r="BI9" s="175">
        <f t="shared" si="8"/>
        <v>0</v>
      </c>
      <c r="BJ9" s="175">
        <f t="shared" si="8"/>
        <v>0</v>
      </c>
      <c r="BK9" s="175">
        <f t="shared" si="8"/>
        <v>0</v>
      </c>
      <c r="BL9" s="175">
        <f t="shared" si="8"/>
        <v>0</v>
      </c>
      <c r="BM9" s="175">
        <f t="shared" si="8"/>
        <v>0</v>
      </c>
      <c r="BN9" s="175">
        <f t="shared" si="8"/>
        <v>0</v>
      </c>
      <c r="BO9" s="175">
        <f t="shared" si="8"/>
        <v>0</v>
      </c>
      <c r="BP9" s="175">
        <f t="shared" si="8"/>
        <v>0</v>
      </c>
      <c r="BQ9" s="175">
        <f t="shared" si="8"/>
        <v>0</v>
      </c>
      <c r="BR9" s="175">
        <f t="shared" si="8"/>
        <v>0</v>
      </c>
      <c r="BS9" s="175">
        <f t="shared" si="8"/>
        <v>0</v>
      </c>
      <c r="BT9" s="175">
        <f t="shared" si="8"/>
        <v>0</v>
      </c>
      <c r="BU9" s="175">
        <f t="shared" si="8"/>
        <v>0</v>
      </c>
      <c r="BV9" s="175">
        <f t="shared" si="8"/>
        <v>0</v>
      </c>
      <c r="BW9" s="175">
        <f t="shared" si="8"/>
        <v>0</v>
      </c>
      <c r="BX9" s="175">
        <f t="shared" si="8"/>
        <v>0</v>
      </c>
      <c r="BY9" s="175">
        <f t="shared" si="8"/>
        <v>0</v>
      </c>
      <c r="BZ9" s="175">
        <f t="shared" si="8"/>
        <v>0</v>
      </c>
      <c r="CA9" s="175">
        <f t="shared" si="8"/>
        <v>0</v>
      </c>
      <c r="CB9" s="175">
        <f t="shared" si="8"/>
        <v>0</v>
      </c>
      <c r="CC9" s="175">
        <f t="shared" si="8"/>
        <v>0</v>
      </c>
      <c r="CD9" s="175">
        <f t="shared" si="8"/>
        <v>0</v>
      </c>
      <c r="CE9" s="175">
        <f t="shared" si="8"/>
        <v>0</v>
      </c>
      <c r="CF9" s="175">
        <f t="shared" si="8"/>
        <v>0</v>
      </c>
      <c r="CG9" s="175">
        <f t="shared" si="8"/>
        <v>0</v>
      </c>
      <c r="CH9" s="175">
        <f t="shared" si="8"/>
        <v>0</v>
      </c>
      <c r="CI9" s="175">
        <f t="shared" si="8"/>
        <v>0</v>
      </c>
      <c r="CJ9" s="175">
        <f t="shared" si="8"/>
        <v>0</v>
      </c>
      <c r="CK9" s="175">
        <f t="shared" si="8"/>
        <v>0</v>
      </c>
      <c r="CL9" s="175">
        <f t="shared" si="8"/>
        <v>0</v>
      </c>
      <c r="CM9" s="175">
        <f t="shared" si="8"/>
        <v>0</v>
      </c>
      <c r="CN9" s="175">
        <f t="shared" si="8"/>
        <v>0</v>
      </c>
      <c r="CO9" s="175">
        <f t="shared" si="8"/>
        <v>0</v>
      </c>
      <c r="CP9" s="175">
        <f t="shared" si="8"/>
        <v>0</v>
      </c>
      <c r="CQ9" s="175">
        <f t="shared" si="8"/>
        <v>0</v>
      </c>
      <c r="CR9" s="175">
        <f t="shared" si="8"/>
        <v>0</v>
      </c>
      <c r="CS9" s="175">
        <f t="shared" si="8"/>
        <v>0</v>
      </c>
      <c r="CT9" s="175">
        <f t="shared" si="8"/>
        <v>0</v>
      </c>
      <c r="CU9" s="175">
        <f t="shared" si="8"/>
        <v>0</v>
      </c>
      <c r="CV9" s="175">
        <f t="shared" si="8"/>
        <v>0</v>
      </c>
      <c r="CW9" s="175">
        <f t="shared" si="8"/>
        <v>0</v>
      </c>
      <c r="CX9" s="175">
        <f t="shared" si="8"/>
        <v>0</v>
      </c>
      <c r="CY9" s="175">
        <f t="shared" si="8"/>
        <v>0</v>
      </c>
      <c r="CZ9" s="175">
        <f t="shared" si="8"/>
        <v>0</v>
      </c>
      <c r="DA9" s="175">
        <f t="shared" si="8"/>
        <v>0</v>
      </c>
      <c r="DB9" s="175">
        <f t="shared" si="8"/>
        <v>0</v>
      </c>
      <c r="DC9" s="175">
        <f t="shared" si="8"/>
        <v>0</v>
      </c>
      <c r="DD9" s="175">
        <f t="shared" si="8"/>
        <v>0</v>
      </c>
      <c r="DE9" s="175">
        <f t="shared" si="8"/>
        <v>0</v>
      </c>
      <c r="DF9" s="175">
        <f t="shared" si="8"/>
        <v>0</v>
      </c>
      <c r="DG9" s="175">
        <f t="shared" si="8"/>
        <v>0</v>
      </c>
      <c r="DH9" s="175">
        <f t="shared" si="8"/>
        <v>0</v>
      </c>
      <c r="DI9" s="175">
        <f t="shared" si="8"/>
        <v>0</v>
      </c>
      <c r="DJ9" s="175">
        <f t="shared" si="8"/>
        <v>0</v>
      </c>
      <c r="DK9" s="175">
        <f t="shared" si="8"/>
        <v>0</v>
      </c>
      <c r="DL9" s="175">
        <f t="shared" si="8"/>
        <v>0</v>
      </c>
      <c r="DM9" s="175">
        <f t="shared" si="8"/>
        <v>0</v>
      </c>
      <c r="DN9" s="175">
        <f t="shared" si="8"/>
        <v>0</v>
      </c>
      <c r="DO9" s="175">
        <f t="shared" si="8"/>
        <v>0</v>
      </c>
      <c r="DP9" s="175">
        <f t="shared" si="8"/>
        <v>0</v>
      </c>
      <c r="DQ9" s="175">
        <f t="shared" si="8"/>
        <v>0</v>
      </c>
      <c r="DR9" s="175">
        <f t="shared" si="8"/>
        <v>0</v>
      </c>
      <c r="DS9" s="175">
        <f t="shared" si="8"/>
        <v>0</v>
      </c>
      <c r="DT9" s="175">
        <f t="shared" si="8"/>
        <v>0</v>
      </c>
      <c r="DU9" s="175">
        <f t="shared" si="8"/>
        <v>0</v>
      </c>
      <c r="DV9" s="175">
        <f t="shared" si="8"/>
        <v>0</v>
      </c>
      <c r="DW9" s="175">
        <f t="shared" si="8"/>
        <v>0</v>
      </c>
      <c r="DX9" s="175">
        <f t="shared" si="8"/>
        <v>0</v>
      </c>
      <c r="DY9" s="175">
        <f t="shared" si="8"/>
        <v>0</v>
      </c>
      <c r="DZ9" s="175">
        <f t="shared" si="8"/>
        <v>0</v>
      </c>
      <c r="EA9" s="175">
        <f t="shared" si="8"/>
        <v>0</v>
      </c>
      <c r="EB9" s="175">
        <f t="shared" si="8"/>
        <v>0</v>
      </c>
      <c r="EC9" s="175">
        <f t="shared" si="8"/>
        <v>0</v>
      </c>
      <c r="ED9" s="175">
        <f t="shared" si="8"/>
        <v>0</v>
      </c>
      <c r="EE9" s="175">
        <f t="shared" si="8"/>
        <v>0</v>
      </c>
      <c r="EF9" s="175">
        <f t="shared" si="8"/>
        <v>0</v>
      </c>
      <c r="EG9" s="175">
        <f t="shared" si="8"/>
        <v>0</v>
      </c>
      <c r="EH9" s="175">
        <f t="shared" si="8"/>
        <v>0</v>
      </c>
      <c r="EI9" s="175">
        <f t="shared" si="8"/>
        <v>0</v>
      </c>
      <c r="EJ9" s="175">
        <f t="shared" si="8"/>
        <v>0</v>
      </c>
      <c r="EK9" s="175">
        <f t="shared" si="8"/>
        <v>0</v>
      </c>
      <c r="EL9" s="175">
        <f t="shared" si="8"/>
        <v>0</v>
      </c>
      <c r="EM9" s="175">
        <f t="shared" si="8"/>
        <v>0</v>
      </c>
      <c r="EN9" s="175">
        <f t="shared" si="8"/>
        <v>0</v>
      </c>
      <c r="EO9" s="175">
        <f t="shared" si="8"/>
        <v>0</v>
      </c>
      <c r="EP9" s="175">
        <f t="shared" si="8"/>
        <v>0</v>
      </c>
    </row>
    <row r="10" ht="15.75" customHeight="1">
      <c r="A10" s="170"/>
      <c r="B10" s="170"/>
      <c r="C10" s="171"/>
      <c r="D10" s="171"/>
      <c r="E10" s="171"/>
      <c r="F10" s="171"/>
      <c r="G10" s="171"/>
      <c r="H10" s="171"/>
      <c r="I10" s="171"/>
      <c r="J10" s="171"/>
      <c r="K10" s="171"/>
      <c r="L10" s="171"/>
      <c r="M10" s="171"/>
      <c r="N10" s="171"/>
      <c r="O10" s="171"/>
      <c r="P10" s="171"/>
      <c r="Q10" s="171"/>
      <c r="R10" s="171"/>
      <c r="S10" s="171"/>
      <c r="T10" s="171"/>
      <c r="U10" s="171"/>
      <c r="V10" s="171"/>
      <c r="W10" s="171"/>
      <c r="X10" s="171"/>
      <c r="Y10" s="171"/>
      <c r="Z10" s="171"/>
      <c r="AA10" s="171"/>
      <c r="AB10" s="171"/>
      <c r="AC10" s="171"/>
      <c r="AD10" s="171"/>
      <c r="AE10" s="171"/>
      <c r="AF10" s="171"/>
      <c r="AG10" s="171"/>
      <c r="AH10" s="171"/>
      <c r="AI10" s="171"/>
      <c r="AJ10" s="171"/>
      <c r="AK10" s="171"/>
      <c r="AL10" s="171"/>
      <c r="AM10" s="171"/>
      <c r="AN10" s="171"/>
      <c r="AO10" s="171"/>
      <c r="AP10" s="171"/>
      <c r="AQ10" s="171"/>
      <c r="AR10" s="171"/>
      <c r="AS10" s="171"/>
      <c r="AT10" s="171"/>
      <c r="AU10" s="171"/>
      <c r="AV10" s="171"/>
      <c r="AW10" s="171"/>
      <c r="AX10" s="171"/>
      <c r="AY10" s="171"/>
      <c r="AZ10" s="171"/>
      <c r="BA10" s="171"/>
      <c r="BB10" s="171"/>
      <c r="BC10" s="171"/>
      <c r="BD10" s="171"/>
      <c r="BE10" s="171"/>
      <c r="BF10" s="171"/>
      <c r="BG10" s="171"/>
      <c r="BH10" s="171"/>
      <c r="BI10" s="171"/>
      <c r="BJ10" s="171"/>
      <c r="BK10" s="171"/>
      <c r="BL10" s="171"/>
      <c r="BM10" s="171"/>
      <c r="BN10" s="171"/>
      <c r="BO10" s="171"/>
      <c r="BP10" s="171"/>
      <c r="BQ10" s="171"/>
      <c r="BR10" s="171"/>
      <c r="BS10" s="171"/>
      <c r="BT10" s="171"/>
      <c r="BU10" s="171"/>
      <c r="BV10" s="171"/>
      <c r="BW10" s="171"/>
      <c r="BX10" s="171"/>
      <c r="BY10" s="171"/>
      <c r="BZ10" s="171"/>
      <c r="CA10" s="171"/>
      <c r="CB10" s="171"/>
      <c r="CC10" s="171"/>
      <c r="CD10" s="171"/>
      <c r="CE10" s="171"/>
      <c r="CF10" s="171"/>
      <c r="CG10" s="171"/>
      <c r="CH10" s="171"/>
      <c r="CI10" s="171"/>
      <c r="CJ10" s="171"/>
      <c r="CK10" s="171"/>
      <c r="CL10" s="171"/>
      <c r="CM10" s="171"/>
      <c r="CN10" s="171"/>
      <c r="CO10" s="171"/>
      <c r="CP10" s="171"/>
      <c r="CQ10" s="171"/>
      <c r="CR10" s="171"/>
      <c r="CS10" s="171"/>
      <c r="CT10" s="171"/>
      <c r="CU10" s="171"/>
      <c r="CV10" s="171"/>
      <c r="CW10" s="171"/>
      <c r="CX10" s="171"/>
      <c r="CY10" s="171"/>
      <c r="CZ10" s="171"/>
      <c r="DA10" s="171"/>
      <c r="DB10" s="171"/>
      <c r="DC10" s="171"/>
      <c r="DD10" s="171"/>
      <c r="DE10" s="171"/>
      <c r="DF10" s="171"/>
      <c r="DG10" s="171"/>
      <c r="DH10" s="171"/>
      <c r="DI10" s="171"/>
      <c r="DJ10" s="171"/>
      <c r="DK10" s="171"/>
      <c r="DL10" s="171"/>
      <c r="DM10" s="171"/>
      <c r="DN10" s="171"/>
      <c r="DO10" s="171"/>
      <c r="DP10" s="171"/>
      <c r="DQ10" s="171"/>
      <c r="DR10" s="171"/>
      <c r="DS10" s="171"/>
      <c r="DT10" s="171"/>
      <c r="DU10" s="171"/>
      <c r="DV10" s="171"/>
      <c r="DW10" s="171"/>
      <c r="DX10" s="171"/>
      <c r="DY10" s="171"/>
      <c r="DZ10" s="171"/>
      <c r="EA10" s="171"/>
      <c r="EB10" s="171"/>
      <c r="EC10" s="171"/>
      <c r="ED10" s="171"/>
      <c r="EE10" s="171"/>
      <c r="EF10" s="171"/>
      <c r="EG10" s="171"/>
      <c r="EH10" s="171"/>
      <c r="EI10" s="171"/>
      <c r="EJ10" s="171"/>
      <c r="EK10" s="171"/>
      <c r="EL10" s="171"/>
      <c r="EM10" s="171"/>
      <c r="EN10" s="171"/>
      <c r="EO10" s="171"/>
      <c r="EP10" s="171"/>
    </row>
    <row r="11" ht="15.75" customHeight="1">
      <c r="A11" s="176" t="s">
        <v>400</v>
      </c>
      <c r="B11" s="170"/>
      <c r="C11" s="172">
        <f t="shared" ref="C11:EP11" si="9">IF(MONTH($B$14)&amp;YEAR($B$14)=MONTH(C$2)&amp;YEAR(C$2),$B$17,0)</f>
        <v>0</v>
      </c>
      <c r="D11" s="172">
        <f t="shared" si="9"/>
        <v>0</v>
      </c>
      <c r="E11" s="172">
        <f t="shared" si="9"/>
        <v>0</v>
      </c>
      <c r="F11" s="172">
        <f t="shared" si="9"/>
        <v>0</v>
      </c>
      <c r="G11" s="172">
        <f t="shared" si="9"/>
        <v>0</v>
      </c>
      <c r="H11" s="172">
        <f t="shared" si="9"/>
        <v>0</v>
      </c>
      <c r="I11" s="172">
        <f t="shared" si="9"/>
        <v>0</v>
      </c>
      <c r="J11" s="172">
        <f t="shared" si="9"/>
        <v>0</v>
      </c>
      <c r="K11" s="172">
        <f t="shared" si="9"/>
        <v>0</v>
      </c>
      <c r="L11" s="172">
        <f t="shared" si="9"/>
        <v>0</v>
      </c>
      <c r="M11" s="172">
        <f t="shared" si="9"/>
        <v>0</v>
      </c>
      <c r="N11" s="172">
        <f t="shared" si="9"/>
        <v>0</v>
      </c>
      <c r="O11" s="172">
        <f t="shared" si="9"/>
        <v>0</v>
      </c>
      <c r="P11" s="172">
        <f t="shared" si="9"/>
        <v>0</v>
      </c>
      <c r="Q11" s="172">
        <f t="shared" si="9"/>
        <v>0</v>
      </c>
      <c r="R11" s="172">
        <f t="shared" si="9"/>
        <v>0</v>
      </c>
      <c r="S11" s="172">
        <f t="shared" si="9"/>
        <v>0</v>
      </c>
      <c r="T11" s="172">
        <f t="shared" si="9"/>
        <v>0</v>
      </c>
      <c r="U11" s="172">
        <f t="shared" si="9"/>
        <v>0</v>
      </c>
      <c r="V11" s="172">
        <f t="shared" si="9"/>
        <v>0</v>
      </c>
      <c r="W11" s="172">
        <f t="shared" si="9"/>
        <v>0</v>
      </c>
      <c r="X11" s="172">
        <f t="shared" si="9"/>
        <v>0</v>
      </c>
      <c r="Y11" s="172">
        <f t="shared" si="9"/>
        <v>0</v>
      </c>
      <c r="Z11" s="172">
        <f t="shared" si="9"/>
        <v>0</v>
      </c>
      <c r="AA11" s="172">
        <f t="shared" si="9"/>
        <v>0</v>
      </c>
      <c r="AB11" s="172">
        <f t="shared" si="9"/>
        <v>0</v>
      </c>
      <c r="AC11" s="172">
        <f t="shared" si="9"/>
        <v>0</v>
      </c>
      <c r="AD11" s="172">
        <f t="shared" si="9"/>
        <v>0</v>
      </c>
      <c r="AE11" s="172">
        <f t="shared" si="9"/>
        <v>0</v>
      </c>
      <c r="AF11" s="172">
        <f t="shared" si="9"/>
        <v>0</v>
      </c>
      <c r="AG11" s="172">
        <f t="shared" si="9"/>
        <v>0</v>
      </c>
      <c r="AH11" s="172">
        <f t="shared" si="9"/>
        <v>0</v>
      </c>
      <c r="AI11" s="172">
        <f t="shared" si="9"/>
        <v>0</v>
      </c>
      <c r="AJ11" s="172">
        <f t="shared" si="9"/>
        <v>0</v>
      </c>
      <c r="AK11" s="172">
        <f t="shared" si="9"/>
        <v>0</v>
      </c>
      <c r="AL11" s="172">
        <f t="shared" si="9"/>
        <v>0</v>
      </c>
      <c r="AM11" s="172">
        <f t="shared" si="9"/>
        <v>0</v>
      </c>
      <c r="AN11" s="172">
        <f t="shared" si="9"/>
        <v>0</v>
      </c>
      <c r="AO11" s="172">
        <f t="shared" si="9"/>
        <v>0</v>
      </c>
      <c r="AP11" s="172">
        <f t="shared" si="9"/>
        <v>0</v>
      </c>
      <c r="AQ11" s="172">
        <f t="shared" si="9"/>
        <v>0</v>
      </c>
      <c r="AR11" s="172">
        <f t="shared" si="9"/>
        <v>0</v>
      </c>
      <c r="AS11" s="172">
        <f t="shared" si="9"/>
        <v>0</v>
      </c>
      <c r="AT11" s="172">
        <f t="shared" si="9"/>
        <v>0</v>
      </c>
      <c r="AU11" s="172">
        <f t="shared" si="9"/>
        <v>0</v>
      </c>
      <c r="AV11" s="172">
        <f t="shared" si="9"/>
        <v>0</v>
      </c>
      <c r="AW11" s="172">
        <f t="shared" si="9"/>
        <v>0</v>
      </c>
      <c r="AX11" s="172">
        <f t="shared" si="9"/>
        <v>0</v>
      </c>
      <c r="AY11" s="172">
        <f t="shared" si="9"/>
        <v>0</v>
      </c>
      <c r="AZ11" s="172">
        <f t="shared" si="9"/>
        <v>0</v>
      </c>
      <c r="BA11" s="172">
        <f t="shared" si="9"/>
        <v>0</v>
      </c>
      <c r="BB11" s="172">
        <f t="shared" si="9"/>
        <v>0</v>
      </c>
      <c r="BC11" s="172">
        <f t="shared" si="9"/>
        <v>0</v>
      </c>
      <c r="BD11" s="172">
        <f t="shared" si="9"/>
        <v>0</v>
      </c>
      <c r="BE11" s="172">
        <f t="shared" si="9"/>
        <v>0</v>
      </c>
      <c r="BF11" s="172">
        <f t="shared" si="9"/>
        <v>0</v>
      </c>
      <c r="BG11" s="172">
        <f t="shared" si="9"/>
        <v>0</v>
      </c>
      <c r="BH11" s="172">
        <f t="shared" si="9"/>
        <v>0</v>
      </c>
      <c r="BI11" s="172">
        <f t="shared" si="9"/>
        <v>0</v>
      </c>
      <c r="BJ11" s="172">
        <f t="shared" si="9"/>
        <v>0</v>
      </c>
      <c r="BK11" s="172">
        <f t="shared" si="9"/>
        <v>0</v>
      </c>
      <c r="BL11" s="172">
        <f t="shared" si="9"/>
        <v>0</v>
      </c>
      <c r="BM11" s="172">
        <f t="shared" si="9"/>
        <v>0</v>
      </c>
      <c r="BN11" s="172">
        <f t="shared" si="9"/>
        <v>0</v>
      </c>
      <c r="BO11" s="172">
        <f t="shared" si="9"/>
        <v>0</v>
      </c>
      <c r="BP11" s="172">
        <f t="shared" si="9"/>
        <v>0</v>
      </c>
      <c r="BQ11" s="172">
        <f t="shared" si="9"/>
        <v>0</v>
      </c>
      <c r="BR11" s="172">
        <f t="shared" si="9"/>
        <v>0</v>
      </c>
      <c r="BS11" s="172">
        <f t="shared" si="9"/>
        <v>0</v>
      </c>
      <c r="BT11" s="172">
        <f t="shared" si="9"/>
        <v>0</v>
      </c>
      <c r="BU11" s="172">
        <f t="shared" si="9"/>
        <v>0</v>
      </c>
      <c r="BV11" s="172">
        <f t="shared" si="9"/>
        <v>0</v>
      </c>
      <c r="BW11" s="172">
        <f t="shared" si="9"/>
        <v>0</v>
      </c>
      <c r="BX11" s="172">
        <f t="shared" si="9"/>
        <v>0</v>
      </c>
      <c r="BY11" s="172">
        <f t="shared" si="9"/>
        <v>0</v>
      </c>
      <c r="BZ11" s="172">
        <f t="shared" si="9"/>
        <v>0</v>
      </c>
      <c r="CA11" s="172">
        <f t="shared" si="9"/>
        <v>0</v>
      </c>
      <c r="CB11" s="172">
        <f t="shared" si="9"/>
        <v>0</v>
      </c>
      <c r="CC11" s="172">
        <f t="shared" si="9"/>
        <v>0</v>
      </c>
      <c r="CD11" s="172">
        <f t="shared" si="9"/>
        <v>0</v>
      </c>
      <c r="CE11" s="172">
        <f t="shared" si="9"/>
        <v>0</v>
      </c>
      <c r="CF11" s="172">
        <f t="shared" si="9"/>
        <v>0</v>
      </c>
      <c r="CG11" s="172">
        <f t="shared" si="9"/>
        <v>0</v>
      </c>
      <c r="CH11" s="172">
        <f t="shared" si="9"/>
        <v>0</v>
      </c>
      <c r="CI11" s="172">
        <f t="shared" si="9"/>
        <v>0</v>
      </c>
      <c r="CJ11" s="172">
        <f t="shared" si="9"/>
        <v>0</v>
      </c>
      <c r="CK11" s="172">
        <f t="shared" si="9"/>
        <v>0</v>
      </c>
      <c r="CL11" s="172">
        <f t="shared" si="9"/>
        <v>0</v>
      </c>
      <c r="CM11" s="172">
        <f t="shared" si="9"/>
        <v>0</v>
      </c>
      <c r="CN11" s="172">
        <f t="shared" si="9"/>
        <v>0</v>
      </c>
      <c r="CO11" s="172">
        <f t="shared" si="9"/>
        <v>0</v>
      </c>
      <c r="CP11" s="172">
        <f t="shared" si="9"/>
        <v>0</v>
      </c>
      <c r="CQ11" s="172">
        <f t="shared" si="9"/>
        <v>0</v>
      </c>
      <c r="CR11" s="172">
        <f t="shared" si="9"/>
        <v>0</v>
      </c>
      <c r="CS11" s="172">
        <f t="shared" si="9"/>
        <v>0</v>
      </c>
      <c r="CT11" s="172">
        <f t="shared" si="9"/>
        <v>0</v>
      </c>
      <c r="CU11" s="172">
        <f t="shared" si="9"/>
        <v>0</v>
      </c>
      <c r="CV11" s="172">
        <f t="shared" si="9"/>
        <v>0</v>
      </c>
      <c r="CW11" s="172">
        <f t="shared" si="9"/>
        <v>0</v>
      </c>
      <c r="CX11" s="172">
        <f t="shared" si="9"/>
        <v>0</v>
      </c>
      <c r="CY11" s="172">
        <f t="shared" si="9"/>
        <v>0</v>
      </c>
      <c r="CZ11" s="172">
        <f t="shared" si="9"/>
        <v>0</v>
      </c>
      <c r="DA11" s="172">
        <f t="shared" si="9"/>
        <v>0</v>
      </c>
      <c r="DB11" s="172">
        <f t="shared" si="9"/>
        <v>0</v>
      </c>
      <c r="DC11" s="172">
        <f t="shared" si="9"/>
        <v>0</v>
      </c>
      <c r="DD11" s="172">
        <f t="shared" si="9"/>
        <v>0</v>
      </c>
      <c r="DE11" s="172">
        <f t="shared" si="9"/>
        <v>0</v>
      </c>
      <c r="DF11" s="172">
        <f t="shared" si="9"/>
        <v>0</v>
      </c>
      <c r="DG11" s="172">
        <f t="shared" si="9"/>
        <v>0</v>
      </c>
      <c r="DH11" s="172">
        <f t="shared" si="9"/>
        <v>0</v>
      </c>
      <c r="DI11" s="172">
        <f t="shared" si="9"/>
        <v>0</v>
      </c>
      <c r="DJ11" s="172">
        <f t="shared" si="9"/>
        <v>0</v>
      </c>
      <c r="DK11" s="172">
        <f t="shared" si="9"/>
        <v>0</v>
      </c>
      <c r="DL11" s="172">
        <f t="shared" si="9"/>
        <v>0</v>
      </c>
      <c r="DM11" s="172">
        <f t="shared" si="9"/>
        <v>0</v>
      </c>
      <c r="DN11" s="172">
        <f t="shared" si="9"/>
        <v>0</v>
      </c>
      <c r="DO11" s="172">
        <f t="shared" si="9"/>
        <v>0</v>
      </c>
      <c r="DP11" s="172">
        <f t="shared" si="9"/>
        <v>0</v>
      </c>
      <c r="DQ11" s="172">
        <f t="shared" si="9"/>
        <v>0</v>
      </c>
      <c r="DR11" s="172">
        <f t="shared" si="9"/>
        <v>0</v>
      </c>
      <c r="DS11" s="172">
        <f t="shared" si="9"/>
        <v>0</v>
      </c>
      <c r="DT11" s="172">
        <f t="shared" si="9"/>
        <v>0</v>
      </c>
      <c r="DU11" s="172">
        <f t="shared" si="9"/>
        <v>0</v>
      </c>
      <c r="DV11" s="172">
        <f t="shared" si="9"/>
        <v>0</v>
      </c>
      <c r="DW11" s="172">
        <f t="shared" si="9"/>
        <v>0</v>
      </c>
      <c r="DX11" s="172">
        <f t="shared" si="9"/>
        <v>0</v>
      </c>
      <c r="DY11" s="172">
        <f t="shared" si="9"/>
        <v>0</v>
      </c>
      <c r="DZ11" s="172">
        <f t="shared" si="9"/>
        <v>0</v>
      </c>
      <c r="EA11" s="172">
        <f t="shared" si="9"/>
        <v>0</v>
      </c>
      <c r="EB11" s="172">
        <f t="shared" si="9"/>
        <v>0</v>
      </c>
      <c r="EC11" s="172">
        <f t="shared" si="9"/>
        <v>0</v>
      </c>
      <c r="ED11" s="172">
        <f t="shared" si="9"/>
        <v>0</v>
      </c>
      <c r="EE11" s="172">
        <f t="shared" si="9"/>
        <v>0</v>
      </c>
      <c r="EF11" s="172">
        <f t="shared" si="9"/>
        <v>0</v>
      </c>
      <c r="EG11" s="172">
        <f t="shared" si="9"/>
        <v>0</v>
      </c>
      <c r="EH11" s="172">
        <f t="shared" si="9"/>
        <v>0</v>
      </c>
      <c r="EI11" s="172">
        <f t="shared" si="9"/>
        <v>0</v>
      </c>
      <c r="EJ11" s="172">
        <f t="shared" si="9"/>
        <v>0</v>
      </c>
      <c r="EK11" s="172">
        <f t="shared" si="9"/>
        <v>0</v>
      </c>
      <c r="EL11" s="172">
        <f t="shared" si="9"/>
        <v>0</v>
      </c>
      <c r="EM11" s="172">
        <f t="shared" si="9"/>
        <v>0</v>
      </c>
      <c r="EN11" s="172">
        <f t="shared" si="9"/>
        <v>0</v>
      </c>
      <c r="EO11" s="172">
        <f t="shared" si="9"/>
        <v>0</v>
      </c>
      <c r="EP11" s="172">
        <f t="shared" si="9"/>
        <v>0</v>
      </c>
    </row>
    <row r="12" ht="15.75" customHeight="1">
      <c r="A12" s="170"/>
      <c r="B12" s="170"/>
      <c r="C12" s="170"/>
      <c r="D12" s="170"/>
      <c r="E12" s="170"/>
      <c r="F12" s="170"/>
      <c r="G12" s="170"/>
      <c r="H12" s="170"/>
      <c r="I12" s="170"/>
      <c r="J12" s="170"/>
      <c r="K12" s="170"/>
      <c r="L12" s="170"/>
      <c r="M12" s="170"/>
      <c r="N12" s="170"/>
      <c r="O12" s="170"/>
      <c r="P12" s="170"/>
      <c r="Q12" s="170"/>
      <c r="R12" s="170"/>
      <c r="S12" s="170"/>
      <c r="T12" s="170"/>
      <c r="U12" s="170"/>
      <c r="V12" s="170"/>
      <c r="W12" s="170"/>
      <c r="X12" s="170"/>
      <c r="Y12" s="170"/>
      <c r="Z12" s="170"/>
      <c r="AA12" s="170"/>
      <c r="AB12" s="170"/>
      <c r="AC12" s="170"/>
      <c r="AD12" s="170"/>
      <c r="AE12" s="170"/>
      <c r="AF12" s="170"/>
      <c r="AG12" s="170"/>
      <c r="AH12" s="170"/>
      <c r="AI12" s="170"/>
      <c r="AJ12" s="170"/>
      <c r="AK12" s="170"/>
      <c r="AL12" s="170"/>
      <c r="AM12" s="170"/>
      <c r="AN12" s="170"/>
      <c r="AO12" s="170"/>
      <c r="AP12" s="170"/>
      <c r="AQ12" s="170"/>
      <c r="AR12" s="170"/>
      <c r="AS12" s="170"/>
      <c r="AT12" s="170"/>
      <c r="AU12" s="170"/>
      <c r="AV12" s="170"/>
      <c r="AW12" s="170"/>
      <c r="AX12" s="170"/>
      <c r="AY12" s="170"/>
      <c r="AZ12" s="170"/>
      <c r="BA12" s="170"/>
      <c r="BB12" s="170"/>
      <c r="BC12" s="170"/>
      <c r="BD12" s="170"/>
      <c r="BE12" s="170"/>
      <c r="BF12" s="170"/>
      <c r="BG12" s="170"/>
      <c r="BH12" s="170"/>
      <c r="BI12" s="170"/>
      <c r="BJ12" s="170"/>
      <c r="BK12" s="170"/>
      <c r="BL12" s="170"/>
      <c r="BM12" s="170"/>
      <c r="BN12" s="170"/>
      <c r="BO12" s="170"/>
      <c r="BP12" s="170"/>
      <c r="BQ12" s="170"/>
      <c r="BR12" s="170"/>
      <c r="BS12" s="170"/>
      <c r="BT12" s="170"/>
      <c r="BU12" s="170"/>
      <c r="BV12" s="170"/>
      <c r="BW12" s="170"/>
      <c r="BX12" s="170"/>
      <c r="BY12" s="170"/>
      <c r="BZ12" s="170"/>
      <c r="CA12" s="170"/>
      <c r="CB12" s="170"/>
      <c r="CC12" s="170"/>
      <c r="CD12" s="170"/>
      <c r="CE12" s="170"/>
      <c r="CF12" s="170"/>
      <c r="CG12" s="170"/>
      <c r="CH12" s="170"/>
      <c r="CI12" s="170"/>
      <c r="CJ12" s="170"/>
      <c r="CK12" s="170"/>
      <c r="CL12" s="170"/>
      <c r="CM12" s="170"/>
      <c r="CN12" s="170"/>
      <c r="CO12" s="170"/>
      <c r="CP12" s="170"/>
      <c r="CQ12" s="170"/>
      <c r="CR12" s="170"/>
      <c r="CS12" s="170"/>
      <c r="CT12" s="170"/>
      <c r="CU12" s="170"/>
      <c r="CV12" s="170"/>
      <c r="CW12" s="170"/>
      <c r="CX12" s="170"/>
      <c r="CY12" s="170"/>
      <c r="CZ12" s="170"/>
      <c r="DA12" s="170"/>
      <c r="DB12" s="170"/>
      <c r="DC12" s="170"/>
      <c r="DD12" s="170"/>
      <c r="DE12" s="170"/>
      <c r="DF12" s="170"/>
      <c r="DG12" s="170"/>
      <c r="DH12" s="170"/>
      <c r="DI12" s="170"/>
      <c r="DJ12" s="170"/>
      <c r="DK12" s="170"/>
      <c r="DL12" s="170"/>
      <c r="DM12" s="170"/>
      <c r="DN12" s="170"/>
      <c r="DO12" s="170"/>
      <c r="DP12" s="170"/>
      <c r="DQ12" s="170"/>
      <c r="DR12" s="170"/>
      <c r="DS12" s="170"/>
      <c r="DT12" s="170"/>
      <c r="DU12" s="170"/>
      <c r="DV12" s="170"/>
      <c r="DW12" s="170"/>
      <c r="DX12" s="170"/>
      <c r="DY12" s="170"/>
      <c r="DZ12" s="170"/>
      <c r="EA12" s="170"/>
      <c r="EB12" s="170"/>
      <c r="EC12" s="170"/>
      <c r="ED12" s="170"/>
      <c r="EE12" s="170"/>
      <c r="EF12" s="170"/>
      <c r="EG12" s="170"/>
      <c r="EH12" s="170"/>
      <c r="EI12" s="170"/>
      <c r="EJ12" s="170"/>
      <c r="EK12" s="170"/>
      <c r="EL12" s="170"/>
      <c r="EM12" s="170"/>
      <c r="EN12" s="170"/>
      <c r="EO12" s="170"/>
      <c r="EP12" s="170"/>
    </row>
    <row r="13" ht="15.75" customHeight="1">
      <c r="A13" s="176" t="s">
        <v>401</v>
      </c>
      <c r="B13" s="170"/>
      <c r="C13" s="170"/>
      <c r="D13" s="170"/>
      <c r="E13" s="170"/>
      <c r="F13" s="170"/>
      <c r="G13" s="170"/>
      <c r="H13" s="170"/>
      <c r="I13" s="170"/>
      <c r="J13" s="170"/>
      <c r="K13" s="170"/>
      <c r="L13" s="170"/>
      <c r="M13" s="170"/>
      <c r="N13" s="170"/>
      <c r="O13" s="170"/>
      <c r="P13" s="170"/>
      <c r="Q13" s="170"/>
      <c r="R13" s="170"/>
      <c r="S13" s="170"/>
      <c r="T13" s="170"/>
      <c r="U13" s="170"/>
      <c r="V13" s="170"/>
      <c r="W13" s="170"/>
      <c r="X13" s="170"/>
      <c r="Y13" s="170"/>
      <c r="Z13" s="170"/>
      <c r="AA13" s="170"/>
      <c r="AB13" s="170"/>
      <c r="AC13" s="170"/>
      <c r="AD13" s="170"/>
      <c r="AE13" s="170"/>
      <c r="AF13" s="170"/>
      <c r="AG13" s="170"/>
      <c r="AH13" s="170"/>
      <c r="AI13" s="170"/>
      <c r="AJ13" s="170"/>
      <c r="AK13" s="170"/>
      <c r="AL13" s="170"/>
      <c r="AM13" s="170"/>
      <c r="AN13" s="170"/>
      <c r="AO13" s="170"/>
      <c r="AP13" s="170"/>
      <c r="AQ13" s="170"/>
      <c r="AR13" s="170"/>
      <c r="AS13" s="170"/>
      <c r="AT13" s="170"/>
      <c r="AU13" s="170"/>
      <c r="AV13" s="170"/>
      <c r="AW13" s="170"/>
      <c r="AX13" s="170"/>
      <c r="AY13" s="170"/>
      <c r="AZ13" s="170"/>
      <c r="BA13" s="170"/>
      <c r="BB13" s="170"/>
      <c r="BC13" s="170"/>
      <c r="BD13" s="170"/>
      <c r="BE13" s="170"/>
      <c r="BF13" s="170"/>
      <c r="BG13" s="170"/>
      <c r="BH13" s="170"/>
      <c r="BI13" s="170"/>
      <c r="BJ13" s="170"/>
      <c r="BK13" s="170"/>
      <c r="BL13" s="170"/>
      <c r="BM13" s="170"/>
      <c r="BN13" s="170"/>
      <c r="BO13" s="170"/>
      <c r="BP13" s="170"/>
      <c r="BQ13" s="170"/>
      <c r="BR13" s="170"/>
      <c r="BS13" s="170"/>
      <c r="BT13" s="170"/>
      <c r="BU13" s="170"/>
      <c r="BV13" s="170"/>
      <c r="BW13" s="170"/>
      <c r="BX13" s="170"/>
      <c r="BY13" s="170"/>
      <c r="BZ13" s="170"/>
      <c r="CA13" s="170"/>
      <c r="CB13" s="170"/>
      <c r="CC13" s="170"/>
      <c r="CD13" s="170"/>
      <c r="CE13" s="170"/>
      <c r="CF13" s="170"/>
      <c r="CG13" s="170"/>
      <c r="CH13" s="170"/>
      <c r="CI13" s="170"/>
      <c r="CJ13" s="170"/>
      <c r="CK13" s="170"/>
      <c r="CL13" s="170"/>
      <c r="CM13" s="170"/>
      <c r="CN13" s="170"/>
      <c r="CO13" s="170"/>
      <c r="CP13" s="170"/>
      <c r="CQ13" s="170"/>
      <c r="CR13" s="170"/>
      <c r="CS13" s="170"/>
      <c r="CT13" s="170"/>
      <c r="CU13" s="170"/>
      <c r="CV13" s="170"/>
      <c r="CW13" s="170"/>
      <c r="CX13" s="170"/>
      <c r="CY13" s="170"/>
      <c r="CZ13" s="170"/>
      <c r="DA13" s="170"/>
      <c r="DB13" s="170"/>
      <c r="DC13" s="170"/>
      <c r="DD13" s="170"/>
      <c r="DE13" s="170"/>
      <c r="DF13" s="170"/>
      <c r="DG13" s="170"/>
      <c r="DH13" s="170"/>
      <c r="DI13" s="170"/>
      <c r="DJ13" s="170"/>
      <c r="DK13" s="170"/>
      <c r="DL13" s="170"/>
      <c r="DM13" s="170"/>
      <c r="DN13" s="170"/>
      <c r="DO13" s="170"/>
      <c r="DP13" s="170"/>
      <c r="DQ13" s="170"/>
      <c r="DR13" s="170"/>
      <c r="DS13" s="170"/>
      <c r="DT13" s="170"/>
      <c r="DU13" s="170"/>
      <c r="DV13" s="170"/>
      <c r="DW13" s="170"/>
      <c r="DX13" s="170"/>
      <c r="DY13" s="170"/>
      <c r="DZ13" s="170"/>
      <c r="EA13" s="170"/>
      <c r="EB13" s="170"/>
      <c r="EC13" s="170"/>
      <c r="ED13" s="170"/>
      <c r="EE13" s="170"/>
      <c r="EF13" s="170"/>
      <c r="EG13" s="170"/>
      <c r="EH13" s="170"/>
      <c r="EI13" s="170"/>
      <c r="EJ13" s="170"/>
      <c r="EK13" s="170"/>
      <c r="EL13" s="170"/>
      <c r="EM13" s="170"/>
      <c r="EN13" s="170"/>
      <c r="EO13" s="170"/>
      <c r="EP13" s="170"/>
    </row>
    <row r="14" ht="15.75" customHeight="1">
      <c r="A14" s="170" t="s">
        <v>402</v>
      </c>
      <c r="B14" s="177">
        <v>44013.0</v>
      </c>
      <c r="C14" s="170"/>
      <c r="D14" s="170"/>
      <c r="E14" s="170"/>
      <c r="F14" s="170"/>
      <c r="G14" s="170"/>
      <c r="H14" s="170"/>
      <c r="I14" s="170"/>
      <c r="J14" s="170"/>
      <c r="K14" s="170"/>
      <c r="L14" s="170"/>
      <c r="M14" s="170"/>
      <c r="N14" s="170"/>
      <c r="O14" s="170"/>
      <c r="P14" s="170"/>
      <c r="Q14" s="170"/>
      <c r="R14" s="170"/>
      <c r="S14" s="170"/>
      <c r="T14" s="170"/>
      <c r="U14" s="170"/>
      <c r="V14" s="170"/>
      <c r="W14" s="170"/>
      <c r="X14" s="170"/>
      <c r="Y14" s="170"/>
      <c r="Z14" s="170"/>
      <c r="AA14" s="170"/>
      <c r="AB14" s="170"/>
      <c r="AC14" s="170"/>
      <c r="AD14" s="170"/>
      <c r="AE14" s="170"/>
      <c r="AF14" s="170"/>
      <c r="AG14" s="170"/>
      <c r="AH14" s="170"/>
      <c r="AI14" s="170"/>
      <c r="AJ14" s="170"/>
      <c r="AK14" s="170"/>
      <c r="AL14" s="170"/>
      <c r="AM14" s="170"/>
      <c r="AN14" s="170"/>
      <c r="AO14" s="170"/>
      <c r="AP14" s="170"/>
      <c r="AQ14" s="170"/>
      <c r="AR14" s="170"/>
      <c r="AS14" s="170"/>
      <c r="AT14" s="170"/>
      <c r="AU14" s="170"/>
      <c r="AV14" s="170"/>
      <c r="AW14" s="170"/>
      <c r="AX14" s="170"/>
      <c r="AY14" s="170"/>
      <c r="AZ14" s="170"/>
      <c r="BA14" s="170"/>
      <c r="BB14" s="170"/>
      <c r="BC14" s="170"/>
      <c r="BD14" s="170"/>
      <c r="BE14" s="170"/>
      <c r="BF14" s="170"/>
      <c r="BG14" s="170"/>
      <c r="BH14" s="170"/>
      <c r="BI14" s="170"/>
      <c r="BJ14" s="170"/>
      <c r="BK14" s="170"/>
      <c r="BL14" s="170"/>
      <c r="BM14" s="170"/>
      <c r="BN14" s="170"/>
      <c r="BO14" s="170"/>
      <c r="BP14" s="170"/>
      <c r="BQ14" s="170"/>
      <c r="BR14" s="170"/>
      <c r="BS14" s="170"/>
      <c r="BT14" s="170"/>
      <c r="BU14" s="170"/>
      <c r="BV14" s="170"/>
      <c r="BW14" s="170"/>
      <c r="BX14" s="170"/>
      <c r="BY14" s="170"/>
      <c r="BZ14" s="170"/>
      <c r="CA14" s="170"/>
      <c r="CB14" s="170"/>
      <c r="CC14" s="170"/>
      <c r="CD14" s="170"/>
      <c r="CE14" s="170"/>
      <c r="CF14" s="170"/>
      <c r="CG14" s="170"/>
      <c r="CH14" s="170"/>
      <c r="CI14" s="170"/>
      <c r="CJ14" s="170"/>
      <c r="CK14" s="170"/>
      <c r="CL14" s="170"/>
      <c r="CM14" s="170"/>
      <c r="CN14" s="170"/>
      <c r="CO14" s="170"/>
      <c r="CP14" s="170"/>
      <c r="CQ14" s="170"/>
      <c r="CR14" s="170"/>
      <c r="CS14" s="170"/>
      <c r="CT14" s="170"/>
      <c r="CU14" s="170"/>
      <c r="CV14" s="170"/>
      <c r="CW14" s="170"/>
      <c r="CX14" s="170"/>
      <c r="CY14" s="170"/>
      <c r="CZ14" s="170"/>
      <c r="DA14" s="170"/>
      <c r="DB14" s="170"/>
      <c r="DC14" s="170"/>
      <c r="DD14" s="170"/>
      <c r="DE14" s="170"/>
      <c r="DF14" s="170"/>
      <c r="DG14" s="170"/>
      <c r="DH14" s="170"/>
      <c r="DI14" s="170"/>
      <c r="DJ14" s="170"/>
      <c r="DK14" s="170"/>
      <c r="DL14" s="170"/>
      <c r="DM14" s="170"/>
      <c r="DN14" s="170"/>
      <c r="DO14" s="170"/>
      <c r="DP14" s="170"/>
      <c r="DQ14" s="170"/>
      <c r="DR14" s="170"/>
      <c r="DS14" s="170"/>
      <c r="DT14" s="170"/>
      <c r="DU14" s="170"/>
      <c r="DV14" s="170"/>
      <c r="DW14" s="170"/>
      <c r="DX14" s="170"/>
      <c r="DY14" s="170"/>
      <c r="DZ14" s="170"/>
      <c r="EA14" s="170"/>
      <c r="EB14" s="170"/>
      <c r="EC14" s="170"/>
      <c r="ED14" s="170"/>
      <c r="EE14" s="170"/>
      <c r="EF14" s="170"/>
      <c r="EG14" s="170"/>
      <c r="EH14" s="170"/>
      <c r="EI14" s="170"/>
      <c r="EJ14" s="170"/>
      <c r="EK14" s="170"/>
      <c r="EL14" s="170"/>
      <c r="EM14" s="170"/>
      <c r="EN14" s="170"/>
      <c r="EO14" s="170"/>
      <c r="EP14" s="170"/>
    </row>
    <row r="15" ht="15.75" customHeight="1">
      <c r="A15" s="170" t="s">
        <v>403</v>
      </c>
      <c r="B15" s="178">
        <v>0.0</v>
      </c>
      <c r="C15" s="170"/>
      <c r="D15" s="170"/>
      <c r="E15" s="170"/>
      <c r="F15" s="170"/>
      <c r="G15" s="170"/>
      <c r="H15" s="170"/>
      <c r="I15" s="170"/>
      <c r="J15" s="170"/>
      <c r="K15" s="170"/>
      <c r="L15" s="170"/>
      <c r="M15" s="170"/>
      <c r="N15" s="170"/>
      <c r="O15" s="170"/>
      <c r="P15" s="170"/>
      <c r="Q15" s="170"/>
      <c r="R15" s="170"/>
      <c r="S15" s="170"/>
      <c r="T15" s="170"/>
      <c r="U15" s="170"/>
      <c r="V15" s="170"/>
      <c r="W15" s="170"/>
      <c r="X15" s="170"/>
      <c r="Y15" s="170"/>
      <c r="Z15" s="170"/>
      <c r="AA15" s="170"/>
      <c r="AB15" s="170"/>
      <c r="AC15" s="170"/>
      <c r="AD15" s="170"/>
      <c r="AE15" s="170"/>
      <c r="AF15" s="170"/>
      <c r="AG15" s="170"/>
      <c r="AH15" s="170"/>
      <c r="AI15" s="170"/>
      <c r="AJ15" s="170"/>
      <c r="AK15" s="170"/>
      <c r="AL15" s="170"/>
      <c r="AM15" s="170"/>
      <c r="AN15" s="170"/>
      <c r="AO15" s="170"/>
      <c r="AP15" s="170"/>
      <c r="AQ15" s="170"/>
      <c r="AR15" s="170"/>
      <c r="AS15" s="170"/>
      <c r="AT15" s="170"/>
      <c r="AU15" s="170"/>
      <c r="AV15" s="170"/>
      <c r="AW15" s="170"/>
      <c r="AX15" s="170"/>
      <c r="AY15" s="170"/>
      <c r="AZ15" s="170"/>
      <c r="BA15" s="170"/>
      <c r="BB15" s="170"/>
      <c r="BC15" s="170"/>
      <c r="BD15" s="170"/>
      <c r="BE15" s="170"/>
      <c r="BF15" s="170"/>
      <c r="BG15" s="170"/>
      <c r="BH15" s="170"/>
      <c r="BI15" s="170"/>
      <c r="BJ15" s="170"/>
      <c r="BK15" s="170"/>
      <c r="BL15" s="170"/>
      <c r="BM15" s="170"/>
      <c r="BN15" s="170"/>
      <c r="BO15" s="170"/>
      <c r="BP15" s="170"/>
      <c r="BQ15" s="170"/>
      <c r="BR15" s="170"/>
      <c r="BS15" s="170"/>
      <c r="BT15" s="170"/>
      <c r="BU15" s="170"/>
      <c r="BV15" s="170"/>
      <c r="BW15" s="170"/>
      <c r="BX15" s="170"/>
      <c r="BY15" s="170"/>
      <c r="BZ15" s="170"/>
      <c r="CA15" s="170"/>
      <c r="CB15" s="170"/>
      <c r="CC15" s="170"/>
      <c r="CD15" s="170"/>
      <c r="CE15" s="170"/>
      <c r="CF15" s="170"/>
      <c r="CG15" s="170"/>
      <c r="CH15" s="170"/>
      <c r="CI15" s="170"/>
      <c r="CJ15" s="170"/>
      <c r="CK15" s="170"/>
      <c r="CL15" s="170"/>
      <c r="CM15" s="170"/>
      <c r="CN15" s="170"/>
      <c r="CO15" s="170"/>
      <c r="CP15" s="170"/>
      <c r="CQ15" s="170"/>
      <c r="CR15" s="170"/>
      <c r="CS15" s="170"/>
      <c r="CT15" s="170"/>
      <c r="CU15" s="170"/>
      <c r="CV15" s="170"/>
      <c r="CW15" s="170"/>
      <c r="CX15" s="170"/>
      <c r="CY15" s="170"/>
      <c r="CZ15" s="170"/>
      <c r="DA15" s="170"/>
      <c r="DB15" s="170"/>
      <c r="DC15" s="170"/>
      <c r="DD15" s="170"/>
      <c r="DE15" s="170"/>
      <c r="DF15" s="170"/>
      <c r="DG15" s="170"/>
      <c r="DH15" s="170"/>
      <c r="DI15" s="170"/>
      <c r="DJ15" s="170"/>
      <c r="DK15" s="170"/>
      <c r="DL15" s="170"/>
      <c r="DM15" s="170"/>
      <c r="DN15" s="170"/>
      <c r="DO15" s="170"/>
      <c r="DP15" s="170"/>
      <c r="DQ15" s="170"/>
      <c r="DR15" s="170"/>
      <c r="DS15" s="170"/>
      <c r="DT15" s="170"/>
      <c r="DU15" s="170"/>
      <c r="DV15" s="170"/>
      <c r="DW15" s="170"/>
      <c r="DX15" s="170"/>
      <c r="DY15" s="170"/>
      <c r="DZ15" s="170"/>
      <c r="EA15" s="170"/>
      <c r="EB15" s="170"/>
      <c r="EC15" s="170"/>
      <c r="ED15" s="170"/>
      <c r="EE15" s="170"/>
      <c r="EF15" s="170"/>
      <c r="EG15" s="170"/>
      <c r="EH15" s="170"/>
      <c r="EI15" s="170"/>
      <c r="EJ15" s="170"/>
      <c r="EK15" s="170"/>
      <c r="EL15" s="170"/>
      <c r="EM15" s="170"/>
      <c r="EN15" s="170"/>
      <c r="EO15" s="170"/>
      <c r="EP15" s="170"/>
    </row>
    <row r="16" ht="15.75" customHeight="1">
      <c r="A16" s="170" t="s">
        <v>404</v>
      </c>
      <c r="B16" s="179">
        <v>0.75</v>
      </c>
      <c r="C16" s="170"/>
      <c r="D16" s="170"/>
      <c r="E16" s="170"/>
      <c r="F16" s="170"/>
      <c r="G16" s="170"/>
      <c r="H16" s="170"/>
      <c r="I16" s="170"/>
      <c r="J16" s="170"/>
      <c r="K16" s="170"/>
      <c r="L16" s="170"/>
      <c r="M16" s="170"/>
      <c r="N16" s="170"/>
      <c r="O16" s="170"/>
      <c r="P16" s="170"/>
      <c r="Q16" s="170"/>
      <c r="R16" s="170"/>
      <c r="S16" s="170"/>
      <c r="T16" s="170"/>
      <c r="U16" s="170"/>
      <c r="V16" s="170"/>
      <c r="W16" s="170"/>
      <c r="X16" s="170"/>
      <c r="Y16" s="170"/>
      <c r="Z16" s="170"/>
      <c r="AA16" s="170"/>
      <c r="AB16" s="170"/>
      <c r="AC16" s="170"/>
      <c r="AD16" s="170"/>
      <c r="AE16" s="170"/>
      <c r="AF16" s="170"/>
      <c r="AG16" s="170"/>
      <c r="AH16" s="170"/>
      <c r="AI16" s="170"/>
      <c r="AJ16" s="170"/>
      <c r="AK16" s="170"/>
      <c r="AL16" s="170"/>
      <c r="AM16" s="170"/>
      <c r="AN16" s="170"/>
      <c r="AO16" s="170"/>
      <c r="AP16" s="170"/>
      <c r="AQ16" s="170"/>
      <c r="AR16" s="170"/>
      <c r="AS16" s="170"/>
      <c r="AT16" s="170"/>
      <c r="AU16" s="170"/>
      <c r="AV16" s="170"/>
      <c r="AW16" s="170"/>
      <c r="AX16" s="170"/>
      <c r="AY16" s="170"/>
      <c r="AZ16" s="170"/>
      <c r="BA16" s="170"/>
      <c r="BB16" s="170"/>
      <c r="BC16" s="170"/>
      <c r="BD16" s="170"/>
      <c r="BE16" s="170"/>
      <c r="BF16" s="170"/>
      <c r="BG16" s="170"/>
      <c r="BH16" s="170"/>
      <c r="BI16" s="170"/>
      <c r="BJ16" s="170"/>
      <c r="BK16" s="170"/>
      <c r="BL16" s="170"/>
      <c r="BM16" s="170"/>
      <c r="BN16" s="170"/>
      <c r="BO16" s="170"/>
      <c r="BP16" s="170"/>
      <c r="BQ16" s="170"/>
      <c r="BR16" s="170"/>
      <c r="BS16" s="170"/>
      <c r="BT16" s="170"/>
      <c r="BU16" s="170"/>
      <c r="BV16" s="170"/>
      <c r="BW16" s="170"/>
      <c r="BX16" s="170"/>
      <c r="BY16" s="170"/>
      <c r="BZ16" s="170"/>
      <c r="CA16" s="170"/>
      <c r="CB16" s="170"/>
      <c r="CC16" s="170"/>
      <c r="CD16" s="170"/>
      <c r="CE16" s="170"/>
      <c r="CF16" s="170"/>
      <c r="CG16" s="170"/>
      <c r="CH16" s="170"/>
      <c r="CI16" s="170"/>
      <c r="CJ16" s="170"/>
      <c r="CK16" s="170"/>
      <c r="CL16" s="170"/>
      <c r="CM16" s="170"/>
      <c r="CN16" s="170"/>
      <c r="CO16" s="170"/>
      <c r="CP16" s="170"/>
      <c r="CQ16" s="170"/>
      <c r="CR16" s="170"/>
      <c r="CS16" s="170"/>
      <c r="CT16" s="170"/>
      <c r="CU16" s="170"/>
      <c r="CV16" s="170"/>
      <c r="CW16" s="170"/>
      <c r="CX16" s="170"/>
      <c r="CY16" s="170"/>
      <c r="CZ16" s="170"/>
      <c r="DA16" s="170"/>
      <c r="DB16" s="170"/>
      <c r="DC16" s="170"/>
      <c r="DD16" s="170"/>
      <c r="DE16" s="170"/>
      <c r="DF16" s="170"/>
      <c r="DG16" s="170"/>
      <c r="DH16" s="170"/>
      <c r="DI16" s="170"/>
      <c r="DJ16" s="170"/>
      <c r="DK16" s="170"/>
      <c r="DL16" s="170"/>
      <c r="DM16" s="170"/>
      <c r="DN16" s="170"/>
      <c r="DO16" s="170"/>
      <c r="DP16" s="170"/>
      <c r="DQ16" s="170"/>
      <c r="DR16" s="170"/>
      <c r="DS16" s="170"/>
      <c r="DT16" s="170"/>
      <c r="DU16" s="170"/>
      <c r="DV16" s="170"/>
      <c r="DW16" s="170"/>
      <c r="DX16" s="170"/>
      <c r="DY16" s="170"/>
      <c r="DZ16" s="170"/>
      <c r="EA16" s="170"/>
      <c r="EB16" s="170"/>
      <c r="EC16" s="170"/>
      <c r="ED16" s="170"/>
      <c r="EE16" s="170"/>
      <c r="EF16" s="170"/>
      <c r="EG16" s="170"/>
      <c r="EH16" s="170"/>
      <c r="EI16" s="170"/>
      <c r="EJ16" s="170"/>
      <c r="EK16" s="170"/>
      <c r="EL16" s="170"/>
      <c r="EM16" s="170"/>
      <c r="EN16" s="170"/>
      <c r="EO16" s="170"/>
      <c r="EP16" s="170"/>
    </row>
    <row r="17" ht="15.75" customHeight="1">
      <c r="A17" s="170" t="s">
        <v>405</v>
      </c>
      <c r="B17" s="172">
        <f>B15*B16</f>
        <v>0</v>
      </c>
      <c r="C17" s="170"/>
      <c r="D17" s="170"/>
      <c r="E17" s="170"/>
      <c r="F17" s="170"/>
      <c r="G17" s="170"/>
      <c r="H17" s="170"/>
      <c r="I17" s="170"/>
      <c r="J17" s="170"/>
      <c r="K17" s="170"/>
      <c r="L17" s="170"/>
      <c r="M17" s="170"/>
      <c r="N17" s="170"/>
      <c r="O17" s="170"/>
      <c r="P17" s="170"/>
      <c r="Q17" s="170"/>
      <c r="R17" s="170"/>
      <c r="S17" s="170"/>
      <c r="T17" s="170"/>
      <c r="U17" s="170"/>
      <c r="V17" s="170"/>
      <c r="W17" s="170"/>
      <c r="X17" s="170"/>
      <c r="Y17" s="170"/>
      <c r="Z17" s="170"/>
      <c r="AA17" s="170"/>
      <c r="AB17" s="170"/>
      <c r="AC17" s="170"/>
      <c r="AD17" s="170"/>
      <c r="AE17" s="170"/>
      <c r="AF17" s="170"/>
      <c r="AG17" s="170"/>
      <c r="AH17" s="170"/>
      <c r="AI17" s="170"/>
      <c r="AJ17" s="170"/>
      <c r="AK17" s="170"/>
      <c r="AL17" s="170"/>
      <c r="AM17" s="170"/>
      <c r="AN17" s="170"/>
      <c r="AO17" s="170"/>
      <c r="AP17" s="170"/>
      <c r="AQ17" s="170"/>
      <c r="AR17" s="170"/>
      <c r="AS17" s="170"/>
      <c r="AT17" s="170"/>
      <c r="AU17" s="170"/>
      <c r="AV17" s="170"/>
      <c r="AW17" s="170"/>
      <c r="AX17" s="170"/>
      <c r="AY17" s="170"/>
      <c r="AZ17" s="170"/>
      <c r="BA17" s="170"/>
      <c r="BB17" s="170"/>
      <c r="BC17" s="170"/>
      <c r="BD17" s="170"/>
      <c r="BE17" s="170"/>
      <c r="BF17" s="170"/>
      <c r="BG17" s="170"/>
      <c r="BH17" s="170"/>
      <c r="BI17" s="170"/>
      <c r="BJ17" s="170"/>
      <c r="BK17" s="170"/>
      <c r="BL17" s="170"/>
      <c r="BM17" s="170"/>
      <c r="BN17" s="170"/>
      <c r="BO17" s="170"/>
      <c r="BP17" s="170"/>
      <c r="BQ17" s="170"/>
      <c r="BR17" s="170"/>
      <c r="BS17" s="170"/>
      <c r="BT17" s="170"/>
      <c r="BU17" s="170"/>
      <c r="BV17" s="170"/>
      <c r="BW17" s="170"/>
      <c r="BX17" s="170"/>
      <c r="BY17" s="170"/>
      <c r="BZ17" s="170"/>
      <c r="CA17" s="170"/>
      <c r="CB17" s="170"/>
      <c r="CC17" s="170"/>
      <c r="CD17" s="170"/>
      <c r="CE17" s="170"/>
      <c r="CF17" s="170"/>
      <c r="CG17" s="170"/>
      <c r="CH17" s="170"/>
      <c r="CI17" s="170"/>
      <c r="CJ17" s="170"/>
      <c r="CK17" s="170"/>
      <c r="CL17" s="170"/>
      <c r="CM17" s="170"/>
      <c r="CN17" s="170"/>
      <c r="CO17" s="170"/>
      <c r="CP17" s="170"/>
      <c r="CQ17" s="170"/>
      <c r="CR17" s="170"/>
      <c r="CS17" s="170"/>
      <c r="CT17" s="170"/>
      <c r="CU17" s="170"/>
      <c r="CV17" s="170"/>
      <c r="CW17" s="170"/>
      <c r="CX17" s="170"/>
      <c r="CY17" s="170"/>
      <c r="CZ17" s="170"/>
      <c r="DA17" s="170"/>
      <c r="DB17" s="170"/>
      <c r="DC17" s="170"/>
      <c r="DD17" s="170"/>
      <c r="DE17" s="170"/>
      <c r="DF17" s="170"/>
      <c r="DG17" s="170"/>
      <c r="DH17" s="170"/>
      <c r="DI17" s="170"/>
      <c r="DJ17" s="170"/>
      <c r="DK17" s="170"/>
      <c r="DL17" s="170"/>
      <c r="DM17" s="170"/>
      <c r="DN17" s="170"/>
      <c r="DO17" s="170"/>
      <c r="DP17" s="170"/>
      <c r="DQ17" s="170"/>
      <c r="DR17" s="170"/>
      <c r="DS17" s="170"/>
      <c r="DT17" s="170"/>
      <c r="DU17" s="170"/>
      <c r="DV17" s="170"/>
      <c r="DW17" s="170"/>
      <c r="DX17" s="170"/>
      <c r="DY17" s="170"/>
      <c r="DZ17" s="170"/>
      <c r="EA17" s="170"/>
      <c r="EB17" s="170"/>
      <c r="EC17" s="170"/>
      <c r="ED17" s="170"/>
      <c r="EE17" s="170"/>
      <c r="EF17" s="170"/>
      <c r="EG17" s="170"/>
      <c r="EH17" s="170"/>
      <c r="EI17" s="170"/>
      <c r="EJ17" s="170"/>
      <c r="EK17" s="170"/>
      <c r="EL17" s="170"/>
      <c r="EM17" s="170"/>
      <c r="EN17" s="170"/>
      <c r="EO17" s="170"/>
      <c r="EP17" s="170"/>
    </row>
    <row r="18" ht="15.75" customHeight="1">
      <c r="A18" s="170" t="s">
        <v>406</v>
      </c>
      <c r="B18" s="180">
        <f>B15-B17</f>
        <v>0</v>
      </c>
      <c r="C18" s="170"/>
      <c r="D18" s="170"/>
      <c r="E18" s="170"/>
      <c r="F18" s="170"/>
      <c r="G18" s="170"/>
      <c r="H18" s="170"/>
      <c r="I18" s="170"/>
      <c r="J18" s="170"/>
      <c r="K18" s="170"/>
      <c r="L18" s="170"/>
      <c r="M18" s="170"/>
      <c r="N18" s="170"/>
      <c r="O18" s="170"/>
      <c r="P18" s="170"/>
      <c r="Q18" s="170"/>
      <c r="R18" s="170"/>
      <c r="S18" s="170"/>
      <c r="T18" s="170"/>
      <c r="U18" s="170"/>
      <c r="V18" s="170"/>
      <c r="W18" s="170"/>
      <c r="X18" s="170"/>
      <c r="Y18" s="170"/>
      <c r="Z18" s="170"/>
      <c r="AA18" s="170"/>
      <c r="AB18" s="170"/>
      <c r="AC18" s="170"/>
      <c r="AD18" s="170"/>
      <c r="AE18" s="170"/>
      <c r="AF18" s="170"/>
      <c r="AG18" s="170"/>
      <c r="AH18" s="170"/>
      <c r="AI18" s="170"/>
      <c r="AJ18" s="170"/>
      <c r="AK18" s="170"/>
      <c r="AL18" s="170"/>
      <c r="AM18" s="170"/>
      <c r="AN18" s="170"/>
      <c r="AO18" s="170"/>
      <c r="AP18" s="170"/>
      <c r="AQ18" s="170"/>
      <c r="AR18" s="170"/>
      <c r="AS18" s="170"/>
      <c r="AT18" s="170"/>
      <c r="AU18" s="170"/>
      <c r="AV18" s="170"/>
      <c r="AW18" s="170"/>
      <c r="AX18" s="170"/>
      <c r="AY18" s="170"/>
      <c r="AZ18" s="170"/>
      <c r="BA18" s="170"/>
      <c r="BB18" s="170"/>
      <c r="BC18" s="170"/>
      <c r="BD18" s="170"/>
      <c r="BE18" s="170"/>
      <c r="BF18" s="170"/>
      <c r="BG18" s="170"/>
      <c r="BH18" s="170"/>
      <c r="BI18" s="170"/>
      <c r="BJ18" s="170"/>
      <c r="BK18" s="170"/>
      <c r="BL18" s="170"/>
      <c r="BM18" s="170"/>
      <c r="BN18" s="170"/>
      <c r="BO18" s="170"/>
      <c r="BP18" s="170"/>
      <c r="BQ18" s="170"/>
      <c r="BR18" s="170"/>
      <c r="BS18" s="170"/>
      <c r="BT18" s="170"/>
      <c r="BU18" s="170"/>
      <c r="BV18" s="170"/>
      <c r="BW18" s="170"/>
      <c r="BX18" s="170"/>
      <c r="BY18" s="170"/>
      <c r="BZ18" s="170"/>
      <c r="CA18" s="170"/>
      <c r="CB18" s="170"/>
      <c r="CC18" s="170"/>
      <c r="CD18" s="170"/>
      <c r="CE18" s="170"/>
      <c r="CF18" s="170"/>
      <c r="CG18" s="170"/>
      <c r="CH18" s="170"/>
      <c r="CI18" s="170"/>
      <c r="CJ18" s="170"/>
      <c r="CK18" s="170"/>
      <c r="CL18" s="170"/>
      <c r="CM18" s="170"/>
      <c r="CN18" s="170"/>
      <c r="CO18" s="170"/>
      <c r="CP18" s="170"/>
      <c r="CQ18" s="170"/>
      <c r="CR18" s="170"/>
      <c r="CS18" s="170"/>
      <c r="CT18" s="170"/>
      <c r="CU18" s="170"/>
      <c r="CV18" s="170"/>
      <c r="CW18" s="170"/>
      <c r="CX18" s="170"/>
      <c r="CY18" s="170"/>
      <c r="CZ18" s="170"/>
      <c r="DA18" s="170"/>
      <c r="DB18" s="170"/>
      <c r="DC18" s="170"/>
      <c r="DD18" s="170"/>
      <c r="DE18" s="170"/>
      <c r="DF18" s="170"/>
      <c r="DG18" s="170"/>
      <c r="DH18" s="170"/>
      <c r="DI18" s="170"/>
      <c r="DJ18" s="170"/>
      <c r="DK18" s="170"/>
      <c r="DL18" s="170"/>
      <c r="DM18" s="170"/>
      <c r="DN18" s="170"/>
      <c r="DO18" s="170"/>
      <c r="DP18" s="170"/>
      <c r="DQ18" s="170"/>
      <c r="DR18" s="170"/>
      <c r="DS18" s="170"/>
      <c r="DT18" s="170"/>
      <c r="DU18" s="170"/>
      <c r="DV18" s="170"/>
      <c r="DW18" s="170"/>
      <c r="DX18" s="170"/>
      <c r="DY18" s="170"/>
      <c r="DZ18" s="170"/>
      <c r="EA18" s="170"/>
      <c r="EB18" s="170"/>
      <c r="EC18" s="170"/>
      <c r="ED18" s="170"/>
      <c r="EE18" s="170"/>
      <c r="EF18" s="170"/>
      <c r="EG18" s="170"/>
      <c r="EH18" s="170"/>
      <c r="EI18" s="170"/>
      <c r="EJ18" s="170"/>
      <c r="EK18" s="170"/>
      <c r="EL18" s="170"/>
      <c r="EM18" s="170"/>
      <c r="EN18" s="170"/>
      <c r="EO18" s="170"/>
      <c r="EP18" s="170"/>
    </row>
    <row r="19" ht="15.75" customHeight="1">
      <c r="A19" s="170" t="s">
        <v>407</v>
      </c>
      <c r="B19" s="181">
        <v>18.0</v>
      </c>
      <c r="C19" s="170"/>
      <c r="D19" s="170"/>
      <c r="E19" s="170"/>
      <c r="F19" s="170"/>
      <c r="G19" s="170"/>
      <c r="H19" s="170"/>
      <c r="I19" s="170"/>
      <c r="J19" s="170"/>
      <c r="K19" s="170"/>
      <c r="L19" s="170"/>
      <c r="M19" s="170"/>
      <c r="N19" s="170"/>
      <c r="O19" s="170"/>
      <c r="P19" s="170"/>
      <c r="Q19" s="170"/>
      <c r="R19" s="170"/>
      <c r="S19" s="170"/>
      <c r="T19" s="170"/>
      <c r="U19" s="170"/>
      <c r="V19" s="170"/>
      <c r="W19" s="170"/>
      <c r="X19" s="170"/>
      <c r="Y19" s="170"/>
      <c r="Z19" s="170"/>
      <c r="AA19" s="170"/>
      <c r="AB19" s="170"/>
      <c r="AC19" s="170"/>
      <c r="AD19" s="170"/>
      <c r="AE19" s="170"/>
      <c r="AF19" s="170"/>
      <c r="AG19" s="170"/>
      <c r="AH19" s="170"/>
      <c r="AI19" s="170"/>
      <c r="AJ19" s="170"/>
      <c r="AK19" s="170"/>
      <c r="AL19" s="170"/>
      <c r="AM19" s="170"/>
      <c r="AN19" s="170"/>
      <c r="AO19" s="170"/>
      <c r="AP19" s="170"/>
      <c r="AQ19" s="170"/>
      <c r="AR19" s="170"/>
      <c r="AS19" s="170"/>
      <c r="AT19" s="170"/>
      <c r="AU19" s="170"/>
      <c r="AV19" s="170"/>
      <c r="AW19" s="170"/>
      <c r="AX19" s="170"/>
      <c r="AY19" s="170"/>
      <c r="AZ19" s="170"/>
      <c r="BA19" s="170"/>
      <c r="BB19" s="170"/>
      <c r="BC19" s="170"/>
      <c r="BD19" s="170"/>
      <c r="BE19" s="170"/>
      <c r="BF19" s="170"/>
      <c r="BG19" s="170"/>
      <c r="BH19" s="170"/>
      <c r="BI19" s="170"/>
      <c r="BJ19" s="170"/>
      <c r="BK19" s="170"/>
      <c r="BL19" s="170"/>
      <c r="BM19" s="170"/>
      <c r="BN19" s="170"/>
      <c r="BO19" s="170"/>
      <c r="BP19" s="170"/>
      <c r="BQ19" s="170"/>
      <c r="BR19" s="170"/>
      <c r="BS19" s="170"/>
      <c r="BT19" s="170"/>
      <c r="BU19" s="170"/>
      <c r="BV19" s="170"/>
      <c r="BW19" s="170"/>
      <c r="BX19" s="170"/>
      <c r="BY19" s="170"/>
      <c r="BZ19" s="170"/>
      <c r="CA19" s="170"/>
      <c r="CB19" s="170"/>
      <c r="CC19" s="170"/>
      <c r="CD19" s="170"/>
      <c r="CE19" s="170"/>
      <c r="CF19" s="170"/>
      <c r="CG19" s="170"/>
      <c r="CH19" s="170"/>
      <c r="CI19" s="170"/>
      <c r="CJ19" s="170"/>
      <c r="CK19" s="170"/>
      <c r="CL19" s="170"/>
      <c r="CM19" s="170"/>
      <c r="CN19" s="170"/>
      <c r="CO19" s="170"/>
      <c r="CP19" s="170"/>
      <c r="CQ19" s="170"/>
      <c r="CR19" s="170"/>
      <c r="CS19" s="170"/>
      <c r="CT19" s="170"/>
      <c r="CU19" s="170"/>
      <c r="CV19" s="170"/>
      <c r="CW19" s="170"/>
      <c r="CX19" s="170"/>
      <c r="CY19" s="170"/>
      <c r="CZ19" s="170"/>
      <c r="DA19" s="170"/>
      <c r="DB19" s="170"/>
      <c r="DC19" s="170"/>
      <c r="DD19" s="170"/>
      <c r="DE19" s="170"/>
      <c r="DF19" s="170"/>
      <c r="DG19" s="170"/>
      <c r="DH19" s="170"/>
      <c r="DI19" s="170"/>
      <c r="DJ19" s="170"/>
      <c r="DK19" s="170"/>
      <c r="DL19" s="170"/>
      <c r="DM19" s="170"/>
      <c r="DN19" s="170"/>
      <c r="DO19" s="170"/>
      <c r="DP19" s="170"/>
      <c r="DQ19" s="170"/>
      <c r="DR19" s="170"/>
      <c r="DS19" s="170"/>
      <c r="DT19" s="170"/>
      <c r="DU19" s="170"/>
      <c r="DV19" s="170"/>
      <c r="DW19" s="170"/>
      <c r="DX19" s="170"/>
      <c r="DY19" s="170"/>
      <c r="DZ19" s="170"/>
      <c r="EA19" s="170"/>
      <c r="EB19" s="170"/>
      <c r="EC19" s="170"/>
      <c r="ED19" s="170"/>
      <c r="EE19" s="170"/>
      <c r="EF19" s="170"/>
      <c r="EG19" s="170"/>
      <c r="EH19" s="170"/>
      <c r="EI19" s="170"/>
      <c r="EJ19" s="170"/>
      <c r="EK19" s="170"/>
      <c r="EL19" s="170"/>
      <c r="EM19" s="170"/>
      <c r="EN19" s="170"/>
      <c r="EO19" s="170"/>
      <c r="EP19" s="170"/>
    </row>
    <row r="20" ht="15.75" customHeight="1">
      <c r="A20" s="170" t="s">
        <v>408</v>
      </c>
      <c r="B20" s="181">
        <v>6.0</v>
      </c>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0"/>
      <c r="AA20" s="170"/>
      <c r="AB20" s="170"/>
      <c r="AC20" s="170"/>
      <c r="AD20" s="170"/>
      <c r="AE20" s="170"/>
      <c r="AF20" s="170"/>
      <c r="AG20" s="170"/>
      <c r="AH20" s="170"/>
      <c r="AI20" s="170"/>
      <c r="AJ20" s="170"/>
      <c r="AK20" s="170"/>
      <c r="AL20" s="170"/>
      <c r="AM20" s="170"/>
      <c r="AN20" s="170"/>
      <c r="AO20" s="170"/>
      <c r="AP20" s="170"/>
      <c r="AQ20" s="170"/>
      <c r="AR20" s="170"/>
      <c r="AS20" s="170"/>
      <c r="AT20" s="170"/>
      <c r="AU20" s="170"/>
      <c r="AV20" s="170"/>
      <c r="AW20" s="170"/>
      <c r="AX20" s="170"/>
      <c r="AY20" s="170"/>
      <c r="AZ20" s="170"/>
      <c r="BA20" s="170"/>
      <c r="BB20" s="170"/>
      <c r="BC20" s="170"/>
      <c r="BD20" s="170"/>
      <c r="BE20" s="170"/>
      <c r="BF20" s="170"/>
      <c r="BG20" s="170"/>
      <c r="BH20" s="170"/>
      <c r="BI20" s="170"/>
      <c r="BJ20" s="170"/>
      <c r="BK20" s="170"/>
      <c r="BL20" s="170"/>
      <c r="BM20" s="170"/>
      <c r="BN20" s="170"/>
      <c r="BO20" s="170"/>
      <c r="BP20" s="170"/>
      <c r="BQ20" s="170"/>
      <c r="BR20" s="170"/>
      <c r="BS20" s="170"/>
      <c r="BT20" s="170"/>
      <c r="BU20" s="170"/>
      <c r="BV20" s="170"/>
      <c r="BW20" s="170"/>
      <c r="BX20" s="170"/>
      <c r="BY20" s="170"/>
      <c r="BZ20" s="170"/>
      <c r="CA20" s="170"/>
      <c r="CB20" s="170"/>
      <c r="CC20" s="170"/>
      <c r="CD20" s="170"/>
      <c r="CE20" s="170"/>
      <c r="CF20" s="170"/>
      <c r="CG20" s="170"/>
      <c r="CH20" s="170"/>
      <c r="CI20" s="170"/>
      <c r="CJ20" s="170"/>
      <c r="CK20" s="170"/>
      <c r="CL20" s="170"/>
      <c r="CM20" s="170"/>
      <c r="CN20" s="170"/>
      <c r="CO20" s="170"/>
      <c r="CP20" s="170"/>
      <c r="CQ20" s="170"/>
      <c r="CR20" s="170"/>
      <c r="CS20" s="170"/>
      <c r="CT20" s="170"/>
      <c r="CU20" s="170"/>
      <c r="CV20" s="170"/>
      <c r="CW20" s="170"/>
      <c r="CX20" s="170"/>
      <c r="CY20" s="170"/>
      <c r="CZ20" s="170"/>
      <c r="DA20" s="170"/>
      <c r="DB20" s="170"/>
      <c r="DC20" s="170"/>
      <c r="DD20" s="170"/>
      <c r="DE20" s="170"/>
      <c r="DF20" s="170"/>
      <c r="DG20" s="170"/>
      <c r="DH20" s="170"/>
      <c r="DI20" s="170"/>
      <c r="DJ20" s="170"/>
      <c r="DK20" s="170"/>
      <c r="DL20" s="170"/>
      <c r="DM20" s="170"/>
      <c r="DN20" s="170"/>
      <c r="DO20" s="170"/>
      <c r="DP20" s="170"/>
      <c r="DQ20" s="170"/>
      <c r="DR20" s="170"/>
      <c r="DS20" s="170"/>
      <c r="DT20" s="170"/>
      <c r="DU20" s="170"/>
      <c r="DV20" s="170"/>
      <c r="DW20" s="170"/>
      <c r="DX20" s="170"/>
      <c r="DY20" s="170"/>
      <c r="DZ20" s="170"/>
      <c r="EA20" s="170"/>
      <c r="EB20" s="170"/>
      <c r="EC20" s="170"/>
      <c r="ED20" s="170"/>
      <c r="EE20" s="170"/>
      <c r="EF20" s="170"/>
      <c r="EG20" s="170"/>
      <c r="EH20" s="170"/>
      <c r="EI20" s="170"/>
      <c r="EJ20" s="170"/>
      <c r="EK20" s="170"/>
      <c r="EL20" s="170"/>
      <c r="EM20" s="170"/>
      <c r="EN20" s="170"/>
      <c r="EO20" s="170"/>
      <c r="EP20" s="170"/>
    </row>
    <row r="21" ht="15.75" customHeight="1">
      <c r="A21" s="170" t="s">
        <v>409</v>
      </c>
      <c r="B21" s="182">
        <v>0.01</v>
      </c>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0"/>
      <c r="AS21" s="170"/>
      <c r="AT21" s="170"/>
      <c r="AU21" s="170"/>
      <c r="AV21" s="170"/>
      <c r="AW21" s="170"/>
      <c r="AX21" s="170"/>
      <c r="AY21" s="170"/>
      <c r="AZ21" s="170"/>
      <c r="BA21" s="170"/>
      <c r="BB21" s="170"/>
      <c r="BC21" s="170"/>
      <c r="BD21" s="170"/>
      <c r="BE21" s="170"/>
      <c r="BF21" s="170"/>
      <c r="BG21" s="170"/>
      <c r="BH21" s="170"/>
      <c r="BI21" s="170"/>
      <c r="BJ21" s="170"/>
      <c r="BK21" s="170"/>
      <c r="BL21" s="170"/>
      <c r="BM21" s="170"/>
      <c r="BN21" s="170"/>
      <c r="BO21" s="170"/>
      <c r="BP21" s="170"/>
      <c r="BQ21" s="170"/>
      <c r="BR21" s="170"/>
      <c r="BS21" s="170"/>
      <c r="BT21" s="170"/>
      <c r="BU21" s="170"/>
      <c r="BV21" s="170"/>
      <c r="BW21" s="170"/>
      <c r="BX21" s="170"/>
      <c r="BY21" s="170"/>
      <c r="BZ21" s="170"/>
      <c r="CA21" s="170"/>
      <c r="CB21" s="170"/>
      <c r="CC21" s="170"/>
      <c r="CD21" s="170"/>
      <c r="CE21" s="170"/>
      <c r="CF21" s="170"/>
      <c r="CG21" s="170"/>
      <c r="CH21" s="170"/>
      <c r="CI21" s="170"/>
      <c r="CJ21" s="170"/>
      <c r="CK21" s="170"/>
      <c r="CL21" s="170"/>
      <c r="CM21" s="170"/>
      <c r="CN21" s="170"/>
      <c r="CO21" s="170"/>
      <c r="CP21" s="170"/>
      <c r="CQ21" s="170"/>
      <c r="CR21" s="170"/>
      <c r="CS21" s="170"/>
      <c r="CT21" s="170"/>
      <c r="CU21" s="170"/>
      <c r="CV21" s="170"/>
      <c r="CW21" s="170"/>
      <c r="CX21" s="170"/>
      <c r="CY21" s="170"/>
      <c r="CZ21" s="170"/>
      <c r="DA21" s="170"/>
      <c r="DB21" s="170"/>
      <c r="DC21" s="170"/>
      <c r="DD21" s="170"/>
      <c r="DE21" s="170"/>
      <c r="DF21" s="170"/>
      <c r="DG21" s="170"/>
      <c r="DH21" s="170"/>
      <c r="DI21" s="170"/>
      <c r="DJ21" s="170"/>
      <c r="DK21" s="170"/>
      <c r="DL21" s="170"/>
      <c r="DM21" s="170"/>
      <c r="DN21" s="170"/>
      <c r="DO21" s="170"/>
      <c r="DP21" s="170"/>
      <c r="DQ21" s="170"/>
      <c r="DR21" s="170"/>
      <c r="DS21" s="170"/>
      <c r="DT21" s="170"/>
      <c r="DU21" s="170"/>
      <c r="DV21" s="170"/>
      <c r="DW21" s="170"/>
      <c r="DX21" s="170"/>
      <c r="DY21" s="170"/>
      <c r="DZ21" s="170"/>
      <c r="EA21" s="170"/>
      <c r="EB21" s="170"/>
      <c r="EC21" s="170"/>
      <c r="ED21" s="170"/>
      <c r="EE21" s="170"/>
      <c r="EF21" s="170"/>
      <c r="EG21" s="170"/>
      <c r="EH21" s="170"/>
      <c r="EI21" s="170"/>
      <c r="EJ21" s="170"/>
      <c r="EK21" s="170"/>
      <c r="EL21" s="170"/>
      <c r="EM21" s="170"/>
      <c r="EN21" s="170"/>
      <c r="EO21" s="170"/>
      <c r="EP21" s="170"/>
    </row>
    <row r="22" ht="15.75" customHeight="1">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0"/>
      <c r="AA22" s="170"/>
      <c r="AB22" s="170"/>
      <c r="AC22" s="170"/>
      <c r="AD22" s="170"/>
      <c r="AE22" s="170"/>
      <c r="AF22" s="170"/>
      <c r="AG22" s="170"/>
      <c r="AH22" s="170"/>
      <c r="AI22" s="170"/>
      <c r="AJ22" s="170"/>
      <c r="AK22" s="170"/>
      <c r="AL22" s="170"/>
      <c r="AM22" s="170"/>
      <c r="AN22" s="170"/>
      <c r="AO22" s="170"/>
      <c r="AP22" s="170"/>
      <c r="AQ22" s="170"/>
      <c r="AR22" s="170"/>
      <c r="AS22" s="170"/>
      <c r="AT22" s="170"/>
      <c r="AU22" s="170"/>
      <c r="AV22" s="170"/>
      <c r="AW22" s="170"/>
      <c r="AX22" s="170"/>
      <c r="AY22" s="170"/>
      <c r="AZ22" s="170"/>
      <c r="BA22" s="170"/>
      <c r="BB22" s="170"/>
      <c r="BC22" s="170"/>
      <c r="BD22" s="170"/>
      <c r="BE22" s="170"/>
      <c r="BF22" s="170"/>
      <c r="BG22" s="170"/>
      <c r="BH22" s="170"/>
      <c r="BI22" s="170"/>
      <c r="BJ22" s="170"/>
      <c r="BK22" s="170"/>
      <c r="BL22" s="170"/>
      <c r="BM22" s="170"/>
      <c r="BN22" s="170"/>
      <c r="BO22" s="170"/>
      <c r="BP22" s="170"/>
      <c r="BQ22" s="170"/>
      <c r="BR22" s="170"/>
      <c r="BS22" s="170"/>
      <c r="BT22" s="170"/>
      <c r="BU22" s="170"/>
      <c r="BV22" s="170"/>
      <c r="BW22" s="170"/>
      <c r="BX22" s="170"/>
      <c r="BY22" s="170"/>
      <c r="BZ22" s="170"/>
      <c r="CA22" s="170"/>
      <c r="CB22" s="170"/>
      <c r="CC22" s="170"/>
      <c r="CD22" s="170"/>
      <c r="CE22" s="170"/>
      <c r="CF22" s="170"/>
      <c r="CG22" s="170"/>
      <c r="CH22" s="170"/>
      <c r="CI22" s="170"/>
      <c r="CJ22" s="170"/>
      <c r="CK22" s="170"/>
      <c r="CL22" s="170"/>
      <c r="CM22" s="170"/>
      <c r="CN22" s="170"/>
      <c r="CO22" s="170"/>
      <c r="CP22" s="170"/>
      <c r="CQ22" s="170"/>
      <c r="CR22" s="170"/>
      <c r="CS22" s="170"/>
      <c r="CT22" s="170"/>
      <c r="CU22" s="170"/>
      <c r="CV22" s="170"/>
      <c r="CW22" s="170"/>
      <c r="CX22" s="170"/>
      <c r="CY22" s="170"/>
      <c r="CZ22" s="170"/>
      <c r="DA22" s="170"/>
      <c r="DB22" s="170"/>
      <c r="DC22" s="170"/>
      <c r="DD22" s="170"/>
      <c r="DE22" s="170"/>
      <c r="DF22" s="170"/>
      <c r="DG22" s="170"/>
      <c r="DH22" s="170"/>
      <c r="DI22" s="170"/>
      <c r="DJ22" s="170"/>
      <c r="DK22" s="170"/>
      <c r="DL22" s="170"/>
      <c r="DM22" s="170"/>
      <c r="DN22" s="170"/>
      <c r="DO22" s="170"/>
      <c r="DP22" s="170"/>
      <c r="DQ22" s="170"/>
      <c r="DR22" s="170"/>
      <c r="DS22" s="170"/>
      <c r="DT22" s="170"/>
      <c r="DU22" s="170"/>
      <c r="DV22" s="170"/>
      <c r="DW22" s="170"/>
      <c r="DX22" s="170"/>
      <c r="DY22" s="170"/>
      <c r="DZ22" s="170"/>
      <c r="EA22" s="170"/>
      <c r="EB22" s="170"/>
      <c r="EC22" s="170"/>
      <c r="ED22" s="170"/>
      <c r="EE22" s="170"/>
      <c r="EF22" s="170"/>
      <c r="EG22" s="170"/>
      <c r="EH22" s="170"/>
      <c r="EI22" s="170"/>
      <c r="EJ22" s="170"/>
      <c r="EK22" s="170"/>
      <c r="EL22" s="170"/>
      <c r="EM22" s="170"/>
      <c r="EN22" s="170"/>
      <c r="EO22" s="170"/>
      <c r="EP22" s="170"/>
    </row>
    <row r="23" ht="15.75" customHeight="1">
      <c r="A23" s="169" t="s">
        <v>410</v>
      </c>
      <c r="B23" s="170"/>
      <c r="C23" s="171"/>
      <c r="D23" s="172"/>
      <c r="E23" s="172"/>
      <c r="F23" s="172"/>
      <c r="G23" s="172"/>
      <c r="H23" s="172"/>
      <c r="I23" s="172"/>
      <c r="J23" s="172"/>
      <c r="K23" s="172"/>
      <c r="L23" s="172"/>
      <c r="M23" s="172"/>
      <c r="N23" s="172"/>
      <c r="O23" s="172"/>
      <c r="P23" s="172"/>
      <c r="Q23" s="172"/>
      <c r="R23" s="172"/>
      <c r="S23" s="172"/>
      <c r="T23" s="172"/>
      <c r="U23" s="172"/>
      <c r="V23" s="172"/>
      <c r="W23" s="172"/>
      <c r="X23" s="172"/>
      <c r="Y23" s="172"/>
      <c r="Z23" s="172"/>
      <c r="AA23" s="172"/>
      <c r="AB23" s="172"/>
      <c r="AC23" s="172"/>
      <c r="AD23" s="172"/>
      <c r="AE23" s="172"/>
      <c r="AF23" s="172"/>
      <c r="AG23" s="172"/>
      <c r="AH23" s="172"/>
      <c r="AI23" s="172"/>
      <c r="AJ23" s="172"/>
      <c r="AK23" s="172"/>
      <c r="AL23" s="172"/>
      <c r="AM23" s="172"/>
      <c r="AN23" s="172"/>
      <c r="AO23" s="172"/>
      <c r="AP23" s="172"/>
      <c r="AQ23" s="172"/>
      <c r="AR23" s="172"/>
      <c r="AS23" s="172"/>
      <c r="AT23" s="172"/>
      <c r="AU23" s="172"/>
      <c r="AV23" s="172"/>
      <c r="AW23" s="172"/>
      <c r="AX23" s="172"/>
      <c r="AY23" s="172"/>
      <c r="AZ23" s="172"/>
      <c r="BA23" s="172"/>
      <c r="BB23" s="172"/>
      <c r="BC23" s="172"/>
      <c r="BD23" s="172"/>
      <c r="BE23" s="172"/>
      <c r="BF23" s="172"/>
      <c r="BG23" s="172"/>
      <c r="BH23" s="172"/>
      <c r="BI23" s="172"/>
      <c r="BJ23" s="172"/>
      <c r="BK23" s="172"/>
      <c r="BL23" s="172"/>
      <c r="BM23" s="172"/>
      <c r="BN23" s="172"/>
      <c r="BO23" s="172"/>
      <c r="BP23" s="172"/>
      <c r="BQ23" s="172"/>
      <c r="BR23" s="172"/>
      <c r="BS23" s="172"/>
      <c r="BT23" s="172"/>
      <c r="BU23" s="172"/>
      <c r="BV23" s="172"/>
      <c r="BW23" s="172"/>
      <c r="BX23" s="172"/>
      <c r="BY23" s="172"/>
      <c r="BZ23" s="172"/>
      <c r="CA23" s="172"/>
      <c r="CB23" s="172"/>
      <c r="CC23" s="172"/>
      <c r="CD23" s="172"/>
      <c r="CE23" s="172"/>
      <c r="CF23" s="172"/>
      <c r="CG23" s="172"/>
      <c r="CH23" s="172"/>
      <c r="CI23" s="172"/>
      <c r="CJ23" s="172"/>
      <c r="CK23" s="172"/>
      <c r="CL23" s="172"/>
      <c r="CM23" s="172"/>
      <c r="CN23" s="172"/>
      <c r="CO23" s="172"/>
      <c r="CP23" s="172"/>
      <c r="CQ23" s="172"/>
      <c r="CR23" s="172"/>
      <c r="CS23" s="172"/>
      <c r="CT23" s="172"/>
      <c r="CU23" s="172"/>
      <c r="CV23" s="172"/>
      <c r="CW23" s="172"/>
      <c r="CX23" s="172"/>
      <c r="CY23" s="172"/>
      <c r="CZ23" s="172"/>
      <c r="DA23" s="172"/>
      <c r="DB23" s="172"/>
      <c r="DC23" s="172"/>
      <c r="DD23" s="172"/>
      <c r="DE23" s="172"/>
      <c r="DF23" s="172"/>
      <c r="DG23" s="172"/>
      <c r="DH23" s="172"/>
      <c r="DI23" s="172"/>
      <c r="DJ23" s="172"/>
      <c r="DK23" s="172"/>
      <c r="DL23" s="172"/>
      <c r="DM23" s="172"/>
      <c r="DN23" s="172"/>
      <c r="DO23" s="172"/>
      <c r="DP23" s="172"/>
      <c r="DQ23" s="172"/>
      <c r="DR23" s="172"/>
      <c r="DS23" s="172"/>
      <c r="DT23" s="172"/>
      <c r="DU23" s="172"/>
      <c r="DV23" s="172"/>
      <c r="DW23" s="172"/>
      <c r="DX23" s="172"/>
      <c r="DY23" s="172"/>
      <c r="DZ23" s="172"/>
      <c r="EA23" s="172"/>
      <c r="EB23" s="172"/>
      <c r="EC23" s="172"/>
      <c r="ED23" s="172"/>
      <c r="EE23" s="172"/>
      <c r="EF23" s="172"/>
      <c r="EG23" s="172"/>
      <c r="EH23" s="172"/>
      <c r="EI23" s="172"/>
      <c r="EJ23" s="172"/>
      <c r="EK23" s="172"/>
      <c r="EL23" s="172"/>
      <c r="EM23" s="172"/>
      <c r="EN23" s="172"/>
      <c r="EO23" s="172"/>
      <c r="EP23" s="172"/>
    </row>
    <row r="24" ht="15.75" customHeight="1">
      <c r="A24" s="170" t="s">
        <v>394</v>
      </c>
      <c r="B24" s="170"/>
      <c r="C24" s="171"/>
      <c r="D24" s="172">
        <f t="shared" ref="D24:EP24" si="10">C29</f>
        <v>0</v>
      </c>
      <c r="E24" s="172">
        <f t="shared" si="10"/>
        <v>0</v>
      </c>
      <c r="F24" s="172">
        <f t="shared" si="10"/>
        <v>0</v>
      </c>
      <c r="G24" s="172">
        <f t="shared" si="10"/>
        <v>0</v>
      </c>
      <c r="H24" s="172">
        <f t="shared" si="10"/>
        <v>0</v>
      </c>
      <c r="I24" s="172">
        <f t="shared" si="10"/>
        <v>0</v>
      </c>
      <c r="J24" s="172">
        <f t="shared" si="10"/>
        <v>0</v>
      </c>
      <c r="K24" s="172">
        <f t="shared" si="10"/>
        <v>0</v>
      </c>
      <c r="L24" s="172">
        <f t="shared" si="10"/>
        <v>0</v>
      </c>
      <c r="M24" s="172">
        <f t="shared" si="10"/>
        <v>0</v>
      </c>
      <c r="N24" s="172">
        <f t="shared" si="10"/>
        <v>0</v>
      </c>
      <c r="O24" s="172">
        <f t="shared" si="10"/>
        <v>0</v>
      </c>
      <c r="P24" s="172">
        <f t="shared" si="10"/>
        <v>0</v>
      </c>
      <c r="Q24" s="172">
        <f t="shared" si="10"/>
        <v>0</v>
      </c>
      <c r="R24" s="172">
        <f t="shared" si="10"/>
        <v>0</v>
      </c>
      <c r="S24" s="172">
        <f t="shared" si="10"/>
        <v>0</v>
      </c>
      <c r="T24" s="172">
        <f t="shared" si="10"/>
        <v>0</v>
      </c>
      <c r="U24" s="172">
        <f t="shared" si="10"/>
        <v>0</v>
      </c>
      <c r="V24" s="172">
        <f t="shared" si="10"/>
        <v>0</v>
      </c>
      <c r="W24" s="172">
        <f t="shared" si="10"/>
        <v>0</v>
      </c>
      <c r="X24" s="172">
        <f t="shared" si="10"/>
        <v>0</v>
      </c>
      <c r="Y24" s="172">
        <f t="shared" si="10"/>
        <v>0</v>
      </c>
      <c r="Z24" s="172">
        <f t="shared" si="10"/>
        <v>0</v>
      </c>
      <c r="AA24" s="172">
        <f t="shared" si="10"/>
        <v>0</v>
      </c>
      <c r="AB24" s="172">
        <f t="shared" si="10"/>
        <v>0</v>
      </c>
      <c r="AC24" s="172">
        <f t="shared" si="10"/>
        <v>0</v>
      </c>
      <c r="AD24" s="172">
        <f t="shared" si="10"/>
        <v>0</v>
      </c>
      <c r="AE24" s="172">
        <f t="shared" si="10"/>
        <v>0</v>
      </c>
      <c r="AF24" s="172">
        <f t="shared" si="10"/>
        <v>0</v>
      </c>
      <c r="AG24" s="172">
        <f t="shared" si="10"/>
        <v>0</v>
      </c>
      <c r="AH24" s="172">
        <f t="shared" si="10"/>
        <v>0</v>
      </c>
      <c r="AI24" s="172">
        <f t="shared" si="10"/>
        <v>0</v>
      </c>
      <c r="AJ24" s="172">
        <f t="shared" si="10"/>
        <v>0</v>
      </c>
      <c r="AK24" s="172">
        <f t="shared" si="10"/>
        <v>0</v>
      </c>
      <c r="AL24" s="172">
        <f t="shared" si="10"/>
        <v>0</v>
      </c>
      <c r="AM24" s="172">
        <f t="shared" si="10"/>
        <v>0</v>
      </c>
      <c r="AN24" s="172">
        <f t="shared" si="10"/>
        <v>0</v>
      </c>
      <c r="AO24" s="172">
        <f t="shared" si="10"/>
        <v>0</v>
      </c>
      <c r="AP24" s="172">
        <f t="shared" si="10"/>
        <v>0</v>
      </c>
      <c r="AQ24" s="172">
        <f t="shared" si="10"/>
        <v>0</v>
      </c>
      <c r="AR24" s="172">
        <f t="shared" si="10"/>
        <v>0</v>
      </c>
      <c r="AS24" s="172">
        <f t="shared" si="10"/>
        <v>0</v>
      </c>
      <c r="AT24" s="172">
        <f t="shared" si="10"/>
        <v>0</v>
      </c>
      <c r="AU24" s="172">
        <f t="shared" si="10"/>
        <v>0</v>
      </c>
      <c r="AV24" s="172">
        <f t="shared" si="10"/>
        <v>0</v>
      </c>
      <c r="AW24" s="172">
        <f t="shared" si="10"/>
        <v>0</v>
      </c>
      <c r="AX24" s="172">
        <f t="shared" si="10"/>
        <v>0</v>
      </c>
      <c r="AY24" s="172">
        <f t="shared" si="10"/>
        <v>0</v>
      </c>
      <c r="AZ24" s="172">
        <f t="shared" si="10"/>
        <v>0</v>
      </c>
      <c r="BA24" s="172">
        <f t="shared" si="10"/>
        <v>0</v>
      </c>
      <c r="BB24" s="172">
        <f t="shared" si="10"/>
        <v>0</v>
      </c>
      <c r="BC24" s="172">
        <f t="shared" si="10"/>
        <v>0</v>
      </c>
      <c r="BD24" s="172">
        <f t="shared" si="10"/>
        <v>0</v>
      </c>
      <c r="BE24" s="172">
        <f t="shared" si="10"/>
        <v>0</v>
      </c>
      <c r="BF24" s="172">
        <f t="shared" si="10"/>
        <v>0</v>
      </c>
      <c r="BG24" s="172">
        <f t="shared" si="10"/>
        <v>0</v>
      </c>
      <c r="BH24" s="172">
        <f t="shared" si="10"/>
        <v>0</v>
      </c>
      <c r="BI24" s="172">
        <f t="shared" si="10"/>
        <v>0</v>
      </c>
      <c r="BJ24" s="172">
        <f t="shared" si="10"/>
        <v>0</v>
      </c>
      <c r="BK24" s="172">
        <f t="shared" si="10"/>
        <v>0</v>
      </c>
      <c r="BL24" s="172">
        <f t="shared" si="10"/>
        <v>0</v>
      </c>
      <c r="BM24" s="172">
        <f t="shared" si="10"/>
        <v>0</v>
      </c>
      <c r="BN24" s="172">
        <f t="shared" si="10"/>
        <v>0</v>
      </c>
      <c r="BO24" s="172">
        <f t="shared" si="10"/>
        <v>0</v>
      </c>
      <c r="BP24" s="172">
        <f t="shared" si="10"/>
        <v>0</v>
      </c>
      <c r="BQ24" s="172">
        <f t="shared" si="10"/>
        <v>0</v>
      </c>
      <c r="BR24" s="172">
        <f t="shared" si="10"/>
        <v>0</v>
      </c>
      <c r="BS24" s="172">
        <f t="shared" si="10"/>
        <v>0</v>
      </c>
      <c r="BT24" s="172">
        <f t="shared" si="10"/>
        <v>0</v>
      </c>
      <c r="BU24" s="172">
        <f t="shared" si="10"/>
        <v>0</v>
      </c>
      <c r="BV24" s="172">
        <f t="shared" si="10"/>
        <v>0</v>
      </c>
      <c r="BW24" s="172">
        <f t="shared" si="10"/>
        <v>0</v>
      </c>
      <c r="BX24" s="172">
        <f t="shared" si="10"/>
        <v>0</v>
      </c>
      <c r="BY24" s="172">
        <f t="shared" si="10"/>
        <v>0</v>
      </c>
      <c r="BZ24" s="172">
        <f t="shared" si="10"/>
        <v>0</v>
      </c>
      <c r="CA24" s="172">
        <f t="shared" si="10"/>
        <v>0</v>
      </c>
      <c r="CB24" s="172">
        <f t="shared" si="10"/>
        <v>0</v>
      </c>
      <c r="CC24" s="172">
        <f t="shared" si="10"/>
        <v>0</v>
      </c>
      <c r="CD24" s="172">
        <f t="shared" si="10"/>
        <v>0</v>
      </c>
      <c r="CE24" s="172">
        <f t="shared" si="10"/>
        <v>0</v>
      </c>
      <c r="CF24" s="172">
        <f t="shared" si="10"/>
        <v>0</v>
      </c>
      <c r="CG24" s="172">
        <f t="shared" si="10"/>
        <v>0</v>
      </c>
      <c r="CH24" s="172">
        <f t="shared" si="10"/>
        <v>0</v>
      </c>
      <c r="CI24" s="172">
        <f t="shared" si="10"/>
        <v>0</v>
      </c>
      <c r="CJ24" s="172">
        <f t="shared" si="10"/>
        <v>0</v>
      </c>
      <c r="CK24" s="172">
        <f t="shared" si="10"/>
        <v>0</v>
      </c>
      <c r="CL24" s="172">
        <f t="shared" si="10"/>
        <v>0</v>
      </c>
      <c r="CM24" s="172">
        <f t="shared" si="10"/>
        <v>0</v>
      </c>
      <c r="CN24" s="172">
        <f t="shared" si="10"/>
        <v>0</v>
      </c>
      <c r="CO24" s="172">
        <f t="shared" si="10"/>
        <v>0</v>
      </c>
      <c r="CP24" s="172">
        <f t="shared" si="10"/>
        <v>0</v>
      </c>
      <c r="CQ24" s="172">
        <f t="shared" si="10"/>
        <v>0</v>
      </c>
      <c r="CR24" s="172">
        <f t="shared" si="10"/>
        <v>0</v>
      </c>
      <c r="CS24" s="172">
        <f t="shared" si="10"/>
        <v>0</v>
      </c>
      <c r="CT24" s="172">
        <f t="shared" si="10"/>
        <v>0</v>
      </c>
      <c r="CU24" s="172">
        <f t="shared" si="10"/>
        <v>0</v>
      </c>
      <c r="CV24" s="172">
        <f t="shared" si="10"/>
        <v>0</v>
      </c>
      <c r="CW24" s="172">
        <f t="shared" si="10"/>
        <v>0</v>
      </c>
      <c r="CX24" s="172">
        <f t="shared" si="10"/>
        <v>0</v>
      </c>
      <c r="CY24" s="172">
        <f t="shared" si="10"/>
        <v>0</v>
      </c>
      <c r="CZ24" s="172">
        <f t="shared" si="10"/>
        <v>0</v>
      </c>
      <c r="DA24" s="172">
        <f t="shared" si="10"/>
        <v>0</v>
      </c>
      <c r="DB24" s="172">
        <f t="shared" si="10"/>
        <v>0</v>
      </c>
      <c r="DC24" s="172">
        <f t="shared" si="10"/>
        <v>0</v>
      </c>
      <c r="DD24" s="172">
        <f t="shared" si="10"/>
        <v>0</v>
      </c>
      <c r="DE24" s="172">
        <f t="shared" si="10"/>
        <v>0</v>
      </c>
      <c r="DF24" s="172">
        <f t="shared" si="10"/>
        <v>0</v>
      </c>
      <c r="DG24" s="172">
        <f t="shared" si="10"/>
        <v>0</v>
      </c>
      <c r="DH24" s="172">
        <f t="shared" si="10"/>
        <v>0</v>
      </c>
      <c r="DI24" s="172">
        <f t="shared" si="10"/>
        <v>0</v>
      </c>
      <c r="DJ24" s="172">
        <f t="shared" si="10"/>
        <v>0</v>
      </c>
      <c r="DK24" s="172">
        <f t="shared" si="10"/>
        <v>0</v>
      </c>
      <c r="DL24" s="172">
        <f t="shared" si="10"/>
        <v>0</v>
      </c>
      <c r="DM24" s="172">
        <f t="shared" si="10"/>
        <v>0</v>
      </c>
      <c r="DN24" s="172">
        <f t="shared" si="10"/>
        <v>0</v>
      </c>
      <c r="DO24" s="172">
        <f t="shared" si="10"/>
        <v>0</v>
      </c>
      <c r="DP24" s="172">
        <f t="shared" si="10"/>
        <v>0</v>
      </c>
      <c r="DQ24" s="172">
        <f t="shared" si="10"/>
        <v>0</v>
      </c>
      <c r="DR24" s="172">
        <f t="shared" si="10"/>
        <v>0</v>
      </c>
      <c r="DS24" s="172">
        <f t="shared" si="10"/>
        <v>0</v>
      </c>
      <c r="DT24" s="172">
        <f t="shared" si="10"/>
        <v>0</v>
      </c>
      <c r="DU24" s="172">
        <f t="shared" si="10"/>
        <v>0</v>
      </c>
      <c r="DV24" s="172">
        <f t="shared" si="10"/>
        <v>0</v>
      </c>
      <c r="DW24" s="172">
        <f t="shared" si="10"/>
        <v>0</v>
      </c>
      <c r="DX24" s="172">
        <f t="shared" si="10"/>
        <v>0</v>
      </c>
      <c r="DY24" s="172">
        <f t="shared" si="10"/>
        <v>0</v>
      </c>
      <c r="DZ24" s="172">
        <f t="shared" si="10"/>
        <v>0</v>
      </c>
      <c r="EA24" s="172">
        <f t="shared" si="10"/>
        <v>0</v>
      </c>
      <c r="EB24" s="172">
        <f t="shared" si="10"/>
        <v>0</v>
      </c>
      <c r="EC24" s="172">
        <f t="shared" si="10"/>
        <v>0</v>
      </c>
      <c r="ED24" s="172">
        <f t="shared" si="10"/>
        <v>0</v>
      </c>
      <c r="EE24" s="172">
        <f t="shared" si="10"/>
        <v>0</v>
      </c>
      <c r="EF24" s="172">
        <f t="shared" si="10"/>
        <v>0</v>
      </c>
      <c r="EG24" s="172">
        <f t="shared" si="10"/>
        <v>0</v>
      </c>
      <c r="EH24" s="172">
        <f t="shared" si="10"/>
        <v>0</v>
      </c>
      <c r="EI24" s="172">
        <f t="shared" si="10"/>
        <v>0</v>
      </c>
      <c r="EJ24" s="172">
        <f t="shared" si="10"/>
        <v>0</v>
      </c>
      <c r="EK24" s="172">
        <f t="shared" si="10"/>
        <v>0</v>
      </c>
      <c r="EL24" s="172">
        <f t="shared" si="10"/>
        <v>0</v>
      </c>
      <c r="EM24" s="172">
        <f t="shared" si="10"/>
        <v>0</v>
      </c>
      <c r="EN24" s="172">
        <f t="shared" si="10"/>
        <v>0</v>
      </c>
      <c r="EO24" s="172">
        <f t="shared" si="10"/>
        <v>0</v>
      </c>
      <c r="EP24" s="172">
        <f t="shared" si="10"/>
        <v>0</v>
      </c>
    </row>
    <row r="25" ht="15.75" customHeight="1">
      <c r="A25" s="170" t="s">
        <v>411</v>
      </c>
      <c r="B25" s="170"/>
      <c r="C25" s="172">
        <f t="shared" ref="C25:EP25" si="11">IF(MONTH($B$32)&amp;YEAR($B$32)=MONTH(C$2)&amp;YEAR(C$2),$B$33,0)</f>
        <v>0</v>
      </c>
      <c r="D25" s="172">
        <f t="shared" si="11"/>
        <v>0</v>
      </c>
      <c r="E25" s="172">
        <f t="shared" si="11"/>
        <v>0</v>
      </c>
      <c r="F25" s="172">
        <f t="shared" si="11"/>
        <v>0</v>
      </c>
      <c r="G25" s="172">
        <f t="shared" si="11"/>
        <v>0</v>
      </c>
      <c r="H25" s="172">
        <f t="shared" si="11"/>
        <v>0</v>
      </c>
      <c r="I25" s="172">
        <f t="shared" si="11"/>
        <v>0</v>
      </c>
      <c r="J25" s="172">
        <f t="shared" si="11"/>
        <v>0</v>
      </c>
      <c r="K25" s="172">
        <f t="shared" si="11"/>
        <v>0</v>
      </c>
      <c r="L25" s="172">
        <f t="shared" si="11"/>
        <v>0</v>
      </c>
      <c r="M25" s="172">
        <f t="shared" si="11"/>
        <v>0</v>
      </c>
      <c r="N25" s="172">
        <f t="shared" si="11"/>
        <v>0</v>
      </c>
      <c r="O25" s="172">
        <f t="shared" si="11"/>
        <v>0</v>
      </c>
      <c r="P25" s="172">
        <f t="shared" si="11"/>
        <v>0</v>
      </c>
      <c r="Q25" s="172">
        <f t="shared" si="11"/>
        <v>0</v>
      </c>
      <c r="R25" s="172">
        <f t="shared" si="11"/>
        <v>0</v>
      </c>
      <c r="S25" s="172">
        <f t="shared" si="11"/>
        <v>0</v>
      </c>
      <c r="T25" s="172">
        <f t="shared" si="11"/>
        <v>0</v>
      </c>
      <c r="U25" s="172">
        <f t="shared" si="11"/>
        <v>0</v>
      </c>
      <c r="V25" s="172">
        <f t="shared" si="11"/>
        <v>0</v>
      </c>
      <c r="W25" s="172">
        <f t="shared" si="11"/>
        <v>0</v>
      </c>
      <c r="X25" s="172">
        <f t="shared" si="11"/>
        <v>0</v>
      </c>
      <c r="Y25" s="172">
        <f t="shared" si="11"/>
        <v>0</v>
      </c>
      <c r="Z25" s="172">
        <f t="shared" si="11"/>
        <v>0</v>
      </c>
      <c r="AA25" s="172">
        <f t="shared" si="11"/>
        <v>0</v>
      </c>
      <c r="AB25" s="172">
        <f t="shared" si="11"/>
        <v>0</v>
      </c>
      <c r="AC25" s="172">
        <f t="shared" si="11"/>
        <v>0</v>
      </c>
      <c r="AD25" s="172">
        <f t="shared" si="11"/>
        <v>0</v>
      </c>
      <c r="AE25" s="172">
        <f t="shared" si="11"/>
        <v>0</v>
      </c>
      <c r="AF25" s="172">
        <f t="shared" si="11"/>
        <v>0</v>
      </c>
      <c r="AG25" s="172">
        <f t="shared" si="11"/>
        <v>0</v>
      </c>
      <c r="AH25" s="172">
        <f t="shared" si="11"/>
        <v>0</v>
      </c>
      <c r="AI25" s="172">
        <f t="shared" si="11"/>
        <v>0</v>
      </c>
      <c r="AJ25" s="172">
        <f t="shared" si="11"/>
        <v>0</v>
      </c>
      <c r="AK25" s="172">
        <f t="shared" si="11"/>
        <v>0</v>
      </c>
      <c r="AL25" s="172">
        <f t="shared" si="11"/>
        <v>0</v>
      </c>
      <c r="AM25" s="172">
        <f t="shared" si="11"/>
        <v>0</v>
      </c>
      <c r="AN25" s="172">
        <f t="shared" si="11"/>
        <v>0</v>
      </c>
      <c r="AO25" s="172">
        <f t="shared" si="11"/>
        <v>0</v>
      </c>
      <c r="AP25" s="172">
        <f t="shared" si="11"/>
        <v>0</v>
      </c>
      <c r="AQ25" s="172">
        <f t="shared" si="11"/>
        <v>0</v>
      </c>
      <c r="AR25" s="172">
        <f t="shared" si="11"/>
        <v>0</v>
      </c>
      <c r="AS25" s="172">
        <f t="shared" si="11"/>
        <v>0</v>
      </c>
      <c r="AT25" s="172">
        <f t="shared" si="11"/>
        <v>0</v>
      </c>
      <c r="AU25" s="172">
        <f t="shared" si="11"/>
        <v>0</v>
      </c>
      <c r="AV25" s="172">
        <f t="shared" si="11"/>
        <v>0</v>
      </c>
      <c r="AW25" s="172">
        <f t="shared" si="11"/>
        <v>0</v>
      </c>
      <c r="AX25" s="172">
        <f t="shared" si="11"/>
        <v>0</v>
      </c>
      <c r="AY25" s="172">
        <f t="shared" si="11"/>
        <v>0</v>
      </c>
      <c r="AZ25" s="172">
        <f t="shared" si="11"/>
        <v>0</v>
      </c>
      <c r="BA25" s="172">
        <f t="shared" si="11"/>
        <v>0</v>
      </c>
      <c r="BB25" s="172">
        <f t="shared" si="11"/>
        <v>0</v>
      </c>
      <c r="BC25" s="172">
        <f t="shared" si="11"/>
        <v>0</v>
      </c>
      <c r="BD25" s="172">
        <f t="shared" si="11"/>
        <v>0</v>
      </c>
      <c r="BE25" s="172">
        <f t="shared" si="11"/>
        <v>0</v>
      </c>
      <c r="BF25" s="172">
        <f t="shared" si="11"/>
        <v>0</v>
      </c>
      <c r="BG25" s="172">
        <f t="shared" si="11"/>
        <v>0</v>
      </c>
      <c r="BH25" s="172">
        <f t="shared" si="11"/>
        <v>0</v>
      </c>
      <c r="BI25" s="172">
        <f t="shared" si="11"/>
        <v>0</v>
      </c>
      <c r="BJ25" s="172">
        <f t="shared" si="11"/>
        <v>0</v>
      </c>
      <c r="BK25" s="172">
        <f t="shared" si="11"/>
        <v>0</v>
      </c>
      <c r="BL25" s="172">
        <f t="shared" si="11"/>
        <v>0</v>
      </c>
      <c r="BM25" s="172">
        <f t="shared" si="11"/>
        <v>0</v>
      </c>
      <c r="BN25" s="172">
        <f t="shared" si="11"/>
        <v>0</v>
      </c>
      <c r="BO25" s="172">
        <f t="shared" si="11"/>
        <v>0</v>
      </c>
      <c r="BP25" s="172">
        <f t="shared" si="11"/>
        <v>0</v>
      </c>
      <c r="BQ25" s="172">
        <f t="shared" si="11"/>
        <v>0</v>
      </c>
      <c r="BR25" s="172">
        <f t="shared" si="11"/>
        <v>0</v>
      </c>
      <c r="BS25" s="172">
        <f t="shared" si="11"/>
        <v>0</v>
      </c>
      <c r="BT25" s="172">
        <f t="shared" si="11"/>
        <v>0</v>
      </c>
      <c r="BU25" s="172">
        <f t="shared" si="11"/>
        <v>0</v>
      </c>
      <c r="BV25" s="172">
        <f t="shared" si="11"/>
        <v>0</v>
      </c>
      <c r="BW25" s="172">
        <f t="shared" si="11"/>
        <v>0</v>
      </c>
      <c r="BX25" s="172">
        <f t="shared" si="11"/>
        <v>0</v>
      </c>
      <c r="BY25" s="172">
        <f t="shared" si="11"/>
        <v>0</v>
      </c>
      <c r="BZ25" s="172">
        <f t="shared" si="11"/>
        <v>0</v>
      </c>
      <c r="CA25" s="172">
        <f t="shared" si="11"/>
        <v>0</v>
      </c>
      <c r="CB25" s="172">
        <f t="shared" si="11"/>
        <v>0</v>
      </c>
      <c r="CC25" s="172">
        <f t="shared" si="11"/>
        <v>0</v>
      </c>
      <c r="CD25" s="172">
        <f t="shared" si="11"/>
        <v>0</v>
      </c>
      <c r="CE25" s="172">
        <f t="shared" si="11"/>
        <v>0</v>
      </c>
      <c r="CF25" s="172">
        <f t="shared" si="11"/>
        <v>0</v>
      </c>
      <c r="CG25" s="172">
        <f t="shared" si="11"/>
        <v>0</v>
      </c>
      <c r="CH25" s="172">
        <f t="shared" si="11"/>
        <v>0</v>
      </c>
      <c r="CI25" s="172">
        <f t="shared" si="11"/>
        <v>0</v>
      </c>
      <c r="CJ25" s="172">
        <f t="shared" si="11"/>
        <v>0</v>
      </c>
      <c r="CK25" s="172">
        <f t="shared" si="11"/>
        <v>0</v>
      </c>
      <c r="CL25" s="172">
        <f t="shared" si="11"/>
        <v>0</v>
      </c>
      <c r="CM25" s="172">
        <f t="shared" si="11"/>
        <v>0</v>
      </c>
      <c r="CN25" s="172">
        <f t="shared" si="11"/>
        <v>0</v>
      </c>
      <c r="CO25" s="172">
        <f t="shared" si="11"/>
        <v>0</v>
      </c>
      <c r="CP25" s="172">
        <f t="shared" si="11"/>
        <v>0</v>
      </c>
      <c r="CQ25" s="172">
        <f t="shared" si="11"/>
        <v>0</v>
      </c>
      <c r="CR25" s="172">
        <f t="shared" si="11"/>
        <v>0</v>
      </c>
      <c r="CS25" s="172">
        <f t="shared" si="11"/>
        <v>0</v>
      </c>
      <c r="CT25" s="172">
        <f t="shared" si="11"/>
        <v>0</v>
      </c>
      <c r="CU25" s="172">
        <f t="shared" si="11"/>
        <v>0</v>
      </c>
      <c r="CV25" s="172">
        <f t="shared" si="11"/>
        <v>0</v>
      </c>
      <c r="CW25" s="172">
        <f t="shared" si="11"/>
        <v>0</v>
      </c>
      <c r="CX25" s="172">
        <f t="shared" si="11"/>
        <v>0</v>
      </c>
      <c r="CY25" s="172">
        <f t="shared" si="11"/>
        <v>0</v>
      </c>
      <c r="CZ25" s="172">
        <f t="shared" si="11"/>
        <v>0</v>
      </c>
      <c r="DA25" s="172">
        <f t="shared" si="11"/>
        <v>0</v>
      </c>
      <c r="DB25" s="172">
        <f t="shared" si="11"/>
        <v>0</v>
      </c>
      <c r="DC25" s="172">
        <f t="shared" si="11"/>
        <v>0</v>
      </c>
      <c r="DD25" s="172">
        <f t="shared" si="11"/>
        <v>0</v>
      </c>
      <c r="DE25" s="172">
        <f t="shared" si="11"/>
        <v>0</v>
      </c>
      <c r="DF25" s="172">
        <f t="shared" si="11"/>
        <v>0</v>
      </c>
      <c r="DG25" s="172">
        <f t="shared" si="11"/>
        <v>0</v>
      </c>
      <c r="DH25" s="172">
        <f t="shared" si="11"/>
        <v>0</v>
      </c>
      <c r="DI25" s="172">
        <f t="shared" si="11"/>
        <v>0</v>
      </c>
      <c r="DJ25" s="172">
        <f t="shared" si="11"/>
        <v>0</v>
      </c>
      <c r="DK25" s="172">
        <f t="shared" si="11"/>
        <v>0</v>
      </c>
      <c r="DL25" s="172">
        <f t="shared" si="11"/>
        <v>0</v>
      </c>
      <c r="DM25" s="172">
        <f t="shared" si="11"/>
        <v>0</v>
      </c>
      <c r="DN25" s="172">
        <f t="shared" si="11"/>
        <v>0</v>
      </c>
      <c r="DO25" s="172">
        <f t="shared" si="11"/>
        <v>0</v>
      </c>
      <c r="DP25" s="172">
        <f t="shared" si="11"/>
        <v>0</v>
      </c>
      <c r="DQ25" s="172">
        <f t="shared" si="11"/>
        <v>0</v>
      </c>
      <c r="DR25" s="172">
        <f t="shared" si="11"/>
        <v>0</v>
      </c>
      <c r="DS25" s="172">
        <f t="shared" si="11"/>
        <v>0</v>
      </c>
      <c r="DT25" s="172">
        <f t="shared" si="11"/>
        <v>0</v>
      </c>
      <c r="DU25" s="172">
        <f t="shared" si="11"/>
        <v>0</v>
      </c>
      <c r="DV25" s="172">
        <f t="shared" si="11"/>
        <v>0</v>
      </c>
      <c r="DW25" s="172">
        <f t="shared" si="11"/>
        <v>0</v>
      </c>
      <c r="DX25" s="172">
        <f t="shared" si="11"/>
        <v>0</v>
      </c>
      <c r="DY25" s="172">
        <f t="shared" si="11"/>
        <v>0</v>
      </c>
      <c r="DZ25" s="172">
        <f t="shared" si="11"/>
        <v>0</v>
      </c>
      <c r="EA25" s="172">
        <f t="shared" si="11"/>
        <v>0</v>
      </c>
      <c r="EB25" s="172">
        <f t="shared" si="11"/>
        <v>0</v>
      </c>
      <c r="EC25" s="172">
        <f t="shared" si="11"/>
        <v>0</v>
      </c>
      <c r="ED25" s="172">
        <f t="shared" si="11"/>
        <v>0</v>
      </c>
      <c r="EE25" s="172">
        <f t="shared" si="11"/>
        <v>0</v>
      </c>
      <c r="EF25" s="172">
        <f t="shared" si="11"/>
        <v>0</v>
      </c>
      <c r="EG25" s="172">
        <f t="shared" si="11"/>
        <v>0</v>
      </c>
      <c r="EH25" s="172">
        <f t="shared" si="11"/>
        <v>0</v>
      </c>
      <c r="EI25" s="172">
        <f t="shared" si="11"/>
        <v>0</v>
      </c>
      <c r="EJ25" s="172">
        <f t="shared" si="11"/>
        <v>0</v>
      </c>
      <c r="EK25" s="172">
        <f t="shared" si="11"/>
        <v>0</v>
      </c>
      <c r="EL25" s="172">
        <f t="shared" si="11"/>
        <v>0</v>
      </c>
      <c r="EM25" s="172">
        <f t="shared" si="11"/>
        <v>0</v>
      </c>
      <c r="EN25" s="172">
        <f t="shared" si="11"/>
        <v>0</v>
      </c>
      <c r="EO25" s="172">
        <f t="shared" si="11"/>
        <v>0</v>
      </c>
      <c r="EP25" s="172">
        <f t="shared" si="11"/>
        <v>0</v>
      </c>
    </row>
    <row r="26" ht="15.75" customHeight="1">
      <c r="A26" s="170" t="s">
        <v>396</v>
      </c>
      <c r="B26" s="170"/>
      <c r="C26" s="172">
        <f t="shared" ref="C26:EP26" si="12">-IF(AND(C$1&gt;$B$35,C$1&lt;=($B$34+$B$35)),$B$33/$B$34,0)</f>
        <v>0</v>
      </c>
      <c r="D26" s="172">
        <f t="shared" si="12"/>
        <v>0</v>
      </c>
      <c r="E26" s="172">
        <f t="shared" si="12"/>
        <v>0</v>
      </c>
      <c r="F26" s="172">
        <f t="shared" si="12"/>
        <v>0</v>
      </c>
      <c r="G26" s="172">
        <f t="shared" si="12"/>
        <v>0</v>
      </c>
      <c r="H26" s="172">
        <f t="shared" si="12"/>
        <v>0</v>
      </c>
      <c r="I26" s="172">
        <f t="shared" si="12"/>
        <v>0</v>
      </c>
      <c r="J26" s="172">
        <f t="shared" si="12"/>
        <v>0</v>
      </c>
      <c r="K26" s="172">
        <f t="shared" si="12"/>
        <v>0</v>
      </c>
      <c r="L26" s="172">
        <f t="shared" si="12"/>
        <v>0</v>
      </c>
      <c r="M26" s="172">
        <f t="shared" si="12"/>
        <v>0</v>
      </c>
      <c r="N26" s="172">
        <f t="shared" si="12"/>
        <v>0</v>
      </c>
      <c r="O26" s="172">
        <f t="shared" si="12"/>
        <v>0</v>
      </c>
      <c r="P26" s="172">
        <f t="shared" si="12"/>
        <v>0</v>
      </c>
      <c r="Q26" s="172">
        <f t="shared" si="12"/>
        <v>0</v>
      </c>
      <c r="R26" s="172">
        <f t="shared" si="12"/>
        <v>0</v>
      </c>
      <c r="S26" s="172">
        <f t="shared" si="12"/>
        <v>0</v>
      </c>
      <c r="T26" s="172">
        <f t="shared" si="12"/>
        <v>0</v>
      </c>
      <c r="U26" s="172">
        <f t="shared" si="12"/>
        <v>0</v>
      </c>
      <c r="V26" s="172">
        <f t="shared" si="12"/>
        <v>0</v>
      </c>
      <c r="W26" s="172">
        <f t="shared" si="12"/>
        <v>0</v>
      </c>
      <c r="X26" s="172">
        <f t="shared" si="12"/>
        <v>0</v>
      </c>
      <c r="Y26" s="172">
        <f t="shared" si="12"/>
        <v>0</v>
      </c>
      <c r="Z26" s="172">
        <f t="shared" si="12"/>
        <v>0</v>
      </c>
      <c r="AA26" s="172">
        <f t="shared" si="12"/>
        <v>0</v>
      </c>
      <c r="AB26" s="172">
        <f t="shared" si="12"/>
        <v>0</v>
      </c>
      <c r="AC26" s="172">
        <f t="shared" si="12"/>
        <v>0</v>
      </c>
      <c r="AD26" s="172">
        <f t="shared" si="12"/>
        <v>0</v>
      </c>
      <c r="AE26" s="172">
        <f t="shared" si="12"/>
        <v>0</v>
      </c>
      <c r="AF26" s="172">
        <f t="shared" si="12"/>
        <v>0</v>
      </c>
      <c r="AG26" s="172">
        <f t="shared" si="12"/>
        <v>0</v>
      </c>
      <c r="AH26" s="172">
        <f t="shared" si="12"/>
        <v>0</v>
      </c>
      <c r="AI26" s="172">
        <f t="shared" si="12"/>
        <v>0</v>
      </c>
      <c r="AJ26" s="172">
        <f t="shared" si="12"/>
        <v>0</v>
      </c>
      <c r="AK26" s="172">
        <f t="shared" si="12"/>
        <v>0</v>
      </c>
      <c r="AL26" s="172">
        <f t="shared" si="12"/>
        <v>0</v>
      </c>
      <c r="AM26" s="172">
        <f t="shared" si="12"/>
        <v>0</v>
      </c>
      <c r="AN26" s="172">
        <f t="shared" si="12"/>
        <v>0</v>
      </c>
      <c r="AO26" s="172">
        <f t="shared" si="12"/>
        <v>0</v>
      </c>
      <c r="AP26" s="172">
        <f t="shared" si="12"/>
        <v>0</v>
      </c>
      <c r="AQ26" s="172">
        <f t="shared" si="12"/>
        <v>0</v>
      </c>
      <c r="AR26" s="172">
        <f t="shared" si="12"/>
        <v>0</v>
      </c>
      <c r="AS26" s="172">
        <f t="shared" si="12"/>
        <v>0</v>
      </c>
      <c r="AT26" s="172">
        <f t="shared" si="12"/>
        <v>0</v>
      </c>
      <c r="AU26" s="172">
        <f t="shared" si="12"/>
        <v>0</v>
      </c>
      <c r="AV26" s="172">
        <f t="shared" si="12"/>
        <v>0</v>
      </c>
      <c r="AW26" s="172">
        <f t="shared" si="12"/>
        <v>0</v>
      </c>
      <c r="AX26" s="172">
        <f t="shared" si="12"/>
        <v>0</v>
      </c>
      <c r="AY26" s="172">
        <f t="shared" si="12"/>
        <v>0</v>
      </c>
      <c r="AZ26" s="172">
        <f t="shared" si="12"/>
        <v>0</v>
      </c>
      <c r="BA26" s="172">
        <f t="shared" si="12"/>
        <v>0</v>
      </c>
      <c r="BB26" s="172">
        <f t="shared" si="12"/>
        <v>0</v>
      </c>
      <c r="BC26" s="172">
        <f t="shared" si="12"/>
        <v>0</v>
      </c>
      <c r="BD26" s="172">
        <f t="shared" si="12"/>
        <v>0</v>
      </c>
      <c r="BE26" s="172">
        <f t="shared" si="12"/>
        <v>0</v>
      </c>
      <c r="BF26" s="172">
        <f t="shared" si="12"/>
        <v>0</v>
      </c>
      <c r="BG26" s="172">
        <f t="shared" si="12"/>
        <v>0</v>
      </c>
      <c r="BH26" s="172">
        <f t="shared" si="12"/>
        <v>0</v>
      </c>
      <c r="BI26" s="172">
        <f t="shared" si="12"/>
        <v>0</v>
      </c>
      <c r="BJ26" s="172">
        <f t="shared" si="12"/>
        <v>0</v>
      </c>
      <c r="BK26" s="172">
        <f t="shared" si="12"/>
        <v>0</v>
      </c>
      <c r="BL26" s="172">
        <f t="shared" si="12"/>
        <v>0</v>
      </c>
      <c r="BM26" s="172">
        <f t="shared" si="12"/>
        <v>0</v>
      </c>
      <c r="BN26" s="172">
        <f t="shared" si="12"/>
        <v>0</v>
      </c>
      <c r="BO26" s="172">
        <f t="shared" si="12"/>
        <v>0</v>
      </c>
      <c r="BP26" s="172">
        <f t="shared" si="12"/>
        <v>0</v>
      </c>
      <c r="BQ26" s="172">
        <f t="shared" si="12"/>
        <v>0</v>
      </c>
      <c r="BR26" s="172">
        <f t="shared" si="12"/>
        <v>0</v>
      </c>
      <c r="BS26" s="172">
        <f t="shared" si="12"/>
        <v>0</v>
      </c>
      <c r="BT26" s="172">
        <f t="shared" si="12"/>
        <v>0</v>
      </c>
      <c r="BU26" s="172">
        <f t="shared" si="12"/>
        <v>0</v>
      </c>
      <c r="BV26" s="172">
        <f t="shared" si="12"/>
        <v>0</v>
      </c>
      <c r="BW26" s="172">
        <f t="shared" si="12"/>
        <v>0</v>
      </c>
      <c r="BX26" s="172">
        <f t="shared" si="12"/>
        <v>0</v>
      </c>
      <c r="BY26" s="172">
        <f t="shared" si="12"/>
        <v>0</v>
      </c>
      <c r="BZ26" s="172">
        <f t="shared" si="12"/>
        <v>0</v>
      </c>
      <c r="CA26" s="172">
        <f t="shared" si="12"/>
        <v>0</v>
      </c>
      <c r="CB26" s="172">
        <f t="shared" si="12"/>
        <v>0</v>
      </c>
      <c r="CC26" s="172">
        <f t="shared" si="12"/>
        <v>0</v>
      </c>
      <c r="CD26" s="172">
        <f t="shared" si="12"/>
        <v>0</v>
      </c>
      <c r="CE26" s="172">
        <f t="shared" si="12"/>
        <v>0</v>
      </c>
      <c r="CF26" s="172">
        <f t="shared" si="12"/>
        <v>0</v>
      </c>
      <c r="CG26" s="172">
        <f t="shared" si="12"/>
        <v>0</v>
      </c>
      <c r="CH26" s="172">
        <f t="shared" si="12"/>
        <v>0</v>
      </c>
      <c r="CI26" s="172">
        <f t="shared" si="12"/>
        <v>0</v>
      </c>
      <c r="CJ26" s="172">
        <f t="shared" si="12"/>
        <v>0</v>
      </c>
      <c r="CK26" s="172">
        <f t="shared" si="12"/>
        <v>0</v>
      </c>
      <c r="CL26" s="172">
        <f t="shared" si="12"/>
        <v>0</v>
      </c>
      <c r="CM26" s="172">
        <f t="shared" si="12"/>
        <v>0</v>
      </c>
      <c r="CN26" s="172">
        <f t="shared" si="12"/>
        <v>0</v>
      </c>
      <c r="CO26" s="172">
        <f t="shared" si="12"/>
        <v>0</v>
      </c>
      <c r="CP26" s="172">
        <f t="shared" si="12"/>
        <v>0</v>
      </c>
      <c r="CQ26" s="172">
        <f t="shared" si="12"/>
        <v>0</v>
      </c>
      <c r="CR26" s="172">
        <f t="shared" si="12"/>
        <v>0</v>
      </c>
      <c r="CS26" s="172">
        <f t="shared" si="12"/>
        <v>0</v>
      </c>
      <c r="CT26" s="172">
        <f t="shared" si="12"/>
        <v>0</v>
      </c>
      <c r="CU26" s="172">
        <f t="shared" si="12"/>
        <v>0</v>
      </c>
      <c r="CV26" s="172">
        <f t="shared" si="12"/>
        <v>0</v>
      </c>
      <c r="CW26" s="172">
        <f t="shared" si="12"/>
        <v>0</v>
      </c>
      <c r="CX26" s="172">
        <f t="shared" si="12"/>
        <v>0</v>
      </c>
      <c r="CY26" s="172">
        <f t="shared" si="12"/>
        <v>0</v>
      </c>
      <c r="CZ26" s="172">
        <f t="shared" si="12"/>
        <v>0</v>
      </c>
      <c r="DA26" s="172">
        <f t="shared" si="12"/>
        <v>0</v>
      </c>
      <c r="DB26" s="172">
        <f t="shared" si="12"/>
        <v>0</v>
      </c>
      <c r="DC26" s="172">
        <f t="shared" si="12"/>
        <v>0</v>
      </c>
      <c r="DD26" s="172">
        <f t="shared" si="12"/>
        <v>0</v>
      </c>
      <c r="DE26" s="172">
        <f t="shared" si="12"/>
        <v>0</v>
      </c>
      <c r="DF26" s="172">
        <f t="shared" si="12"/>
        <v>0</v>
      </c>
      <c r="DG26" s="172">
        <f t="shared" si="12"/>
        <v>0</v>
      </c>
      <c r="DH26" s="172">
        <f t="shared" si="12"/>
        <v>0</v>
      </c>
      <c r="DI26" s="172">
        <f t="shared" si="12"/>
        <v>0</v>
      </c>
      <c r="DJ26" s="172">
        <f t="shared" si="12"/>
        <v>0</v>
      </c>
      <c r="DK26" s="172">
        <f t="shared" si="12"/>
        <v>0</v>
      </c>
      <c r="DL26" s="172">
        <f t="shared" si="12"/>
        <v>0</v>
      </c>
      <c r="DM26" s="172">
        <f t="shared" si="12"/>
        <v>0</v>
      </c>
      <c r="DN26" s="172">
        <f t="shared" si="12"/>
        <v>0</v>
      </c>
      <c r="DO26" s="172">
        <f t="shared" si="12"/>
        <v>0</v>
      </c>
      <c r="DP26" s="172">
        <f t="shared" si="12"/>
        <v>0</v>
      </c>
      <c r="DQ26" s="172">
        <f t="shared" si="12"/>
        <v>0</v>
      </c>
      <c r="DR26" s="172">
        <f t="shared" si="12"/>
        <v>0</v>
      </c>
      <c r="DS26" s="172">
        <f t="shared" si="12"/>
        <v>0</v>
      </c>
      <c r="DT26" s="172">
        <f t="shared" si="12"/>
        <v>0</v>
      </c>
      <c r="DU26" s="172">
        <f t="shared" si="12"/>
        <v>0</v>
      </c>
      <c r="DV26" s="172">
        <f t="shared" si="12"/>
        <v>0</v>
      </c>
      <c r="DW26" s="172">
        <f t="shared" si="12"/>
        <v>0</v>
      </c>
      <c r="DX26" s="172">
        <f t="shared" si="12"/>
        <v>0</v>
      </c>
      <c r="DY26" s="172">
        <f t="shared" si="12"/>
        <v>0</v>
      </c>
      <c r="DZ26" s="172">
        <f t="shared" si="12"/>
        <v>0</v>
      </c>
      <c r="EA26" s="172">
        <f t="shared" si="12"/>
        <v>0</v>
      </c>
      <c r="EB26" s="172">
        <f t="shared" si="12"/>
        <v>0</v>
      </c>
      <c r="EC26" s="172">
        <f t="shared" si="12"/>
        <v>0</v>
      </c>
      <c r="ED26" s="172">
        <f t="shared" si="12"/>
        <v>0</v>
      </c>
      <c r="EE26" s="172">
        <f t="shared" si="12"/>
        <v>0</v>
      </c>
      <c r="EF26" s="172">
        <f t="shared" si="12"/>
        <v>0</v>
      </c>
      <c r="EG26" s="172">
        <f t="shared" si="12"/>
        <v>0</v>
      </c>
      <c r="EH26" s="172">
        <f t="shared" si="12"/>
        <v>0</v>
      </c>
      <c r="EI26" s="172">
        <f t="shared" si="12"/>
        <v>0</v>
      </c>
      <c r="EJ26" s="172">
        <f t="shared" si="12"/>
        <v>0</v>
      </c>
      <c r="EK26" s="172">
        <f t="shared" si="12"/>
        <v>0</v>
      </c>
      <c r="EL26" s="172">
        <f t="shared" si="12"/>
        <v>0</v>
      </c>
      <c r="EM26" s="172">
        <f t="shared" si="12"/>
        <v>0</v>
      </c>
      <c r="EN26" s="172">
        <f t="shared" si="12"/>
        <v>0</v>
      </c>
      <c r="EO26" s="172">
        <f t="shared" si="12"/>
        <v>0</v>
      </c>
      <c r="EP26" s="172">
        <f t="shared" si="12"/>
        <v>0</v>
      </c>
    </row>
    <row r="27" ht="15.75" customHeight="1">
      <c r="A27" s="170" t="s">
        <v>397</v>
      </c>
      <c r="B27" s="170"/>
      <c r="C27" s="172">
        <f t="shared" ref="C27:EP27" si="13">IF(AND(C$1&gt;$B$35,$B$35&gt;=0),C$24*$B$36/12,0)</f>
        <v>0</v>
      </c>
      <c r="D27" s="172">
        <f t="shared" si="13"/>
        <v>0</v>
      </c>
      <c r="E27" s="172">
        <f t="shared" si="13"/>
        <v>0</v>
      </c>
      <c r="F27" s="172">
        <f t="shared" si="13"/>
        <v>0</v>
      </c>
      <c r="G27" s="172">
        <f t="shared" si="13"/>
        <v>0</v>
      </c>
      <c r="H27" s="172">
        <f t="shared" si="13"/>
        <v>0</v>
      </c>
      <c r="I27" s="172">
        <f t="shared" si="13"/>
        <v>0</v>
      </c>
      <c r="J27" s="172">
        <f t="shared" si="13"/>
        <v>0</v>
      </c>
      <c r="K27" s="172">
        <f t="shared" si="13"/>
        <v>0</v>
      </c>
      <c r="L27" s="172">
        <f t="shared" si="13"/>
        <v>0</v>
      </c>
      <c r="M27" s="172">
        <f t="shared" si="13"/>
        <v>0</v>
      </c>
      <c r="N27" s="172">
        <f t="shared" si="13"/>
        <v>0</v>
      </c>
      <c r="O27" s="172">
        <f t="shared" si="13"/>
        <v>0</v>
      </c>
      <c r="P27" s="172">
        <f t="shared" si="13"/>
        <v>0</v>
      </c>
      <c r="Q27" s="172">
        <f t="shared" si="13"/>
        <v>0</v>
      </c>
      <c r="R27" s="172">
        <f t="shared" si="13"/>
        <v>0</v>
      </c>
      <c r="S27" s="172">
        <f t="shared" si="13"/>
        <v>0</v>
      </c>
      <c r="T27" s="172">
        <f t="shared" si="13"/>
        <v>0</v>
      </c>
      <c r="U27" s="172">
        <f t="shared" si="13"/>
        <v>0</v>
      </c>
      <c r="V27" s="172">
        <f t="shared" si="13"/>
        <v>0</v>
      </c>
      <c r="W27" s="172">
        <f t="shared" si="13"/>
        <v>0</v>
      </c>
      <c r="X27" s="172">
        <f t="shared" si="13"/>
        <v>0</v>
      </c>
      <c r="Y27" s="172">
        <f t="shared" si="13"/>
        <v>0</v>
      </c>
      <c r="Z27" s="172">
        <f t="shared" si="13"/>
        <v>0</v>
      </c>
      <c r="AA27" s="172">
        <f t="shared" si="13"/>
        <v>0</v>
      </c>
      <c r="AB27" s="172">
        <f t="shared" si="13"/>
        <v>0</v>
      </c>
      <c r="AC27" s="172">
        <f t="shared" si="13"/>
        <v>0</v>
      </c>
      <c r="AD27" s="172">
        <f t="shared" si="13"/>
        <v>0</v>
      </c>
      <c r="AE27" s="172">
        <f t="shared" si="13"/>
        <v>0</v>
      </c>
      <c r="AF27" s="172">
        <f t="shared" si="13"/>
        <v>0</v>
      </c>
      <c r="AG27" s="172">
        <f t="shared" si="13"/>
        <v>0</v>
      </c>
      <c r="AH27" s="172">
        <f t="shared" si="13"/>
        <v>0</v>
      </c>
      <c r="AI27" s="172">
        <f t="shared" si="13"/>
        <v>0</v>
      </c>
      <c r="AJ27" s="172">
        <f t="shared" si="13"/>
        <v>0</v>
      </c>
      <c r="AK27" s="172">
        <f t="shared" si="13"/>
        <v>0</v>
      </c>
      <c r="AL27" s="172">
        <f t="shared" si="13"/>
        <v>0</v>
      </c>
      <c r="AM27" s="172">
        <f t="shared" si="13"/>
        <v>0</v>
      </c>
      <c r="AN27" s="172">
        <f t="shared" si="13"/>
        <v>0</v>
      </c>
      <c r="AO27" s="172">
        <f t="shared" si="13"/>
        <v>0</v>
      </c>
      <c r="AP27" s="172">
        <f t="shared" si="13"/>
        <v>0</v>
      </c>
      <c r="AQ27" s="172">
        <f t="shared" si="13"/>
        <v>0</v>
      </c>
      <c r="AR27" s="172">
        <f t="shared" si="13"/>
        <v>0</v>
      </c>
      <c r="AS27" s="172">
        <f t="shared" si="13"/>
        <v>0</v>
      </c>
      <c r="AT27" s="172">
        <f t="shared" si="13"/>
        <v>0</v>
      </c>
      <c r="AU27" s="172">
        <f t="shared" si="13"/>
        <v>0</v>
      </c>
      <c r="AV27" s="172">
        <f t="shared" si="13"/>
        <v>0</v>
      </c>
      <c r="AW27" s="172">
        <f t="shared" si="13"/>
        <v>0</v>
      </c>
      <c r="AX27" s="172">
        <f t="shared" si="13"/>
        <v>0</v>
      </c>
      <c r="AY27" s="172">
        <f t="shared" si="13"/>
        <v>0</v>
      </c>
      <c r="AZ27" s="172">
        <f t="shared" si="13"/>
        <v>0</v>
      </c>
      <c r="BA27" s="172">
        <f t="shared" si="13"/>
        <v>0</v>
      </c>
      <c r="BB27" s="172">
        <f t="shared" si="13"/>
        <v>0</v>
      </c>
      <c r="BC27" s="172">
        <f t="shared" si="13"/>
        <v>0</v>
      </c>
      <c r="BD27" s="172">
        <f t="shared" si="13"/>
        <v>0</v>
      </c>
      <c r="BE27" s="172">
        <f t="shared" si="13"/>
        <v>0</v>
      </c>
      <c r="BF27" s="172">
        <f t="shared" si="13"/>
        <v>0</v>
      </c>
      <c r="BG27" s="172">
        <f t="shared" si="13"/>
        <v>0</v>
      </c>
      <c r="BH27" s="172">
        <f t="shared" si="13"/>
        <v>0</v>
      </c>
      <c r="BI27" s="172">
        <f t="shared" si="13"/>
        <v>0</v>
      </c>
      <c r="BJ27" s="172">
        <f t="shared" si="13"/>
        <v>0</v>
      </c>
      <c r="BK27" s="172">
        <f t="shared" si="13"/>
        <v>0</v>
      </c>
      <c r="BL27" s="172">
        <f t="shared" si="13"/>
        <v>0</v>
      </c>
      <c r="BM27" s="172">
        <f t="shared" si="13"/>
        <v>0</v>
      </c>
      <c r="BN27" s="172">
        <f t="shared" si="13"/>
        <v>0</v>
      </c>
      <c r="BO27" s="172">
        <f t="shared" si="13"/>
        <v>0</v>
      </c>
      <c r="BP27" s="172">
        <f t="shared" si="13"/>
        <v>0</v>
      </c>
      <c r="BQ27" s="172">
        <f t="shared" si="13"/>
        <v>0</v>
      </c>
      <c r="BR27" s="172">
        <f t="shared" si="13"/>
        <v>0</v>
      </c>
      <c r="BS27" s="172">
        <f t="shared" si="13"/>
        <v>0</v>
      </c>
      <c r="BT27" s="172">
        <f t="shared" si="13"/>
        <v>0</v>
      </c>
      <c r="BU27" s="172">
        <f t="shared" si="13"/>
        <v>0</v>
      </c>
      <c r="BV27" s="172">
        <f t="shared" si="13"/>
        <v>0</v>
      </c>
      <c r="BW27" s="172">
        <f t="shared" si="13"/>
        <v>0</v>
      </c>
      <c r="BX27" s="172">
        <f t="shared" si="13"/>
        <v>0</v>
      </c>
      <c r="BY27" s="172">
        <f t="shared" si="13"/>
        <v>0</v>
      </c>
      <c r="BZ27" s="172">
        <f t="shared" si="13"/>
        <v>0</v>
      </c>
      <c r="CA27" s="172">
        <f t="shared" si="13"/>
        <v>0</v>
      </c>
      <c r="CB27" s="172">
        <f t="shared" si="13"/>
        <v>0</v>
      </c>
      <c r="CC27" s="172">
        <f t="shared" si="13"/>
        <v>0</v>
      </c>
      <c r="CD27" s="172">
        <f t="shared" si="13"/>
        <v>0</v>
      </c>
      <c r="CE27" s="172">
        <f t="shared" si="13"/>
        <v>0</v>
      </c>
      <c r="CF27" s="172">
        <f t="shared" si="13"/>
        <v>0</v>
      </c>
      <c r="CG27" s="172">
        <f t="shared" si="13"/>
        <v>0</v>
      </c>
      <c r="CH27" s="172">
        <f t="shared" si="13"/>
        <v>0</v>
      </c>
      <c r="CI27" s="172">
        <f t="shared" si="13"/>
        <v>0</v>
      </c>
      <c r="CJ27" s="172">
        <f t="shared" si="13"/>
        <v>0</v>
      </c>
      <c r="CK27" s="172">
        <f t="shared" si="13"/>
        <v>0</v>
      </c>
      <c r="CL27" s="172">
        <f t="shared" si="13"/>
        <v>0</v>
      </c>
      <c r="CM27" s="172">
        <f t="shared" si="13"/>
        <v>0</v>
      </c>
      <c r="CN27" s="172">
        <f t="shared" si="13"/>
        <v>0</v>
      </c>
      <c r="CO27" s="172">
        <f t="shared" si="13"/>
        <v>0</v>
      </c>
      <c r="CP27" s="172">
        <f t="shared" si="13"/>
        <v>0</v>
      </c>
      <c r="CQ27" s="172">
        <f t="shared" si="13"/>
        <v>0</v>
      </c>
      <c r="CR27" s="172">
        <f t="shared" si="13"/>
        <v>0</v>
      </c>
      <c r="CS27" s="172">
        <f t="shared" si="13"/>
        <v>0</v>
      </c>
      <c r="CT27" s="172">
        <f t="shared" si="13"/>
        <v>0</v>
      </c>
      <c r="CU27" s="172">
        <f t="shared" si="13"/>
        <v>0</v>
      </c>
      <c r="CV27" s="172">
        <f t="shared" si="13"/>
        <v>0</v>
      </c>
      <c r="CW27" s="172">
        <f t="shared" si="13"/>
        <v>0</v>
      </c>
      <c r="CX27" s="172">
        <f t="shared" si="13"/>
        <v>0</v>
      </c>
      <c r="CY27" s="172">
        <f t="shared" si="13"/>
        <v>0</v>
      </c>
      <c r="CZ27" s="172">
        <f t="shared" si="13"/>
        <v>0</v>
      </c>
      <c r="DA27" s="172">
        <f t="shared" si="13"/>
        <v>0</v>
      </c>
      <c r="DB27" s="172">
        <f t="shared" si="13"/>
        <v>0</v>
      </c>
      <c r="DC27" s="172">
        <f t="shared" si="13"/>
        <v>0</v>
      </c>
      <c r="DD27" s="172">
        <f t="shared" si="13"/>
        <v>0</v>
      </c>
      <c r="DE27" s="172">
        <f t="shared" si="13"/>
        <v>0</v>
      </c>
      <c r="DF27" s="172">
        <f t="shared" si="13"/>
        <v>0</v>
      </c>
      <c r="DG27" s="172">
        <f t="shared" si="13"/>
        <v>0</v>
      </c>
      <c r="DH27" s="172">
        <f t="shared" si="13"/>
        <v>0</v>
      </c>
      <c r="DI27" s="172">
        <f t="shared" si="13"/>
        <v>0</v>
      </c>
      <c r="DJ27" s="172">
        <f t="shared" si="13"/>
        <v>0</v>
      </c>
      <c r="DK27" s="172">
        <f t="shared" si="13"/>
        <v>0</v>
      </c>
      <c r="DL27" s="172">
        <f t="shared" si="13"/>
        <v>0</v>
      </c>
      <c r="DM27" s="172">
        <f t="shared" si="13"/>
        <v>0</v>
      </c>
      <c r="DN27" s="172">
        <f t="shared" si="13"/>
        <v>0</v>
      </c>
      <c r="DO27" s="172">
        <f t="shared" si="13"/>
        <v>0</v>
      </c>
      <c r="DP27" s="172">
        <f t="shared" si="13"/>
        <v>0</v>
      </c>
      <c r="DQ27" s="172">
        <f t="shared" si="13"/>
        <v>0</v>
      </c>
      <c r="DR27" s="172">
        <f t="shared" si="13"/>
        <v>0</v>
      </c>
      <c r="DS27" s="172">
        <f t="shared" si="13"/>
        <v>0</v>
      </c>
      <c r="DT27" s="172">
        <f t="shared" si="13"/>
        <v>0</v>
      </c>
      <c r="DU27" s="172">
        <f t="shared" si="13"/>
        <v>0</v>
      </c>
      <c r="DV27" s="172">
        <f t="shared" si="13"/>
        <v>0</v>
      </c>
      <c r="DW27" s="172">
        <f t="shared" si="13"/>
        <v>0</v>
      </c>
      <c r="DX27" s="172">
        <f t="shared" si="13"/>
        <v>0</v>
      </c>
      <c r="DY27" s="172">
        <f t="shared" si="13"/>
        <v>0</v>
      </c>
      <c r="DZ27" s="172">
        <f t="shared" si="13"/>
        <v>0</v>
      </c>
      <c r="EA27" s="172">
        <f t="shared" si="13"/>
        <v>0</v>
      </c>
      <c r="EB27" s="172">
        <f t="shared" si="13"/>
        <v>0</v>
      </c>
      <c r="EC27" s="172">
        <f t="shared" si="13"/>
        <v>0</v>
      </c>
      <c r="ED27" s="172">
        <f t="shared" si="13"/>
        <v>0</v>
      </c>
      <c r="EE27" s="172">
        <f t="shared" si="13"/>
        <v>0</v>
      </c>
      <c r="EF27" s="172">
        <f t="shared" si="13"/>
        <v>0</v>
      </c>
      <c r="EG27" s="172">
        <f t="shared" si="13"/>
        <v>0</v>
      </c>
      <c r="EH27" s="172">
        <f t="shared" si="13"/>
        <v>0</v>
      </c>
      <c r="EI27" s="172">
        <f t="shared" si="13"/>
        <v>0</v>
      </c>
      <c r="EJ27" s="172">
        <f t="shared" si="13"/>
        <v>0</v>
      </c>
      <c r="EK27" s="172">
        <f t="shared" si="13"/>
        <v>0</v>
      </c>
      <c r="EL27" s="172">
        <f t="shared" si="13"/>
        <v>0</v>
      </c>
      <c r="EM27" s="172">
        <f t="shared" si="13"/>
        <v>0</v>
      </c>
      <c r="EN27" s="172">
        <f t="shared" si="13"/>
        <v>0</v>
      </c>
      <c r="EO27" s="172">
        <f t="shared" si="13"/>
        <v>0</v>
      </c>
      <c r="EP27" s="172">
        <f t="shared" si="13"/>
        <v>0</v>
      </c>
    </row>
    <row r="28" ht="15.75" customHeight="1">
      <c r="A28" s="170" t="s">
        <v>398</v>
      </c>
      <c r="B28" s="170"/>
      <c r="C28" s="172">
        <f t="shared" ref="C28:EP28" si="14">-C27</f>
        <v>0</v>
      </c>
      <c r="D28" s="172">
        <f t="shared" si="14"/>
        <v>0</v>
      </c>
      <c r="E28" s="172">
        <f t="shared" si="14"/>
        <v>0</v>
      </c>
      <c r="F28" s="172">
        <f t="shared" si="14"/>
        <v>0</v>
      </c>
      <c r="G28" s="172">
        <f t="shared" si="14"/>
        <v>0</v>
      </c>
      <c r="H28" s="172">
        <f t="shared" si="14"/>
        <v>0</v>
      </c>
      <c r="I28" s="172">
        <f t="shared" si="14"/>
        <v>0</v>
      </c>
      <c r="J28" s="172">
        <f t="shared" si="14"/>
        <v>0</v>
      </c>
      <c r="K28" s="172">
        <f t="shared" si="14"/>
        <v>0</v>
      </c>
      <c r="L28" s="172">
        <f t="shared" si="14"/>
        <v>0</v>
      </c>
      <c r="M28" s="172">
        <f t="shared" si="14"/>
        <v>0</v>
      </c>
      <c r="N28" s="172">
        <f t="shared" si="14"/>
        <v>0</v>
      </c>
      <c r="O28" s="172">
        <f t="shared" si="14"/>
        <v>0</v>
      </c>
      <c r="P28" s="172">
        <f t="shared" si="14"/>
        <v>0</v>
      </c>
      <c r="Q28" s="172">
        <f t="shared" si="14"/>
        <v>0</v>
      </c>
      <c r="R28" s="172">
        <f t="shared" si="14"/>
        <v>0</v>
      </c>
      <c r="S28" s="172">
        <f t="shared" si="14"/>
        <v>0</v>
      </c>
      <c r="T28" s="172">
        <f t="shared" si="14"/>
        <v>0</v>
      </c>
      <c r="U28" s="172">
        <f t="shared" si="14"/>
        <v>0</v>
      </c>
      <c r="V28" s="172">
        <f t="shared" si="14"/>
        <v>0</v>
      </c>
      <c r="W28" s="172">
        <f t="shared" si="14"/>
        <v>0</v>
      </c>
      <c r="X28" s="172">
        <f t="shared" si="14"/>
        <v>0</v>
      </c>
      <c r="Y28" s="172">
        <f t="shared" si="14"/>
        <v>0</v>
      </c>
      <c r="Z28" s="172">
        <f t="shared" si="14"/>
        <v>0</v>
      </c>
      <c r="AA28" s="172">
        <f t="shared" si="14"/>
        <v>0</v>
      </c>
      <c r="AB28" s="172">
        <f t="shared" si="14"/>
        <v>0</v>
      </c>
      <c r="AC28" s="172">
        <f t="shared" si="14"/>
        <v>0</v>
      </c>
      <c r="AD28" s="172">
        <f t="shared" si="14"/>
        <v>0</v>
      </c>
      <c r="AE28" s="172">
        <f t="shared" si="14"/>
        <v>0</v>
      </c>
      <c r="AF28" s="172">
        <f t="shared" si="14"/>
        <v>0</v>
      </c>
      <c r="AG28" s="172">
        <f t="shared" si="14"/>
        <v>0</v>
      </c>
      <c r="AH28" s="172">
        <f t="shared" si="14"/>
        <v>0</v>
      </c>
      <c r="AI28" s="172">
        <f t="shared" si="14"/>
        <v>0</v>
      </c>
      <c r="AJ28" s="172">
        <f t="shared" si="14"/>
        <v>0</v>
      </c>
      <c r="AK28" s="172">
        <f t="shared" si="14"/>
        <v>0</v>
      </c>
      <c r="AL28" s="172">
        <f t="shared" si="14"/>
        <v>0</v>
      </c>
      <c r="AM28" s="172">
        <f t="shared" si="14"/>
        <v>0</v>
      </c>
      <c r="AN28" s="172">
        <f t="shared" si="14"/>
        <v>0</v>
      </c>
      <c r="AO28" s="172">
        <f t="shared" si="14"/>
        <v>0</v>
      </c>
      <c r="AP28" s="172">
        <f t="shared" si="14"/>
        <v>0</v>
      </c>
      <c r="AQ28" s="172">
        <f t="shared" si="14"/>
        <v>0</v>
      </c>
      <c r="AR28" s="172">
        <f t="shared" si="14"/>
        <v>0</v>
      </c>
      <c r="AS28" s="172">
        <f t="shared" si="14"/>
        <v>0</v>
      </c>
      <c r="AT28" s="172">
        <f t="shared" si="14"/>
        <v>0</v>
      </c>
      <c r="AU28" s="172">
        <f t="shared" si="14"/>
        <v>0</v>
      </c>
      <c r="AV28" s="172">
        <f t="shared" si="14"/>
        <v>0</v>
      </c>
      <c r="AW28" s="172">
        <f t="shared" si="14"/>
        <v>0</v>
      </c>
      <c r="AX28" s="172">
        <f t="shared" si="14"/>
        <v>0</v>
      </c>
      <c r="AY28" s="172">
        <f t="shared" si="14"/>
        <v>0</v>
      </c>
      <c r="AZ28" s="172">
        <f t="shared" si="14"/>
        <v>0</v>
      </c>
      <c r="BA28" s="172">
        <f t="shared" si="14"/>
        <v>0</v>
      </c>
      <c r="BB28" s="172">
        <f t="shared" si="14"/>
        <v>0</v>
      </c>
      <c r="BC28" s="172">
        <f t="shared" si="14"/>
        <v>0</v>
      </c>
      <c r="BD28" s="172">
        <f t="shared" si="14"/>
        <v>0</v>
      </c>
      <c r="BE28" s="172">
        <f t="shared" si="14"/>
        <v>0</v>
      </c>
      <c r="BF28" s="172">
        <f t="shared" si="14"/>
        <v>0</v>
      </c>
      <c r="BG28" s="172">
        <f t="shared" si="14"/>
        <v>0</v>
      </c>
      <c r="BH28" s="172">
        <f t="shared" si="14"/>
        <v>0</v>
      </c>
      <c r="BI28" s="172">
        <f t="shared" si="14"/>
        <v>0</v>
      </c>
      <c r="BJ28" s="172">
        <f t="shared" si="14"/>
        <v>0</v>
      </c>
      <c r="BK28" s="172">
        <f t="shared" si="14"/>
        <v>0</v>
      </c>
      <c r="BL28" s="172">
        <f t="shared" si="14"/>
        <v>0</v>
      </c>
      <c r="BM28" s="172">
        <f t="shared" si="14"/>
        <v>0</v>
      </c>
      <c r="BN28" s="172">
        <f t="shared" si="14"/>
        <v>0</v>
      </c>
      <c r="BO28" s="172">
        <f t="shared" si="14"/>
        <v>0</v>
      </c>
      <c r="BP28" s="172">
        <f t="shared" si="14"/>
        <v>0</v>
      </c>
      <c r="BQ28" s="172">
        <f t="shared" si="14"/>
        <v>0</v>
      </c>
      <c r="BR28" s="172">
        <f t="shared" si="14"/>
        <v>0</v>
      </c>
      <c r="BS28" s="172">
        <f t="shared" si="14"/>
        <v>0</v>
      </c>
      <c r="BT28" s="172">
        <f t="shared" si="14"/>
        <v>0</v>
      </c>
      <c r="BU28" s="172">
        <f t="shared" si="14"/>
        <v>0</v>
      </c>
      <c r="BV28" s="172">
        <f t="shared" si="14"/>
        <v>0</v>
      </c>
      <c r="BW28" s="172">
        <f t="shared" si="14"/>
        <v>0</v>
      </c>
      <c r="BX28" s="172">
        <f t="shared" si="14"/>
        <v>0</v>
      </c>
      <c r="BY28" s="172">
        <f t="shared" si="14"/>
        <v>0</v>
      </c>
      <c r="BZ28" s="172">
        <f t="shared" si="14"/>
        <v>0</v>
      </c>
      <c r="CA28" s="172">
        <f t="shared" si="14"/>
        <v>0</v>
      </c>
      <c r="CB28" s="172">
        <f t="shared" si="14"/>
        <v>0</v>
      </c>
      <c r="CC28" s="172">
        <f t="shared" si="14"/>
        <v>0</v>
      </c>
      <c r="CD28" s="172">
        <f t="shared" si="14"/>
        <v>0</v>
      </c>
      <c r="CE28" s="172">
        <f t="shared" si="14"/>
        <v>0</v>
      </c>
      <c r="CF28" s="172">
        <f t="shared" si="14"/>
        <v>0</v>
      </c>
      <c r="CG28" s="172">
        <f t="shared" si="14"/>
        <v>0</v>
      </c>
      <c r="CH28" s="172">
        <f t="shared" si="14"/>
        <v>0</v>
      </c>
      <c r="CI28" s="172">
        <f t="shared" si="14"/>
        <v>0</v>
      </c>
      <c r="CJ28" s="172">
        <f t="shared" si="14"/>
        <v>0</v>
      </c>
      <c r="CK28" s="172">
        <f t="shared" si="14"/>
        <v>0</v>
      </c>
      <c r="CL28" s="172">
        <f t="shared" si="14"/>
        <v>0</v>
      </c>
      <c r="CM28" s="172">
        <f t="shared" si="14"/>
        <v>0</v>
      </c>
      <c r="CN28" s="172">
        <f t="shared" si="14"/>
        <v>0</v>
      </c>
      <c r="CO28" s="172">
        <f t="shared" si="14"/>
        <v>0</v>
      </c>
      <c r="CP28" s="172">
        <f t="shared" si="14"/>
        <v>0</v>
      </c>
      <c r="CQ28" s="172">
        <f t="shared" si="14"/>
        <v>0</v>
      </c>
      <c r="CR28" s="172">
        <f t="shared" si="14"/>
        <v>0</v>
      </c>
      <c r="CS28" s="172">
        <f t="shared" si="14"/>
        <v>0</v>
      </c>
      <c r="CT28" s="172">
        <f t="shared" si="14"/>
        <v>0</v>
      </c>
      <c r="CU28" s="172">
        <f t="shared" si="14"/>
        <v>0</v>
      </c>
      <c r="CV28" s="172">
        <f t="shared" si="14"/>
        <v>0</v>
      </c>
      <c r="CW28" s="172">
        <f t="shared" si="14"/>
        <v>0</v>
      </c>
      <c r="CX28" s="172">
        <f t="shared" si="14"/>
        <v>0</v>
      </c>
      <c r="CY28" s="172">
        <f t="shared" si="14"/>
        <v>0</v>
      </c>
      <c r="CZ28" s="172">
        <f t="shared" si="14"/>
        <v>0</v>
      </c>
      <c r="DA28" s="172">
        <f t="shared" si="14"/>
        <v>0</v>
      </c>
      <c r="DB28" s="172">
        <f t="shared" si="14"/>
        <v>0</v>
      </c>
      <c r="DC28" s="172">
        <f t="shared" si="14"/>
        <v>0</v>
      </c>
      <c r="DD28" s="172">
        <f t="shared" si="14"/>
        <v>0</v>
      </c>
      <c r="DE28" s="172">
        <f t="shared" si="14"/>
        <v>0</v>
      </c>
      <c r="DF28" s="172">
        <f t="shared" si="14"/>
        <v>0</v>
      </c>
      <c r="DG28" s="172">
        <f t="shared" si="14"/>
        <v>0</v>
      </c>
      <c r="DH28" s="172">
        <f t="shared" si="14"/>
        <v>0</v>
      </c>
      <c r="DI28" s="172">
        <f t="shared" si="14"/>
        <v>0</v>
      </c>
      <c r="DJ28" s="172">
        <f t="shared" si="14"/>
        <v>0</v>
      </c>
      <c r="DK28" s="172">
        <f t="shared" si="14"/>
        <v>0</v>
      </c>
      <c r="DL28" s="172">
        <f t="shared" si="14"/>
        <v>0</v>
      </c>
      <c r="DM28" s="172">
        <f t="shared" si="14"/>
        <v>0</v>
      </c>
      <c r="DN28" s="172">
        <f t="shared" si="14"/>
        <v>0</v>
      </c>
      <c r="DO28" s="172">
        <f t="shared" si="14"/>
        <v>0</v>
      </c>
      <c r="DP28" s="172">
        <f t="shared" si="14"/>
        <v>0</v>
      </c>
      <c r="DQ28" s="172">
        <f t="shared" si="14"/>
        <v>0</v>
      </c>
      <c r="DR28" s="172">
        <f t="shared" si="14"/>
        <v>0</v>
      </c>
      <c r="DS28" s="172">
        <f t="shared" si="14"/>
        <v>0</v>
      </c>
      <c r="DT28" s="172">
        <f t="shared" si="14"/>
        <v>0</v>
      </c>
      <c r="DU28" s="172">
        <f t="shared" si="14"/>
        <v>0</v>
      </c>
      <c r="DV28" s="172">
        <f t="shared" si="14"/>
        <v>0</v>
      </c>
      <c r="DW28" s="172">
        <f t="shared" si="14"/>
        <v>0</v>
      </c>
      <c r="DX28" s="172">
        <f t="shared" si="14"/>
        <v>0</v>
      </c>
      <c r="DY28" s="172">
        <f t="shared" si="14"/>
        <v>0</v>
      </c>
      <c r="DZ28" s="172">
        <f t="shared" si="14"/>
        <v>0</v>
      </c>
      <c r="EA28" s="172">
        <f t="shared" si="14"/>
        <v>0</v>
      </c>
      <c r="EB28" s="172">
        <f t="shared" si="14"/>
        <v>0</v>
      </c>
      <c r="EC28" s="172">
        <f t="shared" si="14"/>
        <v>0</v>
      </c>
      <c r="ED28" s="172">
        <f t="shared" si="14"/>
        <v>0</v>
      </c>
      <c r="EE28" s="172">
        <f t="shared" si="14"/>
        <v>0</v>
      </c>
      <c r="EF28" s="172">
        <f t="shared" si="14"/>
        <v>0</v>
      </c>
      <c r="EG28" s="172">
        <f t="shared" si="14"/>
        <v>0</v>
      </c>
      <c r="EH28" s="172">
        <f t="shared" si="14"/>
        <v>0</v>
      </c>
      <c r="EI28" s="172">
        <f t="shared" si="14"/>
        <v>0</v>
      </c>
      <c r="EJ28" s="172">
        <f t="shared" si="14"/>
        <v>0</v>
      </c>
      <c r="EK28" s="172">
        <f t="shared" si="14"/>
        <v>0</v>
      </c>
      <c r="EL28" s="172">
        <f t="shared" si="14"/>
        <v>0</v>
      </c>
      <c r="EM28" s="172">
        <f t="shared" si="14"/>
        <v>0</v>
      </c>
      <c r="EN28" s="172">
        <f t="shared" si="14"/>
        <v>0</v>
      </c>
      <c r="EO28" s="172">
        <f t="shared" si="14"/>
        <v>0</v>
      </c>
      <c r="EP28" s="172">
        <f t="shared" si="14"/>
        <v>0</v>
      </c>
    </row>
    <row r="29" ht="15.75" customHeight="1">
      <c r="A29" s="173" t="s">
        <v>399</v>
      </c>
      <c r="B29" s="174"/>
      <c r="C29" s="175">
        <f t="shared" ref="C29:EP29" si="15">SUM(C24:C28)</f>
        <v>0</v>
      </c>
      <c r="D29" s="175">
        <f t="shared" si="15"/>
        <v>0</v>
      </c>
      <c r="E29" s="175">
        <f t="shared" si="15"/>
        <v>0</v>
      </c>
      <c r="F29" s="175">
        <f t="shared" si="15"/>
        <v>0</v>
      </c>
      <c r="G29" s="175">
        <f t="shared" si="15"/>
        <v>0</v>
      </c>
      <c r="H29" s="175">
        <f t="shared" si="15"/>
        <v>0</v>
      </c>
      <c r="I29" s="175">
        <f t="shared" si="15"/>
        <v>0</v>
      </c>
      <c r="J29" s="175">
        <f t="shared" si="15"/>
        <v>0</v>
      </c>
      <c r="K29" s="175">
        <f t="shared" si="15"/>
        <v>0</v>
      </c>
      <c r="L29" s="175">
        <f t="shared" si="15"/>
        <v>0</v>
      </c>
      <c r="M29" s="175">
        <f t="shared" si="15"/>
        <v>0</v>
      </c>
      <c r="N29" s="175">
        <f t="shared" si="15"/>
        <v>0</v>
      </c>
      <c r="O29" s="175">
        <f t="shared" si="15"/>
        <v>0</v>
      </c>
      <c r="P29" s="175">
        <f t="shared" si="15"/>
        <v>0</v>
      </c>
      <c r="Q29" s="175">
        <f t="shared" si="15"/>
        <v>0</v>
      </c>
      <c r="R29" s="175">
        <f t="shared" si="15"/>
        <v>0</v>
      </c>
      <c r="S29" s="175">
        <f t="shared" si="15"/>
        <v>0</v>
      </c>
      <c r="T29" s="175">
        <f t="shared" si="15"/>
        <v>0</v>
      </c>
      <c r="U29" s="175">
        <f t="shared" si="15"/>
        <v>0</v>
      </c>
      <c r="V29" s="175">
        <f t="shared" si="15"/>
        <v>0</v>
      </c>
      <c r="W29" s="175">
        <f t="shared" si="15"/>
        <v>0</v>
      </c>
      <c r="X29" s="175">
        <f t="shared" si="15"/>
        <v>0</v>
      </c>
      <c r="Y29" s="175">
        <f t="shared" si="15"/>
        <v>0</v>
      </c>
      <c r="Z29" s="175">
        <f t="shared" si="15"/>
        <v>0</v>
      </c>
      <c r="AA29" s="175">
        <f t="shared" si="15"/>
        <v>0</v>
      </c>
      <c r="AB29" s="175">
        <f t="shared" si="15"/>
        <v>0</v>
      </c>
      <c r="AC29" s="175">
        <f t="shared" si="15"/>
        <v>0</v>
      </c>
      <c r="AD29" s="175">
        <f t="shared" si="15"/>
        <v>0</v>
      </c>
      <c r="AE29" s="175">
        <f t="shared" si="15"/>
        <v>0</v>
      </c>
      <c r="AF29" s="175">
        <f t="shared" si="15"/>
        <v>0</v>
      </c>
      <c r="AG29" s="175">
        <f t="shared" si="15"/>
        <v>0</v>
      </c>
      <c r="AH29" s="175">
        <f t="shared" si="15"/>
        <v>0</v>
      </c>
      <c r="AI29" s="175">
        <f t="shared" si="15"/>
        <v>0</v>
      </c>
      <c r="AJ29" s="175">
        <f t="shared" si="15"/>
        <v>0</v>
      </c>
      <c r="AK29" s="175">
        <f t="shared" si="15"/>
        <v>0</v>
      </c>
      <c r="AL29" s="175">
        <f t="shared" si="15"/>
        <v>0</v>
      </c>
      <c r="AM29" s="175">
        <f t="shared" si="15"/>
        <v>0</v>
      </c>
      <c r="AN29" s="175">
        <f t="shared" si="15"/>
        <v>0</v>
      </c>
      <c r="AO29" s="175">
        <f t="shared" si="15"/>
        <v>0</v>
      </c>
      <c r="AP29" s="175">
        <f t="shared" si="15"/>
        <v>0</v>
      </c>
      <c r="AQ29" s="175">
        <f t="shared" si="15"/>
        <v>0</v>
      </c>
      <c r="AR29" s="175">
        <f t="shared" si="15"/>
        <v>0</v>
      </c>
      <c r="AS29" s="175">
        <f t="shared" si="15"/>
        <v>0</v>
      </c>
      <c r="AT29" s="175">
        <f t="shared" si="15"/>
        <v>0</v>
      </c>
      <c r="AU29" s="175">
        <f t="shared" si="15"/>
        <v>0</v>
      </c>
      <c r="AV29" s="175">
        <f t="shared" si="15"/>
        <v>0</v>
      </c>
      <c r="AW29" s="175">
        <f t="shared" si="15"/>
        <v>0</v>
      </c>
      <c r="AX29" s="175">
        <f t="shared" si="15"/>
        <v>0</v>
      </c>
      <c r="AY29" s="175">
        <f t="shared" si="15"/>
        <v>0</v>
      </c>
      <c r="AZ29" s="175">
        <f t="shared" si="15"/>
        <v>0</v>
      </c>
      <c r="BA29" s="175">
        <f t="shared" si="15"/>
        <v>0</v>
      </c>
      <c r="BB29" s="175">
        <f t="shared" si="15"/>
        <v>0</v>
      </c>
      <c r="BC29" s="175">
        <f t="shared" si="15"/>
        <v>0</v>
      </c>
      <c r="BD29" s="175">
        <f t="shared" si="15"/>
        <v>0</v>
      </c>
      <c r="BE29" s="175">
        <f t="shared" si="15"/>
        <v>0</v>
      </c>
      <c r="BF29" s="175">
        <f t="shared" si="15"/>
        <v>0</v>
      </c>
      <c r="BG29" s="175">
        <f t="shared" si="15"/>
        <v>0</v>
      </c>
      <c r="BH29" s="175">
        <f t="shared" si="15"/>
        <v>0</v>
      </c>
      <c r="BI29" s="175">
        <f t="shared" si="15"/>
        <v>0</v>
      </c>
      <c r="BJ29" s="175">
        <f t="shared" si="15"/>
        <v>0</v>
      </c>
      <c r="BK29" s="175">
        <f t="shared" si="15"/>
        <v>0</v>
      </c>
      <c r="BL29" s="175">
        <f t="shared" si="15"/>
        <v>0</v>
      </c>
      <c r="BM29" s="175">
        <f t="shared" si="15"/>
        <v>0</v>
      </c>
      <c r="BN29" s="175">
        <f t="shared" si="15"/>
        <v>0</v>
      </c>
      <c r="BO29" s="175">
        <f t="shared" si="15"/>
        <v>0</v>
      </c>
      <c r="BP29" s="175">
        <f t="shared" si="15"/>
        <v>0</v>
      </c>
      <c r="BQ29" s="175">
        <f t="shared" si="15"/>
        <v>0</v>
      </c>
      <c r="BR29" s="175">
        <f t="shared" si="15"/>
        <v>0</v>
      </c>
      <c r="BS29" s="175">
        <f t="shared" si="15"/>
        <v>0</v>
      </c>
      <c r="BT29" s="175">
        <f t="shared" si="15"/>
        <v>0</v>
      </c>
      <c r="BU29" s="175">
        <f t="shared" si="15"/>
        <v>0</v>
      </c>
      <c r="BV29" s="175">
        <f t="shared" si="15"/>
        <v>0</v>
      </c>
      <c r="BW29" s="175">
        <f t="shared" si="15"/>
        <v>0</v>
      </c>
      <c r="BX29" s="175">
        <f t="shared" si="15"/>
        <v>0</v>
      </c>
      <c r="BY29" s="175">
        <f t="shared" si="15"/>
        <v>0</v>
      </c>
      <c r="BZ29" s="175">
        <f t="shared" si="15"/>
        <v>0</v>
      </c>
      <c r="CA29" s="175">
        <f t="shared" si="15"/>
        <v>0</v>
      </c>
      <c r="CB29" s="175">
        <f t="shared" si="15"/>
        <v>0</v>
      </c>
      <c r="CC29" s="175">
        <f t="shared" si="15"/>
        <v>0</v>
      </c>
      <c r="CD29" s="175">
        <f t="shared" si="15"/>
        <v>0</v>
      </c>
      <c r="CE29" s="175">
        <f t="shared" si="15"/>
        <v>0</v>
      </c>
      <c r="CF29" s="175">
        <f t="shared" si="15"/>
        <v>0</v>
      </c>
      <c r="CG29" s="175">
        <f t="shared" si="15"/>
        <v>0</v>
      </c>
      <c r="CH29" s="175">
        <f t="shared" si="15"/>
        <v>0</v>
      </c>
      <c r="CI29" s="175">
        <f t="shared" si="15"/>
        <v>0</v>
      </c>
      <c r="CJ29" s="175">
        <f t="shared" si="15"/>
        <v>0</v>
      </c>
      <c r="CK29" s="175">
        <f t="shared" si="15"/>
        <v>0</v>
      </c>
      <c r="CL29" s="175">
        <f t="shared" si="15"/>
        <v>0</v>
      </c>
      <c r="CM29" s="175">
        <f t="shared" si="15"/>
        <v>0</v>
      </c>
      <c r="CN29" s="175">
        <f t="shared" si="15"/>
        <v>0</v>
      </c>
      <c r="CO29" s="175">
        <f t="shared" si="15"/>
        <v>0</v>
      </c>
      <c r="CP29" s="175">
        <f t="shared" si="15"/>
        <v>0</v>
      </c>
      <c r="CQ29" s="175">
        <f t="shared" si="15"/>
        <v>0</v>
      </c>
      <c r="CR29" s="175">
        <f t="shared" si="15"/>
        <v>0</v>
      </c>
      <c r="CS29" s="175">
        <f t="shared" si="15"/>
        <v>0</v>
      </c>
      <c r="CT29" s="175">
        <f t="shared" si="15"/>
        <v>0</v>
      </c>
      <c r="CU29" s="175">
        <f t="shared" si="15"/>
        <v>0</v>
      </c>
      <c r="CV29" s="175">
        <f t="shared" si="15"/>
        <v>0</v>
      </c>
      <c r="CW29" s="175">
        <f t="shared" si="15"/>
        <v>0</v>
      </c>
      <c r="CX29" s="175">
        <f t="shared" si="15"/>
        <v>0</v>
      </c>
      <c r="CY29" s="175">
        <f t="shared" si="15"/>
        <v>0</v>
      </c>
      <c r="CZ29" s="175">
        <f t="shared" si="15"/>
        <v>0</v>
      </c>
      <c r="DA29" s="175">
        <f t="shared" si="15"/>
        <v>0</v>
      </c>
      <c r="DB29" s="175">
        <f t="shared" si="15"/>
        <v>0</v>
      </c>
      <c r="DC29" s="175">
        <f t="shared" si="15"/>
        <v>0</v>
      </c>
      <c r="DD29" s="175">
        <f t="shared" si="15"/>
        <v>0</v>
      </c>
      <c r="DE29" s="175">
        <f t="shared" si="15"/>
        <v>0</v>
      </c>
      <c r="DF29" s="175">
        <f t="shared" si="15"/>
        <v>0</v>
      </c>
      <c r="DG29" s="175">
        <f t="shared" si="15"/>
        <v>0</v>
      </c>
      <c r="DH29" s="175">
        <f t="shared" si="15"/>
        <v>0</v>
      </c>
      <c r="DI29" s="175">
        <f t="shared" si="15"/>
        <v>0</v>
      </c>
      <c r="DJ29" s="175">
        <f t="shared" si="15"/>
        <v>0</v>
      </c>
      <c r="DK29" s="175">
        <f t="shared" si="15"/>
        <v>0</v>
      </c>
      <c r="DL29" s="175">
        <f t="shared" si="15"/>
        <v>0</v>
      </c>
      <c r="DM29" s="175">
        <f t="shared" si="15"/>
        <v>0</v>
      </c>
      <c r="DN29" s="175">
        <f t="shared" si="15"/>
        <v>0</v>
      </c>
      <c r="DO29" s="175">
        <f t="shared" si="15"/>
        <v>0</v>
      </c>
      <c r="DP29" s="175">
        <f t="shared" si="15"/>
        <v>0</v>
      </c>
      <c r="DQ29" s="175">
        <f t="shared" si="15"/>
        <v>0</v>
      </c>
      <c r="DR29" s="175">
        <f t="shared" si="15"/>
        <v>0</v>
      </c>
      <c r="DS29" s="175">
        <f t="shared" si="15"/>
        <v>0</v>
      </c>
      <c r="DT29" s="175">
        <f t="shared" si="15"/>
        <v>0</v>
      </c>
      <c r="DU29" s="175">
        <f t="shared" si="15"/>
        <v>0</v>
      </c>
      <c r="DV29" s="175">
        <f t="shared" si="15"/>
        <v>0</v>
      </c>
      <c r="DW29" s="175">
        <f t="shared" si="15"/>
        <v>0</v>
      </c>
      <c r="DX29" s="175">
        <f t="shared" si="15"/>
        <v>0</v>
      </c>
      <c r="DY29" s="175">
        <f t="shared" si="15"/>
        <v>0</v>
      </c>
      <c r="DZ29" s="175">
        <f t="shared" si="15"/>
        <v>0</v>
      </c>
      <c r="EA29" s="175">
        <f t="shared" si="15"/>
        <v>0</v>
      </c>
      <c r="EB29" s="175">
        <f t="shared" si="15"/>
        <v>0</v>
      </c>
      <c r="EC29" s="175">
        <f t="shared" si="15"/>
        <v>0</v>
      </c>
      <c r="ED29" s="175">
        <f t="shared" si="15"/>
        <v>0</v>
      </c>
      <c r="EE29" s="175">
        <f t="shared" si="15"/>
        <v>0</v>
      </c>
      <c r="EF29" s="175">
        <f t="shared" si="15"/>
        <v>0</v>
      </c>
      <c r="EG29" s="175">
        <f t="shared" si="15"/>
        <v>0</v>
      </c>
      <c r="EH29" s="175">
        <f t="shared" si="15"/>
        <v>0</v>
      </c>
      <c r="EI29" s="175">
        <f t="shared" si="15"/>
        <v>0</v>
      </c>
      <c r="EJ29" s="175">
        <f t="shared" si="15"/>
        <v>0</v>
      </c>
      <c r="EK29" s="175">
        <f t="shared" si="15"/>
        <v>0</v>
      </c>
      <c r="EL29" s="175">
        <f t="shared" si="15"/>
        <v>0</v>
      </c>
      <c r="EM29" s="175">
        <f t="shared" si="15"/>
        <v>0</v>
      </c>
      <c r="EN29" s="175">
        <f t="shared" si="15"/>
        <v>0</v>
      </c>
      <c r="EO29" s="175">
        <f t="shared" si="15"/>
        <v>0</v>
      </c>
      <c r="EP29" s="175">
        <f t="shared" si="15"/>
        <v>0</v>
      </c>
    </row>
    <row r="30" ht="15.75" customHeight="1">
      <c r="A30" s="170"/>
      <c r="B30" s="170"/>
      <c r="C30" s="171"/>
      <c r="D30" s="171"/>
      <c r="E30" s="171"/>
      <c r="F30" s="171"/>
      <c r="G30" s="171"/>
      <c r="H30" s="171"/>
      <c r="I30" s="171"/>
      <c r="J30" s="171"/>
      <c r="K30" s="171"/>
      <c r="L30" s="171"/>
      <c r="M30" s="171"/>
      <c r="N30" s="171"/>
      <c r="O30" s="171"/>
      <c r="P30" s="171"/>
      <c r="Q30" s="171"/>
      <c r="R30" s="171"/>
      <c r="S30" s="171"/>
      <c r="T30" s="171"/>
      <c r="U30" s="171"/>
      <c r="V30" s="171"/>
      <c r="W30" s="171"/>
      <c r="X30" s="171"/>
      <c r="Y30" s="171"/>
      <c r="Z30" s="171"/>
      <c r="AA30" s="171"/>
      <c r="AB30" s="171"/>
      <c r="AC30" s="171"/>
      <c r="AD30" s="171"/>
      <c r="AE30" s="171"/>
      <c r="AF30" s="171"/>
      <c r="AG30" s="171"/>
      <c r="AH30" s="171"/>
      <c r="AI30" s="171"/>
      <c r="AJ30" s="171"/>
      <c r="AK30" s="171"/>
      <c r="AL30" s="171"/>
      <c r="AM30" s="171"/>
      <c r="AN30" s="171"/>
      <c r="AO30" s="171"/>
      <c r="AP30" s="171"/>
      <c r="AQ30" s="171"/>
      <c r="AR30" s="171"/>
      <c r="AS30" s="171"/>
      <c r="AT30" s="171"/>
      <c r="AU30" s="171"/>
      <c r="AV30" s="171"/>
      <c r="AW30" s="171"/>
      <c r="AX30" s="171"/>
      <c r="AY30" s="171"/>
      <c r="AZ30" s="171"/>
      <c r="BA30" s="171"/>
      <c r="BB30" s="171"/>
      <c r="BC30" s="171"/>
      <c r="BD30" s="171"/>
      <c r="BE30" s="171"/>
      <c r="BF30" s="171"/>
      <c r="BG30" s="171"/>
      <c r="BH30" s="171"/>
      <c r="BI30" s="171"/>
      <c r="BJ30" s="171"/>
      <c r="BK30" s="171"/>
      <c r="BL30" s="171"/>
      <c r="BM30" s="171"/>
      <c r="BN30" s="171"/>
      <c r="BO30" s="171"/>
      <c r="BP30" s="171"/>
      <c r="BQ30" s="171"/>
      <c r="BR30" s="171"/>
      <c r="BS30" s="171"/>
      <c r="BT30" s="171"/>
      <c r="BU30" s="171"/>
      <c r="BV30" s="171"/>
      <c r="BW30" s="171"/>
      <c r="BX30" s="171"/>
      <c r="BY30" s="171"/>
      <c r="BZ30" s="171"/>
      <c r="CA30" s="171"/>
      <c r="CB30" s="171"/>
      <c r="CC30" s="171"/>
      <c r="CD30" s="171"/>
      <c r="CE30" s="171"/>
      <c r="CF30" s="171"/>
      <c r="CG30" s="171"/>
      <c r="CH30" s="171"/>
      <c r="CI30" s="171"/>
      <c r="CJ30" s="171"/>
      <c r="CK30" s="171"/>
      <c r="CL30" s="171"/>
      <c r="CM30" s="171"/>
      <c r="CN30" s="171"/>
      <c r="CO30" s="171"/>
      <c r="CP30" s="171"/>
      <c r="CQ30" s="171"/>
      <c r="CR30" s="171"/>
      <c r="CS30" s="171"/>
      <c r="CT30" s="171"/>
      <c r="CU30" s="171"/>
      <c r="CV30" s="171"/>
      <c r="CW30" s="171"/>
      <c r="CX30" s="171"/>
      <c r="CY30" s="171"/>
      <c r="CZ30" s="171"/>
      <c r="DA30" s="171"/>
      <c r="DB30" s="171"/>
      <c r="DC30" s="171"/>
      <c r="DD30" s="171"/>
      <c r="DE30" s="171"/>
      <c r="DF30" s="171"/>
      <c r="DG30" s="171"/>
      <c r="DH30" s="171"/>
      <c r="DI30" s="171"/>
      <c r="DJ30" s="171"/>
      <c r="DK30" s="171"/>
      <c r="DL30" s="171"/>
      <c r="DM30" s="171"/>
      <c r="DN30" s="171"/>
      <c r="DO30" s="171"/>
      <c r="DP30" s="171"/>
      <c r="DQ30" s="171"/>
      <c r="DR30" s="171"/>
      <c r="DS30" s="171"/>
      <c r="DT30" s="171"/>
      <c r="DU30" s="171"/>
      <c r="DV30" s="171"/>
      <c r="DW30" s="171"/>
      <c r="DX30" s="171"/>
      <c r="DY30" s="171"/>
      <c r="DZ30" s="171"/>
      <c r="EA30" s="171"/>
      <c r="EB30" s="171"/>
      <c r="EC30" s="171"/>
      <c r="ED30" s="171"/>
      <c r="EE30" s="171"/>
      <c r="EF30" s="171"/>
      <c r="EG30" s="171"/>
      <c r="EH30" s="171"/>
      <c r="EI30" s="171"/>
      <c r="EJ30" s="171"/>
      <c r="EK30" s="171"/>
      <c r="EL30" s="171"/>
      <c r="EM30" s="171"/>
      <c r="EN30" s="171"/>
      <c r="EO30" s="171"/>
      <c r="EP30" s="171"/>
    </row>
    <row r="31" ht="15.75" customHeight="1">
      <c r="A31" s="176" t="s">
        <v>412</v>
      </c>
      <c r="B31" s="170"/>
      <c r="C31" s="172"/>
      <c r="D31" s="172"/>
      <c r="E31" s="172"/>
      <c r="F31" s="172"/>
      <c r="G31" s="172"/>
      <c r="H31" s="172"/>
      <c r="I31" s="172"/>
      <c r="J31" s="172"/>
      <c r="K31" s="172"/>
      <c r="L31" s="172"/>
      <c r="M31" s="172"/>
      <c r="N31" s="172"/>
      <c r="O31" s="172"/>
      <c r="P31" s="172"/>
      <c r="Q31" s="172"/>
      <c r="R31" s="172"/>
      <c r="S31" s="172"/>
      <c r="T31" s="172"/>
      <c r="U31" s="172"/>
      <c r="V31" s="172"/>
      <c r="W31" s="172"/>
      <c r="X31" s="172"/>
      <c r="Y31" s="172"/>
      <c r="Z31" s="172"/>
      <c r="AA31" s="172"/>
      <c r="AB31" s="172"/>
      <c r="AC31" s="172"/>
      <c r="AD31" s="172"/>
      <c r="AE31" s="172"/>
      <c r="AF31" s="172"/>
      <c r="AG31" s="172"/>
      <c r="AH31" s="172"/>
      <c r="AI31" s="172"/>
      <c r="AJ31" s="172"/>
      <c r="AK31" s="172"/>
      <c r="AL31" s="172"/>
      <c r="AM31" s="172"/>
      <c r="AN31" s="172"/>
      <c r="AO31" s="172"/>
      <c r="AP31" s="172"/>
      <c r="AQ31" s="172"/>
      <c r="AR31" s="172"/>
      <c r="AS31" s="172"/>
      <c r="AT31" s="172"/>
      <c r="AU31" s="172"/>
      <c r="AV31" s="172"/>
      <c r="AW31" s="172"/>
      <c r="AX31" s="172"/>
      <c r="AY31" s="172"/>
      <c r="AZ31" s="172"/>
      <c r="BA31" s="172"/>
      <c r="BB31" s="172"/>
      <c r="BC31" s="172"/>
      <c r="BD31" s="172"/>
      <c r="BE31" s="172"/>
      <c r="BF31" s="172"/>
      <c r="BG31" s="172"/>
      <c r="BH31" s="172"/>
      <c r="BI31" s="172"/>
      <c r="BJ31" s="172"/>
      <c r="BK31" s="172"/>
      <c r="BL31" s="172"/>
      <c r="BM31" s="172"/>
      <c r="BN31" s="172"/>
      <c r="BO31" s="172"/>
      <c r="BP31" s="172"/>
      <c r="BQ31" s="172"/>
      <c r="BR31" s="172"/>
      <c r="BS31" s="172"/>
      <c r="BT31" s="172"/>
      <c r="BU31" s="172"/>
      <c r="BV31" s="172"/>
      <c r="BW31" s="172"/>
      <c r="BX31" s="172"/>
      <c r="BY31" s="172"/>
      <c r="BZ31" s="172"/>
      <c r="CA31" s="172"/>
      <c r="CB31" s="172"/>
      <c r="CC31" s="172"/>
      <c r="CD31" s="172"/>
      <c r="CE31" s="172"/>
      <c r="CF31" s="172"/>
      <c r="CG31" s="172"/>
      <c r="CH31" s="172"/>
      <c r="CI31" s="172"/>
      <c r="CJ31" s="172"/>
      <c r="CK31" s="172"/>
      <c r="CL31" s="172"/>
      <c r="CM31" s="172"/>
      <c r="CN31" s="172"/>
      <c r="CO31" s="172"/>
      <c r="CP31" s="172"/>
      <c r="CQ31" s="172"/>
      <c r="CR31" s="172"/>
      <c r="CS31" s="172"/>
      <c r="CT31" s="172"/>
      <c r="CU31" s="172"/>
      <c r="CV31" s="172"/>
      <c r="CW31" s="172"/>
      <c r="CX31" s="172"/>
      <c r="CY31" s="172"/>
      <c r="CZ31" s="172"/>
      <c r="DA31" s="172"/>
      <c r="DB31" s="172"/>
      <c r="DC31" s="172"/>
      <c r="DD31" s="172"/>
      <c r="DE31" s="172"/>
      <c r="DF31" s="172"/>
      <c r="DG31" s="172"/>
      <c r="DH31" s="172"/>
      <c r="DI31" s="172"/>
      <c r="DJ31" s="172"/>
      <c r="DK31" s="172"/>
      <c r="DL31" s="172"/>
      <c r="DM31" s="172"/>
      <c r="DN31" s="172"/>
      <c r="DO31" s="172"/>
      <c r="DP31" s="172"/>
      <c r="DQ31" s="172"/>
      <c r="DR31" s="172"/>
      <c r="DS31" s="172"/>
      <c r="DT31" s="172"/>
      <c r="DU31" s="172"/>
      <c r="DV31" s="172"/>
      <c r="DW31" s="172"/>
      <c r="DX31" s="172"/>
      <c r="DY31" s="172"/>
      <c r="DZ31" s="172"/>
      <c r="EA31" s="172"/>
      <c r="EB31" s="172"/>
      <c r="EC31" s="172"/>
      <c r="ED31" s="172"/>
      <c r="EE31" s="172"/>
      <c r="EF31" s="172"/>
      <c r="EG31" s="172"/>
      <c r="EH31" s="172"/>
      <c r="EI31" s="172"/>
      <c r="EJ31" s="172"/>
      <c r="EK31" s="172"/>
      <c r="EL31" s="172"/>
      <c r="EM31" s="172"/>
      <c r="EN31" s="172"/>
      <c r="EO31" s="172"/>
      <c r="EP31" s="172"/>
    </row>
    <row r="32" ht="15.75" customHeight="1">
      <c r="A32" s="170" t="s">
        <v>402</v>
      </c>
      <c r="B32" s="177">
        <v>44013.0</v>
      </c>
      <c r="C32" s="170"/>
      <c r="D32" s="170"/>
      <c r="E32" s="170"/>
      <c r="F32" s="170"/>
      <c r="G32" s="170"/>
      <c r="H32" s="170"/>
      <c r="I32" s="170"/>
      <c r="J32" s="170"/>
      <c r="K32" s="170"/>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170"/>
      <c r="AI32" s="170"/>
      <c r="AJ32" s="170"/>
      <c r="AK32" s="170"/>
      <c r="AL32" s="170"/>
      <c r="AM32" s="170"/>
      <c r="AN32" s="170"/>
      <c r="AO32" s="170"/>
      <c r="AP32" s="170"/>
      <c r="AQ32" s="170"/>
      <c r="AR32" s="170"/>
      <c r="AS32" s="170"/>
      <c r="AT32" s="170"/>
      <c r="AU32" s="170"/>
      <c r="AV32" s="170"/>
      <c r="AW32" s="170"/>
      <c r="AX32" s="170"/>
      <c r="AY32" s="170"/>
      <c r="AZ32" s="170"/>
      <c r="BA32" s="170"/>
      <c r="BB32" s="170"/>
      <c r="BC32" s="170"/>
      <c r="BD32" s="170"/>
      <c r="BE32" s="170"/>
      <c r="BF32" s="170"/>
      <c r="BG32" s="170"/>
      <c r="BH32" s="170"/>
      <c r="BI32" s="170"/>
      <c r="BJ32" s="170"/>
      <c r="BK32" s="170"/>
      <c r="BL32" s="170"/>
      <c r="BM32" s="170"/>
      <c r="BN32" s="170"/>
      <c r="BO32" s="170"/>
      <c r="BP32" s="170"/>
      <c r="BQ32" s="170"/>
      <c r="BR32" s="170"/>
      <c r="BS32" s="170"/>
      <c r="BT32" s="170"/>
      <c r="BU32" s="170"/>
      <c r="BV32" s="170"/>
      <c r="BW32" s="170"/>
      <c r="BX32" s="170"/>
      <c r="BY32" s="170"/>
      <c r="BZ32" s="170"/>
      <c r="CA32" s="170"/>
      <c r="CB32" s="170"/>
      <c r="CC32" s="170"/>
      <c r="CD32" s="170"/>
      <c r="CE32" s="170"/>
      <c r="CF32" s="170"/>
      <c r="CG32" s="170"/>
      <c r="CH32" s="170"/>
      <c r="CI32" s="170"/>
      <c r="CJ32" s="170"/>
      <c r="CK32" s="170"/>
      <c r="CL32" s="170"/>
      <c r="CM32" s="170"/>
      <c r="CN32" s="170"/>
      <c r="CO32" s="170"/>
      <c r="CP32" s="170"/>
      <c r="CQ32" s="170"/>
      <c r="CR32" s="170"/>
      <c r="CS32" s="170"/>
      <c r="CT32" s="170"/>
      <c r="CU32" s="170"/>
      <c r="CV32" s="170"/>
      <c r="CW32" s="170"/>
      <c r="CX32" s="170"/>
      <c r="CY32" s="170"/>
      <c r="CZ32" s="170"/>
      <c r="DA32" s="170"/>
      <c r="DB32" s="170"/>
      <c r="DC32" s="170"/>
      <c r="DD32" s="170"/>
      <c r="DE32" s="170"/>
      <c r="DF32" s="170"/>
      <c r="DG32" s="170"/>
      <c r="DH32" s="170"/>
      <c r="DI32" s="170"/>
      <c r="DJ32" s="170"/>
      <c r="DK32" s="170"/>
      <c r="DL32" s="170"/>
      <c r="DM32" s="170"/>
      <c r="DN32" s="170"/>
      <c r="DO32" s="170"/>
      <c r="DP32" s="170"/>
      <c r="DQ32" s="170"/>
      <c r="DR32" s="170"/>
      <c r="DS32" s="170"/>
      <c r="DT32" s="170"/>
      <c r="DU32" s="170"/>
      <c r="DV32" s="170"/>
      <c r="DW32" s="170"/>
      <c r="DX32" s="170"/>
      <c r="DY32" s="170"/>
      <c r="DZ32" s="170"/>
      <c r="EA32" s="170"/>
      <c r="EB32" s="170"/>
      <c r="EC32" s="170"/>
      <c r="ED32" s="170"/>
      <c r="EE32" s="170"/>
      <c r="EF32" s="170"/>
      <c r="EG32" s="170"/>
      <c r="EH32" s="170"/>
      <c r="EI32" s="170"/>
      <c r="EJ32" s="170"/>
      <c r="EK32" s="170"/>
      <c r="EL32" s="170"/>
      <c r="EM32" s="170"/>
      <c r="EN32" s="170"/>
      <c r="EO32" s="170"/>
      <c r="EP32" s="170"/>
    </row>
    <row r="33" ht="15.75" customHeight="1">
      <c r="A33" s="170" t="s">
        <v>403</v>
      </c>
      <c r="B33" s="178">
        <v>0.0</v>
      </c>
      <c r="C33" s="170"/>
      <c r="D33" s="170"/>
      <c r="E33" s="170"/>
      <c r="F33" s="170"/>
      <c r="G33" s="170"/>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70"/>
      <c r="AI33" s="170"/>
      <c r="AJ33" s="170"/>
      <c r="AK33" s="170"/>
      <c r="AL33" s="170"/>
      <c r="AM33" s="170"/>
      <c r="AN33" s="170"/>
      <c r="AO33" s="170"/>
      <c r="AP33" s="170"/>
      <c r="AQ33" s="170"/>
      <c r="AR33" s="170"/>
      <c r="AS33" s="170"/>
      <c r="AT33" s="170"/>
      <c r="AU33" s="170"/>
      <c r="AV33" s="170"/>
      <c r="AW33" s="170"/>
      <c r="AX33" s="170"/>
      <c r="AY33" s="170"/>
      <c r="AZ33" s="170"/>
      <c r="BA33" s="170"/>
      <c r="BB33" s="170"/>
      <c r="BC33" s="170"/>
      <c r="BD33" s="170"/>
      <c r="BE33" s="170"/>
      <c r="BF33" s="170"/>
      <c r="BG33" s="170"/>
      <c r="BH33" s="170"/>
      <c r="BI33" s="170"/>
      <c r="BJ33" s="170"/>
      <c r="BK33" s="170"/>
      <c r="BL33" s="170"/>
      <c r="BM33" s="170"/>
      <c r="BN33" s="170"/>
      <c r="BO33" s="170"/>
      <c r="BP33" s="170"/>
      <c r="BQ33" s="170"/>
      <c r="BR33" s="170"/>
      <c r="BS33" s="170"/>
      <c r="BT33" s="170"/>
      <c r="BU33" s="170"/>
      <c r="BV33" s="170"/>
      <c r="BW33" s="170"/>
      <c r="BX33" s="170"/>
      <c r="BY33" s="170"/>
      <c r="BZ33" s="170"/>
      <c r="CA33" s="170"/>
      <c r="CB33" s="170"/>
      <c r="CC33" s="170"/>
      <c r="CD33" s="170"/>
      <c r="CE33" s="170"/>
      <c r="CF33" s="170"/>
      <c r="CG33" s="170"/>
      <c r="CH33" s="170"/>
      <c r="CI33" s="170"/>
      <c r="CJ33" s="170"/>
      <c r="CK33" s="170"/>
      <c r="CL33" s="170"/>
      <c r="CM33" s="170"/>
      <c r="CN33" s="170"/>
      <c r="CO33" s="170"/>
      <c r="CP33" s="170"/>
      <c r="CQ33" s="170"/>
      <c r="CR33" s="170"/>
      <c r="CS33" s="170"/>
      <c r="CT33" s="170"/>
      <c r="CU33" s="170"/>
      <c r="CV33" s="170"/>
      <c r="CW33" s="170"/>
      <c r="CX33" s="170"/>
      <c r="CY33" s="170"/>
      <c r="CZ33" s="170"/>
      <c r="DA33" s="170"/>
      <c r="DB33" s="170"/>
      <c r="DC33" s="170"/>
      <c r="DD33" s="170"/>
      <c r="DE33" s="170"/>
      <c r="DF33" s="170"/>
      <c r="DG33" s="170"/>
      <c r="DH33" s="170"/>
      <c r="DI33" s="170"/>
      <c r="DJ33" s="170"/>
      <c r="DK33" s="170"/>
      <c r="DL33" s="170"/>
      <c r="DM33" s="170"/>
      <c r="DN33" s="170"/>
      <c r="DO33" s="170"/>
      <c r="DP33" s="170"/>
      <c r="DQ33" s="170"/>
      <c r="DR33" s="170"/>
      <c r="DS33" s="170"/>
      <c r="DT33" s="170"/>
      <c r="DU33" s="170"/>
      <c r="DV33" s="170"/>
      <c r="DW33" s="170"/>
      <c r="DX33" s="170"/>
      <c r="DY33" s="170"/>
      <c r="DZ33" s="170"/>
      <c r="EA33" s="170"/>
      <c r="EB33" s="170"/>
      <c r="EC33" s="170"/>
      <c r="ED33" s="170"/>
      <c r="EE33" s="170"/>
      <c r="EF33" s="170"/>
      <c r="EG33" s="170"/>
      <c r="EH33" s="170"/>
      <c r="EI33" s="170"/>
      <c r="EJ33" s="170"/>
      <c r="EK33" s="170"/>
      <c r="EL33" s="170"/>
      <c r="EM33" s="170"/>
      <c r="EN33" s="170"/>
      <c r="EO33" s="170"/>
      <c r="EP33" s="170"/>
    </row>
    <row r="34" ht="15.75" customHeight="1">
      <c r="A34" s="170" t="s">
        <v>407</v>
      </c>
      <c r="B34" s="181">
        <f>5*12</f>
        <v>60</v>
      </c>
      <c r="C34" s="170"/>
      <c r="D34" s="170"/>
      <c r="E34" s="170"/>
      <c r="F34" s="170"/>
      <c r="G34" s="170"/>
      <c r="H34" s="170"/>
      <c r="I34" s="170"/>
      <c r="J34" s="170"/>
      <c r="K34" s="170"/>
      <c r="L34" s="170"/>
      <c r="M34" s="170"/>
      <c r="N34" s="170"/>
      <c r="O34" s="170"/>
      <c r="P34" s="170"/>
      <c r="Q34" s="170"/>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0"/>
      <c r="BD34" s="170"/>
      <c r="BE34" s="170"/>
      <c r="BF34" s="170"/>
      <c r="BG34" s="170"/>
      <c r="BH34" s="170"/>
      <c r="BI34" s="170"/>
      <c r="BJ34" s="170"/>
      <c r="BK34" s="170"/>
      <c r="BL34" s="170"/>
      <c r="BM34" s="170"/>
      <c r="BN34" s="170"/>
      <c r="BO34" s="170"/>
      <c r="BP34" s="170"/>
      <c r="BQ34" s="170"/>
      <c r="BR34" s="170"/>
      <c r="BS34" s="170"/>
      <c r="BT34" s="170"/>
      <c r="BU34" s="170"/>
      <c r="BV34" s="170"/>
      <c r="BW34" s="170"/>
      <c r="BX34" s="170"/>
      <c r="BY34" s="170"/>
      <c r="BZ34" s="170"/>
      <c r="CA34" s="170"/>
      <c r="CB34" s="170"/>
      <c r="CC34" s="170"/>
      <c r="CD34" s="170"/>
      <c r="CE34" s="170"/>
      <c r="CF34" s="170"/>
      <c r="CG34" s="170"/>
      <c r="CH34" s="170"/>
      <c r="CI34" s="170"/>
      <c r="CJ34" s="170"/>
      <c r="CK34" s="170"/>
      <c r="CL34" s="170"/>
      <c r="CM34" s="170"/>
      <c r="CN34" s="170"/>
      <c r="CO34" s="170"/>
      <c r="CP34" s="170"/>
      <c r="CQ34" s="170"/>
      <c r="CR34" s="170"/>
      <c r="CS34" s="170"/>
      <c r="CT34" s="170"/>
      <c r="CU34" s="170"/>
      <c r="CV34" s="170"/>
      <c r="CW34" s="170"/>
      <c r="CX34" s="170"/>
      <c r="CY34" s="170"/>
      <c r="CZ34" s="170"/>
      <c r="DA34" s="170"/>
      <c r="DB34" s="170"/>
      <c r="DC34" s="170"/>
      <c r="DD34" s="170"/>
      <c r="DE34" s="170"/>
      <c r="DF34" s="170"/>
      <c r="DG34" s="170"/>
      <c r="DH34" s="170"/>
      <c r="DI34" s="170"/>
      <c r="DJ34" s="170"/>
      <c r="DK34" s="170"/>
      <c r="DL34" s="170"/>
      <c r="DM34" s="170"/>
      <c r="DN34" s="170"/>
      <c r="DO34" s="170"/>
      <c r="DP34" s="170"/>
      <c r="DQ34" s="170"/>
      <c r="DR34" s="170"/>
      <c r="DS34" s="170"/>
      <c r="DT34" s="170"/>
      <c r="DU34" s="170"/>
      <c r="DV34" s="170"/>
      <c r="DW34" s="170"/>
      <c r="DX34" s="170"/>
      <c r="DY34" s="170"/>
      <c r="DZ34" s="170"/>
      <c r="EA34" s="170"/>
      <c r="EB34" s="170"/>
      <c r="EC34" s="170"/>
      <c r="ED34" s="170"/>
      <c r="EE34" s="170"/>
      <c r="EF34" s="170"/>
      <c r="EG34" s="170"/>
      <c r="EH34" s="170"/>
      <c r="EI34" s="170"/>
      <c r="EJ34" s="170"/>
      <c r="EK34" s="170"/>
      <c r="EL34" s="170"/>
      <c r="EM34" s="170"/>
      <c r="EN34" s="170"/>
      <c r="EO34" s="170"/>
      <c r="EP34" s="170"/>
    </row>
    <row r="35" ht="15.75" customHeight="1">
      <c r="A35" s="170" t="s">
        <v>408</v>
      </c>
      <c r="B35" s="181">
        <v>0.0</v>
      </c>
      <c r="C35" s="170"/>
      <c r="D35" s="170"/>
      <c r="E35" s="170"/>
      <c r="F35" s="170"/>
      <c r="G35" s="170"/>
      <c r="H35" s="170"/>
      <c r="I35" s="170"/>
      <c r="J35" s="170"/>
      <c r="K35" s="170"/>
      <c r="L35" s="170"/>
      <c r="M35" s="170"/>
      <c r="N35" s="170"/>
      <c r="O35" s="170"/>
      <c r="P35" s="170"/>
      <c r="Q35" s="170"/>
      <c r="R35" s="170"/>
      <c r="S35" s="170"/>
      <c r="T35" s="170"/>
      <c r="U35" s="170"/>
      <c r="V35" s="170"/>
      <c r="W35" s="170"/>
      <c r="X35" s="170"/>
      <c r="Y35" s="170"/>
      <c r="Z35" s="170"/>
      <c r="AA35" s="170"/>
      <c r="AB35" s="170"/>
      <c r="AC35" s="170"/>
      <c r="AD35" s="170"/>
      <c r="AE35" s="170"/>
      <c r="AF35" s="170"/>
      <c r="AG35" s="170"/>
      <c r="AH35" s="170"/>
      <c r="AI35" s="170"/>
      <c r="AJ35" s="170"/>
      <c r="AK35" s="170"/>
      <c r="AL35" s="170"/>
      <c r="AM35" s="170"/>
      <c r="AN35" s="170"/>
      <c r="AO35" s="170"/>
      <c r="AP35" s="170"/>
      <c r="AQ35" s="170"/>
      <c r="AR35" s="170"/>
      <c r="AS35" s="170"/>
      <c r="AT35" s="170"/>
      <c r="AU35" s="170"/>
      <c r="AV35" s="170"/>
      <c r="AW35" s="170"/>
      <c r="AX35" s="170"/>
      <c r="AY35" s="170"/>
      <c r="AZ35" s="170"/>
      <c r="BA35" s="170"/>
      <c r="BB35" s="170"/>
      <c r="BC35" s="170"/>
      <c r="BD35" s="170"/>
      <c r="BE35" s="170"/>
      <c r="BF35" s="170"/>
      <c r="BG35" s="170"/>
      <c r="BH35" s="170"/>
      <c r="BI35" s="170"/>
      <c r="BJ35" s="170"/>
      <c r="BK35" s="170"/>
      <c r="BL35" s="170"/>
      <c r="BM35" s="170"/>
      <c r="BN35" s="170"/>
      <c r="BO35" s="170"/>
      <c r="BP35" s="170"/>
      <c r="BQ35" s="170"/>
      <c r="BR35" s="170"/>
      <c r="BS35" s="170"/>
      <c r="BT35" s="170"/>
      <c r="BU35" s="170"/>
      <c r="BV35" s="170"/>
      <c r="BW35" s="170"/>
      <c r="BX35" s="170"/>
      <c r="BY35" s="170"/>
      <c r="BZ35" s="170"/>
      <c r="CA35" s="170"/>
      <c r="CB35" s="170"/>
      <c r="CC35" s="170"/>
      <c r="CD35" s="170"/>
      <c r="CE35" s="170"/>
      <c r="CF35" s="170"/>
      <c r="CG35" s="170"/>
      <c r="CH35" s="170"/>
      <c r="CI35" s="170"/>
      <c r="CJ35" s="170"/>
      <c r="CK35" s="170"/>
      <c r="CL35" s="170"/>
      <c r="CM35" s="170"/>
      <c r="CN35" s="170"/>
      <c r="CO35" s="170"/>
      <c r="CP35" s="170"/>
      <c r="CQ35" s="170"/>
      <c r="CR35" s="170"/>
      <c r="CS35" s="170"/>
      <c r="CT35" s="170"/>
      <c r="CU35" s="170"/>
      <c r="CV35" s="170"/>
      <c r="CW35" s="170"/>
      <c r="CX35" s="170"/>
      <c r="CY35" s="170"/>
      <c r="CZ35" s="170"/>
      <c r="DA35" s="170"/>
      <c r="DB35" s="170"/>
      <c r="DC35" s="170"/>
      <c r="DD35" s="170"/>
      <c r="DE35" s="170"/>
      <c r="DF35" s="170"/>
      <c r="DG35" s="170"/>
      <c r="DH35" s="170"/>
      <c r="DI35" s="170"/>
      <c r="DJ35" s="170"/>
      <c r="DK35" s="170"/>
      <c r="DL35" s="170"/>
      <c r="DM35" s="170"/>
      <c r="DN35" s="170"/>
      <c r="DO35" s="170"/>
      <c r="DP35" s="170"/>
      <c r="DQ35" s="170"/>
      <c r="DR35" s="170"/>
      <c r="DS35" s="170"/>
      <c r="DT35" s="170"/>
      <c r="DU35" s="170"/>
      <c r="DV35" s="170"/>
      <c r="DW35" s="170"/>
      <c r="DX35" s="170"/>
      <c r="DY35" s="170"/>
      <c r="DZ35" s="170"/>
      <c r="EA35" s="170"/>
      <c r="EB35" s="170"/>
      <c r="EC35" s="170"/>
      <c r="ED35" s="170"/>
      <c r="EE35" s="170"/>
      <c r="EF35" s="170"/>
      <c r="EG35" s="170"/>
      <c r="EH35" s="170"/>
      <c r="EI35" s="170"/>
      <c r="EJ35" s="170"/>
      <c r="EK35" s="170"/>
      <c r="EL35" s="170"/>
      <c r="EM35" s="170"/>
      <c r="EN35" s="170"/>
      <c r="EO35" s="170"/>
      <c r="EP35" s="170"/>
    </row>
    <row r="36" ht="15.75" customHeight="1">
      <c r="A36" s="170" t="s">
        <v>409</v>
      </c>
      <c r="B36" s="182">
        <v>0.0375</v>
      </c>
      <c r="C36" s="170"/>
      <c r="D36" s="170"/>
      <c r="E36" s="170"/>
      <c r="F36" s="170"/>
      <c r="G36" s="170"/>
      <c r="H36" s="170"/>
      <c r="I36" s="170"/>
      <c r="J36" s="170"/>
      <c r="K36" s="170"/>
      <c r="L36" s="170"/>
      <c r="M36" s="170"/>
      <c r="N36" s="170"/>
      <c r="O36" s="170"/>
      <c r="P36" s="170"/>
      <c r="Q36" s="170"/>
      <c r="R36" s="170"/>
      <c r="S36" s="170"/>
      <c r="T36" s="170"/>
      <c r="U36" s="170"/>
      <c r="V36" s="170"/>
      <c r="W36" s="170"/>
      <c r="X36" s="170"/>
      <c r="Y36" s="170"/>
      <c r="Z36" s="170"/>
      <c r="AA36" s="170"/>
      <c r="AB36" s="170"/>
      <c r="AC36" s="170"/>
      <c r="AD36" s="170"/>
      <c r="AE36" s="170"/>
      <c r="AF36" s="170"/>
      <c r="AG36" s="170"/>
      <c r="AH36" s="170"/>
      <c r="AI36" s="170"/>
      <c r="AJ36" s="170"/>
      <c r="AK36" s="170"/>
      <c r="AL36" s="170"/>
      <c r="AM36" s="170"/>
      <c r="AN36" s="170"/>
      <c r="AO36" s="170"/>
      <c r="AP36" s="170"/>
      <c r="AQ36" s="170"/>
      <c r="AR36" s="170"/>
      <c r="AS36" s="170"/>
      <c r="AT36" s="170"/>
      <c r="AU36" s="170"/>
      <c r="AV36" s="170"/>
      <c r="AW36" s="170"/>
      <c r="AX36" s="170"/>
      <c r="AY36" s="170"/>
      <c r="AZ36" s="170"/>
      <c r="BA36" s="170"/>
      <c r="BB36" s="170"/>
      <c r="BC36" s="170"/>
      <c r="BD36" s="170"/>
      <c r="BE36" s="170"/>
      <c r="BF36" s="170"/>
      <c r="BG36" s="170"/>
      <c r="BH36" s="170"/>
      <c r="BI36" s="170"/>
      <c r="BJ36" s="170"/>
      <c r="BK36" s="170"/>
      <c r="BL36" s="170"/>
      <c r="BM36" s="170"/>
      <c r="BN36" s="170"/>
      <c r="BO36" s="170"/>
      <c r="BP36" s="170"/>
      <c r="BQ36" s="170"/>
      <c r="BR36" s="170"/>
      <c r="BS36" s="170"/>
      <c r="BT36" s="170"/>
      <c r="BU36" s="170"/>
      <c r="BV36" s="170"/>
      <c r="BW36" s="170"/>
      <c r="BX36" s="170"/>
      <c r="BY36" s="170"/>
      <c r="BZ36" s="170"/>
      <c r="CA36" s="170"/>
      <c r="CB36" s="170"/>
      <c r="CC36" s="170"/>
      <c r="CD36" s="170"/>
      <c r="CE36" s="170"/>
      <c r="CF36" s="170"/>
      <c r="CG36" s="170"/>
      <c r="CH36" s="170"/>
      <c r="CI36" s="170"/>
      <c r="CJ36" s="170"/>
      <c r="CK36" s="170"/>
      <c r="CL36" s="170"/>
      <c r="CM36" s="170"/>
      <c r="CN36" s="170"/>
      <c r="CO36" s="170"/>
      <c r="CP36" s="170"/>
      <c r="CQ36" s="170"/>
      <c r="CR36" s="170"/>
      <c r="CS36" s="170"/>
      <c r="CT36" s="170"/>
      <c r="CU36" s="170"/>
      <c r="CV36" s="170"/>
      <c r="CW36" s="170"/>
      <c r="CX36" s="170"/>
      <c r="CY36" s="170"/>
      <c r="CZ36" s="170"/>
      <c r="DA36" s="170"/>
      <c r="DB36" s="170"/>
      <c r="DC36" s="170"/>
      <c r="DD36" s="170"/>
      <c r="DE36" s="170"/>
      <c r="DF36" s="170"/>
      <c r="DG36" s="170"/>
      <c r="DH36" s="170"/>
      <c r="DI36" s="170"/>
      <c r="DJ36" s="170"/>
      <c r="DK36" s="170"/>
      <c r="DL36" s="170"/>
      <c r="DM36" s="170"/>
      <c r="DN36" s="170"/>
      <c r="DO36" s="170"/>
      <c r="DP36" s="170"/>
      <c r="DQ36" s="170"/>
      <c r="DR36" s="170"/>
      <c r="DS36" s="170"/>
      <c r="DT36" s="170"/>
      <c r="DU36" s="170"/>
      <c r="DV36" s="170"/>
      <c r="DW36" s="170"/>
      <c r="DX36" s="170"/>
      <c r="DY36" s="170"/>
      <c r="DZ36" s="170"/>
      <c r="EA36" s="170"/>
      <c r="EB36" s="170"/>
      <c r="EC36" s="170"/>
      <c r="ED36" s="170"/>
      <c r="EE36" s="170"/>
      <c r="EF36" s="170"/>
      <c r="EG36" s="170"/>
      <c r="EH36" s="170"/>
      <c r="EI36" s="170"/>
      <c r="EJ36" s="170"/>
      <c r="EK36" s="170"/>
      <c r="EL36" s="170"/>
      <c r="EM36" s="170"/>
      <c r="EN36" s="170"/>
      <c r="EO36" s="170"/>
      <c r="EP36" s="170"/>
    </row>
    <row r="37" ht="15.75" customHeight="1">
      <c r="A37" s="170"/>
      <c r="B37" s="170"/>
      <c r="C37" s="170"/>
      <c r="D37" s="170"/>
      <c r="E37" s="170"/>
      <c r="F37" s="170"/>
      <c r="G37" s="170"/>
      <c r="H37" s="170"/>
      <c r="I37" s="170"/>
      <c r="J37" s="170"/>
      <c r="K37" s="170"/>
      <c r="L37" s="170"/>
      <c r="M37" s="170"/>
      <c r="N37" s="170"/>
      <c r="O37" s="170"/>
      <c r="P37" s="170"/>
      <c r="Q37" s="170"/>
      <c r="R37" s="170"/>
      <c r="S37" s="170"/>
      <c r="T37" s="170"/>
      <c r="U37" s="170"/>
      <c r="V37" s="170"/>
      <c r="W37" s="170"/>
      <c r="X37" s="170"/>
      <c r="Y37" s="170"/>
      <c r="Z37" s="170"/>
      <c r="AA37" s="170"/>
      <c r="AB37" s="170"/>
      <c r="AC37" s="170"/>
      <c r="AD37" s="170"/>
      <c r="AE37" s="170"/>
      <c r="AF37" s="170"/>
      <c r="AG37" s="170"/>
      <c r="AH37" s="170"/>
      <c r="AI37" s="170"/>
      <c r="AJ37" s="170"/>
      <c r="AK37" s="170"/>
      <c r="AL37" s="170"/>
      <c r="AM37" s="170"/>
      <c r="AN37" s="170"/>
      <c r="AO37" s="170"/>
      <c r="AP37" s="170"/>
      <c r="AQ37" s="170"/>
      <c r="AR37" s="170"/>
      <c r="AS37" s="170"/>
      <c r="AT37" s="170"/>
      <c r="AU37" s="170"/>
      <c r="AV37" s="170"/>
      <c r="AW37" s="170"/>
      <c r="AX37" s="170"/>
      <c r="AY37" s="170"/>
      <c r="AZ37" s="170"/>
      <c r="BA37" s="170"/>
      <c r="BB37" s="170"/>
      <c r="BC37" s="170"/>
      <c r="BD37" s="170"/>
      <c r="BE37" s="170"/>
      <c r="BF37" s="170"/>
      <c r="BG37" s="170"/>
      <c r="BH37" s="170"/>
      <c r="BI37" s="170"/>
      <c r="BJ37" s="170"/>
      <c r="BK37" s="170"/>
      <c r="BL37" s="170"/>
      <c r="BM37" s="170"/>
      <c r="BN37" s="170"/>
      <c r="BO37" s="170"/>
      <c r="BP37" s="170"/>
      <c r="BQ37" s="170"/>
      <c r="BR37" s="170"/>
      <c r="BS37" s="170"/>
      <c r="BT37" s="170"/>
      <c r="BU37" s="170"/>
      <c r="BV37" s="170"/>
      <c r="BW37" s="170"/>
      <c r="BX37" s="170"/>
      <c r="BY37" s="170"/>
      <c r="BZ37" s="170"/>
      <c r="CA37" s="170"/>
      <c r="CB37" s="170"/>
      <c r="CC37" s="170"/>
      <c r="CD37" s="170"/>
      <c r="CE37" s="170"/>
      <c r="CF37" s="170"/>
      <c r="CG37" s="170"/>
      <c r="CH37" s="170"/>
      <c r="CI37" s="170"/>
      <c r="CJ37" s="170"/>
      <c r="CK37" s="170"/>
      <c r="CL37" s="170"/>
      <c r="CM37" s="170"/>
      <c r="CN37" s="170"/>
      <c r="CO37" s="170"/>
      <c r="CP37" s="170"/>
      <c r="CQ37" s="170"/>
      <c r="CR37" s="170"/>
      <c r="CS37" s="170"/>
      <c r="CT37" s="170"/>
      <c r="CU37" s="170"/>
      <c r="CV37" s="170"/>
      <c r="CW37" s="170"/>
      <c r="CX37" s="170"/>
      <c r="CY37" s="170"/>
      <c r="CZ37" s="170"/>
      <c r="DA37" s="170"/>
      <c r="DB37" s="170"/>
      <c r="DC37" s="170"/>
      <c r="DD37" s="170"/>
      <c r="DE37" s="170"/>
      <c r="DF37" s="170"/>
      <c r="DG37" s="170"/>
      <c r="DH37" s="170"/>
      <c r="DI37" s="170"/>
      <c r="DJ37" s="170"/>
      <c r="DK37" s="170"/>
      <c r="DL37" s="170"/>
      <c r="DM37" s="170"/>
      <c r="DN37" s="170"/>
      <c r="DO37" s="170"/>
      <c r="DP37" s="170"/>
      <c r="DQ37" s="170"/>
      <c r="DR37" s="170"/>
      <c r="DS37" s="170"/>
      <c r="DT37" s="170"/>
      <c r="DU37" s="170"/>
      <c r="DV37" s="170"/>
      <c r="DW37" s="170"/>
      <c r="DX37" s="170"/>
      <c r="DY37" s="170"/>
      <c r="DZ37" s="170"/>
      <c r="EA37" s="170"/>
      <c r="EB37" s="170"/>
      <c r="EC37" s="170"/>
      <c r="ED37" s="170"/>
      <c r="EE37" s="170"/>
      <c r="EF37" s="170"/>
      <c r="EG37" s="170"/>
      <c r="EH37" s="170"/>
      <c r="EI37" s="170"/>
      <c r="EJ37" s="170"/>
      <c r="EK37" s="170"/>
      <c r="EL37" s="170"/>
      <c r="EM37" s="170"/>
      <c r="EN37" s="170"/>
      <c r="EO37" s="170"/>
      <c r="EP37" s="170"/>
    </row>
    <row r="38" ht="15.75" customHeight="1">
      <c r="A38" s="170"/>
      <c r="B38" s="170"/>
      <c r="C38" s="170"/>
      <c r="D38" s="170"/>
      <c r="E38" s="170"/>
      <c r="F38" s="170"/>
      <c r="G38" s="170"/>
      <c r="H38" s="170"/>
      <c r="I38" s="170"/>
      <c r="J38" s="170"/>
      <c r="K38" s="170"/>
      <c r="L38" s="170"/>
      <c r="M38" s="170"/>
      <c r="N38" s="170"/>
      <c r="O38" s="170"/>
      <c r="P38" s="170"/>
      <c r="Q38" s="170"/>
      <c r="R38" s="170"/>
      <c r="S38" s="170"/>
      <c r="T38" s="170"/>
      <c r="U38" s="170"/>
      <c r="V38" s="170"/>
      <c r="W38" s="170"/>
      <c r="X38" s="170"/>
      <c r="Y38" s="170"/>
      <c r="Z38" s="170"/>
      <c r="AA38" s="170"/>
      <c r="AB38" s="170"/>
      <c r="AC38" s="170"/>
      <c r="AD38" s="170"/>
      <c r="AE38" s="170"/>
      <c r="AF38" s="170"/>
      <c r="AG38" s="170"/>
      <c r="AH38" s="170"/>
      <c r="AI38" s="170"/>
      <c r="AJ38" s="170"/>
      <c r="AK38" s="170"/>
      <c r="AL38" s="170"/>
      <c r="AM38" s="170"/>
      <c r="AN38" s="170"/>
      <c r="AO38" s="170"/>
      <c r="AP38" s="170"/>
      <c r="AQ38" s="170"/>
      <c r="AR38" s="170"/>
      <c r="AS38" s="170"/>
      <c r="AT38" s="170"/>
      <c r="AU38" s="170"/>
      <c r="AV38" s="170"/>
      <c r="AW38" s="170"/>
      <c r="AX38" s="170"/>
      <c r="AY38" s="170"/>
      <c r="AZ38" s="170"/>
      <c r="BA38" s="170"/>
      <c r="BB38" s="170"/>
      <c r="BC38" s="170"/>
      <c r="BD38" s="170"/>
      <c r="BE38" s="170"/>
      <c r="BF38" s="170"/>
      <c r="BG38" s="170"/>
      <c r="BH38" s="170"/>
      <c r="BI38" s="170"/>
      <c r="BJ38" s="170"/>
      <c r="BK38" s="170"/>
      <c r="BL38" s="170"/>
      <c r="BM38" s="170"/>
      <c r="BN38" s="170"/>
      <c r="BO38" s="170"/>
      <c r="BP38" s="170"/>
      <c r="BQ38" s="170"/>
      <c r="BR38" s="170"/>
      <c r="BS38" s="170"/>
      <c r="BT38" s="170"/>
      <c r="BU38" s="170"/>
      <c r="BV38" s="170"/>
      <c r="BW38" s="170"/>
      <c r="BX38" s="170"/>
      <c r="BY38" s="170"/>
      <c r="BZ38" s="170"/>
      <c r="CA38" s="170"/>
      <c r="CB38" s="170"/>
      <c r="CC38" s="170"/>
      <c r="CD38" s="170"/>
      <c r="CE38" s="170"/>
      <c r="CF38" s="170"/>
      <c r="CG38" s="170"/>
      <c r="CH38" s="170"/>
      <c r="CI38" s="170"/>
      <c r="CJ38" s="170"/>
      <c r="CK38" s="170"/>
      <c r="CL38" s="170"/>
      <c r="CM38" s="170"/>
      <c r="CN38" s="170"/>
      <c r="CO38" s="170"/>
      <c r="CP38" s="170"/>
      <c r="CQ38" s="170"/>
      <c r="CR38" s="170"/>
      <c r="CS38" s="170"/>
      <c r="CT38" s="170"/>
      <c r="CU38" s="170"/>
      <c r="CV38" s="170"/>
      <c r="CW38" s="170"/>
      <c r="CX38" s="170"/>
      <c r="CY38" s="170"/>
      <c r="CZ38" s="170"/>
      <c r="DA38" s="170"/>
      <c r="DB38" s="170"/>
      <c r="DC38" s="170"/>
      <c r="DD38" s="170"/>
      <c r="DE38" s="170"/>
      <c r="DF38" s="170"/>
      <c r="DG38" s="170"/>
      <c r="DH38" s="170"/>
      <c r="DI38" s="170"/>
      <c r="DJ38" s="170"/>
      <c r="DK38" s="170"/>
      <c r="DL38" s="170"/>
      <c r="DM38" s="170"/>
      <c r="DN38" s="170"/>
      <c r="DO38" s="170"/>
      <c r="DP38" s="170"/>
      <c r="DQ38" s="170"/>
      <c r="DR38" s="170"/>
      <c r="DS38" s="170"/>
      <c r="DT38" s="170"/>
      <c r="DU38" s="170"/>
      <c r="DV38" s="170"/>
      <c r="DW38" s="170"/>
      <c r="DX38" s="170"/>
      <c r="DY38" s="170"/>
      <c r="DZ38" s="170"/>
      <c r="EA38" s="170"/>
      <c r="EB38" s="170"/>
      <c r="EC38" s="170"/>
      <c r="ED38" s="170"/>
      <c r="EE38" s="170"/>
      <c r="EF38" s="170"/>
      <c r="EG38" s="170"/>
      <c r="EH38" s="170"/>
      <c r="EI38" s="170"/>
      <c r="EJ38" s="170"/>
      <c r="EK38" s="170"/>
      <c r="EL38" s="170"/>
      <c r="EM38" s="170"/>
      <c r="EN38" s="170"/>
      <c r="EO38" s="170"/>
      <c r="EP38" s="170"/>
    </row>
    <row r="39" ht="15.75" customHeight="1">
      <c r="A39" s="170"/>
      <c r="B39" s="170"/>
      <c r="C39" s="170"/>
      <c r="D39" s="170"/>
      <c r="E39" s="170"/>
      <c r="F39" s="170"/>
      <c r="G39" s="170"/>
      <c r="H39" s="170"/>
      <c r="I39" s="170"/>
      <c r="J39" s="170"/>
      <c r="K39" s="170"/>
      <c r="L39" s="170"/>
      <c r="M39" s="170"/>
      <c r="N39" s="170"/>
      <c r="O39" s="170"/>
      <c r="P39" s="170"/>
      <c r="Q39" s="170"/>
      <c r="R39" s="170"/>
      <c r="S39" s="170"/>
      <c r="T39" s="170"/>
      <c r="U39" s="170"/>
      <c r="V39" s="170"/>
      <c r="W39" s="170"/>
      <c r="X39" s="170"/>
      <c r="Y39" s="170"/>
      <c r="Z39" s="170"/>
      <c r="AA39" s="170"/>
      <c r="AB39" s="170"/>
      <c r="AC39" s="170"/>
      <c r="AD39" s="170"/>
      <c r="AE39" s="170"/>
      <c r="AF39" s="170"/>
      <c r="AG39" s="170"/>
      <c r="AH39" s="170"/>
      <c r="AI39" s="170"/>
      <c r="AJ39" s="170"/>
      <c r="AK39" s="170"/>
      <c r="AL39" s="170"/>
      <c r="AM39" s="170"/>
      <c r="AN39" s="170"/>
      <c r="AO39" s="170"/>
      <c r="AP39" s="170"/>
      <c r="AQ39" s="170"/>
      <c r="AR39" s="170"/>
      <c r="AS39" s="170"/>
      <c r="AT39" s="170"/>
      <c r="AU39" s="170"/>
      <c r="AV39" s="170"/>
      <c r="AW39" s="170"/>
      <c r="AX39" s="170"/>
      <c r="AY39" s="170"/>
      <c r="AZ39" s="170"/>
      <c r="BA39" s="170"/>
      <c r="BB39" s="170"/>
      <c r="BC39" s="170"/>
      <c r="BD39" s="170"/>
      <c r="BE39" s="170"/>
      <c r="BF39" s="170"/>
      <c r="BG39" s="170"/>
      <c r="BH39" s="170"/>
      <c r="BI39" s="170"/>
      <c r="BJ39" s="170"/>
      <c r="BK39" s="170"/>
      <c r="BL39" s="170"/>
      <c r="BM39" s="170"/>
      <c r="BN39" s="170"/>
      <c r="BO39" s="170"/>
      <c r="BP39" s="170"/>
      <c r="BQ39" s="170"/>
      <c r="BR39" s="170"/>
      <c r="BS39" s="170"/>
      <c r="BT39" s="170"/>
      <c r="BU39" s="170"/>
      <c r="BV39" s="170"/>
      <c r="BW39" s="170"/>
      <c r="BX39" s="170"/>
      <c r="BY39" s="170"/>
      <c r="BZ39" s="170"/>
      <c r="CA39" s="170"/>
      <c r="CB39" s="170"/>
      <c r="CC39" s="170"/>
      <c r="CD39" s="170"/>
      <c r="CE39" s="170"/>
      <c r="CF39" s="170"/>
      <c r="CG39" s="170"/>
      <c r="CH39" s="170"/>
      <c r="CI39" s="170"/>
      <c r="CJ39" s="170"/>
      <c r="CK39" s="170"/>
      <c r="CL39" s="170"/>
      <c r="CM39" s="170"/>
      <c r="CN39" s="170"/>
      <c r="CO39" s="170"/>
      <c r="CP39" s="170"/>
      <c r="CQ39" s="170"/>
      <c r="CR39" s="170"/>
      <c r="CS39" s="170"/>
      <c r="CT39" s="170"/>
      <c r="CU39" s="170"/>
      <c r="CV39" s="170"/>
      <c r="CW39" s="170"/>
      <c r="CX39" s="170"/>
      <c r="CY39" s="170"/>
      <c r="CZ39" s="170"/>
      <c r="DA39" s="170"/>
      <c r="DB39" s="170"/>
      <c r="DC39" s="170"/>
      <c r="DD39" s="170"/>
      <c r="DE39" s="170"/>
      <c r="DF39" s="170"/>
      <c r="DG39" s="170"/>
      <c r="DH39" s="170"/>
      <c r="DI39" s="170"/>
      <c r="DJ39" s="170"/>
      <c r="DK39" s="170"/>
      <c r="DL39" s="170"/>
      <c r="DM39" s="170"/>
      <c r="DN39" s="170"/>
      <c r="DO39" s="170"/>
      <c r="DP39" s="170"/>
      <c r="DQ39" s="170"/>
      <c r="DR39" s="170"/>
      <c r="DS39" s="170"/>
      <c r="DT39" s="170"/>
      <c r="DU39" s="170"/>
      <c r="DV39" s="170"/>
      <c r="DW39" s="170"/>
      <c r="DX39" s="170"/>
      <c r="DY39" s="170"/>
      <c r="DZ39" s="170"/>
      <c r="EA39" s="170"/>
      <c r="EB39" s="170"/>
      <c r="EC39" s="170"/>
      <c r="ED39" s="170"/>
      <c r="EE39" s="170"/>
      <c r="EF39" s="170"/>
      <c r="EG39" s="170"/>
      <c r="EH39" s="170"/>
      <c r="EI39" s="170"/>
      <c r="EJ39" s="170"/>
      <c r="EK39" s="170"/>
      <c r="EL39" s="170"/>
      <c r="EM39" s="170"/>
      <c r="EN39" s="170"/>
      <c r="EO39" s="170"/>
      <c r="EP39" s="170"/>
    </row>
    <row r="40" ht="15.75" customHeight="1">
      <c r="A40" s="170"/>
      <c r="B40" s="170"/>
      <c r="C40" s="170"/>
      <c r="D40" s="170"/>
      <c r="E40" s="170"/>
      <c r="F40" s="170"/>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70"/>
      <c r="AI40" s="170"/>
      <c r="AJ40" s="170"/>
      <c r="AK40" s="170"/>
      <c r="AL40" s="170"/>
      <c r="AM40" s="170"/>
      <c r="AN40" s="170"/>
      <c r="AO40" s="170"/>
      <c r="AP40" s="170"/>
      <c r="AQ40" s="170"/>
      <c r="AR40" s="170"/>
      <c r="AS40" s="170"/>
      <c r="AT40" s="170"/>
      <c r="AU40" s="170"/>
      <c r="AV40" s="170"/>
      <c r="AW40" s="170"/>
      <c r="AX40" s="170"/>
      <c r="AY40" s="170"/>
      <c r="AZ40" s="170"/>
      <c r="BA40" s="170"/>
      <c r="BB40" s="170"/>
      <c r="BC40" s="170"/>
      <c r="BD40" s="170"/>
      <c r="BE40" s="170"/>
      <c r="BF40" s="170"/>
      <c r="BG40" s="170"/>
      <c r="BH40" s="170"/>
      <c r="BI40" s="170"/>
      <c r="BJ40" s="170"/>
      <c r="BK40" s="170"/>
      <c r="BL40" s="170"/>
      <c r="BM40" s="170"/>
      <c r="BN40" s="170"/>
      <c r="BO40" s="170"/>
      <c r="BP40" s="170"/>
      <c r="BQ40" s="170"/>
      <c r="BR40" s="170"/>
      <c r="BS40" s="170"/>
      <c r="BT40" s="170"/>
      <c r="BU40" s="170"/>
      <c r="BV40" s="170"/>
      <c r="BW40" s="170"/>
      <c r="BX40" s="170"/>
      <c r="BY40" s="170"/>
      <c r="BZ40" s="170"/>
      <c r="CA40" s="170"/>
      <c r="CB40" s="170"/>
      <c r="CC40" s="170"/>
      <c r="CD40" s="170"/>
      <c r="CE40" s="170"/>
      <c r="CF40" s="170"/>
      <c r="CG40" s="170"/>
      <c r="CH40" s="170"/>
      <c r="CI40" s="170"/>
      <c r="CJ40" s="170"/>
      <c r="CK40" s="170"/>
      <c r="CL40" s="170"/>
      <c r="CM40" s="170"/>
      <c r="CN40" s="170"/>
      <c r="CO40" s="170"/>
      <c r="CP40" s="170"/>
      <c r="CQ40" s="170"/>
      <c r="CR40" s="170"/>
      <c r="CS40" s="170"/>
      <c r="CT40" s="170"/>
      <c r="CU40" s="170"/>
      <c r="CV40" s="170"/>
      <c r="CW40" s="170"/>
      <c r="CX40" s="170"/>
      <c r="CY40" s="170"/>
      <c r="CZ40" s="170"/>
      <c r="DA40" s="170"/>
      <c r="DB40" s="170"/>
      <c r="DC40" s="170"/>
      <c r="DD40" s="170"/>
      <c r="DE40" s="170"/>
      <c r="DF40" s="170"/>
      <c r="DG40" s="170"/>
      <c r="DH40" s="170"/>
      <c r="DI40" s="170"/>
      <c r="DJ40" s="170"/>
      <c r="DK40" s="170"/>
      <c r="DL40" s="170"/>
      <c r="DM40" s="170"/>
      <c r="DN40" s="170"/>
      <c r="DO40" s="170"/>
      <c r="DP40" s="170"/>
      <c r="DQ40" s="170"/>
      <c r="DR40" s="170"/>
      <c r="DS40" s="170"/>
      <c r="DT40" s="170"/>
      <c r="DU40" s="170"/>
      <c r="DV40" s="170"/>
      <c r="DW40" s="170"/>
      <c r="DX40" s="170"/>
      <c r="DY40" s="170"/>
      <c r="DZ40" s="170"/>
      <c r="EA40" s="170"/>
      <c r="EB40" s="170"/>
      <c r="EC40" s="170"/>
      <c r="ED40" s="170"/>
      <c r="EE40" s="170"/>
      <c r="EF40" s="170"/>
      <c r="EG40" s="170"/>
      <c r="EH40" s="170"/>
      <c r="EI40" s="170"/>
      <c r="EJ40" s="170"/>
      <c r="EK40" s="170"/>
      <c r="EL40" s="170"/>
      <c r="EM40" s="170"/>
      <c r="EN40" s="170"/>
      <c r="EO40" s="170"/>
      <c r="EP40" s="170"/>
    </row>
    <row r="41" ht="15.75" customHeight="1">
      <c r="A41" s="170"/>
      <c r="B41" s="170"/>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0"/>
      <c r="BK41" s="170"/>
      <c r="BL41" s="170"/>
      <c r="BM41" s="170"/>
      <c r="BN41" s="170"/>
      <c r="BO41" s="170"/>
      <c r="BP41" s="170"/>
      <c r="BQ41" s="170"/>
      <c r="BR41" s="170"/>
      <c r="BS41" s="170"/>
      <c r="BT41" s="170"/>
      <c r="BU41" s="170"/>
      <c r="BV41" s="170"/>
      <c r="BW41" s="170"/>
      <c r="BX41" s="170"/>
      <c r="BY41" s="170"/>
      <c r="BZ41" s="170"/>
      <c r="CA41" s="170"/>
      <c r="CB41" s="170"/>
      <c r="CC41" s="170"/>
      <c r="CD41" s="170"/>
      <c r="CE41" s="170"/>
      <c r="CF41" s="170"/>
      <c r="CG41" s="170"/>
      <c r="CH41" s="170"/>
      <c r="CI41" s="170"/>
      <c r="CJ41" s="170"/>
      <c r="CK41" s="170"/>
      <c r="CL41" s="170"/>
      <c r="CM41" s="170"/>
      <c r="CN41" s="170"/>
      <c r="CO41" s="170"/>
      <c r="CP41" s="170"/>
      <c r="CQ41" s="170"/>
      <c r="CR41" s="170"/>
      <c r="CS41" s="170"/>
      <c r="CT41" s="170"/>
      <c r="CU41" s="170"/>
      <c r="CV41" s="170"/>
      <c r="CW41" s="170"/>
      <c r="CX41" s="170"/>
      <c r="CY41" s="170"/>
      <c r="CZ41" s="170"/>
      <c r="DA41" s="170"/>
      <c r="DB41" s="170"/>
      <c r="DC41" s="170"/>
      <c r="DD41" s="170"/>
      <c r="DE41" s="170"/>
      <c r="DF41" s="170"/>
      <c r="DG41" s="170"/>
      <c r="DH41" s="170"/>
      <c r="DI41" s="170"/>
      <c r="DJ41" s="170"/>
      <c r="DK41" s="170"/>
      <c r="DL41" s="170"/>
      <c r="DM41" s="170"/>
      <c r="DN41" s="170"/>
      <c r="DO41" s="170"/>
      <c r="DP41" s="170"/>
      <c r="DQ41" s="170"/>
      <c r="DR41" s="170"/>
      <c r="DS41" s="170"/>
      <c r="DT41" s="170"/>
      <c r="DU41" s="170"/>
      <c r="DV41" s="170"/>
      <c r="DW41" s="170"/>
      <c r="DX41" s="170"/>
      <c r="DY41" s="170"/>
      <c r="DZ41" s="170"/>
      <c r="EA41" s="170"/>
      <c r="EB41" s="170"/>
      <c r="EC41" s="170"/>
      <c r="ED41" s="170"/>
      <c r="EE41" s="170"/>
      <c r="EF41" s="170"/>
      <c r="EG41" s="170"/>
      <c r="EH41" s="170"/>
      <c r="EI41" s="170"/>
      <c r="EJ41" s="170"/>
      <c r="EK41" s="170"/>
      <c r="EL41" s="170"/>
      <c r="EM41" s="170"/>
      <c r="EN41" s="170"/>
      <c r="EO41" s="170"/>
      <c r="EP41" s="170"/>
    </row>
    <row r="42" ht="15.75" customHeight="1">
      <c r="A42" s="170"/>
      <c r="B42" s="170"/>
      <c r="C42" s="170"/>
      <c r="D42" s="170"/>
      <c r="E42" s="170"/>
      <c r="F42" s="170"/>
      <c r="G42" s="170"/>
      <c r="H42" s="170"/>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0"/>
      <c r="AP42" s="170"/>
      <c r="AQ42" s="170"/>
      <c r="AR42" s="170"/>
      <c r="AS42" s="170"/>
      <c r="AT42" s="170"/>
      <c r="AU42" s="170"/>
      <c r="AV42" s="170"/>
      <c r="AW42" s="170"/>
      <c r="AX42" s="170"/>
      <c r="AY42" s="170"/>
      <c r="AZ42" s="170"/>
      <c r="BA42" s="170"/>
      <c r="BB42" s="170"/>
      <c r="BC42" s="170"/>
      <c r="BD42" s="170"/>
      <c r="BE42" s="170"/>
      <c r="BF42" s="170"/>
      <c r="BG42" s="170"/>
      <c r="BH42" s="170"/>
      <c r="BI42" s="170"/>
      <c r="BJ42" s="170"/>
      <c r="BK42" s="170"/>
      <c r="BL42" s="170"/>
      <c r="BM42" s="170"/>
      <c r="BN42" s="170"/>
      <c r="BO42" s="170"/>
      <c r="BP42" s="170"/>
      <c r="BQ42" s="170"/>
      <c r="BR42" s="170"/>
      <c r="BS42" s="170"/>
      <c r="BT42" s="170"/>
      <c r="BU42" s="170"/>
      <c r="BV42" s="170"/>
      <c r="BW42" s="170"/>
      <c r="BX42" s="170"/>
      <c r="BY42" s="170"/>
      <c r="BZ42" s="170"/>
      <c r="CA42" s="170"/>
      <c r="CB42" s="170"/>
      <c r="CC42" s="170"/>
      <c r="CD42" s="170"/>
      <c r="CE42" s="170"/>
      <c r="CF42" s="170"/>
      <c r="CG42" s="170"/>
      <c r="CH42" s="170"/>
      <c r="CI42" s="170"/>
      <c r="CJ42" s="170"/>
      <c r="CK42" s="170"/>
      <c r="CL42" s="170"/>
      <c r="CM42" s="170"/>
      <c r="CN42" s="170"/>
      <c r="CO42" s="170"/>
      <c r="CP42" s="170"/>
      <c r="CQ42" s="170"/>
      <c r="CR42" s="170"/>
      <c r="CS42" s="170"/>
      <c r="CT42" s="170"/>
      <c r="CU42" s="170"/>
      <c r="CV42" s="170"/>
      <c r="CW42" s="170"/>
      <c r="CX42" s="170"/>
      <c r="CY42" s="170"/>
      <c r="CZ42" s="170"/>
      <c r="DA42" s="170"/>
      <c r="DB42" s="170"/>
      <c r="DC42" s="170"/>
      <c r="DD42" s="170"/>
      <c r="DE42" s="170"/>
      <c r="DF42" s="170"/>
      <c r="DG42" s="170"/>
      <c r="DH42" s="170"/>
      <c r="DI42" s="170"/>
      <c r="DJ42" s="170"/>
      <c r="DK42" s="170"/>
      <c r="DL42" s="170"/>
      <c r="DM42" s="170"/>
      <c r="DN42" s="170"/>
      <c r="DO42" s="170"/>
      <c r="DP42" s="170"/>
      <c r="DQ42" s="170"/>
      <c r="DR42" s="170"/>
      <c r="DS42" s="170"/>
      <c r="DT42" s="170"/>
      <c r="DU42" s="170"/>
      <c r="DV42" s="170"/>
      <c r="DW42" s="170"/>
      <c r="DX42" s="170"/>
      <c r="DY42" s="170"/>
      <c r="DZ42" s="170"/>
      <c r="EA42" s="170"/>
      <c r="EB42" s="170"/>
      <c r="EC42" s="170"/>
      <c r="ED42" s="170"/>
      <c r="EE42" s="170"/>
      <c r="EF42" s="170"/>
      <c r="EG42" s="170"/>
      <c r="EH42" s="170"/>
      <c r="EI42" s="170"/>
      <c r="EJ42" s="170"/>
      <c r="EK42" s="170"/>
      <c r="EL42" s="170"/>
      <c r="EM42" s="170"/>
      <c r="EN42" s="170"/>
      <c r="EO42" s="170"/>
      <c r="EP42" s="170"/>
    </row>
    <row r="43" ht="15.75" customHeight="1">
      <c r="A43" s="170"/>
      <c r="B43" s="170"/>
      <c r="C43" s="170"/>
      <c r="D43" s="170"/>
      <c r="E43" s="170"/>
      <c r="F43" s="170"/>
      <c r="G43" s="170"/>
      <c r="H43" s="170"/>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c r="AJ43" s="170"/>
      <c r="AK43" s="170"/>
      <c r="AL43" s="170"/>
      <c r="AM43" s="170"/>
      <c r="AN43" s="170"/>
      <c r="AO43" s="170"/>
      <c r="AP43" s="170"/>
      <c r="AQ43" s="170"/>
      <c r="AR43" s="170"/>
      <c r="AS43" s="170"/>
      <c r="AT43" s="170"/>
      <c r="AU43" s="170"/>
      <c r="AV43" s="170"/>
      <c r="AW43" s="170"/>
      <c r="AX43" s="170"/>
      <c r="AY43" s="170"/>
      <c r="AZ43" s="170"/>
      <c r="BA43" s="170"/>
      <c r="BB43" s="170"/>
      <c r="BC43" s="170"/>
      <c r="BD43" s="170"/>
      <c r="BE43" s="170"/>
      <c r="BF43" s="170"/>
      <c r="BG43" s="170"/>
      <c r="BH43" s="170"/>
      <c r="BI43" s="170"/>
      <c r="BJ43" s="170"/>
      <c r="BK43" s="170"/>
      <c r="BL43" s="170"/>
      <c r="BM43" s="170"/>
      <c r="BN43" s="170"/>
      <c r="BO43" s="170"/>
      <c r="BP43" s="170"/>
      <c r="BQ43" s="170"/>
      <c r="BR43" s="170"/>
      <c r="BS43" s="170"/>
      <c r="BT43" s="170"/>
      <c r="BU43" s="170"/>
      <c r="BV43" s="170"/>
      <c r="BW43" s="170"/>
      <c r="BX43" s="170"/>
      <c r="BY43" s="170"/>
      <c r="BZ43" s="170"/>
      <c r="CA43" s="170"/>
      <c r="CB43" s="170"/>
      <c r="CC43" s="170"/>
      <c r="CD43" s="170"/>
      <c r="CE43" s="170"/>
      <c r="CF43" s="170"/>
      <c r="CG43" s="170"/>
      <c r="CH43" s="170"/>
      <c r="CI43" s="170"/>
      <c r="CJ43" s="170"/>
      <c r="CK43" s="170"/>
      <c r="CL43" s="170"/>
      <c r="CM43" s="170"/>
      <c r="CN43" s="170"/>
      <c r="CO43" s="170"/>
      <c r="CP43" s="170"/>
      <c r="CQ43" s="170"/>
      <c r="CR43" s="170"/>
      <c r="CS43" s="170"/>
      <c r="CT43" s="170"/>
      <c r="CU43" s="170"/>
      <c r="CV43" s="170"/>
      <c r="CW43" s="170"/>
      <c r="CX43" s="170"/>
      <c r="CY43" s="170"/>
      <c r="CZ43" s="170"/>
      <c r="DA43" s="170"/>
      <c r="DB43" s="170"/>
      <c r="DC43" s="170"/>
      <c r="DD43" s="170"/>
      <c r="DE43" s="170"/>
      <c r="DF43" s="170"/>
      <c r="DG43" s="170"/>
      <c r="DH43" s="170"/>
      <c r="DI43" s="170"/>
      <c r="DJ43" s="170"/>
      <c r="DK43" s="170"/>
      <c r="DL43" s="170"/>
      <c r="DM43" s="170"/>
      <c r="DN43" s="170"/>
      <c r="DO43" s="170"/>
      <c r="DP43" s="170"/>
      <c r="DQ43" s="170"/>
      <c r="DR43" s="170"/>
      <c r="DS43" s="170"/>
      <c r="DT43" s="170"/>
      <c r="DU43" s="170"/>
      <c r="DV43" s="170"/>
      <c r="DW43" s="170"/>
      <c r="DX43" s="170"/>
      <c r="DY43" s="170"/>
      <c r="DZ43" s="170"/>
      <c r="EA43" s="170"/>
      <c r="EB43" s="170"/>
      <c r="EC43" s="170"/>
      <c r="ED43" s="170"/>
      <c r="EE43" s="170"/>
      <c r="EF43" s="170"/>
      <c r="EG43" s="170"/>
      <c r="EH43" s="170"/>
      <c r="EI43" s="170"/>
      <c r="EJ43" s="170"/>
      <c r="EK43" s="170"/>
      <c r="EL43" s="170"/>
      <c r="EM43" s="170"/>
      <c r="EN43" s="170"/>
      <c r="EO43" s="170"/>
      <c r="EP43" s="170"/>
    </row>
    <row r="44" ht="15.75" customHeight="1">
      <c r="A44" s="170"/>
      <c r="B44" s="170"/>
      <c r="C44" s="170"/>
      <c r="D44" s="170"/>
      <c r="E44" s="170"/>
      <c r="F44" s="170"/>
      <c r="G44" s="170"/>
      <c r="H44" s="170"/>
      <c r="I44" s="170"/>
      <c r="J44" s="170"/>
      <c r="K44" s="170"/>
      <c r="L44" s="170"/>
      <c r="M44" s="170"/>
      <c r="N44" s="170"/>
      <c r="O44" s="170"/>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70"/>
      <c r="AN44" s="170"/>
      <c r="AO44" s="170"/>
      <c r="AP44" s="170"/>
      <c r="AQ44" s="170"/>
      <c r="AR44" s="170"/>
      <c r="AS44" s="170"/>
      <c r="AT44" s="170"/>
      <c r="AU44" s="170"/>
      <c r="AV44" s="170"/>
      <c r="AW44" s="170"/>
      <c r="AX44" s="170"/>
      <c r="AY44" s="170"/>
      <c r="AZ44" s="170"/>
      <c r="BA44" s="170"/>
      <c r="BB44" s="170"/>
      <c r="BC44" s="170"/>
      <c r="BD44" s="170"/>
      <c r="BE44" s="170"/>
      <c r="BF44" s="170"/>
      <c r="BG44" s="170"/>
      <c r="BH44" s="170"/>
      <c r="BI44" s="170"/>
      <c r="BJ44" s="170"/>
      <c r="BK44" s="170"/>
      <c r="BL44" s="170"/>
      <c r="BM44" s="170"/>
      <c r="BN44" s="170"/>
      <c r="BO44" s="170"/>
      <c r="BP44" s="170"/>
      <c r="BQ44" s="170"/>
      <c r="BR44" s="170"/>
      <c r="BS44" s="170"/>
      <c r="BT44" s="170"/>
      <c r="BU44" s="170"/>
      <c r="BV44" s="170"/>
      <c r="BW44" s="170"/>
      <c r="BX44" s="170"/>
      <c r="BY44" s="170"/>
      <c r="BZ44" s="170"/>
      <c r="CA44" s="170"/>
      <c r="CB44" s="170"/>
      <c r="CC44" s="170"/>
      <c r="CD44" s="170"/>
      <c r="CE44" s="170"/>
      <c r="CF44" s="170"/>
      <c r="CG44" s="170"/>
      <c r="CH44" s="170"/>
      <c r="CI44" s="170"/>
      <c r="CJ44" s="170"/>
      <c r="CK44" s="170"/>
      <c r="CL44" s="170"/>
      <c r="CM44" s="170"/>
      <c r="CN44" s="170"/>
      <c r="CO44" s="170"/>
      <c r="CP44" s="170"/>
      <c r="CQ44" s="170"/>
      <c r="CR44" s="170"/>
      <c r="CS44" s="170"/>
      <c r="CT44" s="170"/>
      <c r="CU44" s="170"/>
      <c r="CV44" s="170"/>
      <c r="CW44" s="170"/>
      <c r="CX44" s="170"/>
      <c r="CY44" s="170"/>
      <c r="CZ44" s="170"/>
      <c r="DA44" s="170"/>
      <c r="DB44" s="170"/>
      <c r="DC44" s="170"/>
      <c r="DD44" s="170"/>
      <c r="DE44" s="170"/>
      <c r="DF44" s="170"/>
      <c r="DG44" s="170"/>
      <c r="DH44" s="170"/>
      <c r="DI44" s="170"/>
      <c r="DJ44" s="170"/>
      <c r="DK44" s="170"/>
      <c r="DL44" s="170"/>
      <c r="DM44" s="170"/>
      <c r="DN44" s="170"/>
      <c r="DO44" s="170"/>
      <c r="DP44" s="170"/>
      <c r="DQ44" s="170"/>
      <c r="DR44" s="170"/>
      <c r="DS44" s="170"/>
      <c r="DT44" s="170"/>
      <c r="DU44" s="170"/>
      <c r="DV44" s="170"/>
      <c r="DW44" s="170"/>
      <c r="DX44" s="170"/>
      <c r="DY44" s="170"/>
      <c r="DZ44" s="170"/>
      <c r="EA44" s="170"/>
      <c r="EB44" s="170"/>
      <c r="EC44" s="170"/>
      <c r="ED44" s="170"/>
      <c r="EE44" s="170"/>
      <c r="EF44" s="170"/>
      <c r="EG44" s="170"/>
      <c r="EH44" s="170"/>
      <c r="EI44" s="170"/>
      <c r="EJ44" s="170"/>
      <c r="EK44" s="170"/>
      <c r="EL44" s="170"/>
      <c r="EM44" s="170"/>
      <c r="EN44" s="170"/>
      <c r="EO44" s="170"/>
      <c r="EP44" s="170"/>
    </row>
    <row r="45" ht="15.75" customHeight="1">
      <c r="A45" s="170"/>
      <c r="B45" s="170"/>
      <c r="C45" s="170"/>
      <c r="D45" s="170"/>
      <c r="E45" s="170"/>
      <c r="F45" s="170"/>
      <c r="G45" s="170"/>
      <c r="H45" s="170"/>
      <c r="I45" s="170"/>
      <c r="J45" s="170"/>
      <c r="K45" s="170"/>
      <c r="L45" s="170"/>
      <c r="M45" s="170"/>
      <c r="N45" s="170"/>
      <c r="O45" s="170"/>
      <c r="P45" s="170"/>
      <c r="Q45" s="170"/>
      <c r="R45" s="170"/>
      <c r="S45" s="170"/>
      <c r="T45" s="170"/>
      <c r="U45" s="170"/>
      <c r="V45" s="170"/>
      <c r="W45" s="170"/>
      <c r="X45" s="170"/>
      <c r="Y45" s="170"/>
      <c r="Z45" s="170"/>
      <c r="AA45" s="170"/>
      <c r="AB45" s="170"/>
      <c r="AC45" s="170"/>
      <c r="AD45" s="170"/>
      <c r="AE45" s="170"/>
      <c r="AF45" s="170"/>
      <c r="AG45" s="170"/>
      <c r="AH45" s="170"/>
      <c r="AI45" s="170"/>
      <c r="AJ45" s="170"/>
      <c r="AK45" s="170"/>
      <c r="AL45" s="170"/>
      <c r="AM45" s="170"/>
      <c r="AN45" s="170"/>
      <c r="AO45" s="170"/>
      <c r="AP45" s="170"/>
      <c r="AQ45" s="170"/>
      <c r="AR45" s="170"/>
      <c r="AS45" s="170"/>
      <c r="AT45" s="170"/>
      <c r="AU45" s="170"/>
      <c r="AV45" s="170"/>
      <c r="AW45" s="170"/>
      <c r="AX45" s="170"/>
      <c r="AY45" s="170"/>
      <c r="AZ45" s="170"/>
      <c r="BA45" s="170"/>
      <c r="BB45" s="170"/>
      <c r="BC45" s="170"/>
      <c r="BD45" s="170"/>
      <c r="BE45" s="170"/>
      <c r="BF45" s="170"/>
      <c r="BG45" s="170"/>
      <c r="BH45" s="170"/>
      <c r="BI45" s="170"/>
      <c r="BJ45" s="170"/>
      <c r="BK45" s="170"/>
      <c r="BL45" s="170"/>
      <c r="BM45" s="170"/>
      <c r="BN45" s="170"/>
      <c r="BO45" s="170"/>
      <c r="BP45" s="170"/>
      <c r="BQ45" s="170"/>
      <c r="BR45" s="170"/>
      <c r="BS45" s="170"/>
      <c r="BT45" s="170"/>
      <c r="BU45" s="170"/>
      <c r="BV45" s="170"/>
      <c r="BW45" s="170"/>
      <c r="BX45" s="170"/>
      <c r="BY45" s="170"/>
      <c r="BZ45" s="170"/>
      <c r="CA45" s="170"/>
      <c r="CB45" s="170"/>
      <c r="CC45" s="170"/>
      <c r="CD45" s="170"/>
      <c r="CE45" s="170"/>
      <c r="CF45" s="170"/>
      <c r="CG45" s="170"/>
      <c r="CH45" s="170"/>
      <c r="CI45" s="170"/>
      <c r="CJ45" s="170"/>
      <c r="CK45" s="170"/>
      <c r="CL45" s="170"/>
      <c r="CM45" s="170"/>
      <c r="CN45" s="170"/>
      <c r="CO45" s="170"/>
      <c r="CP45" s="170"/>
      <c r="CQ45" s="170"/>
      <c r="CR45" s="170"/>
      <c r="CS45" s="170"/>
      <c r="CT45" s="170"/>
      <c r="CU45" s="170"/>
      <c r="CV45" s="170"/>
      <c r="CW45" s="170"/>
      <c r="CX45" s="170"/>
      <c r="CY45" s="170"/>
      <c r="CZ45" s="170"/>
      <c r="DA45" s="170"/>
      <c r="DB45" s="170"/>
      <c r="DC45" s="170"/>
      <c r="DD45" s="170"/>
      <c r="DE45" s="170"/>
      <c r="DF45" s="170"/>
      <c r="DG45" s="170"/>
      <c r="DH45" s="170"/>
      <c r="DI45" s="170"/>
      <c r="DJ45" s="170"/>
      <c r="DK45" s="170"/>
      <c r="DL45" s="170"/>
      <c r="DM45" s="170"/>
      <c r="DN45" s="170"/>
      <c r="DO45" s="170"/>
      <c r="DP45" s="170"/>
      <c r="DQ45" s="170"/>
      <c r="DR45" s="170"/>
      <c r="DS45" s="170"/>
      <c r="DT45" s="170"/>
      <c r="DU45" s="170"/>
      <c r="DV45" s="170"/>
      <c r="DW45" s="170"/>
      <c r="DX45" s="170"/>
      <c r="DY45" s="170"/>
      <c r="DZ45" s="170"/>
      <c r="EA45" s="170"/>
      <c r="EB45" s="170"/>
      <c r="EC45" s="170"/>
      <c r="ED45" s="170"/>
      <c r="EE45" s="170"/>
      <c r="EF45" s="170"/>
      <c r="EG45" s="170"/>
      <c r="EH45" s="170"/>
      <c r="EI45" s="170"/>
      <c r="EJ45" s="170"/>
      <c r="EK45" s="170"/>
      <c r="EL45" s="170"/>
      <c r="EM45" s="170"/>
      <c r="EN45" s="170"/>
      <c r="EO45" s="170"/>
      <c r="EP45" s="170"/>
    </row>
    <row r="46" ht="15.75" customHeight="1">
      <c r="A46" s="170"/>
      <c r="B46" s="170"/>
      <c r="C46" s="170"/>
      <c r="D46" s="170"/>
      <c r="E46" s="170"/>
      <c r="F46" s="170"/>
      <c r="G46" s="170"/>
      <c r="H46" s="170"/>
      <c r="I46" s="170"/>
      <c r="J46" s="170"/>
      <c r="K46" s="170"/>
      <c r="L46" s="170"/>
      <c r="M46" s="170"/>
      <c r="N46" s="170"/>
      <c r="O46" s="170"/>
      <c r="P46" s="170"/>
      <c r="Q46" s="170"/>
      <c r="R46" s="170"/>
      <c r="S46" s="170"/>
      <c r="T46" s="170"/>
      <c r="U46" s="170"/>
      <c r="V46" s="170"/>
      <c r="W46" s="170"/>
      <c r="X46" s="170"/>
      <c r="Y46" s="170"/>
      <c r="Z46" s="170"/>
      <c r="AA46" s="170"/>
      <c r="AB46" s="170"/>
      <c r="AC46" s="170"/>
      <c r="AD46" s="170"/>
      <c r="AE46" s="170"/>
      <c r="AF46" s="170"/>
      <c r="AG46" s="170"/>
      <c r="AH46" s="170"/>
      <c r="AI46" s="170"/>
      <c r="AJ46" s="170"/>
      <c r="AK46" s="170"/>
      <c r="AL46" s="170"/>
      <c r="AM46" s="170"/>
      <c r="AN46" s="170"/>
      <c r="AO46" s="170"/>
      <c r="AP46" s="170"/>
      <c r="AQ46" s="170"/>
      <c r="AR46" s="170"/>
      <c r="AS46" s="170"/>
      <c r="AT46" s="170"/>
      <c r="AU46" s="170"/>
      <c r="AV46" s="170"/>
      <c r="AW46" s="170"/>
      <c r="AX46" s="170"/>
      <c r="AY46" s="170"/>
      <c r="AZ46" s="170"/>
      <c r="BA46" s="170"/>
      <c r="BB46" s="170"/>
      <c r="BC46" s="170"/>
      <c r="BD46" s="170"/>
      <c r="BE46" s="170"/>
      <c r="BF46" s="170"/>
      <c r="BG46" s="170"/>
      <c r="BH46" s="170"/>
      <c r="BI46" s="170"/>
      <c r="BJ46" s="170"/>
      <c r="BK46" s="170"/>
      <c r="BL46" s="170"/>
      <c r="BM46" s="170"/>
      <c r="BN46" s="170"/>
      <c r="BO46" s="170"/>
      <c r="BP46" s="170"/>
      <c r="BQ46" s="170"/>
      <c r="BR46" s="170"/>
      <c r="BS46" s="170"/>
      <c r="BT46" s="170"/>
      <c r="BU46" s="170"/>
      <c r="BV46" s="170"/>
      <c r="BW46" s="170"/>
      <c r="BX46" s="170"/>
      <c r="BY46" s="170"/>
      <c r="BZ46" s="170"/>
      <c r="CA46" s="170"/>
      <c r="CB46" s="170"/>
      <c r="CC46" s="170"/>
      <c r="CD46" s="170"/>
      <c r="CE46" s="170"/>
      <c r="CF46" s="170"/>
      <c r="CG46" s="170"/>
      <c r="CH46" s="170"/>
      <c r="CI46" s="170"/>
      <c r="CJ46" s="170"/>
      <c r="CK46" s="170"/>
      <c r="CL46" s="170"/>
      <c r="CM46" s="170"/>
      <c r="CN46" s="170"/>
      <c r="CO46" s="170"/>
      <c r="CP46" s="170"/>
      <c r="CQ46" s="170"/>
      <c r="CR46" s="170"/>
      <c r="CS46" s="170"/>
      <c r="CT46" s="170"/>
      <c r="CU46" s="170"/>
      <c r="CV46" s="170"/>
      <c r="CW46" s="170"/>
      <c r="CX46" s="170"/>
      <c r="CY46" s="170"/>
      <c r="CZ46" s="170"/>
      <c r="DA46" s="170"/>
      <c r="DB46" s="170"/>
      <c r="DC46" s="170"/>
      <c r="DD46" s="170"/>
      <c r="DE46" s="170"/>
      <c r="DF46" s="170"/>
      <c r="DG46" s="170"/>
      <c r="DH46" s="170"/>
      <c r="DI46" s="170"/>
      <c r="DJ46" s="170"/>
      <c r="DK46" s="170"/>
      <c r="DL46" s="170"/>
      <c r="DM46" s="170"/>
      <c r="DN46" s="170"/>
      <c r="DO46" s="170"/>
      <c r="DP46" s="170"/>
      <c r="DQ46" s="170"/>
      <c r="DR46" s="170"/>
      <c r="DS46" s="170"/>
      <c r="DT46" s="170"/>
      <c r="DU46" s="170"/>
      <c r="DV46" s="170"/>
      <c r="DW46" s="170"/>
      <c r="DX46" s="170"/>
      <c r="DY46" s="170"/>
      <c r="DZ46" s="170"/>
      <c r="EA46" s="170"/>
      <c r="EB46" s="170"/>
      <c r="EC46" s="170"/>
      <c r="ED46" s="170"/>
      <c r="EE46" s="170"/>
      <c r="EF46" s="170"/>
      <c r="EG46" s="170"/>
      <c r="EH46" s="170"/>
      <c r="EI46" s="170"/>
      <c r="EJ46" s="170"/>
      <c r="EK46" s="170"/>
      <c r="EL46" s="170"/>
      <c r="EM46" s="170"/>
      <c r="EN46" s="170"/>
      <c r="EO46" s="170"/>
      <c r="EP46" s="170"/>
    </row>
    <row r="47" ht="15.75" customHeight="1">
      <c r="A47" s="170"/>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c r="AA47" s="170"/>
      <c r="AB47" s="170"/>
      <c r="AC47" s="170"/>
      <c r="AD47" s="170"/>
      <c r="AE47" s="170"/>
      <c r="AF47" s="170"/>
      <c r="AG47" s="170"/>
      <c r="AH47" s="170"/>
      <c r="AI47" s="170"/>
      <c r="AJ47" s="170"/>
      <c r="AK47" s="170"/>
      <c r="AL47" s="170"/>
      <c r="AM47" s="170"/>
      <c r="AN47" s="170"/>
      <c r="AO47" s="170"/>
      <c r="AP47" s="170"/>
      <c r="AQ47" s="170"/>
      <c r="AR47" s="170"/>
      <c r="AS47" s="170"/>
      <c r="AT47" s="170"/>
      <c r="AU47" s="170"/>
      <c r="AV47" s="170"/>
      <c r="AW47" s="170"/>
      <c r="AX47" s="170"/>
      <c r="AY47" s="170"/>
      <c r="AZ47" s="170"/>
      <c r="BA47" s="170"/>
      <c r="BB47" s="170"/>
      <c r="BC47" s="170"/>
      <c r="BD47" s="170"/>
      <c r="BE47" s="170"/>
      <c r="BF47" s="170"/>
      <c r="BG47" s="170"/>
      <c r="BH47" s="170"/>
      <c r="BI47" s="170"/>
      <c r="BJ47" s="170"/>
      <c r="BK47" s="170"/>
      <c r="BL47" s="170"/>
      <c r="BM47" s="170"/>
      <c r="BN47" s="170"/>
      <c r="BO47" s="170"/>
      <c r="BP47" s="170"/>
      <c r="BQ47" s="170"/>
      <c r="BR47" s="170"/>
      <c r="BS47" s="170"/>
      <c r="BT47" s="170"/>
      <c r="BU47" s="170"/>
      <c r="BV47" s="170"/>
      <c r="BW47" s="170"/>
      <c r="BX47" s="170"/>
      <c r="BY47" s="170"/>
      <c r="BZ47" s="170"/>
      <c r="CA47" s="170"/>
      <c r="CB47" s="170"/>
      <c r="CC47" s="170"/>
      <c r="CD47" s="170"/>
      <c r="CE47" s="170"/>
      <c r="CF47" s="170"/>
      <c r="CG47" s="170"/>
      <c r="CH47" s="170"/>
      <c r="CI47" s="170"/>
      <c r="CJ47" s="170"/>
      <c r="CK47" s="170"/>
      <c r="CL47" s="170"/>
      <c r="CM47" s="170"/>
      <c r="CN47" s="170"/>
      <c r="CO47" s="170"/>
      <c r="CP47" s="170"/>
      <c r="CQ47" s="170"/>
      <c r="CR47" s="170"/>
      <c r="CS47" s="170"/>
      <c r="CT47" s="170"/>
      <c r="CU47" s="170"/>
      <c r="CV47" s="170"/>
      <c r="CW47" s="170"/>
      <c r="CX47" s="170"/>
      <c r="CY47" s="170"/>
      <c r="CZ47" s="170"/>
      <c r="DA47" s="170"/>
      <c r="DB47" s="170"/>
      <c r="DC47" s="170"/>
      <c r="DD47" s="170"/>
      <c r="DE47" s="170"/>
      <c r="DF47" s="170"/>
      <c r="DG47" s="170"/>
      <c r="DH47" s="170"/>
      <c r="DI47" s="170"/>
      <c r="DJ47" s="170"/>
      <c r="DK47" s="170"/>
      <c r="DL47" s="170"/>
      <c r="DM47" s="170"/>
      <c r="DN47" s="170"/>
      <c r="DO47" s="170"/>
      <c r="DP47" s="170"/>
      <c r="DQ47" s="170"/>
      <c r="DR47" s="170"/>
      <c r="DS47" s="170"/>
      <c r="DT47" s="170"/>
      <c r="DU47" s="170"/>
      <c r="DV47" s="170"/>
      <c r="DW47" s="170"/>
      <c r="DX47" s="170"/>
      <c r="DY47" s="170"/>
      <c r="DZ47" s="170"/>
      <c r="EA47" s="170"/>
      <c r="EB47" s="170"/>
      <c r="EC47" s="170"/>
      <c r="ED47" s="170"/>
      <c r="EE47" s="170"/>
      <c r="EF47" s="170"/>
      <c r="EG47" s="170"/>
      <c r="EH47" s="170"/>
      <c r="EI47" s="170"/>
      <c r="EJ47" s="170"/>
      <c r="EK47" s="170"/>
      <c r="EL47" s="170"/>
      <c r="EM47" s="170"/>
      <c r="EN47" s="170"/>
      <c r="EO47" s="170"/>
      <c r="EP47" s="170"/>
    </row>
    <row r="48" ht="15.75" customHeight="1">
      <c r="A48" s="170"/>
      <c r="B48" s="170"/>
      <c r="C48" s="170"/>
      <c r="D48" s="170"/>
      <c r="E48" s="170"/>
      <c r="F48" s="170"/>
      <c r="G48" s="170"/>
      <c r="H48" s="170"/>
      <c r="I48" s="170"/>
      <c r="J48" s="170"/>
      <c r="K48" s="170"/>
      <c r="L48" s="170"/>
      <c r="M48" s="170"/>
      <c r="N48" s="170"/>
      <c r="O48" s="170"/>
      <c r="P48" s="170"/>
      <c r="Q48" s="170"/>
      <c r="R48" s="170"/>
      <c r="S48" s="170"/>
      <c r="T48" s="170"/>
      <c r="U48" s="170"/>
      <c r="V48" s="170"/>
      <c r="W48" s="170"/>
      <c r="X48" s="170"/>
      <c r="Y48" s="170"/>
      <c r="Z48" s="170"/>
      <c r="AA48" s="170"/>
      <c r="AB48" s="170"/>
      <c r="AC48" s="170"/>
      <c r="AD48" s="170"/>
      <c r="AE48" s="170"/>
      <c r="AF48" s="170"/>
      <c r="AG48" s="170"/>
      <c r="AH48" s="170"/>
      <c r="AI48" s="170"/>
      <c r="AJ48" s="170"/>
      <c r="AK48" s="170"/>
      <c r="AL48" s="170"/>
      <c r="AM48" s="170"/>
      <c r="AN48" s="170"/>
      <c r="AO48" s="170"/>
      <c r="AP48" s="170"/>
      <c r="AQ48" s="170"/>
      <c r="AR48" s="170"/>
      <c r="AS48" s="170"/>
      <c r="AT48" s="170"/>
      <c r="AU48" s="170"/>
      <c r="AV48" s="170"/>
      <c r="AW48" s="170"/>
      <c r="AX48" s="170"/>
      <c r="AY48" s="170"/>
      <c r="AZ48" s="170"/>
      <c r="BA48" s="170"/>
      <c r="BB48" s="170"/>
      <c r="BC48" s="170"/>
      <c r="BD48" s="170"/>
      <c r="BE48" s="170"/>
      <c r="BF48" s="170"/>
      <c r="BG48" s="170"/>
      <c r="BH48" s="170"/>
      <c r="BI48" s="170"/>
      <c r="BJ48" s="170"/>
      <c r="BK48" s="170"/>
      <c r="BL48" s="170"/>
      <c r="BM48" s="170"/>
      <c r="BN48" s="170"/>
      <c r="BO48" s="170"/>
      <c r="BP48" s="170"/>
      <c r="BQ48" s="170"/>
      <c r="BR48" s="170"/>
      <c r="BS48" s="170"/>
      <c r="BT48" s="170"/>
      <c r="BU48" s="170"/>
      <c r="BV48" s="170"/>
      <c r="BW48" s="170"/>
      <c r="BX48" s="170"/>
      <c r="BY48" s="170"/>
      <c r="BZ48" s="170"/>
      <c r="CA48" s="170"/>
      <c r="CB48" s="170"/>
      <c r="CC48" s="170"/>
      <c r="CD48" s="170"/>
      <c r="CE48" s="170"/>
      <c r="CF48" s="170"/>
      <c r="CG48" s="170"/>
      <c r="CH48" s="170"/>
      <c r="CI48" s="170"/>
      <c r="CJ48" s="170"/>
      <c r="CK48" s="170"/>
      <c r="CL48" s="170"/>
      <c r="CM48" s="170"/>
      <c r="CN48" s="170"/>
      <c r="CO48" s="170"/>
      <c r="CP48" s="170"/>
      <c r="CQ48" s="170"/>
      <c r="CR48" s="170"/>
      <c r="CS48" s="170"/>
      <c r="CT48" s="170"/>
      <c r="CU48" s="170"/>
      <c r="CV48" s="170"/>
      <c r="CW48" s="170"/>
      <c r="CX48" s="170"/>
      <c r="CY48" s="170"/>
      <c r="CZ48" s="170"/>
      <c r="DA48" s="170"/>
      <c r="DB48" s="170"/>
      <c r="DC48" s="170"/>
      <c r="DD48" s="170"/>
      <c r="DE48" s="170"/>
      <c r="DF48" s="170"/>
      <c r="DG48" s="170"/>
      <c r="DH48" s="170"/>
      <c r="DI48" s="170"/>
      <c r="DJ48" s="170"/>
      <c r="DK48" s="170"/>
      <c r="DL48" s="170"/>
      <c r="DM48" s="170"/>
      <c r="DN48" s="170"/>
      <c r="DO48" s="170"/>
      <c r="DP48" s="170"/>
      <c r="DQ48" s="170"/>
      <c r="DR48" s="170"/>
      <c r="DS48" s="170"/>
      <c r="DT48" s="170"/>
      <c r="DU48" s="170"/>
      <c r="DV48" s="170"/>
      <c r="DW48" s="170"/>
      <c r="DX48" s="170"/>
      <c r="DY48" s="170"/>
      <c r="DZ48" s="170"/>
      <c r="EA48" s="170"/>
      <c r="EB48" s="170"/>
      <c r="EC48" s="170"/>
      <c r="ED48" s="170"/>
      <c r="EE48" s="170"/>
      <c r="EF48" s="170"/>
      <c r="EG48" s="170"/>
      <c r="EH48" s="170"/>
      <c r="EI48" s="170"/>
      <c r="EJ48" s="170"/>
      <c r="EK48" s="170"/>
      <c r="EL48" s="170"/>
      <c r="EM48" s="170"/>
      <c r="EN48" s="170"/>
      <c r="EO48" s="170"/>
      <c r="EP48" s="170"/>
    </row>
    <row r="49" ht="15.75" customHeight="1">
      <c r="A49" s="170"/>
      <c r="B49" s="170"/>
      <c r="C49" s="170"/>
      <c r="D49" s="170"/>
      <c r="E49" s="170"/>
      <c r="F49" s="170"/>
      <c r="G49" s="170"/>
      <c r="H49" s="170"/>
      <c r="I49" s="170"/>
      <c r="J49" s="170"/>
      <c r="K49" s="170"/>
      <c r="L49" s="170"/>
      <c r="M49" s="170"/>
      <c r="N49" s="170"/>
      <c r="O49" s="170"/>
      <c r="P49" s="170"/>
      <c r="Q49" s="170"/>
      <c r="R49" s="170"/>
      <c r="S49" s="170"/>
      <c r="T49" s="170"/>
      <c r="U49" s="170"/>
      <c r="V49" s="170"/>
      <c r="W49" s="170"/>
      <c r="X49" s="170"/>
      <c r="Y49" s="170"/>
      <c r="Z49" s="170"/>
      <c r="AA49" s="170"/>
      <c r="AB49" s="170"/>
      <c r="AC49" s="170"/>
      <c r="AD49" s="170"/>
      <c r="AE49" s="170"/>
      <c r="AF49" s="170"/>
      <c r="AG49" s="170"/>
      <c r="AH49" s="170"/>
      <c r="AI49" s="170"/>
      <c r="AJ49" s="170"/>
      <c r="AK49" s="170"/>
      <c r="AL49" s="170"/>
      <c r="AM49" s="170"/>
      <c r="AN49" s="170"/>
      <c r="AO49" s="170"/>
      <c r="AP49" s="170"/>
      <c r="AQ49" s="170"/>
      <c r="AR49" s="170"/>
      <c r="AS49" s="170"/>
      <c r="AT49" s="170"/>
      <c r="AU49" s="170"/>
      <c r="AV49" s="170"/>
      <c r="AW49" s="170"/>
      <c r="AX49" s="170"/>
      <c r="AY49" s="170"/>
      <c r="AZ49" s="170"/>
      <c r="BA49" s="170"/>
      <c r="BB49" s="170"/>
      <c r="BC49" s="170"/>
      <c r="BD49" s="170"/>
      <c r="BE49" s="170"/>
      <c r="BF49" s="170"/>
      <c r="BG49" s="170"/>
      <c r="BH49" s="170"/>
      <c r="BI49" s="170"/>
      <c r="BJ49" s="170"/>
      <c r="BK49" s="170"/>
      <c r="BL49" s="170"/>
      <c r="BM49" s="170"/>
      <c r="BN49" s="170"/>
      <c r="BO49" s="170"/>
      <c r="BP49" s="170"/>
      <c r="BQ49" s="170"/>
      <c r="BR49" s="170"/>
      <c r="BS49" s="170"/>
      <c r="BT49" s="170"/>
      <c r="BU49" s="170"/>
      <c r="BV49" s="170"/>
      <c r="BW49" s="170"/>
      <c r="BX49" s="170"/>
      <c r="BY49" s="170"/>
      <c r="BZ49" s="170"/>
      <c r="CA49" s="170"/>
      <c r="CB49" s="170"/>
      <c r="CC49" s="170"/>
      <c r="CD49" s="170"/>
      <c r="CE49" s="170"/>
      <c r="CF49" s="170"/>
      <c r="CG49" s="170"/>
      <c r="CH49" s="170"/>
      <c r="CI49" s="170"/>
      <c r="CJ49" s="170"/>
      <c r="CK49" s="170"/>
      <c r="CL49" s="170"/>
      <c r="CM49" s="170"/>
      <c r="CN49" s="170"/>
      <c r="CO49" s="170"/>
      <c r="CP49" s="170"/>
      <c r="CQ49" s="170"/>
      <c r="CR49" s="170"/>
      <c r="CS49" s="170"/>
      <c r="CT49" s="170"/>
      <c r="CU49" s="170"/>
      <c r="CV49" s="170"/>
      <c r="CW49" s="170"/>
      <c r="CX49" s="170"/>
      <c r="CY49" s="170"/>
      <c r="CZ49" s="170"/>
      <c r="DA49" s="170"/>
      <c r="DB49" s="170"/>
      <c r="DC49" s="170"/>
      <c r="DD49" s="170"/>
      <c r="DE49" s="170"/>
      <c r="DF49" s="170"/>
      <c r="DG49" s="170"/>
      <c r="DH49" s="170"/>
      <c r="DI49" s="170"/>
      <c r="DJ49" s="170"/>
      <c r="DK49" s="170"/>
      <c r="DL49" s="170"/>
      <c r="DM49" s="170"/>
      <c r="DN49" s="170"/>
      <c r="DO49" s="170"/>
      <c r="DP49" s="170"/>
      <c r="DQ49" s="170"/>
      <c r="DR49" s="170"/>
      <c r="DS49" s="170"/>
      <c r="DT49" s="170"/>
      <c r="DU49" s="170"/>
      <c r="DV49" s="170"/>
      <c r="DW49" s="170"/>
      <c r="DX49" s="170"/>
      <c r="DY49" s="170"/>
      <c r="DZ49" s="170"/>
      <c r="EA49" s="170"/>
      <c r="EB49" s="170"/>
      <c r="EC49" s="170"/>
      <c r="ED49" s="170"/>
      <c r="EE49" s="170"/>
      <c r="EF49" s="170"/>
      <c r="EG49" s="170"/>
      <c r="EH49" s="170"/>
      <c r="EI49" s="170"/>
      <c r="EJ49" s="170"/>
      <c r="EK49" s="170"/>
      <c r="EL49" s="170"/>
      <c r="EM49" s="170"/>
      <c r="EN49" s="170"/>
      <c r="EO49" s="170"/>
      <c r="EP49" s="170"/>
    </row>
    <row r="50" ht="15.75" customHeight="1">
      <c r="A50" s="170"/>
      <c r="B50" s="170"/>
      <c r="C50" s="170"/>
      <c r="D50" s="170"/>
      <c r="E50" s="170"/>
      <c r="F50" s="170"/>
      <c r="G50" s="170"/>
      <c r="H50" s="170"/>
      <c r="I50" s="170"/>
      <c r="J50" s="170"/>
      <c r="K50" s="170"/>
      <c r="L50" s="170"/>
      <c r="M50" s="170"/>
      <c r="N50" s="170"/>
      <c r="O50" s="170"/>
      <c r="P50" s="170"/>
      <c r="Q50" s="170"/>
      <c r="R50" s="170"/>
      <c r="S50" s="170"/>
      <c r="T50" s="170"/>
      <c r="U50" s="170"/>
      <c r="V50" s="170"/>
      <c r="W50" s="170"/>
      <c r="X50" s="170"/>
      <c r="Y50" s="170"/>
      <c r="Z50" s="170"/>
      <c r="AA50" s="170"/>
      <c r="AB50" s="170"/>
      <c r="AC50" s="170"/>
      <c r="AD50" s="170"/>
      <c r="AE50" s="170"/>
      <c r="AF50" s="170"/>
      <c r="AG50" s="170"/>
      <c r="AH50" s="170"/>
      <c r="AI50" s="170"/>
      <c r="AJ50" s="170"/>
      <c r="AK50" s="170"/>
      <c r="AL50" s="170"/>
      <c r="AM50" s="170"/>
      <c r="AN50" s="170"/>
      <c r="AO50" s="170"/>
      <c r="AP50" s="170"/>
      <c r="AQ50" s="170"/>
      <c r="AR50" s="170"/>
      <c r="AS50" s="170"/>
      <c r="AT50" s="170"/>
      <c r="AU50" s="170"/>
      <c r="AV50" s="170"/>
      <c r="AW50" s="170"/>
      <c r="AX50" s="170"/>
      <c r="AY50" s="170"/>
      <c r="AZ50" s="170"/>
      <c r="BA50" s="170"/>
      <c r="BB50" s="170"/>
      <c r="BC50" s="170"/>
      <c r="BD50" s="170"/>
      <c r="BE50" s="170"/>
      <c r="BF50" s="170"/>
      <c r="BG50" s="170"/>
      <c r="BH50" s="170"/>
      <c r="BI50" s="170"/>
      <c r="BJ50" s="170"/>
      <c r="BK50" s="170"/>
      <c r="BL50" s="170"/>
      <c r="BM50" s="170"/>
      <c r="BN50" s="170"/>
      <c r="BO50" s="170"/>
      <c r="BP50" s="170"/>
      <c r="BQ50" s="170"/>
      <c r="BR50" s="170"/>
      <c r="BS50" s="170"/>
      <c r="BT50" s="170"/>
      <c r="BU50" s="170"/>
      <c r="BV50" s="170"/>
      <c r="BW50" s="170"/>
      <c r="BX50" s="170"/>
      <c r="BY50" s="170"/>
      <c r="BZ50" s="170"/>
      <c r="CA50" s="170"/>
      <c r="CB50" s="170"/>
      <c r="CC50" s="170"/>
      <c r="CD50" s="170"/>
      <c r="CE50" s="170"/>
      <c r="CF50" s="170"/>
      <c r="CG50" s="170"/>
      <c r="CH50" s="170"/>
      <c r="CI50" s="170"/>
      <c r="CJ50" s="170"/>
      <c r="CK50" s="170"/>
      <c r="CL50" s="170"/>
      <c r="CM50" s="170"/>
      <c r="CN50" s="170"/>
      <c r="CO50" s="170"/>
      <c r="CP50" s="170"/>
      <c r="CQ50" s="170"/>
      <c r="CR50" s="170"/>
      <c r="CS50" s="170"/>
      <c r="CT50" s="170"/>
      <c r="CU50" s="170"/>
      <c r="CV50" s="170"/>
      <c r="CW50" s="170"/>
      <c r="CX50" s="170"/>
      <c r="CY50" s="170"/>
      <c r="CZ50" s="170"/>
      <c r="DA50" s="170"/>
      <c r="DB50" s="170"/>
      <c r="DC50" s="170"/>
      <c r="DD50" s="170"/>
      <c r="DE50" s="170"/>
      <c r="DF50" s="170"/>
      <c r="DG50" s="170"/>
      <c r="DH50" s="170"/>
      <c r="DI50" s="170"/>
      <c r="DJ50" s="170"/>
      <c r="DK50" s="170"/>
      <c r="DL50" s="170"/>
      <c r="DM50" s="170"/>
      <c r="DN50" s="170"/>
      <c r="DO50" s="170"/>
      <c r="DP50" s="170"/>
      <c r="DQ50" s="170"/>
      <c r="DR50" s="170"/>
      <c r="DS50" s="170"/>
      <c r="DT50" s="170"/>
      <c r="DU50" s="170"/>
      <c r="DV50" s="170"/>
      <c r="DW50" s="170"/>
      <c r="DX50" s="170"/>
      <c r="DY50" s="170"/>
      <c r="DZ50" s="170"/>
      <c r="EA50" s="170"/>
      <c r="EB50" s="170"/>
      <c r="EC50" s="170"/>
      <c r="ED50" s="170"/>
      <c r="EE50" s="170"/>
      <c r="EF50" s="170"/>
      <c r="EG50" s="170"/>
      <c r="EH50" s="170"/>
      <c r="EI50" s="170"/>
      <c r="EJ50" s="170"/>
      <c r="EK50" s="170"/>
      <c r="EL50" s="170"/>
      <c r="EM50" s="170"/>
      <c r="EN50" s="170"/>
      <c r="EO50" s="170"/>
      <c r="EP50" s="170"/>
    </row>
    <row r="51" ht="15.75" customHeight="1">
      <c r="A51" s="170"/>
      <c r="B51" s="170"/>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0"/>
      <c r="AA51" s="170"/>
      <c r="AB51" s="170"/>
      <c r="AC51" s="170"/>
      <c r="AD51" s="170"/>
      <c r="AE51" s="170"/>
      <c r="AF51" s="170"/>
      <c r="AG51" s="170"/>
      <c r="AH51" s="170"/>
      <c r="AI51" s="170"/>
      <c r="AJ51" s="170"/>
      <c r="AK51" s="170"/>
      <c r="AL51" s="170"/>
      <c r="AM51" s="170"/>
      <c r="AN51" s="170"/>
      <c r="AO51" s="170"/>
      <c r="AP51" s="170"/>
      <c r="AQ51" s="170"/>
      <c r="AR51" s="170"/>
      <c r="AS51" s="170"/>
      <c r="AT51" s="170"/>
      <c r="AU51" s="170"/>
      <c r="AV51" s="170"/>
      <c r="AW51" s="170"/>
      <c r="AX51" s="170"/>
      <c r="AY51" s="170"/>
      <c r="AZ51" s="170"/>
      <c r="BA51" s="170"/>
      <c r="BB51" s="170"/>
      <c r="BC51" s="170"/>
      <c r="BD51" s="170"/>
      <c r="BE51" s="170"/>
      <c r="BF51" s="170"/>
      <c r="BG51" s="170"/>
      <c r="BH51" s="170"/>
      <c r="BI51" s="170"/>
      <c r="BJ51" s="170"/>
      <c r="BK51" s="170"/>
      <c r="BL51" s="170"/>
      <c r="BM51" s="170"/>
      <c r="BN51" s="170"/>
      <c r="BO51" s="170"/>
      <c r="BP51" s="170"/>
      <c r="BQ51" s="170"/>
      <c r="BR51" s="170"/>
      <c r="BS51" s="170"/>
      <c r="BT51" s="170"/>
      <c r="BU51" s="170"/>
      <c r="BV51" s="170"/>
      <c r="BW51" s="170"/>
      <c r="BX51" s="170"/>
      <c r="BY51" s="170"/>
      <c r="BZ51" s="170"/>
      <c r="CA51" s="170"/>
      <c r="CB51" s="170"/>
      <c r="CC51" s="170"/>
      <c r="CD51" s="170"/>
      <c r="CE51" s="170"/>
      <c r="CF51" s="170"/>
      <c r="CG51" s="170"/>
      <c r="CH51" s="170"/>
      <c r="CI51" s="170"/>
      <c r="CJ51" s="170"/>
      <c r="CK51" s="170"/>
      <c r="CL51" s="170"/>
      <c r="CM51" s="170"/>
      <c r="CN51" s="170"/>
      <c r="CO51" s="170"/>
      <c r="CP51" s="170"/>
      <c r="CQ51" s="170"/>
      <c r="CR51" s="170"/>
      <c r="CS51" s="170"/>
      <c r="CT51" s="170"/>
      <c r="CU51" s="170"/>
      <c r="CV51" s="170"/>
      <c r="CW51" s="170"/>
      <c r="CX51" s="170"/>
      <c r="CY51" s="170"/>
      <c r="CZ51" s="170"/>
      <c r="DA51" s="170"/>
      <c r="DB51" s="170"/>
      <c r="DC51" s="170"/>
      <c r="DD51" s="170"/>
      <c r="DE51" s="170"/>
      <c r="DF51" s="170"/>
      <c r="DG51" s="170"/>
      <c r="DH51" s="170"/>
      <c r="DI51" s="170"/>
      <c r="DJ51" s="170"/>
      <c r="DK51" s="170"/>
      <c r="DL51" s="170"/>
      <c r="DM51" s="170"/>
      <c r="DN51" s="170"/>
      <c r="DO51" s="170"/>
      <c r="DP51" s="170"/>
      <c r="DQ51" s="170"/>
      <c r="DR51" s="170"/>
      <c r="DS51" s="170"/>
      <c r="DT51" s="170"/>
      <c r="DU51" s="170"/>
      <c r="DV51" s="170"/>
      <c r="DW51" s="170"/>
      <c r="DX51" s="170"/>
      <c r="DY51" s="170"/>
      <c r="DZ51" s="170"/>
      <c r="EA51" s="170"/>
      <c r="EB51" s="170"/>
      <c r="EC51" s="170"/>
      <c r="ED51" s="170"/>
      <c r="EE51" s="170"/>
      <c r="EF51" s="170"/>
      <c r="EG51" s="170"/>
      <c r="EH51" s="170"/>
      <c r="EI51" s="170"/>
      <c r="EJ51" s="170"/>
      <c r="EK51" s="170"/>
      <c r="EL51" s="170"/>
      <c r="EM51" s="170"/>
      <c r="EN51" s="170"/>
      <c r="EO51" s="170"/>
      <c r="EP51" s="170"/>
    </row>
    <row r="52" ht="15.75" customHeight="1">
      <c r="A52" s="170"/>
      <c r="B52" s="170"/>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0"/>
      <c r="AA52" s="170"/>
      <c r="AB52" s="170"/>
      <c r="AC52" s="170"/>
      <c r="AD52" s="170"/>
      <c r="AE52" s="170"/>
      <c r="AF52" s="170"/>
      <c r="AG52" s="170"/>
      <c r="AH52" s="170"/>
      <c r="AI52" s="170"/>
      <c r="AJ52" s="170"/>
      <c r="AK52" s="170"/>
      <c r="AL52" s="170"/>
      <c r="AM52" s="170"/>
      <c r="AN52" s="170"/>
      <c r="AO52" s="170"/>
      <c r="AP52" s="170"/>
      <c r="AQ52" s="170"/>
      <c r="AR52" s="170"/>
      <c r="AS52" s="170"/>
      <c r="AT52" s="170"/>
      <c r="AU52" s="170"/>
      <c r="AV52" s="170"/>
      <c r="AW52" s="170"/>
      <c r="AX52" s="170"/>
      <c r="AY52" s="170"/>
      <c r="AZ52" s="170"/>
      <c r="BA52" s="170"/>
      <c r="BB52" s="170"/>
      <c r="BC52" s="170"/>
      <c r="BD52" s="170"/>
      <c r="BE52" s="170"/>
      <c r="BF52" s="170"/>
      <c r="BG52" s="170"/>
      <c r="BH52" s="170"/>
      <c r="BI52" s="170"/>
      <c r="BJ52" s="170"/>
      <c r="BK52" s="170"/>
      <c r="BL52" s="170"/>
      <c r="BM52" s="170"/>
      <c r="BN52" s="170"/>
      <c r="BO52" s="170"/>
      <c r="BP52" s="170"/>
      <c r="BQ52" s="170"/>
      <c r="BR52" s="170"/>
      <c r="BS52" s="170"/>
      <c r="BT52" s="170"/>
      <c r="BU52" s="170"/>
      <c r="BV52" s="170"/>
      <c r="BW52" s="170"/>
      <c r="BX52" s="170"/>
      <c r="BY52" s="170"/>
      <c r="BZ52" s="170"/>
      <c r="CA52" s="170"/>
      <c r="CB52" s="170"/>
      <c r="CC52" s="170"/>
      <c r="CD52" s="170"/>
      <c r="CE52" s="170"/>
      <c r="CF52" s="170"/>
      <c r="CG52" s="170"/>
      <c r="CH52" s="170"/>
      <c r="CI52" s="170"/>
      <c r="CJ52" s="170"/>
      <c r="CK52" s="170"/>
      <c r="CL52" s="170"/>
      <c r="CM52" s="170"/>
      <c r="CN52" s="170"/>
      <c r="CO52" s="170"/>
      <c r="CP52" s="170"/>
      <c r="CQ52" s="170"/>
      <c r="CR52" s="170"/>
      <c r="CS52" s="170"/>
      <c r="CT52" s="170"/>
      <c r="CU52" s="170"/>
      <c r="CV52" s="170"/>
      <c r="CW52" s="170"/>
      <c r="CX52" s="170"/>
      <c r="CY52" s="170"/>
      <c r="CZ52" s="170"/>
      <c r="DA52" s="170"/>
      <c r="DB52" s="170"/>
      <c r="DC52" s="170"/>
      <c r="DD52" s="170"/>
      <c r="DE52" s="170"/>
      <c r="DF52" s="170"/>
      <c r="DG52" s="170"/>
      <c r="DH52" s="170"/>
      <c r="DI52" s="170"/>
      <c r="DJ52" s="170"/>
      <c r="DK52" s="170"/>
      <c r="DL52" s="170"/>
      <c r="DM52" s="170"/>
      <c r="DN52" s="170"/>
      <c r="DO52" s="170"/>
      <c r="DP52" s="170"/>
      <c r="DQ52" s="170"/>
      <c r="DR52" s="170"/>
      <c r="DS52" s="170"/>
      <c r="DT52" s="170"/>
      <c r="DU52" s="170"/>
      <c r="DV52" s="170"/>
      <c r="DW52" s="170"/>
      <c r="DX52" s="170"/>
      <c r="DY52" s="170"/>
      <c r="DZ52" s="170"/>
      <c r="EA52" s="170"/>
      <c r="EB52" s="170"/>
      <c r="EC52" s="170"/>
      <c r="ED52" s="170"/>
      <c r="EE52" s="170"/>
      <c r="EF52" s="170"/>
      <c r="EG52" s="170"/>
      <c r="EH52" s="170"/>
      <c r="EI52" s="170"/>
      <c r="EJ52" s="170"/>
      <c r="EK52" s="170"/>
      <c r="EL52" s="170"/>
      <c r="EM52" s="170"/>
      <c r="EN52" s="170"/>
      <c r="EO52" s="170"/>
      <c r="EP52" s="170"/>
    </row>
    <row r="53" ht="15.75" customHeight="1">
      <c r="A53" s="170"/>
      <c r="B53" s="170"/>
      <c r="C53" s="170"/>
      <c r="D53" s="170"/>
      <c r="E53" s="170"/>
      <c r="F53" s="170"/>
      <c r="G53" s="170"/>
      <c r="H53" s="170"/>
      <c r="I53" s="170"/>
      <c r="J53" s="170"/>
      <c r="K53" s="170"/>
      <c r="L53" s="170"/>
      <c r="M53" s="170"/>
      <c r="N53" s="170"/>
      <c r="O53" s="170"/>
      <c r="P53" s="170"/>
      <c r="Q53" s="170"/>
      <c r="R53" s="170"/>
      <c r="S53" s="170"/>
      <c r="T53" s="170"/>
      <c r="U53" s="170"/>
      <c r="V53" s="170"/>
      <c r="W53" s="170"/>
      <c r="X53" s="170"/>
      <c r="Y53" s="170"/>
      <c r="Z53" s="170"/>
      <c r="AA53" s="170"/>
      <c r="AB53" s="170"/>
      <c r="AC53" s="170"/>
      <c r="AD53" s="170"/>
      <c r="AE53" s="170"/>
      <c r="AF53" s="170"/>
      <c r="AG53" s="170"/>
      <c r="AH53" s="170"/>
      <c r="AI53" s="170"/>
      <c r="AJ53" s="170"/>
      <c r="AK53" s="170"/>
      <c r="AL53" s="170"/>
      <c r="AM53" s="170"/>
      <c r="AN53" s="170"/>
      <c r="AO53" s="170"/>
      <c r="AP53" s="170"/>
      <c r="AQ53" s="170"/>
      <c r="AR53" s="170"/>
      <c r="AS53" s="170"/>
      <c r="AT53" s="170"/>
      <c r="AU53" s="170"/>
      <c r="AV53" s="170"/>
      <c r="AW53" s="170"/>
      <c r="AX53" s="170"/>
      <c r="AY53" s="170"/>
      <c r="AZ53" s="170"/>
      <c r="BA53" s="170"/>
      <c r="BB53" s="170"/>
      <c r="BC53" s="170"/>
      <c r="BD53" s="170"/>
      <c r="BE53" s="170"/>
      <c r="BF53" s="170"/>
      <c r="BG53" s="170"/>
      <c r="BH53" s="170"/>
      <c r="BI53" s="170"/>
      <c r="BJ53" s="170"/>
      <c r="BK53" s="170"/>
      <c r="BL53" s="170"/>
      <c r="BM53" s="170"/>
      <c r="BN53" s="170"/>
      <c r="BO53" s="170"/>
      <c r="BP53" s="170"/>
      <c r="BQ53" s="170"/>
      <c r="BR53" s="170"/>
      <c r="BS53" s="170"/>
      <c r="BT53" s="170"/>
      <c r="BU53" s="170"/>
      <c r="BV53" s="170"/>
      <c r="BW53" s="170"/>
      <c r="BX53" s="170"/>
      <c r="BY53" s="170"/>
      <c r="BZ53" s="170"/>
      <c r="CA53" s="170"/>
      <c r="CB53" s="170"/>
      <c r="CC53" s="170"/>
      <c r="CD53" s="170"/>
      <c r="CE53" s="170"/>
      <c r="CF53" s="170"/>
      <c r="CG53" s="170"/>
      <c r="CH53" s="170"/>
      <c r="CI53" s="170"/>
      <c r="CJ53" s="170"/>
      <c r="CK53" s="170"/>
      <c r="CL53" s="170"/>
      <c r="CM53" s="170"/>
      <c r="CN53" s="170"/>
      <c r="CO53" s="170"/>
      <c r="CP53" s="170"/>
      <c r="CQ53" s="170"/>
      <c r="CR53" s="170"/>
      <c r="CS53" s="170"/>
      <c r="CT53" s="170"/>
      <c r="CU53" s="170"/>
      <c r="CV53" s="170"/>
      <c r="CW53" s="170"/>
      <c r="CX53" s="170"/>
      <c r="CY53" s="170"/>
      <c r="CZ53" s="170"/>
      <c r="DA53" s="170"/>
      <c r="DB53" s="170"/>
      <c r="DC53" s="170"/>
      <c r="DD53" s="170"/>
      <c r="DE53" s="170"/>
      <c r="DF53" s="170"/>
      <c r="DG53" s="170"/>
      <c r="DH53" s="170"/>
      <c r="DI53" s="170"/>
      <c r="DJ53" s="170"/>
      <c r="DK53" s="170"/>
      <c r="DL53" s="170"/>
      <c r="DM53" s="170"/>
      <c r="DN53" s="170"/>
      <c r="DO53" s="170"/>
      <c r="DP53" s="170"/>
      <c r="DQ53" s="170"/>
      <c r="DR53" s="170"/>
      <c r="DS53" s="170"/>
      <c r="DT53" s="170"/>
      <c r="DU53" s="170"/>
      <c r="DV53" s="170"/>
      <c r="DW53" s="170"/>
      <c r="DX53" s="170"/>
      <c r="DY53" s="170"/>
      <c r="DZ53" s="170"/>
      <c r="EA53" s="170"/>
      <c r="EB53" s="170"/>
      <c r="EC53" s="170"/>
      <c r="ED53" s="170"/>
      <c r="EE53" s="170"/>
      <c r="EF53" s="170"/>
      <c r="EG53" s="170"/>
      <c r="EH53" s="170"/>
      <c r="EI53" s="170"/>
      <c r="EJ53" s="170"/>
      <c r="EK53" s="170"/>
      <c r="EL53" s="170"/>
      <c r="EM53" s="170"/>
      <c r="EN53" s="170"/>
      <c r="EO53" s="170"/>
      <c r="EP53" s="170"/>
    </row>
    <row r="54" ht="15.75" customHeight="1">
      <c r="A54" s="170"/>
      <c r="B54" s="170"/>
      <c r="C54" s="170"/>
      <c r="D54" s="170"/>
      <c r="E54" s="170"/>
      <c r="F54" s="170"/>
      <c r="G54" s="170"/>
      <c r="H54" s="170"/>
      <c r="I54" s="170"/>
      <c r="J54" s="170"/>
      <c r="K54" s="170"/>
      <c r="L54" s="170"/>
      <c r="M54" s="170"/>
      <c r="N54" s="170"/>
      <c r="O54" s="170"/>
      <c r="P54" s="170"/>
      <c r="Q54" s="170"/>
      <c r="R54" s="170"/>
      <c r="S54" s="170"/>
      <c r="T54" s="170"/>
      <c r="U54" s="170"/>
      <c r="V54" s="170"/>
      <c r="W54" s="170"/>
      <c r="X54" s="170"/>
      <c r="Y54" s="170"/>
      <c r="Z54" s="170"/>
      <c r="AA54" s="170"/>
      <c r="AB54" s="170"/>
      <c r="AC54" s="170"/>
      <c r="AD54" s="170"/>
      <c r="AE54" s="170"/>
      <c r="AF54" s="170"/>
      <c r="AG54" s="170"/>
      <c r="AH54" s="170"/>
      <c r="AI54" s="170"/>
      <c r="AJ54" s="170"/>
      <c r="AK54" s="170"/>
      <c r="AL54" s="170"/>
      <c r="AM54" s="170"/>
      <c r="AN54" s="170"/>
      <c r="AO54" s="170"/>
      <c r="AP54" s="170"/>
      <c r="AQ54" s="170"/>
      <c r="AR54" s="170"/>
      <c r="AS54" s="170"/>
      <c r="AT54" s="170"/>
      <c r="AU54" s="170"/>
      <c r="AV54" s="170"/>
      <c r="AW54" s="170"/>
      <c r="AX54" s="170"/>
      <c r="AY54" s="170"/>
      <c r="AZ54" s="170"/>
      <c r="BA54" s="170"/>
      <c r="BB54" s="170"/>
      <c r="BC54" s="170"/>
      <c r="BD54" s="170"/>
      <c r="BE54" s="170"/>
      <c r="BF54" s="170"/>
      <c r="BG54" s="170"/>
      <c r="BH54" s="170"/>
      <c r="BI54" s="170"/>
      <c r="BJ54" s="170"/>
      <c r="BK54" s="170"/>
      <c r="BL54" s="170"/>
      <c r="BM54" s="170"/>
      <c r="BN54" s="170"/>
      <c r="BO54" s="170"/>
      <c r="BP54" s="170"/>
      <c r="BQ54" s="170"/>
      <c r="BR54" s="170"/>
      <c r="BS54" s="170"/>
      <c r="BT54" s="170"/>
      <c r="BU54" s="170"/>
      <c r="BV54" s="170"/>
      <c r="BW54" s="170"/>
      <c r="BX54" s="170"/>
      <c r="BY54" s="170"/>
      <c r="BZ54" s="170"/>
      <c r="CA54" s="170"/>
      <c r="CB54" s="170"/>
      <c r="CC54" s="170"/>
      <c r="CD54" s="170"/>
      <c r="CE54" s="170"/>
      <c r="CF54" s="170"/>
      <c r="CG54" s="170"/>
      <c r="CH54" s="170"/>
      <c r="CI54" s="170"/>
      <c r="CJ54" s="170"/>
      <c r="CK54" s="170"/>
      <c r="CL54" s="170"/>
      <c r="CM54" s="170"/>
      <c r="CN54" s="170"/>
      <c r="CO54" s="170"/>
      <c r="CP54" s="170"/>
      <c r="CQ54" s="170"/>
      <c r="CR54" s="170"/>
      <c r="CS54" s="170"/>
      <c r="CT54" s="170"/>
      <c r="CU54" s="170"/>
      <c r="CV54" s="170"/>
      <c r="CW54" s="170"/>
      <c r="CX54" s="170"/>
      <c r="CY54" s="170"/>
      <c r="CZ54" s="170"/>
      <c r="DA54" s="170"/>
      <c r="DB54" s="170"/>
      <c r="DC54" s="170"/>
      <c r="DD54" s="170"/>
      <c r="DE54" s="170"/>
      <c r="DF54" s="170"/>
      <c r="DG54" s="170"/>
      <c r="DH54" s="170"/>
      <c r="DI54" s="170"/>
      <c r="DJ54" s="170"/>
      <c r="DK54" s="170"/>
      <c r="DL54" s="170"/>
      <c r="DM54" s="170"/>
      <c r="DN54" s="170"/>
      <c r="DO54" s="170"/>
      <c r="DP54" s="170"/>
      <c r="DQ54" s="170"/>
      <c r="DR54" s="170"/>
      <c r="DS54" s="170"/>
      <c r="DT54" s="170"/>
      <c r="DU54" s="170"/>
      <c r="DV54" s="170"/>
      <c r="DW54" s="170"/>
      <c r="DX54" s="170"/>
      <c r="DY54" s="170"/>
      <c r="DZ54" s="170"/>
      <c r="EA54" s="170"/>
      <c r="EB54" s="170"/>
      <c r="EC54" s="170"/>
      <c r="ED54" s="170"/>
      <c r="EE54" s="170"/>
      <c r="EF54" s="170"/>
      <c r="EG54" s="170"/>
      <c r="EH54" s="170"/>
      <c r="EI54" s="170"/>
      <c r="EJ54" s="170"/>
      <c r="EK54" s="170"/>
      <c r="EL54" s="170"/>
      <c r="EM54" s="170"/>
      <c r="EN54" s="170"/>
      <c r="EO54" s="170"/>
      <c r="EP54" s="170"/>
    </row>
    <row r="55" ht="15.75" customHeight="1">
      <c r="A55" s="170"/>
      <c r="B55" s="170"/>
      <c r="C55" s="170"/>
      <c r="D55" s="170"/>
      <c r="E55" s="170"/>
      <c r="F55" s="170"/>
      <c r="G55" s="170"/>
      <c r="H55" s="170"/>
      <c r="I55" s="170"/>
      <c r="J55" s="170"/>
      <c r="K55" s="170"/>
      <c r="L55" s="170"/>
      <c r="M55" s="170"/>
      <c r="N55" s="170"/>
      <c r="O55" s="170"/>
      <c r="P55" s="170"/>
      <c r="Q55" s="170"/>
      <c r="R55" s="170"/>
      <c r="S55" s="170"/>
      <c r="T55" s="170"/>
      <c r="U55" s="170"/>
      <c r="V55" s="170"/>
      <c r="W55" s="170"/>
      <c r="X55" s="170"/>
      <c r="Y55" s="170"/>
      <c r="Z55" s="170"/>
      <c r="AA55" s="170"/>
      <c r="AB55" s="170"/>
      <c r="AC55" s="170"/>
      <c r="AD55" s="170"/>
      <c r="AE55" s="170"/>
      <c r="AF55" s="170"/>
      <c r="AG55" s="170"/>
      <c r="AH55" s="170"/>
      <c r="AI55" s="170"/>
      <c r="AJ55" s="170"/>
      <c r="AK55" s="170"/>
      <c r="AL55" s="170"/>
      <c r="AM55" s="170"/>
      <c r="AN55" s="170"/>
      <c r="AO55" s="170"/>
      <c r="AP55" s="170"/>
      <c r="AQ55" s="170"/>
      <c r="AR55" s="170"/>
      <c r="AS55" s="170"/>
      <c r="AT55" s="170"/>
      <c r="AU55" s="170"/>
      <c r="AV55" s="170"/>
      <c r="AW55" s="170"/>
      <c r="AX55" s="170"/>
      <c r="AY55" s="170"/>
      <c r="AZ55" s="170"/>
      <c r="BA55" s="170"/>
      <c r="BB55" s="170"/>
      <c r="BC55" s="170"/>
      <c r="BD55" s="170"/>
      <c r="BE55" s="170"/>
      <c r="BF55" s="170"/>
      <c r="BG55" s="170"/>
      <c r="BH55" s="170"/>
      <c r="BI55" s="170"/>
      <c r="BJ55" s="170"/>
      <c r="BK55" s="170"/>
      <c r="BL55" s="170"/>
      <c r="BM55" s="170"/>
      <c r="BN55" s="170"/>
      <c r="BO55" s="170"/>
      <c r="BP55" s="170"/>
      <c r="BQ55" s="170"/>
      <c r="BR55" s="170"/>
      <c r="BS55" s="170"/>
      <c r="BT55" s="170"/>
      <c r="BU55" s="170"/>
      <c r="BV55" s="170"/>
      <c r="BW55" s="170"/>
      <c r="BX55" s="170"/>
      <c r="BY55" s="170"/>
      <c r="BZ55" s="170"/>
      <c r="CA55" s="170"/>
      <c r="CB55" s="170"/>
      <c r="CC55" s="170"/>
      <c r="CD55" s="170"/>
      <c r="CE55" s="170"/>
      <c r="CF55" s="170"/>
      <c r="CG55" s="170"/>
      <c r="CH55" s="170"/>
      <c r="CI55" s="170"/>
      <c r="CJ55" s="170"/>
      <c r="CK55" s="170"/>
      <c r="CL55" s="170"/>
      <c r="CM55" s="170"/>
      <c r="CN55" s="170"/>
      <c r="CO55" s="170"/>
      <c r="CP55" s="170"/>
      <c r="CQ55" s="170"/>
      <c r="CR55" s="170"/>
      <c r="CS55" s="170"/>
      <c r="CT55" s="170"/>
      <c r="CU55" s="170"/>
      <c r="CV55" s="170"/>
      <c r="CW55" s="170"/>
      <c r="CX55" s="170"/>
      <c r="CY55" s="170"/>
      <c r="CZ55" s="170"/>
      <c r="DA55" s="170"/>
      <c r="DB55" s="170"/>
      <c r="DC55" s="170"/>
      <c r="DD55" s="170"/>
      <c r="DE55" s="170"/>
      <c r="DF55" s="170"/>
      <c r="DG55" s="170"/>
      <c r="DH55" s="170"/>
      <c r="DI55" s="170"/>
      <c r="DJ55" s="170"/>
      <c r="DK55" s="170"/>
      <c r="DL55" s="170"/>
      <c r="DM55" s="170"/>
      <c r="DN55" s="170"/>
      <c r="DO55" s="170"/>
      <c r="DP55" s="170"/>
      <c r="DQ55" s="170"/>
      <c r="DR55" s="170"/>
      <c r="DS55" s="170"/>
      <c r="DT55" s="170"/>
      <c r="DU55" s="170"/>
      <c r="DV55" s="170"/>
      <c r="DW55" s="170"/>
      <c r="DX55" s="170"/>
      <c r="DY55" s="170"/>
      <c r="DZ55" s="170"/>
      <c r="EA55" s="170"/>
      <c r="EB55" s="170"/>
      <c r="EC55" s="170"/>
      <c r="ED55" s="170"/>
      <c r="EE55" s="170"/>
      <c r="EF55" s="170"/>
      <c r="EG55" s="170"/>
      <c r="EH55" s="170"/>
      <c r="EI55" s="170"/>
      <c r="EJ55" s="170"/>
      <c r="EK55" s="170"/>
      <c r="EL55" s="170"/>
      <c r="EM55" s="170"/>
      <c r="EN55" s="170"/>
      <c r="EO55" s="170"/>
      <c r="EP55" s="170"/>
    </row>
    <row r="56" ht="15.75" customHeight="1">
      <c r="A56" s="170"/>
      <c r="B56" s="170"/>
      <c r="C56" s="170"/>
      <c r="D56" s="170"/>
      <c r="E56" s="170"/>
      <c r="F56" s="170"/>
      <c r="G56" s="170"/>
      <c r="H56" s="170"/>
      <c r="I56" s="170"/>
      <c r="J56" s="170"/>
      <c r="K56" s="170"/>
      <c r="L56" s="170"/>
      <c r="M56" s="170"/>
      <c r="N56" s="170"/>
      <c r="O56" s="170"/>
      <c r="P56" s="170"/>
      <c r="Q56" s="170"/>
      <c r="R56" s="170"/>
      <c r="S56" s="170"/>
      <c r="T56" s="170"/>
      <c r="U56" s="170"/>
      <c r="V56" s="170"/>
      <c r="W56" s="170"/>
      <c r="X56" s="170"/>
      <c r="Y56" s="170"/>
      <c r="Z56" s="170"/>
      <c r="AA56" s="170"/>
      <c r="AB56" s="170"/>
      <c r="AC56" s="170"/>
      <c r="AD56" s="170"/>
      <c r="AE56" s="170"/>
      <c r="AF56" s="170"/>
      <c r="AG56" s="170"/>
      <c r="AH56" s="170"/>
      <c r="AI56" s="170"/>
      <c r="AJ56" s="170"/>
      <c r="AK56" s="170"/>
      <c r="AL56" s="170"/>
      <c r="AM56" s="170"/>
      <c r="AN56" s="170"/>
      <c r="AO56" s="170"/>
      <c r="AP56" s="170"/>
      <c r="AQ56" s="170"/>
      <c r="AR56" s="170"/>
      <c r="AS56" s="170"/>
      <c r="AT56" s="170"/>
      <c r="AU56" s="170"/>
      <c r="AV56" s="170"/>
      <c r="AW56" s="170"/>
      <c r="AX56" s="170"/>
      <c r="AY56" s="170"/>
      <c r="AZ56" s="170"/>
      <c r="BA56" s="170"/>
      <c r="BB56" s="170"/>
      <c r="BC56" s="170"/>
      <c r="BD56" s="170"/>
      <c r="BE56" s="170"/>
      <c r="BF56" s="170"/>
      <c r="BG56" s="170"/>
      <c r="BH56" s="170"/>
      <c r="BI56" s="170"/>
      <c r="BJ56" s="170"/>
      <c r="BK56" s="170"/>
      <c r="BL56" s="170"/>
      <c r="BM56" s="170"/>
      <c r="BN56" s="170"/>
      <c r="BO56" s="170"/>
      <c r="BP56" s="170"/>
      <c r="BQ56" s="170"/>
      <c r="BR56" s="170"/>
      <c r="BS56" s="170"/>
      <c r="BT56" s="170"/>
      <c r="BU56" s="170"/>
      <c r="BV56" s="170"/>
      <c r="BW56" s="170"/>
      <c r="BX56" s="170"/>
      <c r="BY56" s="170"/>
      <c r="BZ56" s="170"/>
      <c r="CA56" s="170"/>
      <c r="CB56" s="170"/>
      <c r="CC56" s="170"/>
      <c r="CD56" s="170"/>
      <c r="CE56" s="170"/>
      <c r="CF56" s="170"/>
      <c r="CG56" s="170"/>
      <c r="CH56" s="170"/>
      <c r="CI56" s="170"/>
      <c r="CJ56" s="170"/>
      <c r="CK56" s="170"/>
      <c r="CL56" s="170"/>
      <c r="CM56" s="170"/>
      <c r="CN56" s="170"/>
      <c r="CO56" s="170"/>
      <c r="CP56" s="170"/>
      <c r="CQ56" s="170"/>
      <c r="CR56" s="170"/>
      <c r="CS56" s="170"/>
      <c r="CT56" s="170"/>
      <c r="CU56" s="170"/>
      <c r="CV56" s="170"/>
      <c r="CW56" s="170"/>
      <c r="CX56" s="170"/>
      <c r="CY56" s="170"/>
      <c r="CZ56" s="170"/>
      <c r="DA56" s="170"/>
      <c r="DB56" s="170"/>
      <c r="DC56" s="170"/>
      <c r="DD56" s="170"/>
      <c r="DE56" s="170"/>
      <c r="DF56" s="170"/>
      <c r="DG56" s="170"/>
      <c r="DH56" s="170"/>
      <c r="DI56" s="170"/>
      <c r="DJ56" s="170"/>
      <c r="DK56" s="170"/>
      <c r="DL56" s="170"/>
      <c r="DM56" s="170"/>
      <c r="DN56" s="170"/>
      <c r="DO56" s="170"/>
      <c r="DP56" s="170"/>
      <c r="DQ56" s="170"/>
      <c r="DR56" s="170"/>
      <c r="DS56" s="170"/>
      <c r="DT56" s="170"/>
      <c r="DU56" s="170"/>
      <c r="DV56" s="170"/>
      <c r="DW56" s="170"/>
      <c r="DX56" s="170"/>
      <c r="DY56" s="170"/>
      <c r="DZ56" s="170"/>
      <c r="EA56" s="170"/>
      <c r="EB56" s="170"/>
      <c r="EC56" s="170"/>
      <c r="ED56" s="170"/>
      <c r="EE56" s="170"/>
      <c r="EF56" s="170"/>
      <c r="EG56" s="170"/>
      <c r="EH56" s="170"/>
      <c r="EI56" s="170"/>
      <c r="EJ56" s="170"/>
      <c r="EK56" s="170"/>
      <c r="EL56" s="170"/>
      <c r="EM56" s="170"/>
      <c r="EN56" s="170"/>
      <c r="EO56" s="170"/>
      <c r="EP56" s="170"/>
    </row>
    <row r="57" ht="15.75" customHeight="1">
      <c r="A57" s="170"/>
      <c r="B57" s="170"/>
      <c r="C57" s="170"/>
      <c r="D57" s="170"/>
      <c r="E57" s="170"/>
      <c r="F57" s="170"/>
      <c r="G57" s="170"/>
      <c r="H57" s="170"/>
      <c r="I57" s="170"/>
      <c r="J57" s="170"/>
      <c r="K57" s="170"/>
      <c r="L57" s="170"/>
      <c r="M57" s="170"/>
      <c r="N57" s="170"/>
      <c r="O57" s="170"/>
      <c r="P57" s="170"/>
      <c r="Q57" s="170"/>
      <c r="R57" s="170"/>
      <c r="S57" s="170"/>
      <c r="T57" s="170"/>
      <c r="U57" s="170"/>
      <c r="V57" s="170"/>
      <c r="W57" s="170"/>
      <c r="X57" s="170"/>
      <c r="Y57" s="170"/>
      <c r="Z57" s="170"/>
      <c r="AA57" s="170"/>
      <c r="AB57" s="170"/>
      <c r="AC57" s="170"/>
      <c r="AD57" s="170"/>
      <c r="AE57" s="170"/>
      <c r="AF57" s="170"/>
      <c r="AG57" s="170"/>
      <c r="AH57" s="170"/>
      <c r="AI57" s="170"/>
      <c r="AJ57" s="170"/>
      <c r="AK57" s="170"/>
      <c r="AL57" s="170"/>
      <c r="AM57" s="170"/>
      <c r="AN57" s="170"/>
      <c r="AO57" s="170"/>
      <c r="AP57" s="170"/>
      <c r="AQ57" s="170"/>
      <c r="AR57" s="170"/>
      <c r="AS57" s="170"/>
      <c r="AT57" s="170"/>
      <c r="AU57" s="170"/>
      <c r="AV57" s="170"/>
      <c r="AW57" s="170"/>
      <c r="AX57" s="170"/>
      <c r="AY57" s="170"/>
      <c r="AZ57" s="170"/>
      <c r="BA57" s="170"/>
      <c r="BB57" s="170"/>
      <c r="BC57" s="170"/>
      <c r="BD57" s="170"/>
      <c r="BE57" s="170"/>
      <c r="BF57" s="170"/>
      <c r="BG57" s="170"/>
      <c r="BH57" s="170"/>
      <c r="BI57" s="170"/>
      <c r="BJ57" s="170"/>
      <c r="BK57" s="170"/>
      <c r="BL57" s="170"/>
      <c r="BM57" s="170"/>
      <c r="BN57" s="170"/>
      <c r="BO57" s="170"/>
      <c r="BP57" s="170"/>
      <c r="BQ57" s="170"/>
      <c r="BR57" s="170"/>
      <c r="BS57" s="170"/>
      <c r="BT57" s="170"/>
      <c r="BU57" s="170"/>
      <c r="BV57" s="170"/>
      <c r="BW57" s="170"/>
      <c r="BX57" s="170"/>
      <c r="BY57" s="170"/>
      <c r="BZ57" s="170"/>
      <c r="CA57" s="170"/>
      <c r="CB57" s="170"/>
      <c r="CC57" s="170"/>
      <c r="CD57" s="170"/>
      <c r="CE57" s="170"/>
      <c r="CF57" s="170"/>
      <c r="CG57" s="170"/>
      <c r="CH57" s="170"/>
      <c r="CI57" s="170"/>
      <c r="CJ57" s="170"/>
      <c r="CK57" s="170"/>
      <c r="CL57" s="170"/>
      <c r="CM57" s="170"/>
      <c r="CN57" s="170"/>
      <c r="CO57" s="170"/>
      <c r="CP57" s="170"/>
      <c r="CQ57" s="170"/>
      <c r="CR57" s="170"/>
      <c r="CS57" s="170"/>
      <c r="CT57" s="170"/>
      <c r="CU57" s="170"/>
      <c r="CV57" s="170"/>
      <c r="CW57" s="170"/>
      <c r="CX57" s="170"/>
      <c r="CY57" s="170"/>
      <c r="CZ57" s="170"/>
      <c r="DA57" s="170"/>
      <c r="DB57" s="170"/>
      <c r="DC57" s="170"/>
      <c r="DD57" s="170"/>
      <c r="DE57" s="170"/>
      <c r="DF57" s="170"/>
      <c r="DG57" s="170"/>
      <c r="DH57" s="170"/>
      <c r="DI57" s="170"/>
      <c r="DJ57" s="170"/>
      <c r="DK57" s="170"/>
      <c r="DL57" s="170"/>
      <c r="DM57" s="170"/>
      <c r="DN57" s="170"/>
      <c r="DO57" s="170"/>
      <c r="DP57" s="170"/>
      <c r="DQ57" s="170"/>
      <c r="DR57" s="170"/>
      <c r="DS57" s="170"/>
      <c r="DT57" s="170"/>
      <c r="DU57" s="170"/>
      <c r="DV57" s="170"/>
      <c r="DW57" s="170"/>
      <c r="DX57" s="170"/>
      <c r="DY57" s="170"/>
      <c r="DZ57" s="170"/>
      <c r="EA57" s="170"/>
      <c r="EB57" s="170"/>
      <c r="EC57" s="170"/>
      <c r="ED57" s="170"/>
      <c r="EE57" s="170"/>
      <c r="EF57" s="170"/>
      <c r="EG57" s="170"/>
      <c r="EH57" s="170"/>
      <c r="EI57" s="170"/>
      <c r="EJ57" s="170"/>
      <c r="EK57" s="170"/>
      <c r="EL57" s="170"/>
      <c r="EM57" s="170"/>
      <c r="EN57" s="170"/>
      <c r="EO57" s="170"/>
      <c r="EP57" s="170"/>
    </row>
    <row r="58" ht="15.75" customHeight="1">
      <c r="A58" s="170"/>
      <c r="B58" s="170"/>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0"/>
      <c r="AA58" s="170"/>
      <c r="AB58" s="170"/>
      <c r="AC58" s="170"/>
      <c r="AD58" s="170"/>
      <c r="AE58" s="170"/>
      <c r="AF58" s="170"/>
      <c r="AG58" s="170"/>
      <c r="AH58" s="170"/>
      <c r="AI58" s="170"/>
      <c r="AJ58" s="170"/>
      <c r="AK58" s="170"/>
      <c r="AL58" s="170"/>
      <c r="AM58" s="170"/>
      <c r="AN58" s="170"/>
      <c r="AO58" s="170"/>
      <c r="AP58" s="170"/>
      <c r="AQ58" s="170"/>
      <c r="AR58" s="170"/>
      <c r="AS58" s="170"/>
      <c r="AT58" s="170"/>
      <c r="AU58" s="170"/>
      <c r="AV58" s="170"/>
      <c r="AW58" s="170"/>
      <c r="AX58" s="170"/>
      <c r="AY58" s="170"/>
      <c r="AZ58" s="170"/>
      <c r="BA58" s="170"/>
      <c r="BB58" s="170"/>
      <c r="BC58" s="170"/>
      <c r="BD58" s="170"/>
      <c r="BE58" s="170"/>
      <c r="BF58" s="170"/>
      <c r="BG58" s="170"/>
      <c r="BH58" s="170"/>
      <c r="BI58" s="170"/>
      <c r="BJ58" s="170"/>
      <c r="BK58" s="170"/>
      <c r="BL58" s="170"/>
      <c r="BM58" s="170"/>
      <c r="BN58" s="170"/>
      <c r="BO58" s="170"/>
      <c r="BP58" s="170"/>
      <c r="BQ58" s="170"/>
      <c r="BR58" s="170"/>
      <c r="BS58" s="170"/>
      <c r="BT58" s="170"/>
      <c r="BU58" s="170"/>
      <c r="BV58" s="170"/>
      <c r="BW58" s="170"/>
      <c r="BX58" s="170"/>
      <c r="BY58" s="170"/>
      <c r="BZ58" s="170"/>
      <c r="CA58" s="170"/>
      <c r="CB58" s="170"/>
      <c r="CC58" s="170"/>
      <c r="CD58" s="170"/>
      <c r="CE58" s="170"/>
      <c r="CF58" s="170"/>
      <c r="CG58" s="170"/>
      <c r="CH58" s="170"/>
      <c r="CI58" s="170"/>
      <c r="CJ58" s="170"/>
      <c r="CK58" s="170"/>
      <c r="CL58" s="170"/>
      <c r="CM58" s="170"/>
      <c r="CN58" s="170"/>
      <c r="CO58" s="170"/>
      <c r="CP58" s="170"/>
      <c r="CQ58" s="170"/>
      <c r="CR58" s="170"/>
      <c r="CS58" s="170"/>
      <c r="CT58" s="170"/>
      <c r="CU58" s="170"/>
      <c r="CV58" s="170"/>
      <c r="CW58" s="170"/>
      <c r="CX58" s="170"/>
      <c r="CY58" s="170"/>
      <c r="CZ58" s="170"/>
      <c r="DA58" s="170"/>
      <c r="DB58" s="170"/>
      <c r="DC58" s="170"/>
      <c r="DD58" s="170"/>
      <c r="DE58" s="170"/>
      <c r="DF58" s="170"/>
      <c r="DG58" s="170"/>
      <c r="DH58" s="170"/>
      <c r="DI58" s="170"/>
      <c r="DJ58" s="170"/>
      <c r="DK58" s="170"/>
      <c r="DL58" s="170"/>
      <c r="DM58" s="170"/>
      <c r="DN58" s="170"/>
      <c r="DO58" s="170"/>
      <c r="DP58" s="170"/>
      <c r="DQ58" s="170"/>
      <c r="DR58" s="170"/>
      <c r="DS58" s="170"/>
      <c r="DT58" s="170"/>
      <c r="DU58" s="170"/>
      <c r="DV58" s="170"/>
      <c r="DW58" s="170"/>
      <c r="DX58" s="170"/>
      <c r="DY58" s="170"/>
      <c r="DZ58" s="170"/>
      <c r="EA58" s="170"/>
      <c r="EB58" s="170"/>
      <c r="EC58" s="170"/>
      <c r="ED58" s="170"/>
      <c r="EE58" s="170"/>
      <c r="EF58" s="170"/>
      <c r="EG58" s="170"/>
      <c r="EH58" s="170"/>
      <c r="EI58" s="170"/>
      <c r="EJ58" s="170"/>
      <c r="EK58" s="170"/>
      <c r="EL58" s="170"/>
      <c r="EM58" s="170"/>
      <c r="EN58" s="170"/>
      <c r="EO58" s="170"/>
      <c r="EP58" s="170"/>
    </row>
    <row r="59" ht="15.75" customHeight="1">
      <c r="A59" s="170"/>
      <c r="B59" s="170"/>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c r="AA59" s="170"/>
      <c r="AB59" s="170"/>
      <c r="AC59" s="170"/>
      <c r="AD59" s="170"/>
      <c r="AE59" s="170"/>
      <c r="AF59" s="170"/>
      <c r="AG59" s="170"/>
      <c r="AH59" s="170"/>
      <c r="AI59" s="170"/>
      <c r="AJ59" s="170"/>
      <c r="AK59" s="170"/>
      <c r="AL59" s="170"/>
      <c r="AM59" s="170"/>
      <c r="AN59" s="170"/>
      <c r="AO59" s="170"/>
      <c r="AP59" s="170"/>
      <c r="AQ59" s="170"/>
      <c r="AR59" s="170"/>
      <c r="AS59" s="170"/>
      <c r="AT59" s="170"/>
      <c r="AU59" s="170"/>
      <c r="AV59" s="170"/>
      <c r="AW59" s="170"/>
      <c r="AX59" s="170"/>
      <c r="AY59" s="170"/>
      <c r="AZ59" s="170"/>
      <c r="BA59" s="170"/>
      <c r="BB59" s="170"/>
      <c r="BC59" s="170"/>
      <c r="BD59" s="170"/>
      <c r="BE59" s="170"/>
      <c r="BF59" s="170"/>
      <c r="BG59" s="170"/>
      <c r="BH59" s="170"/>
      <c r="BI59" s="170"/>
      <c r="BJ59" s="170"/>
      <c r="BK59" s="170"/>
      <c r="BL59" s="170"/>
      <c r="BM59" s="170"/>
      <c r="BN59" s="170"/>
      <c r="BO59" s="170"/>
      <c r="BP59" s="170"/>
      <c r="BQ59" s="170"/>
      <c r="BR59" s="170"/>
      <c r="BS59" s="170"/>
      <c r="BT59" s="170"/>
      <c r="BU59" s="170"/>
      <c r="BV59" s="170"/>
      <c r="BW59" s="170"/>
      <c r="BX59" s="170"/>
      <c r="BY59" s="170"/>
      <c r="BZ59" s="170"/>
      <c r="CA59" s="170"/>
      <c r="CB59" s="170"/>
      <c r="CC59" s="170"/>
      <c r="CD59" s="170"/>
      <c r="CE59" s="170"/>
      <c r="CF59" s="170"/>
      <c r="CG59" s="170"/>
      <c r="CH59" s="170"/>
      <c r="CI59" s="170"/>
      <c r="CJ59" s="170"/>
      <c r="CK59" s="170"/>
      <c r="CL59" s="170"/>
      <c r="CM59" s="170"/>
      <c r="CN59" s="170"/>
      <c r="CO59" s="170"/>
      <c r="CP59" s="170"/>
      <c r="CQ59" s="170"/>
      <c r="CR59" s="170"/>
      <c r="CS59" s="170"/>
      <c r="CT59" s="170"/>
      <c r="CU59" s="170"/>
      <c r="CV59" s="170"/>
      <c r="CW59" s="170"/>
      <c r="CX59" s="170"/>
      <c r="CY59" s="170"/>
      <c r="CZ59" s="170"/>
      <c r="DA59" s="170"/>
      <c r="DB59" s="170"/>
      <c r="DC59" s="170"/>
      <c r="DD59" s="170"/>
      <c r="DE59" s="170"/>
      <c r="DF59" s="170"/>
      <c r="DG59" s="170"/>
      <c r="DH59" s="170"/>
      <c r="DI59" s="170"/>
      <c r="DJ59" s="170"/>
      <c r="DK59" s="170"/>
      <c r="DL59" s="170"/>
      <c r="DM59" s="170"/>
      <c r="DN59" s="170"/>
      <c r="DO59" s="170"/>
      <c r="DP59" s="170"/>
      <c r="DQ59" s="170"/>
      <c r="DR59" s="170"/>
      <c r="DS59" s="170"/>
      <c r="DT59" s="170"/>
      <c r="DU59" s="170"/>
      <c r="DV59" s="170"/>
      <c r="DW59" s="170"/>
      <c r="DX59" s="170"/>
      <c r="DY59" s="170"/>
      <c r="DZ59" s="170"/>
      <c r="EA59" s="170"/>
      <c r="EB59" s="170"/>
      <c r="EC59" s="170"/>
      <c r="ED59" s="170"/>
      <c r="EE59" s="170"/>
      <c r="EF59" s="170"/>
      <c r="EG59" s="170"/>
      <c r="EH59" s="170"/>
      <c r="EI59" s="170"/>
      <c r="EJ59" s="170"/>
      <c r="EK59" s="170"/>
      <c r="EL59" s="170"/>
      <c r="EM59" s="170"/>
      <c r="EN59" s="170"/>
      <c r="EO59" s="170"/>
      <c r="EP59" s="170"/>
    </row>
    <row r="60" ht="15.75" customHeight="1">
      <c r="A60" s="170"/>
      <c r="B60" s="170"/>
      <c r="C60" s="170"/>
      <c r="D60" s="170"/>
      <c r="E60" s="170"/>
      <c r="F60" s="170"/>
      <c r="G60" s="170"/>
      <c r="H60" s="170"/>
      <c r="I60" s="170"/>
      <c r="J60" s="170"/>
      <c r="K60" s="170"/>
      <c r="L60" s="170"/>
      <c r="M60" s="170"/>
      <c r="N60" s="170"/>
      <c r="O60" s="170"/>
      <c r="P60" s="170"/>
      <c r="Q60" s="170"/>
      <c r="R60" s="170"/>
      <c r="S60" s="170"/>
      <c r="T60" s="170"/>
      <c r="U60" s="170"/>
      <c r="V60" s="170"/>
      <c r="W60" s="170"/>
      <c r="X60" s="170"/>
      <c r="Y60" s="170"/>
      <c r="Z60" s="170"/>
      <c r="AA60" s="170"/>
      <c r="AB60" s="170"/>
      <c r="AC60" s="170"/>
      <c r="AD60" s="170"/>
      <c r="AE60" s="170"/>
      <c r="AF60" s="170"/>
      <c r="AG60" s="170"/>
      <c r="AH60" s="170"/>
      <c r="AI60" s="170"/>
      <c r="AJ60" s="170"/>
      <c r="AK60" s="170"/>
      <c r="AL60" s="170"/>
      <c r="AM60" s="170"/>
      <c r="AN60" s="170"/>
      <c r="AO60" s="170"/>
      <c r="AP60" s="170"/>
      <c r="AQ60" s="170"/>
      <c r="AR60" s="170"/>
      <c r="AS60" s="170"/>
      <c r="AT60" s="170"/>
      <c r="AU60" s="170"/>
      <c r="AV60" s="170"/>
      <c r="AW60" s="170"/>
      <c r="AX60" s="170"/>
      <c r="AY60" s="170"/>
      <c r="AZ60" s="170"/>
      <c r="BA60" s="170"/>
      <c r="BB60" s="170"/>
      <c r="BC60" s="170"/>
      <c r="BD60" s="170"/>
      <c r="BE60" s="170"/>
      <c r="BF60" s="170"/>
      <c r="BG60" s="170"/>
      <c r="BH60" s="170"/>
      <c r="BI60" s="170"/>
      <c r="BJ60" s="170"/>
      <c r="BK60" s="170"/>
      <c r="BL60" s="170"/>
      <c r="BM60" s="170"/>
      <c r="BN60" s="170"/>
      <c r="BO60" s="170"/>
      <c r="BP60" s="170"/>
      <c r="BQ60" s="170"/>
      <c r="BR60" s="170"/>
      <c r="BS60" s="170"/>
      <c r="BT60" s="170"/>
      <c r="BU60" s="170"/>
      <c r="BV60" s="170"/>
      <c r="BW60" s="170"/>
      <c r="BX60" s="170"/>
      <c r="BY60" s="170"/>
      <c r="BZ60" s="170"/>
      <c r="CA60" s="170"/>
      <c r="CB60" s="170"/>
      <c r="CC60" s="170"/>
      <c r="CD60" s="170"/>
      <c r="CE60" s="170"/>
      <c r="CF60" s="170"/>
      <c r="CG60" s="170"/>
      <c r="CH60" s="170"/>
      <c r="CI60" s="170"/>
      <c r="CJ60" s="170"/>
      <c r="CK60" s="170"/>
      <c r="CL60" s="170"/>
      <c r="CM60" s="170"/>
      <c r="CN60" s="170"/>
      <c r="CO60" s="170"/>
      <c r="CP60" s="170"/>
      <c r="CQ60" s="170"/>
      <c r="CR60" s="170"/>
      <c r="CS60" s="170"/>
      <c r="CT60" s="170"/>
      <c r="CU60" s="170"/>
      <c r="CV60" s="170"/>
      <c r="CW60" s="170"/>
      <c r="CX60" s="170"/>
      <c r="CY60" s="170"/>
      <c r="CZ60" s="170"/>
      <c r="DA60" s="170"/>
      <c r="DB60" s="170"/>
      <c r="DC60" s="170"/>
      <c r="DD60" s="170"/>
      <c r="DE60" s="170"/>
      <c r="DF60" s="170"/>
      <c r="DG60" s="170"/>
      <c r="DH60" s="170"/>
      <c r="DI60" s="170"/>
      <c r="DJ60" s="170"/>
      <c r="DK60" s="170"/>
      <c r="DL60" s="170"/>
      <c r="DM60" s="170"/>
      <c r="DN60" s="170"/>
      <c r="DO60" s="170"/>
      <c r="DP60" s="170"/>
      <c r="DQ60" s="170"/>
      <c r="DR60" s="170"/>
      <c r="DS60" s="170"/>
      <c r="DT60" s="170"/>
      <c r="DU60" s="170"/>
      <c r="DV60" s="170"/>
      <c r="DW60" s="170"/>
      <c r="DX60" s="170"/>
      <c r="DY60" s="170"/>
      <c r="DZ60" s="170"/>
      <c r="EA60" s="170"/>
      <c r="EB60" s="170"/>
      <c r="EC60" s="170"/>
      <c r="ED60" s="170"/>
      <c r="EE60" s="170"/>
      <c r="EF60" s="170"/>
      <c r="EG60" s="170"/>
      <c r="EH60" s="170"/>
      <c r="EI60" s="170"/>
      <c r="EJ60" s="170"/>
      <c r="EK60" s="170"/>
      <c r="EL60" s="170"/>
      <c r="EM60" s="170"/>
      <c r="EN60" s="170"/>
      <c r="EO60" s="170"/>
      <c r="EP60" s="170"/>
    </row>
    <row r="61" ht="15.75" customHeight="1">
      <c r="A61" s="170"/>
      <c r="B61" s="170"/>
      <c r="C61" s="170"/>
      <c r="D61" s="170"/>
      <c r="E61" s="170"/>
      <c r="F61" s="170"/>
      <c r="G61" s="170"/>
      <c r="H61" s="170"/>
      <c r="I61" s="170"/>
      <c r="J61" s="170"/>
      <c r="K61" s="170"/>
      <c r="L61" s="170"/>
      <c r="M61" s="170"/>
      <c r="N61" s="170"/>
      <c r="O61" s="170"/>
      <c r="P61" s="170"/>
      <c r="Q61" s="170"/>
      <c r="R61" s="170"/>
      <c r="S61" s="170"/>
      <c r="T61" s="170"/>
      <c r="U61" s="170"/>
      <c r="V61" s="170"/>
      <c r="W61" s="170"/>
      <c r="X61" s="170"/>
      <c r="Y61" s="170"/>
      <c r="Z61" s="170"/>
      <c r="AA61" s="170"/>
      <c r="AB61" s="170"/>
      <c r="AC61" s="170"/>
      <c r="AD61" s="170"/>
      <c r="AE61" s="170"/>
      <c r="AF61" s="170"/>
      <c r="AG61" s="170"/>
      <c r="AH61" s="170"/>
      <c r="AI61" s="170"/>
      <c r="AJ61" s="170"/>
      <c r="AK61" s="170"/>
      <c r="AL61" s="170"/>
      <c r="AM61" s="170"/>
      <c r="AN61" s="170"/>
      <c r="AO61" s="170"/>
      <c r="AP61" s="170"/>
      <c r="AQ61" s="170"/>
      <c r="AR61" s="170"/>
      <c r="AS61" s="170"/>
      <c r="AT61" s="170"/>
      <c r="AU61" s="170"/>
      <c r="AV61" s="170"/>
      <c r="AW61" s="170"/>
      <c r="AX61" s="170"/>
      <c r="AY61" s="170"/>
      <c r="AZ61" s="170"/>
      <c r="BA61" s="170"/>
      <c r="BB61" s="170"/>
      <c r="BC61" s="170"/>
      <c r="BD61" s="170"/>
      <c r="BE61" s="170"/>
      <c r="BF61" s="170"/>
      <c r="BG61" s="170"/>
      <c r="BH61" s="170"/>
      <c r="BI61" s="170"/>
      <c r="BJ61" s="170"/>
      <c r="BK61" s="170"/>
      <c r="BL61" s="170"/>
      <c r="BM61" s="170"/>
      <c r="BN61" s="170"/>
      <c r="BO61" s="170"/>
      <c r="BP61" s="170"/>
      <c r="BQ61" s="170"/>
      <c r="BR61" s="170"/>
      <c r="BS61" s="170"/>
      <c r="BT61" s="170"/>
      <c r="BU61" s="170"/>
      <c r="BV61" s="170"/>
      <c r="BW61" s="170"/>
      <c r="BX61" s="170"/>
      <c r="BY61" s="170"/>
      <c r="BZ61" s="170"/>
      <c r="CA61" s="170"/>
      <c r="CB61" s="170"/>
      <c r="CC61" s="170"/>
      <c r="CD61" s="170"/>
      <c r="CE61" s="170"/>
      <c r="CF61" s="170"/>
      <c r="CG61" s="170"/>
      <c r="CH61" s="170"/>
      <c r="CI61" s="170"/>
      <c r="CJ61" s="170"/>
      <c r="CK61" s="170"/>
      <c r="CL61" s="170"/>
      <c r="CM61" s="170"/>
      <c r="CN61" s="170"/>
      <c r="CO61" s="170"/>
      <c r="CP61" s="170"/>
      <c r="CQ61" s="170"/>
      <c r="CR61" s="170"/>
      <c r="CS61" s="170"/>
      <c r="CT61" s="170"/>
      <c r="CU61" s="170"/>
      <c r="CV61" s="170"/>
      <c r="CW61" s="170"/>
      <c r="CX61" s="170"/>
      <c r="CY61" s="170"/>
      <c r="CZ61" s="170"/>
      <c r="DA61" s="170"/>
      <c r="DB61" s="170"/>
      <c r="DC61" s="170"/>
      <c r="DD61" s="170"/>
      <c r="DE61" s="170"/>
      <c r="DF61" s="170"/>
      <c r="DG61" s="170"/>
      <c r="DH61" s="170"/>
      <c r="DI61" s="170"/>
      <c r="DJ61" s="170"/>
      <c r="DK61" s="170"/>
      <c r="DL61" s="170"/>
      <c r="DM61" s="170"/>
      <c r="DN61" s="170"/>
      <c r="DO61" s="170"/>
      <c r="DP61" s="170"/>
      <c r="DQ61" s="170"/>
      <c r="DR61" s="170"/>
      <c r="DS61" s="170"/>
      <c r="DT61" s="170"/>
      <c r="DU61" s="170"/>
      <c r="DV61" s="170"/>
      <c r="DW61" s="170"/>
      <c r="DX61" s="170"/>
      <c r="DY61" s="170"/>
      <c r="DZ61" s="170"/>
      <c r="EA61" s="170"/>
      <c r="EB61" s="170"/>
      <c r="EC61" s="170"/>
      <c r="ED61" s="170"/>
      <c r="EE61" s="170"/>
      <c r="EF61" s="170"/>
      <c r="EG61" s="170"/>
      <c r="EH61" s="170"/>
      <c r="EI61" s="170"/>
      <c r="EJ61" s="170"/>
      <c r="EK61" s="170"/>
      <c r="EL61" s="170"/>
      <c r="EM61" s="170"/>
      <c r="EN61" s="170"/>
      <c r="EO61" s="170"/>
      <c r="EP61" s="170"/>
    </row>
    <row r="62" ht="15.75" customHeight="1">
      <c r="A62" s="170"/>
      <c r="B62" s="170"/>
      <c r="C62" s="170"/>
      <c r="D62" s="170"/>
      <c r="E62" s="170"/>
      <c r="F62" s="170"/>
      <c r="G62" s="170"/>
      <c r="H62" s="170"/>
      <c r="I62" s="170"/>
      <c r="J62" s="170"/>
      <c r="K62" s="170"/>
      <c r="L62" s="170"/>
      <c r="M62" s="170"/>
      <c r="N62" s="170"/>
      <c r="O62" s="170"/>
      <c r="P62" s="170"/>
      <c r="Q62" s="170"/>
      <c r="R62" s="170"/>
      <c r="S62" s="170"/>
      <c r="T62" s="170"/>
      <c r="U62" s="170"/>
      <c r="V62" s="170"/>
      <c r="W62" s="170"/>
      <c r="X62" s="170"/>
      <c r="Y62" s="170"/>
      <c r="Z62" s="170"/>
      <c r="AA62" s="170"/>
      <c r="AB62" s="170"/>
      <c r="AC62" s="170"/>
      <c r="AD62" s="170"/>
      <c r="AE62" s="170"/>
      <c r="AF62" s="170"/>
      <c r="AG62" s="170"/>
      <c r="AH62" s="170"/>
      <c r="AI62" s="170"/>
      <c r="AJ62" s="170"/>
      <c r="AK62" s="170"/>
      <c r="AL62" s="170"/>
      <c r="AM62" s="170"/>
      <c r="AN62" s="170"/>
      <c r="AO62" s="170"/>
      <c r="AP62" s="170"/>
      <c r="AQ62" s="170"/>
      <c r="AR62" s="170"/>
      <c r="AS62" s="170"/>
      <c r="AT62" s="170"/>
      <c r="AU62" s="170"/>
      <c r="AV62" s="170"/>
      <c r="AW62" s="170"/>
      <c r="AX62" s="170"/>
      <c r="AY62" s="170"/>
      <c r="AZ62" s="170"/>
      <c r="BA62" s="170"/>
      <c r="BB62" s="170"/>
      <c r="BC62" s="170"/>
      <c r="BD62" s="170"/>
      <c r="BE62" s="170"/>
      <c r="BF62" s="170"/>
      <c r="BG62" s="170"/>
      <c r="BH62" s="170"/>
      <c r="BI62" s="170"/>
      <c r="BJ62" s="170"/>
      <c r="BK62" s="170"/>
      <c r="BL62" s="170"/>
      <c r="BM62" s="170"/>
      <c r="BN62" s="170"/>
      <c r="BO62" s="170"/>
      <c r="BP62" s="170"/>
      <c r="BQ62" s="170"/>
      <c r="BR62" s="170"/>
      <c r="BS62" s="170"/>
      <c r="BT62" s="170"/>
      <c r="BU62" s="170"/>
      <c r="BV62" s="170"/>
      <c r="BW62" s="170"/>
      <c r="BX62" s="170"/>
      <c r="BY62" s="170"/>
      <c r="BZ62" s="170"/>
      <c r="CA62" s="170"/>
      <c r="CB62" s="170"/>
      <c r="CC62" s="170"/>
      <c r="CD62" s="170"/>
      <c r="CE62" s="170"/>
      <c r="CF62" s="170"/>
      <c r="CG62" s="170"/>
      <c r="CH62" s="170"/>
      <c r="CI62" s="170"/>
      <c r="CJ62" s="170"/>
      <c r="CK62" s="170"/>
      <c r="CL62" s="170"/>
      <c r="CM62" s="170"/>
      <c r="CN62" s="170"/>
      <c r="CO62" s="170"/>
      <c r="CP62" s="170"/>
      <c r="CQ62" s="170"/>
      <c r="CR62" s="170"/>
      <c r="CS62" s="170"/>
      <c r="CT62" s="170"/>
      <c r="CU62" s="170"/>
      <c r="CV62" s="170"/>
      <c r="CW62" s="170"/>
      <c r="CX62" s="170"/>
      <c r="CY62" s="170"/>
      <c r="CZ62" s="170"/>
      <c r="DA62" s="170"/>
      <c r="DB62" s="170"/>
      <c r="DC62" s="170"/>
      <c r="DD62" s="170"/>
      <c r="DE62" s="170"/>
      <c r="DF62" s="170"/>
      <c r="DG62" s="170"/>
      <c r="DH62" s="170"/>
      <c r="DI62" s="170"/>
      <c r="DJ62" s="170"/>
      <c r="DK62" s="170"/>
      <c r="DL62" s="170"/>
      <c r="DM62" s="170"/>
      <c r="DN62" s="170"/>
      <c r="DO62" s="170"/>
      <c r="DP62" s="170"/>
      <c r="DQ62" s="170"/>
      <c r="DR62" s="170"/>
      <c r="DS62" s="170"/>
      <c r="DT62" s="170"/>
      <c r="DU62" s="170"/>
      <c r="DV62" s="170"/>
      <c r="DW62" s="170"/>
      <c r="DX62" s="170"/>
      <c r="DY62" s="170"/>
      <c r="DZ62" s="170"/>
      <c r="EA62" s="170"/>
      <c r="EB62" s="170"/>
      <c r="EC62" s="170"/>
      <c r="ED62" s="170"/>
      <c r="EE62" s="170"/>
      <c r="EF62" s="170"/>
      <c r="EG62" s="170"/>
      <c r="EH62" s="170"/>
      <c r="EI62" s="170"/>
      <c r="EJ62" s="170"/>
      <c r="EK62" s="170"/>
      <c r="EL62" s="170"/>
      <c r="EM62" s="170"/>
      <c r="EN62" s="170"/>
      <c r="EO62" s="170"/>
      <c r="EP62" s="170"/>
    </row>
    <row r="63" ht="15.75" customHeight="1">
      <c r="A63" s="170"/>
      <c r="B63" s="170"/>
      <c r="C63" s="170"/>
      <c r="D63" s="170"/>
      <c r="E63" s="170"/>
      <c r="F63" s="170"/>
      <c r="G63" s="170"/>
      <c r="H63" s="170"/>
      <c r="I63" s="170"/>
      <c r="J63" s="170"/>
      <c r="K63" s="170"/>
      <c r="L63" s="170"/>
      <c r="M63" s="170"/>
      <c r="N63" s="170"/>
      <c r="O63" s="170"/>
      <c r="P63" s="170"/>
      <c r="Q63" s="170"/>
      <c r="R63" s="170"/>
      <c r="S63" s="170"/>
      <c r="T63" s="170"/>
      <c r="U63" s="170"/>
      <c r="V63" s="170"/>
      <c r="W63" s="170"/>
      <c r="X63" s="170"/>
      <c r="Y63" s="170"/>
      <c r="Z63" s="170"/>
      <c r="AA63" s="170"/>
      <c r="AB63" s="170"/>
      <c r="AC63" s="170"/>
      <c r="AD63" s="170"/>
      <c r="AE63" s="170"/>
      <c r="AF63" s="170"/>
      <c r="AG63" s="170"/>
      <c r="AH63" s="170"/>
      <c r="AI63" s="170"/>
      <c r="AJ63" s="170"/>
      <c r="AK63" s="170"/>
      <c r="AL63" s="170"/>
      <c r="AM63" s="170"/>
      <c r="AN63" s="170"/>
      <c r="AO63" s="170"/>
      <c r="AP63" s="170"/>
      <c r="AQ63" s="170"/>
      <c r="AR63" s="170"/>
      <c r="AS63" s="170"/>
      <c r="AT63" s="170"/>
      <c r="AU63" s="170"/>
      <c r="AV63" s="170"/>
      <c r="AW63" s="170"/>
      <c r="AX63" s="170"/>
      <c r="AY63" s="170"/>
      <c r="AZ63" s="170"/>
      <c r="BA63" s="170"/>
      <c r="BB63" s="170"/>
      <c r="BC63" s="170"/>
      <c r="BD63" s="170"/>
      <c r="BE63" s="170"/>
      <c r="BF63" s="170"/>
      <c r="BG63" s="170"/>
      <c r="BH63" s="170"/>
      <c r="BI63" s="170"/>
      <c r="BJ63" s="170"/>
      <c r="BK63" s="170"/>
      <c r="BL63" s="170"/>
      <c r="BM63" s="170"/>
      <c r="BN63" s="170"/>
      <c r="BO63" s="170"/>
      <c r="BP63" s="170"/>
      <c r="BQ63" s="170"/>
      <c r="BR63" s="170"/>
      <c r="BS63" s="170"/>
      <c r="BT63" s="170"/>
      <c r="BU63" s="170"/>
      <c r="BV63" s="170"/>
      <c r="BW63" s="170"/>
      <c r="BX63" s="170"/>
      <c r="BY63" s="170"/>
      <c r="BZ63" s="170"/>
      <c r="CA63" s="170"/>
      <c r="CB63" s="170"/>
      <c r="CC63" s="170"/>
      <c r="CD63" s="170"/>
      <c r="CE63" s="170"/>
      <c r="CF63" s="170"/>
      <c r="CG63" s="170"/>
      <c r="CH63" s="170"/>
      <c r="CI63" s="170"/>
      <c r="CJ63" s="170"/>
      <c r="CK63" s="170"/>
      <c r="CL63" s="170"/>
      <c r="CM63" s="170"/>
      <c r="CN63" s="170"/>
      <c r="CO63" s="170"/>
      <c r="CP63" s="170"/>
      <c r="CQ63" s="170"/>
      <c r="CR63" s="170"/>
      <c r="CS63" s="170"/>
      <c r="CT63" s="170"/>
      <c r="CU63" s="170"/>
      <c r="CV63" s="170"/>
      <c r="CW63" s="170"/>
      <c r="CX63" s="170"/>
      <c r="CY63" s="170"/>
      <c r="CZ63" s="170"/>
      <c r="DA63" s="170"/>
      <c r="DB63" s="170"/>
      <c r="DC63" s="170"/>
      <c r="DD63" s="170"/>
      <c r="DE63" s="170"/>
      <c r="DF63" s="170"/>
      <c r="DG63" s="170"/>
      <c r="DH63" s="170"/>
      <c r="DI63" s="170"/>
      <c r="DJ63" s="170"/>
      <c r="DK63" s="170"/>
      <c r="DL63" s="170"/>
      <c r="DM63" s="170"/>
      <c r="DN63" s="170"/>
      <c r="DO63" s="170"/>
      <c r="DP63" s="170"/>
      <c r="DQ63" s="170"/>
      <c r="DR63" s="170"/>
      <c r="DS63" s="170"/>
      <c r="DT63" s="170"/>
      <c r="DU63" s="170"/>
      <c r="DV63" s="170"/>
      <c r="DW63" s="170"/>
      <c r="DX63" s="170"/>
      <c r="DY63" s="170"/>
      <c r="DZ63" s="170"/>
      <c r="EA63" s="170"/>
      <c r="EB63" s="170"/>
      <c r="EC63" s="170"/>
      <c r="ED63" s="170"/>
      <c r="EE63" s="170"/>
      <c r="EF63" s="170"/>
      <c r="EG63" s="170"/>
      <c r="EH63" s="170"/>
      <c r="EI63" s="170"/>
      <c r="EJ63" s="170"/>
      <c r="EK63" s="170"/>
      <c r="EL63" s="170"/>
      <c r="EM63" s="170"/>
      <c r="EN63" s="170"/>
      <c r="EO63" s="170"/>
      <c r="EP63" s="170"/>
    </row>
    <row r="64" ht="15.75" customHeight="1">
      <c r="A64" s="170"/>
      <c r="B64" s="170"/>
      <c r="C64" s="170"/>
      <c r="D64" s="170"/>
      <c r="E64" s="170"/>
      <c r="F64" s="170"/>
      <c r="G64" s="170"/>
      <c r="H64" s="170"/>
      <c r="I64" s="170"/>
      <c r="J64" s="170"/>
      <c r="K64" s="170"/>
      <c r="L64" s="170"/>
      <c r="M64" s="170"/>
      <c r="N64" s="170"/>
      <c r="O64" s="170"/>
      <c r="P64" s="170"/>
      <c r="Q64" s="170"/>
      <c r="R64" s="170"/>
      <c r="S64" s="170"/>
      <c r="T64" s="170"/>
      <c r="U64" s="170"/>
      <c r="V64" s="170"/>
      <c r="W64" s="170"/>
      <c r="X64" s="170"/>
      <c r="Y64" s="170"/>
      <c r="Z64" s="170"/>
      <c r="AA64" s="170"/>
      <c r="AB64" s="170"/>
      <c r="AC64" s="170"/>
      <c r="AD64" s="170"/>
      <c r="AE64" s="170"/>
      <c r="AF64" s="170"/>
      <c r="AG64" s="170"/>
      <c r="AH64" s="170"/>
      <c r="AI64" s="170"/>
      <c r="AJ64" s="170"/>
      <c r="AK64" s="170"/>
      <c r="AL64" s="170"/>
      <c r="AM64" s="170"/>
      <c r="AN64" s="170"/>
      <c r="AO64" s="170"/>
      <c r="AP64" s="170"/>
      <c r="AQ64" s="170"/>
      <c r="AR64" s="170"/>
      <c r="AS64" s="170"/>
      <c r="AT64" s="170"/>
      <c r="AU64" s="170"/>
      <c r="AV64" s="170"/>
      <c r="AW64" s="170"/>
      <c r="AX64" s="170"/>
      <c r="AY64" s="170"/>
      <c r="AZ64" s="170"/>
      <c r="BA64" s="170"/>
      <c r="BB64" s="170"/>
      <c r="BC64" s="170"/>
      <c r="BD64" s="170"/>
      <c r="BE64" s="170"/>
      <c r="BF64" s="170"/>
      <c r="BG64" s="170"/>
      <c r="BH64" s="170"/>
      <c r="BI64" s="170"/>
      <c r="BJ64" s="170"/>
      <c r="BK64" s="170"/>
      <c r="BL64" s="170"/>
      <c r="BM64" s="170"/>
      <c r="BN64" s="170"/>
      <c r="BO64" s="170"/>
      <c r="BP64" s="170"/>
      <c r="BQ64" s="170"/>
      <c r="BR64" s="170"/>
      <c r="BS64" s="170"/>
      <c r="BT64" s="170"/>
      <c r="BU64" s="170"/>
      <c r="BV64" s="170"/>
      <c r="BW64" s="170"/>
      <c r="BX64" s="170"/>
      <c r="BY64" s="170"/>
      <c r="BZ64" s="170"/>
      <c r="CA64" s="170"/>
      <c r="CB64" s="170"/>
      <c r="CC64" s="170"/>
      <c r="CD64" s="170"/>
      <c r="CE64" s="170"/>
      <c r="CF64" s="170"/>
      <c r="CG64" s="170"/>
      <c r="CH64" s="170"/>
      <c r="CI64" s="170"/>
      <c r="CJ64" s="170"/>
      <c r="CK64" s="170"/>
      <c r="CL64" s="170"/>
      <c r="CM64" s="170"/>
      <c r="CN64" s="170"/>
      <c r="CO64" s="170"/>
      <c r="CP64" s="170"/>
      <c r="CQ64" s="170"/>
      <c r="CR64" s="170"/>
      <c r="CS64" s="170"/>
      <c r="CT64" s="170"/>
      <c r="CU64" s="170"/>
      <c r="CV64" s="170"/>
      <c r="CW64" s="170"/>
      <c r="CX64" s="170"/>
      <c r="CY64" s="170"/>
      <c r="CZ64" s="170"/>
      <c r="DA64" s="170"/>
      <c r="DB64" s="170"/>
      <c r="DC64" s="170"/>
      <c r="DD64" s="170"/>
      <c r="DE64" s="170"/>
      <c r="DF64" s="170"/>
      <c r="DG64" s="170"/>
      <c r="DH64" s="170"/>
      <c r="DI64" s="170"/>
      <c r="DJ64" s="170"/>
      <c r="DK64" s="170"/>
      <c r="DL64" s="170"/>
      <c r="DM64" s="170"/>
      <c r="DN64" s="170"/>
      <c r="DO64" s="170"/>
      <c r="DP64" s="170"/>
      <c r="DQ64" s="170"/>
      <c r="DR64" s="170"/>
      <c r="DS64" s="170"/>
      <c r="DT64" s="170"/>
      <c r="DU64" s="170"/>
      <c r="DV64" s="170"/>
      <c r="DW64" s="170"/>
      <c r="DX64" s="170"/>
      <c r="DY64" s="170"/>
      <c r="DZ64" s="170"/>
      <c r="EA64" s="170"/>
      <c r="EB64" s="170"/>
      <c r="EC64" s="170"/>
      <c r="ED64" s="170"/>
      <c r="EE64" s="170"/>
      <c r="EF64" s="170"/>
      <c r="EG64" s="170"/>
      <c r="EH64" s="170"/>
      <c r="EI64" s="170"/>
      <c r="EJ64" s="170"/>
      <c r="EK64" s="170"/>
      <c r="EL64" s="170"/>
      <c r="EM64" s="170"/>
      <c r="EN64" s="170"/>
      <c r="EO64" s="170"/>
      <c r="EP64" s="170"/>
    </row>
    <row r="65" ht="15.75" customHeight="1">
      <c r="A65" s="170"/>
      <c r="B65" s="170"/>
      <c r="C65" s="170"/>
      <c r="D65" s="170"/>
      <c r="E65" s="170"/>
      <c r="F65" s="170"/>
      <c r="G65" s="170"/>
      <c r="H65" s="170"/>
      <c r="I65" s="170"/>
      <c r="J65" s="170"/>
      <c r="K65" s="170"/>
      <c r="L65" s="170"/>
      <c r="M65" s="170"/>
      <c r="N65" s="170"/>
      <c r="O65" s="170"/>
      <c r="P65" s="170"/>
      <c r="Q65" s="170"/>
      <c r="R65" s="170"/>
      <c r="S65" s="170"/>
      <c r="T65" s="170"/>
      <c r="U65" s="170"/>
      <c r="V65" s="170"/>
      <c r="W65" s="170"/>
      <c r="X65" s="170"/>
      <c r="Y65" s="170"/>
      <c r="Z65" s="170"/>
      <c r="AA65" s="170"/>
      <c r="AB65" s="170"/>
      <c r="AC65" s="170"/>
      <c r="AD65" s="170"/>
      <c r="AE65" s="170"/>
      <c r="AF65" s="170"/>
      <c r="AG65" s="170"/>
      <c r="AH65" s="170"/>
      <c r="AI65" s="170"/>
      <c r="AJ65" s="170"/>
      <c r="AK65" s="170"/>
      <c r="AL65" s="170"/>
      <c r="AM65" s="170"/>
      <c r="AN65" s="170"/>
      <c r="AO65" s="170"/>
      <c r="AP65" s="170"/>
      <c r="AQ65" s="170"/>
      <c r="AR65" s="170"/>
      <c r="AS65" s="170"/>
      <c r="AT65" s="170"/>
      <c r="AU65" s="170"/>
      <c r="AV65" s="170"/>
      <c r="AW65" s="170"/>
      <c r="AX65" s="170"/>
      <c r="AY65" s="170"/>
      <c r="AZ65" s="170"/>
      <c r="BA65" s="170"/>
      <c r="BB65" s="170"/>
      <c r="BC65" s="170"/>
      <c r="BD65" s="170"/>
      <c r="BE65" s="170"/>
      <c r="BF65" s="170"/>
      <c r="BG65" s="170"/>
      <c r="BH65" s="170"/>
      <c r="BI65" s="170"/>
      <c r="BJ65" s="170"/>
      <c r="BK65" s="170"/>
      <c r="BL65" s="170"/>
      <c r="BM65" s="170"/>
      <c r="BN65" s="170"/>
      <c r="BO65" s="170"/>
      <c r="BP65" s="170"/>
      <c r="BQ65" s="170"/>
      <c r="BR65" s="170"/>
      <c r="BS65" s="170"/>
      <c r="BT65" s="170"/>
      <c r="BU65" s="170"/>
      <c r="BV65" s="170"/>
      <c r="BW65" s="170"/>
      <c r="BX65" s="170"/>
      <c r="BY65" s="170"/>
      <c r="BZ65" s="170"/>
      <c r="CA65" s="170"/>
      <c r="CB65" s="170"/>
      <c r="CC65" s="170"/>
      <c r="CD65" s="170"/>
      <c r="CE65" s="170"/>
      <c r="CF65" s="170"/>
      <c r="CG65" s="170"/>
      <c r="CH65" s="170"/>
      <c r="CI65" s="170"/>
      <c r="CJ65" s="170"/>
      <c r="CK65" s="170"/>
      <c r="CL65" s="170"/>
      <c r="CM65" s="170"/>
      <c r="CN65" s="170"/>
      <c r="CO65" s="170"/>
      <c r="CP65" s="170"/>
      <c r="CQ65" s="170"/>
      <c r="CR65" s="170"/>
      <c r="CS65" s="170"/>
      <c r="CT65" s="170"/>
      <c r="CU65" s="170"/>
      <c r="CV65" s="170"/>
      <c r="CW65" s="170"/>
      <c r="CX65" s="170"/>
      <c r="CY65" s="170"/>
      <c r="CZ65" s="170"/>
      <c r="DA65" s="170"/>
      <c r="DB65" s="170"/>
      <c r="DC65" s="170"/>
      <c r="DD65" s="170"/>
      <c r="DE65" s="170"/>
      <c r="DF65" s="170"/>
      <c r="DG65" s="170"/>
      <c r="DH65" s="170"/>
      <c r="DI65" s="170"/>
      <c r="DJ65" s="170"/>
      <c r="DK65" s="170"/>
      <c r="DL65" s="170"/>
      <c r="DM65" s="170"/>
      <c r="DN65" s="170"/>
      <c r="DO65" s="170"/>
      <c r="DP65" s="170"/>
      <c r="DQ65" s="170"/>
      <c r="DR65" s="170"/>
      <c r="DS65" s="170"/>
      <c r="DT65" s="170"/>
      <c r="DU65" s="170"/>
      <c r="DV65" s="170"/>
      <c r="DW65" s="170"/>
      <c r="DX65" s="170"/>
      <c r="DY65" s="170"/>
      <c r="DZ65" s="170"/>
      <c r="EA65" s="170"/>
      <c r="EB65" s="170"/>
      <c r="EC65" s="170"/>
      <c r="ED65" s="170"/>
      <c r="EE65" s="170"/>
      <c r="EF65" s="170"/>
      <c r="EG65" s="170"/>
      <c r="EH65" s="170"/>
      <c r="EI65" s="170"/>
      <c r="EJ65" s="170"/>
      <c r="EK65" s="170"/>
      <c r="EL65" s="170"/>
      <c r="EM65" s="170"/>
      <c r="EN65" s="170"/>
      <c r="EO65" s="170"/>
      <c r="EP65" s="170"/>
    </row>
    <row r="66" ht="15.75" customHeight="1">
      <c r="A66" s="170"/>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0"/>
      <c r="AA66" s="170"/>
      <c r="AB66" s="170"/>
      <c r="AC66" s="170"/>
      <c r="AD66" s="170"/>
      <c r="AE66" s="170"/>
      <c r="AF66" s="170"/>
      <c r="AG66" s="170"/>
      <c r="AH66" s="170"/>
      <c r="AI66" s="170"/>
      <c r="AJ66" s="170"/>
      <c r="AK66" s="170"/>
      <c r="AL66" s="170"/>
      <c r="AM66" s="170"/>
      <c r="AN66" s="170"/>
      <c r="AO66" s="170"/>
      <c r="AP66" s="170"/>
      <c r="AQ66" s="170"/>
      <c r="AR66" s="170"/>
      <c r="AS66" s="170"/>
      <c r="AT66" s="170"/>
      <c r="AU66" s="170"/>
      <c r="AV66" s="170"/>
      <c r="AW66" s="170"/>
      <c r="AX66" s="170"/>
      <c r="AY66" s="170"/>
      <c r="AZ66" s="170"/>
      <c r="BA66" s="170"/>
      <c r="BB66" s="170"/>
      <c r="BC66" s="170"/>
      <c r="BD66" s="170"/>
      <c r="BE66" s="170"/>
      <c r="BF66" s="170"/>
      <c r="BG66" s="170"/>
      <c r="BH66" s="170"/>
      <c r="BI66" s="170"/>
      <c r="BJ66" s="170"/>
      <c r="BK66" s="170"/>
      <c r="BL66" s="170"/>
      <c r="BM66" s="170"/>
      <c r="BN66" s="170"/>
      <c r="BO66" s="170"/>
      <c r="BP66" s="170"/>
      <c r="BQ66" s="170"/>
      <c r="BR66" s="170"/>
      <c r="BS66" s="170"/>
      <c r="BT66" s="170"/>
      <c r="BU66" s="170"/>
      <c r="BV66" s="170"/>
      <c r="BW66" s="170"/>
      <c r="BX66" s="170"/>
      <c r="BY66" s="170"/>
      <c r="BZ66" s="170"/>
      <c r="CA66" s="170"/>
      <c r="CB66" s="170"/>
      <c r="CC66" s="170"/>
      <c r="CD66" s="170"/>
      <c r="CE66" s="170"/>
      <c r="CF66" s="170"/>
      <c r="CG66" s="170"/>
      <c r="CH66" s="170"/>
      <c r="CI66" s="170"/>
      <c r="CJ66" s="170"/>
      <c r="CK66" s="170"/>
      <c r="CL66" s="170"/>
      <c r="CM66" s="170"/>
      <c r="CN66" s="170"/>
      <c r="CO66" s="170"/>
      <c r="CP66" s="170"/>
      <c r="CQ66" s="170"/>
      <c r="CR66" s="170"/>
      <c r="CS66" s="170"/>
      <c r="CT66" s="170"/>
      <c r="CU66" s="170"/>
      <c r="CV66" s="170"/>
      <c r="CW66" s="170"/>
      <c r="CX66" s="170"/>
      <c r="CY66" s="170"/>
      <c r="CZ66" s="170"/>
      <c r="DA66" s="170"/>
      <c r="DB66" s="170"/>
      <c r="DC66" s="170"/>
      <c r="DD66" s="170"/>
      <c r="DE66" s="170"/>
      <c r="DF66" s="170"/>
      <c r="DG66" s="170"/>
      <c r="DH66" s="170"/>
      <c r="DI66" s="170"/>
      <c r="DJ66" s="170"/>
      <c r="DK66" s="170"/>
      <c r="DL66" s="170"/>
      <c r="DM66" s="170"/>
      <c r="DN66" s="170"/>
      <c r="DO66" s="170"/>
      <c r="DP66" s="170"/>
      <c r="DQ66" s="170"/>
      <c r="DR66" s="170"/>
      <c r="DS66" s="170"/>
      <c r="DT66" s="170"/>
      <c r="DU66" s="170"/>
      <c r="DV66" s="170"/>
      <c r="DW66" s="170"/>
      <c r="DX66" s="170"/>
      <c r="DY66" s="170"/>
      <c r="DZ66" s="170"/>
      <c r="EA66" s="170"/>
      <c r="EB66" s="170"/>
      <c r="EC66" s="170"/>
      <c r="ED66" s="170"/>
      <c r="EE66" s="170"/>
      <c r="EF66" s="170"/>
      <c r="EG66" s="170"/>
      <c r="EH66" s="170"/>
      <c r="EI66" s="170"/>
      <c r="EJ66" s="170"/>
      <c r="EK66" s="170"/>
      <c r="EL66" s="170"/>
      <c r="EM66" s="170"/>
      <c r="EN66" s="170"/>
      <c r="EO66" s="170"/>
      <c r="EP66" s="170"/>
    </row>
    <row r="67" ht="15.75" customHeight="1">
      <c r="A67" s="170"/>
      <c r="B67" s="170"/>
      <c r="C67" s="170"/>
      <c r="D67" s="170"/>
      <c r="E67" s="170"/>
      <c r="F67" s="170"/>
      <c r="G67" s="170"/>
      <c r="H67" s="170"/>
      <c r="I67" s="170"/>
      <c r="J67" s="170"/>
      <c r="K67" s="170"/>
      <c r="L67" s="170"/>
      <c r="M67" s="170"/>
      <c r="N67" s="170"/>
      <c r="O67" s="170"/>
      <c r="P67" s="170"/>
      <c r="Q67" s="170"/>
      <c r="R67" s="170"/>
      <c r="S67" s="170"/>
      <c r="T67" s="170"/>
      <c r="U67" s="170"/>
      <c r="V67" s="170"/>
      <c r="W67" s="170"/>
      <c r="X67" s="170"/>
      <c r="Y67" s="170"/>
      <c r="Z67" s="170"/>
      <c r="AA67" s="170"/>
      <c r="AB67" s="170"/>
      <c r="AC67" s="170"/>
      <c r="AD67" s="170"/>
      <c r="AE67" s="170"/>
      <c r="AF67" s="170"/>
      <c r="AG67" s="170"/>
      <c r="AH67" s="170"/>
      <c r="AI67" s="170"/>
      <c r="AJ67" s="170"/>
      <c r="AK67" s="170"/>
      <c r="AL67" s="170"/>
      <c r="AM67" s="170"/>
      <c r="AN67" s="170"/>
      <c r="AO67" s="170"/>
      <c r="AP67" s="170"/>
      <c r="AQ67" s="170"/>
      <c r="AR67" s="170"/>
      <c r="AS67" s="170"/>
      <c r="AT67" s="170"/>
      <c r="AU67" s="170"/>
      <c r="AV67" s="170"/>
      <c r="AW67" s="170"/>
      <c r="AX67" s="170"/>
      <c r="AY67" s="170"/>
      <c r="AZ67" s="170"/>
      <c r="BA67" s="170"/>
      <c r="BB67" s="170"/>
      <c r="BC67" s="170"/>
      <c r="BD67" s="170"/>
      <c r="BE67" s="170"/>
      <c r="BF67" s="170"/>
      <c r="BG67" s="170"/>
      <c r="BH67" s="170"/>
      <c r="BI67" s="170"/>
      <c r="BJ67" s="170"/>
      <c r="BK67" s="170"/>
      <c r="BL67" s="170"/>
      <c r="BM67" s="170"/>
      <c r="BN67" s="170"/>
      <c r="BO67" s="170"/>
      <c r="BP67" s="170"/>
      <c r="BQ67" s="170"/>
      <c r="BR67" s="170"/>
      <c r="BS67" s="170"/>
      <c r="BT67" s="170"/>
      <c r="BU67" s="170"/>
      <c r="BV67" s="170"/>
      <c r="BW67" s="170"/>
      <c r="BX67" s="170"/>
      <c r="BY67" s="170"/>
      <c r="BZ67" s="170"/>
      <c r="CA67" s="170"/>
      <c r="CB67" s="170"/>
      <c r="CC67" s="170"/>
      <c r="CD67" s="170"/>
      <c r="CE67" s="170"/>
      <c r="CF67" s="170"/>
      <c r="CG67" s="170"/>
      <c r="CH67" s="170"/>
      <c r="CI67" s="170"/>
      <c r="CJ67" s="170"/>
      <c r="CK67" s="170"/>
      <c r="CL67" s="170"/>
      <c r="CM67" s="170"/>
      <c r="CN67" s="170"/>
      <c r="CO67" s="170"/>
      <c r="CP67" s="170"/>
      <c r="CQ67" s="170"/>
      <c r="CR67" s="170"/>
      <c r="CS67" s="170"/>
      <c r="CT67" s="170"/>
      <c r="CU67" s="170"/>
      <c r="CV67" s="170"/>
      <c r="CW67" s="170"/>
      <c r="CX67" s="170"/>
      <c r="CY67" s="170"/>
      <c r="CZ67" s="170"/>
      <c r="DA67" s="170"/>
      <c r="DB67" s="170"/>
      <c r="DC67" s="170"/>
      <c r="DD67" s="170"/>
      <c r="DE67" s="170"/>
      <c r="DF67" s="170"/>
      <c r="DG67" s="170"/>
      <c r="DH67" s="170"/>
      <c r="DI67" s="170"/>
      <c r="DJ67" s="170"/>
      <c r="DK67" s="170"/>
      <c r="DL67" s="170"/>
      <c r="DM67" s="170"/>
      <c r="DN67" s="170"/>
      <c r="DO67" s="170"/>
      <c r="DP67" s="170"/>
      <c r="DQ67" s="170"/>
      <c r="DR67" s="170"/>
      <c r="DS67" s="170"/>
      <c r="DT67" s="170"/>
      <c r="DU67" s="170"/>
      <c r="DV67" s="170"/>
      <c r="DW67" s="170"/>
      <c r="DX67" s="170"/>
      <c r="DY67" s="170"/>
      <c r="DZ67" s="170"/>
      <c r="EA67" s="170"/>
      <c r="EB67" s="170"/>
      <c r="EC67" s="170"/>
      <c r="ED67" s="170"/>
      <c r="EE67" s="170"/>
      <c r="EF67" s="170"/>
      <c r="EG67" s="170"/>
      <c r="EH67" s="170"/>
      <c r="EI67" s="170"/>
      <c r="EJ67" s="170"/>
      <c r="EK67" s="170"/>
      <c r="EL67" s="170"/>
      <c r="EM67" s="170"/>
      <c r="EN67" s="170"/>
      <c r="EO67" s="170"/>
      <c r="EP67" s="170"/>
    </row>
    <row r="68" ht="15.75" customHeight="1">
      <c r="A68" s="170"/>
      <c r="B68" s="170"/>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0"/>
      <c r="AA68" s="170"/>
      <c r="AB68" s="170"/>
      <c r="AC68" s="170"/>
      <c r="AD68" s="170"/>
      <c r="AE68" s="170"/>
      <c r="AF68" s="170"/>
      <c r="AG68" s="170"/>
      <c r="AH68" s="170"/>
      <c r="AI68" s="170"/>
      <c r="AJ68" s="170"/>
      <c r="AK68" s="170"/>
      <c r="AL68" s="170"/>
      <c r="AM68" s="170"/>
      <c r="AN68" s="170"/>
      <c r="AO68" s="170"/>
      <c r="AP68" s="170"/>
      <c r="AQ68" s="170"/>
      <c r="AR68" s="170"/>
      <c r="AS68" s="170"/>
      <c r="AT68" s="170"/>
      <c r="AU68" s="170"/>
      <c r="AV68" s="170"/>
      <c r="AW68" s="170"/>
      <c r="AX68" s="170"/>
      <c r="AY68" s="170"/>
      <c r="AZ68" s="170"/>
      <c r="BA68" s="170"/>
      <c r="BB68" s="170"/>
      <c r="BC68" s="170"/>
      <c r="BD68" s="170"/>
      <c r="BE68" s="170"/>
      <c r="BF68" s="170"/>
      <c r="BG68" s="170"/>
      <c r="BH68" s="170"/>
      <c r="BI68" s="170"/>
      <c r="BJ68" s="170"/>
      <c r="BK68" s="170"/>
      <c r="BL68" s="170"/>
      <c r="BM68" s="170"/>
      <c r="BN68" s="170"/>
      <c r="BO68" s="170"/>
      <c r="BP68" s="170"/>
      <c r="BQ68" s="170"/>
      <c r="BR68" s="170"/>
      <c r="BS68" s="170"/>
      <c r="BT68" s="170"/>
      <c r="BU68" s="170"/>
      <c r="BV68" s="170"/>
      <c r="BW68" s="170"/>
      <c r="BX68" s="170"/>
      <c r="BY68" s="170"/>
      <c r="BZ68" s="170"/>
      <c r="CA68" s="170"/>
      <c r="CB68" s="170"/>
      <c r="CC68" s="170"/>
      <c r="CD68" s="170"/>
      <c r="CE68" s="170"/>
      <c r="CF68" s="170"/>
      <c r="CG68" s="170"/>
      <c r="CH68" s="170"/>
      <c r="CI68" s="170"/>
      <c r="CJ68" s="170"/>
      <c r="CK68" s="170"/>
      <c r="CL68" s="170"/>
      <c r="CM68" s="170"/>
      <c r="CN68" s="170"/>
      <c r="CO68" s="170"/>
      <c r="CP68" s="170"/>
      <c r="CQ68" s="170"/>
      <c r="CR68" s="170"/>
      <c r="CS68" s="170"/>
      <c r="CT68" s="170"/>
      <c r="CU68" s="170"/>
      <c r="CV68" s="170"/>
      <c r="CW68" s="170"/>
      <c r="CX68" s="170"/>
      <c r="CY68" s="170"/>
      <c r="CZ68" s="170"/>
      <c r="DA68" s="170"/>
      <c r="DB68" s="170"/>
      <c r="DC68" s="170"/>
      <c r="DD68" s="170"/>
      <c r="DE68" s="170"/>
      <c r="DF68" s="170"/>
      <c r="DG68" s="170"/>
      <c r="DH68" s="170"/>
      <c r="DI68" s="170"/>
      <c r="DJ68" s="170"/>
      <c r="DK68" s="170"/>
      <c r="DL68" s="170"/>
      <c r="DM68" s="170"/>
      <c r="DN68" s="170"/>
      <c r="DO68" s="170"/>
      <c r="DP68" s="170"/>
      <c r="DQ68" s="170"/>
      <c r="DR68" s="170"/>
      <c r="DS68" s="170"/>
      <c r="DT68" s="170"/>
      <c r="DU68" s="170"/>
      <c r="DV68" s="170"/>
      <c r="DW68" s="170"/>
      <c r="DX68" s="170"/>
      <c r="DY68" s="170"/>
      <c r="DZ68" s="170"/>
      <c r="EA68" s="170"/>
      <c r="EB68" s="170"/>
      <c r="EC68" s="170"/>
      <c r="ED68" s="170"/>
      <c r="EE68" s="170"/>
      <c r="EF68" s="170"/>
      <c r="EG68" s="170"/>
      <c r="EH68" s="170"/>
      <c r="EI68" s="170"/>
      <c r="EJ68" s="170"/>
      <c r="EK68" s="170"/>
      <c r="EL68" s="170"/>
      <c r="EM68" s="170"/>
      <c r="EN68" s="170"/>
      <c r="EO68" s="170"/>
      <c r="EP68" s="170"/>
    </row>
    <row r="69" ht="15.75" customHeight="1">
      <c r="A69" s="170"/>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0"/>
      <c r="AA69" s="170"/>
      <c r="AB69" s="170"/>
      <c r="AC69" s="170"/>
      <c r="AD69" s="170"/>
      <c r="AE69" s="170"/>
      <c r="AF69" s="170"/>
      <c r="AG69" s="170"/>
      <c r="AH69" s="170"/>
      <c r="AI69" s="170"/>
      <c r="AJ69" s="170"/>
      <c r="AK69" s="170"/>
      <c r="AL69" s="170"/>
      <c r="AM69" s="170"/>
      <c r="AN69" s="170"/>
      <c r="AO69" s="170"/>
      <c r="AP69" s="170"/>
      <c r="AQ69" s="170"/>
      <c r="AR69" s="170"/>
      <c r="AS69" s="170"/>
      <c r="AT69" s="170"/>
      <c r="AU69" s="170"/>
      <c r="AV69" s="170"/>
      <c r="AW69" s="170"/>
      <c r="AX69" s="170"/>
      <c r="AY69" s="170"/>
      <c r="AZ69" s="170"/>
      <c r="BA69" s="170"/>
      <c r="BB69" s="170"/>
      <c r="BC69" s="170"/>
      <c r="BD69" s="170"/>
      <c r="BE69" s="170"/>
      <c r="BF69" s="170"/>
      <c r="BG69" s="170"/>
      <c r="BH69" s="170"/>
      <c r="BI69" s="170"/>
      <c r="BJ69" s="170"/>
      <c r="BK69" s="170"/>
      <c r="BL69" s="170"/>
      <c r="BM69" s="170"/>
      <c r="BN69" s="170"/>
      <c r="BO69" s="170"/>
      <c r="BP69" s="170"/>
      <c r="BQ69" s="170"/>
      <c r="BR69" s="170"/>
      <c r="BS69" s="170"/>
      <c r="BT69" s="170"/>
      <c r="BU69" s="170"/>
      <c r="BV69" s="170"/>
      <c r="BW69" s="170"/>
      <c r="BX69" s="170"/>
      <c r="BY69" s="170"/>
      <c r="BZ69" s="170"/>
      <c r="CA69" s="170"/>
      <c r="CB69" s="170"/>
      <c r="CC69" s="170"/>
      <c r="CD69" s="170"/>
      <c r="CE69" s="170"/>
      <c r="CF69" s="170"/>
      <c r="CG69" s="170"/>
      <c r="CH69" s="170"/>
      <c r="CI69" s="170"/>
      <c r="CJ69" s="170"/>
      <c r="CK69" s="170"/>
      <c r="CL69" s="170"/>
      <c r="CM69" s="170"/>
      <c r="CN69" s="170"/>
      <c r="CO69" s="170"/>
      <c r="CP69" s="170"/>
      <c r="CQ69" s="170"/>
      <c r="CR69" s="170"/>
      <c r="CS69" s="170"/>
      <c r="CT69" s="170"/>
      <c r="CU69" s="170"/>
      <c r="CV69" s="170"/>
      <c r="CW69" s="170"/>
      <c r="CX69" s="170"/>
      <c r="CY69" s="170"/>
      <c r="CZ69" s="170"/>
      <c r="DA69" s="170"/>
      <c r="DB69" s="170"/>
      <c r="DC69" s="170"/>
      <c r="DD69" s="170"/>
      <c r="DE69" s="170"/>
      <c r="DF69" s="170"/>
      <c r="DG69" s="170"/>
      <c r="DH69" s="170"/>
      <c r="DI69" s="170"/>
      <c r="DJ69" s="170"/>
      <c r="DK69" s="170"/>
      <c r="DL69" s="170"/>
      <c r="DM69" s="170"/>
      <c r="DN69" s="170"/>
      <c r="DO69" s="170"/>
      <c r="DP69" s="170"/>
      <c r="DQ69" s="170"/>
      <c r="DR69" s="170"/>
      <c r="DS69" s="170"/>
      <c r="DT69" s="170"/>
      <c r="DU69" s="170"/>
      <c r="DV69" s="170"/>
      <c r="DW69" s="170"/>
      <c r="DX69" s="170"/>
      <c r="DY69" s="170"/>
      <c r="DZ69" s="170"/>
      <c r="EA69" s="170"/>
      <c r="EB69" s="170"/>
      <c r="EC69" s="170"/>
      <c r="ED69" s="170"/>
      <c r="EE69" s="170"/>
      <c r="EF69" s="170"/>
      <c r="EG69" s="170"/>
      <c r="EH69" s="170"/>
      <c r="EI69" s="170"/>
      <c r="EJ69" s="170"/>
      <c r="EK69" s="170"/>
      <c r="EL69" s="170"/>
      <c r="EM69" s="170"/>
      <c r="EN69" s="170"/>
      <c r="EO69" s="170"/>
      <c r="EP69" s="170"/>
    </row>
    <row r="70" ht="15.75" customHeight="1">
      <c r="A70" s="170"/>
      <c r="B70" s="170"/>
      <c r="C70" s="170"/>
      <c r="D70" s="170"/>
      <c r="E70" s="170"/>
      <c r="F70" s="170"/>
      <c r="G70" s="170"/>
      <c r="H70" s="170"/>
      <c r="I70" s="170"/>
      <c r="J70" s="170"/>
      <c r="K70" s="170"/>
      <c r="L70" s="170"/>
      <c r="M70" s="170"/>
      <c r="N70" s="170"/>
      <c r="O70" s="170"/>
      <c r="P70" s="170"/>
      <c r="Q70" s="170"/>
      <c r="R70" s="170"/>
      <c r="S70" s="170"/>
      <c r="T70" s="170"/>
      <c r="U70" s="170"/>
      <c r="V70" s="170"/>
      <c r="W70" s="170"/>
      <c r="X70" s="170"/>
      <c r="Y70" s="170"/>
      <c r="Z70" s="170"/>
      <c r="AA70" s="170"/>
      <c r="AB70" s="170"/>
      <c r="AC70" s="170"/>
      <c r="AD70" s="170"/>
      <c r="AE70" s="170"/>
      <c r="AF70" s="170"/>
      <c r="AG70" s="170"/>
      <c r="AH70" s="170"/>
      <c r="AI70" s="170"/>
      <c r="AJ70" s="170"/>
      <c r="AK70" s="170"/>
      <c r="AL70" s="170"/>
      <c r="AM70" s="170"/>
      <c r="AN70" s="170"/>
      <c r="AO70" s="170"/>
      <c r="AP70" s="170"/>
      <c r="AQ70" s="170"/>
      <c r="AR70" s="170"/>
      <c r="AS70" s="170"/>
      <c r="AT70" s="170"/>
      <c r="AU70" s="170"/>
      <c r="AV70" s="170"/>
      <c r="AW70" s="170"/>
      <c r="AX70" s="170"/>
      <c r="AY70" s="170"/>
      <c r="AZ70" s="170"/>
      <c r="BA70" s="170"/>
      <c r="BB70" s="170"/>
      <c r="BC70" s="170"/>
      <c r="BD70" s="170"/>
      <c r="BE70" s="170"/>
      <c r="BF70" s="170"/>
      <c r="BG70" s="170"/>
      <c r="BH70" s="170"/>
      <c r="BI70" s="170"/>
      <c r="BJ70" s="170"/>
      <c r="BK70" s="170"/>
      <c r="BL70" s="170"/>
      <c r="BM70" s="170"/>
      <c r="BN70" s="170"/>
      <c r="BO70" s="170"/>
      <c r="BP70" s="170"/>
      <c r="BQ70" s="170"/>
      <c r="BR70" s="170"/>
      <c r="BS70" s="170"/>
      <c r="BT70" s="170"/>
      <c r="BU70" s="170"/>
      <c r="BV70" s="170"/>
      <c r="BW70" s="170"/>
      <c r="BX70" s="170"/>
      <c r="BY70" s="170"/>
      <c r="BZ70" s="170"/>
      <c r="CA70" s="170"/>
      <c r="CB70" s="170"/>
      <c r="CC70" s="170"/>
      <c r="CD70" s="170"/>
      <c r="CE70" s="170"/>
      <c r="CF70" s="170"/>
      <c r="CG70" s="170"/>
      <c r="CH70" s="170"/>
      <c r="CI70" s="170"/>
      <c r="CJ70" s="170"/>
      <c r="CK70" s="170"/>
      <c r="CL70" s="170"/>
      <c r="CM70" s="170"/>
      <c r="CN70" s="170"/>
      <c r="CO70" s="170"/>
      <c r="CP70" s="170"/>
      <c r="CQ70" s="170"/>
      <c r="CR70" s="170"/>
      <c r="CS70" s="170"/>
      <c r="CT70" s="170"/>
      <c r="CU70" s="170"/>
      <c r="CV70" s="170"/>
      <c r="CW70" s="170"/>
      <c r="CX70" s="170"/>
      <c r="CY70" s="170"/>
      <c r="CZ70" s="170"/>
      <c r="DA70" s="170"/>
      <c r="DB70" s="170"/>
      <c r="DC70" s="170"/>
      <c r="DD70" s="170"/>
      <c r="DE70" s="170"/>
      <c r="DF70" s="170"/>
      <c r="DG70" s="170"/>
      <c r="DH70" s="170"/>
      <c r="DI70" s="170"/>
      <c r="DJ70" s="170"/>
      <c r="DK70" s="170"/>
      <c r="DL70" s="170"/>
      <c r="DM70" s="170"/>
      <c r="DN70" s="170"/>
      <c r="DO70" s="170"/>
      <c r="DP70" s="170"/>
      <c r="DQ70" s="170"/>
      <c r="DR70" s="170"/>
      <c r="DS70" s="170"/>
      <c r="DT70" s="170"/>
      <c r="DU70" s="170"/>
      <c r="DV70" s="170"/>
      <c r="DW70" s="170"/>
      <c r="DX70" s="170"/>
      <c r="DY70" s="170"/>
      <c r="DZ70" s="170"/>
      <c r="EA70" s="170"/>
      <c r="EB70" s="170"/>
      <c r="EC70" s="170"/>
      <c r="ED70" s="170"/>
      <c r="EE70" s="170"/>
      <c r="EF70" s="170"/>
      <c r="EG70" s="170"/>
      <c r="EH70" s="170"/>
      <c r="EI70" s="170"/>
      <c r="EJ70" s="170"/>
      <c r="EK70" s="170"/>
      <c r="EL70" s="170"/>
      <c r="EM70" s="170"/>
      <c r="EN70" s="170"/>
      <c r="EO70" s="170"/>
      <c r="EP70" s="170"/>
    </row>
    <row r="71" ht="15.75" customHeight="1">
      <c r="A71" s="170"/>
      <c r="B71" s="170"/>
      <c r="C71" s="170"/>
      <c r="D71" s="170"/>
      <c r="E71" s="170"/>
      <c r="F71" s="170"/>
      <c r="G71" s="170"/>
      <c r="H71" s="170"/>
      <c r="I71" s="170"/>
      <c r="J71" s="170"/>
      <c r="K71" s="170"/>
      <c r="L71" s="170"/>
      <c r="M71" s="170"/>
      <c r="N71" s="170"/>
      <c r="O71" s="170"/>
      <c r="P71" s="170"/>
      <c r="Q71" s="170"/>
      <c r="R71" s="170"/>
      <c r="S71" s="170"/>
      <c r="T71" s="170"/>
      <c r="U71" s="170"/>
      <c r="V71" s="170"/>
      <c r="W71" s="170"/>
      <c r="X71" s="170"/>
      <c r="Y71" s="170"/>
      <c r="Z71" s="170"/>
      <c r="AA71" s="170"/>
      <c r="AB71" s="170"/>
      <c r="AC71" s="170"/>
      <c r="AD71" s="170"/>
      <c r="AE71" s="170"/>
      <c r="AF71" s="170"/>
      <c r="AG71" s="170"/>
      <c r="AH71" s="170"/>
      <c r="AI71" s="170"/>
      <c r="AJ71" s="170"/>
      <c r="AK71" s="170"/>
      <c r="AL71" s="170"/>
      <c r="AM71" s="170"/>
      <c r="AN71" s="170"/>
      <c r="AO71" s="170"/>
      <c r="AP71" s="170"/>
      <c r="AQ71" s="170"/>
      <c r="AR71" s="170"/>
      <c r="AS71" s="170"/>
      <c r="AT71" s="170"/>
      <c r="AU71" s="170"/>
      <c r="AV71" s="170"/>
      <c r="AW71" s="170"/>
      <c r="AX71" s="170"/>
      <c r="AY71" s="170"/>
      <c r="AZ71" s="170"/>
      <c r="BA71" s="170"/>
      <c r="BB71" s="170"/>
      <c r="BC71" s="170"/>
      <c r="BD71" s="170"/>
      <c r="BE71" s="170"/>
      <c r="BF71" s="170"/>
      <c r="BG71" s="170"/>
      <c r="BH71" s="170"/>
      <c r="BI71" s="170"/>
      <c r="BJ71" s="170"/>
      <c r="BK71" s="170"/>
      <c r="BL71" s="170"/>
      <c r="BM71" s="170"/>
      <c r="BN71" s="170"/>
      <c r="BO71" s="170"/>
      <c r="BP71" s="170"/>
      <c r="BQ71" s="170"/>
      <c r="BR71" s="170"/>
      <c r="BS71" s="170"/>
      <c r="BT71" s="170"/>
      <c r="BU71" s="170"/>
      <c r="BV71" s="170"/>
      <c r="BW71" s="170"/>
      <c r="BX71" s="170"/>
      <c r="BY71" s="170"/>
      <c r="BZ71" s="170"/>
      <c r="CA71" s="170"/>
      <c r="CB71" s="170"/>
      <c r="CC71" s="170"/>
      <c r="CD71" s="170"/>
      <c r="CE71" s="170"/>
      <c r="CF71" s="170"/>
      <c r="CG71" s="170"/>
      <c r="CH71" s="170"/>
      <c r="CI71" s="170"/>
      <c r="CJ71" s="170"/>
      <c r="CK71" s="170"/>
      <c r="CL71" s="170"/>
      <c r="CM71" s="170"/>
      <c r="CN71" s="170"/>
      <c r="CO71" s="170"/>
      <c r="CP71" s="170"/>
      <c r="CQ71" s="170"/>
      <c r="CR71" s="170"/>
      <c r="CS71" s="170"/>
      <c r="CT71" s="170"/>
      <c r="CU71" s="170"/>
      <c r="CV71" s="170"/>
      <c r="CW71" s="170"/>
      <c r="CX71" s="170"/>
      <c r="CY71" s="170"/>
      <c r="CZ71" s="170"/>
      <c r="DA71" s="170"/>
      <c r="DB71" s="170"/>
      <c r="DC71" s="170"/>
      <c r="DD71" s="170"/>
      <c r="DE71" s="170"/>
      <c r="DF71" s="170"/>
      <c r="DG71" s="170"/>
      <c r="DH71" s="170"/>
      <c r="DI71" s="170"/>
      <c r="DJ71" s="170"/>
      <c r="DK71" s="170"/>
      <c r="DL71" s="170"/>
      <c r="DM71" s="170"/>
      <c r="DN71" s="170"/>
      <c r="DO71" s="170"/>
      <c r="DP71" s="170"/>
      <c r="DQ71" s="170"/>
      <c r="DR71" s="170"/>
      <c r="DS71" s="170"/>
      <c r="DT71" s="170"/>
      <c r="DU71" s="170"/>
      <c r="DV71" s="170"/>
      <c r="DW71" s="170"/>
      <c r="DX71" s="170"/>
      <c r="DY71" s="170"/>
      <c r="DZ71" s="170"/>
      <c r="EA71" s="170"/>
      <c r="EB71" s="170"/>
      <c r="EC71" s="170"/>
      <c r="ED71" s="170"/>
      <c r="EE71" s="170"/>
      <c r="EF71" s="170"/>
      <c r="EG71" s="170"/>
      <c r="EH71" s="170"/>
      <c r="EI71" s="170"/>
      <c r="EJ71" s="170"/>
      <c r="EK71" s="170"/>
      <c r="EL71" s="170"/>
      <c r="EM71" s="170"/>
      <c r="EN71" s="170"/>
      <c r="EO71" s="170"/>
      <c r="EP71" s="170"/>
    </row>
    <row r="72" ht="15.75" customHeight="1">
      <c r="A72" s="170"/>
      <c r="B72" s="170"/>
      <c r="C72" s="170"/>
      <c r="D72" s="170"/>
      <c r="E72" s="170"/>
      <c r="F72" s="170"/>
      <c r="G72" s="170"/>
      <c r="H72" s="170"/>
      <c r="I72" s="170"/>
      <c r="J72" s="170"/>
      <c r="K72" s="170"/>
      <c r="L72" s="170"/>
      <c r="M72" s="170"/>
      <c r="N72" s="170"/>
      <c r="O72" s="170"/>
      <c r="P72" s="170"/>
      <c r="Q72" s="170"/>
      <c r="R72" s="170"/>
      <c r="S72" s="170"/>
      <c r="T72" s="170"/>
      <c r="U72" s="170"/>
      <c r="V72" s="170"/>
      <c r="W72" s="170"/>
      <c r="X72" s="170"/>
      <c r="Y72" s="170"/>
      <c r="Z72" s="170"/>
      <c r="AA72" s="170"/>
      <c r="AB72" s="170"/>
      <c r="AC72" s="170"/>
      <c r="AD72" s="170"/>
      <c r="AE72" s="170"/>
      <c r="AF72" s="170"/>
      <c r="AG72" s="170"/>
      <c r="AH72" s="170"/>
      <c r="AI72" s="170"/>
      <c r="AJ72" s="170"/>
      <c r="AK72" s="170"/>
      <c r="AL72" s="170"/>
      <c r="AM72" s="170"/>
      <c r="AN72" s="170"/>
      <c r="AO72" s="170"/>
      <c r="AP72" s="170"/>
      <c r="AQ72" s="170"/>
      <c r="AR72" s="170"/>
      <c r="AS72" s="170"/>
      <c r="AT72" s="170"/>
      <c r="AU72" s="170"/>
      <c r="AV72" s="170"/>
      <c r="AW72" s="170"/>
      <c r="AX72" s="170"/>
      <c r="AY72" s="170"/>
      <c r="AZ72" s="170"/>
      <c r="BA72" s="170"/>
      <c r="BB72" s="170"/>
      <c r="BC72" s="170"/>
      <c r="BD72" s="170"/>
      <c r="BE72" s="170"/>
      <c r="BF72" s="170"/>
      <c r="BG72" s="170"/>
      <c r="BH72" s="170"/>
      <c r="BI72" s="170"/>
      <c r="BJ72" s="170"/>
      <c r="BK72" s="170"/>
      <c r="BL72" s="170"/>
      <c r="BM72" s="170"/>
      <c r="BN72" s="170"/>
      <c r="BO72" s="170"/>
      <c r="BP72" s="170"/>
      <c r="BQ72" s="170"/>
      <c r="BR72" s="170"/>
      <c r="BS72" s="170"/>
      <c r="BT72" s="170"/>
      <c r="BU72" s="170"/>
      <c r="BV72" s="170"/>
      <c r="BW72" s="170"/>
      <c r="BX72" s="170"/>
      <c r="BY72" s="170"/>
      <c r="BZ72" s="170"/>
      <c r="CA72" s="170"/>
      <c r="CB72" s="170"/>
      <c r="CC72" s="170"/>
      <c r="CD72" s="170"/>
      <c r="CE72" s="170"/>
      <c r="CF72" s="170"/>
      <c r="CG72" s="170"/>
      <c r="CH72" s="170"/>
      <c r="CI72" s="170"/>
      <c r="CJ72" s="170"/>
      <c r="CK72" s="170"/>
      <c r="CL72" s="170"/>
      <c r="CM72" s="170"/>
      <c r="CN72" s="170"/>
      <c r="CO72" s="170"/>
      <c r="CP72" s="170"/>
      <c r="CQ72" s="170"/>
      <c r="CR72" s="170"/>
      <c r="CS72" s="170"/>
      <c r="CT72" s="170"/>
      <c r="CU72" s="170"/>
      <c r="CV72" s="170"/>
      <c r="CW72" s="170"/>
      <c r="CX72" s="170"/>
      <c r="CY72" s="170"/>
      <c r="CZ72" s="170"/>
      <c r="DA72" s="170"/>
      <c r="DB72" s="170"/>
      <c r="DC72" s="170"/>
      <c r="DD72" s="170"/>
      <c r="DE72" s="170"/>
      <c r="DF72" s="170"/>
      <c r="DG72" s="170"/>
      <c r="DH72" s="170"/>
      <c r="DI72" s="170"/>
      <c r="DJ72" s="170"/>
      <c r="DK72" s="170"/>
      <c r="DL72" s="170"/>
      <c r="DM72" s="170"/>
      <c r="DN72" s="170"/>
      <c r="DO72" s="170"/>
      <c r="DP72" s="170"/>
      <c r="DQ72" s="170"/>
      <c r="DR72" s="170"/>
      <c r="DS72" s="170"/>
      <c r="DT72" s="170"/>
      <c r="DU72" s="170"/>
      <c r="DV72" s="170"/>
      <c r="DW72" s="170"/>
      <c r="DX72" s="170"/>
      <c r="DY72" s="170"/>
      <c r="DZ72" s="170"/>
      <c r="EA72" s="170"/>
      <c r="EB72" s="170"/>
      <c r="EC72" s="170"/>
      <c r="ED72" s="170"/>
      <c r="EE72" s="170"/>
      <c r="EF72" s="170"/>
      <c r="EG72" s="170"/>
      <c r="EH72" s="170"/>
      <c r="EI72" s="170"/>
      <c r="EJ72" s="170"/>
      <c r="EK72" s="170"/>
      <c r="EL72" s="170"/>
      <c r="EM72" s="170"/>
      <c r="EN72" s="170"/>
      <c r="EO72" s="170"/>
      <c r="EP72" s="170"/>
    </row>
    <row r="73" ht="15.75" customHeight="1">
      <c r="A73" s="170"/>
      <c r="B73" s="170"/>
      <c r="C73" s="170"/>
      <c r="D73" s="170"/>
      <c r="E73" s="170"/>
      <c r="F73" s="170"/>
      <c r="G73" s="170"/>
      <c r="H73" s="170"/>
      <c r="I73" s="170"/>
      <c r="J73" s="170"/>
      <c r="K73" s="170"/>
      <c r="L73" s="170"/>
      <c r="M73" s="170"/>
      <c r="N73" s="170"/>
      <c r="O73" s="170"/>
      <c r="P73" s="170"/>
      <c r="Q73" s="170"/>
      <c r="R73" s="170"/>
      <c r="S73" s="170"/>
      <c r="T73" s="170"/>
      <c r="U73" s="170"/>
      <c r="V73" s="170"/>
      <c r="W73" s="170"/>
      <c r="X73" s="170"/>
      <c r="Y73" s="170"/>
      <c r="Z73" s="170"/>
      <c r="AA73" s="170"/>
      <c r="AB73" s="170"/>
      <c r="AC73" s="170"/>
      <c r="AD73" s="170"/>
      <c r="AE73" s="170"/>
      <c r="AF73" s="170"/>
      <c r="AG73" s="170"/>
      <c r="AH73" s="170"/>
      <c r="AI73" s="170"/>
      <c r="AJ73" s="170"/>
      <c r="AK73" s="170"/>
      <c r="AL73" s="170"/>
      <c r="AM73" s="170"/>
      <c r="AN73" s="170"/>
      <c r="AO73" s="170"/>
      <c r="AP73" s="170"/>
      <c r="AQ73" s="170"/>
      <c r="AR73" s="170"/>
      <c r="AS73" s="170"/>
      <c r="AT73" s="170"/>
      <c r="AU73" s="170"/>
      <c r="AV73" s="170"/>
      <c r="AW73" s="170"/>
      <c r="AX73" s="170"/>
      <c r="AY73" s="170"/>
      <c r="AZ73" s="170"/>
      <c r="BA73" s="170"/>
      <c r="BB73" s="170"/>
      <c r="BC73" s="170"/>
      <c r="BD73" s="170"/>
      <c r="BE73" s="170"/>
      <c r="BF73" s="170"/>
      <c r="BG73" s="170"/>
      <c r="BH73" s="170"/>
      <c r="BI73" s="170"/>
      <c r="BJ73" s="170"/>
      <c r="BK73" s="170"/>
      <c r="BL73" s="170"/>
      <c r="BM73" s="170"/>
      <c r="BN73" s="170"/>
      <c r="BO73" s="170"/>
      <c r="BP73" s="170"/>
      <c r="BQ73" s="170"/>
      <c r="BR73" s="170"/>
      <c r="BS73" s="170"/>
      <c r="BT73" s="170"/>
      <c r="BU73" s="170"/>
      <c r="BV73" s="170"/>
      <c r="BW73" s="170"/>
      <c r="BX73" s="170"/>
      <c r="BY73" s="170"/>
      <c r="BZ73" s="170"/>
      <c r="CA73" s="170"/>
      <c r="CB73" s="170"/>
      <c r="CC73" s="170"/>
      <c r="CD73" s="170"/>
      <c r="CE73" s="170"/>
      <c r="CF73" s="170"/>
      <c r="CG73" s="170"/>
      <c r="CH73" s="170"/>
      <c r="CI73" s="170"/>
      <c r="CJ73" s="170"/>
      <c r="CK73" s="170"/>
      <c r="CL73" s="170"/>
      <c r="CM73" s="170"/>
      <c r="CN73" s="170"/>
      <c r="CO73" s="170"/>
      <c r="CP73" s="170"/>
      <c r="CQ73" s="170"/>
      <c r="CR73" s="170"/>
      <c r="CS73" s="170"/>
      <c r="CT73" s="170"/>
      <c r="CU73" s="170"/>
      <c r="CV73" s="170"/>
      <c r="CW73" s="170"/>
      <c r="CX73" s="170"/>
      <c r="CY73" s="170"/>
      <c r="CZ73" s="170"/>
      <c r="DA73" s="170"/>
      <c r="DB73" s="170"/>
      <c r="DC73" s="170"/>
      <c r="DD73" s="170"/>
      <c r="DE73" s="170"/>
      <c r="DF73" s="170"/>
      <c r="DG73" s="170"/>
      <c r="DH73" s="170"/>
      <c r="DI73" s="170"/>
      <c r="DJ73" s="170"/>
      <c r="DK73" s="170"/>
      <c r="DL73" s="170"/>
      <c r="DM73" s="170"/>
      <c r="DN73" s="170"/>
      <c r="DO73" s="170"/>
      <c r="DP73" s="170"/>
      <c r="DQ73" s="170"/>
      <c r="DR73" s="170"/>
      <c r="DS73" s="170"/>
      <c r="DT73" s="170"/>
      <c r="DU73" s="170"/>
      <c r="DV73" s="170"/>
      <c r="DW73" s="170"/>
      <c r="DX73" s="170"/>
      <c r="DY73" s="170"/>
      <c r="DZ73" s="170"/>
      <c r="EA73" s="170"/>
      <c r="EB73" s="170"/>
      <c r="EC73" s="170"/>
      <c r="ED73" s="170"/>
      <c r="EE73" s="170"/>
      <c r="EF73" s="170"/>
      <c r="EG73" s="170"/>
      <c r="EH73" s="170"/>
      <c r="EI73" s="170"/>
      <c r="EJ73" s="170"/>
      <c r="EK73" s="170"/>
      <c r="EL73" s="170"/>
      <c r="EM73" s="170"/>
      <c r="EN73" s="170"/>
      <c r="EO73" s="170"/>
      <c r="EP73" s="170"/>
    </row>
    <row r="74" ht="15.75" customHeight="1">
      <c r="A74" s="170"/>
      <c r="B74" s="170"/>
      <c r="C74" s="170"/>
      <c r="D74" s="170"/>
      <c r="E74" s="170"/>
      <c r="F74" s="170"/>
      <c r="G74" s="170"/>
      <c r="H74" s="170"/>
      <c r="I74" s="170"/>
      <c r="J74" s="170"/>
      <c r="K74" s="170"/>
      <c r="L74" s="170"/>
      <c r="M74" s="170"/>
      <c r="N74" s="170"/>
      <c r="O74" s="170"/>
      <c r="P74" s="170"/>
      <c r="Q74" s="170"/>
      <c r="R74" s="170"/>
      <c r="S74" s="170"/>
      <c r="T74" s="170"/>
      <c r="U74" s="170"/>
      <c r="V74" s="170"/>
      <c r="W74" s="170"/>
      <c r="X74" s="170"/>
      <c r="Y74" s="170"/>
      <c r="Z74" s="170"/>
      <c r="AA74" s="170"/>
      <c r="AB74" s="170"/>
      <c r="AC74" s="170"/>
      <c r="AD74" s="170"/>
      <c r="AE74" s="170"/>
      <c r="AF74" s="170"/>
      <c r="AG74" s="170"/>
      <c r="AH74" s="170"/>
      <c r="AI74" s="170"/>
      <c r="AJ74" s="170"/>
      <c r="AK74" s="170"/>
      <c r="AL74" s="170"/>
      <c r="AM74" s="170"/>
      <c r="AN74" s="170"/>
      <c r="AO74" s="170"/>
      <c r="AP74" s="170"/>
      <c r="AQ74" s="170"/>
      <c r="AR74" s="170"/>
      <c r="AS74" s="170"/>
      <c r="AT74" s="170"/>
      <c r="AU74" s="170"/>
      <c r="AV74" s="170"/>
      <c r="AW74" s="170"/>
      <c r="AX74" s="170"/>
      <c r="AY74" s="170"/>
      <c r="AZ74" s="170"/>
      <c r="BA74" s="170"/>
      <c r="BB74" s="170"/>
      <c r="BC74" s="170"/>
      <c r="BD74" s="170"/>
      <c r="BE74" s="170"/>
      <c r="BF74" s="170"/>
      <c r="BG74" s="170"/>
      <c r="BH74" s="170"/>
      <c r="BI74" s="170"/>
      <c r="BJ74" s="170"/>
      <c r="BK74" s="170"/>
      <c r="BL74" s="170"/>
      <c r="BM74" s="170"/>
      <c r="BN74" s="170"/>
      <c r="BO74" s="170"/>
      <c r="BP74" s="170"/>
      <c r="BQ74" s="170"/>
      <c r="BR74" s="170"/>
      <c r="BS74" s="170"/>
      <c r="BT74" s="170"/>
      <c r="BU74" s="170"/>
      <c r="BV74" s="170"/>
      <c r="BW74" s="170"/>
      <c r="BX74" s="170"/>
      <c r="BY74" s="170"/>
      <c r="BZ74" s="170"/>
      <c r="CA74" s="170"/>
      <c r="CB74" s="170"/>
      <c r="CC74" s="170"/>
      <c r="CD74" s="170"/>
      <c r="CE74" s="170"/>
      <c r="CF74" s="170"/>
      <c r="CG74" s="170"/>
      <c r="CH74" s="170"/>
      <c r="CI74" s="170"/>
      <c r="CJ74" s="170"/>
      <c r="CK74" s="170"/>
      <c r="CL74" s="170"/>
      <c r="CM74" s="170"/>
      <c r="CN74" s="170"/>
      <c r="CO74" s="170"/>
      <c r="CP74" s="170"/>
      <c r="CQ74" s="170"/>
      <c r="CR74" s="170"/>
      <c r="CS74" s="170"/>
      <c r="CT74" s="170"/>
      <c r="CU74" s="170"/>
      <c r="CV74" s="170"/>
      <c r="CW74" s="170"/>
      <c r="CX74" s="170"/>
      <c r="CY74" s="170"/>
      <c r="CZ74" s="170"/>
      <c r="DA74" s="170"/>
      <c r="DB74" s="170"/>
      <c r="DC74" s="170"/>
      <c r="DD74" s="170"/>
      <c r="DE74" s="170"/>
      <c r="DF74" s="170"/>
      <c r="DG74" s="170"/>
      <c r="DH74" s="170"/>
      <c r="DI74" s="170"/>
      <c r="DJ74" s="170"/>
      <c r="DK74" s="170"/>
      <c r="DL74" s="170"/>
      <c r="DM74" s="170"/>
      <c r="DN74" s="170"/>
      <c r="DO74" s="170"/>
      <c r="DP74" s="170"/>
      <c r="DQ74" s="170"/>
      <c r="DR74" s="170"/>
      <c r="DS74" s="170"/>
      <c r="DT74" s="170"/>
      <c r="DU74" s="170"/>
      <c r="DV74" s="170"/>
      <c r="DW74" s="170"/>
      <c r="DX74" s="170"/>
      <c r="DY74" s="170"/>
      <c r="DZ74" s="170"/>
      <c r="EA74" s="170"/>
      <c r="EB74" s="170"/>
      <c r="EC74" s="170"/>
      <c r="ED74" s="170"/>
      <c r="EE74" s="170"/>
      <c r="EF74" s="170"/>
      <c r="EG74" s="170"/>
      <c r="EH74" s="170"/>
      <c r="EI74" s="170"/>
      <c r="EJ74" s="170"/>
      <c r="EK74" s="170"/>
      <c r="EL74" s="170"/>
      <c r="EM74" s="170"/>
      <c r="EN74" s="170"/>
      <c r="EO74" s="170"/>
      <c r="EP74" s="170"/>
    </row>
    <row r="75" ht="15.75" customHeight="1">
      <c r="A75" s="170"/>
      <c r="B75" s="170"/>
      <c r="C75" s="170"/>
      <c r="D75" s="170"/>
      <c r="E75" s="170"/>
      <c r="F75" s="170"/>
      <c r="G75" s="170"/>
      <c r="H75" s="170"/>
      <c r="I75" s="170"/>
      <c r="J75" s="170"/>
      <c r="K75" s="170"/>
      <c r="L75" s="170"/>
      <c r="M75" s="170"/>
      <c r="N75" s="170"/>
      <c r="O75" s="170"/>
      <c r="P75" s="170"/>
      <c r="Q75" s="170"/>
      <c r="R75" s="170"/>
      <c r="S75" s="170"/>
      <c r="T75" s="170"/>
      <c r="U75" s="170"/>
      <c r="V75" s="170"/>
      <c r="W75" s="170"/>
      <c r="X75" s="170"/>
      <c r="Y75" s="170"/>
      <c r="Z75" s="170"/>
      <c r="AA75" s="170"/>
      <c r="AB75" s="170"/>
      <c r="AC75" s="170"/>
      <c r="AD75" s="170"/>
      <c r="AE75" s="170"/>
      <c r="AF75" s="170"/>
      <c r="AG75" s="170"/>
      <c r="AH75" s="170"/>
      <c r="AI75" s="170"/>
      <c r="AJ75" s="170"/>
      <c r="AK75" s="170"/>
      <c r="AL75" s="170"/>
      <c r="AM75" s="170"/>
      <c r="AN75" s="170"/>
      <c r="AO75" s="170"/>
      <c r="AP75" s="170"/>
      <c r="AQ75" s="170"/>
      <c r="AR75" s="170"/>
      <c r="AS75" s="170"/>
      <c r="AT75" s="170"/>
      <c r="AU75" s="170"/>
      <c r="AV75" s="170"/>
      <c r="AW75" s="170"/>
      <c r="AX75" s="170"/>
      <c r="AY75" s="170"/>
      <c r="AZ75" s="170"/>
      <c r="BA75" s="170"/>
      <c r="BB75" s="170"/>
      <c r="BC75" s="170"/>
      <c r="BD75" s="170"/>
      <c r="BE75" s="170"/>
      <c r="BF75" s="170"/>
      <c r="BG75" s="170"/>
      <c r="BH75" s="170"/>
      <c r="BI75" s="170"/>
      <c r="BJ75" s="170"/>
      <c r="BK75" s="170"/>
      <c r="BL75" s="170"/>
      <c r="BM75" s="170"/>
      <c r="BN75" s="170"/>
      <c r="BO75" s="170"/>
      <c r="BP75" s="170"/>
      <c r="BQ75" s="170"/>
      <c r="BR75" s="170"/>
      <c r="BS75" s="170"/>
      <c r="BT75" s="170"/>
      <c r="BU75" s="170"/>
      <c r="BV75" s="170"/>
      <c r="BW75" s="170"/>
      <c r="BX75" s="170"/>
      <c r="BY75" s="170"/>
      <c r="BZ75" s="170"/>
      <c r="CA75" s="170"/>
      <c r="CB75" s="170"/>
      <c r="CC75" s="170"/>
      <c r="CD75" s="170"/>
      <c r="CE75" s="170"/>
      <c r="CF75" s="170"/>
      <c r="CG75" s="170"/>
      <c r="CH75" s="170"/>
      <c r="CI75" s="170"/>
      <c r="CJ75" s="170"/>
      <c r="CK75" s="170"/>
      <c r="CL75" s="170"/>
      <c r="CM75" s="170"/>
      <c r="CN75" s="170"/>
      <c r="CO75" s="170"/>
      <c r="CP75" s="170"/>
      <c r="CQ75" s="170"/>
      <c r="CR75" s="170"/>
      <c r="CS75" s="170"/>
      <c r="CT75" s="170"/>
      <c r="CU75" s="170"/>
      <c r="CV75" s="170"/>
      <c r="CW75" s="170"/>
      <c r="CX75" s="170"/>
      <c r="CY75" s="170"/>
      <c r="CZ75" s="170"/>
      <c r="DA75" s="170"/>
      <c r="DB75" s="170"/>
      <c r="DC75" s="170"/>
      <c r="DD75" s="170"/>
      <c r="DE75" s="170"/>
      <c r="DF75" s="170"/>
      <c r="DG75" s="170"/>
      <c r="DH75" s="170"/>
      <c r="DI75" s="170"/>
      <c r="DJ75" s="170"/>
      <c r="DK75" s="170"/>
      <c r="DL75" s="170"/>
      <c r="DM75" s="170"/>
      <c r="DN75" s="170"/>
      <c r="DO75" s="170"/>
      <c r="DP75" s="170"/>
      <c r="DQ75" s="170"/>
      <c r="DR75" s="170"/>
      <c r="DS75" s="170"/>
      <c r="DT75" s="170"/>
      <c r="DU75" s="170"/>
      <c r="DV75" s="170"/>
      <c r="DW75" s="170"/>
      <c r="DX75" s="170"/>
      <c r="DY75" s="170"/>
      <c r="DZ75" s="170"/>
      <c r="EA75" s="170"/>
      <c r="EB75" s="170"/>
      <c r="EC75" s="170"/>
      <c r="ED75" s="170"/>
      <c r="EE75" s="170"/>
      <c r="EF75" s="170"/>
      <c r="EG75" s="170"/>
      <c r="EH75" s="170"/>
      <c r="EI75" s="170"/>
      <c r="EJ75" s="170"/>
      <c r="EK75" s="170"/>
      <c r="EL75" s="170"/>
      <c r="EM75" s="170"/>
      <c r="EN75" s="170"/>
      <c r="EO75" s="170"/>
      <c r="EP75" s="170"/>
    </row>
    <row r="76" ht="15.75" customHeight="1">
      <c r="A76" s="170"/>
      <c r="B76" s="170"/>
      <c r="C76" s="170"/>
      <c r="D76" s="170"/>
      <c r="E76" s="170"/>
      <c r="F76" s="170"/>
      <c r="G76" s="170"/>
      <c r="H76" s="170"/>
      <c r="I76" s="170"/>
      <c r="J76" s="170"/>
      <c r="K76" s="170"/>
      <c r="L76" s="170"/>
      <c r="M76" s="170"/>
      <c r="N76" s="170"/>
      <c r="O76" s="170"/>
      <c r="P76" s="170"/>
      <c r="Q76" s="170"/>
      <c r="R76" s="170"/>
      <c r="S76" s="170"/>
      <c r="T76" s="170"/>
      <c r="U76" s="170"/>
      <c r="V76" s="170"/>
      <c r="W76" s="170"/>
      <c r="X76" s="170"/>
      <c r="Y76" s="170"/>
      <c r="Z76" s="170"/>
      <c r="AA76" s="170"/>
      <c r="AB76" s="170"/>
      <c r="AC76" s="170"/>
      <c r="AD76" s="170"/>
      <c r="AE76" s="170"/>
      <c r="AF76" s="170"/>
      <c r="AG76" s="170"/>
      <c r="AH76" s="170"/>
      <c r="AI76" s="170"/>
      <c r="AJ76" s="170"/>
      <c r="AK76" s="170"/>
      <c r="AL76" s="170"/>
      <c r="AM76" s="170"/>
      <c r="AN76" s="170"/>
      <c r="AO76" s="170"/>
      <c r="AP76" s="170"/>
      <c r="AQ76" s="170"/>
      <c r="AR76" s="170"/>
      <c r="AS76" s="170"/>
      <c r="AT76" s="170"/>
      <c r="AU76" s="170"/>
      <c r="AV76" s="170"/>
      <c r="AW76" s="170"/>
      <c r="AX76" s="170"/>
      <c r="AY76" s="170"/>
      <c r="AZ76" s="170"/>
      <c r="BA76" s="170"/>
      <c r="BB76" s="170"/>
      <c r="BC76" s="170"/>
      <c r="BD76" s="170"/>
      <c r="BE76" s="170"/>
      <c r="BF76" s="170"/>
      <c r="BG76" s="170"/>
      <c r="BH76" s="170"/>
      <c r="BI76" s="170"/>
      <c r="BJ76" s="170"/>
      <c r="BK76" s="170"/>
      <c r="BL76" s="170"/>
      <c r="BM76" s="170"/>
      <c r="BN76" s="170"/>
      <c r="BO76" s="170"/>
      <c r="BP76" s="170"/>
      <c r="BQ76" s="170"/>
      <c r="BR76" s="170"/>
      <c r="BS76" s="170"/>
      <c r="BT76" s="170"/>
      <c r="BU76" s="170"/>
      <c r="BV76" s="170"/>
      <c r="BW76" s="170"/>
      <c r="BX76" s="170"/>
      <c r="BY76" s="170"/>
      <c r="BZ76" s="170"/>
      <c r="CA76" s="170"/>
      <c r="CB76" s="170"/>
      <c r="CC76" s="170"/>
      <c r="CD76" s="170"/>
      <c r="CE76" s="170"/>
      <c r="CF76" s="170"/>
      <c r="CG76" s="170"/>
      <c r="CH76" s="170"/>
      <c r="CI76" s="170"/>
      <c r="CJ76" s="170"/>
      <c r="CK76" s="170"/>
      <c r="CL76" s="170"/>
      <c r="CM76" s="170"/>
      <c r="CN76" s="170"/>
      <c r="CO76" s="170"/>
      <c r="CP76" s="170"/>
      <c r="CQ76" s="170"/>
      <c r="CR76" s="170"/>
      <c r="CS76" s="170"/>
      <c r="CT76" s="170"/>
      <c r="CU76" s="170"/>
      <c r="CV76" s="170"/>
      <c r="CW76" s="170"/>
      <c r="CX76" s="170"/>
      <c r="CY76" s="170"/>
      <c r="CZ76" s="170"/>
      <c r="DA76" s="170"/>
      <c r="DB76" s="170"/>
      <c r="DC76" s="170"/>
      <c r="DD76" s="170"/>
      <c r="DE76" s="170"/>
      <c r="DF76" s="170"/>
      <c r="DG76" s="170"/>
      <c r="DH76" s="170"/>
      <c r="DI76" s="170"/>
      <c r="DJ76" s="170"/>
      <c r="DK76" s="170"/>
      <c r="DL76" s="170"/>
      <c r="DM76" s="170"/>
      <c r="DN76" s="170"/>
      <c r="DO76" s="170"/>
      <c r="DP76" s="170"/>
      <c r="DQ76" s="170"/>
      <c r="DR76" s="170"/>
      <c r="DS76" s="170"/>
      <c r="DT76" s="170"/>
      <c r="DU76" s="170"/>
      <c r="DV76" s="170"/>
      <c r="DW76" s="170"/>
      <c r="DX76" s="170"/>
      <c r="DY76" s="170"/>
      <c r="DZ76" s="170"/>
      <c r="EA76" s="170"/>
      <c r="EB76" s="170"/>
      <c r="EC76" s="170"/>
      <c r="ED76" s="170"/>
      <c r="EE76" s="170"/>
      <c r="EF76" s="170"/>
      <c r="EG76" s="170"/>
      <c r="EH76" s="170"/>
      <c r="EI76" s="170"/>
      <c r="EJ76" s="170"/>
      <c r="EK76" s="170"/>
      <c r="EL76" s="170"/>
      <c r="EM76" s="170"/>
      <c r="EN76" s="170"/>
      <c r="EO76" s="170"/>
      <c r="EP76" s="170"/>
    </row>
    <row r="77" ht="15.75" customHeight="1">
      <c r="A77" s="170"/>
      <c r="B77" s="170"/>
      <c r="C77" s="170"/>
      <c r="D77" s="170"/>
      <c r="E77" s="170"/>
      <c r="F77" s="170"/>
      <c r="G77" s="170"/>
      <c r="H77" s="170"/>
      <c r="I77" s="170"/>
      <c r="J77" s="170"/>
      <c r="K77" s="170"/>
      <c r="L77" s="170"/>
      <c r="M77" s="170"/>
      <c r="N77" s="170"/>
      <c r="O77" s="170"/>
      <c r="P77" s="170"/>
      <c r="Q77" s="170"/>
      <c r="R77" s="170"/>
      <c r="S77" s="170"/>
      <c r="T77" s="170"/>
      <c r="U77" s="170"/>
      <c r="V77" s="170"/>
      <c r="W77" s="170"/>
      <c r="X77" s="170"/>
      <c r="Y77" s="170"/>
      <c r="Z77" s="170"/>
      <c r="AA77" s="170"/>
      <c r="AB77" s="170"/>
      <c r="AC77" s="170"/>
      <c r="AD77" s="170"/>
      <c r="AE77" s="170"/>
      <c r="AF77" s="170"/>
      <c r="AG77" s="170"/>
      <c r="AH77" s="170"/>
      <c r="AI77" s="170"/>
      <c r="AJ77" s="170"/>
      <c r="AK77" s="170"/>
      <c r="AL77" s="170"/>
      <c r="AM77" s="170"/>
      <c r="AN77" s="170"/>
      <c r="AO77" s="170"/>
      <c r="AP77" s="170"/>
      <c r="AQ77" s="170"/>
      <c r="AR77" s="170"/>
      <c r="AS77" s="170"/>
      <c r="AT77" s="170"/>
      <c r="AU77" s="170"/>
      <c r="AV77" s="170"/>
      <c r="AW77" s="170"/>
      <c r="AX77" s="170"/>
      <c r="AY77" s="170"/>
      <c r="AZ77" s="170"/>
      <c r="BA77" s="170"/>
      <c r="BB77" s="170"/>
      <c r="BC77" s="170"/>
      <c r="BD77" s="170"/>
      <c r="BE77" s="170"/>
      <c r="BF77" s="170"/>
      <c r="BG77" s="170"/>
      <c r="BH77" s="170"/>
      <c r="BI77" s="170"/>
      <c r="BJ77" s="170"/>
      <c r="BK77" s="170"/>
      <c r="BL77" s="170"/>
      <c r="BM77" s="170"/>
      <c r="BN77" s="170"/>
      <c r="BO77" s="170"/>
      <c r="BP77" s="170"/>
      <c r="BQ77" s="170"/>
      <c r="BR77" s="170"/>
      <c r="BS77" s="170"/>
      <c r="BT77" s="170"/>
      <c r="BU77" s="170"/>
      <c r="BV77" s="170"/>
      <c r="BW77" s="170"/>
      <c r="BX77" s="170"/>
      <c r="BY77" s="170"/>
      <c r="BZ77" s="170"/>
      <c r="CA77" s="170"/>
      <c r="CB77" s="170"/>
      <c r="CC77" s="170"/>
      <c r="CD77" s="170"/>
      <c r="CE77" s="170"/>
      <c r="CF77" s="170"/>
      <c r="CG77" s="170"/>
      <c r="CH77" s="170"/>
      <c r="CI77" s="170"/>
      <c r="CJ77" s="170"/>
      <c r="CK77" s="170"/>
      <c r="CL77" s="170"/>
      <c r="CM77" s="170"/>
      <c r="CN77" s="170"/>
      <c r="CO77" s="170"/>
      <c r="CP77" s="170"/>
      <c r="CQ77" s="170"/>
      <c r="CR77" s="170"/>
      <c r="CS77" s="170"/>
      <c r="CT77" s="170"/>
      <c r="CU77" s="170"/>
      <c r="CV77" s="170"/>
      <c r="CW77" s="170"/>
      <c r="CX77" s="170"/>
      <c r="CY77" s="170"/>
      <c r="CZ77" s="170"/>
      <c r="DA77" s="170"/>
      <c r="DB77" s="170"/>
      <c r="DC77" s="170"/>
      <c r="DD77" s="170"/>
      <c r="DE77" s="170"/>
      <c r="DF77" s="170"/>
      <c r="DG77" s="170"/>
      <c r="DH77" s="170"/>
      <c r="DI77" s="170"/>
      <c r="DJ77" s="170"/>
      <c r="DK77" s="170"/>
      <c r="DL77" s="170"/>
      <c r="DM77" s="170"/>
      <c r="DN77" s="170"/>
      <c r="DO77" s="170"/>
      <c r="DP77" s="170"/>
      <c r="DQ77" s="170"/>
      <c r="DR77" s="170"/>
      <c r="DS77" s="170"/>
      <c r="DT77" s="170"/>
      <c r="DU77" s="170"/>
      <c r="DV77" s="170"/>
      <c r="DW77" s="170"/>
      <c r="DX77" s="170"/>
      <c r="DY77" s="170"/>
      <c r="DZ77" s="170"/>
      <c r="EA77" s="170"/>
      <c r="EB77" s="170"/>
      <c r="EC77" s="170"/>
      <c r="ED77" s="170"/>
      <c r="EE77" s="170"/>
      <c r="EF77" s="170"/>
      <c r="EG77" s="170"/>
      <c r="EH77" s="170"/>
      <c r="EI77" s="170"/>
      <c r="EJ77" s="170"/>
      <c r="EK77" s="170"/>
      <c r="EL77" s="170"/>
      <c r="EM77" s="170"/>
      <c r="EN77" s="170"/>
      <c r="EO77" s="170"/>
      <c r="EP77" s="170"/>
    </row>
    <row r="78" ht="15.75" customHeight="1">
      <c r="A78" s="170"/>
      <c r="B78" s="170"/>
      <c r="C78" s="170"/>
      <c r="D78" s="170"/>
      <c r="E78" s="170"/>
      <c r="F78" s="170"/>
      <c r="G78" s="170"/>
      <c r="H78" s="170"/>
      <c r="I78" s="170"/>
      <c r="J78" s="170"/>
      <c r="K78" s="170"/>
      <c r="L78" s="170"/>
      <c r="M78" s="170"/>
      <c r="N78" s="170"/>
      <c r="O78" s="170"/>
      <c r="P78" s="170"/>
      <c r="Q78" s="170"/>
      <c r="R78" s="170"/>
      <c r="S78" s="170"/>
      <c r="T78" s="170"/>
      <c r="U78" s="170"/>
      <c r="V78" s="170"/>
      <c r="W78" s="170"/>
      <c r="X78" s="170"/>
      <c r="Y78" s="170"/>
      <c r="Z78" s="170"/>
      <c r="AA78" s="170"/>
      <c r="AB78" s="170"/>
      <c r="AC78" s="170"/>
      <c r="AD78" s="170"/>
      <c r="AE78" s="170"/>
      <c r="AF78" s="170"/>
      <c r="AG78" s="170"/>
      <c r="AH78" s="170"/>
      <c r="AI78" s="170"/>
      <c r="AJ78" s="170"/>
      <c r="AK78" s="170"/>
      <c r="AL78" s="170"/>
      <c r="AM78" s="170"/>
      <c r="AN78" s="170"/>
      <c r="AO78" s="170"/>
      <c r="AP78" s="170"/>
      <c r="AQ78" s="170"/>
      <c r="AR78" s="170"/>
      <c r="AS78" s="170"/>
      <c r="AT78" s="170"/>
      <c r="AU78" s="170"/>
      <c r="AV78" s="170"/>
      <c r="AW78" s="170"/>
      <c r="AX78" s="170"/>
      <c r="AY78" s="170"/>
      <c r="AZ78" s="170"/>
      <c r="BA78" s="170"/>
      <c r="BB78" s="170"/>
      <c r="BC78" s="170"/>
      <c r="BD78" s="170"/>
      <c r="BE78" s="170"/>
      <c r="BF78" s="170"/>
      <c r="BG78" s="170"/>
      <c r="BH78" s="170"/>
      <c r="BI78" s="170"/>
      <c r="BJ78" s="170"/>
      <c r="BK78" s="170"/>
      <c r="BL78" s="170"/>
      <c r="BM78" s="170"/>
      <c r="BN78" s="170"/>
      <c r="BO78" s="170"/>
      <c r="BP78" s="170"/>
      <c r="BQ78" s="170"/>
      <c r="BR78" s="170"/>
      <c r="BS78" s="170"/>
      <c r="BT78" s="170"/>
      <c r="BU78" s="170"/>
      <c r="BV78" s="170"/>
      <c r="BW78" s="170"/>
      <c r="BX78" s="170"/>
      <c r="BY78" s="170"/>
      <c r="BZ78" s="170"/>
      <c r="CA78" s="170"/>
      <c r="CB78" s="170"/>
      <c r="CC78" s="170"/>
      <c r="CD78" s="170"/>
      <c r="CE78" s="170"/>
      <c r="CF78" s="170"/>
      <c r="CG78" s="170"/>
      <c r="CH78" s="170"/>
      <c r="CI78" s="170"/>
      <c r="CJ78" s="170"/>
      <c r="CK78" s="170"/>
      <c r="CL78" s="170"/>
      <c r="CM78" s="170"/>
      <c r="CN78" s="170"/>
      <c r="CO78" s="170"/>
      <c r="CP78" s="170"/>
      <c r="CQ78" s="170"/>
      <c r="CR78" s="170"/>
      <c r="CS78" s="170"/>
      <c r="CT78" s="170"/>
      <c r="CU78" s="170"/>
      <c r="CV78" s="170"/>
      <c r="CW78" s="170"/>
      <c r="CX78" s="170"/>
      <c r="CY78" s="170"/>
      <c r="CZ78" s="170"/>
      <c r="DA78" s="170"/>
      <c r="DB78" s="170"/>
      <c r="DC78" s="170"/>
      <c r="DD78" s="170"/>
      <c r="DE78" s="170"/>
      <c r="DF78" s="170"/>
      <c r="DG78" s="170"/>
      <c r="DH78" s="170"/>
      <c r="DI78" s="170"/>
      <c r="DJ78" s="170"/>
      <c r="DK78" s="170"/>
      <c r="DL78" s="170"/>
      <c r="DM78" s="170"/>
      <c r="DN78" s="170"/>
      <c r="DO78" s="170"/>
      <c r="DP78" s="170"/>
      <c r="DQ78" s="170"/>
      <c r="DR78" s="170"/>
      <c r="DS78" s="170"/>
      <c r="DT78" s="170"/>
      <c r="DU78" s="170"/>
      <c r="DV78" s="170"/>
      <c r="DW78" s="170"/>
      <c r="DX78" s="170"/>
      <c r="DY78" s="170"/>
      <c r="DZ78" s="170"/>
      <c r="EA78" s="170"/>
      <c r="EB78" s="170"/>
      <c r="EC78" s="170"/>
      <c r="ED78" s="170"/>
      <c r="EE78" s="170"/>
      <c r="EF78" s="170"/>
      <c r="EG78" s="170"/>
      <c r="EH78" s="170"/>
      <c r="EI78" s="170"/>
      <c r="EJ78" s="170"/>
      <c r="EK78" s="170"/>
      <c r="EL78" s="170"/>
      <c r="EM78" s="170"/>
      <c r="EN78" s="170"/>
      <c r="EO78" s="170"/>
      <c r="EP78" s="170"/>
    </row>
    <row r="79" ht="15.75" customHeight="1">
      <c r="A79" s="170"/>
      <c r="B79" s="170"/>
      <c r="C79" s="170"/>
      <c r="D79" s="170"/>
      <c r="E79" s="170"/>
      <c r="F79" s="170"/>
      <c r="G79" s="170"/>
      <c r="H79" s="170"/>
      <c r="I79" s="170"/>
      <c r="J79" s="170"/>
      <c r="K79" s="170"/>
      <c r="L79" s="170"/>
      <c r="M79" s="170"/>
      <c r="N79" s="170"/>
      <c r="O79" s="170"/>
      <c r="P79" s="170"/>
      <c r="Q79" s="170"/>
      <c r="R79" s="170"/>
      <c r="S79" s="170"/>
      <c r="T79" s="170"/>
      <c r="U79" s="170"/>
      <c r="V79" s="170"/>
      <c r="W79" s="170"/>
      <c r="X79" s="170"/>
      <c r="Y79" s="170"/>
      <c r="Z79" s="170"/>
      <c r="AA79" s="170"/>
      <c r="AB79" s="170"/>
      <c r="AC79" s="170"/>
      <c r="AD79" s="170"/>
      <c r="AE79" s="170"/>
      <c r="AF79" s="170"/>
      <c r="AG79" s="170"/>
      <c r="AH79" s="170"/>
      <c r="AI79" s="170"/>
      <c r="AJ79" s="170"/>
      <c r="AK79" s="170"/>
      <c r="AL79" s="170"/>
      <c r="AM79" s="170"/>
      <c r="AN79" s="170"/>
      <c r="AO79" s="170"/>
      <c r="AP79" s="170"/>
      <c r="AQ79" s="170"/>
      <c r="AR79" s="170"/>
      <c r="AS79" s="170"/>
      <c r="AT79" s="170"/>
      <c r="AU79" s="170"/>
      <c r="AV79" s="170"/>
      <c r="AW79" s="170"/>
      <c r="AX79" s="170"/>
      <c r="AY79" s="170"/>
      <c r="AZ79" s="170"/>
      <c r="BA79" s="170"/>
      <c r="BB79" s="170"/>
      <c r="BC79" s="170"/>
      <c r="BD79" s="170"/>
      <c r="BE79" s="170"/>
      <c r="BF79" s="170"/>
      <c r="BG79" s="170"/>
      <c r="BH79" s="170"/>
      <c r="BI79" s="170"/>
      <c r="BJ79" s="170"/>
      <c r="BK79" s="170"/>
      <c r="BL79" s="170"/>
      <c r="BM79" s="170"/>
      <c r="BN79" s="170"/>
      <c r="BO79" s="170"/>
      <c r="BP79" s="170"/>
      <c r="BQ79" s="170"/>
      <c r="BR79" s="170"/>
      <c r="BS79" s="170"/>
      <c r="BT79" s="170"/>
      <c r="BU79" s="170"/>
      <c r="BV79" s="170"/>
      <c r="BW79" s="170"/>
      <c r="BX79" s="170"/>
      <c r="BY79" s="170"/>
      <c r="BZ79" s="170"/>
      <c r="CA79" s="170"/>
      <c r="CB79" s="170"/>
      <c r="CC79" s="170"/>
      <c r="CD79" s="170"/>
      <c r="CE79" s="170"/>
      <c r="CF79" s="170"/>
      <c r="CG79" s="170"/>
      <c r="CH79" s="170"/>
      <c r="CI79" s="170"/>
      <c r="CJ79" s="170"/>
      <c r="CK79" s="170"/>
      <c r="CL79" s="170"/>
      <c r="CM79" s="170"/>
      <c r="CN79" s="170"/>
      <c r="CO79" s="170"/>
      <c r="CP79" s="170"/>
      <c r="CQ79" s="170"/>
      <c r="CR79" s="170"/>
      <c r="CS79" s="170"/>
      <c r="CT79" s="170"/>
      <c r="CU79" s="170"/>
      <c r="CV79" s="170"/>
      <c r="CW79" s="170"/>
      <c r="CX79" s="170"/>
      <c r="CY79" s="170"/>
      <c r="CZ79" s="170"/>
      <c r="DA79" s="170"/>
      <c r="DB79" s="170"/>
      <c r="DC79" s="170"/>
      <c r="DD79" s="170"/>
      <c r="DE79" s="170"/>
      <c r="DF79" s="170"/>
      <c r="DG79" s="170"/>
      <c r="DH79" s="170"/>
      <c r="DI79" s="170"/>
      <c r="DJ79" s="170"/>
      <c r="DK79" s="170"/>
      <c r="DL79" s="170"/>
      <c r="DM79" s="170"/>
      <c r="DN79" s="170"/>
      <c r="DO79" s="170"/>
      <c r="DP79" s="170"/>
      <c r="DQ79" s="170"/>
      <c r="DR79" s="170"/>
      <c r="DS79" s="170"/>
      <c r="DT79" s="170"/>
      <c r="DU79" s="170"/>
      <c r="DV79" s="170"/>
      <c r="DW79" s="170"/>
      <c r="DX79" s="170"/>
      <c r="DY79" s="170"/>
      <c r="DZ79" s="170"/>
      <c r="EA79" s="170"/>
      <c r="EB79" s="170"/>
      <c r="EC79" s="170"/>
      <c r="ED79" s="170"/>
      <c r="EE79" s="170"/>
      <c r="EF79" s="170"/>
      <c r="EG79" s="170"/>
      <c r="EH79" s="170"/>
      <c r="EI79" s="170"/>
      <c r="EJ79" s="170"/>
      <c r="EK79" s="170"/>
      <c r="EL79" s="170"/>
      <c r="EM79" s="170"/>
      <c r="EN79" s="170"/>
      <c r="EO79" s="170"/>
      <c r="EP79" s="170"/>
    </row>
    <row r="80" ht="15.75" customHeight="1">
      <c r="A80" s="170"/>
      <c r="B80" s="170"/>
      <c r="C80" s="170"/>
      <c r="D80" s="170"/>
      <c r="E80" s="170"/>
      <c r="F80" s="170"/>
      <c r="G80" s="170"/>
      <c r="H80" s="170"/>
      <c r="I80" s="170"/>
      <c r="J80" s="170"/>
      <c r="K80" s="170"/>
      <c r="L80" s="170"/>
      <c r="M80" s="170"/>
      <c r="N80" s="170"/>
      <c r="O80" s="170"/>
      <c r="P80" s="170"/>
      <c r="Q80" s="170"/>
      <c r="R80" s="170"/>
      <c r="S80" s="170"/>
      <c r="T80" s="170"/>
      <c r="U80" s="170"/>
      <c r="V80" s="170"/>
      <c r="W80" s="170"/>
      <c r="X80" s="170"/>
      <c r="Y80" s="170"/>
      <c r="Z80" s="170"/>
      <c r="AA80" s="170"/>
      <c r="AB80" s="170"/>
      <c r="AC80" s="170"/>
      <c r="AD80" s="170"/>
      <c r="AE80" s="170"/>
      <c r="AF80" s="170"/>
      <c r="AG80" s="170"/>
      <c r="AH80" s="170"/>
      <c r="AI80" s="170"/>
      <c r="AJ80" s="170"/>
      <c r="AK80" s="170"/>
      <c r="AL80" s="170"/>
      <c r="AM80" s="170"/>
      <c r="AN80" s="170"/>
      <c r="AO80" s="170"/>
      <c r="AP80" s="170"/>
      <c r="AQ80" s="170"/>
      <c r="AR80" s="170"/>
      <c r="AS80" s="170"/>
      <c r="AT80" s="170"/>
      <c r="AU80" s="170"/>
      <c r="AV80" s="170"/>
      <c r="AW80" s="170"/>
      <c r="AX80" s="170"/>
      <c r="AY80" s="170"/>
      <c r="AZ80" s="170"/>
      <c r="BA80" s="170"/>
      <c r="BB80" s="170"/>
      <c r="BC80" s="170"/>
      <c r="BD80" s="170"/>
      <c r="BE80" s="170"/>
      <c r="BF80" s="170"/>
      <c r="BG80" s="170"/>
      <c r="BH80" s="170"/>
      <c r="BI80" s="170"/>
      <c r="BJ80" s="170"/>
      <c r="BK80" s="170"/>
      <c r="BL80" s="170"/>
      <c r="BM80" s="170"/>
      <c r="BN80" s="170"/>
      <c r="BO80" s="170"/>
      <c r="BP80" s="170"/>
      <c r="BQ80" s="170"/>
      <c r="BR80" s="170"/>
      <c r="BS80" s="170"/>
      <c r="BT80" s="170"/>
      <c r="BU80" s="170"/>
      <c r="BV80" s="170"/>
      <c r="BW80" s="170"/>
      <c r="BX80" s="170"/>
      <c r="BY80" s="170"/>
      <c r="BZ80" s="170"/>
      <c r="CA80" s="170"/>
      <c r="CB80" s="170"/>
      <c r="CC80" s="170"/>
      <c r="CD80" s="170"/>
      <c r="CE80" s="170"/>
      <c r="CF80" s="170"/>
      <c r="CG80" s="170"/>
      <c r="CH80" s="170"/>
      <c r="CI80" s="170"/>
      <c r="CJ80" s="170"/>
      <c r="CK80" s="170"/>
      <c r="CL80" s="170"/>
      <c r="CM80" s="170"/>
      <c r="CN80" s="170"/>
      <c r="CO80" s="170"/>
      <c r="CP80" s="170"/>
      <c r="CQ80" s="170"/>
      <c r="CR80" s="170"/>
      <c r="CS80" s="170"/>
      <c r="CT80" s="170"/>
      <c r="CU80" s="170"/>
      <c r="CV80" s="170"/>
      <c r="CW80" s="170"/>
      <c r="CX80" s="170"/>
      <c r="CY80" s="170"/>
      <c r="CZ80" s="170"/>
      <c r="DA80" s="170"/>
      <c r="DB80" s="170"/>
      <c r="DC80" s="170"/>
      <c r="DD80" s="170"/>
      <c r="DE80" s="170"/>
      <c r="DF80" s="170"/>
      <c r="DG80" s="170"/>
      <c r="DH80" s="170"/>
      <c r="DI80" s="170"/>
      <c r="DJ80" s="170"/>
      <c r="DK80" s="170"/>
      <c r="DL80" s="170"/>
      <c r="DM80" s="170"/>
      <c r="DN80" s="170"/>
      <c r="DO80" s="170"/>
      <c r="DP80" s="170"/>
      <c r="DQ80" s="170"/>
      <c r="DR80" s="170"/>
      <c r="DS80" s="170"/>
      <c r="DT80" s="170"/>
      <c r="DU80" s="170"/>
      <c r="DV80" s="170"/>
      <c r="DW80" s="170"/>
      <c r="DX80" s="170"/>
      <c r="DY80" s="170"/>
      <c r="DZ80" s="170"/>
      <c r="EA80" s="170"/>
      <c r="EB80" s="170"/>
      <c r="EC80" s="170"/>
      <c r="ED80" s="170"/>
      <c r="EE80" s="170"/>
      <c r="EF80" s="170"/>
      <c r="EG80" s="170"/>
      <c r="EH80" s="170"/>
      <c r="EI80" s="170"/>
      <c r="EJ80" s="170"/>
      <c r="EK80" s="170"/>
      <c r="EL80" s="170"/>
      <c r="EM80" s="170"/>
      <c r="EN80" s="170"/>
      <c r="EO80" s="170"/>
      <c r="EP80" s="170"/>
    </row>
    <row r="81" ht="15.75" customHeight="1">
      <c r="A81" s="170"/>
      <c r="B81" s="170"/>
      <c r="C81" s="170"/>
      <c r="D81" s="170"/>
      <c r="E81" s="170"/>
      <c r="F81" s="170"/>
      <c r="G81" s="170"/>
      <c r="H81" s="170"/>
      <c r="I81" s="170"/>
      <c r="J81" s="170"/>
      <c r="K81" s="170"/>
      <c r="L81" s="170"/>
      <c r="M81" s="170"/>
      <c r="N81" s="170"/>
      <c r="O81" s="170"/>
      <c r="P81" s="170"/>
      <c r="Q81" s="170"/>
      <c r="R81" s="170"/>
      <c r="S81" s="170"/>
      <c r="T81" s="170"/>
      <c r="U81" s="170"/>
      <c r="V81" s="170"/>
      <c r="W81" s="170"/>
      <c r="X81" s="170"/>
      <c r="Y81" s="170"/>
      <c r="Z81" s="170"/>
      <c r="AA81" s="170"/>
      <c r="AB81" s="170"/>
      <c r="AC81" s="170"/>
      <c r="AD81" s="170"/>
      <c r="AE81" s="170"/>
      <c r="AF81" s="170"/>
      <c r="AG81" s="170"/>
      <c r="AH81" s="170"/>
      <c r="AI81" s="170"/>
      <c r="AJ81" s="170"/>
      <c r="AK81" s="170"/>
      <c r="AL81" s="170"/>
      <c r="AM81" s="170"/>
      <c r="AN81" s="170"/>
      <c r="AO81" s="170"/>
      <c r="AP81" s="170"/>
      <c r="AQ81" s="170"/>
      <c r="AR81" s="170"/>
      <c r="AS81" s="170"/>
      <c r="AT81" s="170"/>
      <c r="AU81" s="170"/>
      <c r="AV81" s="170"/>
      <c r="AW81" s="170"/>
      <c r="AX81" s="170"/>
      <c r="AY81" s="170"/>
      <c r="AZ81" s="170"/>
      <c r="BA81" s="170"/>
      <c r="BB81" s="170"/>
      <c r="BC81" s="170"/>
      <c r="BD81" s="170"/>
      <c r="BE81" s="170"/>
      <c r="BF81" s="170"/>
      <c r="BG81" s="170"/>
      <c r="BH81" s="170"/>
      <c r="BI81" s="170"/>
      <c r="BJ81" s="170"/>
      <c r="BK81" s="170"/>
      <c r="BL81" s="170"/>
      <c r="BM81" s="170"/>
      <c r="BN81" s="170"/>
      <c r="BO81" s="170"/>
      <c r="BP81" s="170"/>
      <c r="BQ81" s="170"/>
      <c r="BR81" s="170"/>
      <c r="BS81" s="170"/>
      <c r="BT81" s="170"/>
      <c r="BU81" s="170"/>
      <c r="BV81" s="170"/>
      <c r="BW81" s="170"/>
      <c r="BX81" s="170"/>
      <c r="BY81" s="170"/>
      <c r="BZ81" s="170"/>
      <c r="CA81" s="170"/>
      <c r="CB81" s="170"/>
      <c r="CC81" s="170"/>
      <c r="CD81" s="170"/>
      <c r="CE81" s="170"/>
      <c r="CF81" s="170"/>
      <c r="CG81" s="170"/>
      <c r="CH81" s="170"/>
      <c r="CI81" s="170"/>
      <c r="CJ81" s="170"/>
      <c r="CK81" s="170"/>
      <c r="CL81" s="170"/>
      <c r="CM81" s="170"/>
      <c r="CN81" s="170"/>
      <c r="CO81" s="170"/>
      <c r="CP81" s="170"/>
      <c r="CQ81" s="170"/>
      <c r="CR81" s="170"/>
      <c r="CS81" s="170"/>
      <c r="CT81" s="170"/>
      <c r="CU81" s="170"/>
      <c r="CV81" s="170"/>
      <c r="CW81" s="170"/>
      <c r="CX81" s="170"/>
      <c r="CY81" s="170"/>
      <c r="CZ81" s="170"/>
      <c r="DA81" s="170"/>
      <c r="DB81" s="170"/>
      <c r="DC81" s="170"/>
      <c r="DD81" s="170"/>
      <c r="DE81" s="170"/>
      <c r="DF81" s="170"/>
      <c r="DG81" s="170"/>
      <c r="DH81" s="170"/>
      <c r="DI81" s="170"/>
      <c r="DJ81" s="170"/>
      <c r="DK81" s="170"/>
      <c r="DL81" s="170"/>
      <c r="DM81" s="170"/>
      <c r="DN81" s="170"/>
      <c r="DO81" s="170"/>
      <c r="DP81" s="170"/>
      <c r="DQ81" s="170"/>
      <c r="DR81" s="170"/>
      <c r="DS81" s="170"/>
      <c r="DT81" s="170"/>
      <c r="DU81" s="170"/>
      <c r="DV81" s="170"/>
      <c r="DW81" s="170"/>
      <c r="DX81" s="170"/>
      <c r="DY81" s="170"/>
      <c r="DZ81" s="170"/>
      <c r="EA81" s="170"/>
      <c r="EB81" s="170"/>
      <c r="EC81" s="170"/>
      <c r="ED81" s="170"/>
      <c r="EE81" s="170"/>
      <c r="EF81" s="170"/>
      <c r="EG81" s="170"/>
      <c r="EH81" s="170"/>
      <c r="EI81" s="170"/>
      <c r="EJ81" s="170"/>
      <c r="EK81" s="170"/>
      <c r="EL81" s="170"/>
      <c r="EM81" s="170"/>
      <c r="EN81" s="170"/>
      <c r="EO81" s="170"/>
      <c r="EP81" s="170"/>
    </row>
    <row r="82" ht="15.75" customHeight="1">
      <c r="A82" s="170"/>
      <c r="B82" s="170"/>
      <c r="C82" s="170"/>
      <c r="D82" s="170"/>
      <c r="E82" s="170"/>
      <c r="F82" s="170"/>
      <c r="G82" s="170"/>
      <c r="H82" s="170"/>
      <c r="I82" s="170"/>
      <c r="J82" s="170"/>
      <c r="K82" s="170"/>
      <c r="L82" s="170"/>
      <c r="M82" s="170"/>
      <c r="N82" s="170"/>
      <c r="O82" s="170"/>
      <c r="P82" s="170"/>
      <c r="Q82" s="170"/>
      <c r="R82" s="170"/>
      <c r="S82" s="170"/>
      <c r="T82" s="170"/>
      <c r="U82" s="170"/>
      <c r="V82" s="170"/>
      <c r="W82" s="170"/>
      <c r="X82" s="170"/>
      <c r="Y82" s="170"/>
      <c r="Z82" s="170"/>
      <c r="AA82" s="170"/>
      <c r="AB82" s="170"/>
      <c r="AC82" s="170"/>
      <c r="AD82" s="170"/>
      <c r="AE82" s="170"/>
      <c r="AF82" s="170"/>
      <c r="AG82" s="170"/>
      <c r="AH82" s="170"/>
      <c r="AI82" s="170"/>
      <c r="AJ82" s="170"/>
      <c r="AK82" s="170"/>
      <c r="AL82" s="170"/>
      <c r="AM82" s="170"/>
      <c r="AN82" s="170"/>
      <c r="AO82" s="170"/>
      <c r="AP82" s="170"/>
      <c r="AQ82" s="170"/>
      <c r="AR82" s="170"/>
      <c r="AS82" s="170"/>
      <c r="AT82" s="170"/>
      <c r="AU82" s="170"/>
      <c r="AV82" s="170"/>
      <c r="AW82" s="170"/>
      <c r="AX82" s="170"/>
      <c r="AY82" s="170"/>
      <c r="AZ82" s="170"/>
      <c r="BA82" s="170"/>
      <c r="BB82" s="170"/>
      <c r="BC82" s="170"/>
      <c r="BD82" s="170"/>
      <c r="BE82" s="170"/>
      <c r="BF82" s="170"/>
      <c r="BG82" s="170"/>
      <c r="BH82" s="170"/>
      <c r="BI82" s="170"/>
      <c r="BJ82" s="170"/>
      <c r="BK82" s="170"/>
      <c r="BL82" s="170"/>
      <c r="BM82" s="170"/>
      <c r="BN82" s="170"/>
      <c r="BO82" s="170"/>
      <c r="BP82" s="170"/>
      <c r="BQ82" s="170"/>
      <c r="BR82" s="170"/>
      <c r="BS82" s="170"/>
      <c r="BT82" s="170"/>
      <c r="BU82" s="170"/>
      <c r="BV82" s="170"/>
      <c r="BW82" s="170"/>
      <c r="BX82" s="170"/>
      <c r="BY82" s="170"/>
      <c r="BZ82" s="170"/>
      <c r="CA82" s="170"/>
      <c r="CB82" s="170"/>
      <c r="CC82" s="170"/>
      <c r="CD82" s="170"/>
      <c r="CE82" s="170"/>
      <c r="CF82" s="170"/>
      <c r="CG82" s="170"/>
      <c r="CH82" s="170"/>
      <c r="CI82" s="170"/>
      <c r="CJ82" s="170"/>
      <c r="CK82" s="170"/>
      <c r="CL82" s="170"/>
      <c r="CM82" s="170"/>
      <c r="CN82" s="170"/>
      <c r="CO82" s="170"/>
      <c r="CP82" s="170"/>
      <c r="CQ82" s="170"/>
      <c r="CR82" s="170"/>
      <c r="CS82" s="170"/>
      <c r="CT82" s="170"/>
      <c r="CU82" s="170"/>
      <c r="CV82" s="170"/>
      <c r="CW82" s="170"/>
      <c r="CX82" s="170"/>
      <c r="CY82" s="170"/>
      <c r="CZ82" s="170"/>
      <c r="DA82" s="170"/>
      <c r="DB82" s="170"/>
      <c r="DC82" s="170"/>
      <c r="DD82" s="170"/>
      <c r="DE82" s="170"/>
      <c r="DF82" s="170"/>
      <c r="DG82" s="170"/>
      <c r="DH82" s="170"/>
      <c r="DI82" s="170"/>
      <c r="DJ82" s="170"/>
      <c r="DK82" s="170"/>
      <c r="DL82" s="170"/>
      <c r="DM82" s="170"/>
      <c r="DN82" s="170"/>
      <c r="DO82" s="170"/>
      <c r="DP82" s="170"/>
      <c r="DQ82" s="170"/>
      <c r="DR82" s="170"/>
      <c r="DS82" s="170"/>
      <c r="DT82" s="170"/>
      <c r="DU82" s="170"/>
      <c r="DV82" s="170"/>
      <c r="DW82" s="170"/>
      <c r="DX82" s="170"/>
      <c r="DY82" s="170"/>
      <c r="DZ82" s="170"/>
      <c r="EA82" s="170"/>
      <c r="EB82" s="170"/>
      <c r="EC82" s="170"/>
      <c r="ED82" s="170"/>
      <c r="EE82" s="170"/>
      <c r="EF82" s="170"/>
      <c r="EG82" s="170"/>
      <c r="EH82" s="170"/>
      <c r="EI82" s="170"/>
      <c r="EJ82" s="170"/>
      <c r="EK82" s="170"/>
      <c r="EL82" s="170"/>
      <c r="EM82" s="170"/>
      <c r="EN82" s="170"/>
      <c r="EO82" s="170"/>
      <c r="EP82" s="170"/>
    </row>
    <row r="83" ht="15.75" customHeight="1">
      <c r="A83" s="170"/>
      <c r="B83" s="170"/>
      <c r="C83" s="170"/>
      <c r="D83" s="170"/>
      <c r="E83" s="170"/>
      <c r="F83" s="170"/>
      <c r="G83" s="170"/>
      <c r="H83" s="170"/>
      <c r="I83" s="170"/>
      <c r="J83" s="170"/>
      <c r="K83" s="170"/>
      <c r="L83" s="170"/>
      <c r="M83" s="170"/>
      <c r="N83" s="170"/>
      <c r="O83" s="170"/>
      <c r="P83" s="170"/>
      <c r="Q83" s="170"/>
      <c r="R83" s="170"/>
      <c r="S83" s="170"/>
      <c r="T83" s="170"/>
      <c r="U83" s="170"/>
      <c r="V83" s="170"/>
      <c r="W83" s="170"/>
      <c r="X83" s="170"/>
      <c r="Y83" s="170"/>
      <c r="Z83" s="170"/>
      <c r="AA83" s="170"/>
      <c r="AB83" s="170"/>
      <c r="AC83" s="170"/>
      <c r="AD83" s="170"/>
      <c r="AE83" s="170"/>
      <c r="AF83" s="170"/>
      <c r="AG83" s="170"/>
      <c r="AH83" s="170"/>
      <c r="AI83" s="170"/>
      <c r="AJ83" s="170"/>
      <c r="AK83" s="170"/>
      <c r="AL83" s="170"/>
      <c r="AM83" s="170"/>
      <c r="AN83" s="170"/>
      <c r="AO83" s="170"/>
      <c r="AP83" s="170"/>
      <c r="AQ83" s="170"/>
      <c r="AR83" s="170"/>
      <c r="AS83" s="170"/>
      <c r="AT83" s="170"/>
      <c r="AU83" s="170"/>
      <c r="AV83" s="170"/>
      <c r="AW83" s="170"/>
      <c r="AX83" s="170"/>
      <c r="AY83" s="170"/>
      <c r="AZ83" s="170"/>
      <c r="BA83" s="170"/>
      <c r="BB83" s="170"/>
      <c r="BC83" s="170"/>
      <c r="BD83" s="170"/>
      <c r="BE83" s="170"/>
      <c r="BF83" s="170"/>
      <c r="BG83" s="170"/>
      <c r="BH83" s="170"/>
      <c r="BI83" s="170"/>
      <c r="BJ83" s="170"/>
      <c r="BK83" s="170"/>
      <c r="BL83" s="170"/>
      <c r="BM83" s="170"/>
      <c r="BN83" s="170"/>
      <c r="BO83" s="170"/>
      <c r="BP83" s="170"/>
      <c r="BQ83" s="170"/>
      <c r="BR83" s="170"/>
      <c r="BS83" s="170"/>
      <c r="BT83" s="170"/>
      <c r="BU83" s="170"/>
      <c r="BV83" s="170"/>
      <c r="BW83" s="170"/>
      <c r="BX83" s="170"/>
      <c r="BY83" s="170"/>
      <c r="BZ83" s="170"/>
      <c r="CA83" s="170"/>
      <c r="CB83" s="170"/>
      <c r="CC83" s="170"/>
      <c r="CD83" s="170"/>
      <c r="CE83" s="170"/>
      <c r="CF83" s="170"/>
      <c r="CG83" s="170"/>
      <c r="CH83" s="170"/>
      <c r="CI83" s="170"/>
      <c r="CJ83" s="170"/>
      <c r="CK83" s="170"/>
      <c r="CL83" s="170"/>
      <c r="CM83" s="170"/>
      <c r="CN83" s="170"/>
      <c r="CO83" s="170"/>
      <c r="CP83" s="170"/>
      <c r="CQ83" s="170"/>
      <c r="CR83" s="170"/>
      <c r="CS83" s="170"/>
      <c r="CT83" s="170"/>
      <c r="CU83" s="170"/>
      <c r="CV83" s="170"/>
      <c r="CW83" s="170"/>
      <c r="CX83" s="170"/>
      <c r="CY83" s="170"/>
      <c r="CZ83" s="170"/>
      <c r="DA83" s="170"/>
      <c r="DB83" s="170"/>
      <c r="DC83" s="170"/>
      <c r="DD83" s="170"/>
      <c r="DE83" s="170"/>
      <c r="DF83" s="170"/>
      <c r="DG83" s="170"/>
      <c r="DH83" s="170"/>
      <c r="DI83" s="170"/>
      <c r="DJ83" s="170"/>
      <c r="DK83" s="170"/>
      <c r="DL83" s="170"/>
      <c r="DM83" s="170"/>
      <c r="DN83" s="170"/>
      <c r="DO83" s="170"/>
      <c r="DP83" s="170"/>
      <c r="DQ83" s="170"/>
      <c r="DR83" s="170"/>
      <c r="DS83" s="170"/>
      <c r="DT83" s="170"/>
      <c r="DU83" s="170"/>
      <c r="DV83" s="170"/>
      <c r="DW83" s="170"/>
      <c r="DX83" s="170"/>
      <c r="DY83" s="170"/>
      <c r="DZ83" s="170"/>
      <c r="EA83" s="170"/>
      <c r="EB83" s="170"/>
      <c r="EC83" s="170"/>
      <c r="ED83" s="170"/>
      <c r="EE83" s="170"/>
      <c r="EF83" s="170"/>
      <c r="EG83" s="170"/>
      <c r="EH83" s="170"/>
      <c r="EI83" s="170"/>
      <c r="EJ83" s="170"/>
      <c r="EK83" s="170"/>
      <c r="EL83" s="170"/>
      <c r="EM83" s="170"/>
      <c r="EN83" s="170"/>
      <c r="EO83" s="170"/>
      <c r="EP83" s="170"/>
    </row>
    <row r="84" ht="15.75" customHeight="1">
      <c r="A84" s="170"/>
      <c r="B84" s="170"/>
      <c r="C84" s="170"/>
      <c r="D84" s="170"/>
      <c r="E84" s="170"/>
      <c r="F84" s="170"/>
      <c r="G84" s="170"/>
      <c r="H84" s="170"/>
      <c r="I84" s="170"/>
      <c r="J84" s="170"/>
      <c r="K84" s="170"/>
      <c r="L84" s="170"/>
      <c r="M84" s="170"/>
      <c r="N84" s="170"/>
      <c r="O84" s="170"/>
      <c r="P84" s="170"/>
      <c r="Q84" s="170"/>
      <c r="R84" s="170"/>
      <c r="S84" s="170"/>
      <c r="T84" s="170"/>
      <c r="U84" s="170"/>
      <c r="V84" s="170"/>
      <c r="W84" s="170"/>
      <c r="X84" s="170"/>
      <c r="Y84" s="170"/>
      <c r="Z84" s="170"/>
      <c r="AA84" s="170"/>
      <c r="AB84" s="170"/>
      <c r="AC84" s="170"/>
      <c r="AD84" s="170"/>
      <c r="AE84" s="170"/>
      <c r="AF84" s="170"/>
      <c r="AG84" s="170"/>
      <c r="AH84" s="170"/>
      <c r="AI84" s="170"/>
      <c r="AJ84" s="170"/>
      <c r="AK84" s="170"/>
      <c r="AL84" s="170"/>
      <c r="AM84" s="170"/>
      <c r="AN84" s="170"/>
      <c r="AO84" s="170"/>
      <c r="AP84" s="170"/>
      <c r="AQ84" s="170"/>
      <c r="AR84" s="170"/>
      <c r="AS84" s="170"/>
      <c r="AT84" s="170"/>
      <c r="AU84" s="170"/>
      <c r="AV84" s="170"/>
      <c r="AW84" s="170"/>
      <c r="AX84" s="170"/>
      <c r="AY84" s="170"/>
      <c r="AZ84" s="170"/>
      <c r="BA84" s="170"/>
      <c r="BB84" s="170"/>
      <c r="BC84" s="170"/>
      <c r="BD84" s="170"/>
      <c r="BE84" s="170"/>
      <c r="BF84" s="170"/>
      <c r="BG84" s="170"/>
      <c r="BH84" s="170"/>
      <c r="BI84" s="170"/>
      <c r="BJ84" s="170"/>
      <c r="BK84" s="170"/>
      <c r="BL84" s="170"/>
      <c r="BM84" s="170"/>
      <c r="BN84" s="170"/>
      <c r="BO84" s="170"/>
      <c r="BP84" s="170"/>
      <c r="BQ84" s="170"/>
      <c r="BR84" s="170"/>
      <c r="BS84" s="170"/>
      <c r="BT84" s="170"/>
      <c r="BU84" s="170"/>
      <c r="BV84" s="170"/>
      <c r="BW84" s="170"/>
      <c r="BX84" s="170"/>
      <c r="BY84" s="170"/>
      <c r="BZ84" s="170"/>
      <c r="CA84" s="170"/>
      <c r="CB84" s="170"/>
      <c r="CC84" s="170"/>
      <c r="CD84" s="170"/>
      <c r="CE84" s="170"/>
      <c r="CF84" s="170"/>
      <c r="CG84" s="170"/>
      <c r="CH84" s="170"/>
      <c r="CI84" s="170"/>
      <c r="CJ84" s="170"/>
      <c r="CK84" s="170"/>
      <c r="CL84" s="170"/>
      <c r="CM84" s="170"/>
      <c r="CN84" s="170"/>
      <c r="CO84" s="170"/>
      <c r="CP84" s="170"/>
      <c r="CQ84" s="170"/>
      <c r="CR84" s="170"/>
      <c r="CS84" s="170"/>
      <c r="CT84" s="170"/>
      <c r="CU84" s="170"/>
      <c r="CV84" s="170"/>
      <c r="CW84" s="170"/>
      <c r="CX84" s="170"/>
      <c r="CY84" s="170"/>
      <c r="CZ84" s="170"/>
      <c r="DA84" s="170"/>
      <c r="DB84" s="170"/>
      <c r="DC84" s="170"/>
      <c r="DD84" s="170"/>
      <c r="DE84" s="170"/>
      <c r="DF84" s="170"/>
      <c r="DG84" s="170"/>
      <c r="DH84" s="170"/>
      <c r="DI84" s="170"/>
      <c r="DJ84" s="170"/>
      <c r="DK84" s="170"/>
      <c r="DL84" s="170"/>
      <c r="DM84" s="170"/>
      <c r="DN84" s="170"/>
      <c r="DO84" s="170"/>
      <c r="DP84" s="170"/>
      <c r="DQ84" s="170"/>
      <c r="DR84" s="170"/>
      <c r="DS84" s="170"/>
      <c r="DT84" s="170"/>
      <c r="DU84" s="170"/>
      <c r="DV84" s="170"/>
      <c r="DW84" s="170"/>
      <c r="DX84" s="170"/>
      <c r="DY84" s="170"/>
      <c r="DZ84" s="170"/>
      <c r="EA84" s="170"/>
      <c r="EB84" s="170"/>
      <c r="EC84" s="170"/>
      <c r="ED84" s="170"/>
      <c r="EE84" s="170"/>
      <c r="EF84" s="170"/>
      <c r="EG84" s="170"/>
      <c r="EH84" s="170"/>
      <c r="EI84" s="170"/>
      <c r="EJ84" s="170"/>
      <c r="EK84" s="170"/>
      <c r="EL84" s="170"/>
      <c r="EM84" s="170"/>
      <c r="EN84" s="170"/>
      <c r="EO84" s="170"/>
      <c r="EP84" s="170"/>
    </row>
    <row r="85" ht="15.75" customHeight="1">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70"/>
      <c r="AR85" s="170"/>
      <c r="AS85" s="170"/>
      <c r="AT85" s="170"/>
      <c r="AU85" s="170"/>
      <c r="AV85" s="170"/>
      <c r="AW85" s="170"/>
      <c r="AX85" s="170"/>
      <c r="AY85" s="170"/>
      <c r="AZ85" s="170"/>
      <c r="BA85" s="170"/>
      <c r="BB85" s="170"/>
      <c r="BC85" s="170"/>
      <c r="BD85" s="170"/>
      <c r="BE85" s="170"/>
      <c r="BF85" s="170"/>
      <c r="BG85" s="170"/>
      <c r="BH85" s="170"/>
      <c r="BI85" s="170"/>
      <c r="BJ85" s="170"/>
      <c r="BK85" s="170"/>
      <c r="BL85" s="170"/>
      <c r="BM85" s="170"/>
      <c r="BN85" s="170"/>
      <c r="BO85" s="170"/>
      <c r="BP85" s="170"/>
      <c r="BQ85" s="170"/>
      <c r="BR85" s="170"/>
      <c r="BS85" s="170"/>
      <c r="BT85" s="170"/>
      <c r="BU85" s="170"/>
      <c r="BV85" s="170"/>
      <c r="BW85" s="170"/>
      <c r="BX85" s="170"/>
      <c r="BY85" s="170"/>
      <c r="BZ85" s="170"/>
      <c r="CA85" s="170"/>
      <c r="CB85" s="170"/>
      <c r="CC85" s="170"/>
      <c r="CD85" s="170"/>
      <c r="CE85" s="170"/>
      <c r="CF85" s="170"/>
      <c r="CG85" s="170"/>
      <c r="CH85" s="170"/>
      <c r="CI85" s="170"/>
      <c r="CJ85" s="170"/>
      <c r="CK85" s="170"/>
      <c r="CL85" s="170"/>
      <c r="CM85" s="170"/>
      <c r="CN85" s="170"/>
      <c r="CO85" s="170"/>
      <c r="CP85" s="170"/>
      <c r="CQ85" s="170"/>
      <c r="CR85" s="170"/>
      <c r="CS85" s="170"/>
      <c r="CT85" s="170"/>
      <c r="CU85" s="170"/>
      <c r="CV85" s="170"/>
      <c r="CW85" s="170"/>
      <c r="CX85" s="170"/>
      <c r="CY85" s="170"/>
      <c r="CZ85" s="170"/>
      <c r="DA85" s="170"/>
      <c r="DB85" s="170"/>
      <c r="DC85" s="170"/>
      <c r="DD85" s="170"/>
      <c r="DE85" s="170"/>
      <c r="DF85" s="170"/>
      <c r="DG85" s="170"/>
      <c r="DH85" s="170"/>
      <c r="DI85" s="170"/>
      <c r="DJ85" s="170"/>
      <c r="DK85" s="170"/>
      <c r="DL85" s="170"/>
      <c r="DM85" s="170"/>
      <c r="DN85" s="170"/>
      <c r="DO85" s="170"/>
      <c r="DP85" s="170"/>
      <c r="DQ85" s="170"/>
      <c r="DR85" s="170"/>
      <c r="DS85" s="170"/>
      <c r="DT85" s="170"/>
      <c r="DU85" s="170"/>
      <c r="DV85" s="170"/>
      <c r="DW85" s="170"/>
      <c r="DX85" s="170"/>
      <c r="DY85" s="170"/>
      <c r="DZ85" s="170"/>
      <c r="EA85" s="170"/>
      <c r="EB85" s="170"/>
      <c r="EC85" s="170"/>
      <c r="ED85" s="170"/>
      <c r="EE85" s="170"/>
      <c r="EF85" s="170"/>
      <c r="EG85" s="170"/>
      <c r="EH85" s="170"/>
      <c r="EI85" s="170"/>
      <c r="EJ85" s="170"/>
      <c r="EK85" s="170"/>
      <c r="EL85" s="170"/>
      <c r="EM85" s="170"/>
      <c r="EN85" s="170"/>
      <c r="EO85" s="170"/>
      <c r="EP85" s="170"/>
    </row>
    <row r="86" ht="15.75" customHeight="1">
      <c r="A86" s="170"/>
      <c r="B86" s="170"/>
      <c r="C86" s="170"/>
      <c r="D86" s="170"/>
      <c r="E86" s="170"/>
      <c r="F86" s="170"/>
      <c r="G86" s="170"/>
      <c r="H86" s="170"/>
      <c r="I86" s="170"/>
      <c r="J86" s="170"/>
      <c r="K86" s="170"/>
      <c r="L86" s="170"/>
      <c r="M86" s="170"/>
      <c r="N86" s="170"/>
      <c r="O86" s="170"/>
      <c r="P86" s="170"/>
      <c r="Q86" s="170"/>
      <c r="R86" s="170"/>
      <c r="S86" s="170"/>
      <c r="T86" s="170"/>
      <c r="U86" s="170"/>
      <c r="V86" s="170"/>
      <c r="W86" s="170"/>
      <c r="X86" s="170"/>
      <c r="Y86" s="170"/>
      <c r="Z86" s="170"/>
      <c r="AA86" s="170"/>
      <c r="AB86" s="170"/>
      <c r="AC86" s="170"/>
      <c r="AD86" s="170"/>
      <c r="AE86" s="170"/>
      <c r="AF86" s="170"/>
      <c r="AG86" s="170"/>
      <c r="AH86" s="170"/>
      <c r="AI86" s="170"/>
      <c r="AJ86" s="170"/>
      <c r="AK86" s="170"/>
      <c r="AL86" s="170"/>
      <c r="AM86" s="170"/>
      <c r="AN86" s="170"/>
      <c r="AO86" s="170"/>
      <c r="AP86" s="170"/>
      <c r="AQ86" s="170"/>
      <c r="AR86" s="170"/>
      <c r="AS86" s="170"/>
      <c r="AT86" s="170"/>
      <c r="AU86" s="170"/>
      <c r="AV86" s="170"/>
      <c r="AW86" s="170"/>
      <c r="AX86" s="170"/>
      <c r="AY86" s="170"/>
      <c r="AZ86" s="170"/>
      <c r="BA86" s="170"/>
      <c r="BB86" s="170"/>
      <c r="BC86" s="170"/>
      <c r="BD86" s="170"/>
      <c r="BE86" s="170"/>
      <c r="BF86" s="170"/>
      <c r="BG86" s="170"/>
      <c r="BH86" s="170"/>
      <c r="BI86" s="170"/>
      <c r="BJ86" s="170"/>
      <c r="BK86" s="170"/>
      <c r="BL86" s="170"/>
      <c r="BM86" s="170"/>
      <c r="BN86" s="170"/>
      <c r="BO86" s="170"/>
      <c r="BP86" s="170"/>
      <c r="BQ86" s="170"/>
      <c r="BR86" s="170"/>
      <c r="BS86" s="170"/>
      <c r="BT86" s="170"/>
      <c r="BU86" s="170"/>
      <c r="BV86" s="170"/>
      <c r="BW86" s="170"/>
      <c r="BX86" s="170"/>
      <c r="BY86" s="170"/>
      <c r="BZ86" s="170"/>
      <c r="CA86" s="170"/>
      <c r="CB86" s="170"/>
      <c r="CC86" s="170"/>
      <c r="CD86" s="170"/>
      <c r="CE86" s="170"/>
      <c r="CF86" s="170"/>
      <c r="CG86" s="170"/>
      <c r="CH86" s="170"/>
      <c r="CI86" s="170"/>
      <c r="CJ86" s="170"/>
      <c r="CK86" s="170"/>
      <c r="CL86" s="170"/>
      <c r="CM86" s="170"/>
      <c r="CN86" s="170"/>
      <c r="CO86" s="170"/>
      <c r="CP86" s="170"/>
      <c r="CQ86" s="170"/>
      <c r="CR86" s="170"/>
      <c r="CS86" s="170"/>
      <c r="CT86" s="170"/>
      <c r="CU86" s="170"/>
      <c r="CV86" s="170"/>
      <c r="CW86" s="170"/>
      <c r="CX86" s="170"/>
      <c r="CY86" s="170"/>
      <c r="CZ86" s="170"/>
      <c r="DA86" s="170"/>
      <c r="DB86" s="170"/>
      <c r="DC86" s="170"/>
      <c r="DD86" s="170"/>
      <c r="DE86" s="170"/>
      <c r="DF86" s="170"/>
      <c r="DG86" s="170"/>
      <c r="DH86" s="170"/>
      <c r="DI86" s="170"/>
      <c r="DJ86" s="170"/>
      <c r="DK86" s="170"/>
      <c r="DL86" s="170"/>
      <c r="DM86" s="170"/>
      <c r="DN86" s="170"/>
      <c r="DO86" s="170"/>
      <c r="DP86" s="170"/>
      <c r="DQ86" s="170"/>
      <c r="DR86" s="170"/>
      <c r="DS86" s="170"/>
      <c r="DT86" s="170"/>
      <c r="DU86" s="170"/>
      <c r="DV86" s="170"/>
      <c r="DW86" s="170"/>
      <c r="DX86" s="170"/>
      <c r="DY86" s="170"/>
      <c r="DZ86" s="170"/>
      <c r="EA86" s="170"/>
      <c r="EB86" s="170"/>
      <c r="EC86" s="170"/>
      <c r="ED86" s="170"/>
      <c r="EE86" s="170"/>
      <c r="EF86" s="170"/>
      <c r="EG86" s="170"/>
      <c r="EH86" s="170"/>
      <c r="EI86" s="170"/>
      <c r="EJ86" s="170"/>
      <c r="EK86" s="170"/>
      <c r="EL86" s="170"/>
      <c r="EM86" s="170"/>
      <c r="EN86" s="170"/>
      <c r="EO86" s="170"/>
      <c r="EP86" s="170"/>
    </row>
    <row r="87" ht="15.75" customHeight="1">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0"/>
      <c r="BA87" s="170"/>
      <c r="BB87" s="170"/>
      <c r="BC87" s="170"/>
      <c r="BD87" s="170"/>
      <c r="BE87" s="170"/>
      <c r="BF87" s="170"/>
      <c r="BG87" s="170"/>
      <c r="BH87" s="170"/>
      <c r="BI87" s="170"/>
      <c r="BJ87" s="170"/>
      <c r="BK87" s="170"/>
      <c r="BL87" s="170"/>
      <c r="BM87" s="170"/>
      <c r="BN87" s="170"/>
      <c r="BO87" s="170"/>
      <c r="BP87" s="170"/>
      <c r="BQ87" s="170"/>
      <c r="BR87" s="170"/>
      <c r="BS87" s="170"/>
      <c r="BT87" s="170"/>
      <c r="BU87" s="170"/>
      <c r="BV87" s="170"/>
      <c r="BW87" s="170"/>
      <c r="BX87" s="170"/>
      <c r="BY87" s="170"/>
      <c r="BZ87" s="170"/>
      <c r="CA87" s="170"/>
      <c r="CB87" s="170"/>
      <c r="CC87" s="170"/>
      <c r="CD87" s="170"/>
      <c r="CE87" s="170"/>
      <c r="CF87" s="170"/>
      <c r="CG87" s="170"/>
      <c r="CH87" s="170"/>
      <c r="CI87" s="170"/>
      <c r="CJ87" s="170"/>
      <c r="CK87" s="170"/>
      <c r="CL87" s="170"/>
      <c r="CM87" s="170"/>
      <c r="CN87" s="170"/>
      <c r="CO87" s="170"/>
      <c r="CP87" s="170"/>
      <c r="CQ87" s="170"/>
      <c r="CR87" s="170"/>
      <c r="CS87" s="170"/>
      <c r="CT87" s="170"/>
      <c r="CU87" s="170"/>
      <c r="CV87" s="170"/>
      <c r="CW87" s="170"/>
      <c r="CX87" s="170"/>
      <c r="CY87" s="170"/>
      <c r="CZ87" s="170"/>
      <c r="DA87" s="170"/>
      <c r="DB87" s="170"/>
      <c r="DC87" s="170"/>
      <c r="DD87" s="170"/>
      <c r="DE87" s="170"/>
      <c r="DF87" s="170"/>
      <c r="DG87" s="170"/>
      <c r="DH87" s="170"/>
      <c r="DI87" s="170"/>
      <c r="DJ87" s="170"/>
      <c r="DK87" s="170"/>
      <c r="DL87" s="170"/>
      <c r="DM87" s="170"/>
      <c r="DN87" s="170"/>
      <c r="DO87" s="170"/>
      <c r="DP87" s="170"/>
      <c r="DQ87" s="170"/>
      <c r="DR87" s="170"/>
      <c r="DS87" s="170"/>
      <c r="DT87" s="170"/>
      <c r="DU87" s="170"/>
      <c r="DV87" s="170"/>
      <c r="DW87" s="170"/>
      <c r="DX87" s="170"/>
      <c r="DY87" s="170"/>
      <c r="DZ87" s="170"/>
      <c r="EA87" s="170"/>
      <c r="EB87" s="170"/>
      <c r="EC87" s="170"/>
      <c r="ED87" s="170"/>
      <c r="EE87" s="170"/>
      <c r="EF87" s="170"/>
      <c r="EG87" s="170"/>
      <c r="EH87" s="170"/>
      <c r="EI87" s="170"/>
      <c r="EJ87" s="170"/>
      <c r="EK87" s="170"/>
      <c r="EL87" s="170"/>
      <c r="EM87" s="170"/>
      <c r="EN87" s="170"/>
      <c r="EO87" s="170"/>
      <c r="EP87" s="170"/>
    </row>
    <row r="88" ht="15.75" customHeight="1">
      <c r="A88" s="170"/>
      <c r="B88" s="170"/>
      <c r="C88" s="170"/>
      <c r="D88" s="170"/>
      <c r="E88" s="170"/>
      <c r="F88" s="170"/>
      <c r="G88" s="170"/>
      <c r="H88" s="170"/>
      <c r="I88" s="170"/>
      <c r="J88" s="170"/>
      <c r="K88" s="170"/>
      <c r="L88" s="170"/>
      <c r="M88" s="170"/>
      <c r="N88" s="170"/>
      <c r="O88" s="170"/>
      <c r="P88" s="170"/>
      <c r="Q88" s="170"/>
      <c r="R88" s="170"/>
      <c r="S88" s="170"/>
      <c r="T88" s="170"/>
      <c r="U88" s="170"/>
      <c r="V88" s="170"/>
      <c r="W88" s="170"/>
      <c r="X88" s="170"/>
      <c r="Y88" s="170"/>
      <c r="Z88" s="170"/>
      <c r="AA88" s="170"/>
      <c r="AB88" s="170"/>
      <c r="AC88" s="170"/>
      <c r="AD88" s="170"/>
      <c r="AE88" s="170"/>
      <c r="AF88" s="170"/>
      <c r="AG88" s="170"/>
      <c r="AH88" s="170"/>
      <c r="AI88" s="170"/>
      <c r="AJ88" s="170"/>
      <c r="AK88" s="170"/>
      <c r="AL88" s="170"/>
      <c r="AM88" s="170"/>
      <c r="AN88" s="170"/>
      <c r="AO88" s="170"/>
      <c r="AP88" s="170"/>
      <c r="AQ88" s="170"/>
      <c r="AR88" s="170"/>
      <c r="AS88" s="170"/>
      <c r="AT88" s="170"/>
      <c r="AU88" s="170"/>
      <c r="AV88" s="170"/>
      <c r="AW88" s="170"/>
      <c r="AX88" s="170"/>
      <c r="AY88" s="170"/>
      <c r="AZ88" s="170"/>
      <c r="BA88" s="170"/>
      <c r="BB88" s="170"/>
      <c r="BC88" s="170"/>
      <c r="BD88" s="170"/>
      <c r="BE88" s="170"/>
      <c r="BF88" s="170"/>
      <c r="BG88" s="170"/>
      <c r="BH88" s="170"/>
      <c r="BI88" s="170"/>
      <c r="BJ88" s="170"/>
      <c r="BK88" s="170"/>
      <c r="BL88" s="170"/>
      <c r="BM88" s="170"/>
      <c r="BN88" s="170"/>
      <c r="BO88" s="170"/>
      <c r="BP88" s="170"/>
      <c r="BQ88" s="170"/>
      <c r="BR88" s="170"/>
      <c r="BS88" s="170"/>
      <c r="BT88" s="170"/>
      <c r="BU88" s="170"/>
      <c r="BV88" s="170"/>
      <c r="BW88" s="170"/>
      <c r="BX88" s="170"/>
      <c r="BY88" s="170"/>
      <c r="BZ88" s="170"/>
      <c r="CA88" s="170"/>
      <c r="CB88" s="170"/>
      <c r="CC88" s="170"/>
      <c r="CD88" s="170"/>
      <c r="CE88" s="170"/>
      <c r="CF88" s="170"/>
      <c r="CG88" s="170"/>
      <c r="CH88" s="170"/>
      <c r="CI88" s="170"/>
      <c r="CJ88" s="170"/>
      <c r="CK88" s="170"/>
      <c r="CL88" s="170"/>
      <c r="CM88" s="170"/>
      <c r="CN88" s="170"/>
      <c r="CO88" s="170"/>
      <c r="CP88" s="170"/>
      <c r="CQ88" s="170"/>
      <c r="CR88" s="170"/>
      <c r="CS88" s="170"/>
      <c r="CT88" s="170"/>
      <c r="CU88" s="170"/>
      <c r="CV88" s="170"/>
      <c r="CW88" s="170"/>
      <c r="CX88" s="170"/>
      <c r="CY88" s="170"/>
      <c r="CZ88" s="170"/>
      <c r="DA88" s="170"/>
      <c r="DB88" s="170"/>
      <c r="DC88" s="170"/>
      <c r="DD88" s="170"/>
      <c r="DE88" s="170"/>
      <c r="DF88" s="170"/>
      <c r="DG88" s="170"/>
      <c r="DH88" s="170"/>
      <c r="DI88" s="170"/>
      <c r="DJ88" s="170"/>
      <c r="DK88" s="170"/>
      <c r="DL88" s="170"/>
      <c r="DM88" s="170"/>
      <c r="DN88" s="170"/>
      <c r="DO88" s="170"/>
      <c r="DP88" s="170"/>
      <c r="DQ88" s="170"/>
      <c r="DR88" s="170"/>
      <c r="DS88" s="170"/>
      <c r="DT88" s="170"/>
      <c r="DU88" s="170"/>
      <c r="DV88" s="170"/>
      <c r="DW88" s="170"/>
      <c r="DX88" s="170"/>
      <c r="DY88" s="170"/>
      <c r="DZ88" s="170"/>
      <c r="EA88" s="170"/>
      <c r="EB88" s="170"/>
      <c r="EC88" s="170"/>
      <c r="ED88" s="170"/>
      <c r="EE88" s="170"/>
      <c r="EF88" s="170"/>
      <c r="EG88" s="170"/>
      <c r="EH88" s="170"/>
      <c r="EI88" s="170"/>
      <c r="EJ88" s="170"/>
      <c r="EK88" s="170"/>
      <c r="EL88" s="170"/>
      <c r="EM88" s="170"/>
      <c r="EN88" s="170"/>
      <c r="EO88" s="170"/>
      <c r="EP88" s="170"/>
    </row>
    <row r="89" ht="15.75" customHeight="1">
      <c r="A89" s="170"/>
      <c r="B89" s="170"/>
      <c r="C89" s="170"/>
      <c r="D89" s="170"/>
      <c r="E89" s="170"/>
      <c r="F89" s="170"/>
      <c r="G89" s="170"/>
      <c r="H89" s="170"/>
      <c r="I89" s="170"/>
      <c r="J89" s="170"/>
      <c r="K89" s="170"/>
      <c r="L89" s="170"/>
      <c r="M89" s="170"/>
      <c r="N89" s="170"/>
      <c r="O89" s="170"/>
      <c r="P89" s="170"/>
      <c r="Q89" s="170"/>
      <c r="R89" s="170"/>
      <c r="S89" s="170"/>
      <c r="T89" s="170"/>
      <c r="U89" s="170"/>
      <c r="V89" s="170"/>
      <c r="W89" s="170"/>
      <c r="X89" s="170"/>
      <c r="Y89" s="170"/>
      <c r="Z89" s="170"/>
      <c r="AA89" s="170"/>
      <c r="AB89" s="170"/>
      <c r="AC89" s="170"/>
      <c r="AD89" s="170"/>
      <c r="AE89" s="170"/>
      <c r="AF89" s="170"/>
      <c r="AG89" s="170"/>
      <c r="AH89" s="170"/>
      <c r="AI89" s="170"/>
      <c r="AJ89" s="170"/>
      <c r="AK89" s="170"/>
      <c r="AL89" s="170"/>
      <c r="AM89" s="170"/>
      <c r="AN89" s="170"/>
      <c r="AO89" s="170"/>
      <c r="AP89" s="170"/>
      <c r="AQ89" s="170"/>
      <c r="AR89" s="170"/>
      <c r="AS89" s="170"/>
      <c r="AT89" s="170"/>
      <c r="AU89" s="170"/>
      <c r="AV89" s="170"/>
      <c r="AW89" s="170"/>
      <c r="AX89" s="170"/>
      <c r="AY89" s="170"/>
      <c r="AZ89" s="170"/>
      <c r="BA89" s="170"/>
      <c r="BB89" s="170"/>
      <c r="BC89" s="170"/>
      <c r="BD89" s="170"/>
      <c r="BE89" s="170"/>
      <c r="BF89" s="170"/>
      <c r="BG89" s="170"/>
      <c r="BH89" s="170"/>
      <c r="BI89" s="170"/>
      <c r="BJ89" s="170"/>
      <c r="BK89" s="170"/>
      <c r="BL89" s="170"/>
      <c r="BM89" s="170"/>
      <c r="BN89" s="170"/>
      <c r="BO89" s="170"/>
      <c r="BP89" s="170"/>
      <c r="BQ89" s="170"/>
      <c r="BR89" s="170"/>
      <c r="BS89" s="170"/>
      <c r="BT89" s="170"/>
      <c r="BU89" s="170"/>
      <c r="BV89" s="170"/>
      <c r="BW89" s="170"/>
      <c r="BX89" s="170"/>
      <c r="BY89" s="170"/>
      <c r="BZ89" s="170"/>
      <c r="CA89" s="170"/>
      <c r="CB89" s="170"/>
      <c r="CC89" s="170"/>
      <c r="CD89" s="170"/>
      <c r="CE89" s="170"/>
      <c r="CF89" s="170"/>
      <c r="CG89" s="170"/>
      <c r="CH89" s="170"/>
      <c r="CI89" s="170"/>
      <c r="CJ89" s="170"/>
      <c r="CK89" s="170"/>
      <c r="CL89" s="170"/>
      <c r="CM89" s="170"/>
      <c r="CN89" s="170"/>
      <c r="CO89" s="170"/>
      <c r="CP89" s="170"/>
      <c r="CQ89" s="170"/>
      <c r="CR89" s="170"/>
      <c r="CS89" s="170"/>
      <c r="CT89" s="170"/>
      <c r="CU89" s="170"/>
      <c r="CV89" s="170"/>
      <c r="CW89" s="170"/>
      <c r="CX89" s="170"/>
      <c r="CY89" s="170"/>
      <c r="CZ89" s="170"/>
      <c r="DA89" s="170"/>
      <c r="DB89" s="170"/>
      <c r="DC89" s="170"/>
      <c r="DD89" s="170"/>
      <c r="DE89" s="170"/>
      <c r="DF89" s="170"/>
      <c r="DG89" s="170"/>
      <c r="DH89" s="170"/>
      <c r="DI89" s="170"/>
      <c r="DJ89" s="170"/>
      <c r="DK89" s="170"/>
      <c r="DL89" s="170"/>
      <c r="DM89" s="170"/>
      <c r="DN89" s="170"/>
      <c r="DO89" s="170"/>
      <c r="DP89" s="170"/>
      <c r="DQ89" s="170"/>
      <c r="DR89" s="170"/>
      <c r="DS89" s="170"/>
      <c r="DT89" s="170"/>
      <c r="DU89" s="170"/>
      <c r="DV89" s="170"/>
      <c r="DW89" s="170"/>
      <c r="DX89" s="170"/>
      <c r="DY89" s="170"/>
      <c r="DZ89" s="170"/>
      <c r="EA89" s="170"/>
      <c r="EB89" s="170"/>
      <c r="EC89" s="170"/>
      <c r="ED89" s="170"/>
      <c r="EE89" s="170"/>
      <c r="EF89" s="170"/>
      <c r="EG89" s="170"/>
      <c r="EH89" s="170"/>
      <c r="EI89" s="170"/>
      <c r="EJ89" s="170"/>
      <c r="EK89" s="170"/>
      <c r="EL89" s="170"/>
      <c r="EM89" s="170"/>
      <c r="EN89" s="170"/>
      <c r="EO89" s="170"/>
      <c r="EP89" s="170"/>
    </row>
    <row r="90" ht="15.75" customHeight="1">
      <c r="A90" s="170"/>
      <c r="B90" s="170"/>
      <c r="C90" s="170"/>
      <c r="D90" s="170"/>
      <c r="E90" s="170"/>
      <c r="F90" s="170"/>
      <c r="G90" s="170"/>
      <c r="H90" s="170"/>
      <c r="I90" s="170"/>
      <c r="J90" s="170"/>
      <c r="K90" s="170"/>
      <c r="L90" s="170"/>
      <c r="M90" s="170"/>
      <c r="N90" s="170"/>
      <c r="O90" s="170"/>
      <c r="P90" s="170"/>
      <c r="Q90" s="170"/>
      <c r="R90" s="170"/>
      <c r="S90" s="170"/>
      <c r="T90" s="170"/>
      <c r="U90" s="170"/>
      <c r="V90" s="170"/>
      <c r="W90" s="170"/>
      <c r="X90" s="170"/>
      <c r="Y90" s="170"/>
      <c r="Z90" s="170"/>
      <c r="AA90" s="170"/>
      <c r="AB90" s="170"/>
      <c r="AC90" s="170"/>
      <c r="AD90" s="170"/>
      <c r="AE90" s="170"/>
      <c r="AF90" s="170"/>
      <c r="AG90" s="170"/>
      <c r="AH90" s="170"/>
      <c r="AI90" s="170"/>
      <c r="AJ90" s="170"/>
      <c r="AK90" s="170"/>
      <c r="AL90" s="170"/>
      <c r="AM90" s="170"/>
      <c r="AN90" s="170"/>
      <c r="AO90" s="170"/>
      <c r="AP90" s="170"/>
      <c r="AQ90" s="170"/>
      <c r="AR90" s="170"/>
      <c r="AS90" s="170"/>
      <c r="AT90" s="170"/>
      <c r="AU90" s="170"/>
      <c r="AV90" s="170"/>
      <c r="AW90" s="170"/>
      <c r="AX90" s="170"/>
      <c r="AY90" s="170"/>
      <c r="AZ90" s="170"/>
      <c r="BA90" s="170"/>
      <c r="BB90" s="170"/>
      <c r="BC90" s="170"/>
      <c r="BD90" s="170"/>
      <c r="BE90" s="170"/>
      <c r="BF90" s="170"/>
      <c r="BG90" s="170"/>
      <c r="BH90" s="170"/>
      <c r="BI90" s="170"/>
      <c r="BJ90" s="170"/>
      <c r="BK90" s="170"/>
      <c r="BL90" s="170"/>
      <c r="BM90" s="170"/>
      <c r="BN90" s="170"/>
      <c r="BO90" s="170"/>
      <c r="BP90" s="170"/>
      <c r="BQ90" s="170"/>
      <c r="BR90" s="170"/>
      <c r="BS90" s="170"/>
      <c r="BT90" s="170"/>
      <c r="BU90" s="170"/>
      <c r="BV90" s="170"/>
      <c r="BW90" s="170"/>
      <c r="BX90" s="170"/>
      <c r="BY90" s="170"/>
      <c r="BZ90" s="170"/>
      <c r="CA90" s="170"/>
      <c r="CB90" s="170"/>
      <c r="CC90" s="170"/>
      <c r="CD90" s="170"/>
      <c r="CE90" s="170"/>
      <c r="CF90" s="170"/>
      <c r="CG90" s="170"/>
      <c r="CH90" s="170"/>
      <c r="CI90" s="170"/>
      <c r="CJ90" s="170"/>
      <c r="CK90" s="170"/>
      <c r="CL90" s="170"/>
      <c r="CM90" s="170"/>
      <c r="CN90" s="170"/>
      <c r="CO90" s="170"/>
      <c r="CP90" s="170"/>
      <c r="CQ90" s="170"/>
      <c r="CR90" s="170"/>
      <c r="CS90" s="170"/>
      <c r="CT90" s="170"/>
      <c r="CU90" s="170"/>
      <c r="CV90" s="170"/>
      <c r="CW90" s="170"/>
      <c r="CX90" s="170"/>
      <c r="CY90" s="170"/>
      <c r="CZ90" s="170"/>
      <c r="DA90" s="170"/>
      <c r="DB90" s="170"/>
      <c r="DC90" s="170"/>
      <c r="DD90" s="170"/>
      <c r="DE90" s="170"/>
      <c r="DF90" s="170"/>
      <c r="DG90" s="170"/>
      <c r="DH90" s="170"/>
      <c r="DI90" s="170"/>
      <c r="DJ90" s="170"/>
      <c r="DK90" s="170"/>
      <c r="DL90" s="170"/>
      <c r="DM90" s="170"/>
      <c r="DN90" s="170"/>
      <c r="DO90" s="170"/>
      <c r="DP90" s="170"/>
      <c r="DQ90" s="170"/>
      <c r="DR90" s="170"/>
      <c r="DS90" s="170"/>
      <c r="DT90" s="170"/>
      <c r="DU90" s="170"/>
      <c r="DV90" s="170"/>
      <c r="DW90" s="170"/>
      <c r="DX90" s="170"/>
      <c r="DY90" s="170"/>
      <c r="DZ90" s="170"/>
      <c r="EA90" s="170"/>
      <c r="EB90" s="170"/>
      <c r="EC90" s="170"/>
      <c r="ED90" s="170"/>
      <c r="EE90" s="170"/>
      <c r="EF90" s="170"/>
      <c r="EG90" s="170"/>
      <c r="EH90" s="170"/>
      <c r="EI90" s="170"/>
      <c r="EJ90" s="170"/>
      <c r="EK90" s="170"/>
      <c r="EL90" s="170"/>
      <c r="EM90" s="170"/>
      <c r="EN90" s="170"/>
      <c r="EO90" s="170"/>
      <c r="EP90" s="170"/>
    </row>
    <row r="91" ht="15.75" customHeight="1">
      <c r="A91" s="170"/>
      <c r="B91" s="170"/>
      <c r="C91" s="170"/>
      <c r="D91" s="170"/>
      <c r="E91" s="170"/>
      <c r="F91" s="170"/>
      <c r="G91" s="170"/>
      <c r="H91" s="170"/>
      <c r="I91" s="170"/>
      <c r="J91" s="170"/>
      <c r="K91" s="170"/>
      <c r="L91" s="170"/>
      <c r="M91" s="170"/>
      <c r="N91" s="170"/>
      <c r="O91" s="170"/>
      <c r="P91" s="170"/>
      <c r="Q91" s="170"/>
      <c r="R91" s="170"/>
      <c r="S91" s="170"/>
      <c r="T91" s="170"/>
      <c r="U91" s="170"/>
      <c r="V91" s="170"/>
      <c r="W91" s="170"/>
      <c r="X91" s="170"/>
      <c r="Y91" s="170"/>
      <c r="Z91" s="170"/>
      <c r="AA91" s="170"/>
      <c r="AB91" s="170"/>
      <c r="AC91" s="170"/>
      <c r="AD91" s="170"/>
      <c r="AE91" s="170"/>
      <c r="AF91" s="170"/>
      <c r="AG91" s="170"/>
      <c r="AH91" s="170"/>
      <c r="AI91" s="170"/>
      <c r="AJ91" s="170"/>
      <c r="AK91" s="170"/>
      <c r="AL91" s="170"/>
      <c r="AM91" s="170"/>
      <c r="AN91" s="170"/>
      <c r="AO91" s="170"/>
      <c r="AP91" s="170"/>
      <c r="AQ91" s="170"/>
      <c r="AR91" s="170"/>
      <c r="AS91" s="170"/>
      <c r="AT91" s="170"/>
      <c r="AU91" s="170"/>
      <c r="AV91" s="170"/>
      <c r="AW91" s="170"/>
      <c r="AX91" s="170"/>
      <c r="AY91" s="170"/>
      <c r="AZ91" s="170"/>
      <c r="BA91" s="170"/>
      <c r="BB91" s="170"/>
      <c r="BC91" s="170"/>
      <c r="BD91" s="170"/>
      <c r="BE91" s="170"/>
      <c r="BF91" s="170"/>
      <c r="BG91" s="170"/>
      <c r="BH91" s="170"/>
      <c r="BI91" s="170"/>
      <c r="BJ91" s="170"/>
      <c r="BK91" s="170"/>
      <c r="BL91" s="170"/>
      <c r="BM91" s="170"/>
      <c r="BN91" s="170"/>
      <c r="BO91" s="170"/>
      <c r="BP91" s="170"/>
      <c r="BQ91" s="170"/>
      <c r="BR91" s="170"/>
      <c r="BS91" s="170"/>
      <c r="BT91" s="170"/>
      <c r="BU91" s="170"/>
      <c r="BV91" s="170"/>
      <c r="BW91" s="170"/>
      <c r="BX91" s="170"/>
      <c r="BY91" s="170"/>
      <c r="BZ91" s="170"/>
      <c r="CA91" s="170"/>
      <c r="CB91" s="170"/>
      <c r="CC91" s="170"/>
      <c r="CD91" s="170"/>
      <c r="CE91" s="170"/>
      <c r="CF91" s="170"/>
      <c r="CG91" s="170"/>
      <c r="CH91" s="170"/>
      <c r="CI91" s="170"/>
      <c r="CJ91" s="170"/>
      <c r="CK91" s="170"/>
      <c r="CL91" s="170"/>
      <c r="CM91" s="170"/>
      <c r="CN91" s="170"/>
      <c r="CO91" s="170"/>
      <c r="CP91" s="170"/>
      <c r="CQ91" s="170"/>
      <c r="CR91" s="170"/>
      <c r="CS91" s="170"/>
      <c r="CT91" s="170"/>
      <c r="CU91" s="170"/>
      <c r="CV91" s="170"/>
      <c r="CW91" s="170"/>
      <c r="CX91" s="170"/>
      <c r="CY91" s="170"/>
      <c r="CZ91" s="170"/>
      <c r="DA91" s="170"/>
      <c r="DB91" s="170"/>
      <c r="DC91" s="170"/>
      <c r="DD91" s="170"/>
      <c r="DE91" s="170"/>
      <c r="DF91" s="170"/>
      <c r="DG91" s="170"/>
      <c r="DH91" s="170"/>
      <c r="DI91" s="170"/>
      <c r="DJ91" s="170"/>
      <c r="DK91" s="170"/>
      <c r="DL91" s="170"/>
      <c r="DM91" s="170"/>
      <c r="DN91" s="170"/>
      <c r="DO91" s="170"/>
      <c r="DP91" s="170"/>
      <c r="DQ91" s="170"/>
      <c r="DR91" s="170"/>
      <c r="DS91" s="170"/>
      <c r="DT91" s="170"/>
      <c r="DU91" s="170"/>
      <c r="DV91" s="170"/>
      <c r="DW91" s="170"/>
      <c r="DX91" s="170"/>
      <c r="DY91" s="170"/>
      <c r="DZ91" s="170"/>
      <c r="EA91" s="170"/>
      <c r="EB91" s="170"/>
      <c r="EC91" s="170"/>
      <c r="ED91" s="170"/>
      <c r="EE91" s="170"/>
      <c r="EF91" s="170"/>
      <c r="EG91" s="170"/>
      <c r="EH91" s="170"/>
      <c r="EI91" s="170"/>
      <c r="EJ91" s="170"/>
      <c r="EK91" s="170"/>
      <c r="EL91" s="170"/>
      <c r="EM91" s="170"/>
      <c r="EN91" s="170"/>
      <c r="EO91" s="170"/>
      <c r="EP91" s="170"/>
    </row>
    <row r="92" ht="15.75" customHeight="1">
      <c r="A92" s="170"/>
      <c r="B92" s="170"/>
      <c r="C92" s="170"/>
      <c r="D92" s="170"/>
      <c r="E92" s="170"/>
      <c r="F92" s="170"/>
      <c r="G92" s="170"/>
      <c r="H92" s="170"/>
      <c r="I92" s="170"/>
      <c r="J92" s="170"/>
      <c r="K92" s="170"/>
      <c r="L92" s="170"/>
      <c r="M92" s="170"/>
      <c r="N92" s="170"/>
      <c r="O92" s="170"/>
      <c r="P92" s="170"/>
      <c r="Q92" s="170"/>
      <c r="R92" s="170"/>
      <c r="S92" s="170"/>
      <c r="T92" s="170"/>
      <c r="U92" s="170"/>
      <c r="V92" s="170"/>
      <c r="W92" s="170"/>
      <c r="X92" s="170"/>
      <c r="Y92" s="170"/>
      <c r="Z92" s="170"/>
      <c r="AA92" s="170"/>
      <c r="AB92" s="170"/>
      <c r="AC92" s="170"/>
      <c r="AD92" s="170"/>
      <c r="AE92" s="170"/>
      <c r="AF92" s="170"/>
      <c r="AG92" s="170"/>
      <c r="AH92" s="170"/>
      <c r="AI92" s="170"/>
      <c r="AJ92" s="170"/>
      <c r="AK92" s="170"/>
      <c r="AL92" s="170"/>
      <c r="AM92" s="170"/>
      <c r="AN92" s="170"/>
      <c r="AO92" s="170"/>
      <c r="AP92" s="170"/>
      <c r="AQ92" s="170"/>
      <c r="AR92" s="170"/>
      <c r="AS92" s="170"/>
      <c r="AT92" s="170"/>
      <c r="AU92" s="170"/>
      <c r="AV92" s="170"/>
      <c r="AW92" s="170"/>
      <c r="AX92" s="170"/>
      <c r="AY92" s="170"/>
      <c r="AZ92" s="170"/>
      <c r="BA92" s="170"/>
      <c r="BB92" s="170"/>
      <c r="BC92" s="170"/>
      <c r="BD92" s="170"/>
      <c r="BE92" s="170"/>
      <c r="BF92" s="170"/>
      <c r="BG92" s="170"/>
      <c r="BH92" s="170"/>
      <c r="BI92" s="170"/>
      <c r="BJ92" s="170"/>
      <c r="BK92" s="170"/>
      <c r="BL92" s="170"/>
      <c r="BM92" s="170"/>
      <c r="BN92" s="170"/>
      <c r="BO92" s="170"/>
      <c r="BP92" s="170"/>
      <c r="BQ92" s="170"/>
      <c r="BR92" s="170"/>
      <c r="BS92" s="170"/>
      <c r="BT92" s="170"/>
      <c r="BU92" s="170"/>
      <c r="BV92" s="170"/>
      <c r="BW92" s="170"/>
      <c r="BX92" s="170"/>
      <c r="BY92" s="170"/>
      <c r="BZ92" s="170"/>
      <c r="CA92" s="170"/>
      <c r="CB92" s="170"/>
      <c r="CC92" s="170"/>
      <c r="CD92" s="170"/>
      <c r="CE92" s="170"/>
      <c r="CF92" s="170"/>
      <c r="CG92" s="170"/>
      <c r="CH92" s="170"/>
      <c r="CI92" s="170"/>
      <c r="CJ92" s="170"/>
      <c r="CK92" s="170"/>
      <c r="CL92" s="170"/>
      <c r="CM92" s="170"/>
      <c r="CN92" s="170"/>
      <c r="CO92" s="170"/>
      <c r="CP92" s="170"/>
      <c r="CQ92" s="170"/>
      <c r="CR92" s="170"/>
      <c r="CS92" s="170"/>
      <c r="CT92" s="170"/>
      <c r="CU92" s="170"/>
      <c r="CV92" s="170"/>
      <c r="CW92" s="170"/>
      <c r="CX92" s="170"/>
      <c r="CY92" s="170"/>
      <c r="CZ92" s="170"/>
      <c r="DA92" s="170"/>
      <c r="DB92" s="170"/>
      <c r="DC92" s="170"/>
      <c r="DD92" s="170"/>
      <c r="DE92" s="170"/>
      <c r="DF92" s="170"/>
      <c r="DG92" s="170"/>
      <c r="DH92" s="170"/>
      <c r="DI92" s="170"/>
      <c r="DJ92" s="170"/>
      <c r="DK92" s="170"/>
      <c r="DL92" s="170"/>
      <c r="DM92" s="170"/>
      <c r="DN92" s="170"/>
      <c r="DO92" s="170"/>
      <c r="DP92" s="170"/>
      <c r="DQ92" s="170"/>
      <c r="DR92" s="170"/>
      <c r="DS92" s="170"/>
      <c r="DT92" s="170"/>
      <c r="DU92" s="170"/>
      <c r="DV92" s="170"/>
      <c r="DW92" s="170"/>
      <c r="DX92" s="170"/>
      <c r="DY92" s="170"/>
      <c r="DZ92" s="170"/>
      <c r="EA92" s="170"/>
      <c r="EB92" s="170"/>
      <c r="EC92" s="170"/>
      <c r="ED92" s="170"/>
      <c r="EE92" s="170"/>
      <c r="EF92" s="170"/>
      <c r="EG92" s="170"/>
      <c r="EH92" s="170"/>
      <c r="EI92" s="170"/>
      <c r="EJ92" s="170"/>
      <c r="EK92" s="170"/>
      <c r="EL92" s="170"/>
      <c r="EM92" s="170"/>
      <c r="EN92" s="170"/>
      <c r="EO92" s="170"/>
      <c r="EP92" s="170"/>
    </row>
    <row r="93" ht="15.75" customHeight="1">
      <c r="A93" s="170"/>
      <c r="B93" s="170"/>
      <c r="C93" s="170"/>
      <c r="D93" s="170"/>
      <c r="E93" s="170"/>
      <c r="F93" s="170"/>
      <c r="G93" s="170"/>
      <c r="H93" s="170"/>
      <c r="I93" s="170"/>
      <c r="J93" s="170"/>
      <c r="K93" s="170"/>
      <c r="L93" s="170"/>
      <c r="M93" s="170"/>
      <c r="N93" s="170"/>
      <c r="O93" s="170"/>
      <c r="P93" s="170"/>
      <c r="Q93" s="170"/>
      <c r="R93" s="170"/>
      <c r="S93" s="170"/>
      <c r="T93" s="170"/>
      <c r="U93" s="170"/>
      <c r="V93" s="170"/>
      <c r="W93" s="170"/>
      <c r="X93" s="170"/>
      <c r="Y93" s="170"/>
      <c r="Z93" s="170"/>
      <c r="AA93" s="170"/>
      <c r="AB93" s="170"/>
      <c r="AC93" s="170"/>
      <c r="AD93" s="170"/>
      <c r="AE93" s="170"/>
      <c r="AF93" s="170"/>
      <c r="AG93" s="170"/>
      <c r="AH93" s="170"/>
      <c r="AI93" s="170"/>
      <c r="AJ93" s="170"/>
      <c r="AK93" s="170"/>
      <c r="AL93" s="170"/>
      <c r="AM93" s="170"/>
      <c r="AN93" s="170"/>
      <c r="AO93" s="170"/>
      <c r="AP93" s="170"/>
      <c r="AQ93" s="170"/>
      <c r="AR93" s="170"/>
      <c r="AS93" s="170"/>
      <c r="AT93" s="170"/>
      <c r="AU93" s="170"/>
      <c r="AV93" s="170"/>
      <c r="AW93" s="170"/>
      <c r="AX93" s="170"/>
      <c r="AY93" s="170"/>
      <c r="AZ93" s="170"/>
      <c r="BA93" s="170"/>
      <c r="BB93" s="170"/>
      <c r="BC93" s="170"/>
      <c r="BD93" s="170"/>
      <c r="BE93" s="170"/>
      <c r="BF93" s="170"/>
      <c r="BG93" s="170"/>
      <c r="BH93" s="170"/>
      <c r="BI93" s="170"/>
      <c r="BJ93" s="170"/>
      <c r="BK93" s="170"/>
      <c r="BL93" s="170"/>
      <c r="BM93" s="170"/>
      <c r="BN93" s="170"/>
      <c r="BO93" s="170"/>
      <c r="BP93" s="170"/>
      <c r="BQ93" s="170"/>
      <c r="BR93" s="170"/>
      <c r="BS93" s="170"/>
      <c r="BT93" s="170"/>
      <c r="BU93" s="170"/>
      <c r="BV93" s="170"/>
      <c r="BW93" s="170"/>
      <c r="BX93" s="170"/>
      <c r="BY93" s="170"/>
      <c r="BZ93" s="170"/>
      <c r="CA93" s="170"/>
      <c r="CB93" s="170"/>
      <c r="CC93" s="170"/>
      <c r="CD93" s="170"/>
      <c r="CE93" s="170"/>
      <c r="CF93" s="170"/>
      <c r="CG93" s="170"/>
      <c r="CH93" s="170"/>
      <c r="CI93" s="170"/>
      <c r="CJ93" s="170"/>
      <c r="CK93" s="170"/>
      <c r="CL93" s="170"/>
      <c r="CM93" s="170"/>
      <c r="CN93" s="170"/>
      <c r="CO93" s="170"/>
      <c r="CP93" s="170"/>
      <c r="CQ93" s="170"/>
      <c r="CR93" s="170"/>
      <c r="CS93" s="170"/>
      <c r="CT93" s="170"/>
      <c r="CU93" s="170"/>
      <c r="CV93" s="170"/>
      <c r="CW93" s="170"/>
      <c r="CX93" s="170"/>
      <c r="CY93" s="170"/>
      <c r="CZ93" s="170"/>
      <c r="DA93" s="170"/>
      <c r="DB93" s="170"/>
      <c r="DC93" s="170"/>
      <c r="DD93" s="170"/>
      <c r="DE93" s="170"/>
      <c r="DF93" s="170"/>
      <c r="DG93" s="170"/>
      <c r="DH93" s="170"/>
      <c r="DI93" s="170"/>
      <c r="DJ93" s="170"/>
      <c r="DK93" s="170"/>
      <c r="DL93" s="170"/>
      <c r="DM93" s="170"/>
      <c r="DN93" s="170"/>
      <c r="DO93" s="170"/>
      <c r="DP93" s="170"/>
      <c r="DQ93" s="170"/>
      <c r="DR93" s="170"/>
      <c r="DS93" s="170"/>
      <c r="DT93" s="170"/>
      <c r="DU93" s="170"/>
      <c r="DV93" s="170"/>
      <c r="DW93" s="170"/>
      <c r="DX93" s="170"/>
      <c r="DY93" s="170"/>
      <c r="DZ93" s="170"/>
      <c r="EA93" s="170"/>
      <c r="EB93" s="170"/>
      <c r="EC93" s="170"/>
      <c r="ED93" s="170"/>
      <c r="EE93" s="170"/>
      <c r="EF93" s="170"/>
      <c r="EG93" s="170"/>
      <c r="EH93" s="170"/>
      <c r="EI93" s="170"/>
      <c r="EJ93" s="170"/>
      <c r="EK93" s="170"/>
      <c r="EL93" s="170"/>
      <c r="EM93" s="170"/>
      <c r="EN93" s="170"/>
      <c r="EO93" s="170"/>
      <c r="EP93" s="170"/>
    </row>
    <row r="94" ht="15.75" customHeight="1">
      <c r="A94" s="170"/>
      <c r="B94" s="170"/>
      <c r="C94" s="170"/>
      <c r="D94" s="170"/>
      <c r="E94" s="170"/>
      <c r="F94" s="170"/>
      <c r="G94" s="170"/>
      <c r="H94" s="170"/>
      <c r="I94" s="170"/>
      <c r="J94" s="170"/>
      <c r="K94" s="170"/>
      <c r="L94" s="170"/>
      <c r="M94" s="170"/>
      <c r="N94" s="170"/>
      <c r="O94" s="170"/>
      <c r="P94" s="170"/>
      <c r="Q94" s="170"/>
      <c r="R94" s="170"/>
      <c r="S94" s="170"/>
      <c r="T94" s="170"/>
      <c r="U94" s="170"/>
      <c r="V94" s="170"/>
      <c r="W94" s="170"/>
      <c r="X94" s="170"/>
      <c r="Y94" s="170"/>
      <c r="Z94" s="170"/>
      <c r="AA94" s="170"/>
      <c r="AB94" s="170"/>
      <c r="AC94" s="170"/>
      <c r="AD94" s="170"/>
      <c r="AE94" s="170"/>
      <c r="AF94" s="170"/>
      <c r="AG94" s="170"/>
      <c r="AH94" s="170"/>
      <c r="AI94" s="170"/>
      <c r="AJ94" s="170"/>
      <c r="AK94" s="170"/>
      <c r="AL94" s="170"/>
      <c r="AM94" s="170"/>
      <c r="AN94" s="170"/>
      <c r="AO94" s="170"/>
      <c r="AP94" s="170"/>
      <c r="AQ94" s="170"/>
      <c r="AR94" s="170"/>
      <c r="AS94" s="170"/>
      <c r="AT94" s="170"/>
      <c r="AU94" s="170"/>
      <c r="AV94" s="170"/>
      <c r="AW94" s="170"/>
      <c r="AX94" s="170"/>
      <c r="AY94" s="170"/>
      <c r="AZ94" s="170"/>
      <c r="BA94" s="170"/>
      <c r="BB94" s="170"/>
      <c r="BC94" s="170"/>
      <c r="BD94" s="170"/>
      <c r="BE94" s="170"/>
      <c r="BF94" s="170"/>
      <c r="BG94" s="170"/>
      <c r="BH94" s="170"/>
      <c r="BI94" s="170"/>
      <c r="BJ94" s="170"/>
      <c r="BK94" s="170"/>
      <c r="BL94" s="170"/>
      <c r="BM94" s="170"/>
      <c r="BN94" s="170"/>
      <c r="BO94" s="170"/>
      <c r="BP94" s="170"/>
      <c r="BQ94" s="170"/>
      <c r="BR94" s="170"/>
      <c r="BS94" s="170"/>
      <c r="BT94" s="170"/>
      <c r="BU94" s="170"/>
      <c r="BV94" s="170"/>
      <c r="BW94" s="170"/>
      <c r="BX94" s="170"/>
      <c r="BY94" s="170"/>
      <c r="BZ94" s="170"/>
      <c r="CA94" s="170"/>
      <c r="CB94" s="170"/>
      <c r="CC94" s="170"/>
      <c r="CD94" s="170"/>
      <c r="CE94" s="170"/>
      <c r="CF94" s="170"/>
      <c r="CG94" s="170"/>
      <c r="CH94" s="170"/>
      <c r="CI94" s="170"/>
      <c r="CJ94" s="170"/>
      <c r="CK94" s="170"/>
      <c r="CL94" s="170"/>
      <c r="CM94" s="170"/>
      <c r="CN94" s="170"/>
      <c r="CO94" s="170"/>
      <c r="CP94" s="170"/>
      <c r="CQ94" s="170"/>
      <c r="CR94" s="170"/>
      <c r="CS94" s="170"/>
      <c r="CT94" s="170"/>
      <c r="CU94" s="170"/>
      <c r="CV94" s="170"/>
      <c r="CW94" s="170"/>
      <c r="CX94" s="170"/>
      <c r="CY94" s="170"/>
      <c r="CZ94" s="170"/>
      <c r="DA94" s="170"/>
      <c r="DB94" s="170"/>
      <c r="DC94" s="170"/>
      <c r="DD94" s="170"/>
      <c r="DE94" s="170"/>
      <c r="DF94" s="170"/>
      <c r="DG94" s="170"/>
      <c r="DH94" s="170"/>
      <c r="DI94" s="170"/>
      <c r="DJ94" s="170"/>
      <c r="DK94" s="170"/>
      <c r="DL94" s="170"/>
      <c r="DM94" s="170"/>
      <c r="DN94" s="170"/>
      <c r="DO94" s="170"/>
      <c r="DP94" s="170"/>
      <c r="DQ94" s="170"/>
      <c r="DR94" s="170"/>
      <c r="DS94" s="170"/>
      <c r="DT94" s="170"/>
      <c r="DU94" s="170"/>
      <c r="DV94" s="170"/>
      <c r="DW94" s="170"/>
      <c r="DX94" s="170"/>
      <c r="DY94" s="170"/>
      <c r="DZ94" s="170"/>
      <c r="EA94" s="170"/>
      <c r="EB94" s="170"/>
      <c r="EC94" s="170"/>
      <c r="ED94" s="170"/>
      <c r="EE94" s="170"/>
      <c r="EF94" s="170"/>
      <c r="EG94" s="170"/>
      <c r="EH94" s="170"/>
      <c r="EI94" s="170"/>
      <c r="EJ94" s="170"/>
      <c r="EK94" s="170"/>
      <c r="EL94" s="170"/>
      <c r="EM94" s="170"/>
      <c r="EN94" s="170"/>
      <c r="EO94" s="170"/>
      <c r="EP94" s="170"/>
    </row>
    <row r="95" ht="15.75" customHeight="1">
      <c r="A95" s="170"/>
      <c r="B95" s="170"/>
      <c r="C95" s="170"/>
      <c r="D95" s="170"/>
      <c r="E95" s="170"/>
      <c r="F95" s="170"/>
      <c r="G95" s="170"/>
      <c r="H95" s="170"/>
      <c r="I95" s="170"/>
      <c r="J95" s="170"/>
      <c r="K95" s="170"/>
      <c r="L95" s="170"/>
      <c r="M95" s="170"/>
      <c r="N95" s="170"/>
      <c r="O95" s="170"/>
      <c r="P95" s="170"/>
      <c r="Q95" s="170"/>
      <c r="R95" s="170"/>
      <c r="S95" s="170"/>
      <c r="T95" s="170"/>
      <c r="U95" s="170"/>
      <c r="V95" s="170"/>
      <c r="W95" s="170"/>
      <c r="X95" s="170"/>
      <c r="Y95" s="170"/>
      <c r="Z95" s="170"/>
      <c r="AA95" s="170"/>
      <c r="AB95" s="170"/>
      <c r="AC95" s="170"/>
      <c r="AD95" s="170"/>
      <c r="AE95" s="170"/>
      <c r="AF95" s="170"/>
      <c r="AG95" s="170"/>
      <c r="AH95" s="170"/>
      <c r="AI95" s="170"/>
      <c r="AJ95" s="170"/>
      <c r="AK95" s="170"/>
      <c r="AL95" s="170"/>
      <c r="AM95" s="170"/>
      <c r="AN95" s="170"/>
      <c r="AO95" s="170"/>
      <c r="AP95" s="170"/>
      <c r="AQ95" s="170"/>
      <c r="AR95" s="170"/>
      <c r="AS95" s="170"/>
      <c r="AT95" s="170"/>
      <c r="AU95" s="170"/>
      <c r="AV95" s="170"/>
      <c r="AW95" s="170"/>
      <c r="AX95" s="170"/>
      <c r="AY95" s="170"/>
      <c r="AZ95" s="170"/>
      <c r="BA95" s="170"/>
      <c r="BB95" s="170"/>
      <c r="BC95" s="170"/>
      <c r="BD95" s="170"/>
      <c r="BE95" s="170"/>
      <c r="BF95" s="170"/>
      <c r="BG95" s="170"/>
      <c r="BH95" s="170"/>
      <c r="BI95" s="170"/>
      <c r="BJ95" s="170"/>
      <c r="BK95" s="170"/>
      <c r="BL95" s="170"/>
      <c r="BM95" s="170"/>
      <c r="BN95" s="170"/>
      <c r="BO95" s="170"/>
      <c r="BP95" s="170"/>
      <c r="BQ95" s="170"/>
      <c r="BR95" s="170"/>
      <c r="BS95" s="170"/>
      <c r="BT95" s="170"/>
      <c r="BU95" s="170"/>
      <c r="BV95" s="170"/>
      <c r="BW95" s="170"/>
      <c r="BX95" s="170"/>
      <c r="BY95" s="170"/>
      <c r="BZ95" s="170"/>
      <c r="CA95" s="170"/>
      <c r="CB95" s="170"/>
      <c r="CC95" s="170"/>
      <c r="CD95" s="170"/>
      <c r="CE95" s="170"/>
      <c r="CF95" s="170"/>
      <c r="CG95" s="170"/>
      <c r="CH95" s="170"/>
      <c r="CI95" s="170"/>
      <c r="CJ95" s="170"/>
      <c r="CK95" s="170"/>
      <c r="CL95" s="170"/>
      <c r="CM95" s="170"/>
      <c r="CN95" s="170"/>
      <c r="CO95" s="170"/>
      <c r="CP95" s="170"/>
      <c r="CQ95" s="170"/>
      <c r="CR95" s="170"/>
      <c r="CS95" s="170"/>
      <c r="CT95" s="170"/>
      <c r="CU95" s="170"/>
      <c r="CV95" s="170"/>
      <c r="CW95" s="170"/>
      <c r="CX95" s="170"/>
      <c r="CY95" s="170"/>
      <c r="CZ95" s="170"/>
      <c r="DA95" s="170"/>
      <c r="DB95" s="170"/>
      <c r="DC95" s="170"/>
      <c r="DD95" s="170"/>
      <c r="DE95" s="170"/>
      <c r="DF95" s="170"/>
      <c r="DG95" s="170"/>
      <c r="DH95" s="170"/>
      <c r="DI95" s="170"/>
      <c r="DJ95" s="170"/>
      <c r="DK95" s="170"/>
      <c r="DL95" s="170"/>
      <c r="DM95" s="170"/>
      <c r="DN95" s="170"/>
      <c r="DO95" s="170"/>
      <c r="DP95" s="170"/>
      <c r="DQ95" s="170"/>
      <c r="DR95" s="170"/>
      <c r="DS95" s="170"/>
      <c r="DT95" s="170"/>
      <c r="DU95" s="170"/>
      <c r="DV95" s="170"/>
      <c r="DW95" s="170"/>
      <c r="DX95" s="170"/>
      <c r="DY95" s="170"/>
      <c r="DZ95" s="170"/>
      <c r="EA95" s="170"/>
      <c r="EB95" s="170"/>
      <c r="EC95" s="170"/>
      <c r="ED95" s="170"/>
      <c r="EE95" s="170"/>
      <c r="EF95" s="170"/>
      <c r="EG95" s="170"/>
      <c r="EH95" s="170"/>
      <c r="EI95" s="170"/>
      <c r="EJ95" s="170"/>
      <c r="EK95" s="170"/>
      <c r="EL95" s="170"/>
      <c r="EM95" s="170"/>
      <c r="EN95" s="170"/>
      <c r="EO95" s="170"/>
      <c r="EP95" s="170"/>
    </row>
    <row r="96" ht="15.75" customHeight="1">
      <c r="A96" s="170"/>
      <c r="B96" s="170"/>
      <c r="C96" s="170"/>
      <c r="D96" s="170"/>
      <c r="E96" s="170"/>
      <c r="F96" s="170"/>
      <c r="G96" s="170"/>
      <c r="H96" s="170"/>
      <c r="I96" s="170"/>
      <c r="J96" s="170"/>
      <c r="K96" s="170"/>
      <c r="L96" s="170"/>
      <c r="M96" s="170"/>
      <c r="N96" s="170"/>
      <c r="O96" s="170"/>
      <c r="P96" s="170"/>
      <c r="Q96" s="170"/>
      <c r="R96" s="170"/>
      <c r="S96" s="170"/>
      <c r="T96" s="170"/>
      <c r="U96" s="170"/>
      <c r="V96" s="170"/>
      <c r="W96" s="170"/>
      <c r="X96" s="170"/>
      <c r="Y96" s="170"/>
      <c r="Z96" s="170"/>
      <c r="AA96" s="170"/>
      <c r="AB96" s="170"/>
      <c r="AC96" s="170"/>
      <c r="AD96" s="170"/>
      <c r="AE96" s="170"/>
      <c r="AF96" s="170"/>
      <c r="AG96" s="170"/>
      <c r="AH96" s="170"/>
      <c r="AI96" s="170"/>
      <c r="AJ96" s="170"/>
      <c r="AK96" s="170"/>
      <c r="AL96" s="170"/>
      <c r="AM96" s="170"/>
      <c r="AN96" s="170"/>
      <c r="AO96" s="170"/>
      <c r="AP96" s="170"/>
      <c r="AQ96" s="170"/>
      <c r="AR96" s="170"/>
      <c r="AS96" s="170"/>
      <c r="AT96" s="170"/>
      <c r="AU96" s="170"/>
      <c r="AV96" s="170"/>
      <c r="AW96" s="170"/>
      <c r="AX96" s="170"/>
      <c r="AY96" s="170"/>
      <c r="AZ96" s="170"/>
      <c r="BA96" s="170"/>
      <c r="BB96" s="170"/>
      <c r="BC96" s="170"/>
      <c r="BD96" s="170"/>
      <c r="BE96" s="170"/>
      <c r="BF96" s="170"/>
      <c r="BG96" s="170"/>
      <c r="BH96" s="170"/>
      <c r="BI96" s="170"/>
      <c r="BJ96" s="170"/>
      <c r="BK96" s="170"/>
      <c r="BL96" s="170"/>
      <c r="BM96" s="170"/>
      <c r="BN96" s="170"/>
      <c r="BO96" s="170"/>
      <c r="BP96" s="170"/>
      <c r="BQ96" s="170"/>
      <c r="BR96" s="170"/>
      <c r="BS96" s="170"/>
      <c r="BT96" s="170"/>
      <c r="BU96" s="170"/>
      <c r="BV96" s="170"/>
      <c r="BW96" s="170"/>
      <c r="BX96" s="170"/>
      <c r="BY96" s="170"/>
      <c r="BZ96" s="170"/>
      <c r="CA96" s="170"/>
      <c r="CB96" s="170"/>
      <c r="CC96" s="170"/>
      <c r="CD96" s="170"/>
      <c r="CE96" s="170"/>
      <c r="CF96" s="170"/>
      <c r="CG96" s="170"/>
      <c r="CH96" s="170"/>
      <c r="CI96" s="170"/>
      <c r="CJ96" s="170"/>
      <c r="CK96" s="170"/>
      <c r="CL96" s="170"/>
      <c r="CM96" s="170"/>
      <c r="CN96" s="170"/>
      <c r="CO96" s="170"/>
      <c r="CP96" s="170"/>
      <c r="CQ96" s="170"/>
      <c r="CR96" s="170"/>
      <c r="CS96" s="170"/>
      <c r="CT96" s="170"/>
      <c r="CU96" s="170"/>
      <c r="CV96" s="170"/>
      <c r="CW96" s="170"/>
      <c r="CX96" s="170"/>
      <c r="CY96" s="170"/>
      <c r="CZ96" s="170"/>
      <c r="DA96" s="170"/>
      <c r="DB96" s="170"/>
      <c r="DC96" s="170"/>
      <c r="DD96" s="170"/>
      <c r="DE96" s="170"/>
      <c r="DF96" s="170"/>
      <c r="DG96" s="170"/>
      <c r="DH96" s="170"/>
      <c r="DI96" s="170"/>
      <c r="DJ96" s="170"/>
      <c r="DK96" s="170"/>
      <c r="DL96" s="170"/>
      <c r="DM96" s="170"/>
      <c r="DN96" s="170"/>
      <c r="DO96" s="170"/>
      <c r="DP96" s="170"/>
      <c r="DQ96" s="170"/>
      <c r="DR96" s="170"/>
      <c r="DS96" s="170"/>
      <c r="DT96" s="170"/>
      <c r="DU96" s="170"/>
      <c r="DV96" s="170"/>
      <c r="DW96" s="170"/>
      <c r="DX96" s="170"/>
      <c r="DY96" s="170"/>
      <c r="DZ96" s="170"/>
      <c r="EA96" s="170"/>
      <c r="EB96" s="170"/>
      <c r="EC96" s="170"/>
      <c r="ED96" s="170"/>
      <c r="EE96" s="170"/>
      <c r="EF96" s="170"/>
      <c r="EG96" s="170"/>
      <c r="EH96" s="170"/>
      <c r="EI96" s="170"/>
      <c r="EJ96" s="170"/>
      <c r="EK96" s="170"/>
      <c r="EL96" s="170"/>
      <c r="EM96" s="170"/>
      <c r="EN96" s="170"/>
      <c r="EO96" s="170"/>
      <c r="EP96" s="170"/>
    </row>
    <row r="97" ht="15.75" customHeight="1">
      <c r="A97" s="170"/>
      <c r="B97" s="170"/>
      <c r="C97" s="170"/>
      <c r="D97" s="170"/>
      <c r="E97" s="170"/>
      <c r="F97" s="170"/>
      <c r="G97" s="170"/>
      <c r="H97" s="170"/>
      <c r="I97" s="170"/>
      <c r="J97" s="170"/>
      <c r="K97" s="170"/>
      <c r="L97" s="170"/>
      <c r="M97" s="170"/>
      <c r="N97" s="170"/>
      <c r="O97" s="170"/>
      <c r="P97" s="170"/>
      <c r="Q97" s="170"/>
      <c r="R97" s="170"/>
      <c r="S97" s="170"/>
      <c r="T97" s="170"/>
      <c r="U97" s="170"/>
      <c r="V97" s="170"/>
      <c r="W97" s="170"/>
      <c r="X97" s="170"/>
      <c r="Y97" s="170"/>
      <c r="Z97" s="170"/>
      <c r="AA97" s="170"/>
      <c r="AB97" s="170"/>
      <c r="AC97" s="170"/>
      <c r="AD97" s="170"/>
      <c r="AE97" s="170"/>
      <c r="AF97" s="170"/>
      <c r="AG97" s="170"/>
      <c r="AH97" s="170"/>
      <c r="AI97" s="170"/>
      <c r="AJ97" s="170"/>
      <c r="AK97" s="170"/>
      <c r="AL97" s="170"/>
      <c r="AM97" s="170"/>
      <c r="AN97" s="170"/>
      <c r="AO97" s="170"/>
      <c r="AP97" s="170"/>
      <c r="AQ97" s="170"/>
      <c r="AR97" s="170"/>
      <c r="AS97" s="170"/>
      <c r="AT97" s="170"/>
      <c r="AU97" s="170"/>
      <c r="AV97" s="170"/>
      <c r="AW97" s="170"/>
      <c r="AX97" s="170"/>
      <c r="AY97" s="170"/>
      <c r="AZ97" s="170"/>
      <c r="BA97" s="170"/>
      <c r="BB97" s="170"/>
      <c r="BC97" s="170"/>
      <c r="BD97" s="170"/>
      <c r="BE97" s="170"/>
      <c r="BF97" s="170"/>
      <c r="BG97" s="170"/>
      <c r="BH97" s="170"/>
      <c r="BI97" s="170"/>
      <c r="BJ97" s="170"/>
      <c r="BK97" s="170"/>
      <c r="BL97" s="170"/>
      <c r="BM97" s="170"/>
      <c r="BN97" s="170"/>
      <c r="BO97" s="170"/>
      <c r="BP97" s="170"/>
      <c r="BQ97" s="170"/>
      <c r="BR97" s="170"/>
      <c r="BS97" s="170"/>
      <c r="BT97" s="170"/>
      <c r="BU97" s="170"/>
      <c r="BV97" s="170"/>
      <c r="BW97" s="170"/>
      <c r="BX97" s="170"/>
      <c r="BY97" s="170"/>
      <c r="BZ97" s="170"/>
      <c r="CA97" s="170"/>
      <c r="CB97" s="170"/>
      <c r="CC97" s="170"/>
      <c r="CD97" s="170"/>
      <c r="CE97" s="170"/>
      <c r="CF97" s="170"/>
      <c r="CG97" s="170"/>
      <c r="CH97" s="170"/>
      <c r="CI97" s="170"/>
      <c r="CJ97" s="170"/>
      <c r="CK97" s="170"/>
      <c r="CL97" s="170"/>
      <c r="CM97" s="170"/>
      <c r="CN97" s="170"/>
      <c r="CO97" s="170"/>
      <c r="CP97" s="170"/>
      <c r="CQ97" s="170"/>
      <c r="CR97" s="170"/>
      <c r="CS97" s="170"/>
      <c r="CT97" s="170"/>
      <c r="CU97" s="170"/>
      <c r="CV97" s="170"/>
      <c r="CW97" s="170"/>
      <c r="CX97" s="170"/>
      <c r="CY97" s="170"/>
      <c r="CZ97" s="170"/>
      <c r="DA97" s="170"/>
      <c r="DB97" s="170"/>
      <c r="DC97" s="170"/>
      <c r="DD97" s="170"/>
      <c r="DE97" s="170"/>
      <c r="DF97" s="170"/>
      <c r="DG97" s="170"/>
      <c r="DH97" s="170"/>
      <c r="DI97" s="170"/>
      <c r="DJ97" s="170"/>
      <c r="DK97" s="170"/>
      <c r="DL97" s="170"/>
      <c r="DM97" s="170"/>
      <c r="DN97" s="170"/>
      <c r="DO97" s="170"/>
      <c r="DP97" s="170"/>
      <c r="DQ97" s="170"/>
      <c r="DR97" s="170"/>
      <c r="DS97" s="170"/>
      <c r="DT97" s="170"/>
      <c r="DU97" s="170"/>
      <c r="DV97" s="170"/>
      <c r="DW97" s="170"/>
      <c r="DX97" s="170"/>
      <c r="DY97" s="170"/>
      <c r="DZ97" s="170"/>
      <c r="EA97" s="170"/>
      <c r="EB97" s="170"/>
      <c r="EC97" s="170"/>
      <c r="ED97" s="170"/>
      <c r="EE97" s="170"/>
      <c r="EF97" s="170"/>
      <c r="EG97" s="170"/>
      <c r="EH97" s="170"/>
      <c r="EI97" s="170"/>
      <c r="EJ97" s="170"/>
      <c r="EK97" s="170"/>
      <c r="EL97" s="170"/>
      <c r="EM97" s="170"/>
      <c r="EN97" s="170"/>
      <c r="EO97" s="170"/>
      <c r="EP97" s="170"/>
    </row>
    <row r="98" ht="15.75" customHeight="1">
      <c r="A98" s="170"/>
      <c r="B98" s="170"/>
      <c r="C98" s="170"/>
      <c r="D98" s="170"/>
      <c r="E98" s="170"/>
      <c r="F98" s="170"/>
      <c r="G98" s="170"/>
      <c r="H98" s="170"/>
      <c r="I98" s="170"/>
      <c r="J98" s="170"/>
      <c r="K98" s="170"/>
      <c r="L98" s="170"/>
      <c r="M98" s="170"/>
      <c r="N98" s="170"/>
      <c r="O98" s="170"/>
      <c r="P98" s="170"/>
      <c r="Q98" s="170"/>
      <c r="R98" s="170"/>
      <c r="S98" s="170"/>
      <c r="T98" s="170"/>
      <c r="U98" s="170"/>
      <c r="V98" s="170"/>
      <c r="W98" s="170"/>
      <c r="X98" s="170"/>
      <c r="Y98" s="170"/>
      <c r="Z98" s="170"/>
      <c r="AA98" s="170"/>
      <c r="AB98" s="170"/>
      <c r="AC98" s="170"/>
      <c r="AD98" s="170"/>
      <c r="AE98" s="170"/>
      <c r="AF98" s="170"/>
      <c r="AG98" s="170"/>
      <c r="AH98" s="170"/>
      <c r="AI98" s="170"/>
      <c r="AJ98" s="170"/>
      <c r="AK98" s="170"/>
      <c r="AL98" s="170"/>
      <c r="AM98" s="170"/>
      <c r="AN98" s="170"/>
      <c r="AO98" s="170"/>
      <c r="AP98" s="170"/>
      <c r="AQ98" s="170"/>
      <c r="AR98" s="170"/>
      <c r="AS98" s="170"/>
      <c r="AT98" s="170"/>
      <c r="AU98" s="170"/>
      <c r="AV98" s="170"/>
      <c r="AW98" s="170"/>
      <c r="AX98" s="170"/>
      <c r="AY98" s="170"/>
      <c r="AZ98" s="170"/>
      <c r="BA98" s="170"/>
      <c r="BB98" s="170"/>
      <c r="BC98" s="170"/>
      <c r="BD98" s="170"/>
      <c r="BE98" s="170"/>
      <c r="BF98" s="170"/>
      <c r="BG98" s="170"/>
      <c r="BH98" s="170"/>
      <c r="BI98" s="170"/>
      <c r="BJ98" s="170"/>
      <c r="BK98" s="170"/>
      <c r="BL98" s="170"/>
      <c r="BM98" s="170"/>
      <c r="BN98" s="170"/>
      <c r="BO98" s="170"/>
      <c r="BP98" s="170"/>
      <c r="BQ98" s="170"/>
      <c r="BR98" s="170"/>
      <c r="BS98" s="170"/>
      <c r="BT98" s="170"/>
      <c r="BU98" s="170"/>
      <c r="BV98" s="170"/>
      <c r="BW98" s="170"/>
      <c r="BX98" s="170"/>
      <c r="BY98" s="170"/>
      <c r="BZ98" s="170"/>
      <c r="CA98" s="170"/>
      <c r="CB98" s="170"/>
      <c r="CC98" s="170"/>
      <c r="CD98" s="170"/>
      <c r="CE98" s="170"/>
      <c r="CF98" s="170"/>
      <c r="CG98" s="170"/>
      <c r="CH98" s="170"/>
      <c r="CI98" s="170"/>
      <c r="CJ98" s="170"/>
      <c r="CK98" s="170"/>
      <c r="CL98" s="170"/>
      <c r="CM98" s="170"/>
      <c r="CN98" s="170"/>
      <c r="CO98" s="170"/>
      <c r="CP98" s="170"/>
      <c r="CQ98" s="170"/>
      <c r="CR98" s="170"/>
      <c r="CS98" s="170"/>
      <c r="CT98" s="170"/>
      <c r="CU98" s="170"/>
      <c r="CV98" s="170"/>
      <c r="CW98" s="170"/>
      <c r="CX98" s="170"/>
      <c r="CY98" s="170"/>
      <c r="CZ98" s="170"/>
      <c r="DA98" s="170"/>
      <c r="DB98" s="170"/>
      <c r="DC98" s="170"/>
      <c r="DD98" s="170"/>
      <c r="DE98" s="170"/>
      <c r="DF98" s="170"/>
      <c r="DG98" s="170"/>
      <c r="DH98" s="170"/>
      <c r="DI98" s="170"/>
      <c r="DJ98" s="170"/>
      <c r="DK98" s="170"/>
      <c r="DL98" s="170"/>
      <c r="DM98" s="170"/>
      <c r="DN98" s="170"/>
      <c r="DO98" s="170"/>
      <c r="DP98" s="170"/>
      <c r="DQ98" s="170"/>
      <c r="DR98" s="170"/>
      <c r="DS98" s="170"/>
      <c r="DT98" s="170"/>
      <c r="DU98" s="170"/>
      <c r="DV98" s="170"/>
      <c r="DW98" s="170"/>
      <c r="DX98" s="170"/>
      <c r="DY98" s="170"/>
      <c r="DZ98" s="170"/>
      <c r="EA98" s="170"/>
      <c r="EB98" s="170"/>
      <c r="EC98" s="170"/>
      <c r="ED98" s="170"/>
      <c r="EE98" s="170"/>
      <c r="EF98" s="170"/>
      <c r="EG98" s="170"/>
      <c r="EH98" s="170"/>
      <c r="EI98" s="170"/>
      <c r="EJ98" s="170"/>
      <c r="EK98" s="170"/>
      <c r="EL98" s="170"/>
      <c r="EM98" s="170"/>
      <c r="EN98" s="170"/>
      <c r="EO98" s="170"/>
      <c r="EP98" s="170"/>
    </row>
    <row r="99" ht="15.75" customHeight="1">
      <c r="A99" s="170"/>
      <c r="B99" s="170"/>
      <c r="C99" s="170"/>
      <c r="D99" s="170"/>
      <c r="E99" s="170"/>
      <c r="F99" s="170"/>
      <c r="G99" s="170"/>
      <c r="H99" s="170"/>
      <c r="I99" s="170"/>
      <c r="J99" s="170"/>
      <c r="K99" s="170"/>
      <c r="L99" s="170"/>
      <c r="M99" s="170"/>
      <c r="N99" s="170"/>
      <c r="O99" s="170"/>
      <c r="P99" s="170"/>
      <c r="Q99" s="170"/>
      <c r="R99" s="170"/>
      <c r="S99" s="170"/>
      <c r="T99" s="170"/>
      <c r="U99" s="170"/>
      <c r="V99" s="170"/>
      <c r="W99" s="170"/>
      <c r="X99" s="170"/>
      <c r="Y99" s="170"/>
      <c r="Z99" s="170"/>
      <c r="AA99" s="170"/>
      <c r="AB99" s="170"/>
      <c r="AC99" s="170"/>
      <c r="AD99" s="170"/>
      <c r="AE99" s="170"/>
      <c r="AF99" s="170"/>
      <c r="AG99" s="170"/>
      <c r="AH99" s="170"/>
      <c r="AI99" s="170"/>
      <c r="AJ99" s="170"/>
      <c r="AK99" s="170"/>
      <c r="AL99" s="170"/>
      <c r="AM99" s="170"/>
      <c r="AN99" s="170"/>
      <c r="AO99" s="170"/>
      <c r="AP99" s="170"/>
      <c r="AQ99" s="170"/>
      <c r="AR99" s="170"/>
      <c r="AS99" s="170"/>
      <c r="AT99" s="170"/>
      <c r="AU99" s="170"/>
      <c r="AV99" s="170"/>
      <c r="AW99" s="170"/>
      <c r="AX99" s="170"/>
      <c r="AY99" s="170"/>
      <c r="AZ99" s="170"/>
      <c r="BA99" s="170"/>
      <c r="BB99" s="170"/>
      <c r="BC99" s="170"/>
      <c r="BD99" s="170"/>
      <c r="BE99" s="170"/>
      <c r="BF99" s="170"/>
      <c r="BG99" s="170"/>
      <c r="BH99" s="170"/>
      <c r="BI99" s="170"/>
      <c r="BJ99" s="170"/>
      <c r="BK99" s="170"/>
      <c r="BL99" s="170"/>
      <c r="BM99" s="170"/>
      <c r="BN99" s="170"/>
      <c r="BO99" s="170"/>
      <c r="BP99" s="170"/>
      <c r="BQ99" s="170"/>
      <c r="BR99" s="170"/>
      <c r="BS99" s="170"/>
      <c r="BT99" s="170"/>
      <c r="BU99" s="170"/>
      <c r="BV99" s="170"/>
      <c r="BW99" s="170"/>
      <c r="BX99" s="170"/>
      <c r="BY99" s="170"/>
      <c r="BZ99" s="170"/>
      <c r="CA99" s="170"/>
      <c r="CB99" s="170"/>
      <c r="CC99" s="170"/>
      <c r="CD99" s="170"/>
      <c r="CE99" s="170"/>
      <c r="CF99" s="170"/>
      <c r="CG99" s="170"/>
      <c r="CH99" s="170"/>
      <c r="CI99" s="170"/>
      <c r="CJ99" s="170"/>
      <c r="CK99" s="170"/>
      <c r="CL99" s="170"/>
      <c r="CM99" s="170"/>
      <c r="CN99" s="170"/>
      <c r="CO99" s="170"/>
      <c r="CP99" s="170"/>
      <c r="CQ99" s="170"/>
      <c r="CR99" s="170"/>
      <c r="CS99" s="170"/>
      <c r="CT99" s="170"/>
      <c r="CU99" s="170"/>
      <c r="CV99" s="170"/>
      <c r="CW99" s="170"/>
      <c r="CX99" s="170"/>
      <c r="CY99" s="170"/>
      <c r="CZ99" s="170"/>
      <c r="DA99" s="170"/>
      <c r="DB99" s="170"/>
      <c r="DC99" s="170"/>
      <c r="DD99" s="170"/>
      <c r="DE99" s="170"/>
      <c r="DF99" s="170"/>
      <c r="DG99" s="170"/>
      <c r="DH99" s="170"/>
      <c r="DI99" s="170"/>
      <c r="DJ99" s="170"/>
      <c r="DK99" s="170"/>
      <c r="DL99" s="170"/>
      <c r="DM99" s="170"/>
      <c r="DN99" s="170"/>
      <c r="DO99" s="170"/>
      <c r="DP99" s="170"/>
      <c r="DQ99" s="170"/>
      <c r="DR99" s="170"/>
      <c r="DS99" s="170"/>
      <c r="DT99" s="170"/>
      <c r="DU99" s="170"/>
      <c r="DV99" s="170"/>
      <c r="DW99" s="170"/>
      <c r="DX99" s="170"/>
      <c r="DY99" s="170"/>
      <c r="DZ99" s="170"/>
      <c r="EA99" s="170"/>
      <c r="EB99" s="170"/>
      <c r="EC99" s="170"/>
      <c r="ED99" s="170"/>
      <c r="EE99" s="170"/>
      <c r="EF99" s="170"/>
      <c r="EG99" s="170"/>
      <c r="EH99" s="170"/>
      <c r="EI99" s="170"/>
      <c r="EJ99" s="170"/>
      <c r="EK99" s="170"/>
      <c r="EL99" s="170"/>
      <c r="EM99" s="170"/>
      <c r="EN99" s="170"/>
      <c r="EO99" s="170"/>
      <c r="EP99" s="170"/>
    </row>
    <row r="100" ht="15.75" customHeight="1">
      <c r="A100" s="170"/>
      <c r="B100" s="170"/>
      <c r="C100" s="170"/>
      <c r="D100" s="170"/>
      <c r="E100" s="170"/>
      <c r="F100" s="170"/>
      <c r="G100" s="170"/>
      <c r="H100" s="170"/>
      <c r="I100" s="170"/>
      <c r="J100" s="170"/>
      <c r="K100" s="170"/>
      <c r="L100" s="170"/>
      <c r="M100" s="170"/>
      <c r="N100" s="170"/>
      <c r="O100" s="170"/>
      <c r="P100" s="170"/>
      <c r="Q100" s="170"/>
      <c r="R100" s="170"/>
      <c r="S100" s="170"/>
      <c r="T100" s="170"/>
      <c r="U100" s="170"/>
      <c r="V100" s="170"/>
      <c r="W100" s="170"/>
      <c r="X100" s="170"/>
      <c r="Y100" s="170"/>
      <c r="Z100" s="170"/>
      <c r="AA100" s="170"/>
      <c r="AB100" s="170"/>
      <c r="AC100" s="170"/>
      <c r="AD100" s="170"/>
      <c r="AE100" s="170"/>
      <c r="AF100" s="170"/>
      <c r="AG100" s="170"/>
      <c r="AH100" s="170"/>
      <c r="AI100" s="170"/>
      <c r="AJ100" s="170"/>
      <c r="AK100" s="170"/>
      <c r="AL100" s="170"/>
      <c r="AM100" s="170"/>
      <c r="AN100" s="170"/>
      <c r="AO100" s="170"/>
      <c r="AP100" s="170"/>
      <c r="AQ100" s="170"/>
      <c r="AR100" s="170"/>
      <c r="AS100" s="170"/>
      <c r="AT100" s="170"/>
      <c r="AU100" s="170"/>
      <c r="AV100" s="170"/>
      <c r="AW100" s="170"/>
      <c r="AX100" s="170"/>
      <c r="AY100" s="170"/>
      <c r="AZ100" s="170"/>
      <c r="BA100" s="170"/>
      <c r="BB100" s="170"/>
      <c r="BC100" s="170"/>
      <c r="BD100" s="170"/>
      <c r="BE100" s="170"/>
      <c r="BF100" s="170"/>
      <c r="BG100" s="170"/>
      <c r="BH100" s="170"/>
      <c r="BI100" s="170"/>
      <c r="BJ100" s="170"/>
      <c r="BK100" s="170"/>
      <c r="BL100" s="170"/>
      <c r="BM100" s="170"/>
      <c r="BN100" s="170"/>
      <c r="BO100" s="170"/>
      <c r="BP100" s="170"/>
      <c r="BQ100" s="170"/>
      <c r="BR100" s="170"/>
      <c r="BS100" s="170"/>
      <c r="BT100" s="170"/>
      <c r="BU100" s="170"/>
      <c r="BV100" s="170"/>
      <c r="BW100" s="170"/>
      <c r="BX100" s="170"/>
      <c r="BY100" s="170"/>
      <c r="BZ100" s="170"/>
      <c r="CA100" s="170"/>
      <c r="CB100" s="170"/>
      <c r="CC100" s="170"/>
      <c r="CD100" s="170"/>
      <c r="CE100" s="170"/>
      <c r="CF100" s="170"/>
      <c r="CG100" s="170"/>
      <c r="CH100" s="170"/>
      <c r="CI100" s="170"/>
      <c r="CJ100" s="170"/>
      <c r="CK100" s="170"/>
      <c r="CL100" s="170"/>
      <c r="CM100" s="170"/>
      <c r="CN100" s="170"/>
      <c r="CO100" s="170"/>
      <c r="CP100" s="170"/>
      <c r="CQ100" s="170"/>
      <c r="CR100" s="170"/>
      <c r="CS100" s="170"/>
      <c r="CT100" s="170"/>
      <c r="CU100" s="170"/>
      <c r="CV100" s="170"/>
      <c r="CW100" s="170"/>
      <c r="CX100" s="170"/>
      <c r="CY100" s="170"/>
      <c r="CZ100" s="170"/>
      <c r="DA100" s="170"/>
      <c r="DB100" s="170"/>
      <c r="DC100" s="170"/>
      <c r="DD100" s="170"/>
      <c r="DE100" s="170"/>
      <c r="DF100" s="170"/>
      <c r="DG100" s="170"/>
      <c r="DH100" s="170"/>
      <c r="DI100" s="170"/>
      <c r="DJ100" s="170"/>
      <c r="DK100" s="170"/>
      <c r="DL100" s="170"/>
      <c r="DM100" s="170"/>
      <c r="DN100" s="170"/>
      <c r="DO100" s="170"/>
      <c r="DP100" s="170"/>
      <c r="DQ100" s="170"/>
      <c r="DR100" s="170"/>
      <c r="DS100" s="170"/>
      <c r="DT100" s="170"/>
      <c r="DU100" s="170"/>
      <c r="DV100" s="170"/>
      <c r="DW100" s="170"/>
      <c r="DX100" s="170"/>
      <c r="DY100" s="170"/>
      <c r="DZ100" s="170"/>
      <c r="EA100" s="170"/>
      <c r="EB100" s="170"/>
      <c r="EC100" s="170"/>
      <c r="ED100" s="170"/>
      <c r="EE100" s="170"/>
      <c r="EF100" s="170"/>
      <c r="EG100" s="170"/>
      <c r="EH100" s="170"/>
      <c r="EI100" s="170"/>
      <c r="EJ100" s="170"/>
      <c r="EK100" s="170"/>
      <c r="EL100" s="170"/>
      <c r="EM100" s="170"/>
      <c r="EN100" s="170"/>
      <c r="EO100" s="170"/>
      <c r="EP100" s="170"/>
    </row>
    <row r="101" ht="15.75" customHeight="1">
      <c r="A101" s="170"/>
      <c r="B101" s="170"/>
      <c r="C101" s="170"/>
      <c r="D101" s="170"/>
      <c r="E101" s="170"/>
      <c r="F101" s="170"/>
      <c r="G101" s="170"/>
      <c r="H101" s="170"/>
      <c r="I101" s="170"/>
      <c r="J101" s="170"/>
      <c r="K101" s="170"/>
      <c r="L101" s="170"/>
      <c r="M101" s="170"/>
      <c r="N101" s="170"/>
      <c r="O101" s="170"/>
      <c r="P101" s="170"/>
      <c r="Q101" s="170"/>
      <c r="R101" s="170"/>
      <c r="S101" s="170"/>
      <c r="T101" s="170"/>
      <c r="U101" s="170"/>
      <c r="V101" s="170"/>
      <c r="W101" s="170"/>
      <c r="X101" s="170"/>
      <c r="Y101" s="170"/>
      <c r="Z101" s="170"/>
      <c r="AA101" s="170"/>
      <c r="AB101" s="170"/>
      <c r="AC101" s="170"/>
      <c r="AD101" s="170"/>
      <c r="AE101" s="170"/>
      <c r="AF101" s="170"/>
      <c r="AG101" s="170"/>
      <c r="AH101" s="170"/>
      <c r="AI101" s="170"/>
      <c r="AJ101" s="170"/>
      <c r="AK101" s="170"/>
      <c r="AL101" s="170"/>
      <c r="AM101" s="170"/>
      <c r="AN101" s="170"/>
      <c r="AO101" s="170"/>
      <c r="AP101" s="170"/>
      <c r="AQ101" s="170"/>
      <c r="AR101" s="170"/>
      <c r="AS101" s="170"/>
      <c r="AT101" s="170"/>
      <c r="AU101" s="170"/>
      <c r="AV101" s="170"/>
      <c r="AW101" s="170"/>
      <c r="AX101" s="170"/>
      <c r="AY101" s="170"/>
      <c r="AZ101" s="170"/>
      <c r="BA101" s="170"/>
      <c r="BB101" s="170"/>
      <c r="BC101" s="170"/>
      <c r="BD101" s="170"/>
      <c r="BE101" s="170"/>
      <c r="BF101" s="170"/>
      <c r="BG101" s="170"/>
      <c r="BH101" s="170"/>
      <c r="BI101" s="170"/>
      <c r="BJ101" s="170"/>
      <c r="BK101" s="170"/>
      <c r="BL101" s="170"/>
      <c r="BM101" s="170"/>
      <c r="BN101" s="170"/>
      <c r="BO101" s="170"/>
      <c r="BP101" s="170"/>
      <c r="BQ101" s="170"/>
      <c r="BR101" s="170"/>
      <c r="BS101" s="170"/>
      <c r="BT101" s="170"/>
      <c r="BU101" s="170"/>
      <c r="BV101" s="170"/>
      <c r="BW101" s="170"/>
      <c r="BX101" s="170"/>
      <c r="BY101" s="170"/>
      <c r="BZ101" s="170"/>
      <c r="CA101" s="170"/>
      <c r="CB101" s="170"/>
      <c r="CC101" s="170"/>
      <c r="CD101" s="170"/>
      <c r="CE101" s="170"/>
      <c r="CF101" s="170"/>
      <c r="CG101" s="170"/>
      <c r="CH101" s="170"/>
      <c r="CI101" s="170"/>
      <c r="CJ101" s="170"/>
      <c r="CK101" s="170"/>
      <c r="CL101" s="170"/>
      <c r="CM101" s="170"/>
      <c r="CN101" s="170"/>
      <c r="CO101" s="170"/>
      <c r="CP101" s="170"/>
      <c r="CQ101" s="170"/>
      <c r="CR101" s="170"/>
      <c r="CS101" s="170"/>
      <c r="CT101" s="170"/>
      <c r="CU101" s="170"/>
      <c r="CV101" s="170"/>
      <c r="CW101" s="170"/>
      <c r="CX101" s="170"/>
      <c r="CY101" s="170"/>
      <c r="CZ101" s="170"/>
      <c r="DA101" s="170"/>
      <c r="DB101" s="170"/>
      <c r="DC101" s="170"/>
      <c r="DD101" s="170"/>
      <c r="DE101" s="170"/>
      <c r="DF101" s="170"/>
      <c r="DG101" s="170"/>
      <c r="DH101" s="170"/>
      <c r="DI101" s="170"/>
      <c r="DJ101" s="170"/>
      <c r="DK101" s="170"/>
      <c r="DL101" s="170"/>
      <c r="DM101" s="170"/>
      <c r="DN101" s="170"/>
      <c r="DO101" s="170"/>
      <c r="DP101" s="170"/>
      <c r="DQ101" s="170"/>
      <c r="DR101" s="170"/>
      <c r="DS101" s="170"/>
      <c r="DT101" s="170"/>
      <c r="DU101" s="170"/>
      <c r="DV101" s="170"/>
      <c r="DW101" s="170"/>
      <c r="DX101" s="170"/>
      <c r="DY101" s="170"/>
      <c r="DZ101" s="170"/>
      <c r="EA101" s="170"/>
      <c r="EB101" s="170"/>
      <c r="EC101" s="170"/>
      <c r="ED101" s="170"/>
      <c r="EE101" s="170"/>
      <c r="EF101" s="170"/>
      <c r="EG101" s="170"/>
      <c r="EH101" s="170"/>
      <c r="EI101" s="170"/>
      <c r="EJ101" s="170"/>
      <c r="EK101" s="170"/>
      <c r="EL101" s="170"/>
      <c r="EM101" s="170"/>
      <c r="EN101" s="170"/>
      <c r="EO101" s="170"/>
      <c r="EP101" s="170"/>
    </row>
    <row r="102" ht="15.75" customHeight="1">
      <c r="A102" s="170"/>
      <c r="B102" s="170"/>
      <c r="C102" s="170"/>
      <c r="D102" s="170"/>
      <c r="E102" s="170"/>
      <c r="F102" s="170"/>
      <c r="G102" s="170"/>
      <c r="H102" s="170"/>
      <c r="I102" s="170"/>
      <c r="J102" s="170"/>
      <c r="K102" s="170"/>
      <c r="L102" s="170"/>
      <c r="M102" s="170"/>
      <c r="N102" s="170"/>
      <c r="O102" s="170"/>
      <c r="P102" s="170"/>
      <c r="Q102" s="170"/>
      <c r="R102" s="170"/>
      <c r="S102" s="170"/>
      <c r="T102" s="170"/>
      <c r="U102" s="170"/>
      <c r="V102" s="170"/>
      <c r="W102" s="170"/>
      <c r="X102" s="170"/>
      <c r="Y102" s="170"/>
      <c r="Z102" s="170"/>
      <c r="AA102" s="170"/>
      <c r="AB102" s="170"/>
      <c r="AC102" s="170"/>
      <c r="AD102" s="170"/>
      <c r="AE102" s="170"/>
      <c r="AF102" s="170"/>
      <c r="AG102" s="170"/>
      <c r="AH102" s="170"/>
      <c r="AI102" s="170"/>
      <c r="AJ102" s="170"/>
      <c r="AK102" s="170"/>
      <c r="AL102" s="170"/>
      <c r="AM102" s="170"/>
      <c r="AN102" s="170"/>
      <c r="AO102" s="170"/>
      <c r="AP102" s="170"/>
      <c r="AQ102" s="170"/>
      <c r="AR102" s="170"/>
      <c r="AS102" s="170"/>
      <c r="AT102" s="170"/>
      <c r="AU102" s="170"/>
      <c r="AV102" s="170"/>
      <c r="AW102" s="170"/>
      <c r="AX102" s="170"/>
      <c r="AY102" s="170"/>
      <c r="AZ102" s="170"/>
      <c r="BA102" s="170"/>
      <c r="BB102" s="170"/>
      <c r="BC102" s="170"/>
      <c r="BD102" s="170"/>
      <c r="BE102" s="170"/>
      <c r="BF102" s="170"/>
      <c r="BG102" s="170"/>
      <c r="BH102" s="170"/>
      <c r="BI102" s="170"/>
      <c r="BJ102" s="170"/>
      <c r="BK102" s="170"/>
      <c r="BL102" s="170"/>
      <c r="BM102" s="170"/>
      <c r="BN102" s="170"/>
      <c r="BO102" s="170"/>
      <c r="BP102" s="170"/>
      <c r="BQ102" s="170"/>
      <c r="BR102" s="170"/>
      <c r="BS102" s="170"/>
      <c r="BT102" s="170"/>
      <c r="BU102" s="170"/>
      <c r="BV102" s="170"/>
      <c r="BW102" s="170"/>
      <c r="BX102" s="170"/>
      <c r="BY102" s="170"/>
      <c r="BZ102" s="170"/>
      <c r="CA102" s="170"/>
      <c r="CB102" s="170"/>
      <c r="CC102" s="170"/>
      <c r="CD102" s="170"/>
      <c r="CE102" s="170"/>
      <c r="CF102" s="170"/>
      <c r="CG102" s="170"/>
      <c r="CH102" s="170"/>
      <c r="CI102" s="170"/>
      <c r="CJ102" s="170"/>
      <c r="CK102" s="170"/>
      <c r="CL102" s="170"/>
      <c r="CM102" s="170"/>
      <c r="CN102" s="170"/>
      <c r="CO102" s="170"/>
      <c r="CP102" s="170"/>
      <c r="CQ102" s="170"/>
      <c r="CR102" s="170"/>
      <c r="CS102" s="170"/>
      <c r="CT102" s="170"/>
      <c r="CU102" s="170"/>
      <c r="CV102" s="170"/>
      <c r="CW102" s="170"/>
      <c r="CX102" s="170"/>
      <c r="CY102" s="170"/>
      <c r="CZ102" s="170"/>
      <c r="DA102" s="170"/>
      <c r="DB102" s="170"/>
      <c r="DC102" s="170"/>
      <c r="DD102" s="170"/>
      <c r="DE102" s="170"/>
      <c r="DF102" s="170"/>
      <c r="DG102" s="170"/>
      <c r="DH102" s="170"/>
      <c r="DI102" s="170"/>
      <c r="DJ102" s="170"/>
      <c r="DK102" s="170"/>
      <c r="DL102" s="170"/>
      <c r="DM102" s="170"/>
      <c r="DN102" s="170"/>
      <c r="DO102" s="170"/>
      <c r="DP102" s="170"/>
      <c r="DQ102" s="170"/>
      <c r="DR102" s="170"/>
      <c r="DS102" s="170"/>
      <c r="DT102" s="170"/>
      <c r="DU102" s="170"/>
      <c r="DV102" s="170"/>
      <c r="DW102" s="170"/>
      <c r="DX102" s="170"/>
      <c r="DY102" s="170"/>
      <c r="DZ102" s="170"/>
      <c r="EA102" s="170"/>
      <c r="EB102" s="170"/>
      <c r="EC102" s="170"/>
      <c r="ED102" s="170"/>
      <c r="EE102" s="170"/>
      <c r="EF102" s="170"/>
      <c r="EG102" s="170"/>
      <c r="EH102" s="170"/>
      <c r="EI102" s="170"/>
      <c r="EJ102" s="170"/>
      <c r="EK102" s="170"/>
      <c r="EL102" s="170"/>
      <c r="EM102" s="170"/>
      <c r="EN102" s="170"/>
      <c r="EO102" s="170"/>
      <c r="EP102" s="170"/>
    </row>
    <row r="103" ht="15.75" customHeight="1">
      <c r="A103" s="170"/>
      <c r="B103" s="170"/>
      <c r="C103" s="170"/>
      <c r="D103" s="170"/>
      <c r="E103" s="170"/>
      <c r="F103" s="170"/>
      <c r="G103" s="170"/>
      <c r="H103" s="170"/>
      <c r="I103" s="170"/>
      <c r="J103" s="170"/>
      <c r="K103" s="170"/>
      <c r="L103" s="170"/>
      <c r="M103" s="170"/>
      <c r="N103" s="170"/>
      <c r="O103" s="170"/>
      <c r="P103" s="170"/>
      <c r="Q103" s="170"/>
      <c r="R103" s="170"/>
      <c r="S103" s="170"/>
      <c r="T103" s="170"/>
      <c r="U103" s="170"/>
      <c r="V103" s="170"/>
      <c r="W103" s="170"/>
      <c r="X103" s="170"/>
      <c r="Y103" s="170"/>
      <c r="Z103" s="170"/>
      <c r="AA103" s="170"/>
      <c r="AB103" s="170"/>
      <c r="AC103" s="170"/>
      <c r="AD103" s="170"/>
      <c r="AE103" s="170"/>
      <c r="AF103" s="170"/>
      <c r="AG103" s="170"/>
      <c r="AH103" s="170"/>
      <c r="AI103" s="170"/>
      <c r="AJ103" s="170"/>
      <c r="AK103" s="170"/>
      <c r="AL103" s="170"/>
      <c r="AM103" s="170"/>
      <c r="AN103" s="170"/>
      <c r="AO103" s="170"/>
      <c r="AP103" s="170"/>
      <c r="AQ103" s="170"/>
      <c r="AR103" s="170"/>
      <c r="AS103" s="170"/>
      <c r="AT103" s="170"/>
      <c r="AU103" s="170"/>
      <c r="AV103" s="170"/>
      <c r="AW103" s="170"/>
      <c r="AX103" s="170"/>
      <c r="AY103" s="170"/>
      <c r="AZ103" s="170"/>
      <c r="BA103" s="170"/>
      <c r="BB103" s="170"/>
      <c r="BC103" s="170"/>
      <c r="BD103" s="170"/>
      <c r="BE103" s="170"/>
      <c r="BF103" s="170"/>
      <c r="BG103" s="170"/>
      <c r="BH103" s="170"/>
      <c r="BI103" s="170"/>
      <c r="BJ103" s="170"/>
      <c r="BK103" s="170"/>
      <c r="BL103" s="170"/>
      <c r="BM103" s="170"/>
      <c r="BN103" s="170"/>
      <c r="BO103" s="170"/>
      <c r="BP103" s="170"/>
      <c r="BQ103" s="170"/>
      <c r="BR103" s="170"/>
      <c r="BS103" s="170"/>
      <c r="BT103" s="170"/>
      <c r="BU103" s="170"/>
      <c r="BV103" s="170"/>
      <c r="BW103" s="170"/>
      <c r="BX103" s="170"/>
      <c r="BY103" s="170"/>
      <c r="BZ103" s="170"/>
      <c r="CA103" s="170"/>
      <c r="CB103" s="170"/>
      <c r="CC103" s="170"/>
      <c r="CD103" s="170"/>
      <c r="CE103" s="170"/>
      <c r="CF103" s="170"/>
      <c r="CG103" s="170"/>
      <c r="CH103" s="170"/>
      <c r="CI103" s="170"/>
      <c r="CJ103" s="170"/>
      <c r="CK103" s="170"/>
      <c r="CL103" s="170"/>
      <c r="CM103" s="170"/>
      <c r="CN103" s="170"/>
      <c r="CO103" s="170"/>
      <c r="CP103" s="170"/>
      <c r="CQ103" s="170"/>
      <c r="CR103" s="170"/>
      <c r="CS103" s="170"/>
      <c r="CT103" s="170"/>
      <c r="CU103" s="170"/>
      <c r="CV103" s="170"/>
      <c r="CW103" s="170"/>
      <c r="CX103" s="170"/>
      <c r="CY103" s="170"/>
      <c r="CZ103" s="170"/>
      <c r="DA103" s="170"/>
      <c r="DB103" s="170"/>
      <c r="DC103" s="170"/>
      <c r="DD103" s="170"/>
      <c r="DE103" s="170"/>
      <c r="DF103" s="170"/>
      <c r="DG103" s="170"/>
      <c r="DH103" s="170"/>
      <c r="DI103" s="170"/>
      <c r="DJ103" s="170"/>
      <c r="DK103" s="170"/>
      <c r="DL103" s="170"/>
      <c r="DM103" s="170"/>
      <c r="DN103" s="170"/>
      <c r="DO103" s="170"/>
      <c r="DP103" s="170"/>
      <c r="DQ103" s="170"/>
      <c r="DR103" s="170"/>
      <c r="DS103" s="170"/>
      <c r="DT103" s="170"/>
      <c r="DU103" s="170"/>
      <c r="DV103" s="170"/>
      <c r="DW103" s="170"/>
      <c r="DX103" s="170"/>
      <c r="DY103" s="170"/>
      <c r="DZ103" s="170"/>
      <c r="EA103" s="170"/>
      <c r="EB103" s="170"/>
      <c r="EC103" s="170"/>
      <c r="ED103" s="170"/>
      <c r="EE103" s="170"/>
      <c r="EF103" s="170"/>
      <c r="EG103" s="170"/>
      <c r="EH103" s="170"/>
      <c r="EI103" s="170"/>
      <c r="EJ103" s="170"/>
      <c r="EK103" s="170"/>
      <c r="EL103" s="170"/>
      <c r="EM103" s="170"/>
      <c r="EN103" s="170"/>
      <c r="EO103" s="170"/>
      <c r="EP103" s="170"/>
    </row>
    <row r="104" ht="15.75" customHeight="1">
      <c r="A104" s="170"/>
      <c r="B104" s="170"/>
      <c r="C104" s="170"/>
      <c r="D104" s="170"/>
      <c r="E104" s="170"/>
      <c r="F104" s="170"/>
      <c r="G104" s="170"/>
      <c r="H104" s="170"/>
      <c r="I104" s="170"/>
      <c r="J104" s="170"/>
      <c r="K104" s="170"/>
      <c r="L104" s="170"/>
      <c r="M104" s="170"/>
      <c r="N104" s="170"/>
      <c r="O104" s="170"/>
      <c r="P104" s="170"/>
      <c r="Q104" s="170"/>
      <c r="R104" s="170"/>
      <c r="S104" s="170"/>
      <c r="T104" s="170"/>
      <c r="U104" s="170"/>
      <c r="V104" s="170"/>
      <c r="W104" s="170"/>
      <c r="X104" s="170"/>
      <c r="Y104" s="170"/>
      <c r="Z104" s="170"/>
      <c r="AA104" s="170"/>
      <c r="AB104" s="170"/>
      <c r="AC104" s="170"/>
      <c r="AD104" s="170"/>
      <c r="AE104" s="170"/>
      <c r="AF104" s="170"/>
      <c r="AG104" s="170"/>
      <c r="AH104" s="170"/>
      <c r="AI104" s="170"/>
      <c r="AJ104" s="170"/>
      <c r="AK104" s="170"/>
      <c r="AL104" s="170"/>
      <c r="AM104" s="170"/>
      <c r="AN104" s="170"/>
      <c r="AO104" s="170"/>
      <c r="AP104" s="170"/>
      <c r="AQ104" s="170"/>
      <c r="AR104" s="170"/>
      <c r="AS104" s="170"/>
      <c r="AT104" s="170"/>
      <c r="AU104" s="170"/>
      <c r="AV104" s="170"/>
      <c r="AW104" s="170"/>
      <c r="AX104" s="170"/>
      <c r="AY104" s="170"/>
      <c r="AZ104" s="170"/>
      <c r="BA104" s="170"/>
      <c r="BB104" s="170"/>
      <c r="BC104" s="170"/>
      <c r="BD104" s="170"/>
      <c r="BE104" s="170"/>
      <c r="BF104" s="170"/>
      <c r="BG104" s="170"/>
      <c r="BH104" s="170"/>
      <c r="BI104" s="170"/>
      <c r="BJ104" s="170"/>
      <c r="BK104" s="170"/>
      <c r="BL104" s="170"/>
      <c r="BM104" s="170"/>
      <c r="BN104" s="170"/>
      <c r="BO104" s="170"/>
      <c r="BP104" s="170"/>
      <c r="BQ104" s="170"/>
      <c r="BR104" s="170"/>
      <c r="BS104" s="170"/>
      <c r="BT104" s="170"/>
      <c r="BU104" s="170"/>
      <c r="BV104" s="170"/>
      <c r="BW104" s="170"/>
      <c r="BX104" s="170"/>
      <c r="BY104" s="170"/>
      <c r="BZ104" s="170"/>
      <c r="CA104" s="170"/>
      <c r="CB104" s="170"/>
      <c r="CC104" s="170"/>
      <c r="CD104" s="170"/>
      <c r="CE104" s="170"/>
      <c r="CF104" s="170"/>
      <c r="CG104" s="170"/>
      <c r="CH104" s="170"/>
      <c r="CI104" s="170"/>
      <c r="CJ104" s="170"/>
      <c r="CK104" s="170"/>
      <c r="CL104" s="170"/>
      <c r="CM104" s="170"/>
      <c r="CN104" s="170"/>
      <c r="CO104" s="170"/>
      <c r="CP104" s="170"/>
      <c r="CQ104" s="170"/>
      <c r="CR104" s="170"/>
      <c r="CS104" s="170"/>
      <c r="CT104" s="170"/>
      <c r="CU104" s="170"/>
      <c r="CV104" s="170"/>
      <c r="CW104" s="170"/>
      <c r="CX104" s="170"/>
      <c r="CY104" s="170"/>
      <c r="CZ104" s="170"/>
      <c r="DA104" s="170"/>
      <c r="DB104" s="170"/>
      <c r="DC104" s="170"/>
      <c r="DD104" s="170"/>
      <c r="DE104" s="170"/>
      <c r="DF104" s="170"/>
      <c r="DG104" s="170"/>
      <c r="DH104" s="170"/>
      <c r="DI104" s="170"/>
      <c r="DJ104" s="170"/>
      <c r="DK104" s="170"/>
      <c r="DL104" s="170"/>
      <c r="DM104" s="170"/>
      <c r="DN104" s="170"/>
      <c r="DO104" s="170"/>
      <c r="DP104" s="170"/>
      <c r="DQ104" s="170"/>
      <c r="DR104" s="170"/>
      <c r="DS104" s="170"/>
      <c r="DT104" s="170"/>
      <c r="DU104" s="170"/>
      <c r="DV104" s="170"/>
      <c r="DW104" s="170"/>
      <c r="DX104" s="170"/>
      <c r="DY104" s="170"/>
      <c r="DZ104" s="170"/>
      <c r="EA104" s="170"/>
      <c r="EB104" s="170"/>
      <c r="EC104" s="170"/>
      <c r="ED104" s="170"/>
      <c r="EE104" s="170"/>
      <c r="EF104" s="170"/>
      <c r="EG104" s="170"/>
      <c r="EH104" s="170"/>
      <c r="EI104" s="170"/>
      <c r="EJ104" s="170"/>
      <c r="EK104" s="170"/>
      <c r="EL104" s="170"/>
      <c r="EM104" s="170"/>
      <c r="EN104" s="170"/>
      <c r="EO104" s="170"/>
      <c r="EP104" s="170"/>
    </row>
    <row r="105" ht="15.75" customHeight="1">
      <c r="A105" s="170"/>
      <c r="B105" s="170"/>
      <c r="C105" s="170"/>
      <c r="D105" s="170"/>
      <c r="E105" s="170"/>
      <c r="F105" s="170"/>
      <c r="G105" s="170"/>
      <c r="H105" s="170"/>
      <c r="I105" s="170"/>
      <c r="J105" s="170"/>
      <c r="K105" s="170"/>
      <c r="L105" s="170"/>
      <c r="M105" s="170"/>
      <c r="N105" s="170"/>
      <c r="O105" s="170"/>
      <c r="P105" s="170"/>
      <c r="Q105" s="170"/>
      <c r="R105" s="170"/>
      <c r="S105" s="170"/>
      <c r="T105" s="170"/>
      <c r="U105" s="170"/>
      <c r="V105" s="170"/>
      <c r="W105" s="170"/>
      <c r="X105" s="170"/>
      <c r="Y105" s="170"/>
      <c r="Z105" s="170"/>
      <c r="AA105" s="170"/>
      <c r="AB105" s="170"/>
      <c r="AC105" s="170"/>
      <c r="AD105" s="170"/>
      <c r="AE105" s="170"/>
      <c r="AF105" s="170"/>
      <c r="AG105" s="170"/>
      <c r="AH105" s="170"/>
      <c r="AI105" s="170"/>
      <c r="AJ105" s="170"/>
      <c r="AK105" s="170"/>
      <c r="AL105" s="170"/>
      <c r="AM105" s="170"/>
      <c r="AN105" s="170"/>
      <c r="AO105" s="170"/>
      <c r="AP105" s="170"/>
      <c r="AQ105" s="170"/>
      <c r="AR105" s="170"/>
      <c r="AS105" s="170"/>
      <c r="AT105" s="170"/>
      <c r="AU105" s="170"/>
      <c r="AV105" s="170"/>
      <c r="AW105" s="170"/>
      <c r="AX105" s="170"/>
      <c r="AY105" s="170"/>
      <c r="AZ105" s="170"/>
      <c r="BA105" s="170"/>
      <c r="BB105" s="170"/>
      <c r="BC105" s="170"/>
      <c r="BD105" s="170"/>
      <c r="BE105" s="170"/>
      <c r="BF105" s="170"/>
      <c r="BG105" s="170"/>
      <c r="BH105" s="170"/>
      <c r="BI105" s="170"/>
      <c r="BJ105" s="170"/>
      <c r="BK105" s="170"/>
      <c r="BL105" s="170"/>
      <c r="BM105" s="170"/>
      <c r="BN105" s="170"/>
      <c r="BO105" s="170"/>
      <c r="BP105" s="170"/>
      <c r="BQ105" s="170"/>
      <c r="BR105" s="170"/>
      <c r="BS105" s="170"/>
      <c r="BT105" s="170"/>
      <c r="BU105" s="170"/>
      <c r="BV105" s="170"/>
      <c r="BW105" s="170"/>
      <c r="BX105" s="170"/>
      <c r="BY105" s="170"/>
      <c r="BZ105" s="170"/>
      <c r="CA105" s="170"/>
      <c r="CB105" s="170"/>
      <c r="CC105" s="170"/>
      <c r="CD105" s="170"/>
      <c r="CE105" s="170"/>
      <c r="CF105" s="170"/>
      <c r="CG105" s="170"/>
      <c r="CH105" s="170"/>
      <c r="CI105" s="170"/>
      <c r="CJ105" s="170"/>
      <c r="CK105" s="170"/>
      <c r="CL105" s="170"/>
      <c r="CM105" s="170"/>
      <c r="CN105" s="170"/>
      <c r="CO105" s="170"/>
      <c r="CP105" s="170"/>
      <c r="CQ105" s="170"/>
      <c r="CR105" s="170"/>
      <c r="CS105" s="170"/>
      <c r="CT105" s="170"/>
      <c r="CU105" s="170"/>
      <c r="CV105" s="170"/>
      <c r="CW105" s="170"/>
      <c r="CX105" s="170"/>
      <c r="CY105" s="170"/>
      <c r="CZ105" s="170"/>
      <c r="DA105" s="170"/>
      <c r="DB105" s="170"/>
      <c r="DC105" s="170"/>
      <c r="DD105" s="170"/>
      <c r="DE105" s="170"/>
      <c r="DF105" s="170"/>
      <c r="DG105" s="170"/>
      <c r="DH105" s="170"/>
      <c r="DI105" s="170"/>
      <c r="DJ105" s="170"/>
      <c r="DK105" s="170"/>
      <c r="DL105" s="170"/>
      <c r="DM105" s="170"/>
      <c r="DN105" s="170"/>
      <c r="DO105" s="170"/>
      <c r="DP105" s="170"/>
      <c r="DQ105" s="170"/>
      <c r="DR105" s="170"/>
      <c r="DS105" s="170"/>
      <c r="DT105" s="170"/>
      <c r="DU105" s="170"/>
      <c r="DV105" s="170"/>
      <c r="DW105" s="170"/>
      <c r="DX105" s="170"/>
      <c r="DY105" s="170"/>
      <c r="DZ105" s="170"/>
      <c r="EA105" s="170"/>
      <c r="EB105" s="170"/>
      <c r="EC105" s="170"/>
      <c r="ED105" s="170"/>
      <c r="EE105" s="170"/>
      <c r="EF105" s="170"/>
      <c r="EG105" s="170"/>
      <c r="EH105" s="170"/>
      <c r="EI105" s="170"/>
      <c r="EJ105" s="170"/>
      <c r="EK105" s="170"/>
      <c r="EL105" s="170"/>
      <c r="EM105" s="170"/>
      <c r="EN105" s="170"/>
      <c r="EO105" s="170"/>
      <c r="EP105" s="170"/>
    </row>
    <row r="106" ht="15.75" customHeight="1">
      <c r="A106" s="170"/>
      <c r="B106" s="170"/>
      <c r="C106" s="170"/>
      <c r="D106" s="170"/>
      <c r="E106" s="170"/>
      <c r="F106" s="170"/>
      <c r="G106" s="170"/>
      <c r="H106" s="170"/>
      <c r="I106" s="170"/>
      <c r="J106" s="170"/>
      <c r="K106" s="170"/>
      <c r="L106" s="170"/>
      <c r="M106" s="170"/>
      <c r="N106" s="170"/>
      <c r="O106" s="170"/>
      <c r="P106" s="170"/>
      <c r="Q106" s="170"/>
      <c r="R106" s="170"/>
      <c r="S106" s="170"/>
      <c r="T106" s="170"/>
      <c r="U106" s="170"/>
      <c r="V106" s="170"/>
      <c r="W106" s="170"/>
      <c r="X106" s="170"/>
      <c r="Y106" s="170"/>
      <c r="Z106" s="170"/>
      <c r="AA106" s="170"/>
      <c r="AB106" s="170"/>
      <c r="AC106" s="170"/>
      <c r="AD106" s="170"/>
      <c r="AE106" s="170"/>
      <c r="AF106" s="170"/>
      <c r="AG106" s="170"/>
      <c r="AH106" s="170"/>
      <c r="AI106" s="170"/>
      <c r="AJ106" s="170"/>
      <c r="AK106" s="170"/>
      <c r="AL106" s="170"/>
      <c r="AM106" s="170"/>
      <c r="AN106" s="170"/>
      <c r="AO106" s="170"/>
      <c r="AP106" s="170"/>
      <c r="AQ106" s="170"/>
      <c r="AR106" s="170"/>
      <c r="AS106" s="170"/>
      <c r="AT106" s="170"/>
      <c r="AU106" s="170"/>
      <c r="AV106" s="170"/>
      <c r="AW106" s="170"/>
      <c r="AX106" s="170"/>
      <c r="AY106" s="170"/>
      <c r="AZ106" s="170"/>
      <c r="BA106" s="170"/>
      <c r="BB106" s="170"/>
      <c r="BC106" s="170"/>
      <c r="BD106" s="170"/>
      <c r="BE106" s="170"/>
      <c r="BF106" s="170"/>
      <c r="BG106" s="170"/>
      <c r="BH106" s="170"/>
      <c r="BI106" s="170"/>
      <c r="BJ106" s="170"/>
      <c r="BK106" s="170"/>
      <c r="BL106" s="170"/>
      <c r="BM106" s="170"/>
      <c r="BN106" s="170"/>
      <c r="BO106" s="170"/>
      <c r="BP106" s="170"/>
      <c r="BQ106" s="170"/>
      <c r="BR106" s="170"/>
      <c r="BS106" s="170"/>
      <c r="BT106" s="170"/>
      <c r="BU106" s="170"/>
      <c r="BV106" s="170"/>
      <c r="BW106" s="170"/>
      <c r="BX106" s="170"/>
      <c r="BY106" s="170"/>
      <c r="BZ106" s="170"/>
      <c r="CA106" s="170"/>
      <c r="CB106" s="170"/>
      <c r="CC106" s="170"/>
      <c r="CD106" s="170"/>
      <c r="CE106" s="170"/>
      <c r="CF106" s="170"/>
      <c r="CG106" s="170"/>
      <c r="CH106" s="170"/>
      <c r="CI106" s="170"/>
      <c r="CJ106" s="170"/>
      <c r="CK106" s="170"/>
      <c r="CL106" s="170"/>
      <c r="CM106" s="170"/>
      <c r="CN106" s="170"/>
      <c r="CO106" s="170"/>
      <c r="CP106" s="170"/>
      <c r="CQ106" s="170"/>
      <c r="CR106" s="170"/>
      <c r="CS106" s="170"/>
      <c r="CT106" s="170"/>
      <c r="CU106" s="170"/>
      <c r="CV106" s="170"/>
      <c r="CW106" s="170"/>
      <c r="CX106" s="170"/>
      <c r="CY106" s="170"/>
      <c r="CZ106" s="170"/>
      <c r="DA106" s="170"/>
      <c r="DB106" s="170"/>
      <c r="DC106" s="170"/>
      <c r="DD106" s="170"/>
      <c r="DE106" s="170"/>
      <c r="DF106" s="170"/>
      <c r="DG106" s="170"/>
      <c r="DH106" s="170"/>
      <c r="DI106" s="170"/>
      <c r="DJ106" s="170"/>
      <c r="DK106" s="170"/>
      <c r="DL106" s="170"/>
      <c r="DM106" s="170"/>
      <c r="DN106" s="170"/>
      <c r="DO106" s="170"/>
      <c r="DP106" s="170"/>
      <c r="DQ106" s="170"/>
      <c r="DR106" s="170"/>
      <c r="DS106" s="170"/>
      <c r="DT106" s="170"/>
      <c r="DU106" s="170"/>
      <c r="DV106" s="170"/>
      <c r="DW106" s="170"/>
      <c r="DX106" s="170"/>
      <c r="DY106" s="170"/>
      <c r="DZ106" s="170"/>
      <c r="EA106" s="170"/>
      <c r="EB106" s="170"/>
      <c r="EC106" s="170"/>
      <c r="ED106" s="170"/>
      <c r="EE106" s="170"/>
      <c r="EF106" s="170"/>
      <c r="EG106" s="170"/>
      <c r="EH106" s="170"/>
      <c r="EI106" s="170"/>
      <c r="EJ106" s="170"/>
      <c r="EK106" s="170"/>
      <c r="EL106" s="170"/>
      <c r="EM106" s="170"/>
      <c r="EN106" s="170"/>
      <c r="EO106" s="170"/>
      <c r="EP106" s="170"/>
    </row>
    <row r="107" ht="15.75" customHeight="1">
      <c r="A107" s="170"/>
      <c r="B107" s="170"/>
      <c r="C107" s="170"/>
      <c r="D107" s="170"/>
      <c r="E107" s="170"/>
      <c r="F107" s="170"/>
      <c r="G107" s="170"/>
      <c r="H107" s="170"/>
      <c r="I107" s="170"/>
      <c r="J107" s="170"/>
      <c r="K107" s="170"/>
      <c r="L107" s="170"/>
      <c r="M107" s="170"/>
      <c r="N107" s="170"/>
      <c r="O107" s="170"/>
      <c r="P107" s="170"/>
      <c r="Q107" s="170"/>
      <c r="R107" s="170"/>
      <c r="S107" s="170"/>
      <c r="T107" s="170"/>
      <c r="U107" s="170"/>
      <c r="V107" s="170"/>
      <c r="W107" s="170"/>
      <c r="X107" s="170"/>
      <c r="Y107" s="170"/>
      <c r="Z107" s="170"/>
      <c r="AA107" s="170"/>
      <c r="AB107" s="170"/>
      <c r="AC107" s="170"/>
      <c r="AD107" s="170"/>
      <c r="AE107" s="170"/>
      <c r="AF107" s="170"/>
      <c r="AG107" s="170"/>
      <c r="AH107" s="170"/>
      <c r="AI107" s="170"/>
      <c r="AJ107" s="170"/>
      <c r="AK107" s="170"/>
      <c r="AL107" s="170"/>
      <c r="AM107" s="170"/>
      <c r="AN107" s="170"/>
      <c r="AO107" s="170"/>
      <c r="AP107" s="170"/>
      <c r="AQ107" s="170"/>
      <c r="AR107" s="170"/>
      <c r="AS107" s="170"/>
      <c r="AT107" s="170"/>
      <c r="AU107" s="170"/>
      <c r="AV107" s="170"/>
      <c r="AW107" s="170"/>
      <c r="AX107" s="170"/>
      <c r="AY107" s="170"/>
      <c r="AZ107" s="170"/>
      <c r="BA107" s="170"/>
      <c r="BB107" s="170"/>
      <c r="BC107" s="170"/>
      <c r="BD107" s="170"/>
      <c r="BE107" s="170"/>
      <c r="BF107" s="170"/>
      <c r="BG107" s="170"/>
      <c r="BH107" s="170"/>
      <c r="BI107" s="170"/>
      <c r="BJ107" s="170"/>
      <c r="BK107" s="170"/>
      <c r="BL107" s="170"/>
      <c r="BM107" s="170"/>
      <c r="BN107" s="170"/>
      <c r="BO107" s="170"/>
      <c r="BP107" s="170"/>
      <c r="BQ107" s="170"/>
      <c r="BR107" s="170"/>
      <c r="BS107" s="170"/>
      <c r="BT107" s="170"/>
      <c r="BU107" s="170"/>
      <c r="BV107" s="170"/>
      <c r="BW107" s="170"/>
      <c r="BX107" s="170"/>
      <c r="BY107" s="170"/>
      <c r="BZ107" s="170"/>
      <c r="CA107" s="170"/>
      <c r="CB107" s="170"/>
      <c r="CC107" s="170"/>
      <c r="CD107" s="170"/>
      <c r="CE107" s="170"/>
      <c r="CF107" s="170"/>
      <c r="CG107" s="170"/>
      <c r="CH107" s="170"/>
      <c r="CI107" s="170"/>
      <c r="CJ107" s="170"/>
      <c r="CK107" s="170"/>
      <c r="CL107" s="170"/>
      <c r="CM107" s="170"/>
      <c r="CN107" s="170"/>
      <c r="CO107" s="170"/>
      <c r="CP107" s="170"/>
      <c r="CQ107" s="170"/>
      <c r="CR107" s="170"/>
      <c r="CS107" s="170"/>
      <c r="CT107" s="170"/>
      <c r="CU107" s="170"/>
      <c r="CV107" s="170"/>
      <c r="CW107" s="170"/>
      <c r="CX107" s="170"/>
      <c r="CY107" s="170"/>
      <c r="CZ107" s="170"/>
      <c r="DA107" s="170"/>
      <c r="DB107" s="170"/>
      <c r="DC107" s="170"/>
      <c r="DD107" s="170"/>
      <c r="DE107" s="170"/>
      <c r="DF107" s="170"/>
      <c r="DG107" s="170"/>
      <c r="DH107" s="170"/>
      <c r="DI107" s="170"/>
      <c r="DJ107" s="170"/>
      <c r="DK107" s="170"/>
      <c r="DL107" s="170"/>
      <c r="DM107" s="170"/>
      <c r="DN107" s="170"/>
      <c r="DO107" s="170"/>
      <c r="DP107" s="170"/>
      <c r="DQ107" s="170"/>
      <c r="DR107" s="170"/>
      <c r="DS107" s="170"/>
      <c r="DT107" s="170"/>
      <c r="DU107" s="170"/>
      <c r="DV107" s="170"/>
      <c r="DW107" s="170"/>
      <c r="DX107" s="170"/>
      <c r="DY107" s="170"/>
      <c r="DZ107" s="170"/>
      <c r="EA107" s="170"/>
      <c r="EB107" s="170"/>
      <c r="EC107" s="170"/>
      <c r="ED107" s="170"/>
      <c r="EE107" s="170"/>
      <c r="EF107" s="170"/>
      <c r="EG107" s="170"/>
      <c r="EH107" s="170"/>
      <c r="EI107" s="170"/>
      <c r="EJ107" s="170"/>
      <c r="EK107" s="170"/>
      <c r="EL107" s="170"/>
      <c r="EM107" s="170"/>
      <c r="EN107" s="170"/>
      <c r="EO107" s="170"/>
      <c r="EP107" s="170"/>
    </row>
    <row r="108" ht="15.75" customHeight="1">
      <c r="A108" s="170"/>
      <c r="B108" s="170"/>
      <c r="C108" s="170"/>
      <c r="D108" s="170"/>
      <c r="E108" s="170"/>
      <c r="F108" s="170"/>
      <c r="G108" s="170"/>
      <c r="H108" s="170"/>
      <c r="I108" s="170"/>
      <c r="J108" s="170"/>
      <c r="K108" s="170"/>
      <c r="L108" s="170"/>
      <c r="M108" s="170"/>
      <c r="N108" s="170"/>
      <c r="O108" s="170"/>
      <c r="P108" s="170"/>
      <c r="Q108" s="170"/>
      <c r="R108" s="170"/>
      <c r="S108" s="170"/>
      <c r="T108" s="170"/>
      <c r="U108" s="170"/>
      <c r="V108" s="170"/>
      <c r="W108" s="170"/>
      <c r="X108" s="170"/>
      <c r="Y108" s="170"/>
      <c r="Z108" s="170"/>
      <c r="AA108" s="170"/>
      <c r="AB108" s="170"/>
      <c r="AC108" s="170"/>
      <c r="AD108" s="170"/>
      <c r="AE108" s="170"/>
      <c r="AF108" s="170"/>
      <c r="AG108" s="170"/>
      <c r="AH108" s="170"/>
      <c r="AI108" s="170"/>
      <c r="AJ108" s="170"/>
      <c r="AK108" s="170"/>
      <c r="AL108" s="170"/>
      <c r="AM108" s="170"/>
      <c r="AN108" s="170"/>
      <c r="AO108" s="170"/>
      <c r="AP108" s="170"/>
      <c r="AQ108" s="170"/>
      <c r="AR108" s="170"/>
      <c r="AS108" s="170"/>
      <c r="AT108" s="170"/>
      <c r="AU108" s="170"/>
      <c r="AV108" s="170"/>
      <c r="AW108" s="170"/>
      <c r="AX108" s="170"/>
      <c r="AY108" s="170"/>
      <c r="AZ108" s="170"/>
      <c r="BA108" s="170"/>
      <c r="BB108" s="170"/>
      <c r="BC108" s="170"/>
      <c r="BD108" s="170"/>
      <c r="BE108" s="170"/>
      <c r="BF108" s="170"/>
      <c r="BG108" s="170"/>
      <c r="BH108" s="170"/>
      <c r="BI108" s="170"/>
      <c r="BJ108" s="170"/>
      <c r="BK108" s="170"/>
      <c r="BL108" s="170"/>
      <c r="BM108" s="170"/>
      <c r="BN108" s="170"/>
      <c r="BO108" s="170"/>
      <c r="BP108" s="170"/>
      <c r="BQ108" s="170"/>
      <c r="BR108" s="170"/>
      <c r="BS108" s="170"/>
      <c r="BT108" s="170"/>
      <c r="BU108" s="170"/>
      <c r="BV108" s="170"/>
      <c r="BW108" s="170"/>
      <c r="BX108" s="170"/>
      <c r="BY108" s="170"/>
      <c r="BZ108" s="170"/>
      <c r="CA108" s="170"/>
      <c r="CB108" s="170"/>
      <c r="CC108" s="170"/>
      <c r="CD108" s="170"/>
      <c r="CE108" s="170"/>
      <c r="CF108" s="170"/>
      <c r="CG108" s="170"/>
      <c r="CH108" s="170"/>
      <c r="CI108" s="170"/>
      <c r="CJ108" s="170"/>
      <c r="CK108" s="170"/>
      <c r="CL108" s="170"/>
      <c r="CM108" s="170"/>
      <c r="CN108" s="170"/>
      <c r="CO108" s="170"/>
      <c r="CP108" s="170"/>
      <c r="CQ108" s="170"/>
      <c r="CR108" s="170"/>
      <c r="CS108" s="170"/>
      <c r="CT108" s="170"/>
      <c r="CU108" s="170"/>
      <c r="CV108" s="170"/>
      <c r="CW108" s="170"/>
      <c r="CX108" s="170"/>
      <c r="CY108" s="170"/>
      <c r="CZ108" s="170"/>
      <c r="DA108" s="170"/>
      <c r="DB108" s="170"/>
      <c r="DC108" s="170"/>
      <c r="DD108" s="170"/>
      <c r="DE108" s="170"/>
      <c r="DF108" s="170"/>
      <c r="DG108" s="170"/>
      <c r="DH108" s="170"/>
      <c r="DI108" s="170"/>
      <c r="DJ108" s="170"/>
      <c r="DK108" s="170"/>
      <c r="DL108" s="170"/>
      <c r="DM108" s="170"/>
      <c r="DN108" s="170"/>
      <c r="DO108" s="170"/>
      <c r="DP108" s="170"/>
      <c r="DQ108" s="170"/>
      <c r="DR108" s="170"/>
      <c r="DS108" s="170"/>
      <c r="DT108" s="170"/>
      <c r="DU108" s="170"/>
      <c r="DV108" s="170"/>
      <c r="DW108" s="170"/>
      <c r="DX108" s="170"/>
      <c r="DY108" s="170"/>
      <c r="DZ108" s="170"/>
      <c r="EA108" s="170"/>
      <c r="EB108" s="170"/>
      <c r="EC108" s="170"/>
      <c r="ED108" s="170"/>
      <c r="EE108" s="170"/>
      <c r="EF108" s="170"/>
      <c r="EG108" s="170"/>
      <c r="EH108" s="170"/>
      <c r="EI108" s="170"/>
      <c r="EJ108" s="170"/>
      <c r="EK108" s="170"/>
      <c r="EL108" s="170"/>
      <c r="EM108" s="170"/>
      <c r="EN108" s="170"/>
      <c r="EO108" s="170"/>
      <c r="EP108" s="170"/>
    </row>
    <row r="109" ht="15.75" customHeight="1">
      <c r="A109" s="170"/>
      <c r="B109" s="170"/>
      <c r="C109" s="170"/>
      <c r="D109" s="170"/>
      <c r="E109" s="170"/>
      <c r="F109" s="170"/>
      <c r="G109" s="170"/>
      <c r="H109" s="170"/>
      <c r="I109" s="170"/>
      <c r="J109" s="170"/>
      <c r="K109" s="170"/>
      <c r="L109" s="170"/>
      <c r="M109" s="170"/>
      <c r="N109" s="170"/>
      <c r="O109" s="170"/>
      <c r="P109" s="170"/>
      <c r="Q109" s="170"/>
      <c r="R109" s="170"/>
      <c r="S109" s="170"/>
      <c r="T109" s="170"/>
      <c r="U109" s="170"/>
      <c r="V109" s="170"/>
      <c r="W109" s="170"/>
      <c r="X109" s="170"/>
      <c r="Y109" s="170"/>
      <c r="Z109" s="170"/>
      <c r="AA109" s="170"/>
      <c r="AB109" s="170"/>
      <c r="AC109" s="170"/>
      <c r="AD109" s="170"/>
      <c r="AE109" s="170"/>
      <c r="AF109" s="170"/>
      <c r="AG109" s="170"/>
      <c r="AH109" s="170"/>
      <c r="AI109" s="170"/>
      <c r="AJ109" s="170"/>
      <c r="AK109" s="170"/>
      <c r="AL109" s="170"/>
      <c r="AM109" s="170"/>
      <c r="AN109" s="170"/>
      <c r="AO109" s="170"/>
      <c r="AP109" s="170"/>
      <c r="AQ109" s="170"/>
      <c r="AR109" s="170"/>
      <c r="AS109" s="170"/>
      <c r="AT109" s="170"/>
      <c r="AU109" s="170"/>
      <c r="AV109" s="170"/>
      <c r="AW109" s="170"/>
      <c r="AX109" s="170"/>
      <c r="AY109" s="170"/>
      <c r="AZ109" s="170"/>
      <c r="BA109" s="170"/>
      <c r="BB109" s="170"/>
      <c r="BC109" s="170"/>
      <c r="BD109" s="170"/>
      <c r="BE109" s="170"/>
      <c r="BF109" s="170"/>
      <c r="BG109" s="170"/>
      <c r="BH109" s="170"/>
      <c r="BI109" s="170"/>
      <c r="BJ109" s="170"/>
      <c r="BK109" s="170"/>
      <c r="BL109" s="170"/>
      <c r="BM109" s="170"/>
      <c r="BN109" s="170"/>
      <c r="BO109" s="170"/>
      <c r="BP109" s="170"/>
      <c r="BQ109" s="170"/>
      <c r="BR109" s="170"/>
      <c r="BS109" s="170"/>
      <c r="BT109" s="170"/>
      <c r="BU109" s="170"/>
      <c r="BV109" s="170"/>
      <c r="BW109" s="170"/>
      <c r="BX109" s="170"/>
      <c r="BY109" s="170"/>
      <c r="BZ109" s="170"/>
      <c r="CA109" s="170"/>
      <c r="CB109" s="170"/>
      <c r="CC109" s="170"/>
      <c r="CD109" s="170"/>
      <c r="CE109" s="170"/>
      <c r="CF109" s="170"/>
      <c r="CG109" s="170"/>
      <c r="CH109" s="170"/>
      <c r="CI109" s="170"/>
      <c r="CJ109" s="170"/>
      <c r="CK109" s="170"/>
      <c r="CL109" s="170"/>
      <c r="CM109" s="170"/>
      <c r="CN109" s="170"/>
      <c r="CO109" s="170"/>
      <c r="CP109" s="170"/>
      <c r="CQ109" s="170"/>
      <c r="CR109" s="170"/>
      <c r="CS109" s="170"/>
      <c r="CT109" s="170"/>
      <c r="CU109" s="170"/>
      <c r="CV109" s="170"/>
      <c r="CW109" s="170"/>
      <c r="CX109" s="170"/>
      <c r="CY109" s="170"/>
      <c r="CZ109" s="170"/>
      <c r="DA109" s="170"/>
      <c r="DB109" s="170"/>
      <c r="DC109" s="170"/>
      <c r="DD109" s="170"/>
      <c r="DE109" s="170"/>
      <c r="DF109" s="170"/>
      <c r="DG109" s="170"/>
      <c r="DH109" s="170"/>
      <c r="DI109" s="170"/>
      <c r="DJ109" s="170"/>
      <c r="DK109" s="170"/>
      <c r="DL109" s="170"/>
      <c r="DM109" s="170"/>
      <c r="DN109" s="170"/>
      <c r="DO109" s="170"/>
      <c r="DP109" s="170"/>
      <c r="DQ109" s="170"/>
      <c r="DR109" s="170"/>
      <c r="DS109" s="170"/>
      <c r="DT109" s="170"/>
      <c r="DU109" s="170"/>
      <c r="DV109" s="170"/>
      <c r="DW109" s="170"/>
      <c r="DX109" s="170"/>
      <c r="DY109" s="170"/>
      <c r="DZ109" s="170"/>
      <c r="EA109" s="170"/>
      <c r="EB109" s="170"/>
      <c r="EC109" s="170"/>
      <c r="ED109" s="170"/>
      <c r="EE109" s="170"/>
      <c r="EF109" s="170"/>
      <c r="EG109" s="170"/>
      <c r="EH109" s="170"/>
      <c r="EI109" s="170"/>
      <c r="EJ109" s="170"/>
      <c r="EK109" s="170"/>
      <c r="EL109" s="170"/>
      <c r="EM109" s="170"/>
      <c r="EN109" s="170"/>
      <c r="EO109" s="170"/>
      <c r="EP109" s="170"/>
    </row>
    <row r="110" ht="15.75" customHeight="1">
      <c r="A110" s="170"/>
      <c r="B110" s="170"/>
      <c r="C110" s="170"/>
      <c r="D110" s="170"/>
      <c r="E110" s="170"/>
      <c r="F110" s="170"/>
      <c r="G110" s="170"/>
      <c r="H110" s="170"/>
      <c r="I110" s="170"/>
      <c r="J110" s="170"/>
      <c r="K110" s="170"/>
      <c r="L110" s="170"/>
      <c r="M110" s="170"/>
      <c r="N110" s="170"/>
      <c r="O110" s="170"/>
      <c r="P110" s="170"/>
      <c r="Q110" s="170"/>
      <c r="R110" s="170"/>
      <c r="S110" s="170"/>
      <c r="T110" s="170"/>
      <c r="U110" s="170"/>
      <c r="V110" s="170"/>
      <c r="W110" s="170"/>
      <c r="X110" s="170"/>
      <c r="Y110" s="170"/>
      <c r="Z110" s="170"/>
      <c r="AA110" s="170"/>
      <c r="AB110" s="170"/>
      <c r="AC110" s="170"/>
      <c r="AD110" s="170"/>
      <c r="AE110" s="170"/>
      <c r="AF110" s="170"/>
      <c r="AG110" s="170"/>
      <c r="AH110" s="170"/>
      <c r="AI110" s="170"/>
      <c r="AJ110" s="170"/>
      <c r="AK110" s="170"/>
      <c r="AL110" s="170"/>
      <c r="AM110" s="170"/>
      <c r="AN110" s="170"/>
      <c r="AO110" s="170"/>
      <c r="AP110" s="170"/>
      <c r="AQ110" s="170"/>
      <c r="AR110" s="170"/>
      <c r="AS110" s="170"/>
      <c r="AT110" s="170"/>
      <c r="AU110" s="170"/>
      <c r="AV110" s="170"/>
      <c r="AW110" s="170"/>
      <c r="AX110" s="170"/>
      <c r="AY110" s="170"/>
      <c r="AZ110" s="170"/>
      <c r="BA110" s="170"/>
      <c r="BB110" s="170"/>
      <c r="BC110" s="170"/>
      <c r="BD110" s="170"/>
      <c r="BE110" s="170"/>
      <c r="BF110" s="170"/>
      <c r="BG110" s="170"/>
      <c r="BH110" s="170"/>
      <c r="BI110" s="170"/>
      <c r="BJ110" s="170"/>
      <c r="BK110" s="170"/>
      <c r="BL110" s="170"/>
      <c r="BM110" s="170"/>
      <c r="BN110" s="170"/>
      <c r="BO110" s="170"/>
      <c r="BP110" s="170"/>
      <c r="BQ110" s="170"/>
      <c r="BR110" s="170"/>
      <c r="BS110" s="170"/>
      <c r="BT110" s="170"/>
      <c r="BU110" s="170"/>
      <c r="BV110" s="170"/>
      <c r="BW110" s="170"/>
      <c r="BX110" s="170"/>
      <c r="BY110" s="170"/>
      <c r="BZ110" s="170"/>
      <c r="CA110" s="170"/>
      <c r="CB110" s="170"/>
      <c r="CC110" s="170"/>
      <c r="CD110" s="170"/>
      <c r="CE110" s="170"/>
      <c r="CF110" s="170"/>
      <c r="CG110" s="170"/>
      <c r="CH110" s="170"/>
      <c r="CI110" s="170"/>
      <c r="CJ110" s="170"/>
      <c r="CK110" s="170"/>
      <c r="CL110" s="170"/>
      <c r="CM110" s="170"/>
      <c r="CN110" s="170"/>
      <c r="CO110" s="170"/>
      <c r="CP110" s="170"/>
      <c r="CQ110" s="170"/>
      <c r="CR110" s="170"/>
      <c r="CS110" s="170"/>
      <c r="CT110" s="170"/>
      <c r="CU110" s="170"/>
      <c r="CV110" s="170"/>
      <c r="CW110" s="170"/>
      <c r="CX110" s="170"/>
      <c r="CY110" s="170"/>
      <c r="CZ110" s="170"/>
      <c r="DA110" s="170"/>
      <c r="DB110" s="170"/>
      <c r="DC110" s="170"/>
      <c r="DD110" s="170"/>
      <c r="DE110" s="170"/>
      <c r="DF110" s="170"/>
      <c r="DG110" s="170"/>
      <c r="DH110" s="170"/>
      <c r="DI110" s="170"/>
      <c r="DJ110" s="170"/>
      <c r="DK110" s="170"/>
      <c r="DL110" s="170"/>
      <c r="DM110" s="170"/>
      <c r="DN110" s="170"/>
      <c r="DO110" s="170"/>
      <c r="DP110" s="170"/>
      <c r="DQ110" s="170"/>
      <c r="DR110" s="170"/>
      <c r="DS110" s="170"/>
      <c r="DT110" s="170"/>
      <c r="DU110" s="170"/>
      <c r="DV110" s="170"/>
      <c r="DW110" s="170"/>
      <c r="DX110" s="170"/>
      <c r="DY110" s="170"/>
      <c r="DZ110" s="170"/>
      <c r="EA110" s="170"/>
      <c r="EB110" s="170"/>
      <c r="EC110" s="170"/>
      <c r="ED110" s="170"/>
      <c r="EE110" s="170"/>
      <c r="EF110" s="170"/>
      <c r="EG110" s="170"/>
      <c r="EH110" s="170"/>
      <c r="EI110" s="170"/>
      <c r="EJ110" s="170"/>
      <c r="EK110" s="170"/>
      <c r="EL110" s="170"/>
      <c r="EM110" s="170"/>
      <c r="EN110" s="170"/>
      <c r="EO110" s="170"/>
      <c r="EP110" s="170"/>
    </row>
    <row r="111" ht="15.75" customHeight="1">
      <c r="A111" s="170"/>
      <c r="B111" s="170"/>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c r="Y111" s="170"/>
      <c r="Z111" s="170"/>
      <c r="AA111" s="170"/>
      <c r="AB111" s="170"/>
      <c r="AC111" s="170"/>
      <c r="AD111" s="170"/>
      <c r="AE111" s="170"/>
      <c r="AF111" s="170"/>
      <c r="AG111" s="170"/>
      <c r="AH111" s="170"/>
      <c r="AI111" s="170"/>
      <c r="AJ111" s="170"/>
      <c r="AK111" s="170"/>
      <c r="AL111" s="170"/>
      <c r="AM111" s="170"/>
      <c r="AN111" s="170"/>
      <c r="AO111" s="170"/>
      <c r="AP111" s="170"/>
      <c r="AQ111" s="170"/>
      <c r="AR111" s="170"/>
      <c r="AS111" s="170"/>
      <c r="AT111" s="170"/>
      <c r="AU111" s="170"/>
      <c r="AV111" s="170"/>
      <c r="AW111" s="170"/>
      <c r="AX111" s="170"/>
      <c r="AY111" s="170"/>
      <c r="AZ111" s="170"/>
      <c r="BA111" s="170"/>
      <c r="BB111" s="170"/>
      <c r="BC111" s="170"/>
      <c r="BD111" s="170"/>
      <c r="BE111" s="170"/>
      <c r="BF111" s="170"/>
      <c r="BG111" s="170"/>
      <c r="BH111" s="170"/>
      <c r="BI111" s="170"/>
      <c r="BJ111" s="170"/>
      <c r="BK111" s="170"/>
      <c r="BL111" s="170"/>
      <c r="BM111" s="170"/>
      <c r="BN111" s="170"/>
      <c r="BO111" s="170"/>
      <c r="BP111" s="170"/>
      <c r="BQ111" s="170"/>
      <c r="BR111" s="170"/>
      <c r="BS111" s="170"/>
      <c r="BT111" s="170"/>
      <c r="BU111" s="170"/>
      <c r="BV111" s="170"/>
      <c r="BW111" s="170"/>
      <c r="BX111" s="170"/>
      <c r="BY111" s="170"/>
      <c r="BZ111" s="170"/>
      <c r="CA111" s="170"/>
      <c r="CB111" s="170"/>
      <c r="CC111" s="170"/>
      <c r="CD111" s="170"/>
      <c r="CE111" s="170"/>
      <c r="CF111" s="170"/>
      <c r="CG111" s="170"/>
      <c r="CH111" s="170"/>
      <c r="CI111" s="170"/>
      <c r="CJ111" s="170"/>
      <c r="CK111" s="170"/>
      <c r="CL111" s="170"/>
      <c r="CM111" s="170"/>
      <c r="CN111" s="170"/>
      <c r="CO111" s="170"/>
      <c r="CP111" s="170"/>
      <c r="CQ111" s="170"/>
      <c r="CR111" s="170"/>
      <c r="CS111" s="170"/>
      <c r="CT111" s="170"/>
      <c r="CU111" s="170"/>
      <c r="CV111" s="170"/>
      <c r="CW111" s="170"/>
      <c r="CX111" s="170"/>
      <c r="CY111" s="170"/>
      <c r="CZ111" s="170"/>
      <c r="DA111" s="170"/>
      <c r="DB111" s="170"/>
      <c r="DC111" s="170"/>
      <c r="DD111" s="170"/>
      <c r="DE111" s="170"/>
      <c r="DF111" s="170"/>
      <c r="DG111" s="170"/>
      <c r="DH111" s="170"/>
      <c r="DI111" s="170"/>
      <c r="DJ111" s="170"/>
      <c r="DK111" s="170"/>
      <c r="DL111" s="170"/>
      <c r="DM111" s="170"/>
      <c r="DN111" s="170"/>
      <c r="DO111" s="170"/>
      <c r="DP111" s="170"/>
      <c r="DQ111" s="170"/>
      <c r="DR111" s="170"/>
      <c r="DS111" s="170"/>
      <c r="DT111" s="170"/>
      <c r="DU111" s="170"/>
      <c r="DV111" s="170"/>
      <c r="DW111" s="170"/>
      <c r="DX111" s="170"/>
      <c r="DY111" s="170"/>
      <c r="DZ111" s="170"/>
      <c r="EA111" s="170"/>
      <c r="EB111" s="170"/>
      <c r="EC111" s="170"/>
      <c r="ED111" s="170"/>
      <c r="EE111" s="170"/>
      <c r="EF111" s="170"/>
      <c r="EG111" s="170"/>
      <c r="EH111" s="170"/>
      <c r="EI111" s="170"/>
      <c r="EJ111" s="170"/>
      <c r="EK111" s="170"/>
      <c r="EL111" s="170"/>
      <c r="EM111" s="170"/>
      <c r="EN111" s="170"/>
      <c r="EO111" s="170"/>
      <c r="EP111" s="170"/>
    </row>
    <row r="112" ht="15.75" customHeight="1">
      <c r="A112" s="170"/>
      <c r="B112" s="170"/>
      <c r="C112" s="170"/>
      <c r="D112" s="170"/>
      <c r="E112" s="170"/>
      <c r="F112" s="170"/>
      <c r="G112" s="170"/>
      <c r="H112" s="170"/>
      <c r="I112" s="170"/>
      <c r="J112" s="170"/>
      <c r="K112" s="170"/>
      <c r="L112" s="170"/>
      <c r="M112" s="170"/>
      <c r="N112" s="170"/>
      <c r="O112" s="170"/>
      <c r="P112" s="170"/>
      <c r="Q112" s="170"/>
      <c r="R112" s="170"/>
      <c r="S112" s="170"/>
      <c r="T112" s="170"/>
      <c r="U112" s="170"/>
      <c r="V112" s="170"/>
      <c r="W112" s="170"/>
      <c r="X112" s="170"/>
      <c r="Y112" s="170"/>
      <c r="Z112" s="170"/>
      <c r="AA112" s="170"/>
      <c r="AB112" s="170"/>
      <c r="AC112" s="170"/>
      <c r="AD112" s="170"/>
      <c r="AE112" s="170"/>
      <c r="AF112" s="170"/>
      <c r="AG112" s="170"/>
      <c r="AH112" s="170"/>
      <c r="AI112" s="170"/>
      <c r="AJ112" s="170"/>
      <c r="AK112" s="170"/>
      <c r="AL112" s="170"/>
      <c r="AM112" s="170"/>
      <c r="AN112" s="170"/>
      <c r="AO112" s="170"/>
      <c r="AP112" s="170"/>
      <c r="AQ112" s="170"/>
      <c r="AR112" s="170"/>
      <c r="AS112" s="170"/>
      <c r="AT112" s="170"/>
      <c r="AU112" s="170"/>
      <c r="AV112" s="170"/>
      <c r="AW112" s="170"/>
      <c r="AX112" s="170"/>
      <c r="AY112" s="170"/>
      <c r="AZ112" s="170"/>
      <c r="BA112" s="170"/>
      <c r="BB112" s="170"/>
      <c r="BC112" s="170"/>
      <c r="BD112" s="170"/>
      <c r="BE112" s="170"/>
      <c r="BF112" s="170"/>
      <c r="BG112" s="170"/>
      <c r="BH112" s="170"/>
      <c r="BI112" s="170"/>
      <c r="BJ112" s="170"/>
      <c r="BK112" s="170"/>
      <c r="BL112" s="170"/>
      <c r="BM112" s="170"/>
      <c r="BN112" s="170"/>
      <c r="BO112" s="170"/>
      <c r="BP112" s="170"/>
      <c r="BQ112" s="170"/>
      <c r="BR112" s="170"/>
      <c r="BS112" s="170"/>
      <c r="BT112" s="170"/>
      <c r="BU112" s="170"/>
      <c r="BV112" s="170"/>
      <c r="BW112" s="170"/>
      <c r="BX112" s="170"/>
      <c r="BY112" s="170"/>
      <c r="BZ112" s="170"/>
      <c r="CA112" s="170"/>
      <c r="CB112" s="170"/>
      <c r="CC112" s="170"/>
      <c r="CD112" s="170"/>
      <c r="CE112" s="170"/>
      <c r="CF112" s="170"/>
      <c r="CG112" s="170"/>
      <c r="CH112" s="170"/>
      <c r="CI112" s="170"/>
      <c r="CJ112" s="170"/>
      <c r="CK112" s="170"/>
      <c r="CL112" s="170"/>
      <c r="CM112" s="170"/>
      <c r="CN112" s="170"/>
      <c r="CO112" s="170"/>
      <c r="CP112" s="170"/>
      <c r="CQ112" s="170"/>
      <c r="CR112" s="170"/>
      <c r="CS112" s="170"/>
      <c r="CT112" s="170"/>
      <c r="CU112" s="170"/>
      <c r="CV112" s="170"/>
      <c r="CW112" s="170"/>
      <c r="CX112" s="170"/>
      <c r="CY112" s="170"/>
      <c r="CZ112" s="170"/>
      <c r="DA112" s="170"/>
      <c r="DB112" s="170"/>
      <c r="DC112" s="170"/>
      <c r="DD112" s="170"/>
      <c r="DE112" s="170"/>
      <c r="DF112" s="170"/>
      <c r="DG112" s="170"/>
      <c r="DH112" s="170"/>
      <c r="DI112" s="170"/>
      <c r="DJ112" s="170"/>
      <c r="DK112" s="170"/>
      <c r="DL112" s="170"/>
      <c r="DM112" s="170"/>
      <c r="DN112" s="170"/>
      <c r="DO112" s="170"/>
      <c r="DP112" s="170"/>
      <c r="DQ112" s="170"/>
      <c r="DR112" s="170"/>
      <c r="DS112" s="170"/>
      <c r="DT112" s="170"/>
      <c r="DU112" s="170"/>
      <c r="DV112" s="170"/>
      <c r="DW112" s="170"/>
      <c r="DX112" s="170"/>
      <c r="DY112" s="170"/>
      <c r="DZ112" s="170"/>
      <c r="EA112" s="170"/>
      <c r="EB112" s="170"/>
      <c r="EC112" s="170"/>
      <c r="ED112" s="170"/>
      <c r="EE112" s="170"/>
      <c r="EF112" s="170"/>
      <c r="EG112" s="170"/>
      <c r="EH112" s="170"/>
      <c r="EI112" s="170"/>
      <c r="EJ112" s="170"/>
      <c r="EK112" s="170"/>
      <c r="EL112" s="170"/>
      <c r="EM112" s="170"/>
      <c r="EN112" s="170"/>
      <c r="EO112" s="170"/>
      <c r="EP112" s="170"/>
    </row>
    <row r="113" ht="15.75" customHeight="1">
      <c r="A113" s="170"/>
      <c r="B113" s="170"/>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c r="Y113" s="170"/>
      <c r="Z113" s="170"/>
      <c r="AA113" s="170"/>
      <c r="AB113" s="170"/>
      <c r="AC113" s="170"/>
      <c r="AD113" s="170"/>
      <c r="AE113" s="170"/>
      <c r="AF113" s="170"/>
      <c r="AG113" s="170"/>
      <c r="AH113" s="170"/>
      <c r="AI113" s="170"/>
      <c r="AJ113" s="170"/>
      <c r="AK113" s="170"/>
      <c r="AL113" s="170"/>
      <c r="AM113" s="170"/>
      <c r="AN113" s="170"/>
      <c r="AO113" s="170"/>
      <c r="AP113" s="170"/>
      <c r="AQ113" s="170"/>
      <c r="AR113" s="170"/>
      <c r="AS113" s="170"/>
      <c r="AT113" s="170"/>
      <c r="AU113" s="170"/>
      <c r="AV113" s="170"/>
      <c r="AW113" s="170"/>
      <c r="AX113" s="170"/>
      <c r="AY113" s="170"/>
      <c r="AZ113" s="170"/>
      <c r="BA113" s="170"/>
      <c r="BB113" s="170"/>
      <c r="BC113" s="170"/>
      <c r="BD113" s="170"/>
      <c r="BE113" s="170"/>
      <c r="BF113" s="170"/>
      <c r="BG113" s="170"/>
      <c r="BH113" s="170"/>
      <c r="BI113" s="170"/>
      <c r="BJ113" s="170"/>
      <c r="BK113" s="170"/>
      <c r="BL113" s="170"/>
      <c r="BM113" s="170"/>
      <c r="BN113" s="170"/>
      <c r="BO113" s="170"/>
      <c r="BP113" s="170"/>
      <c r="BQ113" s="170"/>
      <c r="BR113" s="170"/>
      <c r="BS113" s="170"/>
      <c r="BT113" s="170"/>
      <c r="BU113" s="170"/>
      <c r="BV113" s="170"/>
      <c r="BW113" s="170"/>
      <c r="BX113" s="170"/>
      <c r="BY113" s="170"/>
      <c r="BZ113" s="170"/>
      <c r="CA113" s="170"/>
      <c r="CB113" s="170"/>
      <c r="CC113" s="170"/>
      <c r="CD113" s="170"/>
      <c r="CE113" s="170"/>
      <c r="CF113" s="170"/>
      <c r="CG113" s="170"/>
      <c r="CH113" s="170"/>
      <c r="CI113" s="170"/>
      <c r="CJ113" s="170"/>
      <c r="CK113" s="170"/>
      <c r="CL113" s="170"/>
      <c r="CM113" s="170"/>
      <c r="CN113" s="170"/>
      <c r="CO113" s="170"/>
      <c r="CP113" s="170"/>
      <c r="CQ113" s="170"/>
      <c r="CR113" s="170"/>
      <c r="CS113" s="170"/>
      <c r="CT113" s="170"/>
      <c r="CU113" s="170"/>
      <c r="CV113" s="170"/>
      <c r="CW113" s="170"/>
      <c r="CX113" s="170"/>
      <c r="CY113" s="170"/>
      <c r="CZ113" s="170"/>
      <c r="DA113" s="170"/>
      <c r="DB113" s="170"/>
      <c r="DC113" s="170"/>
      <c r="DD113" s="170"/>
      <c r="DE113" s="170"/>
      <c r="DF113" s="170"/>
      <c r="DG113" s="170"/>
      <c r="DH113" s="170"/>
      <c r="DI113" s="170"/>
      <c r="DJ113" s="170"/>
      <c r="DK113" s="170"/>
      <c r="DL113" s="170"/>
      <c r="DM113" s="170"/>
      <c r="DN113" s="170"/>
      <c r="DO113" s="170"/>
      <c r="DP113" s="170"/>
      <c r="DQ113" s="170"/>
      <c r="DR113" s="170"/>
      <c r="DS113" s="170"/>
      <c r="DT113" s="170"/>
      <c r="DU113" s="170"/>
      <c r="DV113" s="170"/>
      <c r="DW113" s="170"/>
      <c r="DX113" s="170"/>
      <c r="DY113" s="170"/>
      <c r="DZ113" s="170"/>
      <c r="EA113" s="170"/>
      <c r="EB113" s="170"/>
      <c r="EC113" s="170"/>
      <c r="ED113" s="170"/>
      <c r="EE113" s="170"/>
      <c r="EF113" s="170"/>
      <c r="EG113" s="170"/>
      <c r="EH113" s="170"/>
      <c r="EI113" s="170"/>
      <c r="EJ113" s="170"/>
      <c r="EK113" s="170"/>
      <c r="EL113" s="170"/>
      <c r="EM113" s="170"/>
      <c r="EN113" s="170"/>
      <c r="EO113" s="170"/>
      <c r="EP113" s="170"/>
    </row>
    <row r="114" ht="15.75" customHeight="1">
      <c r="A114" s="170"/>
      <c r="B114" s="170"/>
      <c r="C114" s="170"/>
      <c r="D114" s="170"/>
      <c r="E114" s="170"/>
      <c r="F114" s="170"/>
      <c r="G114" s="170"/>
      <c r="H114" s="170"/>
      <c r="I114" s="170"/>
      <c r="J114" s="170"/>
      <c r="K114" s="170"/>
      <c r="L114" s="170"/>
      <c r="M114" s="170"/>
      <c r="N114" s="170"/>
      <c r="O114" s="170"/>
      <c r="P114" s="170"/>
      <c r="Q114" s="170"/>
      <c r="R114" s="170"/>
      <c r="S114" s="170"/>
      <c r="T114" s="170"/>
      <c r="U114" s="170"/>
      <c r="V114" s="170"/>
      <c r="W114" s="170"/>
      <c r="X114" s="170"/>
      <c r="Y114" s="170"/>
      <c r="Z114" s="170"/>
      <c r="AA114" s="170"/>
      <c r="AB114" s="170"/>
      <c r="AC114" s="170"/>
      <c r="AD114" s="170"/>
      <c r="AE114" s="170"/>
      <c r="AF114" s="170"/>
      <c r="AG114" s="170"/>
      <c r="AH114" s="170"/>
      <c r="AI114" s="170"/>
      <c r="AJ114" s="170"/>
      <c r="AK114" s="170"/>
      <c r="AL114" s="170"/>
      <c r="AM114" s="170"/>
      <c r="AN114" s="170"/>
      <c r="AO114" s="170"/>
      <c r="AP114" s="170"/>
      <c r="AQ114" s="170"/>
      <c r="AR114" s="170"/>
      <c r="AS114" s="170"/>
      <c r="AT114" s="170"/>
      <c r="AU114" s="170"/>
      <c r="AV114" s="170"/>
      <c r="AW114" s="170"/>
      <c r="AX114" s="170"/>
      <c r="AY114" s="170"/>
      <c r="AZ114" s="170"/>
      <c r="BA114" s="170"/>
      <c r="BB114" s="170"/>
      <c r="BC114" s="170"/>
      <c r="BD114" s="170"/>
      <c r="BE114" s="170"/>
      <c r="BF114" s="170"/>
      <c r="BG114" s="170"/>
      <c r="BH114" s="170"/>
      <c r="BI114" s="170"/>
      <c r="BJ114" s="170"/>
      <c r="BK114" s="170"/>
      <c r="BL114" s="170"/>
      <c r="BM114" s="170"/>
      <c r="BN114" s="170"/>
      <c r="BO114" s="170"/>
      <c r="BP114" s="170"/>
      <c r="BQ114" s="170"/>
      <c r="BR114" s="170"/>
      <c r="BS114" s="170"/>
      <c r="BT114" s="170"/>
      <c r="BU114" s="170"/>
      <c r="BV114" s="170"/>
      <c r="BW114" s="170"/>
      <c r="BX114" s="170"/>
      <c r="BY114" s="170"/>
      <c r="BZ114" s="170"/>
      <c r="CA114" s="170"/>
      <c r="CB114" s="170"/>
      <c r="CC114" s="170"/>
      <c r="CD114" s="170"/>
      <c r="CE114" s="170"/>
      <c r="CF114" s="170"/>
      <c r="CG114" s="170"/>
      <c r="CH114" s="170"/>
      <c r="CI114" s="170"/>
      <c r="CJ114" s="170"/>
      <c r="CK114" s="170"/>
      <c r="CL114" s="170"/>
      <c r="CM114" s="170"/>
      <c r="CN114" s="170"/>
      <c r="CO114" s="170"/>
      <c r="CP114" s="170"/>
      <c r="CQ114" s="170"/>
      <c r="CR114" s="170"/>
      <c r="CS114" s="170"/>
      <c r="CT114" s="170"/>
      <c r="CU114" s="170"/>
      <c r="CV114" s="170"/>
      <c r="CW114" s="170"/>
      <c r="CX114" s="170"/>
      <c r="CY114" s="170"/>
      <c r="CZ114" s="170"/>
      <c r="DA114" s="170"/>
      <c r="DB114" s="170"/>
      <c r="DC114" s="170"/>
      <c r="DD114" s="170"/>
      <c r="DE114" s="170"/>
      <c r="DF114" s="170"/>
      <c r="DG114" s="170"/>
      <c r="DH114" s="170"/>
      <c r="DI114" s="170"/>
      <c r="DJ114" s="170"/>
      <c r="DK114" s="170"/>
      <c r="DL114" s="170"/>
      <c r="DM114" s="170"/>
      <c r="DN114" s="170"/>
      <c r="DO114" s="170"/>
      <c r="DP114" s="170"/>
      <c r="DQ114" s="170"/>
      <c r="DR114" s="170"/>
      <c r="DS114" s="170"/>
      <c r="DT114" s="170"/>
      <c r="DU114" s="170"/>
      <c r="DV114" s="170"/>
      <c r="DW114" s="170"/>
      <c r="DX114" s="170"/>
      <c r="DY114" s="170"/>
      <c r="DZ114" s="170"/>
      <c r="EA114" s="170"/>
      <c r="EB114" s="170"/>
      <c r="EC114" s="170"/>
      <c r="ED114" s="170"/>
      <c r="EE114" s="170"/>
      <c r="EF114" s="170"/>
      <c r="EG114" s="170"/>
      <c r="EH114" s="170"/>
      <c r="EI114" s="170"/>
      <c r="EJ114" s="170"/>
      <c r="EK114" s="170"/>
      <c r="EL114" s="170"/>
      <c r="EM114" s="170"/>
      <c r="EN114" s="170"/>
      <c r="EO114" s="170"/>
      <c r="EP114" s="170"/>
    </row>
    <row r="115" ht="15.75" customHeight="1">
      <c r="A115" s="170"/>
      <c r="B115" s="170"/>
      <c r="C115" s="170"/>
      <c r="D115" s="170"/>
      <c r="E115" s="170"/>
      <c r="F115" s="170"/>
      <c r="G115" s="170"/>
      <c r="H115" s="170"/>
      <c r="I115" s="170"/>
      <c r="J115" s="170"/>
      <c r="K115" s="170"/>
      <c r="L115" s="170"/>
      <c r="M115" s="170"/>
      <c r="N115" s="170"/>
      <c r="O115" s="170"/>
      <c r="P115" s="170"/>
      <c r="Q115" s="170"/>
      <c r="R115" s="170"/>
      <c r="S115" s="170"/>
      <c r="T115" s="170"/>
      <c r="U115" s="170"/>
      <c r="V115" s="170"/>
      <c r="W115" s="170"/>
      <c r="X115" s="170"/>
      <c r="Y115" s="170"/>
      <c r="Z115" s="170"/>
      <c r="AA115" s="170"/>
      <c r="AB115" s="170"/>
      <c r="AC115" s="170"/>
      <c r="AD115" s="170"/>
      <c r="AE115" s="170"/>
      <c r="AF115" s="170"/>
      <c r="AG115" s="170"/>
      <c r="AH115" s="170"/>
      <c r="AI115" s="170"/>
      <c r="AJ115" s="170"/>
      <c r="AK115" s="170"/>
      <c r="AL115" s="170"/>
      <c r="AM115" s="170"/>
      <c r="AN115" s="170"/>
      <c r="AO115" s="170"/>
      <c r="AP115" s="170"/>
      <c r="AQ115" s="170"/>
      <c r="AR115" s="170"/>
      <c r="AS115" s="170"/>
      <c r="AT115" s="170"/>
      <c r="AU115" s="170"/>
      <c r="AV115" s="170"/>
      <c r="AW115" s="170"/>
      <c r="AX115" s="170"/>
      <c r="AY115" s="170"/>
      <c r="AZ115" s="170"/>
      <c r="BA115" s="170"/>
      <c r="BB115" s="170"/>
      <c r="BC115" s="170"/>
      <c r="BD115" s="170"/>
      <c r="BE115" s="170"/>
      <c r="BF115" s="170"/>
      <c r="BG115" s="170"/>
      <c r="BH115" s="170"/>
      <c r="BI115" s="170"/>
      <c r="BJ115" s="170"/>
      <c r="BK115" s="170"/>
      <c r="BL115" s="170"/>
      <c r="BM115" s="170"/>
      <c r="BN115" s="170"/>
      <c r="BO115" s="170"/>
      <c r="BP115" s="170"/>
      <c r="BQ115" s="170"/>
      <c r="BR115" s="170"/>
      <c r="BS115" s="170"/>
      <c r="BT115" s="170"/>
      <c r="BU115" s="170"/>
      <c r="BV115" s="170"/>
      <c r="BW115" s="170"/>
      <c r="BX115" s="170"/>
      <c r="BY115" s="170"/>
      <c r="BZ115" s="170"/>
      <c r="CA115" s="170"/>
      <c r="CB115" s="170"/>
      <c r="CC115" s="170"/>
      <c r="CD115" s="170"/>
      <c r="CE115" s="170"/>
      <c r="CF115" s="170"/>
      <c r="CG115" s="170"/>
      <c r="CH115" s="170"/>
      <c r="CI115" s="170"/>
      <c r="CJ115" s="170"/>
      <c r="CK115" s="170"/>
      <c r="CL115" s="170"/>
      <c r="CM115" s="170"/>
      <c r="CN115" s="170"/>
      <c r="CO115" s="170"/>
      <c r="CP115" s="170"/>
      <c r="CQ115" s="170"/>
      <c r="CR115" s="170"/>
      <c r="CS115" s="170"/>
      <c r="CT115" s="170"/>
      <c r="CU115" s="170"/>
      <c r="CV115" s="170"/>
      <c r="CW115" s="170"/>
      <c r="CX115" s="170"/>
      <c r="CY115" s="170"/>
      <c r="CZ115" s="170"/>
      <c r="DA115" s="170"/>
      <c r="DB115" s="170"/>
      <c r="DC115" s="170"/>
      <c r="DD115" s="170"/>
      <c r="DE115" s="170"/>
      <c r="DF115" s="170"/>
      <c r="DG115" s="170"/>
      <c r="DH115" s="170"/>
      <c r="DI115" s="170"/>
      <c r="DJ115" s="170"/>
      <c r="DK115" s="170"/>
      <c r="DL115" s="170"/>
      <c r="DM115" s="170"/>
      <c r="DN115" s="170"/>
      <c r="DO115" s="170"/>
      <c r="DP115" s="170"/>
      <c r="DQ115" s="170"/>
      <c r="DR115" s="170"/>
      <c r="DS115" s="170"/>
      <c r="DT115" s="170"/>
      <c r="DU115" s="170"/>
      <c r="DV115" s="170"/>
      <c r="DW115" s="170"/>
      <c r="DX115" s="170"/>
      <c r="DY115" s="170"/>
      <c r="DZ115" s="170"/>
      <c r="EA115" s="170"/>
      <c r="EB115" s="170"/>
      <c r="EC115" s="170"/>
      <c r="ED115" s="170"/>
      <c r="EE115" s="170"/>
      <c r="EF115" s="170"/>
      <c r="EG115" s="170"/>
      <c r="EH115" s="170"/>
      <c r="EI115" s="170"/>
      <c r="EJ115" s="170"/>
      <c r="EK115" s="170"/>
      <c r="EL115" s="170"/>
      <c r="EM115" s="170"/>
      <c r="EN115" s="170"/>
      <c r="EO115" s="170"/>
      <c r="EP115" s="170"/>
    </row>
    <row r="116" ht="15.75" customHeight="1">
      <c r="A116" s="170"/>
      <c r="B116" s="170"/>
      <c r="C116" s="170"/>
      <c r="D116" s="170"/>
      <c r="E116" s="170"/>
      <c r="F116" s="170"/>
      <c r="G116" s="170"/>
      <c r="H116" s="170"/>
      <c r="I116" s="170"/>
      <c r="J116" s="170"/>
      <c r="K116" s="170"/>
      <c r="L116" s="170"/>
      <c r="M116" s="170"/>
      <c r="N116" s="170"/>
      <c r="O116" s="170"/>
      <c r="P116" s="170"/>
      <c r="Q116" s="170"/>
      <c r="R116" s="170"/>
      <c r="S116" s="170"/>
      <c r="T116" s="170"/>
      <c r="U116" s="170"/>
      <c r="V116" s="170"/>
      <c r="W116" s="170"/>
      <c r="X116" s="170"/>
      <c r="Y116" s="170"/>
      <c r="Z116" s="170"/>
      <c r="AA116" s="170"/>
      <c r="AB116" s="170"/>
      <c r="AC116" s="170"/>
      <c r="AD116" s="170"/>
      <c r="AE116" s="170"/>
      <c r="AF116" s="170"/>
      <c r="AG116" s="170"/>
      <c r="AH116" s="170"/>
      <c r="AI116" s="170"/>
      <c r="AJ116" s="170"/>
      <c r="AK116" s="170"/>
      <c r="AL116" s="170"/>
      <c r="AM116" s="170"/>
      <c r="AN116" s="170"/>
      <c r="AO116" s="170"/>
      <c r="AP116" s="170"/>
      <c r="AQ116" s="170"/>
      <c r="AR116" s="170"/>
      <c r="AS116" s="170"/>
      <c r="AT116" s="170"/>
      <c r="AU116" s="170"/>
      <c r="AV116" s="170"/>
      <c r="AW116" s="170"/>
      <c r="AX116" s="170"/>
      <c r="AY116" s="170"/>
      <c r="AZ116" s="170"/>
      <c r="BA116" s="170"/>
      <c r="BB116" s="170"/>
      <c r="BC116" s="170"/>
      <c r="BD116" s="170"/>
      <c r="BE116" s="170"/>
      <c r="BF116" s="170"/>
      <c r="BG116" s="170"/>
      <c r="BH116" s="170"/>
      <c r="BI116" s="170"/>
      <c r="BJ116" s="170"/>
      <c r="BK116" s="170"/>
      <c r="BL116" s="170"/>
      <c r="BM116" s="170"/>
      <c r="BN116" s="170"/>
      <c r="BO116" s="170"/>
      <c r="BP116" s="170"/>
      <c r="BQ116" s="170"/>
      <c r="BR116" s="170"/>
      <c r="BS116" s="170"/>
      <c r="BT116" s="170"/>
      <c r="BU116" s="170"/>
      <c r="BV116" s="170"/>
      <c r="BW116" s="170"/>
      <c r="BX116" s="170"/>
      <c r="BY116" s="170"/>
      <c r="BZ116" s="170"/>
      <c r="CA116" s="170"/>
      <c r="CB116" s="170"/>
      <c r="CC116" s="170"/>
      <c r="CD116" s="170"/>
      <c r="CE116" s="170"/>
      <c r="CF116" s="170"/>
      <c r="CG116" s="170"/>
      <c r="CH116" s="170"/>
      <c r="CI116" s="170"/>
      <c r="CJ116" s="170"/>
      <c r="CK116" s="170"/>
      <c r="CL116" s="170"/>
      <c r="CM116" s="170"/>
      <c r="CN116" s="170"/>
      <c r="CO116" s="170"/>
      <c r="CP116" s="170"/>
      <c r="CQ116" s="170"/>
      <c r="CR116" s="170"/>
      <c r="CS116" s="170"/>
      <c r="CT116" s="170"/>
      <c r="CU116" s="170"/>
      <c r="CV116" s="170"/>
      <c r="CW116" s="170"/>
      <c r="CX116" s="170"/>
      <c r="CY116" s="170"/>
      <c r="CZ116" s="170"/>
      <c r="DA116" s="170"/>
      <c r="DB116" s="170"/>
      <c r="DC116" s="170"/>
      <c r="DD116" s="170"/>
      <c r="DE116" s="170"/>
      <c r="DF116" s="170"/>
      <c r="DG116" s="170"/>
      <c r="DH116" s="170"/>
      <c r="DI116" s="170"/>
      <c r="DJ116" s="170"/>
      <c r="DK116" s="170"/>
      <c r="DL116" s="170"/>
      <c r="DM116" s="170"/>
      <c r="DN116" s="170"/>
      <c r="DO116" s="170"/>
      <c r="DP116" s="170"/>
      <c r="DQ116" s="170"/>
      <c r="DR116" s="170"/>
      <c r="DS116" s="170"/>
      <c r="DT116" s="170"/>
      <c r="DU116" s="170"/>
      <c r="DV116" s="170"/>
      <c r="DW116" s="170"/>
      <c r="DX116" s="170"/>
      <c r="DY116" s="170"/>
      <c r="DZ116" s="170"/>
      <c r="EA116" s="170"/>
      <c r="EB116" s="170"/>
      <c r="EC116" s="170"/>
      <c r="ED116" s="170"/>
      <c r="EE116" s="170"/>
      <c r="EF116" s="170"/>
      <c r="EG116" s="170"/>
      <c r="EH116" s="170"/>
      <c r="EI116" s="170"/>
      <c r="EJ116" s="170"/>
      <c r="EK116" s="170"/>
      <c r="EL116" s="170"/>
      <c r="EM116" s="170"/>
      <c r="EN116" s="170"/>
      <c r="EO116" s="170"/>
      <c r="EP116" s="170"/>
    </row>
    <row r="117" ht="15.75" customHeight="1">
      <c r="A117" s="170"/>
      <c r="B117" s="170"/>
      <c r="C117" s="170"/>
      <c r="D117" s="170"/>
      <c r="E117" s="170"/>
      <c r="F117" s="170"/>
      <c r="G117" s="170"/>
      <c r="H117" s="170"/>
      <c r="I117" s="170"/>
      <c r="J117" s="170"/>
      <c r="K117" s="170"/>
      <c r="L117" s="170"/>
      <c r="M117" s="170"/>
      <c r="N117" s="170"/>
      <c r="O117" s="170"/>
      <c r="P117" s="170"/>
      <c r="Q117" s="170"/>
      <c r="R117" s="170"/>
      <c r="S117" s="170"/>
      <c r="T117" s="170"/>
      <c r="U117" s="170"/>
      <c r="V117" s="170"/>
      <c r="W117" s="170"/>
      <c r="X117" s="170"/>
      <c r="Y117" s="170"/>
      <c r="Z117" s="170"/>
      <c r="AA117" s="170"/>
      <c r="AB117" s="170"/>
      <c r="AC117" s="170"/>
      <c r="AD117" s="170"/>
      <c r="AE117" s="170"/>
      <c r="AF117" s="170"/>
      <c r="AG117" s="170"/>
      <c r="AH117" s="170"/>
      <c r="AI117" s="170"/>
      <c r="AJ117" s="170"/>
      <c r="AK117" s="170"/>
      <c r="AL117" s="170"/>
      <c r="AM117" s="170"/>
      <c r="AN117" s="170"/>
      <c r="AO117" s="170"/>
      <c r="AP117" s="170"/>
      <c r="AQ117" s="170"/>
      <c r="AR117" s="170"/>
      <c r="AS117" s="170"/>
      <c r="AT117" s="170"/>
      <c r="AU117" s="170"/>
      <c r="AV117" s="170"/>
      <c r="AW117" s="170"/>
      <c r="AX117" s="170"/>
      <c r="AY117" s="170"/>
      <c r="AZ117" s="170"/>
      <c r="BA117" s="170"/>
      <c r="BB117" s="170"/>
      <c r="BC117" s="170"/>
      <c r="BD117" s="170"/>
      <c r="BE117" s="170"/>
      <c r="BF117" s="170"/>
      <c r="BG117" s="170"/>
      <c r="BH117" s="170"/>
      <c r="BI117" s="170"/>
      <c r="BJ117" s="170"/>
      <c r="BK117" s="170"/>
      <c r="BL117" s="170"/>
      <c r="BM117" s="170"/>
      <c r="BN117" s="170"/>
      <c r="BO117" s="170"/>
      <c r="BP117" s="170"/>
      <c r="BQ117" s="170"/>
      <c r="BR117" s="170"/>
      <c r="BS117" s="170"/>
      <c r="BT117" s="170"/>
      <c r="BU117" s="170"/>
      <c r="BV117" s="170"/>
      <c r="BW117" s="170"/>
      <c r="BX117" s="170"/>
      <c r="BY117" s="170"/>
      <c r="BZ117" s="170"/>
      <c r="CA117" s="170"/>
      <c r="CB117" s="170"/>
      <c r="CC117" s="170"/>
      <c r="CD117" s="170"/>
      <c r="CE117" s="170"/>
      <c r="CF117" s="170"/>
      <c r="CG117" s="170"/>
      <c r="CH117" s="170"/>
      <c r="CI117" s="170"/>
      <c r="CJ117" s="170"/>
      <c r="CK117" s="170"/>
      <c r="CL117" s="170"/>
      <c r="CM117" s="170"/>
      <c r="CN117" s="170"/>
      <c r="CO117" s="170"/>
      <c r="CP117" s="170"/>
      <c r="CQ117" s="170"/>
      <c r="CR117" s="170"/>
      <c r="CS117" s="170"/>
      <c r="CT117" s="170"/>
      <c r="CU117" s="170"/>
      <c r="CV117" s="170"/>
      <c r="CW117" s="170"/>
      <c r="CX117" s="170"/>
      <c r="CY117" s="170"/>
      <c r="CZ117" s="170"/>
      <c r="DA117" s="170"/>
      <c r="DB117" s="170"/>
      <c r="DC117" s="170"/>
      <c r="DD117" s="170"/>
      <c r="DE117" s="170"/>
      <c r="DF117" s="170"/>
      <c r="DG117" s="170"/>
      <c r="DH117" s="170"/>
      <c r="DI117" s="170"/>
      <c r="DJ117" s="170"/>
      <c r="DK117" s="170"/>
      <c r="DL117" s="170"/>
      <c r="DM117" s="170"/>
      <c r="DN117" s="170"/>
      <c r="DO117" s="170"/>
      <c r="DP117" s="170"/>
      <c r="DQ117" s="170"/>
      <c r="DR117" s="170"/>
      <c r="DS117" s="170"/>
      <c r="DT117" s="170"/>
      <c r="DU117" s="170"/>
      <c r="DV117" s="170"/>
      <c r="DW117" s="170"/>
      <c r="DX117" s="170"/>
      <c r="DY117" s="170"/>
      <c r="DZ117" s="170"/>
      <c r="EA117" s="170"/>
      <c r="EB117" s="170"/>
      <c r="EC117" s="170"/>
      <c r="ED117" s="170"/>
      <c r="EE117" s="170"/>
      <c r="EF117" s="170"/>
      <c r="EG117" s="170"/>
      <c r="EH117" s="170"/>
      <c r="EI117" s="170"/>
      <c r="EJ117" s="170"/>
      <c r="EK117" s="170"/>
      <c r="EL117" s="170"/>
      <c r="EM117" s="170"/>
      <c r="EN117" s="170"/>
      <c r="EO117" s="170"/>
      <c r="EP117" s="170"/>
    </row>
    <row r="118" ht="15.75" customHeight="1">
      <c r="A118" s="170"/>
      <c r="B118" s="170"/>
      <c r="C118" s="170"/>
      <c r="D118" s="170"/>
      <c r="E118" s="170"/>
      <c r="F118" s="170"/>
      <c r="G118" s="170"/>
      <c r="H118" s="170"/>
      <c r="I118" s="170"/>
      <c r="J118" s="170"/>
      <c r="K118" s="170"/>
      <c r="L118" s="170"/>
      <c r="M118" s="170"/>
      <c r="N118" s="170"/>
      <c r="O118" s="170"/>
      <c r="P118" s="170"/>
      <c r="Q118" s="170"/>
      <c r="R118" s="170"/>
      <c r="S118" s="170"/>
      <c r="T118" s="170"/>
      <c r="U118" s="170"/>
      <c r="V118" s="170"/>
      <c r="W118" s="170"/>
      <c r="X118" s="170"/>
      <c r="Y118" s="170"/>
      <c r="Z118" s="170"/>
      <c r="AA118" s="170"/>
      <c r="AB118" s="170"/>
      <c r="AC118" s="170"/>
      <c r="AD118" s="170"/>
      <c r="AE118" s="170"/>
      <c r="AF118" s="170"/>
      <c r="AG118" s="170"/>
      <c r="AH118" s="170"/>
      <c r="AI118" s="170"/>
      <c r="AJ118" s="170"/>
      <c r="AK118" s="170"/>
      <c r="AL118" s="170"/>
      <c r="AM118" s="170"/>
      <c r="AN118" s="170"/>
      <c r="AO118" s="170"/>
      <c r="AP118" s="170"/>
      <c r="AQ118" s="170"/>
      <c r="AR118" s="170"/>
      <c r="AS118" s="170"/>
      <c r="AT118" s="170"/>
      <c r="AU118" s="170"/>
      <c r="AV118" s="170"/>
      <c r="AW118" s="170"/>
      <c r="AX118" s="170"/>
      <c r="AY118" s="170"/>
      <c r="AZ118" s="170"/>
      <c r="BA118" s="170"/>
      <c r="BB118" s="170"/>
      <c r="BC118" s="170"/>
      <c r="BD118" s="170"/>
      <c r="BE118" s="170"/>
      <c r="BF118" s="170"/>
      <c r="BG118" s="170"/>
      <c r="BH118" s="170"/>
      <c r="BI118" s="170"/>
      <c r="BJ118" s="170"/>
      <c r="BK118" s="170"/>
      <c r="BL118" s="170"/>
      <c r="BM118" s="170"/>
      <c r="BN118" s="170"/>
      <c r="BO118" s="170"/>
      <c r="BP118" s="170"/>
      <c r="BQ118" s="170"/>
      <c r="BR118" s="170"/>
      <c r="BS118" s="170"/>
      <c r="BT118" s="170"/>
      <c r="BU118" s="170"/>
      <c r="BV118" s="170"/>
      <c r="BW118" s="170"/>
      <c r="BX118" s="170"/>
      <c r="BY118" s="170"/>
      <c r="BZ118" s="170"/>
      <c r="CA118" s="170"/>
      <c r="CB118" s="170"/>
      <c r="CC118" s="170"/>
      <c r="CD118" s="170"/>
      <c r="CE118" s="170"/>
      <c r="CF118" s="170"/>
      <c r="CG118" s="170"/>
      <c r="CH118" s="170"/>
      <c r="CI118" s="170"/>
      <c r="CJ118" s="170"/>
      <c r="CK118" s="170"/>
      <c r="CL118" s="170"/>
      <c r="CM118" s="170"/>
      <c r="CN118" s="170"/>
      <c r="CO118" s="170"/>
      <c r="CP118" s="170"/>
      <c r="CQ118" s="170"/>
      <c r="CR118" s="170"/>
      <c r="CS118" s="170"/>
      <c r="CT118" s="170"/>
      <c r="CU118" s="170"/>
      <c r="CV118" s="170"/>
      <c r="CW118" s="170"/>
      <c r="CX118" s="170"/>
      <c r="CY118" s="170"/>
      <c r="CZ118" s="170"/>
      <c r="DA118" s="170"/>
      <c r="DB118" s="170"/>
      <c r="DC118" s="170"/>
      <c r="DD118" s="170"/>
      <c r="DE118" s="170"/>
      <c r="DF118" s="170"/>
      <c r="DG118" s="170"/>
      <c r="DH118" s="170"/>
      <c r="DI118" s="170"/>
      <c r="DJ118" s="170"/>
      <c r="DK118" s="170"/>
      <c r="DL118" s="170"/>
      <c r="DM118" s="170"/>
      <c r="DN118" s="170"/>
      <c r="DO118" s="170"/>
      <c r="DP118" s="170"/>
      <c r="DQ118" s="170"/>
      <c r="DR118" s="170"/>
      <c r="DS118" s="170"/>
      <c r="DT118" s="170"/>
      <c r="DU118" s="170"/>
      <c r="DV118" s="170"/>
      <c r="DW118" s="170"/>
      <c r="DX118" s="170"/>
      <c r="DY118" s="170"/>
      <c r="DZ118" s="170"/>
      <c r="EA118" s="170"/>
      <c r="EB118" s="170"/>
      <c r="EC118" s="170"/>
      <c r="ED118" s="170"/>
      <c r="EE118" s="170"/>
      <c r="EF118" s="170"/>
      <c r="EG118" s="170"/>
      <c r="EH118" s="170"/>
      <c r="EI118" s="170"/>
      <c r="EJ118" s="170"/>
      <c r="EK118" s="170"/>
      <c r="EL118" s="170"/>
      <c r="EM118" s="170"/>
      <c r="EN118" s="170"/>
      <c r="EO118" s="170"/>
      <c r="EP118" s="170"/>
    </row>
    <row r="119" ht="15.75" customHeight="1">
      <c r="A119" s="170"/>
      <c r="B119" s="170"/>
      <c r="C119" s="170"/>
      <c r="D119" s="170"/>
      <c r="E119" s="170"/>
      <c r="F119" s="170"/>
      <c r="G119" s="170"/>
      <c r="H119" s="170"/>
      <c r="I119" s="170"/>
      <c r="J119" s="170"/>
      <c r="K119" s="170"/>
      <c r="L119" s="170"/>
      <c r="M119" s="170"/>
      <c r="N119" s="170"/>
      <c r="O119" s="170"/>
      <c r="P119" s="170"/>
      <c r="Q119" s="170"/>
      <c r="R119" s="170"/>
      <c r="S119" s="170"/>
      <c r="T119" s="170"/>
      <c r="U119" s="170"/>
      <c r="V119" s="170"/>
      <c r="W119" s="170"/>
      <c r="X119" s="170"/>
      <c r="Y119" s="170"/>
      <c r="Z119" s="170"/>
      <c r="AA119" s="170"/>
      <c r="AB119" s="170"/>
      <c r="AC119" s="170"/>
      <c r="AD119" s="170"/>
      <c r="AE119" s="170"/>
      <c r="AF119" s="170"/>
      <c r="AG119" s="170"/>
      <c r="AH119" s="170"/>
      <c r="AI119" s="170"/>
      <c r="AJ119" s="170"/>
      <c r="AK119" s="170"/>
      <c r="AL119" s="170"/>
      <c r="AM119" s="170"/>
      <c r="AN119" s="170"/>
      <c r="AO119" s="170"/>
      <c r="AP119" s="170"/>
      <c r="AQ119" s="170"/>
      <c r="AR119" s="170"/>
      <c r="AS119" s="170"/>
      <c r="AT119" s="170"/>
      <c r="AU119" s="170"/>
      <c r="AV119" s="170"/>
      <c r="AW119" s="170"/>
      <c r="AX119" s="170"/>
      <c r="AY119" s="170"/>
      <c r="AZ119" s="170"/>
      <c r="BA119" s="170"/>
      <c r="BB119" s="170"/>
      <c r="BC119" s="170"/>
      <c r="BD119" s="170"/>
      <c r="BE119" s="170"/>
      <c r="BF119" s="170"/>
      <c r="BG119" s="170"/>
      <c r="BH119" s="170"/>
      <c r="BI119" s="170"/>
      <c r="BJ119" s="170"/>
      <c r="BK119" s="170"/>
      <c r="BL119" s="170"/>
      <c r="BM119" s="170"/>
      <c r="BN119" s="170"/>
      <c r="BO119" s="170"/>
      <c r="BP119" s="170"/>
      <c r="BQ119" s="170"/>
      <c r="BR119" s="170"/>
      <c r="BS119" s="170"/>
      <c r="BT119" s="170"/>
      <c r="BU119" s="170"/>
      <c r="BV119" s="170"/>
      <c r="BW119" s="170"/>
      <c r="BX119" s="170"/>
      <c r="BY119" s="170"/>
      <c r="BZ119" s="170"/>
      <c r="CA119" s="170"/>
      <c r="CB119" s="170"/>
      <c r="CC119" s="170"/>
      <c r="CD119" s="170"/>
      <c r="CE119" s="170"/>
      <c r="CF119" s="170"/>
      <c r="CG119" s="170"/>
      <c r="CH119" s="170"/>
      <c r="CI119" s="170"/>
      <c r="CJ119" s="170"/>
      <c r="CK119" s="170"/>
      <c r="CL119" s="170"/>
      <c r="CM119" s="170"/>
      <c r="CN119" s="170"/>
      <c r="CO119" s="170"/>
      <c r="CP119" s="170"/>
      <c r="CQ119" s="170"/>
      <c r="CR119" s="170"/>
      <c r="CS119" s="170"/>
      <c r="CT119" s="170"/>
      <c r="CU119" s="170"/>
      <c r="CV119" s="170"/>
      <c r="CW119" s="170"/>
      <c r="CX119" s="170"/>
      <c r="CY119" s="170"/>
      <c r="CZ119" s="170"/>
      <c r="DA119" s="170"/>
      <c r="DB119" s="170"/>
      <c r="DC119" s="170"/>
      <c r="DD119" s="170"/>
      <c r="DE119" s="170"/>
      <c r="DF119" s="170"/>
      <c r="DG119" s="170"/>
      <c r="DH119" s="170"/>
      <c r="DI119" s="170"/>
      <c r="DJ119" s="170"/>
      <c r="DK119" s="170"/>
      <c r="DL119" s="170"/>
      <c r="DM119" s="170"/>
      <c r="DN119" s="170"/>
      <c r="DO119" s="170"/>
      <c r="DP119" s="170"/>
      <c r="DQ119" s="170"/>
      <c r="DR119" s="170"/>
      <c r="DS119" s="170"/>
      <c r="DT119" s="170"/>
      <c r="DU119" s="170"/>
      <c r="DV119" s="170"/>
      <c r="DW119" s="170"/>
      <c r="DX119" s="170"/>
      <c r="DY119" s="170"/>
      <c r="DZ119" s="170"/>
      <c r="EA119" s="170"/>
      <c r="EB119" s="170"/>
      <c r="EC119" s="170"/>
      <c r="ED119" s="170"/>
      <c r="EE119" s="170"/>
      <c r="EF119" s="170"/>
      <c r="EG119" s="170"/>
      <c r="EH119" s="170"/>
      <c r="EI119" s="170"/>
      <c r="EJ119" s="170"/>
      <c r="EK119" s="170"/>
      <c r="EL119" s="170"/>
      <c r="EM119" s="170"/>
      <c r="EN119" s="170"/>
      <c r="EO119" s="170"/>
      <c r="EP119" s="170"/>
    </row>
    <row r="120" ht="15.75" customHeight="1">
      <c r="A120" s="170"/>
      <c r="B120" s="170"/>
      <c r="C120" s="170"/>
      <c r="D120" s="170"/>
      <c r="E120" s="170"/>
      <c r="F120" s="170"/>
      <c r="G120" s="170"/>
      <c r="H120" s="170"/>
      <c r="I120" s="170"/>
      <c r="J120" s="170"/>
      <c r="K120" s="170"/>
      <c r="L120" s="170"/>
      <c r="M120" s="170"/>
      <c r="N120" s="170"/>
      <c r="O120" s="170"/>
      <c r="P120" s="170"/>
      <c r="Q120" s="170"/>
      <c r="R120" s="170"/>
      <c r="S120" s="170"/>
      <c r="T120" s="170"/>
      <c r="U120" s="170"/>
      <c r="V120" s="170"/>
      <c r="W120" s="170"/>
      <c r="X120" s="170"/>
      <c r="Y120" s="170"/>
      <c r="Z120" s="170"/>
      <c r="AA120" s="170"/>
      <c r="AB120" s="170"/>
      <c r="AC120" s="170"/>
      <c r="AD120" s="170"/>
      <c r="AE120" s="170"/>
      <c r="AF120" s="170"/>
      <c r="AG120" s="170"/>
      <c r="AH120" s="170"/>
      <c r="AI120" s="170"/>
      <c r="AJ120" s="170"/>
      <c r="AK120" s="170"/>
      <c r="AL120" s="170"/>
      <c r="AM120" s="170"/>
      <c r="AN120" s="170"/>
      <c r="AO120" s="170"/>
      <c r="AP120" s="170"/>
      <c r="AQ120" s="170"/>
      <c r="AR120" s="170"/>
      <c r="AS120" s="170"/>
      <c r="AT120" s="170"/>
      <c r="AU120" s="170"/>
      <c r="AV120" s="170"/>
      <c r="AW120" s="170"/>
      <c r="AX120" s="170"/>
      <c r="AY120" s="170"/>
      <c r="AZ120" s="170"/>
      <c r="BA120" s="170"/>
      <c r="BB120" s="170"/>
      <c r="BC120" s="170"/>
      <c r="BD120" s="170"/>
      <c r="BE120" s="170"/>
      <c r="BF120" s="170"/>
      <c r="BG120" s="170"/>
      <c r="BH120" s="170"/>
      <c r="BI120" s="170"/>
      <c r="BJ120" s="170"/>
      <c r="BK120" s="170"/>
      <c r="BL120" s="170"/>
      <c r="BM120" s="170"/>
      <c r="BN120" s="170"/>
      <c r="BO120" s="170"/>
      <c r="BP120" s="170"/>
      <c r="BQ120" s="170"/>
      <c r="BR120" s="170"/>
      <c r="BS120" s="170"/>
      <c r="BT120" s="170"/>
      <c r="BU120" s="170"/>
      <c r="BV120" s="170"/>
      <c r="BW120" s="170"/>
      <c r="BX120" s="170"/>
      <c r="BY120" s="170"/>
      <c r="BZ120" s="170"/>
      <c r="CA120" s="170"/>
      <c r="CB120" s="170"/>
      <c r="CC120" s="170"/>
      <c r="CD120" s="170"/>
      <c r="CE120" s="170"/>
      <c r="CF120" s="170"/>
      <c r="CG120" s="170"/>
      <c r="CH120" s="170"/>
      <c r="CI120" s="170"/>
      <c r="CJ120" s="170"/>
      <c r="CK120" s="170"/>
      <c r="CL120" s="170"/>
      <c r="CM120" s="170"/>
      <c r="CN120" s="170"/>
      <c r="CO120" s="170"/>
      <c r="CP120" s="170"/>
      <c r="CQ120" s="170"/>
      <c r="CR120" s="170"/>
      <c r="CS120" s="170"/>
      <c r="CT120" s="170"/>
      <c r="CU120" s="170"/>
      <c r="CV120" s="170"/>
      <c r="CW120" s="170"/>
      <c r="CX120" s="170"/>
      <c r="CY120" s="170"/>
      <c r="CZ120" s="170"/>
      <c r="DA120" s="170"/>
      <c r="DB120" s="170"/>
      <c r="DC120" s="170"/>
      <c r="DD120" s="170"/>
      <c r="DE120" s="170"/>
      <c r="DF120" s="170"/>
      <c r="DG120" s="170"/>
      <c r="DH120" s="170"/>
      <c r="DI120" s="170"/>
      <c r="DJ120" s="170"/>
      <c r="DK120" s="170"/>
      <c r="DL120" s="170"/>
      <c r="DM120" s="170"/>
      <c r="DN120" s="170"/>
      <c r="DO120" s="170"/>
      <c r="DP120" s="170"/>
      <c r="DQ120" s="170"/>
      <c r="DR120" s="170"/>
      <c r="DS120" s="170"/>
      <c r="DT120" s="170"/>
      <c r="DU120" s="170"/>
      <c r="DV120" s="170"/>
      <c r="DW120" s="170"/>
      <c r="DX120" s="170"/>
      <c r="DY120" s="170"/>
      <c r="DZ120" s="170"/>
      <c r="EA120" s="170"/>
      <c r="EB120" s="170"/>
      <c r="EC120" s="170"/>
      <c r="ED120" s="170"/>
      <c r="EE120" s="170"/>
      <c r="EF120" s="170"/>
      <c r="EG120" s="170"/>
      <c r="EH120" s="170"/>
      <c r="EI120" s="170"/>
      <c r="EJ120" s="170"/>
      <c r="EK120" s="170"/>
      <c r="EL120" s="170"/>
      <c r="EM120" s="170"/>
      <c r="EN120" s="170"/>
      <c r="EO120" s="170"/>
      <c r="EP120" s="170"/>
    </row>
    <row r="121" ht="15.75" customHeight="1">
      <c r="A121" s="170"/>
      <c r="B121" s="170"/>
      <c r="C121" s="170"/>
      <c r="D121" s="170"/>
      <c r="E121" s="170"/>
      <c r="F121" s="170"/>
      <c r="G121" s="170"/>
      <c r="H121" s="170"/>
      <c r="I121" s="170"/>
      <c r="J121" s="170"/>
      <c r="K121" s="170"/>
      <c r="L121" s="170"/>
      <c r="M121" s="170"/>
      <c r="N121" s="170"/>
      <c r="O121" s="170"/>
      <c r="P121" s="170"/>
      <c r="Q121" s="170"/>
      <c r="R121" s="170"/>
      <c r="S121" s="170"/>
      <c r="T121" s="170"/>
      <c r="U121" s="170"/>
      <c r="V121" s="170"/>
      <c r="W121" s="170"/>
      <c r="X121" s="170"/>
      <c r="Y121" s="170"/>
      <c r="Z121" s="170"/>
      <c r="AA121" s="170"/>
      <c r="AB121" s="170"/>
      <c r="AC121" s="170"/>
      <c r="AD121" s="170"/>
      <c r="AE121" s="170"/>
      <c r="AF121" s="170"/>
      <c r="AG121" s="170"/>
      <c r="AH121" s="170"/>
      <c r="AI121" s="170"/>
      <c r="AJ121" s="170"/>
      <c r="AK121" s="170"/>
      <c r="AL121" s="170"/>
      <c r="AM121" s="170"/>
      <c r="AN121" s="170"/>
      <c r="AO121" s="170"/>
      <c r="AP121" s="170"/>
      <c r="AQ121" s="170"/>
      <c r="AR121" s="170"/>
      <c r="AS121" s="170"/>
      <c r="AT121" s="170"/>
      <c r="AU121" s="170"/>
      <c r="AV121" s="170"/>
      <c r="AW121" s="170"/>
      <c r="AX121" s="170"/>
      <c r="AY121" s="170"/>
      <c r="AZ121" s="170"/>
      <c r="BA121" s="170"/>
      <c r="BB121" s="170"/>
      <c r="BC121" s="170"/>
      <c r="BD121" s="170"/>
      <c r="BE121" s="170"/>
      <c r="BF121" s="170"/>
      <c r="BG121" s="170"/>
      <c r="BH121" s="170"/>
      <c r="BI121" s="170"/>
      <c r="BJ121" s="170"/>
      <c r="BK121" s="170"/>
      <c r="BL121" s="170"/>
      <c r="BM121" s="170"/>
      <c r="BN121" s="170"/>
      <c r="BO121" s="170"/>
      <c r="BP121" s="170"/>
      <c r="BQ121" s="170"/>
      <c r="BR121" s="170"/>
      <c r="BS121" s="170"/>
      <c r="BT121" s="170"/>
      <c r="BU121" s="170"/>
      <c r="BV121" s="170"/>
      <c r="BW121" s="170"/>
      <c r="BX121" s="170"/>
      <c r="BY121" s="170"/>
      <c r="BZ121" s="170"/>
      <c r="CA121" s="170"/>
      <c r="CB121" s="170"/>
      <c r="CC121" s="170"/>
      <c r="CD121" s="170"/>
      <c r="CE121" s="170"/>
      <c r="CF121" s="170"/>
      <c r="CG121" s="170"/>
      <c r="CH121" s="170"/>
      <c r="CI121" s="170"/>
      <c r="CJ121" s="170"/>
      <c r="CK121" s="170"/>
      <c r="CL121" s="170"/>
      <c r="CM121" s="170"/>
      <c r="CN121" s="170"/>
      <c r="CO121" s="170"/>
      <c r="CP121" s="170"/>
      <c r="CQ121" s="170"/>
      <c r="CR121" s="170"/>
      <c r="CS121" s="170"/>
      <c r="CT121" s="170"/>
      <c r="CU121" s="170"/>
      <c r="CV121" s="170"/>
      <c r="CW121" s="170"/>
      <c r="CX121" s="170"/>
      <c r="CY121" s="170"/>
      <c r="CZ121" s="170"/>
      <c r="DA121" s="170"/>
      <c r="DB121" s="170"/>
      <c r="DC121" s="170"/>
      <c r="DD121" s="170"/>
      <c r="DE121" s="170"/>
      <c r="DF121" s="170"/>
      <c r="DG121" s="170"/>
      <c r="DH121" s="170"/>
      <c r="DI121" s="170"/>
      <c r="DJ121" s="170"/>
      <c r="DK121" s="170"/>
      <c r="DL121" s="170"/>
      <c r="DM121" s="170"/>
      <c r="DN121" s="170"/>
      <c r="DO121" s="170"/>
      <c r="DP121" s="170"/>
      <c r="DQ121" s="170"/>
      <c r="DR121" s="170"/>
      <c r="DS121" s="170"/>
      <c r="DT121" s="170"/>
      <c r="DU121" s="170"/>
      <c r="DV121" s="170"/>
      <c r="DW121" s="170"/>
      <c r="DX121" s="170"/>
      <c r="DY121" s="170"/>
      <c r="DZ121" s="170"/>
      <c r="EA121" s="170"/>
      <c r="EB121" s="170"/>
      <c r="EC121" s="170"/>
      <c r="ED121" s="170"/>
      <c r="EE121" s="170"/>
      <c r="EF121" s="170"/>
      <c r="EG121" s="170"/>
      <c r="EH121" s="170"/>
      <c r="EI121" s="170"/>
      <c r="EJ121" s="170"/>
      <c r="EK121" s="170"/>
      <c r="EL121" s="170"/>
      <c r="EM121" s="170"/>
      <c r="EN121" s="170"/>
      <c r="EO121" s="170"/>
      <c r="EP121" s="170"/>
    </row>
    <row r="122" ht="15.75" customHeight="1">
      <c r="A122" s="170"/>
      <c r="B122" s="170"/>
      <c r="C122" s="170"/>
      <c r="D122" s="170"/>
      <c r="E122" s="170"/>
      <c r="F122" s="170"/>
      <c r="G122" s="170"/>
      <c r="H122" s="170"/>
      <c r="I122" s="170"/>
      <c r="J122" s="170"/>
      <c r="K122" s="170"/>
      <c r="L122" s="170"/>
      <c r="M122" s="170"/>
      <c r="N122" s="170"/>
      <c r="O122" s="170"/>
      <c r="P122" s="170"/>
      <c r="Q122" s="170"/>
      <c r="R122" s="170"/>
      <c r="S122" s="170"/>
      <c r="T122" s="170"/>
      <c r="U122" s="170"/>
      <c r="V122" s="170"/>
      <c r="W122" s="170"/>
      <c r="X122" s="170"/>
      <c r="Y122" s="170"/>
      <c r="Z122" s="170"/>
      <c r="AA122" s="170"/>
      <c r="AB122" s="170"/>
      <c r="AC122" s="170"/>
      <c r="AD122" s="170"/>
      <c r="AE122" s="170"/>
      <c r="AF122" s="170"/>
      <c r="AG122" s="170"/>
      <c r="AH122" s="170"/>
      <c r="AI122" s="170"/>
      <c r="AJ122" s="170"/>
      <c r="AK122" s="170"/>
      <c r="AL122" s="170"/>
      <c r="AM122" s="170"/>
      <c r="AN122" s="170"/>
      <c r="AO122" s="170"/>
      <c r="AP122" s="170"/>
      <c r="AQ122" s="170"/>
      <c r="AR122" s="170"/>
      <c r="AS122" s="170"/>
      <c r="AT122" s="170"/>
      <c r="AU122" s="170"/>
      <c r="AV122" s="170"/>
      <c r="AW122" s="170"/>
      <c r="AX122" s="170"/>
      <c r="AY122" s="170"/>
      <c r="AZ122" s="170"/>
      <c r="BA122" s="170"/>
      <c r="BB122" s="170"/>
      <c r="BC122" s="170"/>
      <c r="BD122" s="170"/>
      <c r="BE122" s="170"/>
      <c r="BF122" s="170"/>
      <c r="BG122" s="170"/>
      <c r="BH122" s="170"/>
      <c r="BI122" s="170"/>
      <c r="BJ122" s="170"/>
      <c r="BK122" s="170"/>
      <c r="BL122" s="170"/>
      <c r="BM122" s="170"/>
      <c r="BN122" s="170"/>
      <c r="BO122" s="170"/>
      <c r="BP122" s="170"/>
      <c r="BQ122" s="170"/>
      <c r="BR122" s="170"/>
      <c r="BS122" s="170"/>
      <c r="BT122" s="170"/>
      <c r="BU122" s="170"/>
      <c r="BV122" s="170"/>
      <c r="BW122" s="170"/>
      <c r="BX122" s="170"/>
      <c r="BY122" s="170"/>
      <c r="BZ122" s="170"/>
      <c r="CA122" s="170"/>
      <c r="CB122" s="170"/>
      <c r="CC122" s="170"/>
      <c r="CD122" s="170"/>
      <c r="CE122" s="170"/>
      <c r="CF122" s="170"/>
      <c r="CG122" s="170"/>
      <c r="CH122" s="170"/>
      <c r="CI122" s="170"/>
      <c r="CJ122" s="170"/>
      <c r="CK122" s="170"/>
      <c r="CL122" s="170"/>
      <c r="CM122" s="170"/>
      <c r="CN122" s="170"/>
      <c r="CO122" s="170"/>
      <c r="CP122" s="170"/>
      <c r="CQ122" s="170"/>
      <c r="CR122" s="170"/>
      <c r="CS122" s="170"/>
      <c r="CT122" s="170"/>
      <c r="CU122" s="170"/>
      <c r="CV122" s="170"/>
      <c r="CW122" s="170"/>
      <c r="CX122" s="170"/>
      <c r="CY122" s="170"/>
      <c r="CZ122" s="170"/>
      <c r="DA122" s="170"/>
      <c r="DB122" s="170"/>
      <c r="DC122" s="170"/>
      <c r="DD122" s="170"/>
      <c r="DE122" s="170"/>
      <c r="DF122" s="170"/>
      <c r="DG122" s="170"/>
      <c r="DH122" s="170"/>
      <c r="DI122" s="170"/>
      <c r="DJ122" s="170"/>
      <c r="DK122" s="170"/>
      <c r="DL122" s="170"/>
      <c r="DM122" s="170"/>
      <c r="DN122" s="170"/>
      <c r="DO122" s="170"/>
      <c r="DP122" s="170"/>
      <c r="DQ122" s="170"/>
      <c r="DR122" s="170"/>
      <c r="DS122" s="170"/>
      <c r="DT122" s="170"/>
      <c r="DU122" s="170"/>
      <c r="DV122" s="170"/>
      <c r="DW122" s="170"/>
      <c r="DX122" s="170"/>
      <c r="DY122" s="170"/>
      <c r="DZ122" s="170"/>
      <c r="EA122" s="170"/>
      <c r="EB122" s="170"/>
      <c r="EC122" s="170"/>
      <c r="ED122" s="170"/>
      <c r="EE122" s="170"/>
      <c r="EF122" s="170"/>
      <c r="EG122" s="170"/>
      <c r="EH122" s="170"/>
      <c r="EI122" s="170"/>
      <c r="EJ122" s="170"/>
      <c r="EK122" s="170"/>
      <c r="EL122" s="170"/>
      <c r="EM122" s="170"/>
      <c r="EN122" s="170"/>
      <c r="EO122" s="170"/>
      <c r="EP122" s="170"/>
    </row>
    <row r="123" ht="15.75" customHeight="1">
      <c r="A123" s="170"/>
      <c r="B123" s="170"/>
      <c r="C123" s="170"/>
      <c r="D123" s="170"/>
      <c r="E123" s="170"/>
      <c r="F123" s="170"/>
      <c r="G123" s="170"/>
      <c r="H123" s="170"/>
      <c r="I123" s="170"/>
      <c r="J123" s="170"/>
      <c r="K123" s="170"/>
      <c r="L123" s="170"/>
      <c r="M123" s="170"/>
      <c r="N123" s="170"/>
      <c r="O123" s="170"/>
      <c r="P123" s="170"/>
      <c r="Q123" s="170"/>
      <c r="R123" s="170"/>
      <c r="S123" s="170"/>
      <c r="T123" s="170"/>
      <c r="U123" s="170"/>
      <c r="V123" s="170"/>
      <c r="W123" s="170"/>
      <c r="X123" s="170"/>
      <c r="Y123" s="170"/>
      <c r="Z123" s="170"/>
      <c r="AA123" s="170"/>
      <c r="AB123" s="170"/>
      <c r="AC123" s="170"/>
      <c r="AD123" s="170"/>
      <c r="AE123" s="170"/>
      <c r="AF123" s="170"/>
      <c r="AG123" s="170"/>
      <c r="AH123" s="170"/>
      <c r="AI123" s="170"/>
      <c r="AJ123" s="170"/>
      <c r="AK123" s="170"/>
      <c r="AL123" s="170"/>
      <c r="AM123" s="170"/>
      <c r="AN123" s="170"/>
      <c r="AO123" s="170"/>
      <c r="AP123" s="170"/>
      <c r="AQ123" s="170"/>
      <c r="AR123" s="170"/>
      <c r="AS123" s="170"/>
      <c r="AT123" s="170"/>
      <c r="AU123" s="170"/>
      <c r="AV123" s="170"/>
      <c r="AW123" s="170"/>
      <c r="AX123" s="170"/>
      <c r="AY123" s="170"/>
      <c r="AZ123" s="170"/>
      <c r="BA123" s="170"/>
      <c r="BB123" s="170"/>
      <c r="BC123" s="170"/>
      <c r="BD123" s="170"/>
      <c r="BE123" s="170"/>
      <c r="BF123" s="170"/>
      <c r="BG123" s="170"/>
      <c r="BH123" s="170"/>
      <c r="BI123" s="170"/>
      <c r="BJ123" s="170"/>
      <c r="BK123" s="170"/>
      <c r="BL123" s="170"/>
      <c r="BM123" s="170"/>
      <c r="BN123" s="170"/>
      <c r="BO123" s="170"/>
      <c r="BP123" s="170"/>
      <c r="BQ123" s="170"/>
      <c r="BR123" s="170"/>
      <c r="BS123" s="170"/>
      <c r="BT123" s="170"/>
      <c r="BU123" s="170"/>
      <c r="BV123" s="170"/>
      <c r="BW123" s="170"/>
      <c r="BX123" s="170"/>
      <c r="BY123" s="170"/>
      <c r="BZ123" s="170"/>
      <c r="CA123" s="170"/>
      <c r="CB123" s="170"/>
      <c r="CC123" s="170"/>
      <c r="CD123" s="170"/>
      <c r="CE123" s="170"/>
      <c r="CF123" s="170"/>
      <c r="CG123" s="170"/>
      <c r="CH123" s="170"/>
      <c r="CI123" s="170"/>
      <c r="CJ123" s="170"/>
      <c r="CK123" s="170"/>
      <c r="CL123" s="170"/>
      <c r="CM123" s="170"/>
      <c r="CN123" s="170"/>
      <c r="CO123" s="170"/>
      <c r="CP123" s="170"/>
      <c r="CQ123" s="170"/>
      <c r="CR123" s="170"/>
      <c r="CS123" s="170"/>
      <c r="CT123" s="170"/>
      <c r="CU123" s="170"/>
      <c r="CV123" s="170"/>
      <c r="CW123" s="170"/>
      <c r="CX123" s="170"/>
      <c r="CY123" s="170"/>
      <c r="CZ123" s="170"/>
      <c r="DA123" s="170"/>
      <c r="DB123" s="170"/>
      <c r="DC123" s="170"/>
      <c r="DD123" s="170"/>
      <c r="DE123" s="170"/>
      <c r="DF123" s="170"/>
      <c r="DG123" s="170"/>
      <c r="DH123" s="170"/>
      <c r="DI123" s="170"/>
      <c r="DJ123" s="170"/>
      <c r="DK123" s="170"/>
      <c r="DL123" s="170"/>
      <c r="DM123" s="170"/>
      <c r="DN123" s="170"/>
      <c r="DO123" s="170"/>
      <c r="DP123" s="170"/>
      <c r="DQ123" s="170"/>
      <c r="DR123" s="170"/>
      <c r="DS123" s="170"/>
      <c r="DT123" s="170"/>
      <c r="DU123" s="170"/>
      <c r="DV123" s="170"/>
      <c r="DW123" s="170"/>
      <c r="DX123" s="170"/>
      <c r="DY123" s="170"/>
      <c r="DZ123" s="170"/>
      <c r="EA123" s="170"/>
      <c r="EB123" s="170"/>
      <c r="EC123" s="170"/>
      <c r="ED123" s="170"/>
      <c r="EE123" s="170"/>
      <c r="EF123" s="170"/>
      <c r="EG123" s="170"/>
      <c r="EH123" s="170"/>
      <c r="EI123" s="170"/>
      <c r="EJ123" s="170"/>
      <c r="EK123" s="170"/>
      <c r="EL123" s="170"/>
      <c r="EM123" s="170"/>
      <c r="EN123" s="170"/>
      <c r="EO123" s="170"/>
      <c r="EP123" s="170"/>
    </row>
    <row r="124" ht="15.75" customHeight="1">
      <c r="A124" s="170"/>
      <c r="B124" s="170"/>
      <c r="C124" s="170"/>
      <c r="D124" s="170"/>
      <c r="E124" s="170"/>
      <c r="F124" s="170"/>
      <c r="G124" s="170"/>
      <c r="H124" s="170"/>
      <c r="I124" s="170"/>
      <c r="J124" s="170"/>
      <c r="K124" s="170"/>
      <c r="L124" s="170"/>
      <c r="M124" s="170"/>
      <c r="N124" s="170"/>
      <c r="O124" s="170"/>
      <c r="P124" s="170"/>
      <c r="Q124" s="170"/>
      <c r="R124" s="170"/>
      <c r="S124" s="170"/>
      <c r="T124" s="170"/>
      <c r="U124" s="170"/>
      <c r="V124" s="170"/>
      <c r="W124" s="170"/>
      <c r="X124" s="170"/>
      <c r="Y124" s="170"/>
      <c r="Z124" s="170"/>
      <c r="AA124" s="170"/>
      <c r="AB124" s="170"/>
      <c r="AC124" s="170"/>
      <c r="AD124" s="170"/>
      <c r="AE124" s="170"/>
      <c r="AF124" s="170"/>
      <c r="AG124" s="170"/>
      <c r="AH124" s="170"/>
      <c r="AI124" s="170"/>
      <c r="AJ124" s="170"/>
      <c r="AK124" s="170"/>
      <c r="AL124" s="170"/>
      <c r="AM124" s="170"/>
      <c r="AN124" s="170"/>
      <c r="AO124" s="170"/>
      <c r="AP124" s="170"/>
      <c r="AQ124" s="170"/>
      <c r="AR124" s="170"/>
      <c r="AS124" s="170"/>
      <c r="AT124" s="170"/>
      <c r="AU124" s="170"/>
      <c r="AV124" s="170"/>
      <c r="AW124" s="170"/>
      <c r="AX124" s="170"/>
      <c r="AY124" s="170"/>
      <c r="AZ124" s="170"/>
      <c r="BA124" s="170"/>
      <c r="BB124" s="170"/>
      <c r="BC124" s="170"/>
      <c r="BD124" s="170"/>
      <c r="BE124" s="170"/>
      <c r="BF124" s="170"/>
      <c r="BG124" s="170"/>
      <c r="BH124" s="170"/>
      <c r="BI124" s="170"/>
      <c r="BJ124" s="170"/>
      <c r="BK124" s="170"/>
      <c r="BL124" s="170"/>
      <c r="BM124" s="170"/>
      <c r="BN124" s="170"/>
      <c r="BO124" s="170"/>
      <c r="BP124" s="170"/>
      <c r="BQ124" s="170"/>
      <c r="BR124" s="170"/>
      <c r="BS124" s="170"/>
      <c r="BT124" s="170"/>
      <c r="BU124" s="170"/>
      <c r="BV124" s="170"/>
      <c r="BW124" s="170"/>
      <c r="BX124" s="170"/>
      <c r="BY124" s="170"/>
      <c r="BZ124" s="170"/>
      <c r="CA124" s="170"/>
      <c r="CB124" s="170"/>
      <c r="CC124" s="170"/>
      <c r="CD124" s="170"/>
      <c r="CE124" s="170"/>
      <c r="CF124" s="170"/>
      <c r="CG124" s="170"/>
      <c r="CH124" s="170"/>
      <c r="CI124" s="170"/>
      <c r="CJ124" s="170"/>
      <c r="CK124" s="170"/>
      <c r="CL124" s="170"/>
      <c r="CM124" s="170"/>
      <c r="CN124" s="170"/>
      <c r="CO124" s="170"/>
      <c r="CP124" s="170"/>
      <c r="CQ124" s="170"/>
      <c r="CR124" s="170"/>
      <c r="CS124" s="170"/>
      <c r="CT124" s="170"/>
      <c r="CU124" s="170"/>
      <c r="CV124" s="170"/>
      <c r="CW124" s="170"/>
      <c r="CX124" s="170"/>
      <c r="CY124" s="170"/>
      <c r="CZ124" s="170"/>
      <c r="DA124" s="170"/>
      <c r="DB124" s="170"/>
      <c r="DC124" s="170"/>
      <c r="DD124" s="170"/>
      <c r="DE124" s="170"/>
      <c r="DF124" s="170"/>
      <c r="DG124" s="170"/>
      <c r="DH124" s="170"/>
      <c r="DI124" s="170"/>
      <c r="DJ124" s="170"/>
      <c r="DK124" s="170"/>
      <c r="DL124" s="170"/>
      <c r="DM124" s="170"/>
      <c r="DN124" s="170"/>
      <c r="DO124" s="170"/>
      <c r="DP124" s="170"/>
      <c r="DQ124" s="170"/>
      <c r="DR124" s="170"/>
      <c r="DS124" s="170"/>
      <c r="DT124" s="170"/>
      <c r="DU124" s="170"/>
      <c r="DV124" s="170"/>
      <c r="DW124" s="170"/>
      <c r="DX124" s="170"/>
      <c r="DY124" s="170"/>
      <c r="DZ124" s="170"/>
      <c r="EA124" s="170"/>
      <c r="EB124" s="170"/>
      <c r="EC124" s="170"/>
      <c r="ED124" s="170"/>
      <c r="EE124" s="170"/>
      <c r="EF124" s="170"/>
      <c r="EG124" s="170"/>
      <c r="EH124" s="170"/>
      <c r="EI124" s="170"/>
      <c r="EJ124" s="170"/>
      <c r="EK124" s="170"/>
      <c r="EL124" s="170"/>
      <c r="EM124" s="170"/>
      <c r="EN124" s="170"/>
      <c r="EO124" s="170"/>
      <c r="EP124" s="170"/>
    </row>
    <row r="125" ht="15.75" customHeight="1">
      <c r="A125" s="170"/>
      <c r="B125" s="170"/>
      <c r="C125" s="170"/>
      <c r="D125" s="170"/>
      <c r="E125" s="170"/>
      <c r="F125" s="170"/>
      <c r="G125" s="170"/>
      <c r="H125" s="170"/>
      <c r="I125" s="170"/>
      <c r="J125" s="170"/>
      <c r="K125" s="170"/>
      <c r="L125" s="170"/>
      <c r="M125" s="170"/>
      <c r="N125" s="170"/>
      <c r="O125" s="170"/>
      <c r="P125" s="170"/>
      <c r="Q125" s="170"/>
      <c r="R125" s="170"/>
      <c r="S125" s="170"/>
      <c r="T125" s="170"/>
      <c r="U125" s="170"/>
      <c r="V125" s="170"/>
      <c r="W125" s="170"/>
      <c r="X125" s="170"/>
      <c r="Y125" s="170"/>
      <c r="Z125" s="170"/>
      <c r="AA125" s="170"/>
      <c r="AB125" s="170"/>
      <c r="AC125" s="170"/>
      <c r="AD125" s="170"/>
      <c r="AE125" s="170"/>
      <c r="AF125" s="170"/>
      <c r="AG125" s="170"/>
      <c r="AH125" s="170"/>
      <c r="AI125" s="170"/>
      <c r="AJ125" s="170"/>
      <c r="AK125" s="170"/>
      <c r="AL125" s="170"/>
      <c r="AM125" s="170"/>
      <c r="AN125" s="170"/>
      <c r="AO125" s="170"/>
      <c r="AP125" s="170"/>
      <c r="AQ125" s="170"/>
      <c r="AR125" s="170"/>
      <c r="AS125" s="170"/>
      <c r="AT125" s="170"/>
      <c r="AU125" s="170"/>
      <c r="AV125" s="170"/>
      <c r="AW125" s="170"/>
      <c r="AX125" s="170"/>
      <c r="AY125" s="170"/>
      <c r="AZ125" s="170"/>
      <c r="BA125" s="170"/>
      <c r="BB125" s="170"/>
      <c r="BC125" s="170"/>
      <c r="BD125" s="170"/>
      <c r="BE125" s="170"/>
      <c r="BF125" s="170"/>
      <c r="BG125" s="170"/>
      <c r="BH125" s="170"/>
      <c r="BI125" s="170"/>
      <c r="BJ125" s="170"/>
      <c r="BK125" s="170"/>
      <c r="BL125" s="170"/>
      <c r="BM125" s="170"/>
      <c r="BN125" s="170"/>
      <c r="BO125" s="170"/>
      <c r="BP125" s="170"/>
      <c r="BQ125" s="170"/>
      <c r="BR125" s="170"/>
      <c r="BS125" s="170"/>
      <c r="BT125" s="170"/>
      <c r="BU125" s="170"/>
      <c r="BV125" s="170"/>
      <c r="BW125" s="170"/>
      <c r="BX125" s="170"/>
      <c r="BY125" s="170"/>
      <c r="BZ125" s="170"/>
      <c r="CA125" s="170"/>
      <c r="CB125" s="170"/>
      <c r="CC125" s="170"/>
      <c r="CD125" s="170"/>
      <c r="CE125" s="170"/>
      <c r="CF125" s="170"/>
      <c r="CG125" s="170"/>
      <c r="CH125" s="170"/>
      <c r="CI125" s="170"/>
      <c r="CJ125" s="170"/>
      <c r="CK125" s="170"/>
      <c r="CL125" s="170"/>
      <c r="CM125" s="170"/>
      <c r="CN125" s="170"/>
      <c r="CO125" s="170"/>
      <c r="CP125" s="170"/>
      <c r="CQ125" s="170"/>
      <c r="CR125" s="170"/>
      <c r="CS125" s="170"/>
      <c r="CT125" s="170"/>
      <c r="CU125" s="170"/>
      <c r="CV125" s="170"/>
      <c r="CW125" s="170"/>
      <c r="CX125" s="170"/>
      <c r="CY125" s="170"/>
      <c r="CZ125" s="170"/>
      <c r="DA125" s="170"/>
      <c r="DB125" s="170"/>
      <c r="DC125" s="170"/>
      <c r="DD125" s="170"/>
      <c r="DE125" s="170"/>
      <c r="DF125" s="170"/>
      <c r="DG125" s="170"/>
      <c r="DH125" s="170"/>
      <c r="DI125" s="170"/>
      <c r="DJ125" s="170"/>
      <c r="DK125" s="170"/>
      <c r="DL125" s="170"/>
      <c r="DM125" s="170"/>
      <c r="DN125" s="170"/>
      <c r="DO125" s="170"/>
      <c r="DP125" s="170"/>
      <c r="DQ125" s="170"/>
      <c r="DR125" s="170"/>
      <c r="DS125" s="170"/>
      <c r="DT125" s="170"/>
      <c r="DU125" s="170"/>
      <c r="DV125" s="170"/>
      <c r="DW125" s="170"/>
      <c r="DX125" s="170"/>
      <c r="DY125" s="170"/>
      <c r="DZ125" s="170"/>
      <c r="EA125" s="170"/>
      <c r="EB125" s="170"/>
      <c r="EC125" s="170"/>
      <c r="ED125" s="170"/>
      <c r="EE125" s="170"/>
      <c r="EF125" s="170"/>
      <c r="EG125" s="170"/>
      <c r="EH125" s="170"/>
      <c r="EI125" s="170"/>
      <c r="EJ125" s="170"/>
      <c r="EK125" s="170"/>
      <c r="EL125" s="170"/>
      <c r="EM125" s="170"/>
      <c r="EN125" s="170"/>
      <c r="EO125" s="170"/>
      <c r="EP125" s="170"/>
    </row>
    <row r="126" ht="15.75" customHeight="1">
      <c r="A126" s="170"/>
      <c r="B126" s="170"/>
      <c r="C126" s="170"/>
      <c r="D126" s="170"/>
      <c r="E126" s="170"/>
      <c r="F126" s="170"/>
      <c r="G126" s="170"/>
      <c r="H126" s="170"/>
      <c r="I126" s="170"/>
      <c r="J126" s="170"/>
      <c r="K126" s="170"/>
      <c r="L126" s="170"/>
      <c r="M126" s="170"/>
      <c r="N126" s="170"/>
      <c r="O126" s="170"/>
      <c r="P126" s="170"/>
      <c r="Q126" s="170"/>
      <c r="R126" s="170"/>
      <c r="S126" s="170"/>
      <c r="T126" s="170"/>
      <c r="U126" s="170"/>
      <c r="V126" s="170"/>
      <c r="W126" s="170"/>
      <c r="X126" s="170"/>
      <c r="Y126" s="170"/>
      <c r="Z126" s="170"/>
      <c r="AA126" s="170"/>
      <c r="AB126" s="170"/>
      <c r="AC126" s="170"/>
      <c r="AD126" s="170"/>
      <c r="AE126" s="170"/>
      <c r="AF126" s="170"/>
      <c r="AG126" s="170"/>
      <c r="AH126" s="170"/>
      <c r="AI126" s="170"/>
      <c r="AJ126" s="170"/>
      <c r="AK126" s="170"/>
      <c r="AL126" s="170"/>
      <c r="AM126" s="170"/>
      <c r="AN126" s="170"/>
      <c r="AO126" s="170"/>
      <c r="AP126" s="170"/>
      <c r="AQ126" s="170"/>
      <c r="AR126" s="170"/>
      <c r="AS126" s="170"/>
      <c r="AT126" s="170"/>
      <c r="AU126" s="170"/>
      <c r="AV126" s="170"/>
      <c r="AW126" s="170"/>
      <c r="AX126" s="170"/>
      <c r="AY126" s="170"/>
      <c r="AZ126" s="170"/>
      <c r="BA126" s="170"/>
      <c r="BB126" s="170"/>
      <c r="BC126" s="170"/>
      <c r="BD126" s="170"/>
      <c r="BE126" s="170"/>
      <c r="BF126" s="170"/>
      <c r="BG126" s="170"/>
      <c r="BH126" s="170"/>
      <c r="BI126" s="170"/>
      <c r="BJ126" s="170"/>
      <c r="BK126" s="170"/>
      <c r="BL126" s="170"/>
      <c r="BM126" s="170"/>
      <c r="BN126" s="170"/>
      <c r="BO126" s="170"/>
      <c r="BP126" s="170"/>
      <c r="BQ126" s="170"/>
      <c r="BR126" s="170"/>
      <c r="BS126" s="170"/>
      <c r="BT126" s="170"/>
      <c r="BU126" s="170"/>
      <c r="BV126" s="170"/>
      <c r="BW126" s="170"/>
      <c r="BX126" s="170"/>
      <c r="BY126" s="170"/>
      <c r="BZ126" s="170"/>
      <c r="CA126" s="170"/>
      <c r="CB126" s="170"/>
      <c r="CC126" s="170"/>
      <c r="CD126" s="170"/>
      <c r="CE126" s="170"/>
      <c r="CF126" s="170"/>
      <c r="CG126" s="170"/>
      <c r="CH126" s="170"/>
      <c r="CI126" s="170"/>
      <c r="CJ126" s="170"/>
      <c r="CK126" s="170"/>
      <c r="CL126" s="170"/>
      <c r="CM126" s="170"/>
      <c r="CN126" s="170"/>
      <c r="CO126" s="170"/>
      <c r="CP126" s="170"/>
      <c r="CQ126" s="170"/>
      <c r="CR126" s="170"/>
      <c r="CS126" s="170"/>
      <c r="CT126" s="170"/>
      <c r="CU126" s="170"/>
      <c r="CV126" s="170"/>
      <c r="CW126" s="170"/>
      <c r="CX126" s="170"/>
      <c r="CY126" s="170"/>
      <c r="CZ126" s="170"/>
      <c r="DA126" s="170"/>
      <c r="DB126" s="170"/>
      <c r="DC126" s="170"/>
      <c r="DD126" s="170"/>
      <c r="DE126" s="170"/>
      <c r="DF126" s="170"/>
      <c r="DG126" s="170"/>
      <c r="DH126" s="170"/>
      <c r="DI126" s="170"/>
      <c r="DJ126" s="170"/>
      <c r="DK126" s="170"/>
      <c r="DL126" s="170"/>
      <c r="DM126" s="170"/>
      <c r="DN126" s="170"/>
      <c r="DO126" s="170"/>
      <c r="DP126" s="170"/>
      <c r="DQ126" s="170"/>
      <c r="DR126" s="170"/>
      <c r="DS126" s="170"/>
      <c r="DT126" s="170"/>
      <c r="DU126" s="170"/>
      <c r="DV126" s="170"/>
      <c r="DW126" s="170"/>
      <c r="DX126" s="170"/>
      <c r="DY126" s="170"/>
      <c r="DZ126" s="170"/>
      <c r="EA126" s="170"/>
      <c r="EB126" s="170"/>
      <c r="EC126" s="170"/>
      <c r="ED126" s="170"/>
      <c r="EE126" s="170"/>
      <c r="EF126" s="170"/>
      <c r="EG126" s="170"/>
      <c r="EH126" s="170"/>
      <c r="EI126" s="170"/>
      <c r="EJ126" s="170"/>
      <c r="EK126" s="170"/>
      <c r="EL126" s="170"/>
      <c r="EM126" s="170"/>
      <c r="EN126" s="170"/>
      <c r="EO126" s="170"/>
      <c r="EP126" s="170"/>
    </row>
    <row r="127" ht="15.75" customHeight="1">
      <c r="A127" s="170"/>
      <c r="B127" s="170"/>
      <c r="C127" s="170"/>
      <c r="D127" s="170"/>
      <c r="E127" s="170"/>
      <c r="F127" s="170"/>
      <c r="G127" s="170"/>
      <c r="H127" s="170"/>
      <c r="I127" s="170"/>
      <c r="J127" s="170"/>
      <c r="K127" s="170"/>
      <c r="L127" s="170"/>
      <c r="M127" s="170"/>
      <c r="N127" s="170"/>
      <c r="O127" s="170"/>
      <c r="P127" s="170"/>
      <c r="Q127" s="170"/>
      <c r="R127" s="170"/>
      <c r="S127" s="170"/>
      <c r="T127" s="170"/>
      <c r="U127" s="170"/>
      <c r="V127" s="170"/>
      <c r="W127" s="170"/>
      <c r="X127" s="170"/>
      <c r="Y127" s="170"/>
      <c r="Z127" s="170"/>
      <c r="AA127" s="170"/>
      <c r="AB127" s="170"/>
      <c r="AC127" s="170"/>
      <c r="AD127" s="170"/>
      <c r="AE127" s="170"/>
      <c r="AF127" s="170"/>
      <c r="AG127" s="170"/>
      <c r="AH127" s="170"/>
      <c r="AI127" s="170"/>
      <c r="AJ127" s="170"/>
      <c r="AK127" s="170"/>
      <c r="AL127" s="170"/>
      <c r="AM127" s="170"/>
      <c r="AN127" s="170"/>
      <c r="AO127" s="170"/>
      <c r="AP127" s="170"/>
      <c r="AQ127" s="170"/>
      <c r="AR127" s="170"/>
      <c r="AS127" s="170"/>
      <c r="AT127" s="170"/>
      <c r="AU127" s="170"/>
      <c r="AV127" s="170"/>
      <c r="AW127" s="170"/>
      <c r="AX127" s="170"/>
      <c r="AY127" s="170"/>
      <c r="AZ127" s="170"/>
      <c r="BA127" s="170"/>
      <c r="BB127" s="170"/>
      <c r="BC127" s="170"/>
      <c r="BD127" s="170"/>
      <c r="BE127" s="170"/>
      <c r="BF127" s="170"/>
      <c r="BG127" s="170"/>
      <c r="BH127" s="170"/>
      <c r="BI127" s="170"/>
      <c r="BJ127" s="170"/>
      <c r="BK127" s="170"/>
      <c r="BL127" s="170"/>
      <c r="BM127" s="170"/>
      <c r="BN127" s="170"/>
      <c r="BO127" s="170"/>
      <c r="BP127" s="170"/>
      <c r="BQ127" s="170"/>
      <c r="BR127" s="170"/>
      <c r="BS127" s="170"/>
      <c r="BT127" s="170"/>
      <c r="BU127" s="170"/>
      <c r="BV127" s="170"/>
      <c r="BW127" s="170"/>
      <c r="BX127" s="170"/>
      <c r="BY127" s="170"/>
      <c r="BZ127" s="170"/>
      <c r="CA127" s="170"/>
      <c r="CB127" s="170"/>
      <c r="CC127" s="170"/>
      <c r="CD127" s="170"/>
      <c r="CE127" s="170"/>
      <c r="CF127" s="170"/>
      <c r="CG127" s="170"/>
      <c r="CH127" s="170"/>
      <c r="CI127" s="170"/>
      <c r="CJ127" s="170"/>
      <c r="CK127" s="170"/>
      <c r="CL127" s="170"/>
      <c r="CM127" s="170"/>
      <c r="CN127" s="170"/>
      <c r="CO127" s="170"/>
      <c r="CP127" s="170"/>
      <c r="CQ127" s="170"/>
      <c r="CR127" s="170"/>
      <c r="CS127" s="170"/>
      <c r="CT127" s="170"/>
      <c r="CU127" s="170"/>
      <c r="CV127" s="170"/>
      <c r="CW127" s="170"/>
      <c r="CX127" s="170"/>
      <c r="CY127" s="170"/>
      <c r="CZ127" s="170"/>
      <c r="DA127" s="170"/>
      <c r="DB127" s="170"/>
      <c r="DC127" s="170"/>
      <c r="DD127" s="170"/>
      <c r="DE127" s="170"/>
      <c r="DF127" s="170"/>
      <c r="DG127" s="170"/>
      <c r="DH127" s="170"/>
      <c r="DI127" s="170"/>
      <c r="DJ127" s="170"/>
      <c r="DK127" s="170"/>
      <c r="DL127" s="170"/>
      <c r="DM127" s="170"/>
      <c r="DN127" s="170"/>
      <c r="DO127" s="170"/>
      <c r="DP127" s="170"/>
      <c r="DQ127" s="170"/>
      <c r="DR127" s="170"/>
      <c r="DS127" s="170"/>
      <c r="DT127" s="170"/>
      <c r="DU127" s="170"/>
      <c r="DV127" s="170"/>
      <c r="DW127" s="170"/>
      <c r="DX127" s="170"/>
      <c r="DY127" s="170"/>
      <c r="DZ127" s="170"/>
      <c r="EA127" s="170"/>
      <c r="EB127" s="170"/>
      <c r="EC127" s="170"/>
      <c r="ED127" s="170"/>
      <c r="EE127" s="170"/>
      <c r="EF127" s="170"/>
      <c r="EG127" s="170"/>
      <c r="EH127" s="170"/>
      <c r="EI127" s="170"/>
      <c r="EJ127" s="170"/>
      <c r="EK127" s="170"/>
      <c r="EL127" s="170"/>
      <c r="EM127" s="170"/>
      <c r="EN127" s="170"/>
      <c r="EO127" s="170"/>
      <c r="EP127" s="170"/>
    </row>
    <row r="128" ht="15.75" customHeight="1">
      <c r="A128" s="170"/>
      <c r="B128" s="170"/>
      <c r="C128" s="170"/>
      <c r="D128" s="170"/>
      <c r="E128" s="170"/>
      <c r="F128" s="170"/>
      <c r="G128" s="170"/>
      <c r="H128" s="170"/>
      <c r="I128" s="170"/>
      <c r="J128" s="170"/>
      <c r="K128" s="170"/>
      <c r="L128" s="170"/>
      <c r="M128" s="170"/>
      <c r="N128" s="170"/>
      <c r="O128" s="170"/>
      <c r="P128" s="170"/>
      <c r="Q128" s="170"/>
      <c r="R128" s="170"/>
      <c r="S128" s="170"/>
      <c r="T128" s="170"/>
      <c r="U128" s="170"/>
      <c r="V128" s="170"/>
      <c r="W128" s="170"/>
      <c r="X128" s="170"/>
      <c r="Y128" s="170"/>
      <c r="Z128" s="170"/>
      <c r="AA128" s="170"/>
      <c r="AB128" s="170"/>
      <c r="AC128" s="170"/>
      <c r="AD128" s="170"/>
      <c r="AE128" s="170"/>
      <c r="AF128" s="170"/>
      <c r="AG128" s="170"/>
      <c r="AH128" s="170"/>
      <c r="AI128" s="170"/>
      <c r="AJ128" s="170"/>
      <c r="AK128" s="170"/>
      <c r="AL128" s="170"/>
      <c r="AM128" s="170"/>
      <c r="AN128" s="170"/>
      <c r="AO128" s="170"/>
      <c r="AP128" s="170"/>
      <c r="AQ128" s="170"/>
      <c r="AR128" s="170"/>
      <c r="AS128" s="170"/>
      <c r="AT128" s="170"/>
      <c r="AU128" s="170"/>
      <c r="AV128" s="170"/>
      <c r="AW128" s="170"/>
      <c r="AX128" s="170"/>
      <c r="AY128" s="170"/>
      <c r="AZ128" s="170"/>
      <c r="BA128" s="170"/>
      <c r="BB128" s="170"/>
      <c r="BC128" s="170"/>
      <c r="BD128" s="170"/>
      <c r="BE128" s="170"/>
      <c r="BF128" s="170"/>
      <c r="BG128" s="170"/>
      <c r="BH128" s="170"/>
      <c r="BI128" s="170"/>
      <c r="BJ128" s="170"/>
      <c r="BK128" s="170"/>
      <c r="BL128" s="170"/>
      <c r="BM128" s="170"/>
      <c r="BN128" s="170"/>
      <c r="BO128" s="170"/>
      <c r="BP128" s="170"/>
      <c r="BQ128" s="170"/>
      <c r="BR128" s="170"/>
      <c r="BS128" s="170"/>
      <c r="BT128" s="170"/>
      <c r="BU128" s="170"/>
      <c r="BV128" s="170"/>
      <c r="BW128" s="170"/>
      <c r="BX128" s="170"/>
      <c r="BY128" s="170"/>
      <c r="BZ128" s="170"/>
      <c r="CA128" s="170"/>
      <c r="CB128" s="170"/>
      <c r="CC128" s="170"/>
      <c r="CD128" s="170"/>
      <c r="CE128" s="170"/>
      <c r="CF128" s="170"/>
      <c r="CG128" s="170"/>
      <c r="CH128" s="170"/>
      <c r="CI128" s="170"/>
      <c r="CJ128" s="170"/>
      <c r="CK128" s="170"/>
      <c r="CL128" s="170"/>
      <c r="CM128" s="170"/>
      <c r="CN128" s="170"/>
      <c r="CO128" s="170"/>
      <c r="CP128" s="170"/>
      <c r="CQ128" s="170"/>
      <c r="CR128" s="170"/>
      <c r="CS128" s="170"/>
      <c r="CT128" s="170"/>
      <c r="CU128" s="170"/>
      <c r="CV128" s="170"/>
      <c r="CW128" s="170"/>
      <c r="CX128" s="170"/>
      <c r="CY128" s="170"/>
      <c r="CZ128" s="170"/>
      <c r="DA128" s="170"/>
      <c r="DB128" s="170"/>
      <c r="DC128" s="170"/>
      <c r="DD128" s="170"/>
      <c r="DE128" s="170"/>
      <c r="DF128" s="170"/>
      <c r="DG128" s="170"/>
      <c r="DH128" s="170"/>
      <c r="DI128" s="170"/>
      <c r="DJ128" s="170"/>
      <c r="DK128" s="170"/>
      <c r="DL128" s="170"/>
      <c r="DM128" s="170"/>
      <c r="DN128" s="170"/>
      <c r="DO128" s="170"/>
      <c r="DP128" s="170"/>
      <c r="DQ128" s="170"/>
      <c r="DR128" s="170"/>
      <c r="DS128" s="170"/>
      <c r="DT128" s="170"/>
      <c r="DU128" s="170"/>
      <c r="DV128" s="170"/>
      <c r="DW128" s="170"/>
      <c r="DX128" s="170"/>
      <c r="DY128" s="170"/>
      <c r="DZ128" s="170"/>
      <c r="EA128" s="170"/>
      <c r="EB128" s="170"/>
      <c r="EC128" s="170"/>
      <c r="ED128" s="170"/>
      <c r="EE128" s="170"/>
      <c r="EF128" s="170"/>
      <c r="EG128" s="170"/>
      <c r="EH128" s="170"/>
      <c r="EI128" s="170"/>
      <c r="EJ128" s="170"/>
      <c r="EK128" s="170"/>
      <c r="EL128" s="170"/>
      <c r="EM128" s="170"/>
      <c r="EN128" s="170"/>
      <c r="EO128" s="170"/>
      <c r="EP128" s="170"/>
    </row>
    <row r="129" ht="15.75" customHeight="1">
      <c r="A129" s="170"/>
      <c r="B129" s="170"/>
      <c r="C129" s="170"/>
      <c r="D129" s="170"/>
      <c r="E129" s="170"/>
      <c r="F129" s="170"/>
      <c r="G129" s="170"/>
      <c r="H129" s="170"/>
      <c r="I129" s="170"/>
      <c r="J129" s="170"/>
      <c r="K129" s="170"/>
      <c r="L129" s="170"/>
      <c r="M129" s="170"/>
      <c r="N129" s="170"/>
      <c r="O129" s="170"/>
      <c r="P129" s="170"/>
      <c r="Q129" s="170"/>
      <c r="R129" s="170"/>
      <c r="S129" s="170"/>
      <c r="T129" s="170"/>
      <c r="U129" s="170"/>
      <c r="V129" s="170"/>
      <c r="W129" s="170"/>
      <c r="X129" s="170"/>
      <c r="Y129" s="170"/>
      <c r="Z129" s="170"/>
      <c r="AA129" s="170"/>
      <c r="AB129" s="170"/>
      <c r="AC129" s="170"/>
      <c r="AD129" s="170"/>
      <c r="AE129" s="170"/>
      <c r="AF129" s="170"/>
      <c r="AG129" s="170"/>
      <c r="AH129" s="170"/>
      <c r="AI129" s="170"/>
      <c r="AJ129" s="170"/>
      <c r="AK129" s="170"/>
      <c r="AL129" s="170"/>
      <c r="AM129" s="170"/>
      <c r="AN129" s="170"/>
      <c r="AO129" s="170"/>
      <c r="AP129" s="170"/>
      <c r="AQ129" s="170"/>
      <c r="AR129" s="170"/>
      <c r="AS129" s="170"/>
      <c r="AT129" s="170"/>
      <c r="AU129" s="170"/>
      <c r="AV129" s="170"/>
      <c r="AW129" s="170"/>
      <c r="AX129" s="170"/>
      <c r="AY129" s="170"/>
      <c r="AZ129" s="170"/>
      <c r="BA129" s="170"/>
      <c r="BB129" s="170"/>
      <c r="BC129" s="170"/>
      <c r="BD129" s="170"/>
      <c r="BE129" s="170"/>
      <c r="BF129" s="170"/>
      <c r="BG129" s="170"/>
      <c r="BH129" s="170"/>
      <c r="BI129" s="170"/>
      <c r="BJ129" s="170"/>
      <c r="BK129" s="170"/>
      <c r="BL129" s="170"/>
      <c r="BM129" s="170"/>
      <c r="BN129" s="170"/>
      <c r="BO129" s="170"/>
      <c r="BP129" s="170"/>
      <c r="BQ129" s="170"/>
      <c r="BR129" s="170"/>
      <c r="BS129" s="170"/>
      <c r="BT129" s="170"/>
      <c r="BU129" s="170"/>
      <c r="BV129" s="170"/>
      <c r="BW129" s="170"/>
      <c r="BX129" s="170"/>
      <c r="BY129" s="170"/>
      <c r="BZ129" s="170"/>
      <c r="CA129" s="170"/>
      <c r="CB129" s="170"/>
      <c r="CC129" s="170"/>
      <c r="CD129" s="170"/>
      <c r="CE129" s="170"/>
      <c r="CF129" s="170"/>
      <c r="CG129" s="170"/>
      <c r="CH129" s="170"/>
      <c r="CI129" s="170"/>
      <c r="CJ129" s="170"/>
      <c r="CK129" s="170"/>
      <c r="CL129" s="170"/>
      <c r="CM129" s="170"/>
      <c r="CN129" s="170"/>
      <c r="CO129" s="170"/>
      <c r="CP129" s="170"/>
      <c r="CQ129" s="170"/>
      <c r="CR129" s="170"/>
      <c r="CS129" s="170"/>
      <c r="CT129" s="170"/>
      <c r="CU129" s="170"/>
      <c r="CV129" s="170"/>
      <c r="CW129" s="170"/>
      <c r="CX129" s="170"/>
      <c r="CY129" s="170"/>
      <c r="CZ129" s="170"/>
      <c r="DA129" s="170"/>
      <c r="DB129" s="170"/>
      <c r="DC129" s="170"/>
      <c r="DD129" s="170"/>
      <c r="DE129" s="170"/>
      <c r="DF129" s="170"/>
      <c r="DG129" s="170"/>
      <c r="DH129" s="170"/>
      <c r="DI129" s="170"/>
      <c r="DJ129" s="170"/>
      <c r="DK129" s="170"/>
      <c r="DL129" s="170"/>
      <c r="DM129" s="170"/>
      <c r="DN129" s="170"/>
      <c r="DO129" s="170"/>
      <c r="DP129" s="170"/>
      <c r="DQ129" s="170"/>
      <c r="DR129" s="170"/>
      <c r="DS129" s="170"/>
      <c r="DT129" s="170"/>
      <c r="DU129" s="170"/>
      <c r="DV129" s="170"/>
      <c r="DW129" s="170"/>
      <c r="DX129" s="170"/>
      <c r="DY129" s="170"/>
      <c r="DZ129" s="170"/>
      <c r="EA129" s="170"/>
      <c r="EB129" s="170"/>
      <c r="EC129" s="170"/>
      <c r="ED129" s="170"/>
      <c r="EE129" s="170"/>
      <c r="EF129" s="170"/>
      <c r="EG129" s="170"/>
      <c r="EH129" s="170"/>
      <c r="EI129" s="170"/>
      <c r="EJ129" s="170"/>
      <c r="EK129" s="170"/>
      <c r="EL129" s="170"/>
      <c r="EM129" s="170"/>
      <c r="EN129" s="170"/>
      <c r="EO129" s="170"/>
      <c r="EP129" s="170"/>
    </row>
    <row r="130" ht="15.75" customHeight="1">
      <c r="A130" s="170"/>
      <c r="B130" s="170"/>
      <c r="C130" s="170"/>
      <c r="D130" s="170"/>
      <c r="E130" s="170"/>
      <c r="F130" s="170"/>
      <c r="G130" s="170"/>
      <c r="H130" s="170"/>
      <c r="I130" s="170"/>
      <c r="J130" s="170"/>
      <c r="K130" s="170"/>
      <c r="L130" s="170"/>
      <c r="M130" s="170"/>
      <c r="N130" s="170"/>
      <c r="O130" s="170"/>
      <c r="P130" s="170"/>
      <c r="Q130" s="170"/>
      <c r="R130" s="170"/>
      <c r="S130" s="170"/>
      <c r="T130" s="170"/>
      <c r="U130" s="170"/>
      <c r="V130" s="170"/>
      <c r="W130" s="170"/>
      <c r="X130" s="170"/>
      <c r="Y130" s="170"/>
      <c r="Z130" s="170"/>
      <c r="AA130" s="170"/>
      <c r="AB130" s="170"/>
      <c r="AC130" s="170"/>
      <c r="AD130" s="170"/>
      <c r="AE130" s="170"/>
      <c r="AF130" s="170"/>
      <c r="AG130" s="170"/>
      <c r="AH130" s="170"/>
      <c r="AI130" s="170"/>
      <c r="AJ130" s="170"/>
      <c r="AK130" s="170"/>
      <c r="AL130" s="170"/>
      <c r="AM130" s="170"/>
      <c r="AN130" s="170"/>
      <c r="AO130" s="170"/>
      <c r="AP130" s="170"/>
      <c r="AQ130" s="170"/>
      <c r="AR130" s="170"/>
      <c r="AS130" s="170"/>
      <c r="AT130" s="170"/>
      <c r="AU130" s="170"/>
      <c r="AV130" s="170"/>
      <c r="AW130" s="170"/>
      <c r="AX130" s="170"/>
      <c r="AY130" s="170"/>
      <c r="AZ130" s="170"/>
      <c r="BA130" s="170"/>
      <c r="BB130" s="170"/>
      <c r="BC130" s="170"/>
      <c r="BD130" s="170"/>
      <c r="BE130" s="170"/>
      <c r="BF130" s="170"/>
      <c r="BG130" s="170"/>
      <c r="BH130" s="170"/>
      <c r="BI130" s="170"/>
      <c r="BJ130" s="170"/>
      <c r="BK130" s="170"/>
      <c r="BL130" s="170"/>
      <c r="BM130" s="170"/>
      <c r="BN130" s="170"/>
      <c r="BO130" s="170"/>
      <c r="BP130" s="170"/>
      <c r="BQ130" s="170"/>
      <c r="BR130" s="170"/>
      <c r="BS130" s="170"/>
      <c r="BT130" s="170"/>
      <c r="BU130" s="170"/>
      <c r="BV130" s="170"/>
      <c r="BW130" s="170"/>
      <c r="BX130" s="170"/>
      <c r="BY130" s="170"/>
      <c r="BZ130" s="170"/>
      <c r="CA130" s="170"/>
      <c r="CB130" s="170"/>
      <c r="CC130" s="170"/>
      <c r="CD130" s="170"/>
      <c r="CE130" s="170"/>
      <c r="CF130" s="170"/>
      <c r="CG130" s="170"/>
      <c r="CH130" s="170"/>
      <c r="CI130" s="170"/>
      <c r="CJ130" s="170"/>
      <c r="CK130" s="170"/>
      <c r="CL130" s="170"/>
      <c r="CM130" s="170"/>
      <c r="CN130" s="170"/>
      <c r="CO130" s="170"/>
      <c r="CP130" s="170"/>
      <c r="CQ130" s="170"/>
      <c r="CR130" s="170"/>
      <c r="CS130" s="170"/>
      <c r="CT130" s="170"/>
      <c r="CU130" s="170"/>
      <c r="CV130" s="170"/>
      <c r="CW130" s="170"/>
      <c r="CX130" s="170"/>
      <c r="CY130" s="170"/>
      <c r="CZ130" s="170"/>
      <c r="DA130" s="170"/>
      <c r="DB130" s="170"/>
      <c r="DC130" s="170"/>
      <c r="DD130" s="170"/>
      <c r="DE130" s="170"/>
      <c r="DF130" s="170"/>
      <c r="DG130" s="170"/>
      <c r="DH130" s="170"/>
      <c r="DI130" s="170"/>
      <c r="DJ130" s="170"/>
      <c r="DK130" s="170"/>
      <c r="DL130" s="170"/>
      <c r="DM130" s="170"/>
      <c r="DN130" s="170"/>
      <c r="DO130" s="170"/>
      <c r="DP130" s="170"/>
      <c r="DQ130" s="170"/>
      <c r="DR130" s="170"/>
      <c r="DS130" s="170"/>
      <c r="DT130" s="170"/>
      <c r="DU130" s="170"/>
      <c r="DV130" s="170"/>
      <c r="DW130" s="170"/>
      <c r="DX130" s="170"/>
      <c r="DY130" s="170"/>
      <c r="DZ130" s="170"/>
      <c r="EA130" s="170"/>
      <c r="EB130" s="170"/>
      <c r="EC130" s="170"/>
      <c r="ED130" s="170"/>
      <c r="EE130" s="170"/>
      <c r="EF130" s="170"/>
      <c r="EG130" s="170"/>
      <c r="EH130" s="170"/>
      <c r="EI130" s="170"/>
      <c r="EJ130" s="170"/>
      <c r="EK130" s="170"/>
      <c r="EL130" s="170"/>
      <c r="EM130" s="170"/>
      <c r="EN130" s="170"/>
      <c r="EO130" s="170"/>
      <c r="EP130" s="170"/>
    </row>
    <row r="131" ht="15.75" customHeight="1">
      <c r="A131" s="170"/>
      <c r="B131" s="170"/>
      <c r="C131" s="170"/>
      <c r="D131" s="170"/>
      <c r="E131" s="170"/>
      <c r="F131" s="170"/>
      <c r="G131" s="170"/>
      <c r="H131" s="170"/>
      <c r="I131" s="170"/>
      <c r="J131" s="170"/>
      <c r="K131" s="170"/>
      <c r="L131" s="170"/>
      <c r="M131" s="170"/>
      <c r="N131" s="170"/>
      <c r="O131" s="170"/>
      <c r="P131" s="170"/>
      <c r="Q131" s="170"/>
      <c r="R131" s="170"/>
      <c r="S131" s="170"/>
      <c r="T131" s="170"/>
      <c r="U131" s="170"/>
      <c r="V131" s="170"/>
      <c r="W131" s="170"/>
      <c r="X131" s="170"/>
      <c r="Y131" s="170"/>
      <c r="Z131" s="170"/>
      <c r="AA131" s="170"/>
      <c r="AB131" s="170"/>
      <c r="AC131" s="170"/>
      <c r="AD131" s="170"/>
      <c r="AE131" s="170"/>
      <c r="AF131" s="170"/>
      <c r="AG131" s="170"/>
      <c r="AH131" s="170"/>
      <c r="AI131" s="170"/>
      <c r="AJ131" s="170"/>
      <c r="AK131" s="170"/>
      <c r="AL131" s="170"/>
      <c r="AM131" s="170"/>
      <c r="AN131" s="170"/>
      <c r="AO131" s="170"/>
      <c r="AP131" s="170"/>
      <c r="AQ131" s="170"/>
      <c r="AR131" s="170"/>
      <c r="AS131" s="170"/>
      <c r="AT131" s="170"/>
      <c r="AU131" s="170"/>
      <c r="AV131" s="170"/>
      <c r="AW131" s="170"/>
      <c r="AX131" s="170"/>
      <c r="AY131" s="170"/>
      <c r="AZ131" s="170"/>
      <c r="BA131" s="170"/>
      <c r="BB131" s="170"/>
      <c r="BC131" s="170"/>
      <c r="BD131" s="170"/>
      <c r="BE131" s="170"/>
      <c r="BF131" s="170"/>
      <c r="BG131" s="170"/>
      <c r="BH131" s="170"/>
      <c r="BI131" s="170"/>
      <c r="BJ131" s="170"/>
      <c r="BK131" s="170"/>
      <c r="BL131" s="170"/>
      <c r="BM131" s="170"/>
      <c r="BN131" s="170"/>
      <c r="BO131" s="170"/>
      <c r="BP131" s="170"/>
      <c r="BQ131" s="170"/>
      <c r="BR131" s="170"/>
      <c r="BS131" s="170"/>
      <c r="BT131" s="170"/>
      <c r="BU131" s="170"/>
      <c r="BV131" s="170"/>
      <c r="BW131" s="170"/>
      <c r="BX131" s="170"/>
      <c r="BY131" s="170"/>
      <c r="BZ131" s="170"/>
      <c r="CA131" s="170"/>
      <c r="CB131" s="170"/>
      <c r="CC131" s="170"/>
      <c r="CD131" s="170"/>
      <c r="CE131" s="170"/>
      <c r="CF131" s="170"/>
      <c r="CG131" s="170"/>
      <c r="CH131" s="170"/>
      <c r="CI131" s="170"/>
      <c r="CJ131" s="170"/>
      <c r="CK131" s="170"/>
      <c r="CL131" s="170"/>
      <c r="CM131" s="170"/>
      <c r="CN131" s="170"/>
      <c r="CO131" s="170"/>
      <c r="CP131" s="170"/>
      <c r="CQ131" s="170"/>
      <c r="CR131" s="170"/>
      <c r="CS131" s="170"/>
      <c r="CT131" s="170"/>
      <c r="CU131" s="170"/>
      <c r="CV131" s="170"/>
      <c r="CW131" s="170"/>
      <c r="CX131" s="170"/>
      <c r="CY131" s="170"/>
      <c r="CZ131" s="170"/>
      <c r="DA131" s="170"/>
      <c r="DB131" s="170"/>
      <c r="DC131" s="170"/>
      <c r="DD131" s="170"/>
      <c r="DE131" s="170"/>
      <c r="DF131" s="170"/>
      <c r="DG131" s="170"/>
      <c r="DH131" s="170"/>
      <c r="DI131" s="170"/>
      <c r="DJ131" s="170"/>
      <c r="DK131" s="170"/>
      <c r="DL131" s="170"/>
      <c r="DM131" s="170"/>
      <c r="DN131" s="170"/>
      <c r="DO131" s="170"/>
      <c r="DP131" s="170"/>
      <c r="DQ131" s="170"/>
      <c r="DR131" s="170"/>
      <c r="DS131" s="170"/>
      <c r="DT131" s="170"/>
      <c r="DU131" s="170"/>
      <c r="DV131" s="170"/>
      <c r="DW131" s="170"/>
      <c r="DX131" s="170"/>
      <c r="DY131" s="170"/>
      <c r="DZ131" s="170"/>
      <c r="EA131" s="170"/>
      <c r="EB131" s="170"/>
      <c r="EC131" s="170"/>
      <c r="ED131" s="170"/>
      <c r="EE131" s="170"/>
      <c r="EF131" s="170"/>
      <c r="EG131" s="170"/>
      <c r="EH131" s="170"/>
      <c r="EI131" s="170"/>
      <c r="EJ131" s="170"/>
      <c r="EK131" s="170"/>
      <c r="EL131" s="170"/>
      <c r="EM131" s="170"/>
      <c r="EN131" s="170"/>
      <c r="EO131" s="170"/>
      <c r="EP131" s="170"/>
    </row>
    <row r="132" ht="15.75" customHeight="1">
      <c r="A132" s="170"/>
      <c r="B132" s="170"/>
      <c r="C132" s="170"/>
      <c r="D132" s="170"/>
      <c r="E132" s="170"/>
      <c r="F132" s="170"/>
      <c r="G132" s="170"/>
      <c r="H132" s="170"/>
      <c r="I132" s="170"/>
      <c r="J132" s="170"/>
      <c r="K132" s="170"/>
      <c r="L132" s="170"/>
      <c r="M132" s="170"/>
      <c r="N132" s="170"/>
      <c r="O132" s="170"/>
      <c r="P132" s="170"/>
      <c r="Q132" s="170"/>
      <c r="R132" s="170"/>
      <c r="S132" s="170"/>
      <c r="T132" s="170"/>
      <c r="U132" s="170"/>
      <c r="V132" s="170"/>
      <c r="W132" s="170"/>
      <c r="X132" s="170"/>
      <c r="Y132" s="170"/>
      <c r="Z132" s="170"/>
      <c r="AA132" s="170"/>
      <c r="AB132" s="170"/>
      <c r="AC132" s="170"/>
      <c r="AD132" s="170"/>
      <c r="AE132" s="170"/>
      <c r="AF132" s="170"/>
      <c r="AG132" s="170"/>
      <c r="AH132" s="170"/>
      <c r="AI132" s="170"/>
      <c r="AJ132" s="170"/>
      <c r="AK132" s="170"/>
      <c r="AL132" s="170"/>
      <c r="AM132" s="170"/>
      <c r="AN132" s="170"/>
      <c r="AO132" s="170"/>
      <c r="AP132" s="170"/>
      <c r="AQ132" s="170"/>
      <c r="AR132" s="170"/>
      <c r="AS132" s="170"/>
      <c r="AT132" s="170"/>
      <c r="AU132" s="170"/>
      <c r="AV132" s="170"/>
      <c r="AW132" s="170"/>
      <c r="AX132" s="170"/>
      <c r="AY132" s="170"/>
      <c r="AZ132" s="170"/>
      <c r="BA132" s="170"/>
      <c r="BB132" s="170"/>
      <c r="BC132" s="170"/>
      <c r="BD132" s="170"/>
      <c r="BE132" s="170"/>
      <c r="BF132" s="170"/>
      <c r="BG132" s="170"/>
      <c r="BH132" s="170"/>
      <c r="BI132" s="170"/>
      <c r="BJ132" s="170"/>
      <c r="BK132" s="170"/>
      <c r="BL132" s="170"/>
      <c r="BM132" s="170"/>
      <c r="BN132" s="170"/>
      <c r="BO132" s="170"/>
      <c r="BP132" s="170"/>
      <c r="BQ132" s="170"/>
      <c r="BR132" s="170"/>
      <c r="BS132" s="170"/>
      <c r="BT132" s="170"/>
      <c r="BU132" s="170"/>
      <c r="BV132" s="170"/>
      <c r="BW132" s="170"/>
      <c r="BX132" s="170"/>
      <c r="BY132" s="170"/>
      <c r="BZ132" s="170"/>
      <c r="CA132" s="170"/>
      <c r="CB132" s="170"/>
      <c r="CC132" s="170"/>
      <c r="CD132" s="170"/>
      <c r="CE132" s="170"/>
      <c r="CF132" s="170"/>
      <c r="CG132" s="170"/>
      <c r="CH132" s="170"/>
      <c r="CI132" s="170"/>
      <c r="CJ132" s="170"/>
      <c r="CK132" s="170"/>
      <c r="CL132" s="170"/>
      <c r="CM132" s="170"/>
      <c r="CN132" s="170"/>
      <c r="CO132" s="170"/>
      <c r="CP132" s="170"/>
      <c r="CQ132" s="170"/>
      <c r="CR132" s="170"/>
      <c r="CS132" s="170"/>
      <c r="CT132" s="170"/>
      <c r="CU132" s="170"/>
      <c r="CV132" s="170"/>
      <c r="CW132" s="170"/>
      <c r="CX132" s="170"/>
      <c r="CY132" s="170"/>
      <c r="CZ132" s="170"/>
      <c r="DA132" s="170"/>
      <c r="DB132" s="170"/>
      <c r="DC132" s="170"/>
      <c r="DD132" s="170"/>
      <c r="DE132" s="170"/>
      <c r="DF132" s="170"/>
      <c r="DG132" s="170"/>
      <c r="DH132" s="170"/>
      <c r="DI132" s="170"/>
      <c r="DJ132" s="170"/>
      <c r="DK132" s="170"/>
      <c r="DL132" s="170"/>
      <c r="DM132" s="170"/>
      <c r="DN132" s="170"/>
      <c r="DO132" s="170"/>
      <c r="DP132" s="170"/>
      <c r="DQ132" s="170"/>
      <c r="DR132" s="170"/>
      <c r="DS132" s="170"/>
      <c r="DT132" s="170"/>
      <c r="DU132" s="170"/>
      <c r="DV132" s="170"/>
      <c r="DW132" s="170"/>
      <c r="DX132" s="170"/>
      <c r="DY132" s="170"/>
      <c r="DZ132" s="170"/>
      <c r="EA132" s="170"/>
      <c r="EB132" s="170"/>
      <c r="EC132" s="170"/>
      <c r="ED132" s="170"/>
      <c r="EE132" s="170"/>
      <c r="EF132" s="170"/>
      <c r="EG132" s="170"/>
      <c r="EH132" s="170"/>
      <c r="EI132" s="170"/>
      <c r="EJ132" s="170"/>
      <c r="EK132" s="170"/>
      <c r="EL132" s="170"/>
      <c r="EM132" s="170"/>
      <c r="EN132" s="170"/>
      <c r="EO132" s="170"/>
      <c r="EP132" s="170"/>
    </row>
    <row r="133" ht="15.75" customHeight="1">
      <c r="A133" s="170"/>
      <c r="B133" s="170"/>
      <c r="C133" s="170"/>
      <c r="D133" s="170"/>
      <c r="E133" s="170"/>
      <c r="F133" s="170"/>
      <c r="G133" s="170"/>
      <c r="H133" s="170"/>
      <c r="I133" s="170"/>
      <c r="J133" s="170"/>
      <c r="K133" s="170"/>
      <c r="L133" s="170"/>
      <c r="M133" s="170"/>
      <c r="N133" s="170"/>
      <c r="O133" s="170"/>
      <c r="P133" s="170"/>
      <c r="Q133" s="170"/>
      <c r="R133" s="170"/>
      <c r="S133" s="170"/>
      <c r="T133" s="170"/>
      <c r="U133" s="170"/>
      <c r="V133" s="170"/>
      <c r="W133" s="170"/>
      <c r="X133" s="170"/>
      <c r="Y133" s="170"/>
      <c r="Z133" s="170"/>
      <c r="AA133" s="170"/>
      <c r="AB133" s="170"/>
      <c r="AC133" s="170"/>
      <c r="AD133" s="170"/>
      <c r="AE133" s="170"/>
      <c r="AF133" s="170"/>
      <c r="AG133" s="170"/>
      <c r="AH133" s="170"/>
      <c r="AI133" s="170"/>
      <c r="AJ133" s="170"/>
      <c r="AK133" s="170"/>
      <c r="AL133" s="170"/>
      <c r="AM133" s="170"/>
      <c r="AN133" s="170"/>
      <c r="AO133" s="170"/>
      <c r="AP133" s="170"/>
      <c r="AQ133" s="170"/>
      <c r="AR133" s="170"/>
      <c r="AS133" s="170"/>
      <c r="AT133" s="170"/>
      <c r="AU133" s="170"/>
      <c r="AV133" s="170"/>
      <c r="AW133" s="170"/>
      <c r="AX133" s="170"/>
      <c r="AY133" s="170"/>
      <c r="AZ133" s="170"/>
      <c r="BA133" s="170"/>
      <c r="BB133" s="170"/>
      <c r="BC133" s="170"/>
      <c r="BD133" s="170"/>
      <c r="BE133" s="170"/>
      <c r="BF133" s="170"/>
      <c r="BG133" s="170"/>
      <c r="BH133" s="170"/>
      <c r="BI133" s="170"/>
      <c r="BJ133" s="170"/>
      <c r="BK133" s="170"/>
      <c r="BL133" s="170"/>
      <c r="BM133" s="170"/>
      <c r="BN133" s="170"/>
      <c r="BO133" s="170"/>
      <c r="BP133" s="170"/>
      <c r="BQ133" s="170"/>
      <c r="BR133" s="170"/>
      <c r="BS133" s="170"/>
      <c r="BT133" s="170"/>
      <c r="BU133" s="170"/>
      <c r="BV133" s="170"/>
      <c r="BW133" s="170"/>
      <c r="BX133" s="170"/>
      <c r="BY133" s="170"/>
      <c r="BZ133" s="170"/>
      <c r="CA133" s="170"/>
      <c r="CB133" s="170"/>
      <c r="CC133" s="170"/>
      <c r="CD133" s="170"/>
      <c r="CE133" s="170"/>
      <c r="CF133" s="170"/>
      <c r="CG133" s="170"/>
      <c r="CH133" s="170"/>
      <c r="CI133" s="170"/>
      <c r="CJ133" s="170"/>
      <c r="CK133" s="170"/>
      <c r="CL133" s="170"/>
      <c r="CM133" s="170"/>
      <c r="CN133" s="170"/>
      <c r="CO133" s="170"/>
      <c r="CP133" s="170"/>
      <c r="CQ133" s="170"/>
      <c r="CR133" s="170"/>
      <c r="CS133" s="170"/>
      <c r="CT133" s="170"/>
      <c r="CU133" s="170"/>
      <c r="CV133" s="170"/>
      <c r="CW133" s="170"/>
      <c r="CX133" s="170"/>
      <c r="CY133" s="170"/>
      <c r="CZ133" s="170"/>
      <c r="DA133" s="170"/>
      <c r="DB133" s="170"/>
      <c r="DC133" s="170"/>
      <c r="DD133" s="170"/>
      <c r="DE133" s="170"/>
      <c r="DF133" s="170"/>
      <c r="DG133" s="170"/>
      <c r="DH133" s="170"/>
      <c r="DI133" s="170"/>
      <c r="DJ133" s="170"/>
      <c r="DK133" s="170"/>
      <c r="DL133" s="170"/>
      <c r="DM133" s="170"/>
      <c r="DN133" s="170"/>
      <c r="DO133" s="170"/>
      <c r="DP133" s="170"/>
      <c r="DQ133" s="170"/>
      <c r="DR133" s="170"/>
      <c r="DS133" s="170"/>
      <c r="DT133" s="170"/>
      <c r="DU133" s="170"/>
      <c r="DV133" s="170"/>
      <c r="DW133" s="170"/>
      <c r="DX133" s="170"/>
      <c r="DY133" s="170"/>
      <c r="DZ133" s="170"/>
      <c r="EA133" s="170"/>
      <c r="EB133" s="170"/>
      <c r="EC133" s="170"/>
      <c r="ED133" s="170"/>
      <c r="EE133" s="170"/>
      <c r="EF133" s="170"/>
      <c r="EG133" s="170"/>
      <c r="EH133" s="170"/>
      <c r="EI133" s="170"/>
      <c r="EJ133" s="170"/>
      <c r="EK133" s="170"/>
      <c r="EL133" s="170"/>
      <c r="EM133" s="170"/>
      <c r="EN133" s="170"/>
      <c r="EO133" s="170"/>
      <c r="EP133" s="170"/>
    </row>
    <row r="134" ht="15.75" customHeight="1">
      <c r="A134" s="170"/>
      <c r="B134" s="170"/>
      <c r="C134" s="170"/>
      <c r="D134" s="170"/>
      <c r="E134" s="170"/>
      <c r="F134" s="170"/>
      <c r="G134" s="170"/>
      <c r="H134" s="170"/>
      <c r="I134" s="170"/>
      <c r="J134" s="170"/>
      <c r="K134" s="170"/>
      <c r="L134" s="170"/>
      <c r="M134" s="170"/>
      <c r="N134" s="170"/>
      <c r="O134" s="170"/>
      <c r="P134" s="170"/>
      <c r="Q134" s="170"/>
      <c r="R134" s="170"/>
      <c r="S134" s="170"/>
      <c r="T134" s="170"/>
      <c r="U134" s="170"/>
      <c r="V134" s="170"/>
      <c r="W134" s="170"/>
      <c r="X134" s="170"/>
      <c r="Y134" s="170"/>
      <c r="Z134" s="170"/>
      <c r="AA134" s="170"/>
      <c r="AB134" s="170"/>
      <c r="AC134" s="170"/>
      <c r="AD134" s="170"/>
      <c r="AE134" s="170"/>
      <c r="AF134" s="170"/>
      <c r="AG134" s="170"/>
      <c r="AH134" s="170"/>
      <c r="AI134" s="170"/>
      <c r="AJ134" s="170"/>
      <c r="AK134" s="170"/>
      <c r="AL134" s="170"/>
      <c r="AM134" s="170"/>
      <c r="AN134" s="170"/>
      <c r="AO134" s="170"/>
      <c r="AP134" s="170"/>
      <c r="AQ134" s="170"/>
      <c r="AR134" s="170"/>
      <c r="AS134" s="170"/>
      <c r="AT134" s="170"/>
      <c r="AU134" s="170"/>
      <c r="AV134" s="170"/>
      <c r="AW134" s="170"/>
      <c r="AX134" s="170"/>
      <c r="AY134" s="170"/>
      <c r="AZ134" s="170"/>
      <c r="BA134" s="170"/>
      <c r="BB134" s="170"/>
      <c r="BC134" s="170"/>
      <c r="BD134" s="170"/>
      <c r="BE134" s="170"/>
      <c r="BF134" s="170"/>
      <c r="BG134" s="170"/>
      <c r="BH134" s="170"/>
      <c r="BI134" s="170"/>
      <c r="BJ134" s="170"/>
      <c r="BK134" s="170"/>
      <c r="BL134" s="170"/>
      <c r="BM134" s="170"/>
      <c r="BN134" s="170"/>
      <c r="BO134" s="170"/>
      <c r="BP134" s="170"/>
      <c r="BQ134" s="170"/>
      <c r="BR134" s="170"/>
      <c r="BS134" s="170"/>
      <c r="BT134" s="170"/>
      <c r="BU134" s="170"/>
      <c r="BV134" s="170"/>
      <c r="BW134" s="170"/>
      <c r="BX134" s="170"/>
      <c r="BY134" s="170"/>
      <c r="BZ134" s="170"/>
      <c r="CA134" s="170"/>
      <c r="CB134" s="170"/>
      <c r="CC134" s="170"/>
      <c r="CD134" s="170"/>
      <c r="CE134" s="170"/>
      <c r="CF134" s="170"/>
      <c r="CG134" s="170"/>
      <c r="CH134" s="170"/>
      <c r="CI134" s="170"/>
      <c r="CJ134" s="170"/>
      <c r="CK134" s="170"/>
      <c r="CL134" s="170"/>
      <c r="CM134" s="170"/>
      <c r="CN134" s="170"/>
      <c r="CO134" s="170"/>
      <c r="CP134" s="170"/>
      <c r="CQ134" s="170"/>
      <c r="CR134" s="170"/>
      <c r="CS134" s="170"/>
      <c r="CT134" s="170"/>
      <c r="CU134" s="170"/>
      <c r="CV134" s="170"/>
      <c r="CW134" s="170"/>
      <c r="CX134" s="170"/>
      <c r="CY134" s="170"/>
      <c r="CZ134" s="170"/>
      <c r="DA134" s="170"/>
      <c r="DB134" s="170"/>
      <c r="DC134" s="170"/>
      <c r="DD134" s="170"/>
      <c r="DE134" s="170"/>
      <c r="DF134" s="170"/>
      <c r="DG134" s="170"/>
      <c r="DH134" s="170"/>
      <c r="DI134" s="170"/>
      <c r="DJ134" s="170"/>
      <c r="DK134" s="170"/>
      <c r="DL134" s="170"/>
      <c r="DM134" s="170"/>
      <c r="DN134" s="170"/>
      <c r="DO134" s="170"/>
      <c r="DP134" s="170"/>
      <c r="DQ134" s="170"/>
      <c r="DR134" s="170"/>
      <c r="DS134" s="170"/>
      <c r="DT134" s="170"/>
      <c r="DU134" s="170"/>
      <c r="DV134" s="170"/>
      <c r="DW134" s="170"/>
      <c r="DX134" s="170"/>
      <c r="DY134" s="170"/>
      <c r="DZ134" s="170"/>
      <c r="EA134" s="170"/>
      <c r="EB134" s="170"/>
      <c r="EC134" s="170"/>
      <c r="ED134" s="170"/>
      <c r="EE134" s="170"/>
      <c r="EF134" s="170"/>
      <c r="EG134" s="170"/>
      <c r="EH134" s="170"/>
      <c r="EI134" s="170"/>
      <c r="EJ134" s="170"/>
      <c r="EK134" s="170"/>
      <c r="EL134" s="170"/>
      <c r="EM134" s="170"/>
      <c r="EN134" s="170"/>
      <c r="EO134" s="170"/>
      <c r="EP134" s="170"/>
    </row>
    <row r="135" ht="15.75" customHeight="1">
      <c r="A135" s="170"/>
      <c r="B135" s="170"/>
      <c r="C135" s="170"/>
      <c r="D135" s="170"/>
      <c r="E135" s="170"/>
      <c r="F135" s="170"/>
      <c r="G135" s="170"/>
      <c r="H135" s="170"/>
      <c r="I135" s="170"/>
      <c r="J135" s="170"/>
      <c r="K135" s="170"/>
      <c r="L135" s="170"/>
      <c r="M135" s="170"/>
      <c r="N135" s="170"/>
      <c r="O135" s="170"/>
      <c r="P135" s="170"/>
      <c r="Q135" s="170"/>
      <c r="R135" s="170"/>
      <c r="S135" s="170"/>
      <c r="T135" s="170"/>
      <c r="U135" s="170"/>
      <c r="V135" s="170"/>
      <c r="W135" s="170"/>
      <c r="X135" s="170"/>
      <c r="Y135" s="170"/>
      <c r="Z135" s="170"/>
      <c r="AA135" s="170"/>
      <c r="AB135" s="170"/>
      <c r="AC135" s="170"/>
      <c r="AD135" s="170"/>
      <c r="AE135" s="170"/>
      <c r="AF135" s="170"/>
      <c r="AG135" s="170"/>
      <c r="AH135" s="170"/>
      <c r="AI135" s="170"/>
      <c r="AJ135" s="170"/>
      <c r="AK135" s="170"/>
      <c r="AL135" s="170"/>
      <c r="AM135" s="170"/>
      <c r="AN135" s="170"/>
      <c r="AO135" s="170"/>
      <c r="AP135" s="170"/>
      <c r="AQ135" s="170"/>
      <c r="AR135" s="170"/>
      <c r="AS135" s="170"/>
      <c r="AT135" s="170"/>
      <c r="AU135" s="170"/>
      <c r="AV135" s="170"/>
      <c r="AW135" s="170"/>
      <c r="AX135" s="170"/>
      <c r="AY135" s="170"/>
      <c r="AZ135" s="170"/>
      <c r="BA135" s="170"/>
      <c r="BB135" s="170"/>
      <c r="BC135" s="170"/>
      <c r="BD135" s="170"/>
      <c r="BE135" s="170"/>
      <c r="BF135" s="170"/>
      <c r="BG135" s="170"/>
      <c r="BH135" s="170"/>
      <c r="BI135" s="170"/>
      <c r="BJ135" s="170"/>
      <c r="BK135" s="170"/>
      <c r="BL135" s="170"/>
      <c r="BM135" s="170"/>
      <c r="BN135" s="170"/>
      <c r="BO135" s="170"/>
      <c r="BP135" s="170"/>
      <c r="BQ135" s="170"/>
      <c r="BR135" s="170"/>
      <c r="BS135" s="170"/>
      <c r="BT135" s="170"/>
      <c r="BU135" s="170"/>
      <c r="BV135" s="170"/>
      <c r="BW135" s="170"/>
      <c r="BX135" s="170"/>
      <c r="BY135" s="170"/>
      <c r="BZ135" s="170"/>
      <c r="CA135" s="170"/>
      <c r="CB135" s="170"/>
      <c r="CC135" s="170"/>
      <c r="CD135" s="170"/>
      <c r="CE135" s="170"/>
      <c r="CF135" s="170"/>
      <c r="CG135" s="170"/>
      <c r="CH135" s="170"/>
      <c r="CI135" s="170"/>
      <c r="CJ135" s="170"/>
      <c r="CK135" s="170"/>
      <c r="CL135" s="170"/>
      <c r="CM135" s="170"/>
      <c r="CN135" s="170"/>
      <c r="CO135" s="170"/>
      <c r="CP135" s="170"/>
      <c r="CQ135" s="170"/>
      <c r="CR135" s="170"/>
      <c r="CS135" s="170"/>
      <c r="CT135" s="170"/>
      <c r="CU135" s="170"/>
      <c r="CV135" s="170"/>
      <c r="CW135" s="170"/>
      <c r="CX135" s="170"/>
      <c r="CY135" s="170"/>
      <c r="CZ135" s="170"/>
      <c r="DA135" s="170"/>
      <c r="DB135" s="170"/>
      <c r="DC135" s="170"/>
      <c r="DD135" s="170"/>
      <c r="DE135" s="170"/>
      <c r="DF135" s="170"/>
      <c r="DG135" s="170"/>
      <c r="DH135" s="170"/>
      <c r="DI135" s="170"/>
      <c r="DJ135" s="170"/>
      <c r="DK135" s="170"/>
      <c r="DL135" s="170"/>
      <c r="DM135" s="170"/>
      <c r="DN135" s="170"/>
      <c r="DO135" s="170"/>
      <c r="DP135" s="170"/>
      <c r="DQ135" s="170"/>
      <c r="DR135" s="170"/>
      <c r="DS135" s="170"/>
      <c r="DT135" s="170"/>
      <c r="DU135" s="170"/>
      <c r="DV135" s="170"/>
      <c r="DW135" s="170"/>
      <c r="DX135" s="170"/>
      <c r="DY135" s="170"/>
      <c r="DZ135" s="170"/>
      <c r="EA135" s="170"/>
      <c r="EB135" s="170"/>
      <c r="EC135" s="170"/>
      <c r="ED135" s="170"/>
      <c r="EE135" s="170"/>
      <c r="EF135" s="170"/>
      <c r="EG135" s="170"/>
      <c r="EH135" s="170"/>
      <c r="EI135" s="170"/>
      <c r="EJ135" s="170"/>
      <c r="EK135" s="170"/>
      <c r="EL135" s="170"/>
      <c r="EM135" s="170"/>
      <c r="EN135" s="170"/>
      <c r="EO135" s="170"/>
      <c r="EP135" s="170"/>
    </row>
    <row r="136" ht="15.75" customHeight="1">
      <c r="A136" s="170"/>
      <c r="B136" s="170"/>
      <c r="C136" s="170"/>
      <c r="D136" s="170"/>
      <c r="E136" s="170"/>
      <c r="F136" s="170"/>
      <c r="G136" s="170"/>
      <c r="H136" s="170"/>
      <c r="I136" s="170"/>
      <c r="J136" s="170"/>
      <c r="K136" s="170"/>
      <c r="L136" s="170"/>
      <c r="M136" s="170"/>
      <c r="N136" s="170"/>
      <c r="O136" s="170"/>
      <c r="P136" s="170"/>
      <c r="Q136" s="170"/>
      <c r="R136" s="170"/>
      <c r="S136" s="170"/>
      <c r="T136" s="170"/>
      <c r="U136" s="170"/>
      <c r="V136" s="170"/>
      <c r="W136" s="170"/>
      <c r="X136" s="170"/>
      <c r="Y136" s="170"/>
      <c r="Z136" s="170"/>
      <c r="AA136" s="170"/>
      <c r="AB136" s="170"/>
      <c r="AC136" s="170"/>
      <c r="AD136" s="170"/>
      <c r="AE136" s="170"/>
      <c r="AF136" s="170"/>
      <c r="AG136" s="170"/>
      <c r="AH136" s="170"/>
      <c r="AI136" s="170"/>
      <c r="AJ136" s="170"/>
      <c r="AK136" s="170"/>
      <c r="AL136" s="170"/>
      <c r="AM136" s="170"/>
      <c r="AN136" s="170"/>
      <c r="AO136" s="170"/>
      <c r="AP136" s="170"/>
      <c r="AQ136" s="170"/>
      <c r="AR136" s="170"/>
      <c r="AS136" s="170"/>
      <c r="AT136" s="170"/>
      <c r="AU136" s="170"/>
      <c r="AV136" s="170"/>
      <c r="AW136" s="170"/>
      <c r="AX136" s="170"/>
      <c r="AY136" s="170"/>
      <c r="AZ136" s="170"/>
      <c r="BA136" s="170"/>
      <c r="BB136" s="170"/>
      <c r="BC136" s="170"/>
      <c r="BD136" s="170"/>
      <c r="BE136" s="170"/>
      <c r="BF136" s="170"/>
      <c r="BG136" s="170"/>
      <c r="BH136" s="170"/>
      <c r="BI136" s="170"/>
      <c r="BJ136" s="170"/>
      <c r="BK136" s="170"/>
      <c r="BL136" s="170"/>
      <c r="BM136" s="170"/>
      <c r="BN136" s="170"/>
      <c r="BO136" s="170"/>
      <c r="BP136" s="170"/>
      <c r="BQ136" s="170"/>
      <c r="BR136" s="170"/>
      <c r="BS136" s="170"/>
      <c r="BT136" s="170"/>
      <c r="BU136" s="170"/>
      <c r="BV136" s="170"/>
      <c r="BW136" s="170"/>
      <c r="BX136" s="170"/>
      <c r="BY136" s="170"/>
      <c r="BZ136" s="170"/>
      <c r="CA136" s="170"/>
      <c r="CB136" s="170"/>
      <c r="CC136" s="170"/>
      <c r="CD136" s="170"/>
      <c r="CE136" s="170"/>
      <c r="CF136" s="170"/>
      <c r="CG136" s="170"/>
      <c r="CH136" s="170"/>
      <c r="CI136" s="170"/>
      <c r="CJ136" s="170"/>
      <c r="CK136" s="170"/>
      <c r="CL136" s="170"/>
      <c r="CM136" s="170"/>
      <c r="CN136" s="170"/>
      <c r="CO136" s="170"/>
      <c r="CP136" s="170"/>
      <c r="CQ136" s="170"/>
      <c r="CR136" s="170"/>
      <c r="CS136" s="170"/>
      <c r="CT136" s="170"/>
      <c r="CU136" s="170"/>
      <c r="CV136" s="170"/>
      <c r="CW136" s="170"/>
      <c r="CX136" s="170"/>
      <c r="CY136" s="170"/>
      <c r="CZ136" s="170"/>
      <c r="DA136" s="170"/>
      <c r="DB136" s="170"/>
      <c r="DC136" s="170"/>
      <c r="DD136" s="170"/>
      <c r="DE136" s="170"/>
      <c r="DF136" s="170"/>
      <c r="DG136" s="170"/>
      <c r="DH136" s="170"/>
      <c r="DI136" s="170"/>
      <c r="DJ136" s="170"/>
      <c r="DK136" s="170"/>
      <c r="DL136" s="170"/>
      <c r="DM136" s="170"/>
      <c r="DN136" s="170"/>
      <c r="DO136" s="170"/>
      <c r="DP136" s="170"/>
      <c r="DQ136" s="170"/>
      <c r="DR136" s="170"/>
      <c r="DS136" s="170"/>
      <c r="DT136" s="170"/>
      <c r="DU136" s="170"/>
      <c r="DV136" s="170"/>
      <c r="DW136" s="170"/>
      <c r="DX136" s="170"/>
      <c r="DY136" s="170"/>
      <c r="DZ136" s="170"/>
      <c r="EA136" s="170"/>
      <c r="EB136" s="170"/>
      <c r="EC136" s="170"/>
      <c r="ED136" s="170"/>
      <c r="EE136" s="170"/>
      <c r="EF136" s="170"/>
      <c r="EG136" s="170"/>
      <c r="EH136" s="170"/>
      <c r="EI136" s="170"/>
      <c r="EJ136" s="170"/>
      <c r="EK136" s="170"/>
      <c r="EL136" s="170"/>
      <c r="EM136" s="170"/>
      <c r="EN136" s="170"/>
      <c r="EO136" s="170"/>
      <c r="EP136" s="170"/>
    </row>
    <row r="137" ht="15.75" customHeight="1">
      <c r="A137" s="170"/>
      <c r="B137" s="170"/>
      <c r="C137" s="170"/>
      <c r="D137" s="170"/>
      <c r="E137" s="170"/>
      <c r="F137" s="170"/>
      <c r="G137" s="170"/>
      <c r="H137" s="170"/>
      <c r="I137" s="170"/>
      <c r="J137" s="170"/>
      <c r="K137" s="170"/>
      <c r="L137" s="170"/>
      <c r="M137" s="170"/>
      <c r="N137" s="170"/>
      <c r="O137" s="170"/>
      <c r="P137" s="170"/>
      <c r="Q137" s="170"/>
      <c r="R137" s="170"/>
      <c r="S137" s="170"/>
      <c r="T137" s="170"/>
      <c r="U137" s="170"/>
      <c r="V137" s="170"/>
      <c r="W137" s="170"/>
      <c r="X137" s="170"/>
      <c r="Y137" s="170"/>
      <c r="Z137" s="170"/>
      <c r="AA137" s="170"/>
      <c r="AB137" s="170"/>
      <c r="AC137" s="170"/>
      <c r="AD137" s="170"/>
      <c r="AE137" s="170"/>
      <c r="AF137" s="170"/>
      <c r="AG137" s="170"/>
      <c r="AH137" s="170"/>
      <c r="AI137" s="170"/>
      <c r="AJ137" s="170"/>
      <c r="AK137" s="170"/>
      <c r="AL137" s="170"/>
      <c r="AM137" s="170"/>
      <c r="AN137" s="170"/>
      <c r="AO137" s="170"/>
      <c r="AP137" s="170"/>
      <c r="AQ137" s="170"/>
      <c r="AR137" s="170"/>
      <c r="AS137" s="170"/>
      <c r="AT137" s="170"/>
      <c r="AU137" s="170"/>
      <c r="AV137" s="170"/>
      <c r="AW137" s="170"/>
      <c r="AX137" s="170"/>
      <c r="AY137" s="170"/>
      <c r="AZ137" s="170"/>
      <c r="BA137" s="170"/>
      <c r="BB137" s="170"/>
      <c r="BC137" s="170"/>
      <c r="BD137" s="170"/>
      <c r="BE137" s="170"/>
      <c r="BF137" s="170"/>
      <c r="BG137" s="170"/>
      <c r="BH137" s="170"/>
      <c r="BI137" s="170"/>
      <c r="BJ137" s="170"/>
      <c r="BK137" s="170"/>
      <c r="BL137" s="170"/>
      <c r="BM137" s="170"/>
      <c r="BN137" s="170"/>
      <c r="BO137" s="170"/>
      <c r="BP137" s="170"/>
      <c r="BQ137" s="170"/>
      <c r="BR137" s="170"/>
      <c r="BS137" s="170"/>
      <c r="BT137" s="170"/>
      <c r="BU137" s="170"/>
      <c r="BV137" s="170"/>
      <c r="BW137" s="170"/>
      <c r="BX137" s="170"/>
      <c r="BY137" s="170"/>
      <c r="BZ137" s="170"/>
      <c r="CA137" s="170"/>
      <c r="CB137" s="170"/>
      <c r="CC137" s="170"/>
      <c r="CD137" s="170"/>
      <c r="CE137" s="170"/>
      <c r="CF137" s="170"/>
      <c r="CG137" s="170"/>
      <c r="CH137" s="170"/>
      <c r="CI137" s="170"/>
      <c r="CJ137" s="170"/>
      <c r="CK137" s="170"/>
      <c r="CL137" s="170"/>
      <c r="CM137" s="170"/>
      <c r="CN137" s="170"/>
      <c r="CO137" s="170"/>
      <c r="CP137" s="170"/>
      <c r="CQ137" s="170"/>
      <c r="CR137" s="170"/>
      <c r="CS137" s="170"/>
      <c r="CT137" s="170"/>
      <c r="CU137" s="170"/>
      <c r="CV137" s="170"/>
      <c r="CW137" s="170"/>
      <c r="CX137" s="170"/>
      <c r="CY137" s="170"/>
      <c r="CZ137" s="170"/>
      <c r="DA137" s="170"/>
      <c r="DB137" s="170"/>
      <c r="DC137" s="170"/>
      <c r="DD137" s="170"/>
      <c r="DE137" s="170"/>
      <c r="DF137" s="170"/>
      <c r="DG137" s="170"/>
      <c r="DH137" s="170"/>
      <c r="DI137" s="170"/>
      <c r="DJ137" s="170"/>
      <c r="DK137" s="170"/>
      <c r="DL137" s="170"/>
      <c r="DM137" s="170"/>
      <c r="DN137" s="170"/>
      <c r="DO137" s="170"/>
      <c r="DP137" s="170"/>
      <c r="DQ137" s="170"/>
      <c r="DR137" s="170"/>
      <c r="DS137" s="170"/>
      <c r="DT137" s="170"/>
      <c r="DU137" s="170"/>
      <c r="DV137" s="170"/>
      <c r="DW137" s="170"/>
      <c r="DX137" s="170"/>
      <c r="DY137" s="170"/>
      <c r="DZ137" s="170"/>
      <c r="EA137" s="170"/>
      <c r="EB137" s="170"/>
      <c r="EC137" s="170"/>
      <c r="ED137" s="170"/>
      <c r="EE137" s="170"/>
      <c r="EF137" s="170"/>
      <c r="EG137" s="170"/>
      <c r="EH137" s="170"/>
      <c r="EI137" s="170"/>
      <c r="EJ137" s="170"/>
      <c r="EK137" s="170"/>
      <c r="EL137" s="170"/>
      <c r="EM137" s="170"/>
      <c r="EN137" s="170"/>
      <c r="EO137" s="170"/>
      <c r="EP137" s="170"/>
    </row>
    <row r="138" ht="15.75" customHeight="1">
      <c r="A138" s="170"/>
      <c r="B138" s="170"/>
      <c r="C138" s="170"/>
      <c r="D138" s="170"/>
      <c r="E138" s="170"/>
      <c r="F138" s="170"/>
      <c r="G138" s="170"/>
      <c r="H138" s="170"/>
      <c r="I138" s="170"/>
      <c r="J138" s="170"/>
      <c r="K138" s="170"/>
      <c r="L138" s="170"/>
      <c r="M138" s="170"/>
      <c r="N138" s="170"/>
      <c r="O138" s="170"/>
      <c r="P138" s="170"/>
      <c r="Q138" s="170"/>
      <c r="R138" s="170"/>
      <c r="S138" s="170"/>
      <c r="T138" s="170"/>
      <c r="U138" s="170"/>
      <c r="V138" s="170"/>
      <c r="W138" s="170"/>
      <c r="X138" s="170"/>
      <c r="Y138" s="170"/>
      <c r="Z138" s="170"/>
      <c r="AA138" s="170"/>
      <c r="AB138" s="170"/>
      <c r="AC138" s="170"/>
      <c r="AD138" s="170"/>
      <c r="AE138" s="170"/>
      <c r="AF138" s="170"/>
      <c r="AG138" s="170"/>
      <c r="AH138" s="170"/>
      <c r="AI138" s="170"/>
      <c r="AJ138" s="170"/>
      <c r="AK138" s="170"/>
      <c r="AL138" s="170"/>
      <c r="AM138" s="170"/>
      <c r="AN138" s="170"/>
      <c r="AO138" s="170"/>
      <c r="AP138" s="170"/>
      <c r="AQ138" s="170"/>
      <c r="AR138" s="170"/>
      <c r="AS138" s="170"/>
      <c r="AT138" s="170"/>
      <c r="AU138" s="170"/>
      <c r="AV138" s="170"/>
      <c r="AW138" s="170"/>
      <c r="AX138" s="170"/>
      <c r="AY138" s="170"/>
      <c r="AZ138" s="170"/>
      <c r="BA138" s="170"/>
      <c r="BB138" s="170"/>
      <c r="BC138" s="170"/>
      <c r="BD138" s="170"/>
      <c r="BE138" s="170"/>
      <c r="BF138" s="170"/>
      <c r="BG138" s="170"/>
      <c r="BH138" s="170"/>
      <c r="BI138" s="170"/>
      <c r="BJ138" s="170"/>
      <c r="BK138" s="170"/>
      <c r="BL138" s="170"/>
      <c r="BM138" s="170"/>
      <c r="BN138" s="170"/>
      <c r="BO138" s="170"/>
      <c r="BP138" s="170"/>
      <c r="BQ138" s="170"/>
      <c r="BR138" s="170"/>
      <c r="BS138" s="170"/>
      <c r="BT138" s="170"/>
      <c r="BU138" s="170"/>
      <c r="BV138" s="170"/>
      <c r="BW138" s="170"/>
      <c r="BX138" s="170"/>
      <c r="BY138" s="170"/>
      <c r="BZ138" s="170"/>
      <c r="CA138" s="170"/>
      <c r="CB138" s="170"/>
      <c r="CC138" s="170"/>
      <c r="CD138" s="170"/>
      <c r="CE138" s="170"/>
      <c r="CF138" s="170"/>
      <c r="CG138" s="170"/>
      <c r="CH138" s="170"/>
      <c r="CI138" s="170"/>
      <c r="CJ138" s="170"/>
      <c r="CK138" s="170"/>
      <c r="CL138" s="170"/>
      <c r="CM138" s="170"/>
      <c r="CN138" s="170"/>
      <c r="CO138" s="170"/>
      <c r="CP138" s="170"/>
      <c r="CQ138" s="170"/>
      <c r="CR138" s="170"/>
      <c r="CS138" s="170"/>
      <c r="CT138" s="170"/>
      <c r="CU138" s="170"/>
      <c r="CV138" s="170"/>
      <c r="CW138" s="170"/>
      <c r="CX138" s="170"/>
      <c r="CY138" s="170"/>
      <c r="CZ138" s="170"/>
      <c r="DA138" s="170"/>
      <c r="DB138" s="170"/>
      <c r="DC138" s="170"/>
      <c r="DD138" s="170"/>
      <c r="DE138" s="170"/>
      <c r="DF138" s="170"/>
      <c r="DG138" s="170"/>
      <c r="DH138" s="170"/>
      <c r="DI138" s="170"/>
      <c r="DJ138" s="170"/>
      <c r="DK138" s="170"/>
      <c r="DL138" s="170"/>
      <c r="DM138" s="170"/>
      <c r="DN138" s="170"/>
      <c r="DO138" s="170"/>
      <c r="DP138" s="170"/>
      <c r="DQ138" s="170"/>
      <c r="DR138" s="170"/>
      <c r="DS138" s="170"/>
      <c r="DT138" s="170"/>
      <c r="DU138" s="170"/>
      <c r="DV138" s="170"/>
      <c r="DW138" s="170"/>
      <c r="DX138" s="170"/>
      <c r="DY138" s="170"/>
      <c r="DZ138" s="170"/>
      <c r="EA138" s="170"/>
      <c r="EB138" s="170"/>
      <c r="EC138" s="170"/>
      <c r="ED138" s="170"/>
      <c r="EE138" s="170"/>
      <c r="EF138" s="170"/>
      <c r="EG138" s="170"/>
      <c r="EH138" s="170"/>
      <c r="EI138" s="170"/>
      <c r="EJ138" s="170"/>
      <c r="EK138" s="170"/>
      <c r="EL138" s="170"/>
      <c r="EM138" s="170"/>
      <c r="EN138" s="170"/>
      <c r="EO138" s="170"/>
      <c r="EP138" s="170"/>
    </row>
    <row r="139" ht="15.75" customHeight="1">
      <c r="A139" s="170"/>
      <c r="B139" s="170"/>
      <c r="C139" s="170"/>
      <c r="D139" s="170"/>
      <c r="E139" s="170"/>
      <c r="F139" s="170"/>
      <c r="G139" s="170"/>
      <c r="H139" s="170"/>
      <c r="I139" s="170"/>
      <c r="J139" s="170"/>
      <c r="K139" s="170"/>
      <c r="L139" s="170"/>
      <c r="M139" s="170"/>
      <c r="N139" s="170"/>
      <c r="O139" s="170"/>
      <c r="P139" s="170"/>
      <c r="Q139" s="170"/>
      <c r="R139" s="170"/>
      <c r="S139" s="170"/>
      <c r="T139" s="170"/>
      <c r="U139" s="170"/>
      <c r="V139" s="170"/>
      <c r="W139" s="170"/>
      <c r="X139" s="170"/>
      <c r="Y139" s="170"/>
      <c r="Z139" s="170"/>
      <c r="AA139" s="170"/>
      <c r="AB139" s="170"/>
      <c r="AC139" s="170"/>
      <c r="AD139" s="170"/>
      <c r="AE139" s="170"/>
      <c r="AF139" s="170"/>
      <c r="AG139" s="170"/>
      <c r="AH139" s="170"/>
      <c r="AI139" s="170"/>
      <c r="AJ139" s="170"/>
      <c r="AK139" s="170"/>
      <c r="AL139" s="170"/>
      <c r="AM139" s="170"/>
      <c r="AN139" s="170"/>
      <c r="AO139" s="170"/>
      <c r="AP139" s="170"/>
      <c r="AQ139" s="170"/>
      <c r="AR139" s="170"/>
      <c r="AS139" s="170"/>
      <c r="AT139" s="170"/>
      <c r="AU139" s="170"/>
      <c r="AV139" s="170"/>
      <c r="AW139" s="170"/>
      <c r="AX139" s="170"/>
      <c r="AY139" s="170"/>
      <c r="AZ139" s="170"/>
      <c r="BA139" s="170"/>
      <c r="BB139" s="170"/>
      <c r="BC139" s="170"/>
      <c r="BD139" s="170"/>
      <c r="BE139" s="170"/>
      <c r="BF139" s="170"/>
      <c r="BG139" s="170"/>
      <c r="BH139" s="170"/>
      <c r="BI139" s="170"/>
      <c r="BJ139" s="170"/>
      <c r="BK139" s="170"/>
      <c r="BL139" s="170"/>
      <c r="BM139" s="170"/>
      <c r="BN139" s="170"/>
      <c r="BO139" s="170"/>
      <c r="BP139" s="170"/>
      <c r="BQ139" s="170"/>
      <c r="BR139" s="170"/>
      <c r="BS139" s="170"/>
      <c r="BT139" s="170"/>
      <c r="BU139" s="170"/>
      <c r="BV139" s="170"/>
      <c r="BW139" s="170"/>
      <c r="BX139" s="170"/>
      <c r="BY139" s="170"/>
      <c r="BZ139" s="170"/>
      <c r="CA139" s="170"/>
      <c r="CB139" s="170"/>
      <c r="CC139" s="170"/>
      <c r="CD139" s="170"/>
      <c r="CE139" s="170"/>
      <c r="CF139" s="170"/>
      <c r="CG139" s="170"/>
      <c r="CH139" s="170"/>
      <c r="CI139" s="170"/>
      <c r="CJ139" s="170"/>
      <c r="CK139" s="170"/>
      <c r="CL139" s="170"/>
      <c r="CM139" s="170"/>
      <c r="CN139" s="170"/>
      <c r="CO139" s="170"/>
      <c r="CP139" s="170"/>
      <c r="CQ139" s="170"/>
      <c r="CR139" s="170"/>
      <c r="CS139" s="170"/>
      <c r="CT139" s="170"/>
      <c r="CU139" s="170"/>
      <c r="CV139" s="170"/>
      <c r="CW139" s="170"/>
      <c r="CX139" s="170"/>
      <c r="CY139" s="170"/>
      <c r="CZ139" s="170"/>
      <c r="DA139" s="170"/>
      <c r="DB139" s="170"/>
      <c r="DC139" s="170"/>
      <c r="DD139" s="170"/>
      <c r="DE139" s="170"/>
      <c r="DF139" s="170"/>
      <c r="DG139" s="170"/>
      <c r="DH139" s="170"/>
      <c r="DI139" s="170"/>
      <c r="DJ139" s="170"/>
      <c r="DK139" s="170"/>
      <c r="DL139" s="170"/>
      <c r="DM139" s="170"/>
      <c r="DN139" s="170"/>
      <c r="DO139" s="170"/>
      <c r="DP139" s="170"/>
      <c r="DQ139" s="170"/>
      <c r="DR139" s="170"/>
      <c r="DS139" s="170"/>
      <c r="DT139" s="170"/>
      <c r="DU139" s="170"/>
      <c r="DV139" s="170"/>
      <c r="DW139" s="170"/>
      <c r="DX139" s="170"/>
      <c r="DY139" s="170"/>
      <c r="DZ139" s="170"/>
      <c r="EA139" s="170"/>
      <c r="EB139" s="170"/>
      <c r="EC139" s="170"/>
      <c r="ED139" s="170"/>
      <c r="EE139" s="170"/>
      <c r="EF139" s="170"/>
      <c r="EG139" s="170"/>
      <c r="EH139" s="170"/>
      <c r="EI139" s="170"/>
      <c r="EJ139" s="170"/>
      <c r="EK139" s="170"/>
      <c r="EL139" s="170"/>
      <c r="EM139" s="170"/>
      <c r="EN139" s="170"/>
      <c r="EO139" s="170"/>
      <c r="EP139" s="170"/>
    </row>
    <row r="140" ht="15.75" customHeight="1">
      <c r="A140" s="170"/>
      <c r="B140" s="170"/>
      <c r="C140" s="170"/>
      <c r="D140" s="170"/>
      <c r="E140" s="170"/>
      <c r="F140" s="170"/>
      <c r="G140" s="170"/>
      <c r="H140" s="170"/>
      <c r="I140" s="170"/>
      <c r="J140" s="170"/>
      <c r="K140" s="170"/>
      <c r="L140" s="170"/>
      <c r="M140" s="170"/>
      <c r="N140" s="170"/>
      <c r="O140" s="170"/>
      <c r="P140" s="170"/>
      <c r="Q140" s="170"/>
      <c r="R140" s="170"/>
      <c r="S140" s="170"/>
      <c r="T140" s="170"/>
      <c r="U140" s="170"/>
      <c r="V140" s="170"/>
      <c r="W140" s="170"/>
      <c r="X140" s="170"/>
      <c r="Y140" s="170"/>
      <c r="Z140" s="170"/>
      <c r="AA140" s="170"/>
      <c r="AB140" s="170"/>
      <c r="AC140" s="170"/>
      <c r="AD140" s="170"/>
      <c r="AE140" s="170"/>
      <c r="AF140" s="170"/>
      <c r="AG140" s="170"/>
      <c r="AH140" s="170"/>
      <c r="AI140" s="170"/>
      <c r="AJ140" s="170"/>
      <c r="AK140" s="170"/>
      <c r="AL140" s="170"/>
      <c r="AM140" s="170"/>
      <c r="AN140" s="170"/>
      <c r="AO140" s="170"/>
      <c r="AP140" s="170"/>
      <c r="AQ140" s="170"/>
      <c r="AR140" s="170"/>
      <c r="AS140" s="170"/>
      <c r="AT140" s="170"/>
      <c r="AU140" s="170"/>
      <c r="AV140" s="170"/>
      <c r="AW140" s="170"/>
      <c r="AX140" s="170"/>
      <c r="AY140" s="170"/>
      <c r="AZ140" s="170"/>
      <c r="BA140" s="170"/>
      <c r="BB140" s="170"/>
      <c r="BC140" s="170"/>
      <c r="BD140" s="170"/>
      <c r="BE140" s="170"/>
      <c r="BF140" s="170"/>
      <c r="BG140" s="170"/>
      <c r="BH140" s="170"/>
      <c r="BI140" s="170"/>
      <c r="BJ140" s="170"/>
      <c r="BK140" s="170"/>
      <c r="BL140" s="170"/>
      <c r="BM140" s="170"/>
      <c r="BN140" s="170"/>
      <c r="BO140" s="170"/>
      <c r="BP140" s="170"/>
      <c r="BQ140" s="170"/>
      <c r="BR140" s="170"/>
      <c r="BS140" s="170"/>
      <c r="BT140" s="170"/>
      <c r="BU140" s="170"/>
      <c r="BV140" s="170"/>
      <c r="BW140" s="170"/>
      <c r="BX140" s="170"/>
      <c r="BY140" s="170"/>
      <c r="BZ140" s="170"/>
      <c r="CA140" s="170"/>
      <c r="CB140" s="170"/>
      <c r="CC140" s="170"/>
      <c r="CD140" s="170"/>
      <c r="CE140" s="170"/>
      <c r="CF140" s="170"/>
      <c r="CG140" s="170"/>
      <c r="CH140" s="170"/>
      <c r="CI140" s="170"/>
      <c r="CJ140" s="170"/>
      <c r="CK140" s="170"/>
      <c r="CL140" s="170"/>
      <c r="CM140" s="170"/>
      <c r="CN140" s="170"/>
      <c r="CO140" s="170"/>
      <c r="CP140" s="170"/>
      <c r="CQ140" s="170"/>
      <c r="CR140" s="170"/>
      <c r="CS140" s="170"/>
      <c r="CT140" s="170"/>
      <c r="CU140" s="170"/>
      <c r="CV140" s="170"/>
      <c r="CW140" s="170"/>
      <c r="CX140" s="170"/>
      <c r="CY140" s="170"/>
      <c r="CZ140" s="170"/>
      <c r="DA140" s="170"/>
      <c r="DB140" s="170"/>
      <c r="DC140" s="170"/>
      <c r="DD140" s="170"/>
      <c r="DE140" s="170"/>
      <c r="DF140" s="170"/>
      <c r="DG140" s="170"/>
      <c r="DH140" s="170"/>
      <c r="DI140" s="170"/>
      <c r="DJ140" s="170"/>
      <c r="DK140" s="170"/>
      <c r="DL140" s="170"/>
      <c r="DM140" s="170"/>
      <c r="DN140" s="170"/>
      <c r="DO140" s="170"/>
      <c r="DP140" s="170"/>
      <c r="DQ140" s="170"/>
      <c r="DR140" s="170"/>
      <c r="DS140" s="170"/>
      <c r="DT140" s="170"/>
      <c r="DU140" s="170"/>
      <c r="DV140" s="170"/>
      <c r="DW140" s="170"/>
      <c r="DX140" s="170"/>
      <c r="DY140" s="170"/>
      <c r="DZ140" s="170"/>
      <c r="EA140" s="170"/>
      <c r="EB140" s="170"/>
      <c r="EC140" s="170"/>
      <c r="ED140" s="170"/>
      <c r="EE140" s="170"/>
      <c r="EF140" s="170"/>
      <c r="EG140" s="170"/>
      <c r="EH140" s="170"/>
      <c r="EI140" s="170"/>
      <c r="EJ140" s="170"/>
      <c r="EK140" s="170"/>
      <c r="EL140" s="170"/>
      <c r="EM140" s="170"/>
      <c r="EN140" s="170"/>
      <c r="EO140" s="170"/>
      <c r="EP140" s="170"/>
    </row>
    <row r="141" ht="15.75" customHeight="1">
      <c r="A141" s="170"/>
      <c r="B141" s="170"/>
      <c r="C141" s="170"/>
      <c r="D141" s="170"/>
      <c r="E141" s="170"/>
      <c r="F141" s="170"/>
      <c r="G141" s="170"/>
      <c r="H141" s="170"/>
      <c r="I141" s="170"/>
      <c r="J141" s="170"/>
      <c r="K141" s="170"/>
      <c r="L141" s="170"/>
      <c r="M141" s="170"/>
      <c r="N141" s="170"/>
      <c r="O141" s="170"/>
      <c r="P141" s="170"/>
      <c r="Q141" s="170"/>
      <c r="R141" s="170"/>
      <c r="S141" s="170"/>
      <c r="T141" s="170"/>
      <c r="U141" s="170"/>
      <c r="V141" s="170"/>
      <c r="W141" s="170"/>
      <c r="X141" s="170"/>
      <c r="Y141" s="170"/>
      <c r="Z141" s="170"/>
      <c r="AA141" s="170"/>
      <c r="AB141" s="170"/>
      <c r="AC141" s="170"/>
      <c r="AD141" s="170"/>
      <c r="AE141" s="170"/>
      <c r="AF141" s="170"/>
      <c r="AG141" s="170"/>
      <c r="AH141" s="170"/>
      <c r="AI141" s="170"/>
      <c r="AJ141" s="170"/>
      <c r="AK141" s="170"/>
      <c r="AL141" s="170"/>
      <c r="AM141" s="170"/>
      <c r="AN141" s="170"/>
      <c r="AO141" s="170"/>
      <c r="AP141" s="170"/>
      <c r="AQ141" s="170"/>
      <c r="AR141" s="170"/>
      <c r="AS141" s="170"/>
      <c r="AT141" s="170"/>
      <c r="AU141" s="170"/>
      <c r="AV141" s="170"/>
      <c r="AW141" s="170"/>
      <c r="AX141" s="170"/>
      <c r="AY141" s="170"/>
      <c r="AZ141" s="170"/>
      <c r="BA141" s="170"/>
      <c r="BB141" s="170"/>
      <c r="BC141" s="170"/>
      <c r="BD141" s="170"/>
      <c r="BE141" s="170"/>
      <c r="BF141" s="170"/>
      <c r="BG141" s="170"/>
      <c r="BH141" s="170"/>
      <c r="BI141" s="170"/>
      <c r="BJ141" s="170"/>
      <c r="BK141" s="170"/>
      <c r="BL141" s="170"/>
      <c r="BM141" s="170"/>
      <c r="BN141" s="170"/>
      <c r="BO141" s="170"/>
      <c r="BP141" s="170"/>
      <c r="BQ141" s="170"/>
      <c r="BR141" s="170"/>
      <c r="BS141" s="170"/>
      <c r="BT141" s="170"/>
      <c r="BU141" s="170"/>
      <c r="BV141" s="170"/>
      <c r="BW141" s="170"/>
      <c r="BX141" s="170"/>
      <c r="BY141" s="170"/>
      <c r="BZ141" s="170"/>
      <c r="CA141" s="170"/>
      <c r="CB141" s="170"/>
      <c r="CC141" s="170"/>
      <c r="CD141" s="170"/>
      <c r="CE141" s="170"/>
      <c r="CF141" s="170"/>
      <c r="CG141" s="170"/>
      <c r="CH141" s="170"/>
      <c r="CI141" s="170"/>
      <c r="CJ141" s="170"/>
      <c r="CK141" s="170"/>
      <c r="CL141" s="170"/>
      <c r="CM141" s="170"/>
      <c r="CN141" s="170"/>
      <c r="CO141" s="170"/>
      <c r="CP141" s="170"/>
      <c r="CQ141" s="170"/>
      <c r="CR141" s="170"/>
      <c r="CS141" s="170"/>
      <c r="CT141" s="170"/>
      <c r="CU141" s="170"/>
      <c r="CV141" s="170"/>
      <c r="CW141" s="170"/>
      <c r="CX141" s="170"/>
      <c r="CY141" s="170"/>
      <c r="CZ141" s="170"/>
      <c r="DA141" s="170"/>
      <c r="DB141" s="170"/>
      <c r="DC141" s="170"/>
      <c r="DD141" s="170"/>
      <c r="DE141" s="170"/>
      <c r="DF141" s="170"/>
      <c r="DG141" s="170"/>
      <c r="DH141" s="170"/>
      <c r="DI141" s="170"/>
      <c r="DJ141" s="170"/>
      <c r="DK141" s="170"/>
      <c r="DL141" s="170"/>
      <c r="DM141" s="170"/>
      <c r="DN141" s="170"/>
      <c r="DO141" s="170"/>
      <c r="DP141" s="170"/>
      <c r="DQ141" s="170"/>
      <c r="DR141" s="170"/>
      <c r="DS141" s="170"/>
      <c r="DT141" s="170"/>
      <c r="DU141" s="170"/>
      <c r="DV141" s="170"/>
      <c r="DW141" s="170"/>
      <c r="DX141" s="170"/>
      <c r="DY141" s="170"/>
      <c r="DZ141" s="170"/>
      <c r="EA141" s="170"/>
      <c r="EB141" s="170"/>
      <c r="EC141" s="170"/>
      <c r="ED141" s="170"/>
      <c r="EE141" s="170"/>
      <c r="EF141" s="170"/>
      <c r="EG141" s="170"/>
      <c r="EH141" s="170"/>
      <c r="EI141" s="170"/>
      <c r="EJ141" s="170"/>
      <c r="EK141" s="170"/>
      <c r="EL141" s="170"/>
      <c r="EM141" s="170"/>
      <c r="EN141" s="170"/>
      <c r="EO141" s="170"/>
      <c r="EP141" s="170"/>
    </row>
    <row r="142" ht="15.75" customHeight="1">
      <c r="A142" s="170"/>
      <c r="B142" s="170"/>
      <c r="C142" s="170"/>
      <c r="D142" s="170"/>
      <c r="E142" s="170"/>
      <c r="F142" s="170"/>
      <c r="G142" s="170"/>
      <c r="H142" s="170"/>
      <c r="I142" s="170"/>
      <c r="J142" s="170"/>
      <c r="K142" s="170"/>
      <c r="L142" s="170"/>
      <c r="M142" s="170"/>
      <c r="N142" s="170"/>
      <c r="O142" s="170"/>
      <c r="P142" s="170"/>
      <c r="Q142" s="170"/>
      <c r="R142" s="170"/>
      <c r="S142" s="170"/>
      <c r="T142" s="170"/>
      <c r="U142" s="170"/>
      <c r="V142" s="170"/>
      <c r="W142" s="170"/>
      <c r="X142" s="170"/>
      <c r="Y142" s="170"/>
      <c r="Z142" s="170"/>
      <c r="AA142" s="170"/>
      <c r="AB142" s="170"/>
      <c r="AC142" s="170"/>
      <c r="AD142" s="170"/>
      <c r="AE142" s="170"/>
      <c r="AF142" s="170"/>
      <c r="AG142" s="170"/>
      <c r="AH142" s="170"/>
      <c r="AI142" s="170"/>
      <c r="AJ142" s="170"/>
      <c r="AK142" s="170"/>
      <c r="AL142" s="170"/>
      <c r="AM142" s="170"/>
      <c r="AN142" s="170"/>
      <c r="AO142" s="170"/>
      <c r="AP142" s="170"/>
      <c r="AQ142" s="170"/>
      <c r="AR142" s="170"/>
      <c r="AS142" s="170"/>
      <c r="AT142" s="170"/>
      <c r="AU142" s="170"/>
      <c r="AV142" s="170"/>
      <c r="AW142" s="170"/>
      <c r="AX142" s="170"/>
      <c r="AY142" s="170"/>
      <c r="AZ142" s="170"/>
      <c r="BA142" s="170"/>
      <c r="BB142" s="170"/>
      <c r="BC142" s="170"/>
      <c r="BD142" s="170"/>
      <c r="BE142" s="170"/>
      <c r="BF142" s="170"/>
      <c r="BG142" s="170"/>
      <c r="BH142" s="170"/>
      <c r="BI142" s="170"/>
      <c r="BJ142" s="170"/>
      <c r="BK142" s="170"/>
      <c r="BL142" s="170"/>
      <c r="BM142" s="170"/>
      <c r="BN142" s="170"/>
      <c r="BO142" s="170"/>
      <c r="BP142" s="170"/>
      <c r="BQ142" s="170"/>
      <c r="BR142" s="170"/>
      <c r="BS142" s="170"/>
      <c r="BT142" s="170"/>
      <c r="BU142" s="170"/>
      <c r="BV142" s="170"/>
      <c r="BW142" s="170"/>
      <c r="BX142" s="170"/>
      <c r="BY142" s="170"/>
      <c r="BZ142" s="170"/>
      <c r="CA142" s="170"/>
      <c r="CB142" s="170"/>
      <c r="CC142" s="170"/>
      <c r="CD142" s="170"/>
      <c r="CE142" s="170"/>
      <c r="CF142" s="170"/>
      <c r="CG142" s="170"/>
      <c r="CH142" s="170"/>
      <c r="CI142" s="170"/>
      <c r="CJ142" s="170"/>
      <c r="CK142" s="170"/>
      <c r="CL142" s="170"/>
      <c r="CM142" s="170"/>
      <c r="CN142" s="170"/>
      <c r="CO142" s="170"/>
      <c r="CP142" s="170"/>
      <c r="CQ142" s="170"/>
      <c r="CR142" s="170"/>
      <c r="CS142" s="170"/>
      <c r="CT142" s="170"/>
      <c r="CU142" s="170"/>
      <c r="CV142" s="170"/>
      <c r="CW142" s="170"/>
      <c r="CX142" s="170"/>
      <c r="CY142" s="170"/>
      <c r="CZ142" s="170"/>
      <c r="DA142" s="170"/>
      <c r="DB142" s="170"/>
      <c r="DC142" s="170"/>
      <c r="DD142" s="170"/>
      <c r="DE142" s="170"/>
      <c r="DF142" s="170"/>
      <c r="DG142" s="170"/>
      <c r="DH142" s="170"/>
      <c r="DI142" s="170"/>
      <c r="DJ142" s="170"/>
      <c r="DK142" s="170"/>
      <c r="DL142" s="170"/>
      <c r="DM142" s="170"/>
      <c r="DN142" s="170"/>
      <c r="DO142" s="170"/>
      <c r="DP142" s="170"/>
      <c r="DQ142" s="170"/>
      <c r="DR142" s="170"/>
      <c r="DS142" s="170"/>
      <c r="DT142" s="170"/>
      <c r="DU142" s="170"/>
      <c r="DV142" s="170"/>
      <c r="DW142" s="170"/>
      <c r="DX142" s="170"/>
      <c r="DY142" s="170"/>
      <c r="DZ142" s="170"/>
      <c r="EA142" s="170"/>
      <c r="EB142" s="170"/>
      <c r="EC142" s="170"/>
      <c r="ED142" s="170"/>
      <c r="EE142" s="170"/>
      <c r="EF142" s="170"/>
      <c r="EG142" s="170"/>
      <c r="EH142" s="170"/>
      <c r="EI142" s="170"/>
      <c r="EJ142" s="170"/>
      <c r="EK142" s="170"/>
      <c r="EL142" s="170"/>
      <c r="EM142" s="170"/>
      <c r="EN142" s="170"/>
      <c r="EO142" s="170"/>
      <c r="EP142" s="170"/>
    </row>
    <row r="143" ht="15.75" customHeight="1">
      <c r="A143" s="170"/>
      <c r="B143" s="170"/>
      <c r="C143" s="170"/>
      <c r="D143" s="170"/>
      <c r="E143" s="170"/>
      <c r="F143" s="170"/>
      <c r="G143" s="170"/>
      <c r="H143" s="170"/>
      <c r="I143" s="170"/>
      <c r="J143" s="170"/>
      <c r="K143" s="170"/>
      <c r="L143" s="170"/>
      <c r="M143" s="170"/>
      <c r="N143" s="170"/>
      <c r="O143" s="170"/>
      <c r="P143" s="170"/>
      <c r="Q143" s="170"/>
      <c r="R143" s="170"/>
      <c r="S143" s="170"/>
      <c r="T143" s="170"/>
      <c r="U143" s="170"/>
      <c r="V143" s="170"/>
      <c r="W143" s="170"/>
      <c r="X143" s="170"/>
      <c r="Y143" s="170"/>
      <c r="Z143" s="170"/>
      <c r="AA143" s="170"/>
      <c r="AB143" s="170"/>
      <c r="AC143" s="170"/>
      <c r="AD143" s="170"/>
      <c r="AE143" s="170"/>
      <c r="AF143" s="170"/>
      <c r="AG143" s="170"/>
      <c r="AH143" s="170"/>
      <c r="AI143" s="170"/>
      <c r="AJ143" s="170"/>
      <c r="AK143" s="170"/>
      <c r="AL143" s="170"/>
      <c r="AM143" s="170"/>
      <c r="AN143" s="170"/>
      <c r="AO143" s="170"/>
      <c r="AP143" s="170"/>
      <c r="AQ143" s="170"/>
      <c r="AR143" s="170"/>
      <c r="AS143" s="170"/>
      <c r="AT143" s="170"/>
      <c r="AU143" s="170"/>
      <c r="AV143" s="170"/>
      <c r="AW143" s="170"/>
      <c r="AX143" s="170"/>
      <c r="AY143" s="170"/>
      <c r="AZ143" s="170"/>
      <c r="BA143" s="170"/>
      <c r="BB143" s="170"/>
      <c r="BC143" s="170"/>
      <c r="BD143" s="170"/>
      <c r="BE143" s="170"/>
      <c r="BF143" s="170"/>
      <c r="BG143" s="170"/>
      <c r="BH143" s="170"/>
      <c r="BI143" s="170"/>
      <c r="BJ143" s="170"/>
      <c r="BK143" s="170"/>
      <c r="BL143" s="170"/>
      <c r="BM143" s="170"/>
      <c r="BN143" s="170"/>
      <c r="BO143" s="170"/>
      <c r="BP143" s="170"/>
      <c r="BQ143" s="170"/>
      <c r="BR143" s="170"/>
      <c r="BS143" s="170"/>
      <c r="BT143" s="170"/>
      <c r="BU143" s="170"/>
      <c r="BV143" s="170"/>
      <c r="BW143" s="170"/>
      <c r="BX143" s="170"/>
      <c r="BY143" s="170"/>
      <c r="BZ143" s="170"/>
      <c r="CA143" s="170"/>
      <c r="CB143" s="170"/>
      <c r="CC143" s="170"/>
      <c r="CD143" s="170"/>
      <c r="CE143" s="170"/>
      <c r="CF143" s="170"/>
      <c r="CG143" s="170"/>
      <c r="CH143" s="170"/>
      <c r="CI143" s="170"/>
      <c r="CJ143" s="170"/>
      <c r="CK143" s="170"/>
      <c r="CL143" s="170"/>
      <c r="CM143" s="170"/>
      <c r="CN143" s="170"/>
      <c r="CO143" s="170"/>
      <c r="CP143" s="170"/>
      <c r="CQ143" s="170"/>
      <c r="CR143" s="170"/>
      <c r="CS143" s="170"/>
      <c r="CT143" s="170"/>
      <c r="CU143" s="170"/>
      <c r="CV143" s="170"/>
      <c r="CW143" s="170"/>
      <c r="CX143" s="170"/>
      <c r="CY143" s="170"/>
      <c r="CZ143" s="170"/>
      <c r="DA143" s="170"/>
      <c r="DB143" s="170"/>
      <c r="DC143" s="170"/>
      <c r="DD143" s="170"/>
      <c r="DE143" s="170"/>
      <c r="DF143" s="170"/>
      <c r="DG143" s="170"/>
      <c r="DH143" s="170"/>
      <c r="DI143" s="170"/>
      <c r="DJ143" s="170"/>
      <c r="DK143" s="170"/>
      <c r="DL143" s="170"/>
      <c r="DM143" s="170"/>
      <c r="DN143" s="170"/>
      <c r="DO143" s="170"/>
      <c r="DP143" s="170"/>
      <c r="DQ143" s="170"/>
      <c r="DR143" s="170"/>
      <c r="DS143" s="170"/>
      <c r="DT143" s="170"/>
      <c r="DU143" s="170"/>
      <c r="DV143" s="170"/>
      <c r="DW143" s="170"/>
      <c r="DX143" s="170"/>
      <c r="DY143" s="170"/>
      <c r="DZ143" s="170"/>
      <c r="EA143" s="170"/>
      <c r="EB143" s="170"/>
      <c r="EC143" s="170"/>
      <c r="ED143" s="170"/>
      <c r="EE143" s="170"/>
      <c r="EF143" s="170"/>
      <c r="EG143" s="170"/>
      <c r="EH143" s="170"/>
      <c r="EI143" s="170"/>
      <c r="EJ143" s="170"/>
      <c r="EK143" s="170"/>
      <c r="EL143" s="170"/>
      <c r="EM143" s="170"/>
      <c r="EN143" s="170"/>
      <c r="EO143" s="170"/>
      <c r="EP143" s="170"/>
    </row>
    <row r="144" ht="15.75" customHeight="1">
      <c r="A144" s="170"/>
      <c r="B144" s="170"/>
      <c r="C144" s="170"/>
      <c r="D144" s="170"/>
      <c r="E144" s="170"/>
      <c r="F144" s="170"/>
      <c r="G144" s="170"/>
      <c r="H144" s="170"/>
      <c r="I144" s="170"/>
      <c r="J144" s="170"/>
      <c r="K144" s="170"/>
      <c r="L144" s="170"/>
      <c r="M144" s="170"/>
      <c r="N144" s="170"/>
      <c r="O144" s="170"/>
      <c r="P144" s="170"/>
      <c r="Q144" s="170"/>
      <c r="R144" s="170"/>
      <c r="S144" s="170"/>
      <c r="T144" s="170"/>
      <c r="U144" s="170"/>
      <c r="V144" s="170"/>
      <c r="W144" s="170"/>
      <c r="X144" s="170"/>
      <c r="Y144" s="170"/>
      <c r="Z144" s="170"/>
      <c r="AA144" s="170"/>
      <c r="AB144" s="170"/>
      <c r="AC144" s="170"/>
      <c r="AD144" s="170"/>
      <c r="AE144" s="170"/>
      <c r="AF144" s="170"/>
      <c r="AG144" s="170"/>
      <c r="AH144" s="170"/>
      <c r="AI144" s="170"/>
      <c r="AJ144" s="170"/>
      <c r="AK144" s="170"/>
      <c r="AL144" s="170"/>
      <c r="AM144" s="170"/>
      <c r="AN144" s="170"/>
      <c r="AO144" s="170"/>
      <c r="AP144" s="170"/>
      <c r="AQ144" s="170"/>
      <c r="AR144" s="170"/>
      <c r="AS144" s="170"/>
      <c r="AT144" s="170"/>
      <c r="AU144" s="170"/>
      <c r="AV144" s="170"/>
      <c r="AW144" s="170"/>
      <c r="AX144" s="170"/>
      <c r="AY144" s="170"/>
      <c r="AZ144" s="170"/>
      <c r="BA144" s="170"/>
      <c r="BB144" s="170"/>
      <c r="BC144" s="170"/>
      <c r="BD144" s="170"/>
      <c r="BE144" s="170"/>
      <c r="BF144" s="170"/>
      <c r="BG144" s="170"/>
      <c r="BH144" s="170"/>
      <c r="BI144" s="170"/>
      <c r="BJ144" s="170"/>
      <c r="BK144" s="170"/>
      <c r="BL144" s="170"/>
      <c r="BM144" s="170"/>
      <c r="BN144" s="170"/>
      <c r="BO144" s="170"/>
      <c r="BP144" s="170"/>
      <c r="BQ144" s="170"/>
      <c r="BR144" s="170"/>
      <c r="BS144" s="170"/>
      <c r="BT144" s="170"/>
      <c r="BU144" s="170"/>
      <c r="BV144" s="170"/>
      <c r="BW144" s="170"/>
      <c r="BX144" s="170"/>
      <c r="BY144" s="170"/>
      <c r="BZ144" s="170"/>
      <c r="CA144" s="170"/>
      <c r="CB144" s="170"/>
      <c r="CC144" s="170"/>
      <c r="CD144" s="170"/>
      <c r="CE144" s="170"/>
      <c r="CF144" s="170"/>
      <c r="CG144" s="170"/>
      <c r="CH144" s="170"/>
      <c r="CI144" s="170"/>
      <c r="CJ144" s="170"/>
      <c r="CK144" s="170"/>
      <c r="CL144" s="170"/>
      <c r="CM144" s="170"/>
      <c r="CN144" s="170"/>
      <c r="CO144" s="170"/>
      <c r="CP144" s="170"/>
      <c r="CQ144" s="170"/>
      <c r="CR144" s="170"/>
      <c r="CS144" s="170"/>
      <c r="CT144" s="170"/>
      <c r="CU144" s="170"/>
      <c r="CV144" s="170"/>
      <c r="CW144" s="170"/>
      <c r="CX144" s="170"/>
      <c r="CY144" s="170"/>
      <c r="CZ144" s="170"/>
      <c r="DA144" s="170"/>
      <c r="DB144" s="170"/>
      <c r="DC144" s="170"/>
      <c r="DD144" s="170"/>
      <c r="DE144" s="170"/>
      <c r="DF144" s="170"/>
      <c r="DG144" s="170"/>
      <c r="DH144" s="170"/>
      <c r="DI144" s="170"/>
      <c r="DJ144" s="170"/>
      <c r="DK144" s="170"/>
      <c r="DL144" s="170"/>
      <c r="DM144" s="170"/>
      <c r="DN144" s="170"/>
      <c r="DO144" s="170"/>
      <c r="DP144" s="170"/>
      <c r="DQ144" s="170"/>
      <c r="DR144" s="170"/>
      <c r="DS144" s="170"/>
      <c r="DT144" s="170"/>
      <c r="DU144" s="170"/>
      <c r="DV144" s="170"/>
      <c r="DW144" s="170"/>
      <c r="DX144" s="170"/>
      <c r="DY144" s="170"/>
      <c r="DZ144" s="170"/>
      <c r="EA144" s="170"/>
      <c r="EB144" s="170"/>
      <c r="EC144" s="170"/>
      <c r="ED144" s="170"/>
      <c r="EE144" s="170"/>
      <c r="EF144" s="170"/>
      <c r="EG144" s="170"/>
      <c r="EH144" s="170"/>
      <c r="EI144" s="170"/>
      <c r="EJ144" s="170"/>
      <c r="EK144" s="170"/>
      <c r="EL144" s="170"/>
      <c r="EM144" s="170"/>
      <c r="EN144" s="170"/>
      <c r="EO144" s="170"/>
      <c r="EP144" s="170"/>
    </row>
    <row r="145" ht="15.75" customHeight="1">
      <c r="A145" s="170"/>
      <c r="B145" s="170"/>
      <c r="C145" s="170"/>
      <c r="D145" s="170"/>
      <c r="E145" s="170"/>
      <c r="F145" s="170"/>
      <c r="G145" s="170"/>
      <c r="H145" s="170"/>
      <c r="I145" s="170"/>
      <c r="J145" s="170"/>
      <c r="K145" s="170"/>
      <c r="L145" s="170"/>
      <c r="M145" s="170"/>
      <c r="N145" s="170"/>
      <c r="O145" s="170"/>
      <c r="P145" s="170"/>
      <c r="Q145" s="170"/>
      <c r="R145" s="170"/>
      <c r="S145" s="170"/>
      <c r="T145" s="170"/>
      <c r="U145" s="170"/>
      <c r="V145" s="170"/>
      <c r="W145" s="170"/>
      <c r="X145" s="170"/>
      <c r="Y145" s="170"/>
      <c r="Z145" s="170"/>
      <c r="AA145" s="170"/>
      <c r="AB145" s="170"/>
      <c r="AC145" s="170"/>
      <c r="AD145" s="170"/>
      <c r="AE145" s="170"/>
      <c r="AF145" s="170"/>
      <c r="AG145" s="170"/>
      <c r="AH145" s="170"/>
      <c r="AI145" s="170"/>
      <c r="AJ145" s="170"/>
      <c r="AK145" s="170"/>
      <c r="AL145" s="170"/>
      <c r="AM145" s="170"/>
      <c r="AN145" s="170"/>
      <c r="AO145" s="170"/>
      <c r="AP145" s="170"/>
      <c r="AQ145" s="170"/>
      <c r="AR145" s="170"/>
      <c r="AS145" s="170"/>
      <c r="AT145" s="170"/>
      <c r="AU145" s="170"/>
      <c r="AV145" s="170"/>
      <c r="AW145" s="170"/>
      <c r="AX145" s="170"/>
      <c r="AY145" s="170"/>
      <c r="AZ145" s="170"/>
      <c r="BA145" s="170"/>
      <c r="BB145" s="170"/>
      <c r="BC145" s="170"/>
      <c r="BD145" s="170"/>
      <c r="BE145" s="170"/>
      <c r="BF145" s="170"/>
      <c r="BG145" s="170"/>
      <c r="BH145" s="170"/>
      <c r="BI145" s="170"/>
      <c r="BJ145" s="170"/>
      <c r="BK145" s="170"/>
      <c r="BL145" s="170"/>
      <c r="BM145" s="170"/>
      <c r="BN145" s="170"/>
      <c r="BO145" s="170"/>
      <c r="BP145" s="170"/>
      <c r="BQ145" s="170"/>
      <c r="BR145" s="170"/>
      <c r="BS145" s="170"/>
      <c r="BT145" s="170"/>
      <c r="BU145" s="170"/>
      <c r="BV145" s="170"/>
      <c r="BW145" s="170"/>
      <c r="BX145" s="170"/>
      <c r="BY145" s="170"/>
      <c r="BZ145" s="170"/>
      <c r="CA145" s="170"/>
      <c r="CB145" s="170"/>
      <c r="CC145" s="170"/>
      <c r="CD145" s="170"/>
      <c r="CE145" s="170"/>
      <c r="CF145" s="170"/>
      <c r="CG145" s="170"/>
      <c r="CH145" s="170"/>
      <c r="CI145" s="170"/>
      <c r="CJ145" s="170"/>
      <c r="CK145" s="170"/>
      <c r="CL145" s="170"/>
      <c r="CM145" s="170"/>
      <c r="CN145" s="170"/>
      <c r="CO145" s="170"/>
      <c r="CP145" s="170"/>
      <c r="CQ145" s="170"/>
      <c r="CR145" s="170"/>
      <c r="CS145" s="170"/>
      <c r="CT145" s="170"/>
      <c r="CU145" s="170"/>
      <c r="CV145" s="170"/>
      <c r="CW145" s="170"/>
      <c r="CX145" s="170"/>
      <c r="CY145" s="170"/>
      <c r="CZ145" s="170"/>
      <c r="DA145" s="170"/>
      <c r="DB145" s="170"/>
      <c r="DC145" s="170"/>
      <c r="DD145" s="170"/>
      <c r="DE145" s="170"/>
      <c r="DF145" s="170"/>
      <c r="DG145" s="170"/>
      <c r="DH145" s="170"/>
      <c r="DI145" s="170"/>
      <c r="DJ145" s="170"/>
      <c r="DK145" s="170"/>
      <c r="DL145" s="170"/>
      <c r="DM145" s="170"/>
      <c r="DN145" s="170"/>
      <c r="DO145" s="170"/>
      <c r="DP145" s="170"/>
      <c r="DQ145" s="170"/>
      <c r="DR145" s="170"/>
      <c r="DS145" s="170"/>
      <c r="DT145" s="170"/>
      <c r="DU145" s="170"/>
      <c r="DV145" s="170"/>
      <c r="DW145" s="170"/>
      <c r="DX145" s="170"/>
      <c r="DY145" s="170"/>
      <c r="DZ145" s="170"/>
      <c r="EA145" s="170"/>
      <c r="EB145" s="170"/>
      <c r="EC145" s="170"/>
      <c r="ED145" s="170"/>
      <c r="EE145" s="170"/>
      <c r="EF145" s="170"/>
      <c r="EG145" s="170"/>
      <c r="EH145" s="170"/>
      <c r="EI145" s="170"/>
      <c r="EJ145" s="170"/>
      <c r="EK145" s="170"/>
      <c r="EL145" s="170"/>
      <c r="EM145" s="170"/>
      <c r="EN145" s="170"/>
      <c r="EO145" s="170"/>
      <c r="EP145" s="170"/>
    </row>
    <row r="146" ht="15.75" customHeight="1">
      <c r="A146" s="170"/>
      <c r="B146" s="170"/>
      <c r="C146" s="170"/>
      <c r="D146" s="170"/>
      <c r="E146" s="170"/>
      <c r="F146" s="170"/>
      <c r="G146" s="170"/>
      <c r="H146" s="170"/>
      <c r="I146" s="170"/>
      <c r="J146" s="170"/>
      <c r="K146" s="170"/>
      <c r="L146" s="170"/>
      <c r="M146" s="170"/>
      <c r="N146" s="170"/>
      <c r="O146" s="170"/>
      <c r="P146" s="170"/>
      <c r="Q146" s="170"/>
      <c r="R146" s="170"/>
      <c r="S146" s="170"/>
      <c r="T146" s="170"/>
      <c r="U146" s="170"/>
      <c r="V146" s="170"/>
      <c r="W146" s="170"/>
      <c r="X146" s="170"/>
      <c r="Y146" s="170"/>
      <c r="Z146" s="170"/>
      <c r="AA146" s="170"/>
      <c r="AB146" s="170"/>
      <c r="AC146" s="170"/>
      <c r="AD146" s="170"/>
      <c r="AE146" s="170"/>
      <c r="AF146" s="170"/>
      <c r="AG146" s="170"/>
      <c r="AH146" s="170"/>
      <c r="AI146" s="170"/>
      <c r="AJ146" s="170"/>
      <c r="AK146" s="170"/>
      <c r="AL146" s="170"/>
      <c r="AM146" s="170"/>
      <c r="AN146" s="170"/>
      <c r="AO146" s="170"/>
      <c r="AP146" s="170"/>
      <c r="AQ146" s="170"/>
      <c r="AR146" s="170"/>
      <c r="AS146" s="170"/>
      <c r="AT146" s="170"/>
      <c r="AU146" s="170"/>
      <c r="AV146" s="170"/>
      <c r="AW146" s="170"/>
      <c r="AX146" s="170"/>
      <c r="AY146" s="170"/>
      <c r="AZ146" s="170"/>
      <c r="BA146" s="170"/>
      <c r="BB146" s="170"/>
      <c r="BC146" s="170"/>
      <c r="BD146" s="170"/>
      <c r="BE146" s="170"/>
      <c r="BF146" s="170"/>
      <c r="BG146" s="170"/>
      <c r="BH146" s="170"/>
      <c r="BI146" s="170"/>
      <c r="BJ146" s="170"/>
      <c r="BK146" s="170"/>
      <c r="BL146" s="170"/>
      <c r="BM146" s="170"/>
      <c r="BN146" s="170"/>
      <c r="BO146" s="170"/>
      <c r="BP146" s="170"/>
      <c r="BQ146" s="170"/>
      <c r="BR146" s="170"/>
      <c r="BS146" s="170"/>
      <c r="BT146" s="170"/>
      <c r="BU146" s="170"/>
      <c r="BV146" s="170"/>
      <c r="BW146" s="170"/>
      <c r="BX146" s="170"/>
      <c r="BY146" s="170"/>
      <c r="BZ146" s="170"/>
      <c r="CA146" s="170"/>
      <c r="CB146" s="170"/>
      <c r="CC146" s="170"/>
      <c r="CD146" s="170"/>
      <c r="CE146" s="170"/>
      <c r="CF146" s="170"/>
      <c r="CG146" s="170"/>
      <c r="CH146" s="170"/>
      <c r="CI146" s="170"/>
      <c r="CJ146" s="170"/>
      <c r="CK146" s="170"/>
      <c r="CL146" s="170"/>
      <c r="CM146" s="170"/>
      <c r="CN146" s="170"/>
      <c r="CO146" s="170"/>
      <c r="CP146" s="170"/>
      <c r="CQ146" s="170"/>
      <c r="CR146" s="170"/>
      <c r="CS146" s="170"/>
      <c r="CT146" s="170"/>
      <c r="CU146" s="170"/>
      <c r="CV146" s="170"/>
      <c r="CW146" s="170"/>
      <c r="CX146" s="170"/>
      <c r="CY146" s="170"/>
      <c r="CZ146" s="170"/>
      <c r="DA146" s="170"/>
      <c r="DB146" s="170"/>
      <c r="DC146" s="170"/>
      <c r="DD146" s="170"/>
      <c r="DE146" s="170"/>
      <c r="DF146" s="170"/>
      <c r="DG146" s="170"/>
      <c r="DH146" s="170"/>
      <c r="DI146" s="170"/>
      <c r="DJ146" s="170"/>
      <c r="DK146" s="170"/>
      <c r="DL146" s="170"/>
      <c r="DM146" s="170"/>
      <c r="DN146" s="170"/>
      <c r="DO146" s="170"/>
      <c r="DP146" s="170"/>
      <c r="DQ146" s="170"/>
      <c r="DR146" s="170"/>
      <c r="DS146" s="170"/>
      <c r="DT146" s="170"/>
      <c r="DU146" s="170"/>
      <c r="DV146" s="170"/>
      <c r="DW146" s="170"/>
      <c r="DX146" s="170"/>
      <c r="DY146" s="170"/>
      <c r="DZ146" s="170"/>
      <c r="EA146" s="170"/>
      <c r="EB146" s="170"/>
      <c r="EC146" s="170"/>
      <c r="ED146" s="170"/>
      <c r="EE146" s="170"/>
      <c r="EF146" s="170"/>
      <c r="EG146" s="170"/>
      <c r="EH146" s="170"/>
      <c r="EI146" s="170"/>
      <c r="EJ146" s="170"/>
      <c r="EK146" s="170"/>
      <c r="EL146" s="170"/>
      <c r="EM146" s="170"/>
      <c r="EN146" s="170"/>
      <c r="EO146" s="170"/>
      <c r="EP146" s="170"/>
    </row>
    <row r="147" ht="15.75" customHeight="1">
      <c r="A147" s="170"/>
      <c r="B147" s="170"/>
      <c r="C147" s="170"/>
      <c r="D147" s="170"/>
      <c r="E147" s="170"/>
      <c r="F147" s="170"/>
      <c r="G147" s="170"/>
      <c r="H147" s="170"/>
      <c r="I147" s="170"/>
      <c r="J147" s="170"/>
      <c r="K147" s="170"/>
      <c r="L147" s="170"/>
      <c r="M147" s="170"/>
      <c r="N147" s="170"/>
      <c r="O147" s="170"/>
      <c r="P147" s="170"/>
      <c r="Q147" s="170"/>
      <c r="R147" s="170"/>
      <c r="S147" s="170"/>
      <c r="T147" s="170"/>
      <c r="U147" s="170"/>
      <c r="V147" s="170"/>
      <c r="W147" s="170"/>
      <c r="X147" s="170"/>
      <c r="Y147" s="170"/>
      <c r="Z147" s="170"/>
      <c r="AA147" s="170"/>
      <c r="AB147" s="170"/>
      <c r="AC147" s="170"/>
      <c r="AD147" s="170"/>
      <c r="AE147" s="170"/>
      <c r="AF147" s="170"/>
      <c r="AG147" s="170"/>
      <c r="AH147" s="170"/>
      <c r="AI147" s="170"/>
      <c r="AJ147" s="170"/>
      <c r="AK147" s="170"/>
      <c r="AL147" s="170"/>
      <c r="AM147" s="170"/>
      <c r="AN147" s="170"/>
      <c r="AO147" s="170"/>
      <c r="AP147" s="170"/>
      <c r="AQ147" s="170"/>
      <c r="AR147" s="170"/>
      <c r="AS147" s="170"/>
      <c r="AT147" s="170"/>
      <c r="AU147" s="170"/>
      <c r="AV147" s="170"/>
      <c r="AW147" s="170"/>
      <c r="AX147" s="170"/>
      <c r="AY147" s="170"/>
      <c r="AZ147" s="170"/>
      <c r="BA147" s="170"/>
      <c r="BB147" s="170"/>
      <c r="BC147" s="170"/>
      <c r="BD147" s="170"/>
      <c r="BE147" s="170"/>
      <c r="BF147" s="170"/>
      <c r="BG147" s="170"/>
      <c r="BH147" s="170"/>
      <c r="BI147" s="170"/>
      <c r="BJ147" s="170"/>
      <c r="BK147" s="170"/>
      <c r="BL147" s="170"/>
      <c r="BM147" s="170"/>
      <c r="BN147" s="170"/>
      <c r="BO147" s="170"/>
      <c r="BP147" s="170"/>
      <c r="BQ147" s="170"/>
      <c r="BR147" s="170"/>
      <c r="BS147" s="170"/>
      <c r="BT147" s="170"/>
      <c r="BU147" s="170"/>
      <c r="BV147" s="170"/>
      <c r="BW147" s="170"/>
      <c r="BX147" s="170"/>
      <c r="BY147" s="170"/>
      <c r="BZ147" s="170"/>
      <c r="CA147" s="170"/>
      <c r="CB147" s="170"/>
      <c r="CC147" s="170"/>
      <c r="CD147" s="170"/>
      <c r="CE147" s="170"/>
      <c r="CF147" s="170"/>
      <c r="CG147" s="170"/>
      <c r="CH147" s="170"/>
      <c r="CI147" s="170"/>
      <c r="CJ147" s="170"/>
      <c r="CK147" s="170"/>
      <c r="CL147" s="170"/>
      <c r="CM147" s="170"/>
      <c r="CN147" s="170"/>
      <c r="CO147" s="170"/>
      <c r="CP147" s="170"/>
      <c r="CQ147" s="170"/>
      <c r="CR147" s="170"/>
      <c r="CS147" s="170"/>
      <c r="CT147" s="170"/>
      <c r="CU147" s="170"/>
      <c r="CV147" s="170"/>
      <c r="CW147" s="170"/>
      <c r="CX147" s="170"/>
      <c r="CY147" s="170"/>
      <c r="CZ147" s="170"/>
      <c r="DA147" s="170"/>
      <c r="DB147" s="170"/>
      <c r="DC147" s="170"/>
      <c r="DD147" s="170"/>
      <c r="DE147" s="170"/>
      <c r="DF147" s="170"/>
      <c r="DG147" s="170"/>
      <c r="DH147" s="170"/>
      <c r="DI147" s="170"/>
      <c r="DJ147" s="170"/>
      <c r="DK147" s="170"/>
      <c r="DL147" s="170"/>
      <c r="DM147" s="170"/>
      <c r="DN147" s="170"/>
      <c r="DO147" s="170"/>
      <c r="DP147" s="170"/>
      <c r="DQ147" s="170"/>
      <c r="DR147" s="170"/>
      <c r="DS147" s="170"/>
      <c r="DT147" s="170"/>
      <c r="DU147" s="170"/>
      <c r="DV147" s="170"/>
      <c r="DW147" s="170"/>
      <c r="DX147" s="170"/>
      <c r="DY147" s="170"/>
      <c r="DZ147" s="170"/>
      <c r="EA147" s="170"/>
      <c r="EB147" s="170"/>
      <c r="EC147" s="170"/>
      <c r="ED147" s="170"/>
      <c r="EE147" s="170"/>
      <c r="EF147" s="170"/>
      <c r="EG147" s="170"/>
      <c r="EH147" s="170"/>
      <c r="EI147" s="170"/>
      <c r="EJ147" s="170"/>
      <c r="EK147" s="170"/>
      <c r="EL147" s="170"/>
      <c r="EM147" s="170"/>
      <c r="EN147" s="170"/>
      <c r="EO147" s="170"/>
      <c r="EP147" s="170"/>
    </row>
    <row r="148" ht="15.75" customHeight="1">
      <c r="A148" s="170"/>
      <c r="B148" s="170"/>
      <c r="C148" s="170"/>
      <c r="D148" s="170"/>
      <c r="E148" s="170"/>
      <c r="F148" s="170"/>
      <c r="G148" s="170"/>
      <c r="H148" s="170"/>
      <c r="I148" s="170"/>
      <c r="J148" s="170"/>
      <c r="K148" s="170"/>
      <c r="L148" s="170"/>
      <c r="M148" s="170"/>
      <c r="N148" s="170"/>
      <c r="O148" s="170"/>
      <c r="P148" s="170"/>
      <c r="Q148" s="170"/>
      <c r="R148" s="170"/>
      <c r="S148" s="170"/>
      <c r="T148" s="170"/>
      <c r="U148" s="170"/>
      <c r="V148" s="170"/>
      <c r="W148" s="170"/>
      <c r="X148" s="170"/>
      <c r="Y148" s="170"/>
      <c r="Z148" s="170"/>
      <c r="AA148" s="170"/>
      <c r="AB148" s="170"/>
      <c r="AC148" s="170"/>
      <c r="AD148" s="170"/>
      <c r="AE148" s="170"/>
      <c r="AF148" s="170"/>
      <c r="AG148" s="170"/>
      <c r="AH148" s="170"/>
      <c r="AI148" s="170"/>
      <c r="AJ148" s="170"/>
      <c r="AK148" s="170"/>
      <c r="AL148" s="170"/>
      <c r="AM148" s="170"/>
      <c r="AN148" s="170"/>
      <c r="AO148" s="170"/>
      <c r="AP148" s="170"/>
      <c r="AQ148" s="170"/>
      <c r="AR148" s="170"/>
      <c r="AS148" s="170"/>
      <c r="AT148" s="170"/>
      <c r="AU148" s="170"/>
      <c r="AV148" s="170"/>
      <c r="AW148" s="170"/>
      <c r="AX148" s="170"/>
      <c r="AY148" s="170"/>
      <c r="AZ148" s="170"/>
      <c r="BA148" s="170"/>
      <c r="BB148" s="170"/>
      <c r="BC148" s="170"/>
      <c r="BD148" s="170"/>
      <c r="BE148" s="170"/>
      <c r="BF148" s="170"/>
      <c r="BG148" s="170"/>
      <c r="BH148" s="170"/>
      <c r="BI148" s="170"/>
      <c r="BJ148" s="170"/>
      <c r="BK148" s="170"/>
      <c r="BL148" s="170"/>
      <c r="BM148" s="170"/>
      <c r="BN148" s="170"/>
      <c r="BO148" s="170"/>
      <c r="BP148" s="170"/>
      <c r="BQ148" s="170"/>
      <c r="BR148" s="170"/>
      <c r="BS148" s="170"/>
      <c r="BT148" s="170"/>
      <c r="BU148" s="170"/>
      <c r="BV148" s="170"/>
      <c r="BW148" s="170"/>
      <c r="BX148" s="170"/>
      <c r="BY148" s="170"/>
      <c r="BZ148" s="170"/>
      <c r="CA148" s="170"/>
      <c r="CB148" s="170"/>
      <c r="CC148" s="170"/>
      <c r="CD148" s="170"/>
      <c r="CE148" s="170"/>
      <c r="CF148" s="170"/>
      <c r="CG148" s="170"/>
      <c r="CH148" s="170"/>
      <c r="CI148" s="170"/>
      <c r="CJ148" s="170"/>
      <c r="CK148" s="170"/>
      <c r="CL148" s="170"/>
      <c r="CM148" s="170"/>
      <c r="CN148" s="170"/>
      <c r="CO148" s="170"/>
      <c r="CP148" s="170"/>
      <c r="CQ148" s="170"/>
      <c r="CR148" s="170"/>
      <c r="CS148" s="170"/>
      <c r="CT148" s="170"/>
      <c r="CU148" s="170"/>
      <c r="CV148" s="170"/>
      <c r="CW148" s="170"/>
      <c r="CX148" s="170"/>
      <c r="CY148" s="170"/>
      <c r="CZ148" s="170"/>
      <c r="DA148" s="170"/>
      <c r="DB148" s="170"/>
      <c r="DC148" s="170"/>
      <c r="DD148" s="170"/>
      <c r="DE148" s="170"/>
      <c r="DF148" s="170"/>
      <c r="DG148" s="170"/>
      <c r="DH148" s="170"/>
      <c r="DI148" s="170"/>
      <c r="DJ148" s="170"/>
      <c r="DK148" s="170"/>
      <c r="DL148" s="170"/>
      <c r="DM148" s="170"/>
      <c r="DN148" s="170"/>
      <c r="DO148" s="170"/>
      <c r="DP148" s="170"/>
      <c r="DQ148" s="170"/>
      <c r="DR148" s="170"/>
      <c r="DS148" s="170"/>
      <c r="DT148" s="170"/>
      <c r="DU148" s="170"/>
      <c r="DV148" s="170"/>
      <c r="DW148" s="170"/>
      <c r="DX148" s="170"/>
      <c r="DY148" s="170"/>
      <c r="DZ148" s="170"/>
      <c r="EA148" s="170"/>
      <c r="EB148" s="170"/>
      <c r="EC148" s="170"/>
      <c r="ED148" s="170"/>
      <c r="EE148" s="170"/>
      <c r="EF148" s="170"/>
      <c r="EG148" s="170"/>
      <c r="EH148" s="170"/>
      <c r="EI148" s="170"/>
      <c r="EJ148" s="170"/>
      <c r="EK148" s="170"/>
      <c r="EL148" s="170"/>
      <c r="EM148" s="170"/>
      <c r="EN148" s="170"/>
      <c r="EO148" s="170"/>
      <c r="EP148" s="170"/>
    </row>
    <row r="149" ht="15.75" customHeight="1">
      <c r="A149" s="170"/>
      <c r="B149" s="170"/>
      <c r="C149" s="170"/>
      <c r="D149" s="170"/>
      <c r="E149" s="170"/>
      <c r="F149" s="170"/>
      <c r="G149" s="170"/>
      <c r="H149" s="170"/>
      <c r="I149" s="170"/>
      <c r="J149" s="170"/>
      <c r="K149" s="170"/>
      <c r="L149" s="170"/>
      <c r="M149" s="170"/>
      <c r="N149" s="170"/>
      <c r="O149" s="170"/>
      <c r="P149" s="170"/>
      <c r="Q149" s="170"/>
      <c r="R149" s="170"/>
      <c r="S149" s="170"/>
      <c r="T149" s="170"/>
      <c r="U149" s="170"/>
      <c r="V149" s="170"/>
      <c r="W149" s="170"/>
      <c r="X149" s="170"/>
      <c r="Y149" s="170"/>
      <c r="Z149" s="170"/>
      <c r="AA149" s="170"/>
      <c r="AB149" s="170"/>
      <c r="AC149" s="170"/>
      <c r="AD149" s="170"/>
      <c r="AE149" s="170"/>
      <c r="AF149" s="170"/>
      <c r="AG149" s="170"/>
      <c r="AH149" s="170"/>
      <c r="AI149" s="170"/>
      <c r="AJ149" s="170"/>
      <c r="AK149" s="170"/>
      <c r="AL149" s="170"/>
      <c r="AM149" s="170"/>
      <c r="AN149" s="170"/>
      <c r="AO149" s="170"/>
      <c r="AP149" s="170"/>
      <c r="AQ149" s="170"/>
      <c r="AR149" s="170"/>
      <c r="AS149" s="170"/>
      <c r="AT149" s="170"/>
      <c r="AU149" s="170"/>
      <c r="AV149" s="170"/>
      <c r="AW149" s="170"/>
      <c r="AX149" s="170"/>
      <c r="AY149" s="170"/>
      <c r="AZ149" s="170"/>
      <c r="BA149" s="170"/>
      <c r="BB149" s="170"/>
      <c r="BC149" s="170"/>
      <c r="BD149" s="170"/>
      <c r="BE149" s="170"/>
      <c r="BF149" s="170"/>
      <c r="BG149" s="170"/>
      <c r="BH149" s="170"/>
      <c r="BI149" s="170"/>
      <c r="BJ149" s="170"/>
      <c r="BK149" s="170"/>
      <c r="BL149" s="170"/>
      <c r="BM149" s="170"/>
      <c r="BN149" s="170"/>
      <c r="BO149" s="170"/>
      <c r="BP149" s="170"/>
      <c r="BQ149" s="170"/>
      <c r="BR149" s="170"/>
      <c r="BS149" s="170"/>
      <c r="BT149" s="170"/>
      <c r="BU149" s="170"/>
      <c r="BV149" s="170"/>
      <c r="BW149" s="170"/>
      <c r="BX149" s="170"/>
      <c r="BY149" s="170"/>
      <c r="BZ149" s="170"/>
      <c r="CA149" s="170"/>
      <c r="CB149" s="170"/>
      <c r="CC149" s="170"/>
      <c r="CD149" s="170"/>
      <c r="CE149" s="170"/>
      <c r="CF149" s="170"/>
      <c r="CG149" s="170"/>
      <c r="CH149" s="170"/>
      <c r="CI149" s="170"/>
      <c r="CJ149" s="170"/>
      <c r="CK149" s="170"/>
      <c r="CL149" s="170"/>
      <c r="CM149" s="170"/>
      <c r="CN149" s="170"/>
      <c r="CO149" s="170"/>
      <c r="CP149" s="170"/>
      <c r="CQ149" s="170"/>
      <c r="CR149" s="170"/>
      <c r="CS149" s="170"/>
      <c r="CT149" s="170"/>
      <c r="CU149" s="170"/>
      <c r="CV149" s="170"/>
      <c r="CW149" s="170"/>
      <c r="CX149" s="170"/>
      <c r="CY149" s="170"/>
      <c r="CZ149" s="170"/>
      <c r="DA149" s="170"/>
      <c r="DB149" s="170"/>
      <c r="DC149" s="170"/>
      <c r="DD149" s="170"/>
      <c r="DE149" s="170"/>
      <c r="DF149" s="170"/>
      <c r="DG149" s="170"/>
      <c r="DH149" s="170"/>
      <c r="DI149" s="170"/>
      <c r="DJ149" s="170"/>
      <c r="DK149" s="170"/>
      <c r="DL149" s="170"/>
      <c r="DM149" s="170"/>
      <c r="DN149" s="170"/>
      <c r="DO149" s="170"/>
      <c r="DP149" s="170"/>
      <c r="DQ149" s="170"/>
      <c r="DR149" s="170"/>
      <c r="DS149" s="170"/>
      <c r="DT149" s="170"/>
      <c r="DU149" s="170"/>
      <c r="DV149" s="170"/>
      <c r="DW149" s="170"/>
      <c r="DX149" s="170"/>
      <c r="DY149" s="170"/>
      <c r="DZ149" s="170"/>
      <c r="EA149" s="170"/>
      <c r="EB149" s="170"/>
      <c r="EC149" s="170"/>
      <c r="ED149" s="170"/>
      <c r="EE149" s="170"/>
      <c r="EF149" s="170"/>
      <c r="EG149" s="170"/>
      <c r="EH149" s="170"/>
      <c r="EI149" s="170"/>
      <c r="EJ149" s="170"/>
      <c r="EK149" s="170"/>
      <c r="EL149" s="170"/>
      <c r="EM149" s="170"/>
      <c r="EN149" s="170"/>
      <c r="EO149" s="170"/>
      <c r="EP149" s="170"/>
    </row>
    <row r="150" ht="15.75" customHeight="1">
      <c r="A150" s="170"/>
      <c r="B150" s="170"/>
      <c r="C150" s="170"/>
      <c r="D150" s="170"/>
      <c r="E150" s="170"/>
      <c r="F150" s="170"/>
      <c r="G150" s="170"/>
      <c r="H150" s="170"/>
      <c r="I150" s="170"/>
      <c r="J150" s="170"/>
      <c r="K150" s="170"/>
      <c r="L150" s="170"/>
      <c r="M150" s="170"/>
      <c r="N150" s="170"/>
      <c r="O150" s="170"/>
      <c r="P150" s="170"/>
      <c r="Q150" s="170"/>
      <c r="R150" s="170"/>
      <c r="S150" s="170"/>
      <c r="T150" s="170"/>
      <c r="U150" s="170"/>
      <c r="V150" s="170"/>
      <c r="W150" s="170"/>
      <c r="X150" s="170"/>
      <c r="Y150" s="170"/>
      <c r="Z150" s="170"/>
      <c r="AA150" s="170"/>
      <c r="AB150" s="170"/>
      <c r="AC150" s="170"/>
      <c r="AD150" s="170"/>
      <c r="AE150" s="170"/>
      <c r="AF150" s="170"/>
      <c r="AG150" s="170"/>
      <c r="AH150" s="170"/>
      <c r="AI150" s="170"/>
      <c r="AJ150" s="170"/>
      <c r="AK150" s="170"/>
      <c r="AL150" s="170"/>
      <c r="AM150" s="170"/>
      <c r="AN150" s="170"/>
      <c r="AO150" s="170"/>
      <c r="AP150" s="170"/>
      <c r="AQ150" s="170"/>
      <c r="AR150" s="170"/>
      <c r="AS150" s="170"/>
      <c r="AT150" s="170"/>
      <c r="AU150" s="170"/>
      <c r="AV150" s="170"/>
      <c r="AW150" s="170"/>
      <c r="AX150" s="170"/>
      <c r="AY150" s="170"/>
      <c r="AZ150" s="170"/>
      <c r="BA150" s="170"/>
      <c r="BB150" s="170"/>
      <c r="BC150" s="170"/>
      <c r="BD150" s="170"/>
      <c r="BE150" s="170"/>
      <c r="BF150" s="170"/>
      <c r="BG150" s="170"/>
      <c r="BH150" s="170"/>
      <c r="BI150" s="170"/>
      <c r="BJ150" s="170"/>
      <c r="BK150" s="170"/>
      <c r="BL150" s="170"/>
      <c r="BM150" s="170"/>
      <c r="BN150" s="170"/>
      <c r="BO150" s="170"/>
      <c r="BP150" s="170"/>
      <c r="BQ150" s="170"/>
      <c r="BR150" s="170"/>
      <c r="BS150" s="170"/>
      <c r="BT150" s="170"/>
      <c r="BU150" s="170"/>
      <c r="BV150" s="170"/>
      <c r="BW150" s="170"/>
      <c r="BX150" s="170"/>
      <c r="BY150" s="170"/>
      <c r="BZ150" s="170"/>
      <c r="CA150" s="170"/>
      <c r="CB150" s="170"/>
      <c r="CC150" s="170"/>
      <c r="CD150" s="170"/>
      <c r="CE150" s="170"/>
      <c r="CF150" s="170"/>
      <c r="CG150" s="170"/>
      <c r="CH150" s="170"/>
      <c r="CI150" s="170"/>
      <c r="CJ150" s="170"/>
      <c r="CK150" s="170"/>
      <c r="CL150" s="170"/>
      <c r="CM150" s="170"/>
      <c r="CN150" s="170"/>
      <c r="CO150" s="170"/>
      <c r="CP150" s="170"/>
      <c r="CQ150" s="170"/>
      <c r="CR150" s="170"/>
      <c r="CS150" s="170"/>
      <c r="CT150" s="170"/>
      <c r="CU150" s="170"/>
      <c r="CV150" s="170"/>
      <c r="CW150" s="170"/>
      <c r="CX150" s="170"/>
      <c r="CY150" s="170"/>
      <c r="CZ150" s="170"/>
      <c r="DA150" s="170"/>
      <c r="DB150" s="170"/>
      <c r="DC150" s="170"/>
      <c r="DD150" s="170"/>
      <c r="DE150" s="170"/>
      <c r="DF150" s="170"/>
      <c r="DG150" s="170"/>
      <c r="DH150" s="170"/>
      <c r="DI150" s="170"/>
      <c r="DJ150" s="170"/>
      <c r="DK150" s="170"/>
      <c r="DL150" s="170"/>
      <c r="DM150" s="170"/>
      <c r="DN150" s="170"/>
      <c r="DO150" s="170"/>
      <c r="DP150" s="170"/>
      <c r="DQ150" s="170"/>
      <c r="DR150" s="170"/>
      <c r="DS150" s="170"/>
      <c r="DT150" s="170"/>
      <c r="DU150" s="170"/>
      <c r="DV150" s="170"/>
      <c r="DW150" s="170"/>
      <c r="DX150" s="170"/>
      <c r="DY150" s="170"/>
      <c r="DZ150" s="170"/>
      <c r="EA150" s="170"/>
      <c r="EB150" s="170"/>
      <c r="EC150" s="170"/>
      <c r="ED150" s="170"/>
      <c r="EE150" s="170"/>
      <c r="EF150" s="170"/>
      <c r="EG150" s="170"/>
      <c r="EH150" s="170"/>
      <c r="EI150" s="170"/>
      <c r="EJ150" s="170"/>
      <c r="EK150" s="170"/>
      <c r="EL150" s="170"/>
      <c r="EM150" s="170"/>
      <c r="EN150" s="170"/>
      <c r="EO150" s="170"/>
      <c r="EP150" s="170"/>
    </row>
    <row r="151" ht="15.75" customHeight="1">
      <c r="A151" s="170"/>
      <c r="B151" s="170"/>
      <c r="C151" s="170"/>
      <c r="D151" s="170"/>
      <c r="E151" s="170"/>
      <c r="F151" s="170"/>
      <c r="G151" s="170"/>
      <c r="H151" s="170"/>
      <c r="I151" s="170"/>
      <c r="J151" s="170"/>
      <c r="K151" s="170"/>
      <c r="L151" s="170"/>
      <c r="M151" s="170"/>
      <c r="N151" s="170"/>
      <c r="O151" s="170"/>
      <c r="P151" s="170"/>
      <c r="Q151" s="170"/>
      <c r="R151" s="170"/>
      <c r="S151" s="170"/>
      <c r="T151" s="170"/>
      <c r="U151" s="170"/>
      <c r="V151" s="170"/>
      <c r="W151" s="170"/>
      <c r="X151" s="170"/>
      <c r="Y151" s="170"/>
      <c r="Z151" s="170"/>
      <c r="AA151" s="170"/>
      <c r="AB151" s="170"/>
      <c r="AC151" s="170"/>
      <c r="AD151" s="170"/>
      <c r="AE151" s="170"/>
      <c r="AF151" s="170"/>
      <c r="AG151" s="170"/>
      <c r="AH151" s="170"/>
      <c r="AI151" s="170"/>
      <c r="AJ151" s="170"/>
      <c r="AK151" s="170"/>
      <c r="AL151" s="170"/>
      <c r="AM151" s="170"/>
      <c r="AN151" s="170"/>
      <c r="AO151" s="170"/>
      <c r="AP151" s="170"/>
      <c r="AQ151" s="170"/>
      <c r="AR151" s="170"/>
      <c r="AS151" s="170"/>
      <c r="AT151" s="170"/>
      <c r="AU151" s="170"/>
      <c r="AV151" s="170"/>
      <c r="AW151" s="170"/>
      <c r="AX151" s="170"/>
      <c r="AY151" s="170"/>
      <c r="AZ151" s="170"/>
      <c r="BA151" s="170"/>
      <c r="BB151" s="170"/>
      <c r="BC151" s="170"/>
      <c r="BD151" s="170"/>
      <c r="BE151" s="170"/>
      <c r="BF151" s="170"/>
      <c r="BG151" s="170"/>
      <c r="BH151" s="170"/>
      <c r="BI151" s="170"/>
      <c r="BJ151" s="170"/>
      <c r="BK151" s="170"/>
      <c r="BL151" s="170"/>
      <c r="BM151" s="170"/>
      <c r="BN151" s="170"/>
      <c r="BO151" s="170"/>
      <c r="BP151" s="170"/>
      <c r="BQ151" s="170"/>
      <c r="BR151" s="170"/>
      <c r="BS151" s="170"/>
      <c r="BT151" s="170"/>
      <c r="BU151" s="170"/>
      <c r="BV151" s="170"/>
      <c r="BW151" s="170"/>
      <c r="BX151" s="170"/>
      <c r="BY151" s="170"/>
      <c r="BZ151" s="170"/>
      <c r="CA151" s="170"/>
      <c r="CB151" s="170"/>
      <c r="CC151" s="170"/>
      <c r="CD151" s="170"/>
      <c r="CE151" s="170"/>
      <c r="CF151" s="170"/>
      <c r="CG151" s="170"/>
      <c r="CH151" s="170"/>
      <c r="CI151" s="170"/>
      <c r="CJ151" s="170"/>
      <c r="CK151" s="170"/>
      <c r="CL151" s="170"/>
      <c r="CM151" s="170"/>
      <c r="CN151" s="170"/>
      <c r="CO151" s="170"/>
      <c r="CP151" s="170"/>
      <c r="CQ151" s="170"/>
      <c r="CR151" s="170"/>
      <c r="CS151" s="170"/>
      <c r="CT151" s="170"/>
      <c r="CU151" s="170"/>
      <c r="CV151" s="170"/>
      <c r="CW151" s="170"/>
      <c r="CX151" s="170"/>
      <c r="CY151" s="170"/>
      <c r="CZ151" s="170"/>
      <c r="DA151" s="170"/>
      <c r="DB151" s="170"/>
      <c r="DC151" s="170"/>
      <c r="DD151" s="170"/>
      <c r="DE151" s="170"/>
      <c r="DF151" s="170"/>
      <c r="DG151" s="170"/>
      <c r="DH151" s="170"/>
      <c r="DI151" s="170"/>
      <c r="DJ151" s="170"/>
      <c r="DK151" s="170"/>
      <c r="DL151" s="170"/>
      <c r="DM151" s="170"/>
      <c r="DN151" s="170"/>
      <c r="DO151" s="170"/>
      <c r="DP151" s="170"/>
      <c r="DQ151" s="170"/>
      <c r="DR151" s="170"/>
      <c r="DS151" s="170"/>
      <c r="DT151" s="170"/>
      <c r="DU151" s="170"/>
      <c r="DV151" s="170"/>
      <c r="DW151" s="170"/>
      <c r="DX151" s="170"/>
      <c r="DY151" s="170"/>
      <c r="DZ151" s="170"/>
      <c r="EA151" s="170"/>
      <c r="EB151" s="170"/>
      <c r="EC151" s="170"/>
      <c r="ED151" s="170"/>
      <c r="EE151" s="170"/>
      <c r="EF151" s="170"/>
      <c r="EG151" s="170"/>
      <c r="EH151" s="170"/>
      <c r="EI151" s="170"/>
      <c r="EJ151" s="170"/>
      <c r="EK151" s="170"/>
      <c r="EL151" s="170"/>
      <c r="EM151" s="170"/>
      <c r="EN151" s="170"/>
      <c r="EO151" s="170"/>
      <c r="EP151" s="170"/>
    </row>
    <row r="152" ht="15.75" customHeight="1">
      <c r="A152" s="170"/>
      <c r="B152" s="170"/>
      <c r="C152" s="170"/>
      <c r="D152" s="170"/>
      <c r="E152" s="170"/>
      <c r="F152" s="170"/>
      <c r="G152" s="170"/>
      <c r="H152" s="170"/>
      <c r="I152" s="170"/>
      <c r="J152" s="170"/>
      <c r="K152" s="170"/>
      <c r="L152" s="170"/>
      <c r="M152" s="170"/>
      <c r="N152" s="170"/>
      <c r="O152" s="170"/>
      <c r="P152" s="170"/>
      <c r="Q152" s="170"/>
      <c r="R152" s="170"/>
      <c r="S152" s="170"/>
      <c r="T152" s="170"/>
      <c r="U152" s="170"/>
      <c r="V152" s="170"/>
      <c r="W152" s="170"/>
      <c r="X152" s="170"/>
      <c r="Y152" s="170"/>
      <c r="Z152" s="170"/>
      <c r="AA152" s="170"/>
      <c r="AB152" s="170"/>
      <c r="AC152" s="170"/>
      <c r="AD152" s="170"/>
      <c r="AE152" s="170"/>
      <c r="AF152" s="170"/>
      <c r="AG152" s="170"/>
      <c r="AH152" s="170"/>
      <c r="AI152" s="170"/>
      <c r="AJ152" s="170"/>
      <c r="AK152" s="170"/>
      <c r="AL152" s="170"/>
      <c r="AM152" s="170"/>
      <c r="AN152" s="170"/>
      <c r="AO152" s="170"/>
      <c r="AP152" s="170"/>
      <c r="AQ152" s="170"/>
      <c r="AR152" s="170"/>
      <c r="AS152" s="170"/>
      <c r="AT152" s="170"/>
      <c r="AU152" s="170"/>
      <c r="AV152" s="170"/>
      <c r="AW152" s="170"/>
      <c r="AX152" s="170"/>
      <c r="AY152" s="170"/>
      <c r="AZ152" s="170"/>
      <c r="BA152" s="170"/>
      <c r="BB152" s="170"/>
      <c r="BC152" s="170"/>
      <c r="BD152" s="170"/>
      <c r="BE152" s="170"/>
      <c r="BF152" s="170"/>
      <c r="BG152" s="170"/>
      <c r="BH152" s="170"/>
      <c r="BI152" s="170"/>
      <c r="BJ152" s="170"/>
      <c r="BK152" s="170"/>
      <c r="BL152" s="170"/>
      <c r="BM152" s="170"/>
      <c r="BN152" s="170"/>
      <c r="BO152" s="170"/>
      <c r="BP152" s="170"/>
      <c r="BQ152" s="170"/>
      <c r="BR152" s="170"/>
      <c r="BS152" s="170"/>
      <c r="BT152" s="170"/>
      <c r="BU152" s="170"/>
      <c r="BV152" s="170"/>
      <c r="BW152" s="170"/>
      <c r="BX152" s="170"/>
      <c r="BY152" s="170"/>
      <c r="BZ152" s="170"/>
      <c r="CA152" s="170"/>
      <c r="CB152" s="170"/>
      <c r="CC152" s="170"/>
      <c r="CD152" s="170"/>
      <c r="CE152" s="170"/>
      <c r="CF152" s="170"/>
      <c r="CG152" s="170"/>
      <c r="CH152" s="170"/>
      <c r="CI152" s="170"/>
      <c r="CJ152" s="170"/>
      <c r="CK152" s="170"/>
      <c r="CL152" s="170"/>
      <c r="CM152" s="170"/>
      <c r="CN152" s="170"/>
      <c r="CO152" s="170"/>
      <c r="CP152" s="170"/>
      <c r="CQ152" s="170"/>
      <c r="CR152" s="170"/>
      <c r="CS152" s="170"/>
      <c r="CT152" s="170"/>
      <c r="CU152" s="170"/>
      <c r="CV152" s="170"/>
      <c r="CW152" s="170"/>
      <c r="CX152" s="170"/>
      <c r="CY152" s="170"/>
      <c r="CZ152" s="170"/>
      <c r="DA152" s="170"/>
      <c r="DB152" s="170"/>
      <c r="DC152" s="170"/>
      <c r="DD152" s="170"/>
      <c r="DE152" s="170"/>
      <c r="DF152" s="170"/>
      <c r="DG152" s="170"/>
      <c r="DH152" s="170"/>
      <c r="DI152" s="170"/>
      <c r="DJ152" s="170"/>
      <c r="DK152" s="170"/>
      <c r="DL152" s="170"/>
      <c r="DM152" s="170"/>
      <c r="DN152" s="170"/>
      <c r="DO152" s="170"/>
      <c r="DP152" s="170"/>
      <c r="DQ152" s="170"/>
      <c r="DR152" s="170"/>
      <c r="DS152" s="170"/>
      <c r="DT152" s="170"/>
      <c r="DU152" s="170"/>
      <c r="DV152" s="170"/>
      <c r="DW152" s="170"/>
      <c r="DX152" s="170"/>
      <c r="DY152" s="170"/>
      <c r="DZ152" s="170"/>
      <c r="EA152" s="170"/>
      <c r="EB152" s="170"/>
      <c r="EC152" s="170"/>
      <c r="ED152" s="170"/>
      <c r="EE152" s="170"/>
      <c r="EF152" s="170"/>
      <c r="EG152" s="170"/>
      <c r="EH152" s="170"/>
      <c r="EI152" s="170"/>
      <c r="EJ152" s="170"/>
      <c r="EK152" s="170"/>
      <c r="EL152" s="170"/>
      <c r="EM152" s="170"/>
      <c r="EN152" s="170"/>
      <c r="EO152" s="170"/>
      <c r="EP152" s="170"/>
    </row>
    <row r="153" ht="15.75" customHeight="1">
      <c r="A153" s="170"/>
      <c r="B153" s="170"/>
      <c r="C153" s="170"/>
      <c r="D153" s="170"/>
      <c r="E153" s="170"/>
      <c r="F153" s="170"/>
      <c r="G153" s="170"/>
      <c r="H153" s="170"/>
      <c r="I153" s="170"/>
      <c r="J153" s="170"/>
      <c r="K153" s="170"/>
      <c r="L153" s="170"/>
      <c r="M153" s="170"/>
      <c r="N153" s="170"/>
      <c r="O153" s="170"/>
      <c r="P153" s="170"/>
      <c r="Q153" s="170"/>
      <c r="R153" s="170"/>
      <c r="S153" s="170"/>
      <c r="T153" s="170"/>
      <c r="U153" s="170"/>
      <c r="V153" s="170"/>
      <c r="W153" s="170"/>
      <c r="X153" s="170"/>
      <c r="Y153" s="170"/>
      <c r="Z153" s="170"/>
      <c r="AA153" s="170"/>
      <c r="AB153" s="170"/>
      <c r="AC153" s="170"/>
      <c r="AD153" s="170"/>
      <c r="AE153" s="170"/>
      <c r="AF153" s="170"/>
      <c r="AG153" s="170"/>
      <c r="AH153" s="170"/>
      <c r="AI153" s="170"/>
      <c r="AJ153" s="170"/>
      <c r="AK153" s="170"/>
      <c r="AL153" s="170"/>
      <c r="AM153" s="170"/>
      <c r="AN153" s="170"/>
      <c r="AO153" s="170"/>
      <c r="AP153" s="170"/>
      <c r="AQ153" s="170"/>
      <c r="AR153" s="170"/>
      <c r="AS153" s="170"/>
      <c r="AT153" s="170"/>
      <c r="AU153" s="170"/>
      <c r="AV153" s="170"/>
      <c r="AW153" s="170"/>
      <c r="AX153" s="170"/>
      <c r="AY153" s="170"/>
      <c r="AZ153" s="170"/>
      <c r="BA153" s="170"/>
      <c r="BB153" s="170"/>
      <c r="BC153" s="170"/>
      <c r="BD153" s="170"/>
      <c r="BE153" s="170"/>
      <c r="BF153" s="170"/>
      <c r="BG153" s="170"/>
      <c r="BH153" s="170"/>
      <c r="BI153" s="170"/>
      <c r="BJ153" s="170"/>
      <c r="BK153" s="170"/>
      <c r="BL153" s="170"/>
      <c r="BM153" s="170"/>
      <c r="BN153" s="170"/>
      <c r="BO153" s="170"/>
      <c r="BP153" s="170"/>
      <c r="BQ153" s="170"/>
      <c r="BR153" s="170"/>
      <c r="BS153" s="170"/>
      <c r="BT153" s="170"/>
      <c r="BU153" s="170"/>
      <c r="BV153" s="170"/>
      <c r="BW153" s="170"/>
      <c r="BX153" s="170"/>
      <c r="BY153" s="170"/>
      <c r="BZ153" s="170"/>
      <c r="CA153" s="170"/>
      <c r="CB153" s="170"/>
      <c r="CC153" s="170"/>
      <c r="CD153" s="170"/>
      <c r="CE153" s="170"/>
      <c r="CF153" s="170"/>
      <c r="CG153" s="170"/>
      <c r="CH153" s="170"/>
      <c r="CI153" s="170"/>
      <c r="CJ153" s="170"/>
      <c r="CK153" s="170"/>
      <c r="CL153" s="170"/>
      <c r="CM153" s="170"/>
      <c r="CN153" s="170"/>
      <c r="CO153" s="170"/>
      <c r="CP153" s="170"/>
      <c r="CQ153" s="170"/>
      <c r="CR153" s="170"/>
      <c r="CS153" s="170"/>
      <c r="CT153" s="170"/>
      <c r="CU153" s="170"/>
      <c r="CV153" s="170"/>
      <c r="CW153" s="170"/>
      <c r="CX153" s="170"/>
      <c r="CY153" s="170"/>
      <c r="CZ153" s="170"/>
      <c r="DA153" s="170"/>
      <c r="DB153" s="170"/>
      <c r="DC153" s="170"/>
      <c r="DD153" s="170"/>
      <c r="DE153" s="170"/>
      <c r="DF153" s="170"/>
      <c r="DG153" s="170"/>
      <c r="DH153" s="170"/>
      <c r="DI153" s="170"/>
      <c r="DJ153" s="170"/>
      <c r="DK153" s="170"/>
      <c r="DL153" s="170"/>
      <c r="DM153" s="170"/>
      <c r="DN153" s="170"/>
      <c r="DO153" s="170"/>
      <c r="DP153" s="170"/>
      <c r="DQ153" s="170"/>
      <c r="DR153" s="170"/>
      <c r="DS153" s="170"/>
      <c r="DT153" s="170"/>
      <c r="DU153" s="170"/>
      <c r="DV153" s="170"/>
      <c r="DW153" s="170"/>
      <c r="DX153" s="170"/>
      <c r="DY153" s="170"/>
      <c r="DZ153" s="170"/>
      <c r="EA153" s="170"/>
      <c r="EB153" s="170"/>
      <c r="EC153" s="170"/>
      <c r="ED153" s="170"/>
      <c r="EE153" s="170"/>
      <c r="EF153" s="170"/>
      <c r="EG153" s="170"/>
      <c r="EH153" s="170"/>
      <c r="EI153" s="170"/>
      <c r="EJ153" s="170"/>
      <c r="EK153" s="170"/>
      <c r="EL153" s="170"/>
      <c r="EM153" s="170"/>
      <c r="EN153" s="170"/>
      <c r="EO153" s="170"/>
      <c r="EP153" s="170"/>
    </row>
    <row r="154" ht="15.75" customHeight="1">
      <c r="A154" s="170"/>
      <c r="B154" s="170"/>
      <c r="C154" s="170"/>
      <c r="D154" s="170"/>
      <c r="E154" s="170"/>
      <c r="F154" s="170"/>
      <c r="G154" s="170"/>
      <c r="H154" s="170"/>
      <c r="I154" s="170"/>
      <c r="J154" s="170"/>
      <c r="K154" s="170"/>
      <c r="L154" s="170"/>
      <c r="M154" s="170"/>
      <c r="N154" s="170"/>
      <c r="O154" s="170"/>
      <c r="P154" s="170"/>
      <c r="Q154" s="170"/>
      <c r="R154" s="170"/>
      <c r="S154" s="170"/>
      <c r="T154" s="170"/>
      <c r="U154" s="170"/>
      <c r="V154" s="170"/>
      <c r="W154" s="170"/>
      <c r="X154" s="170"/>
      <c r="Y154" s="170"/>
      <c r="Z154" s="170"/>
      <c r="AA154" s="170"/>
      <c r="AB154" s="170"/>
      <c r="AC154" s="170"/>
      <c r="AD154" s="170"/>
      <c r="AE154" s="170"/>
      <c r="AF154" s="170"/>
      <c r="AG154" s="170"/>
      <c r="AH154" s="170"/>
      <c r="AI154" s="170"/>
      <c r="AJ154" s="170"/>
      <c r="AK154" s="170"/>
      <c r="AL154" s="170"/>
      <c r="AM154" s="170"/>
      <c r="AN154" s="170"/>
      <c r="AO154" s="170"/>
      <c r="AP154" s="170"/>
      <c r="AQ154" s="170"/>
      <c r="AR154" s="170"/>
      <c r="AS154" s="170"/>
      <c r="AT154" s="170"/>
      <c r="AU154" s="170"/>
      <c r="AV154" s="170"/>
      <c r="AW154" s="170"/>
      <c r="AX154" s="170"/>
      <c r="AY154" s="170"/>
      <c r="AZ154" s="170"/>
      <c r="BA154" s="170"/>
      <c r="BB154" s="170"/>
      <c r="BC154" s="170"/>
      <c r="BD154" s="170"/>
      <c r="BE154" s="170"/>
      <c r="BF154" s="170"/>
      <c r="BG154" s="170"/>
      <c r="BH154" s="170"/>
      <c r="BI154" s="170"/>
      <c r="BJ154" s="170"/>
      <c r="BK154" s="170"/>
      <c r="BL154" s="170"/>
      <c r="BM154" s="170"/>
      <c r="BN154" s="170"/>
      <c r="BO154" s="170"/>
      <c r="BP154" s="170"/>
      <c r="BQ154" s="170"/>
      <c r="BR154" s="170"/>
      <c r="BS154" s="170"/>
      <c r="BT154" s="170"/>
      <c r="BU154" s="170"/>
      <c r="BV154" s="170"/>
      <c r="BW154" s="170"/>
      <c r="BX154" s="170"/>
      <c r="BY154" s="170"/>
      <c r="BZ154" s="170"/>
      <c r="CA154" s="170"/>
      <c r="CB154" s="170"/>
      <c r="CC154" s="170"/>
      <c r="CD154" s="170"/>
      <c r="CE154" s="170"/>
      <c r="CF154" s="170"/>
      <c r="CG154" s="170"/>
      <c r="CH154" s="170"/>
      <c r="CI154" s="170"/>
      <c r="CJ154" s="170"/>
      <c r="CK154" s="170"/>
      <c r="CL154" s="170"/>
      <c r="CM154" s="170"/>
      <c r="CN154" s="170"/>
      <c r="CO154" s="170"/>
      <c r="CP154" s="170"/>
      <c r="CQ154" s="170"/>
      <c r="CR154" s="170"/>
      <c r="CS154" s="170"/>
      <c r="CT154" s="170"/>
      <c r="CU154" s="170"/>
      <c r="CV154" s="170"/>
      <c r="CW154" s="170"/>
      <c r="CX154" s="170"/>
      <c r="CY154" s="170"/>
      <c r="CZ154" s="170"/>
      <c r="DA154" s="170"/>
      <c r="DB154" s="170"/>
      <c r="DC154" s="170"/>
      <c r="DD154" s="170"/>
      <c r="DE154" s="170"/>
      <c r="DF154" s="170"/>
      <c r="DG154" s="170"/>
      <c r="DH154" s="170"/>
      <c r="DI154" s="170"/>
      <c r="DJ154" s="170"/>
      <c r="DK154" s="170"/>
      <c r="DL154" s="170"/>
      <c r="DM154" s="170"/>
      <c r="DN154" s="170"/>
      <c r="DO154" s="170"/>
      <c r="DP154" s="170"/>
      <c r="DQ154" s="170"/>
      <c r="DR154" s="170"/>
      <c r="DS154" s="170"/>
      <c r="DT154" s="170"/>
      <c r="DU154" s="170"/>
      <c r="DV154" s="170"/>
      <c r="DW154" s="170"/>
      <c r="DX154" s="170"/>
      <c r="DY154" s="170"/>
      <c r="DZ154" s="170"/>
      <c r="EA154" s="170"/>
      <c r="EB154" s="170"/>
      <c r="EC154" s="170"/>
      <c r="ED154" s="170"/>
      <c r="EE154" s="170"/>
      <c r="EF154" s="170"/>
      <c r="EG154" s="170"/>
      <c r="EH154" s="170"/>
      <c r="EI154" s="170"/>
      <c r="EJ154" s="170"/>
      <c r="EK154" s="170"/>
      <c r="EL154" s="170"/>
      <c r="EM154" s="170"/>
      <c r="EN154" s="170"/>
      <c r="EO154" s="170"/>
      <c r="EP154" s="170"/>
    </row>
    <row r="155" ht="15.75" customHeight="1">
      <c r="A155" s="170"/>
      <c r="B155" s="170"/>
      <c r="C155" s="170"/>
      <c r="D155" s="170"/>
      <c r="E155" s="170"/>
      <c r="F155" s="170"/>
      <c r="G155" s="170"/>
      <c r="H155" s="170"/>
      <c r="I155" s="170"/>
      <c r="J155" s="170"/>
      <c r="K155" s="170"/>
      <c r="L155" s="170"/>
      <c r="M155" s="170"/>
      <c r="N155" s="170"/>
      <c r="O155" s="170"/>
      <c r="P155" s="170"/>
      <c r="Q155" s="170"/>
      <c r="R155" s="170"/>
      <c r="S155" s="170"/>
      <c r="T155" s="170"/>
      <c r="U155" s="170"/>
      <c r="V155" s="170"/>
      <c r="W155" s="170"/>
      <c r="X155" s="170"/>
      <c r="Y155" s="170"/>
      <c r="Z155" s="170"/>
      <c r="AA155" s="170"/>
      <c r="AB155" s="170"/>
      <c r="AC155" s="170"/>
      <c r="AD155" s="170"/>
      <c r="AE155" s="170"/>
      <c r="AF155" s="170"/>
      <c r="AG155" s="170"/>
      <c r="AH155" s="170"/>
      <c r="AI155" s="170"/>
      <c r="AJ155" s="170"/>
      <c r="AK155" s="170"/>
      <c r="AL155" s="170"/>
      <c r="AM155" s="170"/>
      <c r="AN155" s="170"/>
      <c r="AO155" s="170"/>
      <c r="AP155" s="170"/>
      <c r="AQ155" s="170"/>
      <c r="AR155" s="170"/>
      <c r="AS155" s="170"/>
      <c r="AT155" s="170"/>
      <c r="AU155" s="170"/>
      <c r="AV155" s="170"/>
      <c r="AW155" s="170"/>
      <c r="AX155" s="170"/>
      <c r="AY155" s="170"/>
      <c r="AZ155" s="170"/>
      <c r="BA155" s="170"/>
      <c r="BB155" s="170"/>
      <c r="BC155" s="170"/>
      <c r="BD155" s="170"/>
      <c r="BE155" s="170"/>
      <c r="BF155" s="170"/>
      <c r="BG155" s="170"/>
      <c r="BH155" s="170"/>
      <c r="BI155" s="170"/>
      <c r="BJ155" s="170"/>
      <c r="BK155" s="170"/>
      <c r="BL155" s="170"/>
      <c r="BM155" s="170"/>
      <c r="BN155" s="170"/>
      <c r="BO155" s="170"/>
      <c r="BP155" s="170"/>
      <c r="BQ155" s="170"/>
      <c r="BR155" s="170"/>
      <c r="BS155" s="170"/>
      <c r="BT155" s="170"/>
      <c r="BU155" s="170"/>
      <c r="BV155" s="170"/>
      <c r="BW155" s="170"/>
      <c r="BX155" s="170"/>
      <c r="BY155" s="170"/>
      <c r="BZ155" s="170"/>
      <c r="CA155" s="170"/>
      <c r="CB155" s="170"/>
      <c r="CC155" s="170"/>
      <c r="CD155" s="170"/>
      <c r="CE155" s="170"/>
      <c r="CF155" s="170"/>
      <c r="CG155" s="170"/>
      <c r="CH155" s="170"/>
      <c r="CI155" s="170"/>
      <c r="CJ155" s="170"/>
      <c r="CK155" s="170"/>
      <c r="CL155" s="170"/>
      <c r="CM155" s="170"/>
      <c r="CN155" s="170"/>
      <c r="CO155" s="170"/>
      <c r="CP155" s="170"/>
      <c r="CQ155" s="170"/>
      <c r="CR155" s="170"/>
      <c r="CS155" s="170"/>
      <c r="CT155" s="170"/>
      <c r="CU155" s="170"/>
      <c r="CV155" s="170"/>
      <c r="CW155" s="170"/>
      <c r="CX155" s="170"/>
      <c r="CY155" s="170"/>
      <c r="CZ155" s="170"/>
      <c r="DA155" s="170"/>
      <c r="DB155" s="170"/>
      <c r="DC155" s="170"/>
      <c r="DD155" s="170"/>
      <c r="DE155" s="170"/>
      <c r="DF155" s="170"/>
      <c r="DG155" s="170"/>
      <c r="DH155" s="170"/>
      <c r="DI155" s="170"/>
      <c r="DJ155" s="170"/>
      <c r="DK155" s="170"/>
      <c r="DL155" s="170"/>
      <c r="DM155" s="170"/>
      <c r="DN155" s="170"/>
      <c r="DO155" s="170"/>
      <c r="DP155" s="170"/>
      <c r="DQ155" s="170"/>
      <c r="DR155" s="170"/>
      <c r="DS155" s="170"/>
      <c r="DT155" s="170"/>
      <c r="DU155" s="170"/>
      <c r="DV155" s="170"/>
      <c r="DW155" s="170"/>
      <c r="DX155" s="170"/>
      <c r="DY155" s="170"/>
      <c r="DZ155" s="170"/>
      <c r="EA155" s="170"/>
      <c r="EB155" s="170"/>
      <c r="EC155" s="170"/>
      <c r="ED155" s="170"/>
      <c r="EE155" s="170"/>
      <c r="EF155" s="170"/>
      <c r="EG155" s="170"/>
      <c r="EH155" s="170"/>
      <c r="EI155" s="170"/>
      <c r="EJ155" s="170"/>
      <c r="EK155" s="170"/>
      <c r="EL155" s="170"/>
      <c r="EM155" s="170"/>
      <c r="EN155" s="170"/>
      <c r="EO155" s="170"/>
      <c r="EP155" s="170"/>
    </row>
    <row r="156" ht="15.75" customHeight="1">
      <c r="A156" s="170"/>
      <c r="B156" s="170"/>
      <c r="C156" s="170"/>
      <c r="D156" s="170"/>
      <c r="E156" s="170"/>
      <c r="F156" s="170"/>
      <c r="G156" s="170"/>
      <c r="H156" s="170"/>
      <c r="I156" s="170"/>
      <c r="J156" s="170"/>
      <c r="K156" s="170"/>
      <c r="L156" s="170"/>
      <c r="M156" s="170"/>
      <c r="N156" s="170"/>
      <c r="O156" s="170"/>
      <c r="P156" s="170"/>
      <c r="Q156" s="170"/>
      <c r="R156" s="170"/>
      <c r="S156" s="170"/>
      <c r="T156" s="170"/>
      <c r="U156" s="170"/>
      <c r="V156" s="170"/>
      <c r="W156" s="170"/>
      <c r="X156" s="170"/>
      <c r="Y156" s="170"/>
      <c r="Z156" s="170"/>
      <c r="AA156" s="170"/>
      <c r="AB156" s="170"/>
      <c r="AC156" s="170"/>
      <c r="AD156" s="170"/>
      <c r="AE156" s="170"/>
      <c r="AF156" s="170"/>
      <c r="AG156" s="170"/>
      <c r="AH156" s="170"/>
      <c r="AI156" s="170"/>
      <c r="AJ156" s="170"/>
      <c r="AK156" s="170"/>
      <c r="AL156" s="170"/>
      <c r="AM156" s="170"/>
      <c r="AN156" s="170"/>
      <c r="AO156" s="170"/>
      <c r="AP156" s="170"/>
      <c r="AQ156" s="170"/>
      <c r="AR156" s="170"/>
      <c r="AS156" s="170"/>
      <c r="AT156" s="170"/>
      <c r="AU156" s="170"/>
      <c r="AV156" s="170"/>
      <c r="AW156" s="170"/>
      <c r="AX156" s="170"/>
      <c r="AY156" s="170"/>
      <c r="AZ156" s="170"/>
      <c r="BA156" s="170"/>
      <c r="BB156" s="170"/>
      <c r="BC156" s="170"/>
      <c r="BD156" s="170"/>
      <c r="BE156" s="170"/>
      <c r="BF156" s="170"/>
      <c r="BG156" s="170"/>
      <c r="BH156" s="170"/>
      <c r="BI156" s="170"/>
      <c r="BJ156" s="170"/>
      <c r="BK156" s="170"/>
      <c r="BL156" s="170"/>
      <c r="BM156" s="170"/>
      <c r="BN156" s="170"/>
      <c r="BO156" s="170"/>
      <c r="BP156" s="170"/>
      <c r="BQ156" s="170"/>
      <c r="BR156" s="170"/>
      <c r="BS156" s="170"/>
      <c r="BT156" s="170"/>
      <c r="BU156" s="170"/>
      <c r="BV156" s="170"/>
      <c r="BW156" s="170"/>
      <c r="BX156" s="170"/>
      <c r="BY156" s="170"/>
      <c r="BZ156" s="170"/>
      <c r="CA156" s="170"/>
      <c r="CB156" s="170"/>
      <c r="CC156" s="170"/>
      <c r="CD156" s="170"/>
      <c r="CE156" s="170"/>
      <c r="CF156" s="170"/>
      <c r="CG156" s="170"/>
      <c r="CH156" s="170"/>
      <c r="CI156" s="170"/>
      <c r="CJ156" s="170"/>
      <c r="CK156" s="170"/>
      <c r="CL156" s="170"/>
      <c r="CM156" s="170"/>
      <c r="CN156" s="170"/>
      <c r="CO156" s="170"/>
      <c r="CP156" s="170"/>
      <c r="CQ156" s="170"/>
      <c r="CR156" s="170"/>
      <c r="CS156" s="170"/>
      <c r="CT156" s="170"/>
      <c r="CU156" s="170"/>
      <c r="CV156" s="170"/>
      <c r="CW156" s="170"/>
      <c r="CX156" s="170"/>
      <c r="CY156" s="170"/>
      <c r="CZ156" s="170"/>
      <c r="DA156" s="170"/>
      <c r="DB156" s="170"/>
      <c r="DC156" s="170"/>
      <c r="DD156" s="170"/>
      <c r="DE156" s="170"/>
      <c r="DF156" s="170"/>
      <c r="DG156" s="170"/>
      <c r="DH156" s="170"/>
      <c r="DI156" s="170"/>
      <c r="DJ156" s="170"/>
      <c r="DK156" s="170"/>
      <c r="DL156" s="170"/>
      <c r="DM156" s="170"/>
      <c r="DN156" s="170"/>
      <c r="DO156" s="170"/>
      <c r="DP156" s="170"/>
      <c r="DQ156" s="170"/>
      <c r="DR156" s="170"/>
      <c r="DS156" s="170"/>
      <c r="DT156" s="170"/>
      <c r="DU156" s="170"/>
      <c r="DV156" s="170"/>
      <c r="DW156" s="170"/>
      <c r="DX156" s="170"/>
      <c r="DY156" s="170"/>
      <c r="DZ156" s="170"/>
      <c r="EA156" s="170"/>
      <c r="EB156" s="170"/>
      <c r="EC156" s="170"/>
      <c r="ED156" s="170"/>
      <c r="EE156" s="170"/>
      <c r="EF156" s="170"/>
      <c r="EG156" s="170"/>
      <c r="EH156" s="170"/>
      <c r="EI156" s="170"/>
      <c r="EJ156" s="170"/>
      <c r="EK156" s="170"/>
      <c r="EL156" s="170"/>
      <c r="EM156" s="170"/>
      <c r="EN156" s="170"/>
      <c r="EO156" s="170"/>
      <c r="EP156" s="170"/>
    </row>
    <row r="157" ht="15.75" customHeight="1">
      <c r="A157" s="170"/>
      <c r="B157" s="170"/>
      <c r="C157" s="170"/>
      <c r="D157" s="170"/>
      <c r="E157" s="170"/>
      <c r="F157" s="170"/>
      <c r="G157" s="170"/>
      <c r="H157" s="170"/>
      <c r="I157" s="170"/>
      <c r="J157" s="170"/>
      <c r="K157" s="170"/>
      <c r="L157" s="170"/>
      <c r="M157" s="170"/>
      <c r="N157" s="170"/>
      <c r="O157" s="170"/>
      <c r="P157" s="170"/>
      <c r="Q157" s="170"/>
      <c r="R157" s="170"/>
      <c r="S157" s="170"/>
      <c r="T157" s="170"/>
      <c r="U157" s="170"/>
      <c r="V157" s="170"/>
      <c r="W157" s="170"/>
      <c r="X157" s="170"/>
      <c r="Y157" s="170"/>
      <c r="Z157" s="170"/>
      <c r="AA157" s="170"/>
      <c r="AB157" s="170"/>
      <c r="AC157" s="170"/>
      <c r="AD157" s="170"/>
      <c r="AE157" s="170"/>
      <c r="AF157" s="170"/>
      <c r="AG157" s="170"/>
      <c r="AH157" s="170"/>
      <c r="AI157" s="170"/>
      <c r="AJ157" s="170"/>
      <c r="AK157" s="170"/>
      <c r="AL157" s="170"/>
      <c r="AM157" s="170"/>
      <c r="AN157" s="170"/>
      <c r="AO157" s="170"/>
      <c r="AP157" s="170"/>
      <c r="AQ157" s="170"/>
      <c r="AR157" s="170"/>
      <c r="AS157" s="170"/>
      <c r="AT157" s="170"/>
      <c r="AU157" s="170"/>
      <c r="AV157" s="170"/>
      <c r="AW157" s="170"/>
      <c r="AX157" s="170"/>
      <c r="AY157" s="170"/>
      <c r="AZ157" s="170"/>
      <c r="BA157" s="170"/>
      <c r="BB157" s="170"/>
      <c r="BC157" s="170"/>
      <c r="BD157" s="170"/>
      <c r="BE157" s="170"/>
      <c r="BF157" s="170"/>
      <c r="BG157" s="170"/>
      <c r="BH157" s="170"/>
      <c r="BI157" s="170"/>
      <c r="BJ157" s="170"/>
      <c r="BK157" s="170"/>
      <c r="BL157" s="170"/>
      <c r="BM157" s="170"/>
      <c r="BN157" s="170"/>
      <c r="BO157" s="170"/>
      <c r="BP157" s="170"/>
      <c r="BQ157" s="170"/>
      <c r="BR157" s="170"/>
      <c r="BS157" s="170"/>
      <c r="BT157" s="170"/>
      <c r="BU157" s="170"/>
      <c r="BV157" s="170"/>
      <c r="BW157" s="170"/>
      <c r="BX157" s="170"/>
      <c r="BY157" s="170"/>
      <c r="BZ157" s="170"/>
      <c r="CA157" s="170"/>
      <c r="CB157" s="170"/>
      <c r="CC157" s="170"/>
      <c r="CD157" s="170"/>
      <c r="CE157" s="170"/>
      <c r="CF157" s="170"/>
      <c r="CG157" s="170"/>
      <c r="CH157" s="170"/>
      <c r="CI157" s="170"/>
      <c r="CJ157" s="170"/>
      <c r="CK157" s="170"/>
      <c r="CL157" s="170"/>
      <c r="CM157" s="170"/>
      <c r="CN157" s="170"/>
      <c r="CO157" s="170"/>
      <c r="CP157" s="170"/>
      <c r="CQ157" s="170"/>
      <c r="CR157" s="170"/>
      <c r="CS157" s="170"/>
      <c r="CT157" s="170"/>
      <c r="CU157" s="170"/>
      <c r="CV157" s="170"/>
      <c r="CW157" s="170"/>
      <c r="CX157" s="170"/>
      <c r="CY157" s="170"/>
      <c r="CZ157" s="170"/>
      <c r="DA157" s="170"/>
      <c r="DB157" s="170"/>
      <c r="DC157" s="170"/>
      <c r="DD157" s="170"/>
      <c r="DE157" s="170"/>
      <c r="DF157" s="170"/>
      <c r="DG157" s="170"/>
      <c r="DH157" s="170"/>
      <c r="DI157" s="170"/>
      <c r="DJ157" s="170"/>
      <c r="DK157" s="170"/>
      <c r="DL157" s="170"/>
      <c r="DM157" s="170"/>
      <c r="DN157" s="170"/>
      <c r="DO157" s="170"/>
      <c r="DP157" s="170"/>
      <c r="DQ157" s="170"/>
      <c r="DR157" s="170"/>
      <c r="DS157" s="170"/>
      <c r="DT157" s="170"/>
      <c r="DU157" s="170"/>
      <c r="DV157" s="170"/>
      <c r="DW157" s="170"/>
      <c r="DX157" s="170"/>
      <c r="DY157" s="170"/>
      <c r="DZ157" s="170"/>
      <c r="EA157" s="170"/>
      <c r="EB157" s="170"/>
      <c r="EC157" s="170"/>
      <c r="ED157" s="170"/>
      <c r="EE157" s="170"/>
      <c r="EF157" s="170"/>
      <c r="EG157" s="170"/>
      <c r="EH157" s="170"/>
      <c r="EI157" s="170"/>
      <c r="EJ157" s="170"/>
      <c r="EK157" s="170"/>
      <c r="EL157" s="170"/>
      <c r="EM157" s="170"/>
      <c r="EN157" s="170"/>
      <c r="EO157" s="170"/>
      <c r="EP157" s="170"/>
    </row>
    <row r="158" ht="15.75" customHeight="1">
      <c r="A158" s="170"/>
      <c r="B158" s="170"/>
      <c r="C158" s="170"/>
      <c r="D158" s="170"/>
      <c r="E158" s="170"/>
      <c r="F158" s="170"/>
      <c r="G158" s="170"/>
      <c r="H158" s="170"/>
      <c r="I158" s="170"/>
      <c r="J158" s="170"/>
      <c r="K158" s="170"/>
      <c r="L158" s="170"/>
      <c r="M158" s="170"/>
      <c r="N158" s="170"/>
      <c r="O158" s="170"/>
      <c r="P158" s="170"/>
      <c r="Q158" s="170"/>
      <c r="R158" s="170"/>
      <c r="S158" s="170"/>
      <c r="T158" s="170"/>
      <c r="U158" s="170"/>
      <c r="V158" s="170"/>
      <c r="W158" s="170"/>
      <c r="X158" s="170"/>
      <c r="Y158" s="170"/>
      <c r="Z158" s="170"/>
      <c r="AA158" s="170"/>
      <c r="AB158" s="170"/>
      <c r="AC158" s="170"/>
      <c r="AD158" s="170"/>
      <c r="AE158" s="170"/>
      <c r="AF158" s="170"/>
      <c r="AG158" s="170"/>
      <c r="AH158" s="170"/>
      <c r="AI158" s="170"/>
      <c r="AJ158" s="170"/>
      <c r="AK158" s="170"/>
      <c r="AL158" s="170"/>
      <c r="AM158" s="170"/>
      <c r="AN158" s="170"/>
      <c r="AO158" s="170"/>
      <c r="AP158" s="170"/>
      <c r="AQ158" s="170"/>
      <c r="AR158" s="170"/>
      <c r="AS158" s="170"/>
      <c r="AT158" s="170"/>
      <c r="AU158" s="170"/>
      <c r="AV158" s="170"/>
      <c r="AW158" s="170"/>
      <c r="AX158" s="170"/>
      <c r="AY158" s="170"/>
      <c r="AZ158" s="170"/>
      <c r="BA158" s="170"/>
      <c r="BB158" s="170"/>
      <c r="BC158" s="170"/>
      <c r="BD158" s="170"/>
      <c r="BE158" s="170"/>
      <c r="BF158" s="170"/>
      <c r="BG158" s="170"/>
      <c r="BH158" s="170"/>
      <c r="BI158" s="170"/>
      <c r="BJ158" s="170"/>
      <c r="BK158" s="170"/>
      <c r="BL158" s="170"/>
      <c r="BM158" s="170"/>
      <c r="BN158" s="170"/>
      <c r="BO158" s="170"/>
      <c r="BP158" s="170"/>
      <c r="BQ158" s="170"/>
      <c r="BR158" s="170"/>
      <c r="BS158" s="170"/>
      <c r="BT158" s="170"/>
      <c r="BU158" s="170"/>
      <c r="BV158" s="170"/>
      <c r="BW158" s="170"/>
      <c r="BX158" s="170"/>
      <c r="BY158" s="170"/>
      <c r="BZ158" s="170"/>
      <c r="CA158" s="170"/>
      <c r="CB158" s="170"/>
      <c r="CC158" s="170"/>
      <c r="CD158" s="170"/>
      <c r="CE158" s="170"/>
      <c r="CF158" s="170"/>
      <c r="CG158" s="170"/>
      <c r="CH158" s="170"/>
      <c r="CI158" s="170"/>
      <c r="CJ158" s="170"/>
      <c r="CK158" s="170"/>
      <c r="CL158" s="170"/>
      <c r="CM158" s="170"/>
      <c r="CN158" s="170"/>
      <c r="CO158" s="170"/>
      <c r="CP158" s="170"/>
      <c r="CQ158" s="170"/>
      <c r="CR158" s="170"/>
      <c r="CS158" s="170"/>
      <c r="CT158" s="170"/>
      <c r="CU158" s="170"/>
      <c r="CV158" s="170"/>
      <c r="CW158" s="170"/>
      <c r="CX158" s="170"/>
      <c r="CY158" s="170"/>
      <c r="CZ158" s="170"/>
      <c r="DA158" s="170"/>
      <c r="DB158" s="170"/>
      <c r="DC158" s="170"/>
      <c r="DD158" s="170"/>
      <c r="DE158" s="170"/>
      <c r="DF158" s="170"/>
      <c r="DG158" s="170"/>
      <c r="DH158" s="170"/>
      <c r="DI158" s="170"/>
      <c r="DJ158" s="170"/>
      <c r="DK158" s="170"/>
      <c r="DL158" s="170"/>
      <c r="DM158" s="170"/>
      <c r="DN158" s="170"/>
      <c r="DO158" s="170"/>
      <c r="DP158" s="170"/>
      <c r="DQ158" s="170"/>
      <c r="DR158" s="170"/>
      <c r="DS158" s="170"/>
      <c r="DT158" s="170"/>
      <c r="DU158" s="170"/>
      <c r="DV158" s="170"/>
      <c r="DW158" s="170"/>
      <c r="DX158" s="170"/>
      <c r="DY158" s="170"/>
      <c r="DZ158" s="170"/>
      <c r="EA158" s="170"/>
      <c r="EB158" s="170"/>
      <c r="EC158" s="170"/>
      <c r="ED158" s="170"/>
      <c r="EE158" s="170"/>
      <c r="EF158" s="170"/>
      <c r="EG158" s="170"/>
      <c r="EH158" s="170"/>
      <c r="EI158" s="170"/>
      <c r="EJ158" s="170"/>
      <c r="EK158" s="170"/>
      <c r="EL158" s="170"/>
      <c r="EM158" s="170"/>
      <c r="EN158" s="170"/>
      <c r="EO158" s="170"/>
      <c r="EP158" s="170"/>
    </row>
    <row r="159" ht="15.75" customHeight="1">
      <c r="A159" s="170"/>
      <c r="B159" s="170"/>
      <c r="C159" s="170"/>
      <c r="D159" s="170"/>
      <c r="E159" s="170"/>
      <c r="F159" s="170"/>
      <c r="G159" s="170"/>
      <c r="H159" s="170"/>
      <c r="I159" s="170"/>
      <c r="J159" s="170"/>
      <c r="K159" s="170"/>
      <c r="L159" s="170"/>
      <c r="M159" s="170"/>
      <c r="N159" s="170"/>
      <c r="O159" s="170"/>
      <c r="P159" s="170"/>
      <c r="Q159" s="170"/>
      <c r="R159" s="170"/>
      <c r="S159" s="170"/>
      <c r="T159" s="170"/>
      <c r="U159" s="170"/>
      <c r="V159" s="170"/>
      <c r="W159" s="170"/>
      <c r="X159" s="170"/>
      <c r="Y159" s="170"/>
      <c r="Z159" s="170"/>
      <c r="AA159" s="170"/>
      <c r="AB159" s="170"/>
      <c r="AC159" s="170"/>
      <c r="AD159" s="170"/>
      <c r="AE159" s="170"/>
      <c r="AF159" s="170"/>
      <c r="AG159" s="170"/>
      <c r="AH159" s="170"/>
      <c r="AI159" s="170"/>
      <c r="AJ159" s="170"/>
      <c r="AK159" s="170"/>
      <c r="AL159" s="170"/>
      <c r="AM159" s="170"/>
      <c r="AN159" s="170"/>
      <c r="AO159" s="170"/>
      <c r="AP159" s="170"/>
      <c r="AQ159" s="170"/>
      <c r="AR159" s="170"/>
      <c r="AS159" s="170"/>
      <c r="AT159" s="170"/>
      <c r="AU159" s="170"/>
      <c r="AV159" s="170"/>
      <c r="AW159" s="170"/>
      <c r="AX159" s="170"/>
      <c r="AY159" s="170"/>
      <c r="AZ159" s="170"/>
      <c r="BA159" s="170"/>
      <c r="BB159" s="170"/>
      <c r="BC159" s="170"/>
      <c r="BD159" s="170"/>
      <c r="BE159" s="170"/>
      <c r="BF159" s="170"/>
      <c r="BG159" s="170"/>
      <c r="BH159" s="170"/>
      <c r="BI159" s="170"/>
      <c r="BJ159" s="170"/>
      <c r="BK159" s="170"/>
      <c r="BL159" s="170"/>
      <c r="BM159" s="170"/>
      <c r="BN159" s="170"/>
      <c r="BO159" s="170"/>
      <c r="BP159" s="170"/>
      <c r="BQ159" s="170"/>
      <c r="BR159" s="170"/>
      <c r="BS159" s="170"/>
      <c r="BT159" s="170"/>
      <c r="BU159" s="170"/>
      <c r="BV159" s="170"/>
      <c r="BW159" s="170"/>
      <c r="BX159" s="170"/>
      <c r="BY159" s="170"/>
      <c r="BZ159" s="170"/>
      <c r="CA159" s="170"/>
      <c r="CB159" s="170"/>
      <c r="CC159" s="170"/>
      <c r="CD159" s="170"/>
      <c r="CE159" s="170"/>
      <c r="CF159" s="170"/>
      <c r="CG159" s="170"/>
      <c r="CH159" s="170"/>
      <c r="CI159" s="170"/>
      <c r="CJ159" s="170"/>
      <c r="CK159" s="170"/>
      <c r="CL159" s="170"/>
      <c r="CM159" s="170"/>
      <c r="CN159" s="170"/>
      <c r="CO159" s="170"/>
      <c r="CP159" s="170"/>
      <c r="CQ159" s="170"/>
      <c r="CR159" s="170"/>
      <c r="CS159" s="170"/>
      <c r="CT159" s="170"/>
      <c r="CU159" s="170"/>
      <c r="CV159" s="170"/>
      <c r="CW159" s="170"/>
      <c r="CX159" s="170"/>
      <c r="CY159" s="170"/>
      <c r="CZ159" s="170"/>
      <c r="DA159" s="170"/>
      <c r="DB159" s="170"/>
      <c r="DC159" s="170"/>
      <c r="DD159" s="170"/>
      <c r="DE159" s="170"/>
      <c r="DF159" s="170"/>
      <c r="DG159" s="170"/>
      <c r="DH159" s="170"/>
      <c r="DI159" s="170"/>
      <c r="DJ159" s="170"/>
      <c r="DK159" s="170"/>
      <c r="DL159" s="170"/>
      <c r="DM159" s="170"/>
      <c r="DN159" s="170"/>
      <c r="DO159" s="170"/>
      <c r="DP159" s="170"/>
      <c r="DQ159" s="170"/>
      <c r="DR159" s="170"/>
      <c r="DS159" s="170"/>
      <c r="DT159" s="170"/>
      <c r="DU159" s="170"/>
      <c r="DV159" s="170"/>
      <c r="DW159" s="170"/>
      <c r="DX159" s="170"/>
      <c r="DY159" s="170"/>
      <c r="DZ159" s="170"/>
      <c r="EA159" s="170"/>
      <c r="EB159" s="170"/>
      <c r="EC159" s="170"/>
      <c r="ED159" s="170"/>
      <c r="EE159" s="170"/>
      <c r="EF159" s="170"/>
      <c r="EG159" s="170"/>
      <c r="EH159" s="170"/>
      <c r="EI159" s="170"/>
      <c r="EJ159" s="170"/>
      <c r="EK159" s="170"/>
      <c r="EL159" s="170"/>
      <c r="EM159" s="170"/>
      <c r="EN159" s="170"/>
      <c r="EO159" s="170"/>
      <c r="EP159" s="170"/>
    </row>
    <row r="160" ht="15.75" customHeight="1">
      <c r="A160" s="170"/>
      <c r="B160" s="170"/>
      <c r="C160" s="170"/>
      <c r="D160" s="170"/>
      <c r="E160" s="170"/>
      <c r="F160" s="170"/>
      <c r="G160" s="170"/>
      <c r="H160" s="170"/>
      <c r="I160" s="170"/>
      <c r="J160" s="170"/>
      <c r="K160" s="170"/>
      <c r="L160" s="170"/>
      <c r="M160" s="170"/>
      <c r="N160" s="170"/>
      <c r="O160" s="170"/>
      <c r="P160" s="170"/>
      <c r="Q160" s="170"/>
      <c r="R160" s="170"/>
      <c r="S160" s="170"/>
      <c r="T160" s="170"/>
      <c r="U160" s="170"/>
      <c r="V160" s="170"/>
      <c r="W160" s="170"/>
      <c r="X160" s="170"/>
      <c r="Y160" s="170"/>
      <c r="Z160" s="170"/>
      <c r="AA160" s="170"/>
      <c r="AB160" s="170"/>
      <c r="AC160" s="170"/>
      <c r="AD160" s="170"/>
      <c r="AE160" s="170"/>
      <c r="AF160" s="170"/>
      <c r="AG160" s="170"/>
      <c r="AH160" s="170"/>
      <c r="AI160" s="170"/>
      <c r="AJ160" s="170"/>
      <c r="AK160" s="170"/>
      <c r="AL160" s="170"/>
      <c r="AM160" s="170"/>
      <c r="AN160" s="170"/>
      <c r="AO160" s="170"/>
      <c r="AP160" s="170"/>
      <c r="AQ160" s="170"/>
      <c r="AR160" s="170"/>
      <c r="AS160" s="170"/>
      <c r="AT160" s="170"/>
      <c r="AU160" s="170"/>
      <c r="AV160" s="170"/>
      <c r="AW160" s="170"/>
      <c r="AX160" s="170"/>
      <c r="AY160" s="170"/>
      <c r="AZ160" s="170"/>
      <c r="BA160" s="170"/>
      <c r="BB160" s="170"/>
      <c r="BC160" s="170"/>
      <c r="BD160" s="170"/>
      <c r="BE160" s="170"/>
      <c r="BF160" s="170"/>
      <c r="BG160" s="170"/>
      <c r="BH160" s="170"/>
      <c r="BI160" s="170"/>
      <c r="BJ160" s="170"/>
      <c r="BK160" s="170"/>
      <c r="BL160" s="170"/>
      <c r="BM160" s="170"/>
      <c r="BN160" s="170"/>
      <c r="BO160" s="170"/>
      <c r="BP160" s="170"/>
      <c r="BQ160" s="170"/>
      <c r="BR160" s="170"/>
      <c r="BS160" s="170"/>
      <c r="BT160" s="170"/>
      <c r="BU160" s="170"/>
      <c r="BV160" s="170"/>
      <c r="BW160" s="170"/>
      <c r="BX160" s="170"/>
      <c r="BY160" s="170"/>
      <c r="BZ160" s="170"/>
      <c r="CA160" s="170"/>
      <c r="CB160" s="170"/>
      <c r="CC160" s="170"/>
      <c r="CD160" s="170"/>
      <c r="CE160" s="170"/>
      <c r="CF160" s="170"/>
      <c r="CG160" s="170"/>
      <c r="CH160" s="170"/>
      <c r="CI160" s="170"/>
      <c r="CJ160" s="170"/>
      <c r="CK160" s="170"/>
      <c r="CL160" s="170"/>
      <c r="CM160" s="170"/>
      <c r="CN160" s="170"/>
      <c r="CO160" s="170"/>
      <c r="CP160" s="170"/>
      <c r="CQ160" s="170"/>
      <c r="CR160" s="170"/>
      <c r="CS160" s="170"/>
      <c r="CT160" s="170"/>
      <c r="CU160" s="170"/>
      <c r="CV160" s="170"/>
      <c r="CW160" s="170"/>
      <c r="CX160" s="170"/>
      <c r="CY160" s="170"/>
      <c r="CZ160" s="170"/>
      <c r="DA160" s="170"/>
      <c r="DB160" s="170"/>
      <c r="DC160" s="170"/>
      <c r="DD160" s="170"/>
      <c r="DE160" s="170"/>
      <c r="DF160" s="170"/>
      <c r="DG160" s="170"/>
      <c r="DH160" s="170"/>
      <c r="DI160" s="170"/>
      <c r="DJ160" s="170"/>
      <c r="DK160" s="170"/>
      <c r="DL160" s="170"/>
      <c r="DM160" s="170"/>
      <c r="DN160" s="170"/>
      <c r="DO160" s="170"/>
      <c r="DP160" s="170"/>
      <c r="DQ160" s="170"/>
      <c r="DR160" s="170"/>
      <c r="DS160" s="170"/>
      <c r="DT160" s="170"/>
      <c r="DU160" s="170"/>
      <c r="DV160" s="170"/>
      <c r="DW160" s="170"/>
      <c r="DX160" s="170"/>
      <c r="DY160" s="170"/>
      <c r="DZ160" s="170"/>
      <c r="EA160" s="170"/>
      <c r="EB160" s="170"/>
      <c r="EC160" s="170"/>
      <c r="ED160" s="170"/>
      <c r="EE160" s="170"/>
      <c r="EF160" s="170"/>
      <c r="EG160" s="170"/>
      <c r="EH160" s="170"/>
      <c r="EI160" s="170"/>
      <c r="EJ160" s="170"/>
      <c r="EK160" s="170"/>
      <c r="EL160" s="170"/>
      <c r="EM160" s="170"/>
      <c r="EN160" s="170"/>
      <c r="EO160" s="170"/>
      <c r="EP160" s="170"/>
    </row>
    <row r="161" ht="15.75" customHeight="1">
      <c r="A161" s="170"/>
      <c r="B161" s="170"/>
      <c r="C161" s="170"/>
      <c r="D161" s="170"/>
      <c r="E161" s="170"/>
      <c r="F161" s="170"/>
      <c r="G161" s="170"/>
      <c r="H161" s="170"/>
      <c r="I161" s="170"/>
      <c r="J161" s="170"/>
      <c r="K161" s="170"/>
      <c r="L161" s="170"/>
      <c r="M161" s="170"/>
      <c r="N161" s="170"/>
      <c r="O161" s="170"/>
      <c r="P161" s="170"/>
      <c r="Q161" s="170"/>
      <c r="R161" s="170"/>
      <c r="S161" s="170"/>
      <c r="T161" s="170"/>
      <c r="U161" s="170"/>
      <c r="V161" s="170"/>
      <c r="W161" s="170"/>
      <c r="X161" s="170"/>
      <c r="Y161" s="170"/>
      <c r="Z161" s="170"/>
      <c r="AA161" s="170"/>
      <c r="AB161" s="170"/>
      <c r="AC161" s="170"/>
      <c r="AD161" s="170"/>
      <c r="AE161" s="170"/>
      <c r="AF161" s="170"/>
      <c r="AG161" s="170"/>
      <c r="AH161" s="170"/>
      <c r="AI161" s="170"/>
      <c r="AJ161" s="170"/>
      <c r="AK161" s="170"/>
      <c r="AL161" s="170"/>
      <c r="AM161" s="170"/>
      <c r="AN161" s="170"/>
      <c r="AO161" s="170"/>
      <c r="AP161" s="170"/>
      <c r="AQ161" s="170"/>
      <c r="AR161" s="170"/>
      <c r="AS161" s="170"/>
      <c r="AT161" s="170"/>
      <c r="AU161" s="170"/>
      <c r="AV161" s="170"/>
      <c r="AW161" s="170"/>
      <c r="AX161" s="170"/>
      <c r="AY161" s="170"/>
      <c r="AZ161" s="170"/>
      <c r="BA161" s="170"/>
      <c r="BB161" s="170"/>
      <c r="BC161" s="170"/>
      <c r="BD161" s="170"/>
      <c r="BE161" s="170"/>
      <c r="BF161" s="170"/>
      <c r="BG161" s="170"/>
      <c r="BH161" s="170"/>
      <c r="BI161" s="170"/>
      <c r="BJ161" s="170"/>
      <c r="BK161" s="170"/>
      <c r="BL161" s="170"/>
      <c r="BM161" s="170"/>
      <c r="BN161" s="170"/>
      <c r="BO161" s="170"/>
      <c r="BP161" s="170"/>
      <c r="BQ161" s="170"/>
      <c r="BR161" s="170"/>
      <c r="BS161" s="170"/>
      <c r="BT161" s="170"/>
      <c r="BU161" s="170"/>
      <c r="BV161" s="170"/>
      <c r="BW161" s="170"/>
      <c r="BX161" s="170"/>
      <c r="BY161" s="170"/>
      <c r="BZ161" s="170"/>
      <c r="CA161" s="170"/>
      <c r="CB161" s="170"/>
      <c r="CC161" s="170"/>
      <c r="CD161" s="170"/>
      <c r="CE161" s="170"/>
      <c r="CF161" s="170"/>
      <c r="CG161" s="170"/>
      <c r="CH161" s="170"/>
      <c r="CI161" s="170"/>
      <c r="CJ161" s="170"/>
      <c r="CK161" s="170"/>
      <c r="CL161" s="170"/>
      <c r="CM161" s="170"/>
      <c r="CN161" s="170"/>
      <c r="CO161" s="170"/>
      <c r="CP161" s="170"/>
      <c r="CQ161" s="170"/>
      <c r="CR161" s="170"/>
      <c r="CS161" s="170"/>
      <c r="CT161" s="170"/>
      <c r="CU161" s="170"/>
      <c r="CV161" s="170"/>
      <c r="CW161" s="170"/>
      <c r="CX161" s="170"/>
      <c r="CY161" s="170"/>
      <c r="CZ161" s="170"/>
      <c r="DA161" s="170"/>
      <c r="DB161" s="170"/>
      <c r="DC161" s="170"/>
      <c r="DD161" s="170"/>
      <c r="DE161" s="170"/>
      <c r="DF161" s="170"/>
      <c r="DG161" s="170"/>
      <c r="DH161" s="170"/>
      <c r="DI161" s="170"/>
      <c r="DJ161" s="170"/>
      <c r="DK161" s="170"/>
      <c r="DL161" s="170"/>
      <c r="DM161" s="170"/>
      <c r="DN161" s="170"/>
      <c r="DO161" s="170"/>
      <c r="DP161" s="170"/>
      <c r="DQ161" s="170"/>
      <c r="DR161" s="170"/>
      <c r="DS161" s="170"/>
      <c r="DT161" s="170"/>
      <c r="DU161" s="170"/>
      <c r="DV161" s="170"/>
      <c r="DW161" s="170"/>
      <c r="DX161" s="170"/>
      <c r="DY161" s="170"/>
      <c r="DZ161" s="170"/>
      <c r="EA161" s="170"/>
      <c r="EB161" s="170"/>
      <c r="EC161" s="170"/>
      <c r="ED161" s="170"/>
      <c r="EE161" s="170"/>
      <c r="EF161" s="170"/>
      <c r="EG161" s="170"/>
      <c r="EH161" s="170"/>
      <c r="EI161" s="170"/>
      <c r="EJ161" s="170"/>
      <c r="EK161" s="170"/>
      <c r="EL161" s="170"/>
      <c r="EM161" s="170"/>
      <c r="EN161" s="170"/>
      <c r="EO161" s="170"/>
      <c r="EP161" s="170"/>
    </row>
    <row r="162" ht="15.75" customHeight="1">
      <c r="A162" s="170"/>
      <c r="B162" s="170"/>
      <c r="C162" s="170"/>
      <c r="D162" s="170"/>
      <c r="E162" s="170"/>
      <c r="F162" s="170"/>
      <c r="G162" s="170"/>
      <c r="H162" s="170"/>
      <c r="I162" s="170"/>
      <c r="J162" s="170"/>
      <c r="K162" s="170"/>
      <c r="L162" s="170"/>
      <c r="M162" s="170"/>
      <c r="N162" s="170"/>
      <c r="O162" s="170"/>
      <c r="P162" s="170"/>
      <c r="Q162" s="170"/>
      <c r="R162" s="170"/>
      <c r="S162" s="170"/>
      <c r="T162" s="170"/>
      <c r="U162" s="170"/>
      <c r="V162" s="170"/>
      <c r="W162" s="170"/>
      <c r="X162" s="170"/>
      <c r="Y162" s="170"/>
      <c r="Z162" s="170"/>
      <c r="AA162" s="170"/>
      <c r="AB162" s="170"/>
      <c r="AC162" s="170"/>
      <c r="AD162" s="170"/>
      <c r="AE162" s="170"/>
      <c r="AF162" s="170"/>
      <c r="AG162" s="170"/>
      <c r="AH162" s="170"/>
      <c r="AI162" s="170"/>
      <c r="AJ162" s="170"/>
      <c r="AK162" s="170"/>
      <c r="AL162" s="170"/>
      <c r="AM162" s="170"/>
      <c r="AN162" s="170"/>
      <c r="AO162" s="170"/>
      <c r="AP162" s="170"/>
      <c r="AQ162" s="170"/>
      <c r="AR162" s="170"/>
      <c r="AS162" s="170"/>
      <c r="AT162" s="170"/>
      <c r="AU162" s="170"/>
      <c r="AV162" s="170"/>
      <c r="AW162" s="170"/>
      <c r="AX162" s="170"/>
      <c r="AY162" s="170"/>
      <c r="AZ162" s="170"/>
      <c r="BA162" s="170"/>
      <c r="BB162" s="170"/>
      <c r="BC162" s="170"/>
      <c r="BD162" s="170"/>
      <c r="BE162" s="170"/>
      <c r="BF162" s="170"/>
      <c r="BG162" s="170"/>
      <c r="BH162" s="170"/>
      <c r="BI162" s="170"/>
      <c r="BJ162" s="170"/>
      <c r="BK162" s="170"/>
      <c r="BL162" s="170"/>
      <c r="BM162" s="170"/>
      <c r="BN162" s="170"/>
      <c r="BO162" s="170"/>
      <c r="BP162" s="170"/>
      <c r="BQ162" s="170"/>
      <c r="BR162" s="170"/>
      <c r="BS162" s="170"/>
      <c r="BT162" s="170"/>
      <c r="BU162" s="170"/>
      <c r="BV162" s="170"/>
      <c r="BW162" s="170"/>
      <c r="BX162" s="170"/>
      <c r="BY162" s="170"/>
      <c r="BZ162" s="170"/>
      <c r="CA162" s="170"/>
      <c r="CB162" s="170"/>
      <c r="CC162" s="170"/>
      <c r="CD162" s="170"/>
      <c r="CE162" s="170"/>
      <c r="CF162" s="170"/>
      <c r="CG162" s="170"/>
      <c r="CH162" s="170"/>
      <c r="CI162" s="170"/>
      <c r="CJ162" s="170"/>
      <c r="CK162" s="170"/>
      <c r="CL162" s="170"/>
      <c r="CM162" s="170"/>
      <c r="CN162" s="170"/>
      <c r="CO162" s="170"/>
      <c r="CP162" s="170"/>
      <c r="CQ162" s="170"/>
      <c r="CR162" s="170"/>
      <c r="CS162" s="170"/>
      <c r="CT162" s="170"/>
      <c r="CU162" s="170"/>
      <c r="CV162" s="170"/>
      <c r="CW162" s="170"/>
      <c r="CX162" s="170"/>
      <c r="CY162" s="170"/>
      <c r="CZ162" s="170"/>
      <c r="DA162" s="170"/>
      <c r="DB162" s="170"/>
      <c r="DC162" s="170"/>
      <c r="DD162" s="170"/>
      <c r="DE162" s="170"/>
      <c r="DF162" s="170"/>
      <c r="DG162" s="170"/>
      <c r="DH162" s="170"/>
      <c r="DI162" s="170"/>
      <c r="DJ162" s="170"/>
      <c r="DK162" s="170"/>
      <c r="DL162" s="170"/>
      <c r="DM162" s="170"/>
      <c r="DN162" s="170"/>
      <c r="DO162" s="170"/>
      <c r="DP162" s="170"/>
      <c r="DQ162" s="170"/>
      <c r="DR162" s="170"/>
      <c r="DS162" s="170"/>
      <c r="DT162" s="170"/>
      <c r="DU162" s="170"/>
      <c r="DV162" s="170"/>
      <c r="DW162" s="170"/>
      <c r="DX162" s="170"/>
      <c r="DY162" s="170"/>
      <c r="DZ162" s="170"/>
      <c r="EA162" s="170"/>
      <c r="EB162" s="170"/>
      <c r="EC162" s="170"/>
      <c r="ED162" s="170"/>
      <c r="EE162" s="170"/>
      <c r="EF162" s="170"/>
      <c r="EG162" s="170"/>
      <c r="EH162" s="170"/>
      <c r="EI162" s="170"/>
      <c r="EJ162" s="170"/>
      <c r="EK162" s="170"/>
      <c r="EL162" s="170"/>
      <c r="EM162" s="170"/>
      <c r="EN162" s="170"/>
      <c r="EO162" s="170"/>
      <c r="EP162" s="170"/>
    </row>
    <row r="163" ht="15.75" customHeight="1">
      <c r="A163" s="170"/>
      <c r="B163" s="170"/>
      <c r="C163" s="170"/>
      <c r="D163" s="170"/>
      <c r="E163" s="170"/>
      <c r="F163" s="170"/>
      <c r="G163" s="170"/>
      <c r="H163" s="170"/>
      <c r="I163" s="170"/>
      <c r="J163" s="170"/>
      <c r="K163" s="170"/>
      <c r="L163" s="170"/>
      <c r="M163" s="170"/>
      <c r="N163" s="170"/>
      <c r="O163" s="170"/>
      <c r="P163" s="170"/>
      <c r="Q163" s="170"/>
      <c r="R163" s="170"/>
      <c r="S163" s="170"/>
      <c r="T163" s="170"/>
      <c r="U163" s="170"/>
      <c r="V163" s="170"/>
      <c r="W163" s="170"/>
      <c r="X163" s="170"/>
      <c r="Y163" s="170"/>
      <c r="Z163" s="170"/>
      <c r="AA163" s="170"/>
      <c r="AB163" s="170"/>
      <c r="AC163" s="170"/>
      <c r="AD163" s="170"/>
      <c r="AE163" s="170"/>
      <c r="AF163" s="170"/>
      <c r="AG163" s="170"/>
      <c r="AH163" s="170"/>
      <c r="AI163" s="170"/>
      <c r="AJ163" s="170"/>
      <c r="AK163" s="170"/>
      <c r="AL163" s="170"/>
      <c r="AM163" s="170"/>
      <c r="AN163" s="170"/>
      <c r="AO163" s="170"/>
      <c r="AP163" s="170"/>
      <c r="AQ163" s="170"/>
      <c r="AR163" s="170"/>
      <c r="AS163" s="170"/>
      <c r="AT163" s="170"/>
      <c r="AU163" s="170"/>
      <c r="AV163" s="170"/>
      <c r="AW163" s="170"/>
      <c r="AX163" s="170"/>
      <c r="AY163" s="170"/>
      <c r="AZ163" s="170"/>
      <c r="BA163" s="170"/>
      <c r="BB163" s="170"/>
      <c r="BC163" s="170"/>
      <c r="BD163" s="170"/>
      <c r="BE163" s="170"/>
      <c r="BF163" s="170"/>
      <c r="BG163" s="170"/>
      <c r="BH163" s="170"/>
      <c r="BI163" s="170"/>
      <c r="BJ163" s="170"/>
      <c r="BK163" s="170"/>
      <c r="BL163" s="170"/>
      <c r="BM163" s="170"/>
      <c r="BN163" s="170"/>
      <c r="BO163" s="170"/>
      <c r="BP163" s="170"/>
      <c r="BQ163" s="170"/>
      <c r="BR163" s="170"/>
      <c r="BS163" s="170"/>
      <c r="BT163" s="170"/>
      <c r="BU163" s="170"/>
      <c r="BV163" s="170"/>
      <c r="BW163" s="170"/>
      <c r="BX163" s="170"/>
      <c r="BY163" s="170"/>
      <c r="BZ163" s="170"/>
      <c r="CA163" s="170"/>
      <c r="CB163" s="170"/>
      <c r="CC163" s="170"/>
      <c r="CD163" s="170"/>
      <c r="CE163" s="170"/>
      <c r="CF163" s="170"/>
      <c r="CG163" s="170"/>
      <c r="CH163" s="170"/>
      <c r="CI163" s="170"/>
      <c r="CJ163" s="170"/>
      <c r="CK163" s="170"/>
      <c r="CL163" s="170"/>
      <c r="CM163" s="170"/>
      <c r="CN163" s="170"/>
      <c r="CO163" s="170"/>
      <c r="CP163" s="170"/>
      <c r="CQ163" s="170"/>
      <c r="CR163" s="170"/>
      <c r="CS163" s="170"/>
      <c r="CT163" s="170"/>
      <c r="CU163" s="170"/>
      <c r="CV163" s="170"/>
      <c r="CW163" s="170"/>
      <c r="CX163" s="170"/>
      <c r="CY163" s="170"/>
      <c r="CZ163" s="170"/>
      <c r="DA163" s="170"/>
      <c r="DB163" s="170"/>
      <c r="DC163" s="170"/>
      <c r="DD163" s="170"/>
      <c r="DE163" s="170"/>
      <c r="DF163" s="170"/>
      <c r="DG163" s="170"/>
      <c r="DH163" s="170"/>
      <c r="DI163" s="170"/>
      <c r="DJ163" s="170"/>
      <c r="DK163" s="170"/>
      <c r="DL163" s="170"/>
      <c r="DM163" s="170"/>
      <c r="DN163" s="170"/>
      <c r="DO163" s="170"/>
      <c r="DP163" s="170"/>
      <c r="DQ163" s="170"/>
      <c r="DR163" s="170"/>
      <c r="DS163" s="170"/>
      <c r="DT163" s="170"/>
      <c r="DU163" s="170"/>
      <c r="DV163" s="170"/>
      <c r="DW163" s="170"/>
      <c r="DX163" s="170"/>
      <c r="DY163" s="170"/>
      <c r="DZ163" s="170"/>
      <c r="EA163" s="170"/>
      <c r="EB163" s="170"/>
      <c r="EC163" s="170"/>
      <c r="ED163" s="170"/>
      <c r="EE163" s="170"/>
      <c r="EF163" s="170"/>
      <c r="EG163" s="170"/>
      <c r="EH163" s="170"/>
      <c r="EI163" s="170"/>
      <c r="EJ163" s="170"/>
      <c r="EK163" s="170"/>
      <c r="EL163" s="170"/>
      <c r="EM163" s="170"/>
      <c r="EN163" s="170"/>
      <c r="EO163" s="170"/>
      <c r="EP163" s="170"/>
    </row>
    <row r="164" ht="15.75" customHeight="1">
      <c r="A164" s="170"/>
      <c r="B164" s="170"/>
      <c r="C164" s="170"/>
      <c r="D164" s="170"/>
      <c r="E164" s="170"/>
      <c r="F164" s="170"/>
      <c r="G164" s="170"/>
      <c r="H164" s="170"/>
      <c r="I164" s="170"/>
      <c r="J164" s="170"/>
      <c r="K164" s="170"/>
      <c r="L164" s="170"/>
      <c r="M164" s="170"/>
      <c r="N164" s="170"/>
      <c r="O164" s="170"/>
      <c r="P164" s="170"/>
      <c r="Q164" s="170"/>
      <c r="R164" s="170"/>
      <c r="S164" s="170"/>
      <c r="T164" s="170"/>
      <c r="U164" s="170"/>
      <c r="V164" s="170"/>
      <c r="W164" s="170"/>
      <c r="X164" s="170"/>
      <c r="Y164" s="170"/>
      <c r="Z164" s="170"/>
      <c r="AA164" s="170"/>
      <c r="AB164" s="170"/>
      <c r="AC164" s="170"/>
      <c r="AD164" s="170"/>
      <c r="AE164" s="170"/>
      <c r="AF164" s="170"/>
      <c r="AG164" s="170"/>
      <c r="AH164" s="170"/>
      <c r="AI164" s="170"/>
      <c r="AJ164" s="170"/>
      <c r="AK164" s="170"/>
      <c r="AL164" s="170"/>
      <c r="AM164" s="170"/>
      <c r="AN164" s="170"/>
      <c r="AO164" s="170"/>
      <c r="AP164" s="170"/>
      <c r="AQ164" s="170"/>
      <c r="AR164" s="170"/>
      <c r="AS164" s="170"/>
      <c r="AT164" s="170"/>
      <c r="AU164" s="170"/>
      <c r="AV164" s="170"/>
      <c r="AW164" s="170"/>
      <c r="AX164" s="170"/>
      <c r="AY164" s="170"/>
      <c r="AZ164" s="170"/>
      <c r="BA164" s="170"/>
      <c r="BB164" s="170"/>
      <c r="BC164" s="170"/>
      <c r="BD164" s="170"/>
      <c r="BE164" s="170"/>
      <c r="BF164" s="170"/>
      <c r="BG164" s="170"/>
      <c r="BH164" s="170"/>
      <c r="BI164" s="170"/>
      <c r="BJ164" s="170"/>
      <c r="BK164" s="170"/>
      <c r="BL164" s="170"/>
      <c r="BM164" s="170"/>
      <c r="BN164" s="170"/>
      <c r="BO164" s="170"/>
      <c r="BP164" s="170"/>
      <c r="BQ164" s="170"/>
      <c r="BR164" s="170"/>
      <c r="BS164" s="170"/>
      <c r="BT164" s="170"/>
      <c r="BU164" s="170"/>
      <c r="BV164" s="170"/>
      <c r="BW164" s="170"/>
      <c r="BX164" s="170"/>
      <c r="BY164" s="170"/>
      <c r="BZ164" s="170"/>
      <c r="CA164" s="170"/>
      <c r="CB164" s="170"/>
      <c r="CC164" s="170"/>
      <c r="CD164" s="170"/>
      <c r="CE164" s="170"/>
      <c r="CF164" s="170"/>
      <c r="CG164" s="170"/>
      <c r="CH164" s="170"/>
      <c r="CI164" s="170"/>
      <c r="CJ164" s="170"/>
      <c r="CK164" s="170"/>
      <c r="CL164" s="170"/>
      <c r="CM164" s="170"/>
      <c r="CN164" s="170"/>
      <c r="CO164" s="170"/>
      <c r="CP164" s="170"/>
      <c r="CQ164" s="170"/>
      <c r="CR164" s="170"/>
      <c r="CS164" s="170"/>
      <c r="CT164" s="170"/>
      <c r="CU164" s="170"/>
      <c r="CV164" s="170"/>
      <c r="CW164" s="170"/>
      <c r="CX164" s="170"/>
      <c r="CY164" s="170"/>
      <c r="CZ164" s="170"/>
      <c r="DA164" s="170"/>
      <c r="DB164" s="170"/>
      <c r="DC164" s="170"/>
      <c r="DD164" s="170"/>
      <c r="DE164" s="170"/>
      <c r="DF164" s="170"/>
      <c r="DG164" s="170"/>
      <c r="DH164" s="170"/>
      <c r="DI164" s="170"/>
      <c r="DJ164" s="170"/>
      <c r="DK164" s="170"/>
      <c r="DL164" s="170"/>
      <c r="DM164" s="170"/>
      <c r="DN164" s="170"/>
      <c r="DO164" s="170"/>
      <c r="DP164" s="170"/>
      <c r="DQ164" s="170"/>
      <c r="DR164" s="170"/>
      <c r="DS164" s="170"/>
      <c r="DT164" s="170"/>
      <c r="DU164" s="170"/>
      <c r="DV164" s="170"/>
      <c r="DW164" s="170"/>
      <c r="DX164" s="170"/>
      <c r="DY164" s="170"/>
      <c r="DZ164" s="170"/>
      <c r="EA164" s="170"/>
      <c r="EB164" s="170"/>
      <c r="EC164" s="170"/>
      <c r="ED164" s="170"/>
      <c r="EE164" s="170"/>
      <c r="EF164" s="170"/>
      <c r="EG164" s="170"/>
      <c r="EH164" s="170"/>
      <c r="EI164" s="170"/>
      <c r="EJ164" s="170"/>
      <c r="EK164" s="170"/>
      <c r="EL164" s="170"/>
      <c r="EM164" s="170"/>
      <c r="EN164" s="170"/>
      <c r="EO164" s="170"/>
      <c r="EP164" s="170"/>
    </row>
    <row r="165" ht="15.75" customHeight="1">
      <c r="A165" s="170"/>
      <c r="B165" s="170"/>
      <c r="C165" s="170"/>
      <c r="D165" s="170"/>
      <c r="E165" s="170"/>
      <c r="F165" s="170"/>
      <c r="G165" s="170"/>
      <c r="H165" s="170"/>
      <c r="I165" s="170"/>
      <c r="J165" s="170"/>
      <c r="K165" s="170"/>
      <c r="L165" s="170"/>
      <c r="M165" s="170"/>
      <c r="N165" s="170"/>
      <c r="O165" s="170"/>
      <c r="P165" s="170"/>
      <c r="Q165" s="170"/>
      <c r="R165" s="170"/>
      <c r="S165" s="170"/>
      <c r="T165" s="170"/>
      <c r="U165" s="170"/>
      <c r="V165" s="170"/>
      <c r="W165" s="170"/>
      <c r="X165" s="170"/>
      <c r="Y165" s="170"/>
      <c r="Z165" s="170"/>
      <c r="AA165" s="170"/>
      <c r="AB165" s="170"/>
      <c r="AC165" s="170"/>
      <c r="AD165" s="170"/>
      <c r="AE165" s="170"/>
      <c r="AF165" s="170"/>
      <c r="AG165" s="170"/>
      <c r="AH165" s="170"/>
      <c r="AI165" s="170"/>
      <c r="AJ165" s="170"/>
      <c r="AK165" s="170"/>
      <c r="AL165" s="170"/>
      <c r="AM165" s="170"/>
      <c r="AN165" s="170"/>
      <c r="AO165" s="170"/>
      <c r="AP165" s="170"/>
      <c r="AQ165" s="170"/>
      <c r="AR165" s="170"/>
      <c r="AS165" s="170"/>
      <c r="AT165" s="170"/>
      <c r="AU165" s="170"/>
      <c r="AV165" s="170"/>
      <c r="AW165" s="170"/>
      <c r="AX165" s="170"/>
      <c r="AY165" s="170"/>
      <c r="AZ165" s="170"/>
      <c r="BA165" s="170"/>
      <c r="BB165" s="170"/>
      <c r="BC165" s="170"/>
      <c r="BD165" s="170"/>
      <c r="BE165" s="170"/>
      <c r="BF165" s="170"/>
      <c r="BG165" s="170"/>
      <c r="BH165" s="170"/>
      <c r="BI165" s="170"/>
      <c r="BJ165" s="170"/>
      <c r="BK165" s="170"/>
      <c r="BL165" s="170"/>
      <c r="BM165" s="170"/>
      <c r="BN165" s="170"/>
      <c r="BO165" s="170"/>
      <c r="BP165" s="170"/>
      <c r="BQ165" s="170"/>
      <c r="BR165" s="170"/>
      <c r="BS165" s="170"/>
      <c r="BT165" s="170"/>
      <c r="BU165" s="170"/>
      <c r="BV165" s="170"/>
      <c r="BW165" s="170"/>
      <c r="BX165" s="170"/>
      <c r="BY165" s="170"/>
      <c r="BZ165" s="170"/>
      <c r="CA165" s="170"/>
      <c r="CB165" s="170"/>
      <c r="CC165" s="170"/>
      <c r="CD165" s="170"/>
      <c r="CE165" s="170"/>
      <c r="CF165" s="170"/>
      <c r="CG165" s="170"/>
      <c r="CH165" s="170"/>
      <c r="CI165" s="170"/>
      <c r="CJ165" s="170"/>
      <c r="CK165" s="170"/>
      <c r="CL165" s="170"/>
      <c r="CM165" s="170"/>
      <c r="CN165" s="170"/>
      <c r="CO165" s="170"/>
      <c r="CP165" s="170"/>
      <c r="CQ165" s="170"/>
      <c r="CR165" s="170"/>
      <c r="CS165" s="170"/>
      <c r="CT165" s="170"/>
      <c r="CU165" s="170"/>
      <c r="CV165" s="170"/>
      <c r="CW165" s="170"/>
      <c r="CX165" s="170"/>
      <c r="CY165" s="170"/>
      <c r="CZ165" s="170"/>
      <c r="DA165" s="170"/>
      <c r="DB165" s="170"/>
      <c r="DC165" s="170"/>
      <c r="DD165" s="170"/>
      <c r="DE165" s="170"/>
      <c r="DF165" s="170"/>
      <c r="DG165" s="170"/>
      <c r="DH165" s="170"/>
      <c r="DI165" s="170"/>
      <c r="DJ165" s="170"/>
      <c r="DK165" s="170"/>
      <c r="DL165" s="170"/>
      <c r="DM165" s="170"/>
      <c r="DN165" s="170"/>
      <c r="DO165" s="170"/>
      <c r="DP165" s="170"/>
      <c r="DQ165" s="170"/>
      <c r="DR165" s="170"/>
      <c r="DS165" s="170"/>
      <c r="DT165" s="170"/>
      <c r="DU165" s="170"/>
      <c r="DV165" s="170"/>
      <c r="DW165" s="170"/>
      <c r="DX165" s="170"/>
      <c r="DY165" s="170"/>
      <c r="DZ165" s="170"/>
      <c r="EA165" s="170"/>
      <c r="EB165" s="170"/>
      <c r="EC165" s="170"/>
      <c r="ED165" s="170"/>
      <c r="EE165" s="170"/>
      <c r="EF165" s="170"/>
      <c r="EG165" s="170"/>
      <c r="EH165" s="170"/>
      <c r="EI165" s="170"/>
      <c r="EJ165" s="170"/>
      <c r="EK165" s="170"/>
      <c r="EL165" s="170"/>
      <c r="EM165" s="170"/>
      <c r="EN165" s="170"/>
      <c r="EO165" s="170"/>
      <c r="EP165" s="170"/>
    </row>
    <row r="166" ht="15.75" customHeight="1">
      <c r="A166" s="170"/>
      <c r="B166" s="170"/>
      <c r="C166" s="170"/>
      <c r="D166" s="170"/>
      <c r="E166" s="170"/>
      <c r="F166" s="170"/>
      <c r="G166" s="170"/>
      <c r="H166" s="170"/>
      <c r="I166" s="170"/>
      <c r="J166" s="170"/>
      <c r="K166" s="170"/>
      <c r="L166" s="170"/>
      <c r="M166" s="170"/>
      <c r="N166" s="170"/>
      <c r="O166" s="170"/>
      <c r="P166" s="170"/>
      <c r="Q166" s="170"/>
      <c r="R166" s="170"/>
      <c r="S166" s="170"/>
      <c r="T166" s="170"/>
      <c r="U166" s="170"/>
      <c r="V166" s="170"/>
      <c r="W166" s="170"/>
      <c r="X166" s="170"/>
      <c r="Y166" s="170"/>
      <c r="Z166" s="170"/>
      <c r="AA166" s="170"/>
      <c r="AB166" s="170"/>
      <c r="AC166" s="170"/>
      <c r="AD166" s="170"/>
      <c r="AE166" s="170"/>
      <c r="AF166" s="170"/>
      <c r="AG166" s="170"/>
      <c r="AH166" s="170"/>
      <c r="AI166" s="170"/>
      <c r="AJ166" s="170"/>
      <c r="AK166" s="170"/>
      <c r="AL166" s="170"/>
      <c r="AM166" s="170"/>
      <c r="AN166" s="170"/>
      <c r="AO166" s="170"/>
      <c r="AP166" s="170"/>
      <c r="AQ166" s="170"/>
      <c r="AR166" s="170"/>
      <c r="AS166" s="170"/>
      <c r="AT166" s="170"/>
      <c r="AU166" s="170"/>
      <c r="AV166" s="170"/>
      <c r="AW166" s="170"/>
      <c r="AX166" s="170"/>
      <c r="AY166" s="170"/>
      <c r="AZ166" s="170"/>
      <c r="BA166" s="170"/>
      <c r="BB166" s="170"/>
      <c r="BC166" s="170"/>
      <c r="BD166" s="170"/>
      <c r="BE166" s="170"/>
      <c r="BF166" s="170"/>
      <c r="BG166" s="170"/>
      <c r="BH166" s="170"/>
      <c r="BI166" s="170"/>
      <c r="BJ166" s="170"/>
      <c r="BK166" s="170"/>
      <c r="BL166" s="170"/>
      <c r="BM166" s="170"/>
      <c r="BN166" s="170"/>
      <c r="BO166" s="170"/>
      <c r="BP166" s="170"/>
      <c r="BQ166" s="170"/>
      <c r="BR166" s="170"/>
      <c r="BS166" s="170"/>
      <c r="BT166" s="170"/>
      <c r="BU166" s="170"/>
      <c r="BV166" s="170"/>
      <c r="BW166" s="170"/>
      <c r="BX166" s="170"/>
      <c r="BY166" s="170"/>
      <c r="BZ166" s="170"/>
      <c r="CA166" s="170"/>
      <c r="CB166" s="170"/>
      <c r="CC166" s="170"/>
      <c r="CD166" s="170"/>
      <c r="CE166" s="170"/>
      <c r="CF166" s="170"/>
      <c r="CG166" s="170"/>
      <c r="CH166" s="170"/>
      <c r="CI166" s="170"/>
      <c r="CJ166" s="170"/>
      <c r="CK166" s="170"/>
      <c r="CL166" s="170"/>
      <c r="CM166" s="170"/>
      <c r="CN166" s="170"/>
      <c r="CO166" s="170"/>
      <c r="CP166" s="170"/>
      <c r="CQ166" s="170"/>
      <c r="CR166" s="170"/>
      <c r="CS166" s="170"/>
      <c r="CT166" s="170"/>
      <c r="CU166" s="170"/>
      <c r="CV166" s="170"/>
      <c r="CW166" s="170"/>
      <c r="CX166" s="170"/>
      <c r="CY166" s="170"/>
      <c r="CZ166" s="170"/>
      <c r="DA166" s="170"/>
      <c r="DB166" s="170"/>
      <c r="DC166" s="170"/>
      <c r="DD166" s="170"/>
      <c r="DE166" s="170"/>
      <c r="DF166" s="170"/>
      <c r="DG166" s="170"/>
      <c r="DH166" s="170"/>
      <c r="DI166" s="170"/>
      <c r="DJ166" s="170"/>
      <c r="DK166" s="170"/>
      <c r="DL166" s="170"/>
      <c r="DM166" s="170"/>
      <c r="DN166" s="170"/>
      <c r="DO166" s="170"/>
      <c r="DP166" s="170"/>
      <c r="DQ166" s="170"/>
      <c r="DR166" s="170"/>
      <c r="DS166" s="170"/>
      <c r="DT166" s="170"/>
      <c r="DU166" s="170"/>
      <c r="DV166" s="170"/>
      <c r="DW166" s="170"/>
      <c r="DX166" s="170"/>
      <c r="DY166" s="170"/>
      <c r="DZ166" s="170"/>
      <c r="EA166" s="170"/>
      <c r="EB166" s="170"/>
      <c r="EC166" s="170"/>
      <c r="ED166" s="170"/>
      <c r="EE166" s="170"/>
      <c r="EF166" s="170"/>
      <c r="EG166" s="170"/>
      <c r="EH166" s="170"/>
      <c r="EI166" s="170"/>
      <c r="EJ166" s="170"/>
      <c r="EK166" s="170"/>
      <c r="EL166" s="170"/>
      <c r="EM166" s="170"/>
      <c r="EN166" s="170"/>
      <c r="EO166" s="170"/>
      <c r="EP166" s="170"/>
    </row>
    <row r="167" ht="15.75" customHeight="1">
      <c r="A167" s="170"/>
      <c r="B167" s="170"/>
      <c r="C167" s="170"/>
      <c r="D167" s="170"/>
      <c r="E167" s="170"/>
      <c r="F167" s="170"/>
      <c r="G167" s="170"/>
      <c r="H167" s="170"/>
      <c r="I167" s="170"/>
      <c r="J167" s="170"/>
      <c r="K167" s="170"/>
      <c r="L167" s="170"/>
      <c r="M167" s="170"/>
      <c r="N167" s="170"/>
      <c r="O167" s="170"/>
      <c r="P167" s="170"/>
      <c r="Q167" s="170"/>
      <c r="R167" s="170"/>
      <c r="S167" s="170"/>
      <c r="T167" s="170"/>
      <c r="U167" s="170"/>
      <c r="V167" s="170"/>
      <c r="W167" s="170"/>
      <c r="X167" s="170"/>
      <c r="Y167" s="170"/>
      <c r="Z167" s="170"/>
      <c r="AA167" s="170"/>
      <c r="AB167" s="170"/>
      <c r="AC167" s="170"/>
      <c r="AD167" s="170"/>
      <c r="AE167" s="170"/>
      <c r="AF167" s="170"/>
      <c r="AG167" s="170"/>
      <c r="AH167" s="170"/>
      <c r="AI167" s="170"/>
      <c r="AJ167" s="170"/>
      <c r="AK167" s="170"/>
      <c r="AL167" s="170"/>
      <c r="AM167" s="170"/>
      <c r="AN167" s="170"/>
      <c r="AO167" s="170"/>
      <c r="AP167" s="170"/>
      <c r="AQ167" s="170"/>
      <c r="AR167" s="170"/>
      <c r="AS167" s="170"/>
      <c r="AT167" s="170"/>
      <c r="AU167" s="170"/>
      <c r="AV167" s="170"/>
      <c r="AW167" s="170"/>
      <c r="AX167" s="170"/>
      <c r="AY167" s="170"/>
      <c r="AZ167" s="170"/>
      <c r="BA167" s="170"/>
      <c r="BB167" s="170"/>
      <c r="BC167" s="170"/>
      <c r="BD167" s="170"/>
      <c r="BE167" s="170"/>
      <c r="BF167" s="170"/>
      <c r="BG167" s="170"/>
      <c r="BH167" s="170"/>
      <c r="BI167" s="170"/>
      <c r="BJ167" s="170"/>
      <c r="BK167" s="170"/>
      <c r="BL167" s="170"/>
      <c r="BM167" s="170"/>
      <c r="BN167" s="170"/>
      <c r="BO167" s="170"/>
      <c r="BP167" s="170"/>
      <c r="BQ167" s="170"/>
      <c r="BR167" s="170"/>
      <c r="BS167" s="170"/>
      <c r="BT167" s="170"/>
      <c r="BU167" s="170"/>
      <c r="BV167" s="170"/>
      <c r="BW167" s="170"/>
      <c r="BX167" s="170"/>
      <c r="BY167" s="170"/>
      <c r="BZ167" s="170"/>
      <c r="CA167" s="170"/>
      <c r="CB167" s="170"/>
      <c r="CC167" s="170"/>
      <c r="CD167" s="170"/>
      <c r="CE167" s="170"/>
      <c r="CF167" s="170"/>
      <c r="CG167" s="170"/>
      <c r="CH167" s="170"/>
      <c r="CI167" s="170"/>
      <c r="CJ167" s="170"/>
      <c r="CK167" s="170"/>
      <c r="CL167" s="170"/>
      <c r="CM167" s="170"/>
      <c r="CN167" s="170"/>
      <c r="CO167" s="170"/>
      <c r="CP167" s="170"/>
      <c r="CQ167" s="170"/>
      <c r="CR167" s="170"/>
      <c r="CS167" s="170"/>
      <c r="CT167" s="170"/>
      <c r="CU167" s="170"/>
      <c r="CV167" s="170"/>
      <c r="CW167" s="170"/>
      <c r="CX167" s="170"/>
      <c r="CY167" s="170"/>
      <c r="CZ167" s="170"/>
      <c r="DA167" s="170"/>
      <c r="DB167" s="170"/>
      <c r="DC167" s="170"/>
      <c r="DD167" s="170"/>
      <c r="DE167" s="170"/>
      <c r="DF167" s="170"/>
      <c r="DG167" s="170"/>
      <c r="DH167" s="170"/>
      <c r="DI167" s="170"/>
      <c r="DJ167" s="170"/>
      <c r="DK167" s="170"/>
      <c r="DL167" s="170"/>
      <c r="DM167" s="170"/>
      <c r="DN167" s="170"/>
      <c r="DO167" s="170"/>
      <c r="DP167" s="170"/>
      <c r="DQ167" s="170"/>
      <c r="DR167" s="170"/>
      <c r="DS167" s="170"/>
      <c r="DT167" s="170"/>
      <c r="DU167" s="170"/>
      <c r="DV167" s="170"/>
      <c r="DW167" s="170"/>
      <c r="DX167" s="170"/>
      <c r="DY167" s="170"/>
      <c r="DZ167" s="170"/>
      <c r="EA167" s="170"/>
      <c r="EB167" s="170"/>
      <c r="EC167" s="170"/>
      <c r="ED167" s="170"/>
      <c r="EE167" s="170"/>
      <c r="EF167" s="170"/>
      <c r="EG167" s="170"/>
      <c r="EH167" s="170"/>
      <c r="EI167" s="170"/>
      <c r="EJ167" s="170"/>
      <c r="EK167" s="170"/>
      <c r="EL167" s="170"/>
      <c r="EM167" s="170"/>
      <c r="EN167" s="170"/>
      <c r="EO167" s="170"/>
      <c r="EP167" s="170"/>
    </row>
    <row r="168" ht="15.75" customHeight="1">
      <c r="A168" s="170"/>
      <c r="B168" s="170"/>
      <c r="C168" s="170"/>
      <c r="D168" s="170"/>
      <c r="E168" s="170"/>
      <c r="F168" s="170"/>
      <c r="G168" s="170"/>
      <c r="H168" s="170"/>
      <c r="I168" s="170"/>
      <c r="J168" s="170"/>
      <c r="K168" s="170"/>
      <c r="L168" s="170"/>
      <c r="M168" s="170"/>
      <c r="N168" s="170"/>
      <c r="O168" s="170"/>
      <c r="P168" s="170"/>
      <c r="Q168" s="170"/>
      <c r="R168" s="170"/>
      <c r="S168" s="170"/>
      <c r="T168" s="170"/>
      <c r="U168" s="170"/>
      <c r="V168" s="170"/>
      <c r="W168" s="170"/>
      <c r="X168" s="170"/>
      <c r="Y168" s="170"/>
      <c r="Z168" s="170"/>
      <c r="AA168" s="170"/>
      <c r="AB168" s="170"/>
      <c r="AC168" s="170"/>
      <c r="AD168" s="170"/>
      <c r="AE168" s="170"/>
      <c r="AF168" s="170"/>
      <c r="AG168" s="170"/>
      <c r="AH168" s="170"/>
      <c r="AI168" s="170"/>
      <c r="AJ168" s="170"/>
      <c r="AK168" s="170"/>
      <c r="AL168" s="170"/>
      <c r="AM168" s="170"/>
      <c r="AN168" s="170"/>
      <c r="AO168" s="170"/>
      <c r="AP168" s="170"/>
      <c r="AQ168" s="170"/>
      <c r="AR168" s="170"/>
      <c r="AS168" s="170"/>
      <c r="AT168" s="170"/>
      <c r="AU168" s="170"/>
      <c r="AV168" s="170"/>
      <c r="AW168" s="170"/>
      <c r="AX168" s="170"/>
      <c r="AY168" s="170"/>
      <c r="AZ168" s="170"/>
      <c r="BA168" s="170"/>
      <c r="BB168" s="170"/>
      <c r="BC168" s="170"/>
      <c r="BD168" s="170"/>
      <c r="BE168" s="170"/>
      <c r="BF168" s="170"/>
      <c r="BG168" s="170"/>
      <c r="BH168" s="170"/>
      <c r="BI168" s="170"/>
      <c r="BJ168" s="170"/>
      <c r="BK168" s="170"/>
      <c r="BL168" s="170"/>
      <c r="BM168" s="170"/>
      <c r="BN168" s="170"/>
      <c r="BO168" s="170"/>
      <c r="BP168" s="170"/>
      <c r="BQ168" s="170"/>
      <c r="BR168" s="170"/>
      <c r="BS168" s="170"/>
      <c r="BT168" s="170"/>
      <c r="BU168" s="170"/>
      <c r="BV168" s="170"/>
      <c r="BW168" s="170"/>
      <c r="BX168" s="170"/>
      <c r="BY168" s="170"/>
      <c r="BZ168" s="170"/>
      <c r="CA168" s="170"/>
      <c r="CB168" s="170"/>
      <c r="CC168" s="170"/>
      <c r="CD168" s="170"/>
      <c r="CE168" s="170"/>
      <c r="CF168" s="170"/>
      <c r="CG168" s="170"/>
      <c r="CH168" s="170"/>
      <c r="CI168" s="170"/>
      <c r="CJ168" s="170"/>
      <c r="CK168" s="170"/>
      <c r="CL168" s="170"/>
      <c r="CM168" s="170"/>
      <c r="CN168" s="170"/>
      <c r="CO168" s="170"/>
      <c r="CP168" s="170"/>
      <c r="CQ168" s="170"/>
      <c r="CR168" s="170"/>
      <c r="CS168" s="170"/>
      <c r="CT168" s="170"/>
      <c r="CU168" s="170"/>
      <c r="CV168" s="170"/>
      <c r="CW168" s="170"/>
      <c r="CX168" s="170"/>
      <c r="CY168" s="170"/>
      <c r="CZ168" s="170"/>
      <c r="DA168" s="170"/>
      <c r="DB168" s="170"/>
      <c r="DC168" s="170"/>
      <c r="DD168" s="170"/>
      <c r="DE168" s="170"/>
      <c r="DF168" s="170"/>
      <c r="DG168" s="170"/>
      <c r="DH168" s="170"/>
      <c r="DI168" s="170"/>
      <c r="DJ168" s="170"/>
      <c r="DK168" s="170"/>
      <c r="DL168" s="170"/>
      <c r="DM168" s="170"/>
      <c r="DN168" s="170"/>
      <c r="DO168" s="170"/>
      <c r="DP168" s="170"/>
      <c r="DQ168" s="170"/>
      <c r="DR168" s="170"/>
      <c r="DS168" s="170"/>
      <c r="DT168" s="170"/>
      <c r="DU168" s="170"/>
      <c r="DV168" s="170"/>
      <c r="DW168" s="170"/>
      <c r="DX168" s="170"/>
      <c r="DY168" s="170"/>
      <c r="DZ168" s="170"/>
      <c r="EA168" s="170"/>
      <c r="EB168" s="170"/>
      <c r="EC168" s="170"/>
      <c r="ED168" s="170"/>
      <c r="EE168" s="170"/>
      <c r="EF168" s="170"/>
      <c r="EG168" s="170"/>
      <c r="EH168" s="170"/>
      <c r="EI168" s="170"/>
      <c r="EJ168" s="170"/>
      <c r="EK168" s="170"/>
      <c r="EL168" s="170"/>
      <c r="EM168" s="170"/>
      <c r="EN168" s="170"/>
      <c r="EO168" s="170"/>
      <c r="EP168" s="170"/>
    </row>
    <row r="169" ht="15.75" customHeight="1">
      <c r="A169" s="170"/>
      <c r="B169" s="170"/>
      <c r="C169" s="170"/>
      <c r="D169" s="170"/>
      <c r="E169" s="170"/>
      <c r="F169" s="170"/>
      <c r="G169" s="170"/>
      <c r="H169" s="170"/>
      <c r="I169" s="170"/>
      <c r="J169" s="170"/>
      <c r="K169" s="170"/>
      <c r="L169" s="170"/>
      <c r="M169" s="170"/>
      <c r="N169" s="170"/>
      <c r="O169" s="170"/>
      <c r="P169" s="170"/>
      <c r="Q169" s="170"/>
      <c r="R169" s="170"/>
      <c r="S169" s="170"/>
      <c r="T169" s="170"/>
      <c r="U169" s="170"/>
      <c r="V169" s="170"/>
      <c r="W169" s="170"/>
      <c r="X169" s="170"/>
      <c r="Y169" s="170"/>
      <c r="Z169" s="170"/>
      <c r="AA169" s="170"/>
      <c r="AB169" s="170"/>
      <c r="AC169" s="170"/>
      <c r="AD169" s="170"/>
      <c r="AE169" s="170"/>
      <c r="AF169" s="170"/>
      <c r="AG169" s="170"/>
      <c r="AH169" s="170"/>
      <c r="AI169" s="170"/>
      <c r="AJ169" s="170"/>
      <c r="AK169" s="170"/>
      <c r="AL169" s="170"/>
      <c r="AM169" s="170"/>
      <c r="AN169" s="170"/>
      <c r="AO169" s="170"/>
      <c r="AP169" s="170"/>
      <c r="AQ169" s="170"/>
      <c r="AR169" s="170"/>
      <c r="AS169" s="170"/>
      <c r="AT169" s="170"/>
      <c r="AU169" s="170"/>
      <c r="AV169" s="170"/>
      <c r="AW169" s="170"/>
      <c r="AX169" s="170"/>
      <c r="AY169" s="170"/>
      <c r="AZ169" s="170"/>
      <c r="BA169" s="170"/>
      <c r="BB169" s="170"/>
      <c r="BC169" s="170"/>
      <c r="BD169" s="170"/>
      <c r="BE169" s="170"/>
      <c r="BF169" s="170"/>
      <c r="BG169" s="170"/>
      <c r="BH169" s="170"/>
      <c r="BI169" s="170"/>
      <c r="BJ169" s="170"/>
      <c r="BK169" s="170"/>
      <c r="BL169" s="170"/>
      <c r="BM169" s="170"/>
      <c r="BN169" s="170"/>
      <c r="BO169" s="170"/>
      <c r="BP169" s="170"/>
      <c r="BQ169" s="170"/>
      <c r="BR169" s="170"/>
      <c r="BS169" s="170"/>
      <c r="BT169" s="170"/>
      <c r="BU169" s="170"/>
      <c r="BV169" s="170"/>
      <c r="BW169" s="170"/>
      <c r="BX169" s="170"/>
      <c r="BY169" s="170"/>
      <c r="BZ169" s="170"/>
      <c r="CA169" s="170"/>
      <c r="CB169" s="170"/>
      <c r="CC169" s="170"/>
      <c r="CD169" s="170"/>
      <c r="CE169" s="170"/>
      <c r="CF169" s="170"/>
      <c r="CG169" s="170"/>
      <c r="CH169" s="170"/>
      <c r="CI169" s="170"/>
      <c r="CJ169" s="170"/>
      <c r="CK169" s="170"/>
      <c r="CL169" s="170"/>
      <c r="CM169" s="170"/>
      <c r="CN169" s="170"/>
      <c r="CO169" s="170"/>
      <c r="CP169" s="170"/>
      <c r="CQ169" s="170"/>
      <c r="CR169" s="170"/>
      <c r="CS169" s="170"/>
      <c r="CT169" s="170"/>
      <c r="CU169" s="170"/>
      <c r="CV169" s="170"/>
      <c r="CW169" s="170"/>
      <c r="CX169" s="170"/>
      <c r="CY169" s="170"/>
      <c r="CZ169" s="170"/>
      <c r="DA169" s="170"/>
      <c r="DB169" s="170"/>
      <c r="DC169" s="170"/>
      <c r="DD169" s="170"/>
      <c r="DE169" s="170"/>
      <c r="DF169" s="170"/>
      <c r="DG169" s="170"/>
      <c r="DH169" s="170"/>
      <c r="DI169" s="170"/>
      <c r="DJ169" s="170"/>
      <c r="DK169" s="170"/>
      <c r="DL169" s="170"/>
      <c r="DM169" s="170"/>
      <c r="DN169" s="170"/>
      <c r="DO169" s="170"/>
      <c r="DP169" s="170"/>
      <c r="DQ169" s="170"/>
      <c r="DR169" s="170"/>
      <c r="DS169" s="170"/>
      <c r="DT169" s="170"/>
      <c r="DU169" s="170"/>
      <c r="DV169" s="170"/>
      <c r="DW169" s="170"/>
      <c r="DX169" s="170"/>
      <c r="DY169" s="170"/>
      <c r="DZ169" s="170"/>
      <c r="EA169" s="170"/>
      <c r="EB169" s="170"/>
      <c r="EC169" s="170"/>
      <c r="ED169" s="170"/>
      <c r="EE169" s="170"/>
      <c r="EF169" s="170"/>
      <c r="EG169" s="170"/>
      <c r="EH169" s="170"/>
      <c r="EI169" s="170"/>
      <c r="EJ169" s="170"/>
      <c r="EK169" s="170"/>
      <c r="EL169" s="170"/>
      <c r="EM169" s="170"/>
      <c r="EN169" s="170"/>
      <c r="EO169" s="170"/>
      <c r="EP169" s="170"/>
    </row>
    <row r="170" ht="15.75" customHeight="1">
      <c r="A170" s="170"/>
      <c r="B170" s="170"/>
      <c r="C170" s="170"/>
      <c r="D170" s="170"/>
      <c r="E170" s="170"/>
      <c r="F170" s="170"/>
      <c r="G170" s="170"/>
      <c r="H170" s="170"/>
      <c r="I170" s="170"/>
      <c r="J170" s="170"/>
      <c r="K170" s="170"/>
      <c r="L170" s="170"/>
      <c r="M170" s="170"/>
      <c r="N170" s="170"/>
      <c r="O170" s="170"/>
      <c r="P170" s="170"/>
      <c r="Q170" s="170"/>
      <c r="R170" s="170"/>
      <c r="S170" s="170"/>
      <c r="T170" s="170"/>
      <c r="U170" s="170"/>
      <c r="V170" s="170"/>
      <c r="W170" s="170"/>
      <c r="X170" s="170"/>
      <c r="Y170" s="170"/>
      <c r="Z170" s="170"/>
      <c r="AA170" s="170"/>
      <c r="AB170" s="170"/>
      <c r="AC170" s="170"/>
      <c r="AD170" s="170"/>
      <c r="AE170" s="170"/>
      <c r="AF170" s="170"/>
      <c r="AG170" s="170"/>
      <c r="AH170" s="170"/>
      <c r="AI170" s="170"/>
      <c r="AJ170" s="170"/>
      <c r="AK170" s="170"/>
      <c r="AL170" s="170"/>
      <c r="AM170" s="170"/>
      <c r="AN170" s="170"/>
      <c r="AO170" s="170"/>
      <c r="AP170" s="170"/>
      <c r="AQ170" s="170"/>
      <c r="AR170" s="170"/>
      <c r="AS170" s="170"/>
      <c r="AT170" s="170"/>
      <c r="AU170" s="170"/>
      <c r="AV170" s="170"/>
      <c r="AW170" s="170"/>
      <c r="AX170" s="170"/>
      <c r="AY170" s="170"/>
      <c r="AZ170" s="170"/>
      <c r="BA170" s="170"/>
      <c r="BB170" s="170"/>
      <c r="BC170" s="170"/>
      <c r="BD170" s="170"/>
      <c r="BE170" s="170"/>
      <c r="BF170" s="170"/>
      <c r="BG170" s="170"/>
      <c r="BH170" s="170"/>
      <c r="BI170" s="170"/>
      <c r="BJ170" s="170"/>
      <c r="BK170" s="170"/>
      <c r="BL170" s="170"/>
      <c r="BM170" s="170"/>
      <c r="BN170" s="170"/>
      <c r="BO170" s="170"/>
      <c r="BP170" s="170"/>
      <c r="BQ170" s="170"/>
      <c r="BR170" s="170"/>
      <c r="BS170" s="170"/>
      <c r="BT170" s="170"/>
      <c r="BU170" s="170"/>
      <c r="BV170" s="170"/>
      <c r="BW170" s="170"/>
      <c r="BX170" s="170"/>
      <c r="BY170" s="170"/>
      <c r="BZ170" s="170"/>
      <c r="CA170" s="170"/>
      <c r="CB170" s="170"/>
      <c r="CC170" s="170"/>
      <c r="CD170" s="170"/>
      <c r="CE170" s="170"/>
      <c r="CF170" s="170"/>
      <c r="CG170" s="170"/>
      <c r="CH170" s="170"/>
      <c r="CI170" s="170"/>
      <c r="CJ170" s="170"/>
      <c r="CK170" s="170"/>
      <c r="CL170" s="170"/>
      <c r="CM170" s="170"/>
      <c r="CN170" s="170"/>
      <c r="CO170" s="170"/>
      <c r="CP170" s="170"/>
      <c r="CQ170" s="170"/>
      <c r="CR170" s="170"/>
      <c r="CS170" s="170"/>
      <c r="CT170" s="170"/>
      <c r="CU170" s="170"/>
      <c r="CV170" s="170"/>
      <c r="CW170" s="170"/>
      <c r="CX170" s="170"/>
      <c r="CY170" s="170"/>
      <c r="CZ170" s="170"/>
      <c r="DA170" s="170"/>
      <c r="DB170" s="170"/>
      <c r="DC170" s="170"/>
      <c r="DD170" s="170"/>
      <c r="DE170" s="170"/>
      <c r="DF170" s="170"/>
      <c r="DG170" s="170"/>
      <c r="DH170" s="170"/>
      <c r="DI170" s="170"/>
      <c r="DJ170" s="170"/>
      <c r="DK170" s="170"/>
      <c r="DL170" s="170"/>
      <c r="DM170" s="170"/>
      <c r="DN170" s="170"/>
      <c r="DO170" s="170"/>
      <c r="DP170" s="170"/>
      <c r="DQ170" s="170"/>
      <c r="DR170" s="170"/>
      <c r="DS170" s="170"/>
      <c r="DT170" s="170"/>
      <c r="DU170" s="170"/>
      <c r="DV170" s="170"/>
      <c r="DW170" s="170"/>
      <c r="DX170" s="170"/>
      <c r="DY170" s="170"/>
      <c r="DZ170" s="170"/>
      <c r="EA170" s="170"/>
      <c r="EB170" s="170"/>
      <c r="EC170" s="170"/>
      <c r="ED170" s="170"/>
      <c r="EE170" s="170"/>
      <c r="EF170" s="170"/>
      <c r="EG170" s="170"/>
      <c r="EH170" s="170"/>
      <c r="EI170" s="170"/>
      <c r="EJ170" s="170"/>
      <c r="EK170" s="170"/>
      <c r="EL170" s="170"/>
      <c r="EM170" s="170"/>
      <c r="EN170" s="170"/>
      <c r="EO170" s="170"/>
      <c r="EP170" s="170"/>
    </row>
    <row r="171" ht="15.75" customHeight="1">
      <c r="A171" s="170"/>
      <c r="B171" s="170"/>
      <c r="C171" s="170"/>
      <c r="D171" s="170"/>
      <c r="E171" s="170"/>
      <c r="F171" s="170"/>
      <c r="G171" s="170"/>
      <c r="H171" s="170"/>
      <c r="I171" s="170"/>
      <c r="J171" s="170"/>
      <c r="K171" s="170"/>
      <c r="L171" s="170"/>
      <c r="M171" s="170"/>
      <c r="N171" s="170"/>
      <c r="O171" s="170"/>
      <c r="P171" s="170"/>
      <c r="Q171" s="170"/>
      <c r="R171" s="170"/>
      <c r="S171" s="170"/>
      <c r="T171" s="170"/>
      <c r="U171" s="170"/>
      <c r="V171" s="170"/>
      <c r="W171" s="170"/>
      <c r="X171" s="170"/>
      <c r="Y171" s="170"/>
      <c r="Z171" s="170"/>
      <c r="AA171" s="170"/>
      <c r="AB171" s="170"/>
      <c r="AC171" s="170"/>
      <c r="AD171" s="170"/>
      <c r="AE171" s="170"/>
      <c r="AF171" s="170"/>
      <c r="AG171" s="170"/>
      <c r="AH171" s="170"/>
      <c r="AI171" s="170"/>
      <c r="AJ171" s="170"/>
      <c r="AK171" s="170"/>
      <c r="AL171" s="170"/>
      <c r="AM171" s="170"/>
      <c r="AN171" s="170"/>
      <c r="AO171" s="170"/>
      <c r="AP171" s="170"/>
      <c r="AQ171" s="170"/>
      <c r="AR171" s="170"/>
      <c r="AS171" s="170"/>
      <c r="AT171" s="170"/>
      <c r="AU171" s="170"/>
      <c r="AV171" s="170"/>
      <c r="AW171" s="170"/>
      <c r="AX171" s="170"/>
      <c r="AY171" s="170"/>
      <c r="AZ171" s="170"/>
      <c r="BA171" s="170"/>
      <c r="BB171" s="170"/>
      <c r="BC171" s="170"/>
      <c r="BD171" s="170"/>
      <c r="BE171" s="170"/>
      <c r="BF171" s="170"/>
      <c r="BG171" s="170"/>
      <c r="BH171" s="170"/>
      <c r="BI171" s="170"/>
      <c r="BJ171" s="170"/>
      <c r="BK171" s="170"/>
      <c r="BL171" s="170"/>
      <c r="BM171" s="170"/>
      <c r="BN171" s="170"/>
      <c r="BO171" s="170"/>
      <c r="BP171" s="170"/>
      <c r="BQ171" s="170"/>
      <c r="BR171" s="170"/>
      <c r="BS171" s="170"/>
      <c r="BT171" s="170"/>
      <c r="BU171" s="170"/>
      <c r="BV171" s="170"/>
      <c r="BW171" s="170"/>
      <c r="BX171" s="170"/>
      <c r="BY171" s="170"/>
      <c r="BZ171" s="170"/>
      <c r="CA171" s="170"/>
      <c r="CB171" s="170"/>
      <c r="CC171" s="170"/>
      <c r="CD171" s="170"/>
      <c r="CE171" s="170"/>
      <c r="CF171" s="170"/>
      <c r="CG171" s="170"/>
      <c r="CH171" s="170"/>
      <c r="CI171" s="170"/>
      <c r="CJ171" s="170"/>
      <c r="CK171" s="170"/>
      <c r="CL171" s="170"/>
      <c r="CM171" s="170"/>
      <c r="CN171" s="170"/>
      <c r="CO171" s="170"/>
      <c r="CP171" s="170"/>
      <c r="CQ171" s="170"/>
      <c r="CR171" s="170"/>
      <c r="CS171" s="170"/>
      <c r="CT171" s="170"/>
      <c r="CU171" s="170"/>
      <c r="CV171" s="170"/>
      <c r="CW171" s="170"/>
      <c r="CX171" s="170"/>
      <c r="CY171" s="170"/>
      <c r="CZ171" s="170"/>
      <c r="DA171" s="170"/>
      <c r="DB171" s="170"/>
      <c r="DC171" s="170"/>
      <c r="DD171" s="170"/>
      <c r="DE171" s="170"/>
      <c r="DF171" s="170"/>
      <c r="DG171" s="170"/>
      <c r="DH171" s="170"/>
      <c r="DI171" s="170"/>
      <c r="DJ171" s="170"/>
      <c r="DK171" s="170"/>
      <c r="DL171" s="170"/>
      <c r="DM171" s="170"/>
      <c r="DN171" s="170"/>
      <c r="DO171" s="170"/>
      <c r="DP171" s="170"/>
      <c r="DQ171" s="170"/>
      <c r="DR171" s="170"/>
      <c r="DS171" s="170"/>
      <c r="DT171" s="170"/>
      <c r="DU171" s="170"/>
      <c r="DV171" s="170"/>
      <c r="DW171" s="170"/>
      <c r="DX171" s="170"/>
      <c r="DY171" s="170"/>
      <c r="DZ171" s="170"/>
      <c r="EA171" s="170"/>
      <c r="EB171" s="170"/>
      <c r="EC171" s="170"/>
      <c r="ED171" s="170"/>
      <c r="EE171" s="170"/>
      <c r="EF171" s="170"/>
      <c r="EG171" s="170"/>
      <c r="EH171" s="170"/>
      <c r="EI171" s="170"/>
      <c r="EJ171" s="170"/>
      <c r="EK171" s="170"/>
      <c r="EL171" s="170"/>
      <c r="EM171" s="170"/>
      <c r="EN171" s="170"/>
      <c r="EO171" s="170"/>
      <c r="EP171" s="170"/>
    </row>
    <row r="172" ht="15.75" customHeight="1">
      <c r="A172" s="170"/>
      <c r="B172" s="170"/>
      <c r="C172" s="170"/>
      <c r="D172" s="170"/>
      <c r="E172" s="170"/>
      <c r="F172" s="170"/>
      <c r="G172" s="170"/>
      <c r="H172" s="170"/>
      <c r="I172" s="170"/>
      <c r="J172" s="170"/>
      <c r="K172" s="170"/>
      <c r="L172" s="170"/>
      <c r="M172" s="170"/>
      <c r="N172" s="170"/>
      <c r="O172" s="170"/>
      <c r="P172" s="170"/>
      <c r="Q172" s="170"/>
      <c r="R172" s="170"/>
      <c r="S172" s="170"/>
      <c r="T172" s="170"/>
      <c r="U172" s="170"/>
      <c r="V172" s="170"/>
      <c r="W172" s="170"/>
      <c r="X172" s="170"/>
      <c r="Y172" s="170"/>
      <c r="Z172" s="170"/>
      <c r="AA172" s="170"/>
      <c r="AB172" s="170"/>
      <c r="AC172" s="170"/>
      <c r="AD172" s="170"/>
      <c r="AE172" s="170"/>
      <c r="AF172" s="170"/>
      <c r="AG172" s="170"/>
      <c r="AH172" s="170"/>
      <c r="AI172" s="170"/>
      <c r="AJ172" s="170"/>
      <c r="AK172" s="170"/>
      <c r="AL172" s="170"/>
      <c r="AM172" s="170"/>
      <c r="AN172" s="170"/>
      <c r="AO172" s="170"/>
      <c r="AP172" s="170"/>
      <c r="AQ172" s="170"/>
      <c r="AR172" s="170"/>
      <c r="AS172" s="170"/>
      <c r="AT172" s="170"/>
      <c r="AU172" s="170"/>
      <c r="AV172" s="170"/>
      <c r="AW172" s="170"/>
      <c r="AX172" s="170"/>
      <c r="AY172" s="170"/>
      <c r="AZ172" s="170"/>
      <c r="BA172" s="170"/>
      <c r="BB172" s="170"/>
      <c r="BC172" s="170"/>
      <c r="BD172" s="170"/>
      <c r="BE172" s="170"/>
      <c r="BF172" s="170"/>
      <c r="BG172" s="170"/>
      <c r="BH172" s="170"/>
      <c r="BI172" s="170"/>
      <c r="BJ172" s="170"/>
      <c r="BK172" s="170"/>
      <c r="BL172" s="170"/>
      <c r="BM172" s="170"/>
      <c r="BN172" s="170"/>
      <c r="BO172" s="170"/>
      <c r="BP172" s="170"/>
      <c r="BQ172" s="170"/>
      <c r="BR172" s="170"/>
      <c r="BS172" s="170"/>
      <c r="BT172" s="170"/>
      <c r="BU172" s="170"/>
      <c r="BV172" s="170"/>
      <c r="BW172" s="170"/>
      <c r="BX172" s="170"/>
      <c r="BY172" s="170"/>
      <c r="BZ172" s="170"/>
      <c r="CA172" s="170"/>
      <c r="CB172" s="170"/>
      <c r="CC172" s="170"/>
      <c r="CD172" s="170"/>
      <c r="CE172" s="170"/>
      <c r="CF172" s="170"/>
      <c r="CG172" s="170"/>
      <c r="CH172" s="170"/>
      <c r="CI172" s="170"/>
      <c r="CJ172" s="170"/>
      <c r="CK172" s="170"/>
      <c r="CL172" s="170"/>
      <c r="CM172" s="170"/>
      <c r="CN172" s="170"/>
      <c r="CO172" s="170"/>
      <c r="CP172" s="170"/>
      <c r="CQ172" s="170"/>
      <c r="CR172" s="170"/>
      <c r="CS172" s="170"/>
      <c r="CT172" s="170"/>
      <c r="CU172" s="170"/>
      <c r="CV172" s="170"/>
      <c r="CW172" s="170"/>
      <c r="CX172" s="170"/>
      <c r="CY172" s="170"/>
      <c r="CZ172" s="170"/>
      <c r="DA172" s="170"/>
      <c r="DB172" s="170"/>
      <c r="DC172" s="170"/>
      <c r="DD172" s="170"/>
      <c r="DE172" s="170"/>
      <c r="DF172" s="170"/>
      <c r="DG172" s="170"/>
      <c r="DH172" s="170"/>
      <c r="DI172" s="170"/>
      <c r="DJ172" s="170"/>
      <c r="DK172" s="170"/>
      <c r="DL172" s="170"/>
      <c r="DM172" s="170"/>
      <c r="DN172" s="170"/>
      <c r="DO172" s="170"/>
      <c r="DP172" s="170"/>
      <c r="DQ172" s="170"/>
      <c r="DR172" s="170"/>
      <c r="DS172" s="170"/>
      <c r="DT172" s="170"/>
      <c r="DU172" s="170"/>
      <c r="DV172" s="170"/>
      <c r="DW172" s="170"/>
      <c r="DX172" s="170"/>
      <c r="DY172" s="170"/>
      <c r="DZ172" s="170"/>
      <c r="EA172" s="170"/>
      <c r="EB172" s="170"/>
      <c r="EC172" s="170"/>
      <c r="ED172" s="170"/>
      <c r="EE172" s="170"/>
      <c r="EF172" s="170"/>
      <c r="EG172" s="170"/>
      <c r="EH172" s="170"/>
      <c r="EI172" s="170"/>
      <c r="EJ172" s="170"/>
      <c r="EK172" s="170"/>
      <c r="EL172" s="170"/>
      <c r="EM172" s="170"/>
      <c r="EN172" s="170"/>
      <c r="EO172" s="170"/>
      <c r="EP172" s="170"/>
    </row>
    <row r="173" ht="15.75" customHeight="1">
      <c r="A173" s="170"/>
      <c r="B173" s="170"/>
      <c r="C173" s="170"/>
      <c r="D173" s="170"/>
      <c r="E173" s="170"/>
      <c r="F173" s="170"/>
      <c r="G173" s="170"/>
      <c r="H173" s="170"/>
      <c r="I173" s="170"/>
      <c r="J173" s="170"/>
      <c r="K173" s="170"/>
      <c r="L173" s="170"/>
      <c r="M173" s="170"/>
      <c r="N173" s="170"/>
      <c r="O173" s="170"/>
      <c r="P173" s="170"/>
      <c r="Q173" s="170"/>
      <c r="R173" s="170"/>
      <c r="S173" s="170"/>
      <c r="T173" s="170"/>
      <c r="U173" s="170"/>
      <c r="V173" s="170"/>
      <c r="W173" s="170"/>
      <c r="X173" s="170"/>
      <c r="Y173" s="170"/>
      <c r="Z173" s="170"/>
      <c r="AA173" s="170"/>
      <c r="AB173" s="170"/>
      <c r="AC173" s="170"/>
      <c r="AD173" s="170"/>
      <c r="AE173" s="170"/>
      <c r="AF173" s="170"/>
      <c r="AG173" s="170"/>
      <c r="AH173" s="170"/>
      <c r="AI173" s="170"/>
      <c r="AJ173" s="170"/>
      <c r="AK173" s="170"/>
      <c r="AL173" s="170"/>
      <c r="AM173" s="170"/>
      <c r="AN173" s="170"/>
      <c r="AO173" s="170"/>
      <c r="AP173" s="170"/>
      <c r="AQ173" s="170"/>
      <c r="AR173" s="170"/>
      <c r="AS173" s="170"/>
      <c r="AT173" s="170"/>
      <c r="AU173" s="170"/>
      <c r="AV173" s="170"/>
      <c r="AW173" s="170"/>
      <c r="AX173" s="170"/>
      <c r="AY173" s="170"/>
      <c r="AZ173" s="170"/>
      <c r="BA173" s="170"/>
      <c r="BB173" s="170"/>
      <c r="BC173" s="170"/>
      <c r="BD173" s="170"/>
      <c r="BE173" s="170"/>
      <c r="BF173" s="170"/>
      <c r="BG173" s="170"/>
      <c r="BH173" s="170"/>
      <c r="BI173" s="170"/>
      <c r="BJ173" s="170"/>
      <c r="BK173" s="170"/>
      <c r="BL173" s="170"/>
      <c r="BM173" s="170"/>
      <c r="BN173" s="170"/>
      <c r="BO173" s="170"/>
      <c r="BP173" s="170"/>
      <c r="BQ173" s="170"/>
      <c r="BR173" s="170"/>
      <c r="BS173" s="170"/>
      <c r="BT173" s="170"/>
      <c r="BU173" s="170"/>
      <c r="BV173" s="170"/>
      <c r="BW173" s="170"/>
      <c r="BX173" s="170"/>
      <c r="BY173" s="170"/>
      <c r="BZ173" s="170"/>
      <c r="CA173" s="170"/>
      <c r="CB173" s="170"/>
      <c r="CC173" s="170"/>
      <c r="CD173" s="170"/>
      <c r="CE173" s="170"/>
      <c r="CF173" s="170"/>
      <c r="CG173" s="170"/>
      <c r="CH173" s="170"/>
      <c r="CI173" s="170"/>
      <c r="CJ173" s="170"/>
      <c r="CK173" s="170"/>
      <c r="CL173" s="170"/>
      <c r="CM173" s="170"/>
      <c r="CN173" s="170"/>
      <c r="CO173" s="170"/>
      <c r="CP173" s="170"/>
      <c r="CQ173" s="170"/>
      <c r="CR173" s="170"/>
      <c r="CS173" s="170"/>
      <c r="CT173" s="170"/>
      <c r="CU173" s="170"/>
      <c r="CV173" s="170"/>
      <c r="CW173" s="170"/>
      <c r="CX173" s="170"/>
      <c r="CY173" s="170"/>
      <c r="CZ173" s="170"/>
      <c r="DA173" s="170"/>
      <c r="DB173" s="170"/>
      <c r="DC173" s="170"/>
      <c r="DD173" s="170"/>
      <c r="DE173" s="170"/>
      <c r="DF173" s="170"/>
      <c r="DG173" s="170"/>
      <c r="DH173" s="170"/>
      <c r="DI173" s="170"/>
      <c r="DJ173" s="170"/>
      <c r="DK173" s="170"/>
      <c r="DL173" s="170"/>
      <c r="DM173" s="170"/>
      <c r="DN173" s="170"/>
      <c r="DO173" s="170"/>
      <c r="DP173" s="170"/>
      <c r="DQ173" s="170"/>
      <c r="DR173" s="170"/>
      <c r="DS173" s="170"/>
      <c r="DT173" s="170"/>
      <c r="DU173" s="170"/>
      <c r="DV173" s="170"/>
      <c r="DW173" s="170"/>
      <c r="DX173" s="170"/>
      <c r="DY173" s="170"/>
      <c r="DZ173" s="170"/>
      <c r="EA173" s="170"/>
      <c r="EB173" s="170"/>
      <c r="EC173" s="170"/>
      <c r="ED173" s="170"/>
      <c r="EE173" s="170"/>
      <c r="EF173" s="170"/>
      <c r="EG173" s="170"/>
      <c r="EH173" s="170"/>
      <c r="EI173" s="170"/>
      <c r="EJ173" s="170"/>
      <c r="EK173" s="170"/>
      <c r="EL173" s="170"/>
      <c r="EM173" s="170"/>
      <c r="EN173" s="170"/>
      <c r="EO173" s="170"/>
      <c r="EP173" s="170"/>
    </row>
    <row r="174" ht="15.75" customHeight="1">
      <c r="A174" s="170"/>
      <c r="B174" s="170"/>
      <c r="C174" s="170"/>
      <c r="D174" s="170"/>
      <c r="E174" s="170"/>
      <c r="F174" s="170"/>
      <c r="G174" s="170"/>
      <c r="H174" s="170"/>
      <c r="I174" s="170"/>
      <c r="J174" s="170"/>
      <c r="K174" s="170"/>
      <c r="L174" s="170"/>
      <c r="M174" s="170"/>
      <c r="N174" s="170"/>
      <c r="O174" s="170"/>
      <c r="P174" s="170"/>
      <c r="Q174" s="170"/>
      <c r="R174" s="170"/>
      <c r="S174" s="170"/>
      <c r="T174" s="170"/>
      <c r="U174" s="170"/>
      <c r="V174" s="170"/>
      <c r="W174" s="170"/>
      <c r="X174" s="170"/>
      <c r="Y174" s="170"/>
      <c r="Z174" s="170"/>
      <c r="AA174" s="170"/>
      <c r="AB174" s="170"/>
      <c r="AC174" s="170"/>
      <c r="AD174" s="170"/>
      <c r="AE174" s="170"/>
      <c r="AF174" s="170"/>
      <c r="AG174" s="170"/>
      <c r="AH174" s="170"/>
      <c r="AI174" s="170"/>
      <c r="AJ174" s="170"/>
      <c r="AK174" s="170"/>
      <c r="AL174" s="170"/>
      <c r="AM174" s="170"/>
      <c r="AN174" s="170"/>
      <c r="AO174" s="170"/>
      <c r="AP174" s="170"/>
      <c r="AQ174" s="170"/>
      <c r="AR174" s="170"/>
      <c r="AS174" s="170"/>
      <c r="AT174" s="170"/>
      <c r="AU174" s="170"/>
      <c r="AV174" s="170"/>
      <c r="AW174" s="170"/>
      <c r="AX174" s="170"/>
      <c r="AY174" s="170"/>
      <c r="AZ174" s="170"/>
      <c r="BA174" s="170"/>
      <c r="BB174" s="170"/>
      <c r="BC174" s="170"/>
      <c r="BD174" s="170"/>
      <c r="BE174" s="170"/>
      <c r="BF174" s="170"/>
      <c r="BG174" s="170"/>
      <c r="BH174" s="170"/>
      <c r="BI174" s="170"/>
      <c r="BJ174" s="170"/>
      <c r="BK174" s="170"/>
      <c r="BL174" s="170"/>
      <c r="BM174" s="170"/>
      <c r="BN174" s="170"/>
      <c r="BO174" s="170"/>
      <c r="BP174" s="170"/>
      <c r="BQ174" s="170"/>
      <c r="BR174" s="170"/>
      <c r="BS174" s="170"/>
      <c r="BT174" s="170"/>
      <c r="BU174" s="170"/>
      <c r="BV174" s="170"/>
      <c r="BW174" s="170"/>
      <c r="BX174" s="170"/>
      <c r="BY174" s="170"/>
      <c r="BZ174" s="170"/>
      <c r="CA174" s="170"/>
      <c r="CB174" s="170"/>
      <c r="CC174" s="170"/>
      <c r="CD174" s="170"/>
      <c r="CE174" s="170"/>
      <c r="CF174" s="170"/>
      <c r="CG174" s="170"/>
      <c r="CH174" s="170"/>
      <c r="CI174" s="170"/>
      <c r="CJ174" s="170"/>
      <c r="CK174" s="170"/>
      <c r="CL174" s="170"/>
      <c r="CM174" s="170"/>
      <c r="CN174" s="170"/>
      <c r="CO174" s="170"/>
      <c r="CP174" s="170"/>
      <c r="CQ174" s="170"/>
      <c r="CR174" s="170"/>
      <c r="CS174" s="170"/>
      <c r="CT174" s="170"/>
      <c r="CU174" s="170"/>
      <c r="CV174" s="170"/>
      <c r="CW174" s="170"/>
      <c r="CX174" s="170"/>
      <c r="CY174" s="170"/>
      <c r="CZ174" s="170"/>
      <c r="DA174" s="170"/>
      <c r="DB174" s="170"/>
      <c r="DC174" s="170"/>
      <c r="DD174" s="170"/>
      <c r="DE174" s="170"/>
      <c r="DF174" s="170"/>
      <c r="DG174" s="170"/>
      <c r="DH174" s="170"/>
      <c r="DI174" s="170"/>
      <c r="DJ174" s="170"/>
      <c r="DK174" s="170"/>
      <c r="DL174" s="170"/>
      <c r="DM174" s="170"/>
      <c r="DN174" s="170"/>
      <c r="DO174" s="170"/>
      <c r="DP174" s="170"/>
      <c r="DQ174" s="170"/>
      <c r="DR174" s="170"/>
      <c r="DS174" s="170"/>
      <c r="DT174" s="170"/>
      <c r="DU174" s="170"/>
      <c r="DV174" s="170"/>
      <c r="DW174" s="170"/>
      <c r="DX174" s="170"/>
      <c r="DY174" s="170"/>
      <c r="DZ174" s="170"/>
      <c r="EA174" s="170"/>
      <c r="EB174" s="170"/>
      <c r="EC174" s="170"/>
      <c r="ED174" s="170"/>
      <c r="EE174" s="170"/>
      <c r="EF174" s="170"/>
      <c r="EG174" s="170"/>
      <c r="EH174" s="170"/>
      <c r="EI174" s="170"/>
      <c r="EJ174" s="170"/>
      <c r="EK174" s="170"/>
      <c r="EL174" s="170"/>
      <c r="EM174" s="170"/>
      <c r="EN174" s="170"/>
      <c r="EO174" s="170"/>
      <c r="EP174" s="170"/>
    </row>
    <row r="175" ht="15.75" customHeight="1">
      <c r="A175" s="170"/>
      <c r="B175" s="170"/>
      <c r="C175" s="170"/>
      <c r="D175" s="170"/>
      <c r="E175" s="170"/>
      <c r="F175" s="170"/>
      <c r="G175" s="170"/>
      <c r="H175" s="170"/>
      <c r="I175" s="170"/>
      <c r="J175" s="170"/>
      <c r="K175" s="170"/>
      <c r="L175" s="170"/>
      <c r="M175" s="170"/>
      <c r="N175" s="170"/>
      <c r="O175" s="170"/>
      <c r="P175" s="170"/>
      <c r="Q175" s="170"/>
      <c r="R175" s="170"/>
      <c r="S175" s="170"/>
      <c r="T175" s="170"/>
      <c r="U175" s="170"/>
      <c r="V175" s="170"/>
      <c r="W175" s="170"/>
      <c r="X175" s="170"/>
      <c r="Y175" s="170"/>
      <c r="Z175" s="170"/>
      <c r="AA175" s="170"/>
      <c r="AB175" s="170"/>
      <c r="AC175" s="170"/>
      <c r="AD175" s="170"/>
      <c r="AE175" s="170"/>
      <c r="AF175" s="170"/>
      <c r="AG175" s="170"/>
      <c r="AH175" s="170"/>
      <c r="AI175" s="170"/>
      <c r="AJ175" s="170"/>
      <c r="AK175" s="170"/>
      <c r="AL175" s="170"/>
      <c r="AM175" s="170"/>
      <c r="AN175" s="170"/>
      <c r="AO175" s="170"/>
      <c r="AP175" s="170"/>
      <c r="AQ175" s="170"/>
      <c r="AR175" s="170"/>
      <c r="AS175" s="170"/>
      <c r="AT175" s="170"/>
      <c r="AU175" s="170"/>
      <c r="AV175" s="170"/>
      <c r="AW175" s="170"/>
      <c r="AX175" s="170"/>
      <c r="AY175" s="170"/>
      <c r="AZ175" s="170"/>
      <c r="BA175" s="170"/>
      <c r="BB175" s="170"/>
      <c r="BC175" s="170"/>
      <c r="BD175" s="170"/>
      <c r="BE175" s="170"/>
      <c r="BF175" s="170"/>
      <c r="BG175" s="170"/>
      <c r="BH175" s="170"/>
      <c r="BI175" s="170"/>
      <c r="BJ175" s="170"/>
      <c r="BK175" s="170"/>
      <c r="BL175" s="170"/>
      <c r="BM175" s="170"/>
      <c r="BN175" s="170"/>
      <c r="BO175" s="170"/>
      <c r="BP175" s="170"/>
      <c r="BQ175" s="170"/>
      <c r="BR175" s="170"/>
      <c r="BS175" s="170"/>
      <c r="BT175" s="170"/>
      <c r="BU175" s="170"/>
      <c r="BV175" s="170"/>
      <c r="BW175" s="170"/>
      <c r="BX175" s="170"/>
      <c r="BY175" s="170"/>
      <c r="BZ175" s="170"/>
      <c r="CA175" s="170"/>
      <c r="CB175" s="170"/>
      <c r="CC175" s="170"/>
      <c r="CD175" s="170"/>
      <c r="CE175" s="170"/>
      <c r="CF175" s="170"/>
      <c r="CG175" s="170"/>
      <c r="CH175" s="170"/>
      <c r="CI175" s="170"/>
      <c r="CJ175" s="170"/>
      <c r="CK175" s="170"/>
      <c r="CL175" s="170"/>
      <c r="CM175" s="170"/>
      <c r="CN175" s="170"/>
      <c r="CO175" s="170"/>
      <c r="CP175" s="170"/>
      <c r="CQ175" s="170"/>
      <c r="CR175" s="170"/>
      <c r="CS175" s="170"/>
      <c r="CT175" s="170"/>
      <c r="CU175" s="170"/>
      <c r="CV175" s="170"/>
      <c r="CW175" s="170"/>
      <c r="CX175" s="170"/>
      <c r="CY175" s="170"/>
      <c r="CZ175" s="170"/>
      <c r="DA175" s="170"/>
      <c r="DB175" s="170"/>
      <c r="DC175" s="170"/>
      <c r="DD175" s="170"/>
      <c r="DE175" s="170"/>
      <c r="DF175" s="170"/>
      <c r="DG175" s="170"/>
      <c r="DH175" s="170"/>
      <c r="DI175" s="170"/>
      <c r="DJ175" s="170"/>
      <c r="DK175" s="170"/>
      <c r="DL175" s="170"/>
      <c r="DM175" s="170"/>
      <c r="DN175" s="170"/>
      <c r="DO175" s="170"/>
      <c r="DP175" s="170"/>
      <c r="DQ175" s="170"/>
      <c r="DR175" s="170"/>
      <c r="DS175" s="170"/>
      <c r="DT175" s="170"/>
      <c r="DU175" s="170"/>
      <c r="DV175" s="170"/>
      <c r="DW175" s="170"/>
      <c r="DX175" s="170"/>
      <c r="DY175" s="170"/>
      <c r="DZ175" s="170"/>
      <c r="EA175" s="170"/>
      <c r="EB175" s="170"/>
      <c r="EC175" s="170"/>
      <c r="ED175" s="170"/>
      <c r="EE175" s="170"/>
      <c r="EF175" s="170"/>
      <c r="EG175" s="170"/>
      <c r="EH175" s="170"/>
      <c r="EI175" s="170"/>
      <c r="EJ175" s="170"/>
      <c r="EK175" s="170"/>
      <c r="EL175" s="170"/>
      <c r="EM175" s="170"/>
      <c r="EN175" s="170"/>
      <c r="EO175" s="170"/>
      <c r="EP175" s="170"/>
    </row>
    <row r="176" ht="15.75" customHeight="1">
      <c r="A176" s="170"/>
      <c r="B176" s="170"/>
      <c r="C176" s="170"/>
      <c r="D176" s="170"/>
      <c r="E176" s="170"/>
      <c r="F176" s="170"/>
      <c r="G176" s="170"/>
      <c r="H176" s="170"/>
      <c r="I176" s="170"/>
      <c r="J176" s="170"/>
      <c r="K176" s="170"/>
      <c r="L176" s="170"/>
      <c r="M176" s="170"/>
      <c r="N176" s="170"/>
      <c r="O176" s="170"/>
      <c r="P176" s="170"/>
      <c r="Q176" s="170"/>
      <c r="R176" s="170"/>
      <c r="S176" s="170"/>
      <c r="T176" s="170"/>
      <c r="U176" s="170"/>
      <c r="V176" s="170"/>
      <c r="W176" s="170"/>
      <c r="X176" s="170"/>
      <c r="Y176" s="170"/>
      <c r="Z176" s="170"/>
      <c r="AA176" s="170"/>
      <c r="AB176" s="170"/>
      <c r="AC176" s="170"/>
      <c r="AD176" s="170"/>
      <c r="AE176" s="170"/>
      <c r="AF176" s="170"/>
      <c r="AG176" s="170"/>
      <c r="AH176" s="170"/>
      <c r="AI176" s="170"/>
      <c r="AJ176" s="170"/>
      <c r="AK176" s="170"/>
      <c r="AL176" s="170"/>
      <c r="AM176" s="170"/>
      <c r="AN176" s="170"/>
      <c r="AO176" s="170"/>
      <c r="AP176" s="170"/>
      <c r="AQ176" s="170"/>
      <c r="AR176" s="170"/>
      <c r="AS176" s="170"/>
      <c r="AT176" s="170"/>
      <c r="AU176" s="170"/>
      <c r="AV176" s="170"/>
      <c r="AW176" s="170"/>
      <c r="AX176" s="170"/>
      <c r="AY176" s="170"/>
      <c r="AZ176" s="170"/>
      <c r="BA176" s="170"/>
      <c r="BB176" s="170"/>
      <c r="BC176" s="170"/>
      <c r="BD176" s="170"/>
      <c r="BE176" s="170"/>
      <c r="BF176" s="170"/>
      <c r="BG176" s="170"/>
      <c r="BH176" s="170"/>
      <c r="BI176" s="170"/>
      <c r="BJ176" s="170"/>
      <c r="BK176" s="170"/>
      <c r="BL176" s="170"/>
      <c r="BM176" s="170"/>
      <c r="BN176" s="170"/>
      <c r="BO176" s="170"/>
      <c r="BP176" s="170"/>
      <c r="BQ176" s="170"/>
      <c r="BR176" s="170"/>
      <c r="BS176" s="170"/>
      <c r="BT176" s="170"/>
      <c r="BU176" s="170"/>
      <c r="BV176" s="170"/>
      <c r="BW176" s="170"/>
      <c r="BX176" s="170"/>
      <c r="BY176" s="170"/>
      <c r="BZ176" s="170"/>
      <c r="CA176" s="170"/>
      <c r="CB176" s="170"/>
      <c r="CC176" s="170"/>
      <c r="CD176" s="170"/>
      <c r="CE176" s="170"/>
      <c r="CF176" s="170"/>
      <c r="CG176" s="170"/>
      <c r="CH176" s="170"/>
      <c r="CI176" s="170"/>
      <c r="CJ176" s="170"/>
      <c r="CK176" s="170"/>
      <c r="CL176" s="170"/>
      <c r="CM176" s="170"/>
      <c r="CN176" s="170"/>
      <c r="CO176" s="170"/>
      <c r="CP176" s="170"/>
      <c r="CQ176" s="170"/>
      <c r="CR176" s="170"/>
      <c r="CS176" s="170"/>
      <c r="CT176" s="170"/>
      <c r="CU176" s="170"/>
      <c r="CV176" s="170"/>
      <c r="CW176" s="170"/>
      <c r="CX176" s="170"/>
      <c r="CY176" s="170"/>
      <c r="CZ176" s="170"/>
      <c r="DA176" s="170"/>
      <c r="DB176" s="170"/>
      <c r="DC176" s="170"/>
      <c r="DD176" s="170"/>
      <c r="DE176" s="170"/>
      <c r="DF176" s="170"/>
      <c r="DG176" s="170"/>
      <c r="DH176" s="170"/>
      <c r="DI176" s="170"/>
      <c r="DJ176" s="170"/>
      <c r="DK176" s="170"/>
      <c r="DL176" s="170"/>
      <c r="DM176" s="170"/>
      <c r="DN176" s="170"/>
      <c r="DO176" s="170"/>
      <c r="DP176" s="170"/>
      <c r="DQ176" s="170"/>
      <c r="DR176" s="170"/>
      <c r="DS176" s="170"/>
      <c r="DT176" s="170"/>
      <c r="DU176" s="170"/>
      <c r="DV176" s="170"/>
      <c r="DW176" s="170"/>
      <c r="DX176" s="170"/>
      <c r="DY176" s="170"/>
      <c r="DZ176" s="170"/>
      <c r="EA176" s="170"/>
      <c r="EB176" s="170"/>
      <c r="EC176" s="170"/>
      <c r="ED176" s="170"/>
      <c r="EE176" s="170"/>
      <c r="EF176" s="170"/>
      <c r="EG176" s="170"/>
      <c r="EH176" s="170"/>
      <c r="EI176" s="170"/>
      <c r="EJ176" s="170"/>
      <c r="EK176" s="170"/>
      <c r="EL176" s="170"/>
      <c r="EM176" s="170"/>
      <c r="EN176" s="170"/>
      <c r="EO176" s="170"/>
      <c r="EP176" s="170"/>
    </row>
    <row r="177" ht="15.75" customHeight="1">
      <c r="A177" s="170"/>
      <c r="B177" s="170"/>
      <c r="C177" s="170"/>
      <c r="D177" s="170"/>
      <c r="E177" s="170"/>
      <c r="F177" s="170"/>
      <c r="G177" s="170"/>
      <c r="H177" s="170"/>
      <c r="I177" s="170"/>
      <c r="J177" s="170"/>
      <c r="K177" s="170"/>
      <c r="L177" s="170"/>
      <c r="M177" s="170"/>
      <c r="N177" s="170"/>
      <c r="O177" s="170"/>
      <c r="P177" s="170"/>
      <c r="Q177" s="170"/>
      <c r="R177" s="170"/>
      <c r="S177" s="170"/>
      <c r="T177" s="170"/>
      <c r="U177" s="170"/>
      <c r="V177" s="170"/>
      <c r="W177" s="170"/>
      <c r="X177" s="170"/>
      <c r="Y177" s="170"/>
      <c r="Z177" s="170"/>
      <c r="AA177" s="170"/>
      <c r="AB177" s="170"/>
      <c r="AC177" s="170"/>
      <c r="AD177" s="170"/>
      <c r="AE177" s="170"/>
      <c r="AF177" s="170"/>
      <c r="AG177" s="170"/>
      <c r="AH177" s="170"/>
      <c r="AI177" s="170"/>
      <c r="AJ177" s="170"/>
      <c r="AK177" s="170"/>
      <c r="AL177" s="170"/>
      <c r="AM177" s="170"/>
      <c r="AN177" s="170"/>
      <c r="AO177" s="170"/>
      <c r="AP177" s="170"/>
      <c r="AQ177" s="170"/>
      <c r="AR177" s="170"/>
      <c r="AS177" s="170"/>
      <c r="AT177" s="170"/>
      <c r="AU177" s="170"/>
      <c r="AV177" s="170"/>
      <c r="AW177" s="170"/>
      <c r="AX177" s="170"/>
      <c r="AY177" s="170"/>
      <c r="AZ177" s="170"/>
      <c r="BA177" s="170"/>
      <c r="BB177" s="170"/>
      <c r="BC177" s="170"/>
      <c r="BD177" s="170"/>
      <c r="BE177" s="170"/>
      <c r="BF177" s="170"/>
      <c r="BG177" s="170"/>
      <c r="BH177" s="170"/>
      <c r="BI177" s="170"/>
      <c r="BJ177" s="170"/>
      <c r="BK177" s="170"/>
      <c r="BL177" s="170"/>
      <c r="BM177" s="170"/>
      <c r="BN177" s="170"/>
      <c r="BO177" s="170"/>
      <c r="BP177" s="170"/>
      <c r="BQ177" s="170"/>
      <c r="BR177" s="170"/>
      <c r="BS177" s="170"/>
      <c r="BT177" s="170"/>
      <c r="BU177" s="170"/>
      <c r="BV177" s="170"/>
      <c r="BW177" s="170"/>
      <c r="BX177" s="170"/>
      <c r="BY177" s="170"/>
      <c r="BZ177" s="170"/>
      <c r="CA177" s="170"/>
      <c r="CB177" s="170"/>
      <c r="CC177" s="170"/>
      <c r="CD177" s="170"/>
      <c r="CE177" s="170"/>
      <c r="CF177" s="170"/>
      <c r="CG177" s="170"/>
      <c r="CH177" s="170"/>
      <c r="CI177" s="170"/>
      <c r="CJ177" s="170"/>
      <c r="CK177" s="170"/>
      <c r="CL177" s="170"/>
      <c r="CM177" s="170"/>
      <c r="CN177" s="170"/>
      <c r="CO177" s="170"/>
      <c r="CP177" s="170"/>
      <c r="CQ177" s="170"/>
      <c r="CR177" s="170"/>
      <c r="CS177" s="170"/>
      <c r="CT177" s="170"/>
      <c r="CU177" s="170"/>
      <c r="CV177" s="170"/>
      <c r="CW177" s="170"/>
      <c r="CX177" s="170"/>
      <c r="CY177" s="170"/>
      <c r="CZ177" s="170"/>
      <c r="DA177" s="170"/>
      <c r="DB177" s="170"/>
      <c r="DC177" s="170"/>
      <c r="DD177" s="170"/>
      <c r="DE177" s="170"/>
      <c r="DF177" s="170"/>
      <c r="DG177" s="170"/>
      <c r="DH177" s="170"/>
      <c r="DI177" s="170"/>
      <c r="DJ177" s="170"/>
      <c r="DK177" s="170"/>
      <c r="DL177" s="170"/>
      <c r="DM177" s="170"/>
      <c r="DN177" s="170"/>
      <c r="DO177" s="170"/>
      <c r="DP177" s="170"/>
      <c r="DQ177" s="170"/>
      <c r="DR177" s="170"/>
      <c r="DS177" s="170"/>
      <c r="DT177" s="170"/>
      <c r="DU177" s="170"/>
      <c r="DV177" s="170"/>
      <c r="DW177" s="170"/>
      <c r="DX177" s="170"/>
      <c r="DY177" s="170"/>
      <c r="DZ177" s="170"/>
      <c r="EA177" s="170"/>
      <c r="EB177" s="170"/>
      <c r="EC177" s="170"/>
      <c r="ED177" s="170"/>
      <c r="EE177" s="170"/>
      <c r="EF177" s="170"/>
      <c r="EG177" s="170"/>
      <c r="EH177" s="170"/>
      <c r="EI177" s="170"/>
      <c r="EJ177" s="170"/>
      <c r="EK177" s="170"/>
      <c r="EL177" s="170"/>
      <c r="EM177" s="170"/>
      <c r="EN177" s="170"/>
      <c r="EO177" s="170"/>
      <c r="EP177" s="170"/>
    </row>
    <row r="178" ht="15.75" customHeight="1">
      <c r="A178" s="170"/>
      <c r="B178" s="170"/>
      <c r="C178" s="170"/>
      <c r="D178" s="170"/>
      <c r="E178" s="170"/>
      <c r="F178" s="170"/>
      <c r="G178" s="170"/>
      <c r="H178" s="170"/>
      <c r="I178" s="170"/>
      <c r="J178" s="170"/>
      <c r="K178" s="170"/>
      <c r="L178" s="170"/>
      <c r="M178" s="170"/>
      <c r="N178" s="170"/>
      <c r="O178" s="170"/>
      <c r="P178" s="170"/>
      <c r="Q178" s="170"/>
      <c r="R178" s="170"/>
      <c r="S178" s="170"/>
      <c r="T178" s="170"/>
      <c r="U178" s="170"/>
      <c r="V178" s="170"/>
      <c r="W178" s="170"/>
      <c r="X178" s="170"/>
      <c r="Y178" s="170"/>
      <c r="Z178" s="170"/>
      <c r="AA178" s="170"/>
      <c r="AB178" s="170"/>
      <c r="AC178" s="170"/>
      <c r="AD178" s="170"/>
      <c r="AE178" s="170"/>
      <c r="AF178" s="170"/>
      <c r="AG178" s="170"/>
      <c r="AH178" s="170"/>
      <c r="AI178" s="170"/>
      <c r="AJ178" s="170"/>
      <c r="AK178" s="170"/>
      <c r="AL178" s="170"/>
      <c r="AM178" s="170"/>
      <c r="AN178" s="170"/>
      <c r="AO178" s="170"/>
      <c r="AP178" s="170"/>
      <c r="AQ178" s="170"/>
      <c r="AR178" s="170"/>
      <c r="AS178" s="170"/>
      <c r="AT178" s="170"/>
      <c r="AU178" s="170"/>
      <c r="AV178" s="170"/>
      <c r="AW178" s="170"/>
      <c r="AX178" s="170"/>
      <c r="AY178" s="170"/>
      <c r="AZ178" s="170"/>
      <c r="BA178" s="170"/>
      <c r="BB178" s="170"/>
      <c r="BC178" s="170"/>
      <c r="BD178" s="170"/>
      <c r="BE178" s="170"/>
      <c r="BF178" s="170"/>
      <c r="BG178" s="170"/>
      <c r="BH178" s="170"/>
      <c r="BI178" s="170"/>
      <c r="BJ178" s="170"/>
      <c r="BK178" s="170"/>
      <c r="BL178" s="170"/>
      <c r="BM178" s="170"/>
      <c r="BN178" s="170"/>
      <c r="BO178" s="170"/>
      <c r="BP178" s="170"/>
      <c r="BQ178" s="170"/>
      <c r="BR178" s="170"/>
      <c r="BS178" s="170"/>
      <c r="BT178" s="170"/>
      <c r="BU178" s="170"/>
      <c r="BV178" s="170"/>
      <c r="BW178" s="170"/>
      <c r="BX178" s="170"/>
      <c r="BY178" s="170"/>
      <c r="BZ178" s="170"/>
      <c r="CA178" s="170"/>
      <c r="CB178" s="170"/>
      <c r="CC178" s="170"/>
      <c r="CD178" s="170"/>
      <c r="CE178" s="170"/>
      <c r="CF178" s="170"/>
      <c r="CG178" s="170"/>
      <c r="CH178" s="170"/>
      <c r="CI178" s="170"/>
      <c r="CJ178" s="170"/>
      <c r="CK178" s="170"/>
      <c r="CL178" s="170"/>
      <c r="CM178" s="170"/>
      <c r="CN178" s="170"/>
      <c r="CO178" s="170"/>
      <c r="CP178" s="170"/>
      <c r="CQ178" s="170"/>
      <c r="CR178" s="170"/>
      <c r="CS178" s="170"/>
      <c r="CT178" s="170"/>
      <c r="CU178" s="170"/>
      <c r="CV178" s="170"/>
      <c r="CW178" s="170"/>
      <c r="CX178" s="170"/>
      <c r="CY178" s="170"/>
      <c r="CZ178" s="170"/>
      <c r="DA178" s="170"/>
      <c r="DB178" s="170"/>
      <c r="DC178" s="170"/>
      <c r="DD178" s="170"/>
      <c r="DE178" s="170"/>
      <c r="DF178" s="170"/>
      <c r="DG178" s="170"/>
      <c r="DH178" s="170"/>
      <c r="DI178" s="170"/>
      <c r="DJ178" s="170"/>
      <c r="DK178" s="170"/>
      <c r="DL178" s="170"/>
      <c r="DM178" s="170"/>
      <c r="DN178" s="170"/>
      <c r="DO178" s="170"/>
      <c r="DP178" s="170"/>
      <c r="DQ178" s="170"/>
      <c r="DR178" s="170"/>
      <c r="DS178" s="170"/>
      <c r="DT178" s="170"/>
      <c r="DU178" s="170"/>
      <c r="DV178" s="170"/>
      <c r="DW178" s="170"/>
      <c r="DX178" s="170"/>
      <c r="DY178" s="170"/>
      <c r="DZ178" s="170"/>
      <c r="EA178" s="170"/>
      <c r="EB178" s="170"/>
      <c r="EC178" s="170"/>
      <c r="ED178" s="170"/>
      <c r="EE178" s="170"/>
      <c r="EF178" s="170"/>
      <c r="EG178" s="170"/>
      <c r="EH178" s="170"/>
      <c r="EI178" s="170"/>
      <c r="EJ178" s="170"/>
      <c r="EK178" s="170"/>
      <c r="EL178" s="170"/>
      <c r="EM178" s="170"/>
      <c r="EN178" s="170"/>
      <c r="EO178" s="170"/>
      <c r="EP178" s="170"/>
    </row>
    <row r="179" ht="15.75" customHeight="1">
      <c r="A179" s="170"/>
      <c r="B179" s="170"/>
      <c r="C179" s="170"/>
      <c r="D179" s="170"/>
      <c r="E179" s="170"/>
      <c r="F179" s="170"/>
      <c r="G179" s="170"/>
      <c r="H179" s="170"/>
      <c r="I179" s="170"/>
      <c r="J179" s="170"/>
      <c r="K179" s="170"/>
      <c r="L179" s="170"/>
      <c r="M179" s="170"/>
      <c r="N179" s="170"/>
      <c r="O179" s="170"/>
      <c r="P179" s="170"/>
      <c r="Q179" s="170"/>
      <c r="R179" s="170"/>
      <c r="S179" s="170"/>
      <c r="T179" s="170"/>
      <c r="U179" s="170"/>
      <c r="V179" s="170"/>
      <c r="W179" s="170"/>
      <c r="X179" s="170"/>
      <c r="Y179" s="170"/>
      <c r="Z179" s="170"/>
      <c r="AA179" s="170"/>
      <c r="AB179" s="170"/>
      <c r="AC179" s="170"/>
      <c r="AD179" s="170"/>
      <c r="AE179" s="170"/>
      <c r="AF179" s="170"/>
      <c r="AG179" s="170"/>
      <c r="AH179" s="170"/>
      <c r="AI179" s="170"/>
      <c r="AJ179" s="170"/>
      <c r="AK179" s="170"/>
      <c r="AL179" s="170"/>
      <c r="AM179" s="170"/>
      <c r="AN179" s="170"/>
      <c r="AO179" s="170"/>
      <c r="AP179" s="170"/>
      <c r="AQ179" s="170"/>
      <c r="AR179" s="170"/>
      <c r="AS179" s="170"/>
      <c r="AT179" s="170"/>
      <c r="AU179" s="170"/>
      <c r="AV179" s="170"/>
      <c r="AW179" s="170"/>
      <c r="AX179" s="170"/>
      <c r="AY179" s="170"/>
      <c r="AZ179" s="170"/>
      <c r="BA179" s="170"/>
      <c r="BB179" s="170"/>
      <c r="BC179" s="170"/>
      <c r="BD179" s="170"/>
      <c r="BE179" s="170"/>
      <c r="BF179" s="170"/>
      <c r="BG179" s="170"/>
      <c r="BH179" s="170"/>
      <c r="BI179" s="170"/>
      <c r="BJ179" s="170"/>
      <c r="BK179" s="170"/>
      <c r="BL179" s="170"/>
      <c r="BM179" s="170"/>
      <c r="BN179" s="170"/>
      <c r="BO179" s="170"/>
      <c r="BP179" s="170"/>
      <c r="BQ179" s="170"/>
      <c r="BR179" s="170"/>
      <c r="BS179" s="170"/>
      <c r="BT179" s="170"/>
      <c r="BU179" s="170"/>
      <c r="BV179" s="170"/>
      <c r="BW179" s="170"/>
      <c r="BX179" s="170"/>
      <c r="BY179" s="170"/>
      <c r="BZ179" s="170"/>
      <c r="CA179" s="170"/>
      <c r="CB179" s="170"/>
      <c r="CC179" s="170"/>
      <c r="CD179" s="170"/>
      <c r="CE179" s="170"/>
      <c r="CF179" s="170"/>
      <c r="CG179" s="170"/>
      <c r="CH179" s="170"/>
      <c r="CI179" s="170"/>
      <c r="CJ179" s="170"/>
      <c r="CK179" s="170"/>
      <c r="CL179" s="170"/>
      <c r="CM179" s="170"/>
      <c r="CN179" s="170"/>
      <c r="CO179" s="170"/>
      <c r="CP179" s="170"/>
      <c r="CQ179" s="170"/>
      <c r="CR179" s="170"/>
      <c r="CS179" s="170"/>
      <c r="CT179" s="170"/>
      <c r="CU179" s="170"/>
      <c r="CV179" s="170"/>
      <c r="CW179" s="170"/>
      <c r="CX179" s="170"/>
      <c r="CY179" s="170"/>
      <c r="CZ179" s="170"/>
      <c r="DA179" s="170"/>
      <c r="DB179" s="170"/>
      <c r="DC179" s="170"/>
      <c r="DD179" s="170"/>
      <c r="DE179" s="170"/>
      <c r="DF179" s="170"/>
      <c r="DG179" s="170"/>
      <c r="DH179" s="170"/>
      <c r="DI179" s="170"/>
      <c r="DJ179" s="170"/>
      <c r="DK179" s="170"/>
      <c r="DL179" s="170"/>
      <c r="DM179" s="170"/>
      <c r="DN179" s="170"/>
      <c r="DO179" s="170"/>
      <c r="DP179" s="170"/>
      <c r="DQ179" s="170"/>
      <c r="DR179" s="170"/>
      <c r="DS179" s="170"/>
      <c r="DT179" s="170"/>
      <c r="DU179" s="170"/>
      <c r="DV179" s="170"/>
      <c r="DW179" s="170"/>
      <c r="DX179" s="170"/>
      <c r="DY179" s="170"/>
      <c r="DZ179" s="170"/>
      <c r="EA179" s="170"/>
      <c r="EB179" s="170"/>
      <c r="EC179" s="170"/>
      <c r="ED179" s="170"/>
      <c r="EE179" s="170"/>
      <c r="EF179" s="170"/>
      <c r="EG179" s="170"/>
      <c r="EH179" s="170"/>
      <c r="EI179" s="170"/>
      <c r="EJ179" s="170"/>
      <c r="EK179" s="170"/>
      <c r="EL179" s="170"/>
      <c r="EM179" s="170"/>
      <c r="EN179" s="170"/>
      <c r="EO179" s="170"/>
      <c r="EP179" s="170"/>
    </row>
    <row r="180" ht="15.75" customHeight="1">
      <c r="A180" s="170"/>
      <c r="B180" s="170"/>
      <c r="C180" s="170"/>
      <c r="D180" s="170"/>
      <c r="E180" s="170"/>
      <c r="F180" s="170"/>
      <c r="G180" s="170"/>
      <c r="H180" s="170"/>
      <c r="I180" s="170"/>
      <c r="J180" s="170"/>
      <c r="K180" s="170"/>
      <c r="L180" s="170"/>
      <c r="M180" s="170"/>
      <c r="N180" s="170"/>
      <c r="O180" s="170"/>
      <c r="P180" s="170"/>
      <c r="Q180" s="170"/>
      <c r="R180" s="170"/>
      <c r="S180" s="170"/>
      <c r="T180" s="170"/>
      <c r="U180" s="170"/>
      <c r="V180" s="170"/>
      <c r="W180" s="170"/>
      <c r="X180" s="170"/>
      <c r="Y180" s="170"/>
      <c r="Z180" s="170"/>
      <c r="AA180" s="170"/>
      <c r="AB180" s="170"/>
      <c r="AC180" s="170"/>
      <c r="AD180" s="170"/>
      <c r="AE180" s="170"/>
      <c r="AF180" s="170"/>
      <c r="AG180" s="170"/>
      <c r="AH180" s="170"/>
      <c r="AI180" s="170"/>
      <c r="AJ180" s="170"/>
      <c r="AK180" s="170"/>
      <c r="AL180" s="170"/>
      <c r="AM180" s="170"/>
      <c r="AN180" s="170"/>
      <c r="AO180" s="170"/>
      <c r="AP180" s="170"/>
      <c r="AQ180" s="170"/>
      <c r="AR180" s="170"/>
      <c r="AS180" s="170"/>
      <c r="AT180" s="170"/>
      <c r="AU180" s="170"/>
      <c r="AV180" s="170"/>
      <c r="AW180" s="170"/>
      <c r="AX180" s="170"/>
      <c r="AY180" s="170"/>
      <c r="AZ180" s="170"/>
      <c r="BA180" s="170"/>
      <c r="BB180" s="170"/>
      <c r="BC180" s="170"/>
      <c r="BD180" s="170"/>
      <c r="BE180" s="170"/>
      <c r="BF180" s="170"/>
      <c r="BG180" s="170"/>
      <c r="BH180" s="170"/>
      <c r="BI180" s="170"/>
      <c r="BJ180" s="170"/>
      <c r="BK180" s="170"/>
      <c r="BL180" s="170"/>
      <c r="BM180" s="170"/>
      <c r="BN180" s="170"/>
      <c r="BO180" s="170"/>
      <c r="BP180" s="170"/>
      <c r="BQ180" s="170"/>
      <c r="BR180" s="170"/>
      <c r="BS180" s="170"/>
      <c r="BT180" s="170"/>
      <c r="BU180" s="170"/>
      <c r="BV180" s="170"/>
      <c r="BW180" s="170"/>
      <c r="BX180" s="170"/>
      <c r="BY180" s="170"/>
      <c r="BZ180" s="170"/>
      <c r="CA180" s="170"/>
      <c r="CB180" s="170"/>
      <c r="CC180" s="170"/>
      <c r="CD180" s="170"/>
      <c r="CE180" s="170"/>
      <c r="CF180" s="170"/>
      <c r="CG180" s="170"/>
      <c r="CH180" s="170"/>
      <c r="CI180" s="170"/>
      <c r="CJ180" s="170"/>
      <c r="CK180" s="170"/>
      <c r="CL180" s="170"/>
      <c r="CM180" s="170"/>
      <c r="CN180" s="170"/>
      <c r="CO180" s="170"/>
      <c r="CP180" s="170"/>
      <c r="CQ180" s="170"/>
      <c r="CR180" s="170"/>
      <c r="CS180" s="170"/>
      <c r="CT180" s="170"/>
      <c r="CU180" s="170"/>
      <c r="CV180" s="170"/>
      <c r="CW180" s="170"/>
      <c r="CX180" s="170"/>
      <c r="CY180" s="170"/>
      <c r="CZ180" s="170"/>
      <c r="DA180" s="170"/>
      <c r="DB180" s="170"/>
      <c r="DC180" s="170"/>
      <c r="DD180" s="170"/>
      <c r="DE180" s="170"/>
      <c r="DF180" s="170"/>
      <c r="DG180" s="170"/>
      <c r="DH180" s="170"/>
      <c r="DI180" s="170"/>
      <c r="DJ180" s="170"/>
      <c r="DK180" s="170"/>
      <c r="DL180" s="170"/>
      <c r="DM180" s="170"/>
      <c r="DN180" s="170"/>
      <c r="DO180" s="170"/>
      <c r="DP180" s="170"/>
      <c r="DQ180" s="170"/>
      <c r="DR180" s="170"/>
      <c r="DS180" s="170"/>
      <c r="DT180" s="170"/>
      <c r="DU180" s="170"/>
      <c r="DV180" s="170"/>
      <c r="DW180" s="170"/>
      <c r="DX180" s="170"/>
      <c r="DY180" s="170"/>
      <c r="DZ180" s="170"/>
      <c r="EA180" s="170"/>
      <c r="EB180" s="170"/>
      <c r="EC180" s="170"/>
      <c r="ED180" s="170"/>
      <c r="EE180" s="170"/>
      <c r="EF180" s="170"/>
      <c r="EG180" s="170"/>
      <c r="EH180" s="170"/>
      <c r="EI180" s="170"/>
      <c r="EJ180" s="170"/>
      <c r="EK180" s="170"/>
      <c r="EL180" s="170"/>
      <c r="EM180" s="170"/>
      <c r="EN180" s="170"/>
      <c r="EO180" s="170"/>
      <c r="EP180" s="170"/>
    </row>
    <row r="181" ht="15.75" customHeight="1">
      <c r="A181" s="170"/>
      <c r="B181" s="170"/>
      <c r="C181" s="170"/>
      <c r="D181" s="170"/>
      <c r="E181" s="170"/>
      <c r="F181" s="170"/>
      <c r="G181" s="170"/>
      <c r="H181" s="170"/>
      <c r="I181" s="170"/>
      <c r="J181" s="170"/>
      <c r="K181" s="170"/>
      <c r="L181" s="170"/>
      <c r="M181" s="170"/>
      <c r="N181" s="170"/>
      <c r="O181" s="170"/>
      <c r="P181" s="170"/>
      <c r="Q181" s="170"/>
      <c r="R181" s="170"/>
      <c r="S181" s="170"/>
      <c r="T181" s="170"/>
      <c r="U181" s="170"/>
      <c r="V181" s="170"/>
      <c r="W181" s="170"/>
      <c r="X181" s="170"/>
      <c r="Y181" s="170"/>
      <c r="Z181" s="170"/>
      <c r="AA181" s="170"/>
      <c r="AB181" s="170"/>
      <c r="AC181" s="170"/>
      <c r="AD181" s="170"/>
      <c r="AE181" s="170"/>
      <c r="AF181" s="170"/>
      <c r="AG181" s="170"/>
      <c r="AH181" s="170"/>
      <c r="AI181" s="170"/>
      <c r="AJ181" s="170"/>
      <c r="AK181" s="170"/>
      <c r="AL181" s="170"/>
      <c r="AM181" s="170"/>
      <c r="AN181" s="170"/>
      <c r="AO181" s="170"/>
      <c r="AP181" s="170"/>
      <c r="AQ181" s="170"/>
      <c r="AR181" s="170"/>
      <c r="AS181" s="170"/>
      <c r="AT181" s="170"/>
      <c r="AU181" s="170"/>
      <c r="AV181" s="170"/>
      <c r="AW181" s="170"/>
      <c r="AX181" s="170"/>
      <c r="AY181" s="170"/>
      <c r="AZ181" s="170"/>
      <c r="BA181" s="170"/>
      <c r="BB181" s="170"/>
      <c r="BC181" s="170"/>
      <c r="BD181" s="170"/>
      <c r="BE181" s="170"/>
      <c r="BF181" s="170"/>
      <c r="BG181" s="170"/>
      <c r="BH181" s="170"/>
      <c r="BI181" s="170"/>
      <c r="BJ181" s="170"/>
      <c r="BK181" s="170"/>
      <c r="BL181" s="170"/>
      <c r="BM181" s="170"/>
      <c r="BN181" s="170"/>
      <c r="BO181" s="170"/>
      <c r="BP181" s="170"/>
      <c r="BQ181" s="170"/>
      <c r="BR181" s="170"/>
      <c r="BS181" s="170"/>
      <c r="BT181" s="170"/>
      <c r="BU181" s="170"/>
      <c r="BV181" s="170"/>
      <c r="BW181" s="170"/>
      <c r="BX181" s="170"/>
      <c r="BY181" s="170"/>
      <c r="BZ181" s="170"/>
      <c r="CA181" s="170"/>
      <c r="CB181" s="170"/>
      <c r="CC181" s="170"/>
      <c r="CD181" s="170"/>
      <c r="CE181" s="170"/>
      <c r="CF181" s="170"/>
      <c r="CG181" s="170"/>
      <c r="CH181" s="170"/>
      <c r="CI181" s="170"/>
      <c r="CJ181" s="170"/>
      <c r="CK181" s="170"/>
      <c r="CL181" s="170"/>
      <c r="CM181" s="170"/>
      <c r="CN181" s="170"/>
      <c r="CO181" s="170"/>
      <c r="CP181" s="170"/>
      <c r="CQ181" s="170"/>
      <c r="CR181" s="170"/>
      <c r="CS181" s="170"/>
      <c r="CT181" s="170"/>
      <c r="CU181" s="170"/>
      <c r="CV181" s="170"/>
      <c r="CW181" s="170"/>
      <c r="CX181" s="170"/>
      <c r="CY181" s="170"/>
      <c r="CZ181" s="170"/>
      <c r="DA181" s="170"/>
      <c r="DB181" s="170"/>
      <c r="DC181" s="170"/>
      <c r="DD181" s="170"/>
      <c r="DE181" s="170"/>
      <c r="DF181" s="170"/>
      <c r="DG181" s="170"/>
      <c r="DH181" s="170"/>
      <c r="DI181" s="170"/>
      <c r="DJ181" s="170"/>
      <c r="DK181" s="170"/>
      <c r="DL181" s="170"/>
      <c r="DM181" s="170"/>
      <c r="DN181" s="170"/>
      <c r="DO181" s="170"/>
      <c r="DP181" s="170"/>
      <c r="DQ181" s="170"/>
      <c r="DR181" s="170"/>
      <c r="DS181" s="170"/>
      <c r="DT181" s="170"/>
      <c r="DU181" s="170"/>
      <c r="DV181" s="170"/>
      <c r="DW181" s="170"/>
      <c r="DX181" s="170"/>
      <c r="DY181" s="170"/>
      <c r="DZ181" s="170"/>
      <c r="EA181" s="170"/>
      <c r="EB181" s="170"/>
      <c r="EC181" s="170"/>
      <c r="ED181" s="170"/>
      <c r="EE181" s="170"/>
      <c r="EF181" s="170"/>
      <c r="EG181" s="170"/>
      <c r="EH181" s="170"/>
      <c r="EI181" s="170"/>
      <c r="EJ181" s="170"/>
      <c r="EK181" s="170"/>
      <c r="EL181" s="170"/>
      <c r="EM181" s="170"/>
      <c r="EN181" s="170"/>
      <c r="EO181" s="170"/>
      <c r="EP181" s="170"/>
    </row>
    <row r="182" ht="15.75" customHeight="1">
      <c r="A182" s="170"/>
      <c r="B182" s="170"/>
      <c r="C182" s="170"/>
      <c r="D182" s="170"/>
      <c r="E182" s="170"/>
      <c r="F182" s="170"/>
      <c r="G182" s="170"/>
      <c r="H182" s="170"/>
      <c r="I182" s="170"/>
      <c r="J182" s="170"/>
      <c r="K182" s="170"/>
      <c r="L182" s="170"/>
      <c r="M182" s="170"/>
      <c r="N182" s="170"/>
      <c r="O182" s="170"/>
      <c r="P182" s="170"/>
      <c r="Q182" s="170"/>
      <c r="R182" s="170"/>
      <c r="S182" s="170"/>
      <c r="T182" s="170"/>
      <c r="U182" s="170"/>
      <c r="V182" s="170"/>
      <c r="W182" s="170"/>
      <c r="X182" s="170"/>
      <c r="Y182" s="170"/>
      <c r="Z182" s="170"/>
      <c r="AA182" s="170"/>
      <c r="AB182" s="170"/>
      <c r="AC182" s="170"/>
      <c r="AD182" s="170"/>
      <c r="AE182" s="170"/>
      <c r="AF182" s="170"/>
      <c r="AG182" s="170"/>
      <c r="AH182" s="170"/>
      <c r="AI182" s="170"/>
      <c r="AJ182" s="170"/>
      <c r="AK182" s="170"/>
      <c r="AL182" s="170"/>
      <c r="AM182" s="170"/>
      <c r="AN182" s="170"/>
      <c r="AO182" s="170"/>
      <c r="AP182" s="170"/>
      <c r="AQ182" s="170"/>
      <c r="AR182" s="170"/>
      <c r="AS182" s="170"/>
      <c r="AT182" s="170"/>
      <c r="AU182" s="170"/>
      <c r="AV182" s="170"/>
      <c r="AW182" s="170"/>
      <c r="AX182" s="170"/>
      <c r="AY182" s="170"/>
      <c r="AZ182" s="170"/>
      <c r="BA182" s="170"/>
      <c r="BB182" s="170"/>
      <c r="BC182" s="170"/>
      <c r="BD182" s="170"/>
      <c r="BE182" s="170"/>
      <c r="BF182" s="170"/>
      <c r="BG182" s="170"/>
      <c r="BH182" s="170"/>
      <c r="BI182" s="170"/>
      <c r="BJ182" s="170"/>
      <c r="BK182" s="170"/>
      <c r="BL182" s="170"/>
      <c r="BM182" s="170"/>
      <c r="BN182" s="170"/>
      <c r="BO182" s="170"/>
      <c r="BP182" s="170"/>
      <c r="BQ182" s="170"/>
      <c r="BR182" s="170"/>
      <c r="BS182" s="170"/>
      <c r="BT182" s="170"/>
      <c r="BU182" s="170"/>
      <c r="BV182" s="170"/>
      <c r="BW182" s="170"/>
      <c r="BX182" s="170"/>
      <c r="BY182" s="170"/>
      <c r="BZ182" s="170"/>
      <c r="CA182" s="170"/>
      <c r="CB182" s="170"/>
      <c r="CC182" s="170"/>
      <c r="CD182" s="170"/>
      <c r="CE182" s="170"/>
      <c r="CF182" s="170"/>
      <c r="CG182" s="170"/>
      <c r="CH182" s="170"/>
      <c r="CI182" s="170"/>
      <c r="CJ182" s="170"/>
      <c r="CK182" s="170"/>
      <c r="CL182" s="170"/>
      <c r="CM182" s="170"/>
      <c r="CN182" s="170"/>
      <c r="CO182" s="170"/>
      <c r="CP182" s="170"/>
      <c r="CQ182" s="170"/>
      <c r="CR182" s="170"/>
      <c r="CS182" s="170"/>
      <c r="CT182" s="170"/>
      <c r="CU182" s="170"/>
      <c r="CV182" s="170"/>
      <c r="CW182" s="170"/>
      <c r="CX182" s="170"/>
      <c r="CY182" s="170"/>
      <c r="CZ182" s="170"/>
      <c r="DA182" s="170"/>
      <c r="DB182" s="170"/>
      <c r="DC182" s="170"/>
      <c r="DD182" s="170"/>
      <c r="DE182" s="170"/>
      <c r="DF182" s="170"/>
      <c r="DG182" s="170"/>
      <c r="DH182" s="170"/>
      <c r="DI182" s="170"/>
      <c r="DJ182" s="170"/>
      <c r="DK182" s="170"/>
      <c r="DL182" s="170"/>
      <c r="DM182" s="170"/>
      <c r="DN182" s="170"/>
      <c r="DO182" s="170"/>
      <c r="DP182" s="170"/>
      <c r="DQ182" s="170"/>
      <c r="DR182" s="170"/>
      <c r="DS182" s="170"/>
      <c r="DT182" s="170"/>
      <c r="DU182" s="170"/>
      <c r="DV182" s="170"/>
      <c r="DW182" s="170"/>
      <c r="DX182" s="170"/>
      <c r="DY182" s="170"/>
      <c r="DZ182" s="170"/>
      <c r="EA182" s="170"/>
      <c r="EB182" s="170"/>
      <c r="EC182" s="170"/>
      <c r="ED182" s="170"/>
      <c r="EE182" s="170"/>
      <c r="EF182" s="170"/>
      <c r="EG182" s="170"/>
      <c r="EH182" s="170"/>
      <c r="EI182" s="170"/>
      <c r="EJ182" s="170"/>
      <c r="EK182" s="170"/>
      <c r="EL182" s="170"/>
      <c r="EM182" s="170"/>
      <c r="EN182" s="170"/>
      <c r="EO182" s="170"/>
      <c r="EP182" s="170"/>
    </row>
    <row r="183" ht="15.75" customHeight="1">
      <c r="A183" s="170"/>
      <c r="B183" s="170"/>
      <c r="C183" s="170"/>
      <c r="D183" s="170"/>
      <c r="E183" s="170"/>
      <c r="F183" s="170"/>
      <c r="G183" s="170"/>
      <c r="H183" s="170"/>
      <c r="I183" s="170"/>
      <c r="J183" s="170"/>
      <c r="K183" s="170"/>
      <c r="L183" s="170"/>
      <c r="M183" s="170"/>
      <c r="N183" s="170"/>
      <c r="O183" s="170"/>
      <c r="P183" s="170"/>
      <c r="Q183" s="170"/>
      <c r="R183" s="170"/>
      <c r="S183" s="170"/>
      <c r="T183" s="170"/>
      <c r="U183" s="170"/>
      <c r="V183" s="170"/>
      <c r="W183" s="170"/>
      <c r="X183" s="170"/>
      <c r="Y183" s="170"/>
      <c r="Z183" s="170"/>
      <c r="AA183" s="170"/>
      <c r="AB183" s="170"/>
      <c r="AC183" s="170"/>
      <c r="AD183" s="170"/>
      <c r="AE183" s="170"/>
      <c r="AF183" s="170"/>
      <c r="AG183" s="170"/>
      <c r="AH183" s="170"/>
      <c r="AI183" s="170"/>
      <c r="AJ183" s="170"/>
      <c r="AK183" s="170"/>
      <c r="AL183" s="170"/>
      <c r="AM183" s="170"/>
      <c r="AN183" s="170"/>
      <c r="AO183" s="170"/>
      <c r="AP183" s="170"/>
      <c r="AQ183" s="170"/>
      <c r="AR183" s="170"/>
      <c r="AS183" s="170"/>
      <c r="AT183" s="170"/>
      <c r="AU183" s="170"/>
      <c r="AV183" s="170"/>
      <c r="AW183" s="170"/>
      <c r="AX183" s="170"/>
      <c r="AY183" s="170"/>
      <c r="AZ183" s="170"/>
      <c r="BA183" s="170"/>
      <c r="BB183" s="170"/>
      <c r="BC183" s="170"/>
      <c r="BD183" s="170"/>
      <c r="BE183" s="170"/>
      <c r="BF183" s="170"/>
      <c r="BG183" s="170"/>
      <c r="BH183" s="170"/>
      <c r="BI183" s="170"/>
      <c r="BJ183" s="170"/>
      <c r="BK183" s="170"/>
      <c r="BL183" s="170"/>
      <c r="BM183" s="170"/>
      <c r="BN183" s="170"/>
      <c r="BO183" s="170"/>
      <c r="BP183" s="170"/>
      <c r="BQ183" s="170"/>
      <c r="BR183" s="170"/>
      <c r="BS183" s="170"/>
      <c r="BT183" s="170"/>
      <c r="BU183" s="170"/>
      <c r="BV183" s="170"/>
      <c r="BW183" s="170"/>
      <c r="BX183" s="170"/>
      <c r="BY183" s="170"/>
      <c r="BZ183" s="170"/>
      <c r="CA183" s="170"/>
      <c r="CB183" s="170"/>
      <c r="CC183" s="170"/>
      <c r="CD183" s="170"/>
      <c r="CE183" s="170"/>
      <c r="CF183" s="170"/>
      <c r="CG183" s="170"/>
      <c r="CH183" s="170"/>
      <c r="CI183" s="170"/>
      <c r="CJ183" s="170"/>
      <c r="CK183" s="170"/>
      <c r="CL183" s="170"/>
      <c r="CM183" s="170"/>
      <c r="CN183" s="170"/>
      <c r="CO183" s="170"/>
      <c r="CP183" s="170"/>
      <c r="CQ183" s="170"/>
      <c r="CR183" s="170"/>
      <c r="CS183" s="170"/>
      <c r="CT183" s="170"/>
      <c r="CU183" s="170"/>
      <c r="CV183" s="170"/>
      <c r="CW183" s="170"/>
      <c r="CX183" s="170"/>
      <c r="CY183" s="170"/>
      <c r="CZ183" s="170"/>
      <c r="DA183" s="170"/>
      <c r="DB183" s="170"/>
      <c r="DC183" s="170"/>
      <c r="DD183" s="170"/>
      <c r="DE183" s="170"/>
      <c r="DF183" s="170"/>
      <c r="DG183" s="170"/>
      <c r="DH183" s="170"/>
      <c r="DI183" s="170"/>
      <c r="DJ183" s="170"/>
      <c r="DK183" s="170"/>
      <c r="DL183" s="170"/>
      <c r="DM183" s="170"/>
      <c r="DN183" s="170"/>
      <c r="DO183" s="170"/>
      <c r="DP183" s="170"/>
      <c r="DQ183" s="170"/>
      <c r="DR183" s="170"/>
      <c r="DS183" s="170"/>
      <c r="DT183" s="170"/>
      <c r="DU183" s="170"/>
      <c r="DV183" s="170"/>
      <c r="DW183" s="170"/>
      <c r="DX183" s="170"/>
      <c r="DY183" s="170"/>
      <c r="DZ183" s="170"/>
      <c r="EA183" s="170"/>
      <c r="EB183" s="170"/>
      <c r="EC183" s="170"/>
      <c r="ED183" s="170"/>
      <c r="EE183" s="170"/>
      <c r="EF183" s="170"/>
      <c r="EG183" s="170"/>
      <c r="EH183" s="170"/>
      <c r="EI183" s="170"/>
      <c r="EJ183" s="170"/>
      <c r="EK183" s="170"/>
      <c r="EL183" s="170"/>
      <c r="EM183" s="170"/>
      <c r="EN183" s="170"/>
      <c r="EO183" s="170"/>
      <c r="EP183" s="170"/>
    </row>
    <row r="184" ht="15.75" customHeight="1">
      <c r="A184" s="170"/>
      <c r="B184" s="170"/>
      <c r="C184" s="170"/>
      <c r="D184" s="170"/>
      <c r="E184" s="170"/>
      <c r="F184" s="170"/>
      <c r="G184" s="170"/>
      <c r="H184" s="170"/>
      <c r="I184" s="170"/>
      <c r="J184" s="170"/>
      <c r="K184" s="170"/>
      <c r="L184" s="170"/>
      <c r="M184" s="170"/>
      <c r="N184" s="170"/>
      <c r="O184" s="170"/>
      <c r="P184" s="170"/>
      <c r="Q184" s="170"/>
      <c r="R184" s="170"/>
      <c r="S184" s="170"/>
      <c r="T184" s="170"/>
      <c r="U184" s="170"/>
      <c r="V184" s="170"/>
      <c r="W184" s="170"/>
      <c r="X184" s="170"/>
      <c r="Y184" s="170"/>
      <c r="Z184" s="170"/>
      <c r="AA184" s="170"/>
      <c r="AB184" s="170"/>
      <c r="AC184" s="170"/>
      <c r="AD184" s="170"/>
      <c r="AE184" s="170"/>
      <c r="AF184" s="170"/>
      <c r="AG184" s="170"/>
      <c r="AH184" s="170"/>
      <c r="AI184" s="170"/>
      <c r="AJ184" s="170"/>
      <c r="AK184" s="170"/>
      <c r="AL184" s="170"/>
      <c r="AM184" s="170"/>
      <c r="AN184" s="170"/>
      <c r="AO184" s="170"/>
      <c r="AP184" s="170"/>
      <c r="AQ184" s="170"/>
      <c r="AR184" s="170"/>
      <c r="AS184" s="170"/>
      <c r="AT184" s="170"/>
      <c r="AU184" s="170"/>
      <c r="AV184" s="170"/>
      <c r="AW184" s="170"/>
      <c r="AX184" s="170"/>
      <c r="AY184" s="170"/>
      <c r="AZ184" s="170"/>
      <c r="BA184" s="170"/>
      <c r="BB184" s="170"/>
      <c r="BC184" s="170"/>
      <c r="BD184" s="170"/>
      <c r="BE184" s="170"/>
      <c r="BF184" s="170"/>
      <c r="BG184" s="170"/>
      <c r="BH184" s="170"/>
      <c r="BI184" s="170"/>
      <c r="BJ184" s="170"/>
      <c r="BK184" s="170"/>
      <c r="BL184" s="170"/>
      <c r="BM184" s="170"/>
      <c r="BN184" s="170"/>
      <c r="BO184" s="170"/>
      <c r="BP184" s="170"/>
      <c r="BQ184" s="170"/>
      <c r="BR184" s="170"/>
      <c r="BS184" s="170"/>
      <c r="BT184" s="170"/>
      <c r="BU184" s="170"/>
      <c r="BV184" s="170"/>
      <c r="BW184" s="170"/>
      <c r="BX184" s="170"/>
      <c r="BY184" s="170"/>
      <c r="BZ184" s="170"/>
      <c r="CA184" s="170"/>
      <c r="CB184" s="170"/>
      <c r="CC184" s="170"/>
      <c r="CD184" s="170"/>
      <c r="CE184" s="170"/>
      <c r="CF184" s="170"/>
      <c r="CG184" s="170"/>
      <c r="CH184" s="170"/>
      <c r="CI184" s="170"/>
      <c r="CJ184" s="170"/>
      <c r="CK184" s="170"/>
      <c r="CL184" s="170"/>
      <c r="CM184" s="170"/>
      <c r="CN184" s="170"/>
      <c r="CO184" s="170"/>
      <c r="CP184" s="170"/>
      <c r="CQ184" s="170"/>
      <c r="CR184" s="170"/>
      <c r="CS184" s="170"/>
      <c r="CT184" s="170"/>
      <c r="CU184" s="170"/>
      <c r="CV184" s="170"/>
      <c r="CW184" s="170"/>
      <c r="CX184" s="170"/>
      <c r="CY184" s="170"/>
      <c r="CZ184" s="170"/>
      <c r="DA184" s="170"/>
      <c r="DB184" s="170"/>
      <c r="DC184" s="170"/>
      <c r="DD184" s="170"/>
      <c r="DE184" s="170"/>
      <c r="DF184" s="170"/>
      <c r="DG184" s="170"/>
      <c r="DH184" s="170"/>
      <c r="DI184" s="170"/>
      <c r="DJ184" s="170"/>
      <c r="DK184" s="170"/>
      <c r="DL184" s="170"/>
      <c r="DM184" s="170"/>
      <c r="DN184" s="170"/>
      <c r="DO184" s="170"/>
      <c r="DP184" s="170"/>
      <c r="DQ184" s="170"/>
      <c r="DR184" s="170"/>
      <c r="DS184" s="170"/>
      <c r="DT184" s="170"/>
      <c r="DU184" s="170"/>
      <c r="DV184" s="170"/>
      <c r="DW184" s="170"/>
      <c r="DX184" s="170"/>
      <c r="DY184" s="170"/>
      <c r="DZ184" s="170"/>
      <c r="EA184" s="170"/>
      <c r="EB184" s="170"/>
      <c r="EC184" s="170"/>
      <c r="ED184" s="170"/>
      <c r="EE184" s="170"/>
      <c r="EF184" s="170"/>
      <c r="EG184" s="170"/>
      <c r="EH184" s="170"/>
      <c r="EI184" s="170"/>
      <c r="EJ184" s="170"/>
      <c r="EK184" s="170"/>
      <c r="EL184" s="170"/>
      <c r="EM184" s="170"/>
      <c r="EN184" s="170"/>
      <c r="EO184" s="170"/>
      <c r="EP184" s="170"/>
    </row>
    <row r="185" ht="15.75" customHeight="1">
      <c r="A185" s="170"/>
      <c r="B185" s="170"/>
      <c r="C185" s="170"/>
      <c r="D185" s="170"/>
      <c r="E185" s="170"/>
      <c r="F185" s="170"/>
      <c r="G185" s="170"/>
      <c r="H185" s="170"/>
      <c r="I185" s="170"/>
      <c r="J185" s="170"/>
      <c r="K185" s="170"/>
      <c r="L185" s="170"/>
      <c r="M185" s="170"/>
      <c r="N185" s="170"/>
      <c r="O185" s="170"/>
      <c r="P185" s="170"/>
      <c r="Q185" s="170"/>
      <c r="R185" s="170"/>
      <c r="S185" s="170"/>
      <c r="T185" s="170"/>
      <c r="U185" s="170"/>
      <c r="V185" s="170"/>
      <c r="W185" s="170"/>
      <c r="X185" s="170"/>
      <c r="Y185" s="170"/>
      <c r="Z185" s="170"/>
      <c r="AA185" s="170"/>
      <c r="AB185" s="170"/>
      <c r="AC185" s="170"/>
      <c r="AD185" s="170"/>
      <c r="AE185" s="170"/>
      <c r="AF185" s="170"/>
      <c r="AG185" s="170"/>
      <c r="AH185" s="170"/>
      <c r="AI185" s="170"/>
      <c r="AJ185" s="170"/>
      <c r="AK185" s="170"/>
      <c r="AL185" s="170"/>
      <c r="AM185" s="170"/>
      <c r="AN185" s="170"/>
      <c r="AO185" s="170"/>
      <c r="AP185" s="170"/>
      <c r="AQ185" s="170"/>
      <c r="AR185" s="170"/>
      <c r="AS185" s="170"/>
      <c r="AT185" s="170"/>
      <c r="AU185" s="170"/>
      <c r="AV185" s="170"/>
      <c r="AW185" s="170"/>
      <c r="AX185" s="170"/>
      <c r="AY185" s="170"/>
      <c r="AZ185" s="170"/>
      <c r="BA185" s="170"/>
      <c r="BB185" s="170"/>
      <c r="BC185" s="170"/>
      <c r="BD185" s="170"/>
      <c r="BE185" s="170"/>
      <c r="BF185" s="170"/>
      <c r="BG185" s="170"/>
      <c r="BH185" s="170"/>
      <c r="BI185" s="170"/>
      <c r="BJ185" s="170"/>
      <c r="BK185" s="170"/>
      <c r="BL185" s="170"/>
      <c r="BM185" s="170"/>
      <c r="BN185" s="170"/>
      <c r="BO185" s="170"/>
      <c r="BP185" s="170"/>
      <c r="BQ185" s="170"/>
      <c r="BR185" s="170"/>
      <c r="BS185" s="170"/>
      <c r="BT185" s="170"/>
      <c r="BU185" s="170"/>
      <c r="BV185" s="170"/>
      <c r="BW185" s="170"/>
      <c r="BX185" s="170"/>
      <c r="BY185" s="170"/>
      <c r="BZ185" s="170"/>
      <c r="CA185" s="170"/>
      <c r="CB185" s="170"/>
      <c r="CC185" s="170"/>
      <c r="CD185" s="170"/>
      <c r="CE185" s="170"/>
      <c r="CF185" s="170"/>
      <c r="CG185" s="170"/>
      <c r="CH185" s="170"/>
      <c r="CI185" s="170"/>
      <c r="CJ185" s="170"/>
      <c r="CK185" s="170"/>
      <c r="CL185" s="170"/>
      <c r="CM185" s="170"/>
      <c r="CN185" s="170"/>
      <c r="CO185" s="170"/>
      <c r="CP185" s="170"/>
      <c r="CQ185" s="170"/>
      <c r="CR185" s="170"/>
      <c r="CS185" s="170"/>
      <c r="CT185" s="170"/>
      <c r="CU185" s="170"/>
      <c r="CV185" s="170"/>
      <c r="CW185" s="170"/>
      <c r="CX185" s="170"/>
      <c r="CY185" s="170"/>
      <c r="CZ185" s="170"/>
      <c r="DA185" s="170"/>
      <c r="DB185" s="170"/>
      <c r="DC185" s="170"/>
      <c r="DD185" s="170"/>
      <c r="DE185" s="170"/>
      <c r="DF185" s="170"/>
      <c r="DG185" s="170"/>
      <c r="DH185" s="170"/>
      <c r="DI185" s="170"/>
      <c r="DJ185" s="170"/>
      <c r="DK185" s="170"/>
      <c r="DL185" s="170"/>
      <c r="DM185" s="170"/>
      <c r="DN185" s="170"/>
      <c r="DO185" s="170"/>
      <c r="DP185" s="170"/>
      <c r="DQ185" s="170"/>
      <c r="DR185" s="170"/>
      <c r="DS185" s="170"/>
      <c r="DT185" s="170"/>
      <c r="DU185" s="170"/>
      <c r="DV185" s="170"/>
      <c r="DW185" s="170"/>
      <c r="DX185" s="170"/>
      <c r="DY185" s="170"/>
      <c r="DZ185" s="170"/>
      <c r="EA185" s="170"/>
      <c r="EB185" s="170"/>
      <c r="EC185" s="170"/>
      <c r="ED185" s="170"/>
      <c r="EE185" s="170"/>
      <c r="EF185" s="170"/>
      <c r="EG185" s="170"/>
      <c r="EH185" s="170"/>
      <c r="EI185" s="170"/>
      <c r="EJ185" s="170"/>
      <c r="EK185" s="170"/>
      <c r="EL185" s="170"/>
      <c r="EM185" s="170"/>
      <c r="EN185" s="170"/>
      <c r="EO185" s="170"/>
      <c r="EP185" s="170"/>
    </row>
    <row r="186" ht="15.75" customHeight="1">
      <c r="A186" s="170"/>
      <c r="B186" s="170"/>
      <c r="C186" s="170"/>
      <c r="D186" s="170"/>
      <c r="E186" s="170"/>
      <c r="F186" s="170"/>
      <c r="G186" s="170"/>
      <c r="H186" s="170"/>
      <c r="I186" s="170"/>
      <c r="J186" s="170"/>
      <c r="K186" s="170"/>
      <c r="L186" s="170"/>
      <c r="M186" s="170"/>
      <c r="N186" s="170"/>
      <c r="O186" s="170"/>
      <c r="P186" s="170"/>
      <c r="Q186" s="170"/>
      <c r="R186" s="170"/>
      <c r="S186" s="170"/>
      <c r="T186" s="170"/>
      <c r="U186" s="170"/>
      <c r="V186" s="170"/>
      <c r="W186" s="170"/>
      <c r="X186" s="170"/>
      <c r="Y186" s="170"/>
      <c r="Z186" s="170"/>
      <c r="AA186" s="170"/>
      <c r="AB186" s="170"/>
      <c r="AC186" s="170"/>
      <c r="AD186" s="170"/>
      <c r="AE186" s="170"/>
      <c r="AF186" s="170"/>
      <c r="AG186" s="170"/>
      <c r="AH186" s="170"/>
      <c r="AI186" s="170"/>
      <c r="AJ186" s="170"/>
      <c r="AK186" s="170"/>
      <c r="AL186" s="170"/>
      <c r="AM186" s="170"/>
      <c r="AN186" s="170"/>
      <c r="AO186" s="170"/>
      <c r="AP186" s="170"/>
      <c r="AQ186" s="170"/>
      <c r="AR186" s="170"/>
      <c r="AS186" s="170"/>
      <c r="AT186" s="170"/>
      <c r="AU186" s="170"/>
      <c r="AV186" s="170"/>
      <c r="AW186" s="170"/>
      <c r="AX186" s="170"/>
      <c r="AY186" s="170"/>
      <c r="AZ186" s="170"/>
      <c r="BA186" s="170"/>
      <c r="BB186" s="170"/>
      <c r="BC186" s="170"/>
      <c r="BD186" s="170"/>
      <c r="BE186" s="170"/>
      <c r="BF186" s="170"/>
      <c r="BG186" s="170"/>
      <c r="BH186" s="170"/>
      <c r="BI186" s="170"/>
      <c r="BJ186" s="170"/>
      <c r="BK186" s="170"/>
      <c r="BL186" s="170"/>
      <c r="BM186" s="170"/>
      <c r="BN186" s="170"/>
      <c r="BO186" s="170"/>
      <c r="BP186" s="170"/>
      <c r="BQ186" s="170"/>
      <c r="BR186" s="170"/>
      <c r="BS186" s="170"/>
      <c r="BT186" s="170"/>
      <c r="BU186" s="170"/>
      <c r="BV186" s="170"/>
      <c r="BW186" s="170"/>
      <c r="BX186" s="170"/>
      <c r="BY186" s="170"/>
      <c r="BZ186" s="170"/>
      <c r="CA186" s="170"/>
      <c r="CB186" s="170"/>
      <c r="CC186" s="170"/>
      <c r="CD186" s="170"/>
      <c r="CE186" s="170"/>
      <c r="CF186" s="170"/>
      <c r="CG186" s="170"/>
      <c r="CH186" s="170"/>
      <c r="CI186" s="170"/>
      <c r="CJ186" s="170"/>
      <c r="CK186" s="170"/>
      <c r="CL186" s="170"/>
      <c r="CM186" s="170"/>
      <c r="CN186" s="170"/>
      <c r="CO186" s="170"/>
      <c r="CP186" s="170"/>
      <c r="CQ186" s="170"/>
      <c r="CR186" s="170"/>
      <c r="CS186" s="170"/>
      <c r="CT186" s="170"/>
      <c r="CU186" s="170"/>
      <c r="CV186" s="170"/>
      <c r="CW186" s="170"/>
      <c r="CX186" s="170"/>
      <c r="CY186" s="170"/>
      <c r="CZ186" s="170"/>
      <c r="DA186" s="170"/>
      <c r="DB186" s="170"/>
      <c r="DC186" s="170"/>
      <c r="DD186" s="170"/>
      <c r="DE186" s="170"/>
      <c r="DF186" s="170"/>
      <c r="DG186" s="170"/>
      <c r="DH186" s="170"/>
      <c r="DI186" s="170"/>
      <c r="DJ186" s="170"/>
      <c r="DK186" s="170"/>
      <c r="DL186" s="170"/>
      <c r="DM186" s="170"/>
      <c r="DN186" s="170"/>
      <c r="DO186" s="170"/>
      <c r="DP186" s="170"/>
      <c r="DQ186" s="170"/>
      <c r="DR186" s="170"/>
      <c r="DS186" s="170"/>
      <c r="DT186" s="170"/>
      <c r="DU186" s="170"/>
      <c r="DV186" s="170"/>
      <c r="DW186" s="170"/>
      <c r="DX186" s="170"/>
      <c r="DY186" s="170"/>
      <c r="DZ186" s="170"/>
      <c r="EA186" s="170"/>
      <c r="EB186" s="170"/>
      <c r="EC186" s="170"/>
      <c r="ED186" s="170"/>
      <c r="EE186" s="170"/>
      <c r="EF186" s="170"/>
      <c r="EG186" s="170"/>
      <c r="EH186" s="170"/>
      <c r="EI186" s="170"/>
      <c r="EJ186" s="170"/>
      <c r="EK186" s="170"/>
      <c r="EL186" s="170"/>
      <c r="EM186" s="170"/>
      <c r="EN186" s="170"/>
      <c r="EO186" s="170"/>
      <c r="EP186" s="170"/>
    </row>
    <row r="187" ht="15.75" customHeight="1">
      <c r="A187" s="170"/>
      <c r="B187" s="170"/>
      <c r="C187" s="170"/>
      <c r="D187" s="170"/>
      <c r="E187" s="170"/>
      <c r="F187" s="170"/>
      <c r="G187" s="170"/>
      <c r="H187" s="170"/>
      <c r="I187" s="170"/>
      <c r="J187" s="170"/>
      <c r="K187" s="170"/>
      <c r="L187" s="170"/>
      <c r="M187" s="170"/>
      <c r="N187" s="170"/>
      <c r="O187" s="170"/>
      <c r="P187" s="170"/>
      <c r="Q187" s="170"/>
      <c r="R187" s="170"/>
      <c r="S187" s="170"/>
      <c r="T187" s="170"/>
      <c r="U187" s="170"/>
      <c r="V187" s="170"/>
      <c r="W187" s="170"/>
      <c r="X187" s="170"/>
      <c r="Y187" s="170"/>
      <c r="Z187" s="170"/>
      <c r="AA187" s="170"/>
      <c r="AB187" s="170"/>
      <c r="AC187" s="170"/>
      <c r="AD187" s="170"/>
      <c r="AE187" s="170"/>
      <c r="AF187" s="170"/>
      <c r="AG187" s="170"/>
      <c r="AH187" s="170"/>
      <c r="AI187" s="170"/>
      <c r="AJ187" s="170"/>
      <c r="AK187" s="170"/>
      <c r="AL187" s="170"/>
      <c r="AM187" s="170"/>
      <c r="AN187" s="170"/>
      <c r="AO187" s="170"/>
      <c r="AP187" s="170"/>
      <c r="AQ187" s="170"/>
      <c r="AR187" s="170"/>
      <c r="AS187" s="170"/>
      <c r="AT187" s="170"/>
      <c r="AU187" s="170"/>
      <c r="AV187" s="170"/>
      <c r="AW187" s="170"/>
      <c r="AX187" s="170"/>
      <c r="AY187" s="170"/>
      <c r="AZ187" s="170"/>
      <c r="BA187" s="170"/>
      <c r="BB187" s="170"/>
      <c r="BC187" s="170"/>
      <c r="BD187" s="170"/>
      <c r="BE187" s="170"/>
      <c r="BF187" s="170"/>
      <c r="BG187" s="170"/>
      <c r="BH187" s="170"/>
      <c r="BI187" s="170"/>
      <c r="BJ187" s="170"/>
      <c r="BK187" s="170"/>
      <c r="BL187" s="170"/>
      <c r="BM187" s="170"/>
      <c r="BN187" s="170"/>
      <c r="BO187" s="170"/>
      <c r="BP187" s="170"/>
      <c r="BQ187" s="170"/>
      <c r="BR187" s="170"/>
      <c r="BS187" s="170"/>
      <c r="BT187" s="170"/>
      <c r="BU187" s="170"/>
      <c r="BV187" s="170"/>
      <c r="BW187" s="170"/>
      <c r="BX187" s="170"/>
      <c r="BY187" s="170"/>
      <c r="BZ187" s="170"/>
      <c r="CA187" s="170"/>
      <c r="CB187" s="170"/>
      <c r="CC187" s="170"/>
      <c r="CD187" s="170"/>
      <c r="CE187" s="170"/>
      <c r="CF187" s="170"/>
      <c r="CG187" s="170"/>
      <c r="CH187" s="170"/>
      <c r="CI187" s="170"/>
      <c r="CJ187" s="170"/>
      <c r="CK187" s="170"/>
      <c r="CL187" s="170"/>
      <c r="CM187" s="170"/>
      <c r="CN187" s="170"/>
      <c r="CO187" s="170"/>
      <c r="CP187" s="170"/>
      <c r="CQ187" s="170"/>
      <c r="CR187" s="170"/>
      <c r="CS187" s="170"/>
      <c r="CT187" s="170"/>
      <c r="CU187" s="170"/>
      <c r="CV187" s="170"/>
      <c r="CW187" s="170"/>
      <c r="CX187" s="170"/>
      <c r="CY187" s="170"/>
      <c r="CZ187" s="170"/>
      <c r="DA187" s="170"/>
      <c r="DB187" s="170"/>
      <c r="DC187" s="170"/>
      <c r="DD187" s="170"/>
      <c r="DE187" s="170"/>
      <c r="DF187" s="170"/>
      <c r="DG187" s="170"/>
      <c r="DH187" s="170"/>
      <c r="DI187" s="170"/>
      <c r="DJ187" s="170"/>
      <c r="DK187" s="170"/>
      <c r="DL187" s="170"/>
      <c r="DM187" s="170"/>
      <c r="DN187" s="170"/>
      <c r="DO187" s="170"/>
      <c r="DP187" s="170"/>
      <c r="DQ187" s="170"/>
      <c r="DR187" s="170"/>
      <c r="DS187" s="170"/>
      <c r="DT187" s="170"/>
      <c r="DU187" s="170"/>
      <c r="DV187" s="170"/>
      <c r="DW187" s="170"/>
      <c r="DX187" s="170"/>
      <c r="DY187" s="170"/>
      <c r="DZ187" s="170"/>
      <c r="EA187" s="170"/>
      <c r="EB187" s="170"/>
      <c r="EC187" s="170"/>
      <c r="ED187" s="170"/>
      <c r="EE187" s="170"/>
      <c r="EF187" s="170"/>
      <c r="EG187" s="170"/>
      <c r="EH187" s="170"/>
      <c r="EI187" s="170"/>
      <c r="EJ187" s="170"/>
      <c r="EK187" s="170"/>
      <c r="EL187" s="170"/>
      <c r="EM187" s="170"/>
      <c r="EN187" s="170"/>
      <c r="EO187" s="170"/>
      <c r="EP187" s="170"/>
    </row>
    <row r="188" ht="15.75" customHeight="1">
      <c r="A188" s="170"/>
      <c r="B188" s="170"/>
      <c r="C188" s="170"/>
      <c r="D188" s="170"/>
      <c r="E188" s="170"/>
      <c r="F188" s="170"/>
      <c r="G188" s="170"/>
      <c r="H188" s="170"/>
      <c r="I188" s="170"/>
      <c r="J188" s="170"/>
      <c r="K188" s="170"/>
      <c r="L188" s="170"/>
      <c r="M188" s="170"/>
      <c r="N188" s="170"/>
      <c r="O188" s="170"/>
      <c r="P188" s="170"/>
      <c r="Q188" s="170"/>
      <c r="R188" s="170"/>
      <c r="S188" s="170"/>
      <c r="T188" s="170"/>
      <c r="U188" s="170"/>
      <c r="V188" s="170"/>
      <c r="W188" s="170"/>
      <c r="X188" s="170"/>
      <c r="Y188" s="170"/>
      <c r="Z188" s="170"/>
      <c r="AA188" s="170"/>
      <c r="AB188" s="170"/>
      <c r="AC188" s="170"/>
      <c r="AD188" s="170"/>
      <c r="AE188" s="170"/>
      <c r="AF188" s="170"/>
      <c r="AG188" s="170"/>
      <c r="AH188" s="170"/>
      <c r="AI188" s="170"/>
      <c r="AJ188" s="170"/>
      <c r="AK188" s="170"/>
      <c r="AL188" s="170"/>
      <c r="AM188" s="170"/>
      <c r="AN188" s="170"/>
      <c r="AO188" s="170"/>
      <c r="AP188" s="170"/>
      <c r="AQ188" s="170"/>
      <c r="AR188" s="170"/>
      <c r="AS188" s="170"/>
      <c r="AT188" s="170"/>
      <c r="AU188" s="170"/>
      <c r="AV188" s="170"/>
      <c r="AW188" s="170"/>
      <c r="AX188" s="170"/>
      <c r="AY188" s="170"/>
      <c r="AZ188" s="170"/>
      <c r="BA188" s="170"/>
      <c r="BB188" s="170"/>
      <c r="BC188" s="170"/>
      <c r="BD188" s="170"/>
      <c r="BE188" s="170"/>
      <c r="BF188" s="170"/>
      <c r="BG188" s="170"/>
      <c r="BH188" s="170"/>
      <c r="BI188" s="170"/>
      <c r="BJ188" s="170"/>
      <c r="BK188" s="170"/>
      <c r="BL188" s="170"/>
      <c r="BM188" s="170"/>
      <c r="BN188" s="170"/>
      <c r="BO188" s="170"/>
      <c r="BP188" s="170"/>
      <c r="BQ188" s="170"/>
      <c r="BR188" s="170"/>
      <c r="BS188" s="170"/>
      <c r="BT188" s="170"/>
      <c r="BU188" s="170"/>
      <c r="BV188" s="170"/>
      <c r="BW188" s="170"/>
      <c r="BX188" s="170"/>
      <c r="BY188" s="170"/>
      <c r="BZ188" s="170"/>
      <c r="CA188" s="170"/>
      <c r="CB188" s="170"/>
      <c r="CC188" s="170"/>
      <c r="CD188" s="170"/>
      <c r="CE188" s="170"/>
      <c r="CF188" s="170"/>
      <c r="CG188" s="170"/>
      <c r="CH188" s="170"/>
      <c r="CI188" s="170"/>
      <c r="CJ188" s="170"/>
      <c r="CK188" s="170"/>
      <c r="CL188" s="170"/>
      <c r="CM188" s="170"/>
      <c r="CN188" s="170"/>
      <c r="CO188" s="170"/>
      <c r="CP188" s="170"/>
      <c r="CQ188" s="170"/>
      <c r="CR188" s="170"/>
      <c r="CS188" s="170"/>
      <c r="CT188" s="170"/>
      <c r="CU188" s="170"/>
      <c r="CV188" s="170"/>
      <c r="CW188" s="170"/>
      <c r="CX188" s="170"/>
      <c r="CY188" s="170"/>
      <c r="CZ188" s="170"/>
      <c r="DA188" s="170"/>
      <c r="DB188" s="170"/>
      <c r="DC188" s="170"/>
      <c r="DD188" s="170"/>
      <c r="DE188" s="170"/>
      <c r="DF188" s="170"/>
      <c r="DG188" s="170"/>
      <c r="DH188" s="170"/>
      <c r="DI188" s="170"/>
      <c r="DJ188" s="170"/>
      <c r="DK188" s="170"/>
      <c r="DL188" s="170"/>
      <c r="DM188" s="170"/>
      <c r="DN188" s="170"/>
      <c r="DO188" s="170"/>
      <c r="DP188" s="170"/>
      <c r="DQ188" s="170"/>
      <c r="DR188" s="170"/>
      <c r="DS188" s="170"/>
      <c r="DT188" s="170"/>
      <c r="DU188" s="170"/>
      <c r="DV188" s="170"/>
      <c r="DW188" s="170"/>
      <c r="DX188" s="170"/>
      <c r="DY188" s="170"/>
      <c r="DZ188" s="170"/>
      <c r="EA188" s="170"/>
      <c r="EB188" s="170"/>
      <c r="EC188" s="170"/>
      <c r="ED188" s="170"/>
      <c r="EE188" s="170"/>
      <c r="EF188" s="170"/>
      <c r="EG188" s="170"/>
      <c r="EH188" s="170"/>
      <c r="EI188" s="170"/>
      <c r="EJ188" s="170"/>
      <c r="EK188" s="170"/>
      <c r="EL188" s="170"/>
      <c r="EM188" s="170"/>
      <c r="EN188" s="170"/>
      <c r="EO188" s="170"/>
      <c r="EP188" s="170"/>
    </row>
    <row r="189" ht="15.75" customHeight="1">
      <c r="A189" s="170"/>
      <c r="B189" s="170"/>
      <c r="C189" s="170"/>
      <c r="D189" s="170"/>
      <c r="E189" s="170"/>
      <c r="F189" s="170"/>
      <c r="G189" s="170"/>
      <c r="H189" s="170"/>
      <c r="I189" s="170"/>
      <c r="J189" s="170"/>
      <c r="K189" s="170"/>
      <c r="L189" s="170"/>
      <c r="M189" s="170"/>
      <c r="N189" s="170"/>
      <c r="O189" s="170"/>
      <c r="P189" s="170"/>
      <c r="Q189" s="170"/>
      <c r="R189" s="170"/>
      <c r="S189" s="170"/>
      <c r="T189" s="170"/>
      <c r="U189" s="170"/>
      <c r="V189" s="170"/>
      <c r="W189" s="170"/>
      <c r="X189" s="170"/>
      <c r="Y189" s="170"/>
      <c r="Z189" s="170"/>
      <c r="AA189" s="170"/>
      <c r="AB189" s="170"/>
      <c r="AC189" s="170"/>
      <c r="AD189" s="170"/>
      <c r="AE189" s="170"/>
      <c r="AF189" s="170"/>
      <c r="AG189" s="170"/>
      <c r="AH189" s="170"/>
      <c r="AI189" s="170"/>
      <c r="AJ189" s="170"/>
      <c r="AK189" s="170"/>
      <c r="AL189" s="170"/>
      <c r="AM189" s="170"/>
      <c r="AN189" s="170"/>
      <c r="AO189" s="170"/>
      <c r="AP189" s="170"/>
      <c r="AQ189" s="170"/>
      <c r="AR189" s="170"/>
      <c r="AS189" s="170"/>
      <c r="AT189" s="170"/>
      <c r="AU189" s="170"/>
      <c r="AV189" s="170"/>
      <c r="AW189" s="170"/>
      <c r="AX189" s="170"/>
      <c r="AY189" s="170"/>
      <c r="AZ189" s="170"/>
      <c r="BA189" s="170"/>
      <c r="BB189" s="170"/>
      <c r="BC189" s="170"/>
      <c r="BD189" s="170"/>
      <c r="BE189" s="170"/>
      <c r="BF189" s="170"/>
      <c r="BG189" s="170"/>
      <c r="BH189" s="170"/>
      <c r="BI189" s="170"/>
      <c r="BJ189" s="170"/>
      <c r="BK189" s="170"/>
      <c r="BL189" s="170"/>
      <c r="BM189" s="170"/>
      <c r="BN189" s="170"/>
      <c r="BO189" s="170"/>
      <c r="BP189" s="170"/>
      <c r="BQ189" s="170"/>
      <c r="BR189" s="170"/>
      <c r="BS189" s="170"/>
      <c r="BT189" s="170"/>
      <c r="BU189" s="170"/>
      <c r="BV189" s="170"/>
      <c r="BW189" s="170"/>
      <c r="BX189" s="170"/>
      <c r="BY189" s="170"/>
      <c r="BZ189" s="170"/>
      <c r="CA189" s="170"/>
      <c r="CB189" s="170"/>
      <c r="CC189" s="170"/>
      <c r="CD189" s="170"/>
      <c r="CE189" s="170"/>
      <c r="CF189" s="170"/>
      <c r="CG189" s="170"/>
      <c r="CH189" s="170"/>
      <c r="CI189" s="170"/>
      <c r="CJ189" s="170"/>
      <c r="CK189" s="170"/>
      <c r="CL189" s="170"/>
      <c r="CM189" s="170"/>
      <c r="CN189" s="170"/>
      <c r="CO189" s="170"/>
      <c r="CP189" s="170"/>
      <c r="CQ189" s="170"/>
      <c r="CR189" s="170"/>
      <c r="CS189" s="170"/>
      <c r="CT189" s="170"/>
      <c r="CU189" s="170"/>
      <c r="CV189" s="170"/>
      <c r="CW189" s="170"/>
      <c r="CX189" s="170"/>
      <c r="CY189" s="170"/>
      <c r="CZ189" s="170"/>
      <c r="DA189" s="170"/>
      <c r="DB189" s="170"/>
      <c r="DC189" s="170"/>
      <c r="DD189" s="170"/>
      <c r="DE189" s="170"/>
      <c r="DF189" s="170"/>
      <c r="DG189" s="170"/>
      <c r="DH189" s="170"/>
      <c r="DI189" s="170"/>
      <c r="DJ189" s="170"/>
      <c r="DK189" s="170"/>
      <c r="DL189" s="170"/>
      <c r="DM189" s="170"/>
      <c r="DN189" s="170"/>
      <c r="DO189" s="170"/>
      <c r="DP189" s="170"/>
      <c r="DQ189" s="170"/>
      <c r="DR189" s="170"/>
      <c r="DS189" s="170"/>
      <c r="DT189" s="170"/>
      <c r="DU189" s="170"/>
      <c r="DV189" s="170"/>
      <c r="DW189" s="170"/>
      <c r="DX189" s="170"/>
      <c r="DY189" s="170"/>
      <c r="DZ189" s="170"/>
      <c r="EA189" s="170"/>
      <c r="EB189" s="170"/>
      <c r="EC189" s="170"/>
      <c r="ED189" s="170"/>
      <c r="EE189" s="170"/>
      <c r="EF189" s="170"/>
      <c r="EG189" s="170"/>
      <c r="EH189" s="170"/>
      <c r="EI189" s="170"/>
      <c r="EJ189" s="170"/>
      <c r="EK189" s="170"/>
      <c r="EL189" s="170"/>
      <c r="EM189" s="170"/>
      <c r="EN189" s="170"/>
      <c r="EO189" s="170"/>
      <c r="EP189" s="170"/>
    </row>
    <row r="190" ht="15.75" customHeight="1">
      <c r="A190" s="170"/>
      <c r="B190" s="170"/>
      <c r="C190" s="170"/>
      <c r="D190" s="170"/>
      <c r="E190" s="170"/>
      <c r="F190" s="170"/>
      <c r="G190" s="170"/>
      <c r="H190" s="170"/>
      <c r="I190" s="170"/>
      <c r="J190" s="170"/>
      <c r="K190" s="170"/>
      <c r="L190" s="170"/>
      <c r="M190" s="170"/>
      <c r="N190" s="170"/>
      <c r="O190" s="170"/>
      <c r="P190" s="170"/>
      <c r="Q190" s="170"/>
      <c r="R190" s="170"/>
      <c r="S190" s="170"/>
      <c r="T190" s="170"/>
      <c r="U190" s="170"/>
      <c r="V190" s="170"/>
      <c r="W190" s="170"/>
      <c r="X190" s="170"/>
      <c r="Y190" s="170"/>
      <c r="Z190" s="170"/>
      <c r="AA190" s="170"/>
      <c r="AB190" s="170"/>
      <c r="AC190" s="170"/>
      <c r="AD190" s="170"/>
      <c r="AE190" s="170"/>
      <c r="AF190" s="170"/>
      <c r="AG190" s="170"/>
      <c r="AH190" s="170"/>
      <c r="AI190" s="170"/>
      <c r="AJ190" s="170"/>
      <c r="AK190" s="170"/>
      <c r="AL190" s="170"/>
      <c r="AM190" s="170"/>
      <c r="AN190" s="170"/>
      <c r="AO190" s="170"/>
      <c r="AP190" s="170"/>
      <c r="AQ190" s="170"/>
      <c r="AR190" s="170"/>
      <c r="AS190" s="170"/>
      <c r="AT190" s="170"/>
      <c r="AU190" s="170"/>
      <c r="AV190" s="170"/>
      <c r="AW190" s="170"/>
      <c r="AX190" s="170"/>
      <c r="AY190" s="170"/>
      <c r="AZ190" s="170"/>
      <c r="BA190" s="170"/>
      <c r="BB190" s="170"/>
      <c r="BC190" s="170"/>
      <c r="BD190" s="170"/>
      <c r="BE190" s="170"/>
      <c r="BF190" s="170"/>
      <c r="BG190" s="170"/>
      <c r="BH190" s="170"/>
      <c r="BI190" s="170"/>
      <c r="BJ190" s="170"/>
      <c r="BK190" s="170"/>
      <c r="BL190" s="170"/>
      <c r="BM190" s="170"/>
      <c r="BN190" s="170"/>
      <c r="BO190" s="170"/>
      <c r="BP190" s="170"/>
      <c r="BQ190" s="170"/>
      <c r="BR190" s="170"/>
      <c r="BS190" s="170"/>
      <c r="BT190" s="170"/>
      <c r="BU190" s="170"/>
      <c r="BV190" s="170"/>
      <c r="BW190" s="170"/>
      <c r="BX190" s="170"/>
      <c r="BY190" s="170"/>
      <c r="BZ190" s="170"/>
      <c r="CA190" s="170"/>
      <c r="CB190" s="170"/>
      <c r="CC190" s="170"/>
      <c r="CD190" s="170"/>
      <c r="CE190" s="170"/>
      <c r="CF190" s="170"/>
      <c r="CG190" s="170"/>
      <c r="CH190" s="170"/>
      <c r="CI190" s="170"/>
      <c r="CJ190" s="170"/>
      <c r="CK190" s="170"/>
      <c r="CL190" s="170"/>
      <c r="CM190" s="170"/>
      <c r="CN190" s="170"/>
      <c r="CO190" s="170"/>
      <c r="CP190" s="170"/>
      <c r="CQ190" s="170"/>
      <c r="CR190" s="170"/>
      <c r="CS190" s="170"/>
      <c r="CT190" s="170"/>
      <c r="CU190" s="170"/>
      <c r="CV190" s="170"/>
      <c r="CW190" s="170"/>
      <c r="CX190" s="170"/>
      <c r="CY190" s="170"/>
      <c r="CZ190" s="170"/>
      <c r="DA190" s="170"/>
      <c r="DB190" s="170"/>
      <c r="DC190" s="170"/>
      <c r="DD190" s="170"/>
      <c r="DE190" s="170"/>
      <c r="DF190" s="170"/>
      <c r="DG190" s="170"/>
      <c r="DH190" s="170"/>
      <c r="DI190" s="170"/>
      <c r="DJ190" s="170"/>
      <c r="DK190" s="170"/>
      <c r="DL190" s="170"/>
      <c r="DM190" s="170"/>
      <c r="DN190" s="170"/>
      <c r="DO190" s="170"/>
      <c r="DP190" s="170"/>
      <c r="DQ190" s="170"/>
      <c r="DR190" s="170"/>
      <c r="DS190" s="170"/>
      <c r="DT190" s="170"/>
      <c r="DU190" s="170"/>
      <c r="DV190" s="170"/>
      <c r="DW190" s="170"/>
      <c r="DX190" s="170"/>
      <c r="DY190" s="170"/>
      <c r="DZ190" s="170"/>
      <c r="EA190" s="170"/>
      <c r="EB190" s="170"/>
      <c r="EC190" s="170"/>
      <c r="ED190" s="170"/>
      <c r="EE190" s="170"/>
      <c r="EF190" s="170"/>
      <c r="EG190" s="170"/>
      <c r="EH190" s="170"/>
      <c r="EI190" s="170"/>
      <c r="EJ190" s="170"/>
      <c r="EK190" s="170"/>
      <c r="EL190" s="170"/>
      <c r="EM190" s="170"/>
      <c r="EN190" s="170"/>
      <c r="EO190" s="170"/>
      <c r="EP190" s="170"/>
    </row>
    <row r="191" ht="15.75" customHeight="1">
      <c r="A191" s="170"/>
      <c r="B191" s="170"/>
      <c r="C191" s="170"/>
      <c r="D191" s="170"/>
      <c r="E191" s="170"/>
      <c r="F191" s="170"/>
      <c r="G191" s="170"/>
      <c r="H191" s="170"/>
      <c r="I191" s="170"/>
      <c r="J191" s="170"/>
      <c r="K191" s="170"/>
      <c r="L191" s="170"/>
      <c r="M191" s="170"/>
      <c r="N191" s="170"/>
      <c r="O191" s="170"/>
      <c r="P191" s="170"/>
      <c r="Q191" s="170"/>
      <c r="R191" s="170"/>
      <c r="S191" s="170"/>
      <c r="T191" s="170"/>
      <c r="U191" s="170"/>
      <c r="V191" s="170"/>
      <c r="W191" s="170"/>
      <c r="X191" s="170"/>
      <c r="Y191" s="170"/>
      <c r="Z191" s="170"/>
      <c r="AA191" s="170"/>
      <c r="AB191" s="170"/>
      <c r="AC191" s="170"/>
      <c r="AD191" s="170"/>
      <c r="AE191" s="170"/>
      <c r="AF191" s="170"/>
      <c r="AG191" s="170"/>
      <c r="AH191" s="170"/>
      <c r="AI191" s="170"/>
      <c r="AJ191" s="170"/>
      <c r="AK191" s="170"/>
      <c r="AL191" s="170"/>
      <c r="AM191" s="170"/>
      <c r="AN191" s="170"/>
      <c r="AO191" s="170"/>
      <c r="AP191" s="170"/>
      <c r="AQ191" s="170"/>
      <c r="AR191" s="170"/>
      <c r="AS191" s="170"/>
      <c r="AT191" s="170"/>
      <c r="AU191" s="170"/>
      <c r="AV191" s="170"/>
      <c r="AW191" s="170"/>
      <c r="AX191" s="170"/>
      <c r="AY191" s="170"/>
      <c r="AZ191" s="170"/>
      <c r="BA191" s="170"/>
      <c r="BB191" s="170"/>
      <c r="BC191" s="170"/>
      <c r="BD191" s="170"/>
      <c r="BE191" s="170"/>
      <c r="BF191" s="170"/>
      <c r="BG191" s="170"/>
      <c r="BH191" s="170"/>
      <c r="BI191" s="170"/>
      <c r="BJ191" s="170"/>
      <c r="BK191" s="170"/>
      <c r="BL191" s="170"/>
      <c r="BM191" s="170"/>
      <c r="BN191" s="170"/>
      <c r="BO191" s="170"/>
      <c r="BP191" s="170"/>
      <c r="BQ191" s="170"/>
      <c r="BR191" s="170"/>
      <c r="BS191" s="170"/>
      <c r="BT191" s="170"/>
      <c r="BU191" s="170"/>
      <c r="BV191" s="170"/>
      <c r="BW191" s="170"/>
      <c r="BX191" s="170"/>
      <c r="BY191" s="170"/>
      <c r="BZ191" s="170"/>
      <c r="CA191" s="170"/>
      <c r="CB191" s="170"/>
      <c r="CC191" s="170"/>
      <c r="CD191" s="170"/>
      <c r="CE191" s="170"/>
      <c r="CF191" s="170"/>
      <c r="CG191" s="170"/>
      <c r="CH191" s="170"/>
      <c r="CI191" s="170"/>
      <c r="CJ191" s="170"/>
      <c r="CK191" s="170"/>
      <c r="CL191" s="170"/>
      <c r="CM191" s="170"/>
      <c r="CN191" s="170"/>
      <c r="CO191" s="170"/>
      <c r="CP191" s="170"/>
      <c r="CQ191" s="170"/>
      <c r="CR191" s="170"/>
      <c r="CS191" s="170"/>
      <c r="CT191" s="170"/>
      <c r="CU191" s="170"/>
      <c r="CV191" s="170"/>
      <c r="CW191" s="170"/>
      <c r="CX191" s="170"/>
      <c r="CY191" s="170"/>
      <c r="CZ191" s="170"/>
      <c r="DA191" s="170"/>
      <c r="DB191" s="170"/>
      <c r="DC191" s="170"/>
      <c r="DD191" s="170"/>
      <c r="DE191" s="170"/>
      <c r="DF191" s="170"/>
      <c r="DG191" s="170"/>
      <c r="DH191" s="170"/>
      <c r="DI191" s="170"/>
      <c r="DJ191" s="170"/>
      <c r="DK191" s="170"/>
      <c r="DL191" s="170"/>
      <c r="DM191" s="170"/>
      <c r="DN191" s="170"/>
      <c r="DO191" s="170"/>
      <c r="DP191" s="170"/>
      <c r="DQ191" s="170"/>
      <c r="DR191" s="170"/>
      <c r="DS191" s="170"/>
      <c r="DT191" s="170"/>
      <c r="DU191" s="170"/>
      <c r="DV191" s="170"/>
      <c r="DW191" s="170"/>
      <c r="DX191" s="170"/>
      <c r="DY191" s="170"/>
      <c r="DZ191" s="170"/>
      <c r="EA191" s="170"/>
      <c r="EB191" s="170"/>
      <c r="EC191" s="170"/>
      <c r="ED191" s="170"/>
      <c r="EE191" s="170"/>
      <c r="EF191" s="170"/>
      <c r="EG191" s="170"/>
      <c r="EH191" s="170"/>
      <c r="EI191" s="170"/>
      <c r="EJ191" s="170"/>
      <c r="EK191" s="170"/>
      <c r="EL191" s="170"/>
      <c r="EM191" s="170"/>
      <c r="EN191" s="170"/>
      <c r="EO191" s="170"/>
      <c r="EP191" s="170"/>
    </row>
    <row r="192" ht="15.75" customHeight="1">
      <c r="A192" s="170"/>
      <c r="B192" s="170"/>
      <c r="C192" s="170"/>
      <c r="D192" s="170"/>
      <c r="E192" s="170"/>
      <c r="F192" s="170"/>
      <c r="G192" s="170"/>
      <c r="H192" s="170"/>
      <c r="I192" s="170"/>
      <c r="J192" s="170"/>
      <c r="K192" s="170"/>
      <c r="L192" s="170"/>
      <c r="M192" s="170"/>
      <c r="N192" s="170"/>
      <c r="O192" s="170"/>
      <c r="P192" s="170"/>
      <c r="Q192" s="170"/>
      <c r="R192" s="170"/>
      <c r="S192" s="170"/>
      <c r="T192" s="170"/>
      <c r="U192" s="170"/>
      <c r="V192" s="170"/>
      <c r="W192" s="170"/>
      <c r="X192" s="170"/>
      <c r="Y192" s="170"/>
      <c r="Z192" s="170"/>
      <c r="AA192" s="170"/>
      <c r="AB192" s="170"/>
      <c r="AC192" s="170"/>
      <c r="AD192" s="170"/>
      <c r="AE192" s="170"/>
      <c r="AF192" s="170"/>
      <c r="AG192" s="170"/>
      <c r="AH192" s="170"/>
      <c r="AI192" s="170"/>
      <c r="AJ192" s="170"/>
      <c r="AK192" s="170"/>
      <c r="AL192" s="170"/>
      <c r="AM192" s="170"/>
      <c r="AN192" s="170"/>
      <c r="AO192" s="170"/>
      <c r="AP192" s="170"/>
      <c r="AQ192" s="170"/>
      <c r="AR192" s="170"/>
      <c r="AS192" s="170"/>
      <c r="AT192" s="170"/>
      <c r="AU192" s="170"/>
      <c r="AV192" s="170"/>
      <c r="AW192" s="170"/>
      <c r="AX192" s="170"/>
      <c r="AY192" s="170"/>
      <c r="AZ192" s="170"/>
      <c r="BA192" s="170"/>
      <c r="BB192" s="170"/>
      <c r="BC192" s="170"/>
      <c r="BD192" s="170"/>
      <c r="BE192" s="170"/>
      <c r="BF192" s="170"/>
      <c r="BG192" s="170"/>
      <c r="BH192" s="170"/>
      <c r="BI192" s="170"/>
      <c r="BJ192" s="170"/>
      <c r="BK192" s="170"/>
      <c r="BL192" s="170"/>
      <c r="BM192" s="170"/>
      <c r="BN192" s="170"/>
      <c r="BO192" s="170"/>
      <c r="BP192" s="170"/>
      <c r="BQ192" s="170"/>
      <c r="BR192" s="170"/>
      <c r="BS192" s="170"/>
      <c r="BT192" s="170"/>
      <c r="BU192" s="170"/>
      <c r="BV192" s="170"/>
      <c r="BW192" s="170"/>
      <c r="BX192" s="170"/>
      <c r="BY192" s="170"/>
      <c r="BZ192" s="170"/>
      <c r="CA192" s="170"/>
      <c r="CB192" s="170"/>
      <c r="CC192" s="170"/>
      <c r="CD192" s="170"/>
      <c r="CE192" s="170"/>
      <c r="CF192" s="170"/>
      <c r="CG192" s="170"/>
      <c r="CH192" s="170"/>
      <c r="CI192" s="170"/>
      <c r="CJ192" s="170"/>
      <c r="CK192" s="170"/>
      <c r="CL192" s="170"/>
      <c r="CM192" s="170"/>
      <c r="CN192" s="170"/>
      <c r="CO192" s="170"/>
      <c r="CP192" s="170"/>
      <c r="CQ192" s="170"/>
      <c r="CR192" s="170"/>
      <c r="CS192" s="170"/>
      <c r="CT192" s="170"/>
      <c r="CU192" s="170"/>
      <c r="CV192" s="170"/>
      <c r="CW192" s="170"/>
      <c r="CX192" s="170"/>
      <c r="CY192" s="170"/>
      <c r="CZ192" s="170"/>
      <c r="DA192" s="170"/>
      <c r="DB192" s="170"/>
      <c r="DC192" s="170"/>
      <c r="DD192" s="170"/>
      <c r="DE192" s="170"/>
      <c r="DF192" s="170"/>
      <c r="DG192" s="170"/>
      <c r="DH192" s="170"/>
      <c r="DI192" s="170"/>
      <c r="DJ192" s="170"/>
      <c r="DK192" s="170"/>
      <c r="DL192" s="170"/>
      <c r="DM192" s="170"/>
      <c r="DN192" s="170"/>
      <c r="DO192" s="170"/>
      <c r="DP192" s="170"/>
      <c r="DQ192" s="170"/>
      <c r="DR192" s="170"/>
      <c r="DS192" s="170"/>
      <c r="DT192" s="170"/>
      <c r="DU192" s="170"/>
      <c r="DV192" s="170"/>
      <c r="DW192" s="170"/>
      <c r="DX192" s="170"/>
      <c r="DY192" s="170"/>
      <c r="DZ192" s="170"/>
      <c r="EA192" s="170"/>
      <c r="EB192" s="170"/>
      <c r="EC192" s="170"/>
      <c r="ED192" s="170"/>
      <c r="EE192" s="170"/>
      <c r="EF192" s="170"/>
      <c r="EG192" s="170"/>
      <c r="EH192" s="170"/>
      <c r="EI192" s="170"/>
      <c r="EJ192" s="170"/>
      <c r="EK192" s="170"/>
      <c r="EL192" s="170"/>
      <c r="EM192" s="170"/>
      <c r="EN192" s="170"/>
      <c r="EO192" s="170"/>
      <c r="EP192" s="170"/>
    </row>
    <row r="193" ht="15.75" customHeight="1">
      <c r="A193" s="170"/>
      <c r="B193" s="170"/>
      <c r="C193" s="170"/>
      <c r="D193" s="170"/>
      <c r="E193" s="170"/>
      <c r="F193" s="170"/>
      <c r="G193" s="170"/>
      <c r="H193" s="170"/>
      <c r="I193" s="170"/>
      <c r="J193" s="170"/>
      <c r="K193" s="170"/>
      <c r="L193" s="170"/>
      <c r="M193" s="170"/>
      <c r="N193" s="170"/>
      <c r="O193" s="170"/>
      <c r="P193" s="170"/>
      <c r="Q193" s="170"/>
      <c r="R193" s="170"/>
      <c r="S193" s="170"/>
      <c r="T193" s="170"/>
      <c r="U193" s="170"/>
      <c r="V193" s="170"/>
      <c r="W193" s="170"/>
      <c r="X193" s="170"/>
      <c r="Y193" s="170"/>
      <c r="Z193" s="170"/>
      <c r="AA193" s="170"/>
      <c r="AB193" s="170"/>
      <c r="AC193" s="170"/>
      <c r="AD193" s="170"/>
      <c r="AE193" s="170"/>
      <c r="AF193" s="170"/>
      <c r="AG193" s="170"/>
      <c r="AH193" s="170"/>
      <c r="AI193" s="170"/>
      <c r="AJ193" s="170"/>
      <c r="AK193" s="170"/>
      <c r="AL193" s="170"/>
      <c r="AM193" s="170"/>
      <c r="AN193" s="170"/>
      <c r="AO193" s="170"/>
      <c r="AP193" s="170"/>
      <c r="AQ193" s="170"/>
      <c r="AR193" s="170"/>
      <c r="AS193" s="170"/>
      <c r="AT193" s="170"/>
      <c r="AU193" s="170"/>
      <c r="AV193" s="170"/>
      <c r="AW193" s="170"/>
      <c r="AX193" s="170"/>
      <c r="AY193" s="170"/>
      <c r="AZ193" s="170"/>
      <c r="BA193" s="170"/>
      <c r="BB193" s="170"/>
      <c r="BC193" s="170"/>
      <c r="BD193" s="170"/>
      <c r="BE193" s="170"/>
      <c r="BF193" s="170"/>
      <c r="BG193" s="170"/>
      <c r="BH193" s="170"/>
      <c r="BI193" s="170"/>
      <c r="BJ193" s="170"/>
      <c r="BK193" s="170"/>
      <c r="BL193" s="170"/>
      <c r="BM193" s="170"/>
      <c r="BN193" s="170"/>
      <c r="BO193" s="170"/>
      <c r="BP193" s="170"/>
      <c r="BQ193" s="170"/>
      <c r="BR193" s="170"/>
      <c r="BS193" s="170"/>
      <c r="BT193" s="170"/>
      <c r="BU193" s="170"/>
      <c r="BV193" s="170"/>
      <c r="BW193" s="170"/>
      <c r="BX193" s="170"/>
      <c r="BY193" s="170"/>
      <c r="BZ193" s="170"/>
      <c r="CA193" s="170"/>
      <c r="CB193" s="170"/>
      <c r="CC193" s="170"/>
      <c r="CD193" s="170"/>
      <c r="CE193" s="170"/>
      <c r="CF193" s="170"/>
      <c r="CG193" s="170"/>
      <c r="CH193" s="170"/>
      <c r="CI193" s="170"/>
      <c r="CJ193" s="170"/>
      <c r="CK193" s="170"/>
      <c r="CL193" s="170"/>
      <c r="CM193" s="170"/>
      <c r="CN193" s="170"/>
      <c r="CO193" s="170"/>
      <c r="CP193" s="170"/>
      <c r="CQ193" s="170"/>
      <c r="CR193" s="170"/>
      <c r="CS193" s="170"/>
      <c r="CT193" s="170"/>
      <c r="CU193" s="170"/>
      <c r="CV193" s="170"/>
      <c r="CW193" s="170"/>
      <c r="CX193" s="170"/>
      <c r="CY193" s="170"/>
      <c r="CZ193" s="170"/>
      <c r="DA193" s="170"/>
      <c r="DB193" s="170"/>
      <c r="DC193" s="170"/>
      <c r="DD193" s="170"/>
      <c r="DE193" s="170"/>
      <c r="DF193" s="170"/>
      <c r="DG193" s="170"/>
      <c r="DH193" s="170"/>
      <c r="DI193" s="170"/>
      <c r="DJ193" s="170"/>
      <c r="DK193" s="170"/>
      <c r="DL193" s="170"/>
      <c r="DM193" s="170"/>
      <c r="DN193" s="170"/>
      <c r="DO193" s="170"/>
      <c r="DP193" s="170"/>
      <c r="DQ193" s="170"/>
      <c r="DR193" s="170"/>
      <c r="DS193" s="170"/>
      <c r="DT193" s="170"/>
      <c r="DU193" s="170"/>
      <c r="DV193" s="170"/>
      <c r="DW193" s="170"/>
      <c r="DX193" s="170"/>
      <c r="DY193" s="170"/>
      <c r="DZ193" s="170"/>
      <c r="EA193" s="170"/>
      <c r="EB193" s="170"/>
      <c r="EC193" s="170"/>
      <c r="ED193" s="170"/>
      <c r="EE193" s="170"/>
      <c r="EF193" s="170"/>
      <c r="EG193" s="170"/>
      <c r="EH193" s="170"/>
      <c r="EI193" s="170"/>
      <c r="EJ193" s="170"/>
      <c r="EK193" s="170"/>
      <c r="EL193" s="170"/>
      <c r="EM193" s="170"/>
      <c r="EN193" s="170"/>
      <c r="EO193" s="170"/>
      <c r="EP193" s="170"/>
    </row>
    <row r="194" ht="15.75" customHeight="1">
      <c r="A194" s="170"/>
      <c r="B194" s="170"/>
      <c r="C194" s="170"/>
      <c r="D194" s="170"/>
      <c r="E194" s="170"/>
      <c r="F194" s="170"/>
      <c r="G194" s="170"/>
      <c r="H194" s="170"/>
      <c r="I194" s="170"/>
      <c r="J194" s="170"/>
      <c r="K194" s="170"/>
      <c r="L194" s="170"/>
      <c r="M194" s="170"/>
      <c r="N194" s="170"/>
      <c r="O194" s="170"/>
      <c r="P194" s="170"/>
      <c r="Q194" s="170"/>
      <c r="R194" s="170"/>
      <c r="S194" s="170"/>
      <c r="T194" s="170"/>
      <c r="U194" s="170"/>
      <c r="V194" s="170"/>
      <c r="W194" s="170"/>
      <c r="X194" s="170"/>
      <c r="Y194" s="170"/>
      <c r="Z194" s="170"/>
      <c r="AA194" s="170"/>
      <c r="AB194" s="170"/>
      <c r="AC194" s="170"/>
      <c r="AD194" s="170"/>
      <c r="AE194" s="170"/>
      <c r="AF194" s="170"/>
      <c r="AG194" s="170"/>
      <c r="AH194" s="170"/>
      <c r="AI194" s="170"/>
      <c r="AJ194" s="170"/>
      <c r="AK194" s="170"/>
      <c r="AL194" s="170"/>
      <c r="AM194" s="170"/>
      <c r="AN194" s="170"/>
      <c r="AO194" s="170"/>
      <c r="AP194" s="170"/>
      <c r="AQ194" s="170"/>
      <c r="AR194" s="170"/>
      <c r="AS194" s="170"/>
      <c r="AT194" s="170"/>
      <c r="AU194" s="170"/>
      <c r="AV194" s="170"/>
      <c r="AW194" s="170"/>
      <c r="AX194" s="170"/>
      <c r="AY194" s="170"/>
      <c r="AZ194" s="170"/>
      <c r="BA194" s="170"/>
      <c r="BB194" s="170"/>
      <c r="BC194" s="170"/>
      <c r="BD194" s="170"/>
      <c r="BE194" s="170"/>
      <c r="BF194" s="170"/>
      <c r="BG194" s="170"/>
      <c r="BH194" s="170"/>
      <c r="BI194" s="170"/>
      <c r="BJ194" s="170"/>
      <c r="BK194" s="170"/>
      <c r="BL194" s="170"/>
      <c r="BM194" s="170"/>
      <c r="BN194" s="170"/>
      <c r="BO194" s="170"/>
      <c r="BP194" s="170"/>
      <c r="BQ194" s="170"/>
      <c r="BR194" s="170"/>
      <c r="BS194" s="170"/>
      <c r="BT194" s="170"/>
      <c r="BU194" s="170"/>
      <c r="BV194" s="170"/>
      <c r="BW194" s="170"/>
      <c r="BX194" s="170"/>
      <c r="BY194" s="170"/>
      <c r="BZ194" s="170"/>
      <c r="CA194" s="170"/>
      <c r="CB194" s="170"/>
      <c r="CC194" s="170"/>
      <c r="CD194" s="170"/>
      <c r="CE194" s="170"/>
      <c r="CF194" s="170"/>
      <c r="CG194" s="170"/>
      <c r="CH194" s="170"/>
      <c r="CI194" s="170"/>
      <c r="CJ194" s="170"/>
      <c r="CK194" s="170"/>
      <c r="CL194" s="170"/>
      <c r="CM194" s="170"/>
      <c r="CN194" s="170"/>
      <c r="CO194" s="170"/>
      <c r="CP194" s="170"/>
      <c r="CQ194" s="170"/>
      <c r="CR194" s="170"/>
      <c r="CS194" s="170"/>
      <c r="CT194" s="170"/>
      <c r="CU194" s="170"/>
      <c r="CV194" s="170"/>
      <c r="CW194" s="170"/>
      <c r="CX194" s="170"/>
      <c r="CY194" s="170"/>
      <c r="CZ194" s="170"/>
      <c r="DA194" s="170"/>
      <c r="DB194" s="170"/>
      <c r="DC194" s="170"/>
      <c r="DD194" s="170"/>
      <c r="DE194" s="170"/>
      <c r="DF194" s="170"/>
      <c r="DG194" s="170"/>
      <c r="DH194" s="170"/>
      <c r="DI194" s="170"/>
      <c r="DJ194" s="170"/>
      <c r="DK194" s="170"/>
      <c r="DL194" s="170"/>
      <c r="DM194" s="170"/>
      <c r="DN194" s="170"/>
      <c r="DO194" s="170"/>
      <c r="DP194" s="170"/>
      <c r="DQ194" s="170"/>
      <c r="DR194" s="170"/>
      <c r="DS194" s="170"/>
      <c r="DT194" s="170"/>
      <c r="DU194" s="170"/>
      <c r="DV194" s="170"/>
      <c r="DW194" s="170"/>
      <c r="DX194" s="170"/>
      <c r="DY194" s="170"/>
      <c r="DZ194" s="170"/>
      <c r="EA194" s="170"/>
      <c r="EB194" s="170"/>
      <c r="EC194" s="170"/>
      <c r="ED194" s="170"/>
      <c r="EE194" s="170"/>
      <c r="EF194" s="170"/>
      <c r="EG194" s="170"/>
      <c r="EH194" s="170"/>
      <c r="EI194" s="170"/>
      <c r="EJ194" s="170"/>
      <c r="EK194" s="170"/>
      <c r="EL194" s="170"/>
      <c r="EM194" s="170"/>
      <c r="EN194" s="170"/>
      <c r="EO194" s="170"/>
      <c r="EP194" s="170"/>
    </row>
    <row r="195" ht="15.75" customHeight="1">
      <c r="A195" s="170"/>
      <c r="B195" s="170"/>
      <c r="C195" s="170"/>
      <c r="D195" s="170"/>
      <c r="E195" s="170"/>
      <c r="F195" s="170"/>
      <c r="G195" s="170"/>
      <c r="H195" s="170"/>
      <c r="I195" s="170"/>
      <c r="J195" s="170"/>
      <c r="K195" s="170"/>
      <c r="L195" s="170"/>
      <c r="M195" s="170"/>
      <c r="N195" s="170"/>
      <c r="O195" s="170"/>
      <c r="P195" s="170"/>
      <c r="Q195" s="170"/>
      <c r="R195" s="170"/>
      <c r="S195" s="170"/>
      <c r="T195" s="170"/>
      <c r="U195" s="170"/>
      <c r="V195" s="170"/>
      <c r="W195" s="170"/>
      <c r="X195" s="170"/>
      <c r="Y195" s="170"/>
      <c r="Z195" s="170"/>
      <c r="AA195" s="170"/>
      <c r="AB195" s="170"/>
      <c r="AC195" s="170"/>
      <c r="AD195" s="170"/>
      <c r="AE195" s="170"/>
      <c r="AF195" s="170"/>
      <c r="AG195" s="170"/>
      <c r="AH195" s="170"/>
      <c r="AI195" s="170"/>
      <c r="AJ195" s="170"/>
      <c r="AK195" s="170"/>
      <c r="AL195" s="170"/>
      <c r="AM195" s="170"/>
      <c r="AN195" s="170"/>
      <c r="AO195" s="170"/>
      <c r="AP195" s="170"/>
      <c r="AQ195" s="170"/>
      <c r="AR195" s="170"/>
      <c r="AS195" s="170"/>
      <c r="AT195" s="170"/>
      <c r="AU195" s="170"/>
      <c r="AV195" s="170"/>
      <c r="AW195" s="170"/>
      <c r="AX195" s="170"/>
      <c r="AY195" s="170"/>
      <c r="AZ195" s="170"/>
      <c r="BA195" s="170"/>
      <c r="BB195" s="170"/>
      <c r="BC195" s="170"/>
      <c r="BD195" s="170"/>
      <c r="BE195" s="170"/>
      <c r="BF195" s="170"/>
      <c r="BG195" s="170"/>
      <c r="BH195" s="170"/>
      <c r="BI195" s="170"/>
      <c r="BJ195" s="170"/>
      <c r="BK195" s="170"/>
      <c r="BL195" s="170"/>
      <c r="BM195" s="170"/>
      <c r="BN195" s="170"/>
      <c r="BO195" s="170"/>
      <c r="BP195" s="170"/>
      <c r="BQ195" s="170"/>
      <c r="BR195" s="170"/>
      <c r="BS195" s="170"/>
      <c r="BT195" s="170"/>
      <c r="BU195" s="170"/>
      <c r="BV195" s="170"/>
      <c r="BW195" s="170"/>
      <c r="BX195" s="170"/>
      <c r="BY195" s="170"/>
      <c r="BZ195" s="170"/>
      <c r="CA195" s="170"/>
      <c r="CB195" s="170"/>
      <c r="CC195" s="170"/>
      <c r="CD195" s="170"/>
      <c r="CE195" s="170"/>
      <c r="CF195" s="170"/>
      <c r="CG195" s="170"/>
      <c r="CH195" s="170"/>
      <c r="CI195" s="170"/>
      <c r="CJ195" s="170"/>
      <c r="CK195" s="170"/>
      <c r="CL195" s="170"/>
      <c r="CM195" s="170"/>
      <c r="CN195" s="170"/>
      <c r="CO195" s="170"/>
      <c r="CP195" s="170"/>
      <c r="CQ195" s="170"/>
      <c r="CR195" s="170"/>
      <c r="CS195" s="170"/>
      <c r="CT195" s="170"/>
      <c r="CU195" s="170"/>
      <c r="CV195" s="170"/>
      <c r="CW195" s="170"/>
      <c r="CX195" s="170"/>
      <c r="CY195" s="170"/>
      <c r="CZ195" s="170"/>
      <c r="DA195" s="170"/>
      <c r="DB195" s="170"/>
      <c r="DC195" s="170"/>
      <c r="DD195" s="170"/>
      <c r="DE195" s="170"/>
      <c r="DF195" s="170"/>
      <c r="DG195" s="170"/>
      <c r="DH195" s="170"/>
      <c r="DI195" s="170"/>
      <c r="DJ195" s="170"/>
      <c r="DK195" s="170"/>
      <c r="DL195" s="170"/>
      <c r="DM195" s="170"/>
      <c r="DN195" s="170"/>
      <c r="DO195" s="170"/>
      <c r="DP195" s="170"/>
      <c r="DQ195" s="170"/>
      <c r="DR195" s="170"/>
      <c r="DS195" s="170"/>
      <c r="DT195" s="170"/>
      <c r="DU195" s="170"/>
      <c r="DV195" s="170"/>
      <c r="DW195" s="170"/>
      <c r="DX195" s="170"/>
      <c r="DY195" s="170"/>
      <c r="DZ195" s="170"/>
      <c r="EA195" s="170"/>
      <c r="EB195" s="170"/>
      <c r="EC195" s="170"/>
      <c r="ED195" s="170"/>
      <c r="EE195" s="170"/>
      <c r="EF195" s="170"/>
      <c r="EG195" s="170"/>
      <c r="EH195" s="170"/>
      <c r="EI195" s="170"/>
      <c r="EJ195" s="170"/>
      <c r="EK195" s="170"/>
      <c r="EL195" s="170"/>
      <c r="EM195" s="170"/>
      <c r="EN195" s="170"/>
      <c r="EO195" s="170"/>
      <c r="EP195" s="170"/>
    </row>
    <row r="196" ht="15.75" customHeight="1">
      <c r="A196" s="170"/>
      <c r="B196" s="170"/>
      <c r="C196" s="170"/>
      <c r="D196" s="170"/>
      <c r="E196" s="170"/>
      <c r="F196" s="170"/>
      <c r="G196" s="170"/>
      <c r="H196" s="170"/>
      <c r="I196" s="170"/>
      <c r="J196" s="170"/>
      <c r="K196" s="170"/>
      <c r="L196" s="170"/>
      <c r="M196" s="170"/>
      <c r="N196" s="170"/>
      <c r="O196" s="170"/>
      <c r="P196" s="170"/>
      <c r="Q196" s="170"/>
      <c r="R196" s="170"/>
      <c r="S196" s="170"/>
      <c r="T196" s="170"/>
      <c r="U196" s="170"/>
      <c r="V196" s="170"/>
      <c r="W196" s="170"/>
      <c r="X196" s="170"/>
      <c r="Y196" s="170"/>
      <c r="Z196" s="170"/>
      <c r="AA196" s="170"/>
      <c r="AB196" s="170"/>
      <c r="AC196" s="170"/>
      <c r="AD196" s="170"/>
      <c r="AE196" s="170"/>
      <c r="AF196" s="170"/>
      <c r="AG196" s="170"/>
      <c r="AH196" s="170"/>
      <c r="AI196" s="170"/>
      <c r="AJ196" s="170"/>
      <c r="AK196" s="170"/>
      <c r="AL196" s="170"/>
      <c r="AM196" s="170"/>
      <c r="AN196" s="170"/>
      <c r="AO196" s="170"/>
      <c r="AP196" s="170"/>
      <c r="AQ196" s="170"/>
      <c r="AR196" s="170"/>
      <c r="AS196" s="170"/>
      <c r="AT196" s="170"/>
      <c r="AU196" s="170"/>
      <c r="AV196" s="170"/>
      <c r="AW196" s="170"/>
      <c r="AX196" s="170"/>
      <c r="AY196" s="170"/>
      <c r="AZ196" s="170"/>
      <c r="BA196" s="170"/>
      <c r="BB196" s="170"/>
      <c r="BC196" s="170"/>
      <c r="BD196" s="170"/>
      <c r="BE196" s="170"/>
      <c r="BF196" s="170"/>
      <c r="BG196" s="170"/>
      <c r="BH196" s="170"/>
      <c r="BI196" s="170"/>
      <c r="BJ196" s="170"/>
      <c r="BK196" s="170"/>
      <c r="BL196" s="170"/>
      <c r="BM196" s="170"/>
      <c r="BN196" s="170"/>
      <c r="BO196" s="170"/>
      <c r="BP196" s="170"/>
      <c r="BQ196" s="170"/>
      <c r="BR196" s="170"/>
      <c r="BS196" s="170"/>
      <c r="BT196" s="170"/>
      <c r="BU196" s="170"/>
      <c r="BV196" s="170"/>
      <c r="BW196" s="170"/>
      <c r="BX196" s="170"/>
      <c r="BY196" s="170"/>
      <c r="BZ196" s="170"/>
      <c r="CA196" s="170"/>
      <c r="CB196" s="170"/>
      <c r="CC196" s="170"/>
      <c r="CD196" s="170"/>
      <c r="CE196" s="170"/>
      <c r="CF196" s="170"/>
      <c r="CG196" s="170"/>
      <c r="CH196" s="170"/>
      <c r="CI196" s="170"/>
      <c r="CJ196" s="170"/>
      <c r="CK196" s="170"/>
      <c r="CL196" s="170"/>
      <c r="CM196" s="170"/>
      <c r="CN196" s="170"/>
      <c r="CO196" s="170"/>
      <c r="CP196" s="170"/>
      <c r="CQ196" s="170"/>
      <c r="CR196" s="170"/>
      <c r="CS196" s="170"/>
      <c r="CT196" s="170"/>
      <c r="CU196" s="170"/>
      <c r="CV196" s="170"/>
      <c r="CW196" s="170"/>
      <c r="CX196" s="170"/>
      <c r="CY196" s="170"/>
      <c r="CZ196" s="170"/>
      <c r="DA196" s="170"/>
      <c r="DB196" s="170"/>
      <c r="DC196" s="170"/>
      <c r="DD196" s="170"/>
      <c r="DE196" s="170"/>
      <c r="DF196" s="170"/>
      <c r="DG196" s="170"/>
      <c r="DH196" s="170"/>
      <c r="DI196" s="170"/>
      <c r="DJ196" s="170"/>
      <c r="DK196" s="170"/>
      <c r="DL196" s="170"/>
      <c r="DM196" s="170"/>
      <c r="DN196" s="170"/>
      <c r="DO196" s="170"/>
      <c r="DP196" s="170"/>
      <c r="DQ196" s="170"/>
      <c r="DR196" s="170"/>
      <c r="DS196" s="170"/>
      <c r="DT196" s="170"/>
      <c r="DU196" s="170"/>
      <c r="DV196" s="170"/>
      <c r="DW196" s="170"/>
      <c r="DX196" s="170"/>
      <c r="DY196" s="170"/>
      <c r="DZ196" s="170"/>
      <c r="EA196" s="170"/>
      <c r="EB196" s="170"/>
      <c r="EC196" s="170"/>
      <c r="ED196" s="170"/>
      <c r="EE196" s="170"/>
      <c r="EF196" s="170"/>
      <c r="EG196" s="170"/>
      <c r="EH196" s="170"/>
      <c r="EI196" s="170"/>
      <c r="EJ196" s="170"/>
      <c r="EK196" s="170"/>
      <c r="EL196" s="170"/>
      <c r="EM196" s="170"/>
      <c r="EN196" s="170"/>
      <c r="EO196" s="170"/>
      <c r="EP196" s="170"/>
    </row>
    <row r="197" ht="15.75" customHeight="1">
      <c r="A197" s="170"/>
      <c r="B197" s="170"/>
      <c r="C197" s="170"/>
      <c r="D197" s="170"/>
      <c r="E197" s="170"/>
      <c r="F197" s="170"/>
      <c r="G197" s="170"/>
      <c r="H197" s="170"/>
      <c r="I197" s="170"/>
      <c r="J197" s="170"/>
      <c r="K197" s="170"/>
      <c r="L197" s="170"/>
      <c r="M197" s="170"/>
      <c r="N197" s="170"/>
      <c r="O197" s="170"/>
      <c r="P197" s="170"/>
      <c r="Q197" s="170"/>
      <c r="R197" s="170"/>
      <c r="S197" s="170"/>
      <c r="T197" s="170"/>
      <c r="U197" s="170"/>
      <c r="V197" s="170"/>
      <c r="W197" s="170"/>
      <c r="X197" s="170"/>
      <c r="Y197" s="170"/>
      <c r="Z197" s="170"/>
      <c r="AA197" s="170"/>
      <c r="AB197" s="170"/>
      <c r="AC197" s="170"/>
      <c r="AD197" s="170"/>
      <c r="AE197" s="170"/>
      <c r="AF197" s="170"/>
      <c r="AG197" s="170"/>
      <c r="AH197" s="170"/>
      <c r="AI197" s="170"/>
      <c r="AJ197" s="170"/>
      <c r="AK197" s="170"/>
      <c r="AL197" s="170"/>
      <c r="AM197" s="170"/>
      <c r="AN197" s="170"/>
      <c r="AO197" s="170"/>
      <c r="AP197" s="170"/>
      <c r="AQ197" s="170"/>
      <c r="AR197" s="170"/>
      <c r="AS197" s="170"/>
      <c r="AT197" s="170"/>
      <c r="AU197" s="170"/>
      <c r="AV197" s="170"/>
      <c r="AW197" s="170"/>
      <c r="AX197" s="170"/>
      <c r="AY197" s="170"/>
      <c r="AZ197" s="170"/>
      <c r="BA197" s="170"/>
      <c r="BB197" s="170"/>
      <c r="BC197" s="170"/>
      <c r="BD197" s="170"/>
      <c r="BE197" s="170"/>
      <c r="BF197" s="170"/>
      <c r="BG197" s="170"/>
      <c r="BH197" s="170"/>
      <c r="BI197" s="170"/>
      <c r="BJ197" s="170"/>
      <c r="BK197" s="170"/>
      <c r="BL197" s="170"/>
      <c r="BM197" s="170"/>
      <c r="BN197" s="170"/>
      <c r="BO197" s="170"/>
      <c r="BP197" s="170"/>
      <c r="BQ197" s="170"/>
      <c r="BR197" s="170"/>
      <c r="BS197" s="170"/>
      <c r="BT197" s="170"/>
      <c r="BU197" s="170"/>
      <c r="BV197" s="170"/>
      <c r="BW197" s="170"/>
      <c r="BX197" s="170"/>
      <c r="BY197" s="170"/>
      <c r="BZ197" s="170"/>
      <c r="CA197" s="170"/>
      <c r="CB197" s="170"/>
      <c r="CC197" s="170"/>
      <c r="CD197" s="170"/>
      <c r="CE197" s="170"/>
      <c r="CF197" s="170"/>
      <c r="CG197" s="170"/>
      <c r="CH197" s="170"/>
      <c r="CI197" s="170"/>
      <c r="CJ197" s="170"/>
      <c r="CK197" s="170"/>
      <c r="CL197" s="170"/>
      <c r="CM197" s="170"/>
      <c r="CN197" s="170"/>
      <c r="CO197" s="170"/>
      <c r="CP197" s="170"/>
      <c r="CQ197" s="170"/>
      <c r="CR197" s="170"/>
      <c r="CS197" s="170"/>
      <c r="CT197" s="170"/>
      <c r="CU197" s="170"/>
      <c r="CV197" s="170"/>
      <c r="CW197" s="170"/>
      <c r="CX197" s="170"/>
      <c r="CY197" s="170"/>
      <c r="CZ197" s="170"/>
      <c r="DA197" s="170"/>
      <c r="DB197" s="170"/>
      <c r="DC197" s="170"/>
      <c r="DD197" s="170"/>
      <c r="DE197" s="170"/>
      <c r="DF197" s="170"/>
      <c r="DG197" s="170"/>
      <c r="DH197" s="170"/>
      <c r="DI197" s="170"/>
      <c r="DJ197" s="170"/>
      <c r="DK197" s="170"/>
      <c r="DL197" s="170"/>
      <c r="DM197" s="170"/>
      <c r="DN197" s="170"/>
      <c r="DO197" s="170"/>
      <c r="DP197" s="170"/>
      <c r="DQ197" s="170"/>
      <c r="DR197" s="170"/>
      <c r="DS197" s="170"/>
      <c r="DT197" s="170"/>
      <c r="DU197" s="170"/>
      <c r="DV197" s="170"/>
      <c r="DW197" s="170"/>
      <c r="DX197" s="170"/>
      <c r="DY197" s="170"/>
      <c r="DZ197" s="170"/>
      <c r="EA197" s="170"/>
      <c r="EB197" s="170"/>
      <c r="EC197" s="170"/>
      <c r="ED197" s="170"/>
      <c r="EE197" s="170"/>
      <c r="EF197" s="170"/>
      <c r="EG197" s="170"/>
      <c r="EH197" s="170"/>
      <c r="EI197" s="170"/>
      <c r="EJ197" s="170"/>
      <c r="EK197" s="170"/>
      <c r="EL197" s="170"/>
      <c r="EM197" s="170"/>
      <c r="EN197" s="170"/>
      <c r="EO197" s="170"/>
      <c r="EP197" s="170"/>
    </row>
    <row r="198" ht="15.75" customHeight="1">
      <c r="A198" s="170"/>
      <c r="B198" s="170"/>
      <c r="C198" s="170"/>
      <c r="D198" s="170"/>
      <c r="E198" s="170"/>
      <c r="F198" s="170"/>
      <c r="G198" s="170"/>
      <c r="H198" s="170"/>
      <c r="I198" s="170"/>
      <c r="J198" s="170"/>
      <c r="K198" s="170"/>
      <c r="L198" s="170"/>
      <c r="M198" s="170"/>
      <c r="N198" s="170"/>
      <c r="O198" s="170"/>
      <c r="P198" s="170"/>
      <c r="Q198" s="170"/>
      <c r="R198" s="170"/>
      <c r="S198" s="170"/>
      <c r="T198" s="170"/>
      <c r="U198" s="170"/>
      <c r="V198" s="170"/>
      <c r="W198" s="170"/>
      <c r="X198" s="170"/>
      <c r="Y198" s="170"/>
      <c r="Z198" s="170"/>
      <c r="AA198" s="170"/>
      <c r="AB198" s="170"/>
      <c r="AC198" s="170"/>
      <c r="AD198" s="170"/>
      <c r="AE198" s="170"/>
      <c r="AF198" s="170"/>
      <c r="AG198" s="170"/>
      <c r="AH198" s="170"/>
      <c r="AI198" s="170"/>
      <c r="AJ198" s="170"/>
      <c r="AK198" s="170"/>
      <c r="AL198" s="170"/>
      <c r="AM198" s="170"/>
      <c r="AN198" s="170"/>
      <c r="AO198" s="170"/>
      <c r="AP198" s="170"/>
      <c r="AQ198" s="170"/>
      <c r="AR198" s="170"/>
      <c r="AS198" s="170"/>
      <c r="AT198" s="170"/>
      <c r="AU198" s="170"/>
      <c r="AV198" s="170"/>
      <c r="AW198" s="170"/>
      <c r="AX198" s="170"/>
      <c r="AY198" s="170"/>
      <c r="AZ198" s="170"/>
      <c r="BA198" s="170"/>
      <c r="BB198" s="170"/>
      <c r="BC198" s="170"/>
      <c r="BD198" s="170"/>
      <c r="BE198" s="170"/>
      <c r="BF198" s="170"/>
      <c r="BG198" s="170"/>
      <c r="BH198" s="170"/>
      <c r="BI198" s="170"/>
      <c r="BJ198" s="170"/>
      <c r="BK198" s="170"/>
      <c r="BL198" s="170"/>
      <c r="BM198" s="170"/>
      <c r="BN198" s="170"/>
      <c r="BO198" s="170"/>
      <c r="BP198" s="170"/>
      <c r="BQ198" s="170"/>
      <c r="BR198" s="170"/>
      <c r="BS198" s="170"/>
      <c r="BT198" s="170"/>
      <c r="BU198" s="170"/>
      <c r="BV198" s="170"/>
      <c r="BW198" s="170"/>
      <c r="BX198" s="170"/>
      <c r="BY198" s="170"/>
      <c r="BZ198" s="170"/>
      <c r="CA198" s="170"/>
      <c r="CB198" s="170"/>
      <c r="CC198" s="170"/>
      <c r="CD198" s="170"/>
      <c r="CE198" s="170"/>
      <c r="CF198" s="170"/>
      <c r="CG198" s="170"/>
      <c r="CH198" s="170"/>
      <c r="CI198" s="170"/>
      <c r="CJ198" s="170"/>
      <c r="CK198" s="170"/>
      <c r="CL198" s="170"/>
      <c r="CM198" s="170"/>
      <c r="CN198" s="170"/>
      <c r="CO198" s="170"/>
      <c r="CP198" s="170"/>
      <c r="CQ198" s="170"/>
      <c r="CR198" s="170"/>
      <c r="CS198" s="170"/>
      <c r="CT198" s="170"/>
      <c r="CU198" s="170"/>
      <c r="CV198" s="170"/>
      <c r="CW198" s="170"/>
      <c r="CX198" s="170"/>
      <c r="CY198" s="170"/>
      <c r="CZ198" s="170"/>
      <c r="DA198" s="170"/>
      <c r="DB198" s="170"/>
      <c r="DC198" s="170"/>
      <c r="DD198" s="170"/>
      <c r="DE198" s="170"/>
      <c r="DF198" s="170"/>
      <c r="DG198" s="170"/>
      <c r="DH198" s="170"/>
      <c r="DI198" s="170"/>
      <c r="DJ198" s="170"/>
      <c r="DK198" s="170"/>
      <c r="DL198" s="170"/>
      <c r="DM198" s="170"/>
      <c r="DN198" s="170"/>
      <c r="DO198" s="170"/>
      <c r="DP198" s="170"/>
      <c r="DQ198" s="170"/>
      <c r="DR198" s="170"/>
      <c r="DS198" s="170"/>
      <c r="DT198" s="170"/>
      <c r="DU198" s="170"/>
      <c r="DV198" s="170"/>
      <c r="DW198" s="170"/>
      <c r="DX198" s="170"/>
      <c r="DY198" s="170"/>
      <c r="DZ198" s="170"/>
      <c r="EA198" s="170"/>
      <c r="EB198" s="170"/>
      <c r="EC198" s="170"/>
      <c r="ED198" s="170"/>
      <c r="EE198" s="170"/>
      <c r="EF198" s="170"/>
      <c r="EG198" s="170"/>
      <c r="EH198" s="170"/>
      <c r="EI198" s="170"/>
      <c r="EJ198" s="170"/>
      <c r="EK198" s="170"/>
      <c r="EL198" s="170"/>
      <c r="EM198" s="170"/>
      <c r="EN198" s="170"/>
      <c r="EO198" s="170"/>
      <c r="EP198" s="170"/>
    </row>
    <row r="199" ht="15.75" customHeight="1">
      <c r="A199" s="170"/>
      <c r="B199" s="170"/>
      <c r="C199" s="170"/>
      <c r="D199" s="170"/>
      <c r="E199" s="170"/>
      <c r="F199" s="170"/>
      <c r="G199" s="170"/>
      <c r="H199" s="170"/>
      <c r="I199" s="170"/>
      <c r="J199" s="170"/>
      <c r="K199" s="170"/>
      <c r="L199" s="170"/>
      <c r="M199" s="170"/>
      <c r="N199" s="170"/>
      <c r="O199" s="170"/>
      <c r="P199" s="170"/>
      <c r="Q199" s="170"/>
      <c r="R199" s="170"/>
      <c r="S199" s="170"/>
      <c r="T199" s="170"/>
      <c r="U199" s="170"/>
      <c r="V199" s="170"/>
      <c r="W199" s="170"/>
      <c r="X199" s="170"/>
      <c r="Y199" s="170"/>
      <c r="Z199" s="170"/>
      <c r="AA199" s="170"/>
      <c r="AB199" s="170"/>
      <c r="AC199" s="170"/>
      <c r="AD199" s="170"/>
      <c r="AE199" s="170"/>
      <c r="AF199" s="170"/>
      <c r="AG199" s="170"/>
      <c r="AH199" s="170"/>
      <c r="AI199" s="170"/>
      <c r="AJ199" s="170"/>
      <c r="AK199" s="170"/>
      <c r="AL199" s="170"/>
      <c r="AM199" s="170"/>
      <c r="AN199" s="170"/>
      <c r="AO199" s="170"/>
      <c r="AP199" s="170"/>
      <c r="AQ199" s="170"/>
      <c r="AR199" s="170"/>
      <c r="AS199" s="170"/>
      <c r="AT199" s="170"/>
      <c r="AU199" s="170"/>
      <c r="AV199" s="170"/>
      <c r="AW199" s="170"/>
      <c r="AX199" s="170"/>
      <c r="AY199" s="170"/>
      <c r="AZ199" s="170"/>
      <c r="BA199" s="170"/>
      <c r="BB199" s="170"/>
      <c r="BC199" s="170"/>
      <c r="BD199" s="170"/>
      <c r="BE199" s="170"/>
      <c r="BF199" s="170"/>
      <c r="BG199" s="170"/>
      <c r="BH199" s="170"/>
      <c r="BI199" s="170"/>
      <c r="BJ199" s="170"/>
      <c r="BK199" s="170"/>
      <c r="BL199" s="170"/>
      <c r="BM199" s="170"/>
      <c r="BN199" s="170"/>
      <c r="BO199" s="170"/>
      <c r="BP199" s="170"/>
      <c r="BQ199" s="170"/>
      <c r="BR199" s="170"/>
      <c r="BS199" s="170"/>
      <c r="BT199" s="170"/>
      <c r="BU199" s="170"/>
      <c r="BV199" s="170"/>
      <c r="BW199" s="170"/>
      <c r="BX199" s="170"/>
      <c r="BY199" s="170"/>
      <c r="BZ199" s="170"/>
      <c r="CA199" s="170"/>
      <c r="CB199" s="170"/>
      <c r="CC199" s="170"/>
      <c r="CD199" s="170"/>
      <c r="CE199" s="170"/>
      <c r="CF199" s="170"/>
      <c r="CG199" s="170"/>
      <c r="CH199" s="170"/>
      <c r="CI199" s="170"/>
      <c r="CJ199" s="170"/>
      <c r="CK199" s="170"/>
      <c r="CL199" s="170"/>
      <c r="CM199" s="170"/>
      <c r="CN199" s="170"/>
      <c r="CO199" s="170"/>
      <c r="CP199" s="170"/>
      <c r="CQ199" s="170"/>
      <c r="CR199" s="170"/>
      <c r="CS199" s="170"/>
      <c r="CT199" s="170"/>
      <c r="CU199" s="170"/>
      <c r="CV199" s="170"/>
      <c r="CW199" s="170"/>
      <c r="CX199" s="170"/>
      <c r="CY199" s="170"/>
      <c r="CZ199" s="170"/>
      <c r="DA199" s="170"/>
      <c r="DB199" s="170"/>
      <c r="DC199" s="170"/>
      <c r="DD199" s="170"/>
      <c r="DE199" s="170"/>
      <c r="DF199" s="170"/>
      <c r="DG199" s="170"/>
      <c r="DH199" s="170"/>
      <c r="DI199" s="170"/>
      <c r="DJ199" s="170"/>
      <c r="DK199" s="170"/>
      <c r="DL199" s="170"/>
      <c r="DM199" s="170"/>
      <c r="DN199" s="170"/>
      <c r="DO199" s="170"/>
      <c r="DP199" s="170"/>
      <c r="DQ199" s="170"/>
      <c r="DR199" s="170"/>
      <c r="DS199" s="170"/>
      <c r="DT199" s="170"/>
      <c r="DU199" s="170"/>
      <c r="DV199" s="170"/>
      <c r="DW199" s="170"/>
      <c r="DX199" s="170"/>
      <c r="DY199" s="170"/>
      <c r="DZ199" s="170"/>
      <c r="EA199" s="170"/>
      <c r="EB199" s="170"/>
      <c r="EC199" s="170"/>
      <c r="ED199" s="170"/>
      <c r="EE199" s="170"/>
      <c r="EF199" s="170"/>
      <c r="EG199" s="170"/>
      <c r="EH199" s="170"/>
      <c r="EI199" s="170"/>
      <c r="EJ199" s="170"/>
      <c r="EK199" s="170"/>
      <c r="EL199" s="170"/>
      <c r="EM199" s="170"/>
      <c r="EN199" s="170"/>
      <c r="EO199" s="170"/>
      <c r="EP199" s="170"/>
    </row>
    <row r="200" ht="15.75" customHeight="1">
      <c r="A200" s="170"/>
      <c r="B200" s="170"/>
      <c r="C200" s="170"/>
      <c r="D200" s="170"/>
      <c r="E200" s="170"/>
      <c r="F200" s="170"/>
      <c r="G200" s="170"/>
      <c r="H200" s="170"/>
      <c r="I200" s="170"/>
      <c r="J200" s="170"/>
      <c r="K200" s="170"/>
      <c r="L200" s="170"/>
      <c r="M200" s="170"/>
      <c r="N200" s="170"/>
      <c r="O200" s="170"/>
      <c r="P200" s="170"/>
      <c r="Q200" s="170"/>
      <c r="R200" s="170"/>
      <c r="S200" s="170"/>
      <c r="T200" s="170"/>
      <c r="U200" s="170"/>
      <c r="V200" s="170"/>
      <c r="W200" s="170"/>
      <c r="X200" s="170"/>
      <c r="Y200" s="170"/>
      <c r="Z200" s="170"/>
      <c r="AA200" s="170"/>
      <c r="AB200" s="170"/>
      <c r="AC200" s="170"/>
      <c r="AD200" s="170"/>
      <c r="AE200" s="170"/>
      <c r="AF200" s="170"/>
      <c r="AG200" s="170"/>
      <c r="AH200" s="170"/>
      <c r="AI200" s="170"/>
      <c r="AJ200" s="170"/>
      <c r="AK200" s="170"/>
      <c r="AL200" s="170"/>
      <c r="AM200" s="170"/>
      <c r="AN200" s="170"/>
      <c r="AO200" s="170"/>
      <c r="AP200" s="170"/>
      <c r="AQ200" s="170"/>
      <c r="AR200" s="170"/>
      <c r="AS200" s="170"/>
      <c r="AT200" s="170"/>
      <c r="AU200" s="170"/>
      <c r="AV200" s="170"/>
      <c r="AW200" s="170"/>
      <c r="AX200" s="170"/>
      <c r="AY200" s="170"/>
      <c r="AZ200" s="170"/>
      <c r="BA200" s="170"/>
      <c r="BB200" s="170"/>
      <c r="BC200" s="170"/>
      <c r="BD200" s="170"/>
      <c r="BE200" s="170"/>
      <c r="BF200" s="170"/>
      <c r="BG200" s="170"/>
      <c r="BH200" s="170"/>
      <c r="BI200" s="170"/>
      <c r="BJ200" s="170"/>
      <c r="BK200" s="170"/>
      <c r="BL200" s="170"/>
      <c r="BM200" s="170"/>
      <c r="BN200" s="170"/>
      <c r="BO200" s="170"/>
      <c r="BP200" s="170"/>
      <c r="BQ200" s="170"/>
      <c r="BR200" s="170"/>
      <c r="BS200" s="170"/>
      <c r="BT200" s="170"/>
      <c r="BU200" s="170"/>
      <c r="BV200" s="170"/>
      <c r="BW200" s="170"/>
      <c r="BX200" s="170"/>
      <c r="BY200" s="170"/>
      <c r="BZ200" s="170"/>
      <c r="CA200" s="170"/>
      <c r="CB200" s="170"/>
      <c r="CC200" s="170"/>
      <c r="CD200" s="170"/>
      <c r="CE200" s="170"/>
      <c r="CF200" s="170"/>
      <c r="CG200" s="170"/>
      <c r="CH200" s="170"/>
      <c r="CI200" s="170"/>
      <c r="CJ200" s="170"/>
      <c r="CK200" s="170"/>
      <c r="CL200" s="170"/>
      <c r="CM200" s="170"/>
      <c r="CN200" s="170"/>
      <c r="CO200" s="170"/>
      <c r="CP200" s="170"/>
      <c r="CQ200" s="170"/>
      <c r="CR200" s="170"/>
      <c r="CS200" s="170"/>
      <c r="CT200" s="170"/>
      <c r="CU200" s="170"/>
      <c r="CV200" s="170"/>
      <c r="CW200" s="170"/>
      <c r="CX200" s="170"/>
      <c r="CY200" s="170"/>
      <c r="CZ200" s="170"/>
      <c r="DA200" s="170"/>
      <c r="DB200" s="170"/>
      <c r="DC200" s="170"/>
      <c r="DD200" s="170"/>
      <c r="DE200" s="170"/>
      <c r="DF200" s="170"/>
      <c r="DG200" s="170"/>
      <c r="DH200" s="170"/>
      <c r="DI200" s="170"/>
      <c r="DJ200" s="170"/>
      <c r="DK200" s="170"/>
      <c r="DL200" s="170"/>
      <c r="DM200" s="170"/>
      <c r="DN200" s="170"/>
      <c r="DO200" s="170"/>
      <c r="DP200" s="170"/>
      <c r="DQ200" s="170"/>
      <c r="DR200" s="170"/>
      <c r="DS200" s="170"/>
      <c r="DT200" s="170"/>
      <c r="DU200" s="170"/>
      <c r="DV200" s="170"/>
      <c r="DW200" s="170"/>
      <c r="DX200" s="170"/>
      <c r="DY200" s="170"/>
      <c r="DZ200" s="170"/>
      <c r="EA200" s="170"/>
      <c r="EB200" s="170"/>
      <c r="EC200" s="170"/>
      <c r="ED200" s="170"/>
      <c r="EE200" s="170"/>
      <c r="EF200" s="170"/>
      <c r="EG200" s="170"/>
      <c r="EH200" s="170"/>
      <c r="EI200" s="170"/>
      <c r="EJ200" s="170"/>
      <c r="EK200" s="170"/>
      <c r="EL200" s="170"/>
      <c r="EM200" s="170"/>
      <c r="EN200" s="170"/>
      <c r="EO200" s="170"/>
      <c r="EP200" s="170"/>
    </row>
    <row r="201" ht="15.75" customHeight="1">
      <c r="A201" s="170"/>
      <c r="B201" s="170"/>
      <c r="C201" s="170"/>
      <c r="D201" s="170"/>
      <c r="E201" s="170"/>
      <c r="F201" s="170"/>
      <c r="G201" s="170"/>
      <c r="H201" s="170"/>
      <c r="I201" s="170"/>
      <c r="J201" s="170"/>
      <c r="K201" s="170"/>
      <c r="L201" s="170"/>
      <c r="M201" s="170"/>
      <c r="N201" s="170"/>
      <c r="O201" s="170"/>
      <c r="P201" s="170"/>
      <c r="Q201" s="170"/>
      <c r="R201" s="170"/>
      <c r="S201" s="170"/>
      <c r="T201" s="170"/>
      <c r="U201" s="170"/>
      <c r="V201" s="170"/>
      <c r="W201" s="170"/>
      <c r="X201" s="170"/>
      <c r="Y201" s="170"/>
      <c r="Z201" s="170"/>
      <c r="AA201" s="170"/>
      <c r="AB201" s="170"/>
      <c r="AC201" s="170"/>
      <c r="AD201" s="170"/>
      <c r="AE201" s="170"/>
      <c r="AF201" s="170"/>
      <c r="AG201" s="170"/>
      <c r="AH201" s="170"/>
      <c r="AI201" s="170"/>
      <c r="AJ201" s="170"/>
      <c r="AK201" s="170"/>
      <c r="AL201" s="170"/>
      <c r="AM201" s="170"/>
      <c r="AN201" s="170"/>
      <c r="AO201" s="170"/>
      <c r="AP201" s="170"/>
      <c r="AQ201" s="170"/>
      <c r="AR201" s="170"/>
      <c r="AS201" s="170"/>
      <c r="AT201" s="170"/>
      <c r="AU201" s="170"/>
      <c r="AV201" s="170"/>
      <c r="AW201" s="170"/>
      <c r="AX201" s="170"/>
      <c r="AY201" s="170"/>
      <c r="AZ201" s="170"/>
      <c r="BA201" s="170"/>
      <c r="BB201" s="170"/>
      <c r="BC201" s="170"/>
      <c r="BD201" s="170"/>
      <c r="BE201" s="170"/>
      <c r="BF201" s="170"/>
      <c r="BG201" s="170"/>
      <c r="BH201" s="170"/>
      <c r="BI201" s="170"/>
      <c r="BJ201" s="170"/>
      <c r="BK201" s="170"/>
      <c r="BL201" s="170"/>
      <c r="BM201" s="170"/>
      <c r="BN201" s="170"/>
      <c r="BO201" s="170"/>
      <c r="BP201" s="170"/>
      <c r="BQ201" s="170"/>
      <c r="BR201" s="170"/>
      <c r="BS201" s="170"/>
      <c r="BT201" s="170"/>
      <c r="BU201" s="170"/>
      <c r="BV201" s="170"/>
      <c r="BW201" s="170"/>
      <c r="BX201" s="170"/>
      <c r="BY201" s="170"/>
      <c r="BZ201" s="170"/>
      <c r="CA201" s="170"/>
      <c r="CB201" s="170"/>
      <c r="CC201" s="170"/>
      <c r="CD201" s="170"/>
      <c r="CE201" s="170"/>
      <c r="CF201" s="170"/>
      <c r="CG201" s="170"/>
      <c r="CH201" s="170"/>
      <c r="CI201" s="170"/>
      <c r="CJ201" s="170"/>
      <c r="CK201" s="170"/>
      <c r="CL201" s="170"/>
      <c r="CM201" s="170"/>
      <c r="CN201" s="170"/>
      <c r="CO201" s="170"/>
      <c r="CP201" s="170"/>
      <c r="CQ201" s="170"/>
      <c r="CR201" s="170"/>
      <c r="CS201" s="170"/>
      <c r="CT201" s="170"/>
      <c r="CU201" s="170"/>
      <c r="CV201" s="170"/>
      <c r="CW201" s="170"/>
      <c r="CX201" s="170"/>
      <c r="CY201" s="170"/>
      <c r="CZ201" s="170"/>
      <c r="DA201" s="170"/>
      <c r="DB201" s="170"/>
      <c r="DC201" s="170"/>
      <c r="DD201" s="170"/>
      <c r="DE201" s="170"/>
      <c r="DF201" s="170"/>
      <c r="DG201" s="170"/>
      <c r="DH201" s="170"/>
      <c r="DI201" s="170"/>
      <c r="DJ201" s="170"/>
      <c r="DK201" s="170"/>
      <c r="DL201" s="170"/>
      <c r="DM201" s="170"/>
      <c r="DN201" s="170"/>
      <c r="DO201" s="170"/>
      <c r="DP201" s="170"/>
      <c r="DQ201" s="170"/>
      <c r="DR201" s="170"/>
      <c r="DS201" s="170"/>
      <c r="DT201" s="170"/>
      <c r="DU201" s="170"/>
      <c r="DV201" s="170"/>
      <c r="DW201" s="170"/>
      <c r="DX201" s="170"/>
      <c r="DY201" s="170"/>
      <c r="DZ201" s="170"/>
      <c r="EA201" s="170"/>
      <c r="EB201" s="170"/>
      <c r="EC201" s="170"/>
      <c r="ED201" s="170"/>
      <c r="EE201" s="170"/>
      <c r="EF201" s="170"/>
      <c r="EG201" s="170"/>
      <c r="EH201" s="170"/>
      <c r="EI201" s="170"/>
      <c r="EJ201" s="170"/>
      <c r="EK201" s="170"/>
      <c r="EL201" s="170"/>
      <c r="EM201" s="170"/>
      <c r="EN201" s="170"/>
      <c r="EO201" s="170"/>
      <c r="EP201" s="170"/>
    </row>
    <row r="202" ht="15.75" customHeight="1">
      <c r="A202" s="170"/>
      <c r="B202" s="170"/>
      <c r="C202" s="170"/>
      <c r="D202" s="170"/>
      <c r="E202" s="170"/>
      <c r="F202" s="170"/>
      <c r="G202" s="170"/>
      <c r="H202" s="170"/>
      <c r="I202" s="170"/>
      <c r="J202" s="170"/>
      <c r="K202" s="170"/>
      <c r="L202" s="170"/>
      <c r="M202" s="170"/>
      <c r="N202" s="170"/>
      <c r="O202" s="170"/>
      <c r="P202" s="170"/>
      <c r="Q202" s="170"/>
      <c r="R202" s="170"/>
      <c r="S202" s="170"/>
      <c r="T202" s="170"/>
      <c r="U202" s="170"/>
      <c r="V202" s="170"/>
      <c r="W202" s="170"/>
      <c r="X202" s="170"/>
      <c r="Y202" s="170"/>
      <c r="Z202" s="170"/>
      <c r="AA202" s="170"/>
      <c r="AB202" s="170"/>
      <c r="AC202" s="170"/>
      <c r="AD202" s="170"/>
      <c r="AE202" s="170"/>
      <c r="AF202" s="170"/>
      <c r="AG202" s="170"/>
      <c r="AH202" s="170"/>
      <c r="AI202" s="170"/>
      <c r="AJ202" s="170"/>
      <c r="AK202" s="170"/>
      <c r="AL202" s="170"/>
      <c r="AM202" s="170"/>
      <c r="AN202" s="170"/>
      <c r="AO202" s="170"/>
      <c r="AP202" s="170"/>
      <c r="AQ202" s="170"/>
      <c r="AR202" s="170"/>
      <c r="AS202" s="170"/>
      <c r="AT202" s="170"/>
      <c r="AU202" s="170"/>
      <c r="AV202" s="170"/>
      <c r="AW202" s="170"/>
      <c r="AX202" s="170"/>
      <c r="AY202" s="170"/>
      <c r="AZ202" s="170"/>
      <c r="BA202" s="170"/>
      <c r="BB202" s="170"/>
      <c r="BC202" s="170"/>
      <c r="BD202" s="170"/>
      <c r="BE202" s="170"/>
      <c r="BF202" s="170"/>
      <c r="BG202" s="170"/>
      <c r="BH202" s="170"/>
      <c r="BI202" s="170"/>
      <c r="BJ202" s="170"/>
      <c r="BK202" s="170"/>
      <c r="BL202" s="170"/>
      <c r="BM202" s="170"/>
      <c r="BN202" s="170"/>
      <c r="BO202" s="170"/>
      <c r="BP202" s="170"/>
      <c r="BQ202" s="170"/>
      <c r="BR202" s="170"/>
      <c r="BS202" s="170"/>
      <c r="BT202" s="170"/>
      <c r="BU202" s="170"/>
      <c r="BV202" s="170"/>
      <c r="BW202" s="170"/>
      <c r="BX202" s="170"/>
      <c r="BY202" s="170"/>
      <c r="BZ202" s="170"/>
      <c r="CA202" s="170"/>
      <c r="CB202" s="170"/>
      <c r="CC202" s="170"/>
      <c r="CD202" s="170"/>
      <c r="CE202" s="170"/>
      <c r="CF202" s="170"/>
      <c r="CG202" s="170"/>
      <c r="CH202" s="170"/>
      <c r="CI202" s="170"/>
      <c r="CJ202" s="170"/>
      <c r="CK202" s="170"/>
      <c r="CL202" s="170"/>
      <c r="CM202" s="170"/>
      <c r="CN202" s="170"/>
      <c r="CO202" s="170"/>
      <c r="CP202" s="170"/>
      <c r="CQ202" s="170"/>
      <c r="CR202" s="170"/>
      <c r="CS202" s="170"/>
      <c r="CT202" s="170"/>
      <c r="CU202" s="170"/>
      <c r="CV202" s="170"/>
      <c r="CW202" s="170"/>
      <c r="CX202" s="170"/>
      <c r="CY202" s="170"/>
      <c r="CZ202" s="170"/>
      <c r="DA202" s="170"/>
      <c r="DB202" s="170"/>
      <c r="DC202" s="170"/>
      <c r="DD202" s="170"/>
      <c r="DE202" s="170"/>
      <c r="DF202" s="170"/>
      <c r="DG202" s="170"/>
      <c r="DH202" s="170"/>
      <c r="DI202" s="170"/>
      <c r="DJ202" s="170"/>
      <c r="DK202" s="170"/>
      <c r="DL202" s="170"/>
      <c r="DM202" s="170"/>
      <c r="DN202" s="170"/>
      <c r="DO202" s="170"/>
      <c r="DP202" s="170"/>
      <c r="DQ202" s="170"/>
      <c r="DR202" s="170"/>
      <c r="DS202" s="170"/>
      <c r="DT202" s="170"/>
      <c r="DU202" s="170"/>
      <c r="DV202" s="170"/>
      <c r="DW202" s="170"/>
      <c r="DX202" s="170"/>
      <c r="DY202" s="170"/>
      <c r="DZ202" s="170"/>
      <c r="EA202" s="170"/>
      <c r="EB202" s="170"/>
      <c r="EC202" s="170"/>
      <c r="ED202" s="170"/>
      <c r="EE202" s="170"/>
      <c r="EF202" s="170"/>
      <c r="EG202" s="170"/>
      <c r="EH202" s="170"/>
      <c r="EI202" s="170"/>
      <c r="EJ202" s="170"/>
      <c r="EK202" s="170"/>
      <c r="EL202" s="170"/>
      <c r="EM202" s="170"/>
      <c r="EN202" s="170"/>
      <c r="EO202" s="170"/>
      <c r="EP202" s="170"/>
    </row>
    <row r="203" ht="15.75" customHeight="1">
      <c r="A203" s="170"/>
      <c r="B203" s="170"/>
      <c r="C203" s="170"/>
      <c r="D203" s="170"/>
      <c r="E203" s="170"/>
      <c r="F203" s="170"/>
      <c r="G203" s="170"/>
      <c r="H203" s="170"/>
      <c r="I203" s="170"/>
      <c r="J203" s="170"/>
      <c r="K203" s="170"/>
      <c r="L203" s="170"/>
      <c r="M203" s="170"/>
      <c r="N203" s="170"/>
      <c r="O203" s="170"/>
      <c r="P203" s="170"/>
      <c r="Q203" s="170"/>
      <c r="R203" s="170"/>
      <c r="S203" s="170"/>
      <c r="T203" s="170"/>
      <c r="U203" s="170"/>
      <c r="V203" s="170"/>
      <c r="W203" s="170"/>
      <c r="X203" s="170"/>
      <c r="Y203" s="170"/>
      <c r="Z203" s="170"/>
      <c r="AA203" s="170"/>
      <c r="AB203" s="170"/>
      <c r="AC203" s="170"/>
      <c r="AD203" s="170"/>
      <c r="AE203" s="170"/>
      <c r="AF203" s="170"/>
      <c r="AG203" s="170"/>
      <c r="AH203" s="170"/>
      <c r="AI203" s="170"/>
      <c r="AJ203" s="170"/>
      <c r="AK203" s="170"/>
      <c r="AL203" s="170"/>
      <c r="AM203" s="170"/>
      <c r="AN203" s="170"/>
      <c r="AO203" s="170"/>
      <c r="AP203" s="170"/>
      <c r="AQ203" s="170"/>
      <c r="AR203" s="170"/>
      <c r="AS203" s="170"/>
      <c r="AT203" s="170"/>
      <c r="AU203" s="170"/>
      <c r="AV203" s="170"/>
      <c r="AW203" s="170"/>
      <c r="AX203" s="170"/>
      <c r="AY203" s="170"/>
      <c r="AZ203" s="170"/>
      <c r="BA203" s="170"/>
      <c r="BB203" s="170"/>
      <c r="BC203" s="170"/>
      <c r="BD203" s="170"/>
      <c r="BE203" s="170"/>
      <c r="BF203" s="170"/>
      <c r="BG203" s="170"/>
      <c r="BH203" s="170"/>
      <c r="BI203" s="170"/>
      <c r="BJ203" s="170"/>
      <c r="BK203" s="170"/>
      <c r="BL203" s="170"/>
      <c r="BM203" s="170"/>
      <c r="BN203" s="170"/>
      <c r="BO203" s="170"/>
      <c r="BP203" s="170"/>
      <c r="BQ203" s="170"/>
      <c r="BR203" s="170"/>
      <c r="BS203" s="170"/>
      <c r="BT203" s="170"/>
      <c r="BU203" s="170"/>
      <c r="BV203" s="170"/>
      <c r="BW203" s="170"/>
      <c r="BX203" s="170"/>
      <c r="BY203" s="170"/>
      <c r="BZ203" s="170"/>
      <c r="CA203" s="170"/>
      <c r="CB203" s="170"/>
      <c r="CC203" s="170"/>
      <c r="CD203" s="170"/>
      <c r="CE203" s="170"/>
      <c r="CF203" s="170"/>
      <c r="CG203" s="170"/>
      <c r="CH203" s="170"/>
      <c r="CI203" s="170"/>
      <c r="CJ203" s="170"/>
      <c r="CK203" s="170"/>
      <c r="CL203" s="170"/>
      <c r="CM203" s="170"/>
      <c r="CN203" s="170"/>
      <c r="CO203" s="170"/>
      <c r="CP203" s="170"/>
      <c r="CQ203" s="170"/>
      <c r="CR203" s="170"/>
      <c r="CS203" s="170"/>
      <c r="CT203" s="170"/>
      <c r="CU203" s="170"/>
      <c r="CV203" s="170"/>
      <c r="CW203" s="170"/>
      <c r="CX203" s="170"/>
      <c r="CY203" s="170"/>
      <c r="CZ203" s="170"/>
      <c r="DA203" s="170"/>
      <c r="DB203" s="170"/>
      <c r="DC203" s="170"/>
      <c r="DD203" s="170"/>
      <c r="DE203" s="170"/>
      <c r="DF203" s="170"/>
      <c r="DG203" s="170"/>
      <c r="DH203" s="170"/>
      <c r="DI203" s="170"/>
      <c r="DJ203" s="170"/>
      <c r="DK203" s="170"/>
      <c r="DL203" s="170"/>
      <c r="DM203" s="170"/>
      <c r="DN203" s="170"/>
      <c r="DO203" s="170"/>
      <c r="DP203" s="170"/>
      <c r="DQ203" s="170"/>
      <c r="DR203" s="170"/>
      <c r="DS203" s="170"/>
      <c r="DT203" s="170"/>
      <c r="DU203" s="170"/>
      <c r="DV203" s="170"/>
      <c r="DW203" s="170"/>
      <c r="DX203" s="170"/>
      <c r="DY203" s="170"/>
      <c r="DZ203" s="170"/>
      <c r="EA203" s="170"/>
      <c r="EB203" s="170"/>
      <c r="EC203" s="170"/>
      <c r="ED203" s="170"/>
      <c r="EE203" s="170"/>
      <c r="EF203" s="170"/>
      <c r="EG203" s="170"/>
      <c r="EH203" s="170"/>
      <c r="EI203" s="170"/>
      <c r="EJ203" s="170"/>
      <c r="EK203" s="170"/>
      <c r="EL203" s="170"/>
      <c r="EM203" s="170"/>
      <c r="EN203" s="170"/>
      <c r="EO203" s="170"/>
      <c r="EP203" s="170"/>
    </row>
    <row r="204" ht="15.75" customHeight="1">
      <c r="A204" s="170"/>
      <c r="B204" s="170"/>
      <c r="C204" s="170"/>
      <c r="D204" s="170"/>
      <c r="E204" s="170"/>
      <c r="F204" s="170"/>
      <c r="G204" s="170"/>
      <c r="H204" s="170"/>
      <c r="I204" s="170"/>
      <c r="J204" s="170"/>
      <c r="K204" s="170"/>
      <c r="L204" s="170"/>
      <c r="M204" s="170"/>
      <c r="N204" s="170"/>
      <c r="O204" s="170"/>
      <c r="P204" s="170"/>
      <c r="Q204" s="170"/>
      <c r="R204" s="170"/>
      <c r="S204" s="170"/>
      <c r="T204" s="170"/>
      <c r="U204" s="170"/>
      <c r="V204" s="170"/>
      <c r="W204" s="170"/>
      <c r="X204" s="170"/>
      <c r="Y204" s="170"/>
      <c r="Z204" s="170"/>
      <c r="AA204" s="170"/>
      <c r="AB204" s="170"/>
      <c r="AC204" s="170"/>
      <c r="AD204" s="170"/>
      <c r="AE204" s="170"/>
      <c r="AF204" s="170"/>
      <c r="AG204" s="170"/>
      <c r="AH204" s="170"/>
      <c r="AI204" s="170"/>
      <c r="AJ204" s="170"/>
      <c r="AK204" s="170"/>
      <c r="AL204" s="170"/>
      <c r="AM204" s="170"/>
      <c r="AN204" s="170"/>
      <c r="AO204" s="170"/>
      <c r="AP204" s="170"/>
      <c r="AQ204" s="170"/>
      <c r="AR204" s="170"/>
      <c r="AS204" s="170"/>
      <c r="AT204" s="170"/>
      <c r="AU204" s="170"/>
      <c r="AV204" s="170"/>
      <c r="AW204" s="170"/>
      <c r="AX204" s="170"/>
      <c r="AY204" s="170"/>
      <c r="AZ204" s="170"/>
      <c r="BA204" s="170"/>
      <c r="BB204" s="170"/>
      <c r="BC204" s="170"/>
      <c r="BD204" s="170"/>
      <c r="BE204" s="170"/>
      <c r="BF204" s="170"/>
      <c r="BG204" s="170"/>
      <c r="BH204" s="170"/>
      <c r="BI204" s="170"/>
      <c r="BJ204" s="170"/>
      <c r="BK204" s="170"/>
      <c r="BL204" s="170"/>
      <c r="BM204" s="170"/>
      <c r="BN204" s="170"/>
      <c r="BO204" s="170"/>
      <c r="BP204" s="170"/>
      <c r="BQ204" s="170"/>
      <c r="BR204" s="170"/>
      <c r="BS204" s="170"/>
      <c r="BT204" s="170"/>
      <c r="BU204" s="170"/>
      <c r="BV204" s="170"/>
      <c r="BW204" s="170"/>
      <c r="BX204" s="170"/>
      <c r="BY204" s="170"/>
      <c r="BZ204" s="170"/>
      <c r="CA204" s="170"/>
      <c r="CB204" s="170"/>
      <c r="CC204" s="170"/>
      <c r="CD204" s="170"/>
      <c r="CE204" s="170"/>
      <c r="CF204" s="170"/>
      <c r="CG204" s="170"/>
      <c r="CH204" s="170"/>
      <c r="CI204" s="170"/>
      <c r="CJ204" s="170"/>
      <c r="CK204" s="170"/>
      <c r="CL204" s="170"/>
      <c r="CM204" s="170"/>
      <c r="CN204" s="170"/>
      <c r="CO204" s="170"/>
      <c r="CP204" s="170"/>
      <c r="CQ204" s="170"/>
      <c r="CR204" s="170"/>
      <c r="CS204" s="170"/>
      <c r="CT204" s="170"/>
      <c r="CU204" s="170"/>
      <c r="CV204" s="170"/>
      <c r="CW204" s="170"/>
      <c r="CX204" s="170"/>
      <c r="CY204" s="170"/>
      <c r="CZ204" s="170"/>
      <c r="DA204" s="170"/>
      <c r="DB204" s="170"/>
      <c r="DC204" s="170"/>
      <c r="DD204" s="170"/>
      <c r="DE204" s="170"/>
      <c r="DF204" s="170"/>
      <c r="DG204" s="170"/>
      <c r="DH204" s="170"/>
      <c r="DI204" s="170"/>
      <c r="DJ204" s="170"/>
      <c r="DK204" s="170"/>
      <c r="DL204" s="170"/>
      <c r="DM204" s="170"/>
      <c r="DN204" s="170"/>
      <c r="DO204" s="170"/>
      <c r="DP204" s="170"/>
      <c r="DQ204" s="170"/>
      <c r="DR204" s="170"/>
      <c r="DS204" s="170"/>
      <c r="DT204" s="170"/>
      <c r="DU204" s="170"/>
      <c r="DV204" s="170"/>
      <c r="DW204" s="170"/>
      <c r="DX204" s="170"/>
      <c r="DY204" s="170"/>
      <c r="DZ204" s="170"/>
      <c r="EA204" s="170"/>
      <c r="EB204" s="170"/>
      <c r="EC204" s="170"/>
      <c r="ED204" s="170"/>
      <c r="EE204" s="170"/>
      <c r="EF204" s="170"/>
      <c r="EG204" s="170"/>
      <c r="EH204" s="170"/>
      <c r="EI204" s="170"/>
      <c r="EJ204" s="170"/>
      <c r="EK204" s="170"/>
      <c r="EL204" s="170"/>
      <c r="EM204" s="170"/>
      <c r="EN204" s="170"/>
      <c r="EO204" s="170"/>
      <c r="EP204" s="170"/>
    </row>
    <row r="205" ht="15.75" customHeight="1">
      <c r="A205" s="170"/>
      <c r="B205" s="170"/>
      <c r="C205" s="170"/>
      <c r="D205" s="170"/>
      <c r="E205" s="170"/>
      <c r="F205" s="170"/>
      <c r="G205" s="170"/>
      <c r="H205" s="170"/>
      <c r="I205" s="170"/>
      <c r="J205" s="170"/>
      <c r="K205" s="170"/>
      <c r="L205" s="170"/>
      <c r="M205" s="170"/>
      <c r="N205" s="170"/>
      <c r="O205" s="170"/>
      <c r="P205" s="170"/>
      <c r="Q205" s="170"/>
      <c r="R205" s="170"/>
      <c r="S205" s="170"/>
      <c r="T205" s="170"/>
      <c r="U205" s="170"/>
      <c r="V205" s="170"/>
      <c r="W205" s="170"/>
      <c r="X205" s="170"/>
      <c r="Y205" s="170"/>
      <c r="Z205" s="170"/>
      <c r="AA205" s="170"/>
      <c r="AB205" s="170"/>
      <c r="AC205" s="170"/>
      <c r="AD205" s="170"/>
      <c r="AE205" s="170"/>
      <c r="AF205" s="170"/>
      <c r="AG205" s="170"/>
      <c r="AH205" s="170"/>
      <c r="AI205" s="170"/>
      <c r="AJ205" s="170"/>
      <c r="AK205" s="170"/>
      <c r="AL205" s="170"/>
      <c r="AM205" s="170"/>
      <c r="AN205" s="170"/>
      <c r="AO205" s="170"/>
      <c r="AP205" s="170"/>
      <c r="AQ205" s="170"/>
      <c r="AR205" s="170"/>
      <c r="AS205" s="170"/>
      <c r="AT205" s="170"/>
      <c r="AU205" s="170"/>
      <c r="AV205" s="170"/>
      <c r="AW205" s="170"/>
      <c r="AX205" s="170"/>
      <c r="AY205" s="170"/>
      <c r="AZ205" s="170"/>
      <c r="BA205" s="170"/>
      <c r="BB205" s="170"/>
      <c r="BC205" s="170"/>
      <c r="BD205" s="170"/>
      <c r="BE205" s="170"/>
      <c r="BF205" s="170"/>
      <c r="BG205" s="170"/>
      <c r="BH205" s="170"/>
      <c r="BI205" s="170"/>
      <c r="BJ205" s="170"/>
      <c r="BK205" s="170"/>
      <c r="BL205" s="170"/>
      <c r="BM205" s="170"/>
      <c r="BN205" s="170"/>
      <c r="BO205" s="170"/>
      <c r="BP205" s="170"/>
      <c r="BQ205" s="170"/>
      <c r="BR205" s="170"/>
      <c r="BS205" s="170"/>
      <c r="BT205" s="170"/>
      <c r="BU205" s="170"/>
      <c r="BV205" s="170"/>
      <c r="BW205" s="170"/>
      <c r="BX205" s="170"/>
      <c r="BY205" s="170"/>
      <c r="BZ205" s="170"/>
      <c r="CA205" s="170"/>
      <c r="CB205" s="170"/>
      <c r="CC205" s="170"/>
      <c r="CD205" s="170"/>
      <c r="CE205" s="170"/>
      <c r="CF205" s="170"/>
      <c r="CG205" s="170"/>
      <c r="CH205" s="170"/>
      <c r="CI205" s="170"/>
      <c r="CJ205" s="170"/>
      <c r="CK205" s="170"/>
      <c r="CL205" s="170"/>
      <c r="CM205" s="170"/>
      <c r="CN205" s="170"/>
      <c r="CO205" s="170"/>
      <c r="CP205" s="170"/>
      <c r="CQ205" s="170"/>
      <c r="CR205" s="170"/>
      <c r="CS205" s="170"/>
      <c r="CT205" s="170"/>
      <c r="CU205" s="170"/>
      <c r="CV205" s="170"/>
      <c r="CW205" s="170"/>
      <c r="CX205" s="170"/>
      <c r="CY205" s="170"/>
      <c r="CZ205" s="170"/>
      <c r="DA205" s="170"/>
      <c r="DB205" s="170"/>
      <c r="DC205" s="170"/>
      <c r="DD205" s="170"/>
      <c r="DE205" s="170"/>
      <c r="DF205" s="170"/>
      <c r="DG205" s="170"/>
      <c r="DH205" s="170"/>
      <c r="DI205" s="170"/>
      <c r="DJ205" s="170"/>
      <c r="DK205" s="170"/>
      <c r="DL205" s="170"/>
      <c r="DM205" s="170"/>
      <c r="DN205" s="170"/>
      <c r="DO205" s="170"/>
      <c r="DP205" s="170"/>
      <c r="DQ205" s="170"/>
      <c r="DR205" s="170"/>
      <c r="DS205" s="170"/>
      <c r="DT205" s="170"/>
      <c r="DU205" s="170"/>
      <c r="DV205" s="170"/>
      <c r="DW205" s="170"/>
      <c r="DX205" s="170"/>
      <c r="DY205" s="170"/>
      <c r="DZ205" s="170"/>
      <c r="EA205" s="170"/>
      <c r="EB205" s="170"/>
      <c r="EC205" s="170"/>
      <c r="ED205" s="170"/>
      <c r="EE205" s="170"/>
      <c r="EF205" s="170"/>
      <c r="EG205" s="170"/>
      <c r="EH205" s="170"/>
      <c r="EI205" s="170"/>
      <c r="EJ205" s="170"/>
      <c r="EK205" s="170"/>
      <c r="EL205" s="170"/>
      <c r="EM205" s="170"/>
      <c r="EN205" s="170"/>
      <c r="EO205" s="170"/>
      <c r="EP205" s="170"/>
    </row>
    <row r="206" ht="15.75" customHeight="1">
      <c r="A206" s="170"/>
      <c r="B206" s="170"/>
      <c r="C206" s="170"/>
      <c r="D206" s="170"/>
      <c r="E206" s="170"/>
      <c r="F206" s="170"/>
      <c r="G206" s="170"/>
      <c r="H206" s="170"/>
      <c r="I206" s="170"/>
      <c r="J206" s="170"/>
      <c r="K206" s="170"/>
      <c r="L206" s="170"/>
      <c r="M206" s="170"/>
      <c r="N206" s="170"/>
      <c r="O206" s="170"/>
      <c r="P206" s="170"/>
      <c r="Q206" s="170"/>
      <c r="R206" s="170"/>
      <c r="S206" s="170"/>
      <c r="T206" s="170"/>
      <c r="U206" s="170"/>
      <c r="V206" s="170"/>
      <c r="W206" s="170"/>
      <c r="X206" s="170"/>
      <c r="Y206" s="170"/>
      <c r="Z206" s="170"/>
      <c r="AA206" s="170"/>
      <c r="AB206" s="170"/>
      <c r="AC206" s="170"/>
      <c r="AD206" s="170"/>
      <c r="AE206" s="170"/>
      <c r="AF206" s="170"/>
      <c r="AG206" s="170"/>
      <c r="AH206" s="170"/>
      <c r="AI206" s="170"/>
      <c r="AJ206" s="170"/>
      <c r="AK206" s="170"/>
      <c r="AL206" s="170"/>
      <c r="AM206" s="170"/>
      <c r="AN206" s="170"/>
      <c r="AO206" s="170"/>
      <c r="AP206" s="170"/>
      <c r="AQ206" s="170"/>
      <c r="AR206" s="170"/>
      <c r="AS206" s="170"/>
      <c r="AT206" s="170"/>
      <c r="AU206" s="170"/>
      <c r="AV206" s="170"/>
      <c r="AW206" s="170"/>
      <c r="AX206" s="170"/>
      <c r="AY206" s="170"/>
      <c r="AZ206" s="170"/>
      <c r="BA206" s="170"/>
      <c r="BB206" s="170"/>
      <c r="BC206" s="170"/>
      <c r="BD206" s="170"/>
      <c r="BE206" s="170"/>
      <c r="BF206" s="170"/>
      <c r="BG206" s="170"/>
      <c r="BH206" s="170"/>
      <c r="BI206" s="170"/>
      <c r="BJ206" s="170"/>
      <c r="BK206" s="170"/>
      <c r="BL206" s="170"/>
      <c r="BM206" s="170"/>
      <c r="BN206" s="170"/>
      <c r="BO206" s="170"/>
      <c r="BP206" s="170"/>
      <c r="BQ206" s="170"/>
      <c r="BR206" s="170"/>
      <c r="BS206" s="170"/>
      <c r="BT206" s="170"/>
      <c r="BU206" s="170"/>
      <c r="BV206" s="170"/>
      <c r="BW206" s="170"/>
      <c r="BX206" s="170"/>
      <c r="BY206" s="170"/>
      <c r="BZ206" s="170"/>
      <c r="CA206" s="170"/>
      <c r="CB206" s="170"/>
      <c r="CC206" s="170"/>
      <c r="CD206" s="170"/>
      <c r="CE206" s="170"/>
      <c r="CF206" s="170"/>
      <c r="CG206" s="170"/>
      <c r="CH206" s="170"/>
      <c r="CI206" s="170"/>
      <c r="CJ206" s="170"/>
      <c r="CK206" s="170"/>
      <c r="CL206" s="170"/>
      <c r="CM206" s="170"/>
      <c r="CN206" s="170"/>
      <c r="CO206" s="170"/>
      <c r="CP206" s="170"/>
      <c r="CQ206" s="170"/>
      <c r="CR206" s="170"/>
      <c r="CS206" s="170"/>
      <c r="CT206" s="170"/>
      <c r="CU206" s="170"/>
      <c r="CV206" s="170"/>
      <c r="CW206" s="170"/>
      <c r="CX206" s="170"/>
      <c r="CY206" s="170"/>
      <c r="CZ206" s="170"/>
      <c r="DA206" s="170"/>
      <c r="DB206" s="170"/>
      <c r="DC206" s="170"/>
      <c r="DD206" s="170"/>
      <c r="DE206" s="170"/>
      <c r="DF206" s="170"/>
      <c r="DG206" s="170"/>
      <c r="DH206" s="170"/>
      <c r="DI206" s="170"/>
      <c r="DJ206" s="170"/>
      <c r="DK206" s="170"/>
      <c r="DL206" s="170"/>
      <c r="DM206" s="170"/>
      <c r="DN206" s="170"/>
      <c r="DO206" s="170"/>
      <c r="DP206" s="170"/>
      <c r="DQ206" s="170"/>
      <c r="DR206" s="170"/>
      <c r="DS206" s="170"/>
      <c r="DT206" s="170"/>
      <c r="DU206" s="170"/>
      <c r="DV206" s="170"/>
      <c r="DW206" s="170"/>
      <c r="DX206" s="170"/>
      <c r="DY206" s="170"/>
      <c r="DZ206" s="170"/>
      <c r="EA206" s="170"/>
      <c r="EB206" s="170"/>
      <c r="EC206" s="170"/>
      <c r="ED206" s="170"/>
      <c r="EE206" s="170"/>
      <c r="EF206" s="170"/>
      <c r="EG206" s="170"/>
      <c r="EH206" s="170"/>
      <c r="EI206" s="170"/>
      <c r="EJ206" s="170"/>
      <c r="EK206" s="170"/>
      <c r="EL206" s="170"/>
      <c r="EM206" s="170"/>
      <c r="EN206" s="170"/>
      <c r="EO206" s="170"/>
      <c r="EP206" s="170"/>
    </row>
    <row r="207" ht="15.75" customHeight="1">
      <c r="A207" s="170"/>
      <c r="B207" s="170"/>
      <c r="C207" s="170"/>
      <c r="D207" s="170"/>
      <c r="E207" s="170"/>
      <c r="F207" s="170"/>
      <c r="G207" s="170"/>
      <c r="H207" s="170"/>
      <c r="I207" s="170"/>
      <c r="J207" s="170"/>
      <c r="K207" s="170"/>
      <c r="L207" s="170"/>
      <c r="M207" s="170"/>
      <c r="N207" s="170"/>
      <c r="O207" s="170"/>
      <c r="P207" s="170"/>
      <c r="Q207" s="170"/>
      <c r="R207" s="170"/>
      <c r="S207" s="170"/>
      <c r="T207" s="170"/>
      <c r="U207" s="170"/>
      <c r="V207" s="170"/>
      <c r="W207" s="170"/>
      <c r="X207" s="170"/>
      <c r="Y207" s="170"/>
      <c r="Z207" s="170"/>
      <c r="AA207" s="170"/>
      <c r="AB207" s="170"/>
      <c r="AC207" s="170"/>
      <c r="AD207" s="170"/>
      <c r="AE207" s="170"/>
      <c r="AF207" s="170"/>
      <c r="AG207" s="170"/>
      <c r="AH207" s="170"/>
      <c r="AI207" s="170"/>
      <c r="AJ207" s="170"/>
      <c r="AK207" s="170"/>
      <c r="AL207" s="170"/>
      <c r="AM207" s="170"/>
      <c r="AN207" s="170"/>
      <c r="AO207" s="170"/>
      <c r="AP207" s="170"/>
      <c r="AQ207" s="170"/>
      <c r="AR207" s="170"/>
      <c r="AS207" s="170"/>
      <c r="AT207" s="170"/>
      <c r="AU207" s="170"/>
      <c r="AV207" s="170"/>
      <c r="AW207" s="170"/>
      <c r="AX207" s="170"/>
      <c r="AY207" s="170"/>
      <c r="AZ207" s="170"/>
      <c r="BA207" s="170"/>
      <c r="BB207" s="170"/>
      <c r="BC207" s="170"/>
      <c r="BD207" s="170"/>
      <c r="BE207" s="170"/>
      <c r="BF207" s="170"/>
      <c r="BG207" s="170"/>
      <c r="BH207" s="170"/>
      <c r="BI207" s="170"/>
      <c r="BJ207" s="170"/>
      <c r="BK207" s="170"/>
      <c r="BL207" s="170"/>
      <c r="BM207" s="170"/>
      <c r="BN207" s="170"/>
      <c r="BO207" s="170"/>
      <c r="BP207" s="170"/>
      <c r="BQ207" s="170"/>
      <c r="BR207" s="170"/>
      <c r="BS207" s="170"/>
      <c r="BT207" s="170"/>
      <c r="BU207" s="170"/>
      <c r="BV207" s="170"/>
      <c r="BW207" s="170"/>
      <c r="BX207" s="170"/>
      <c r="BY207" s="170"/>
      <c r="BZ207" s="170"/>
      <c r="CA207" s="170"/>
      <c r="CB207" s="170"/>
      <c r="CC207" s="170"/>
      <c r="CD207" s="170"/>
      <c r="CE207" s="170"/>
      <c r="CF207" s="170"/>
      <c r="CG207" s="170"/>
      <c r="CH207" s="170"/>
      <c r="CI207" s="170"/>
      <c r="CJ207" s="170"/>
      <c r="CK207" s="170"/>
      <c r="CL207" s="170"/>
      <c r="CM207" s="170"/>
      <c r="CN207" s="170"/>
      <c r="CO207" s="170"/>
      <c r="CP207" s="170"/>
      <c r="CQ207" s="170"/>
      <c r="CR207" s="170"/>
      <c r="CS207" s="170"/>
      <c r="CT207" s="170"/>
      <c r="CU207" s="170"/>
      <c r="CV207" s="170"/>
      <c r="CW207" s="170"/>
      <c r="CX207" s="170"/>
      <c r="CY207" s="170"/>
      <c r="CZ207" s="170"/>
      <c r="DA207" s="170"/>
      <c r="DB207" s="170"/>
      <c r="DC207" s="170"/>
      <c r="DD207" s="170"/>
      <c r="DE207" s="170"/>
      <c r="DF207" s="170"/>
      <c r="DG207" s="170"/>
      <c r="DH207" s="170"/>
      <c r="DI207" s="170"/>
      <c r="DJ207" s="170"/>
      <c r="DK207" s="170"/>
      <c r="DL207" s="170"/>
      <c r="DM207" s="170"/>
      <c r="DN207" s="170"/>
      <c r="DO207" s="170"/>
      <c r="DP207" s="170"/>
      <c r="DQ207" s="170"/>
      <c r="DR207" s="170"/>
      <c r="DS207" s="170"/>
      <c r="DT207" s="170"/>
      <c r="DU207" s="170"/>
      <c r="DV207" s="170"/>
      <c r="DW207" s="170"/>
      <c r="DX207" s="170"/>
      <c r="DY207" s="170"/>
      <c r="DZ207" s="170"/>
      <c r="EA207" s="170"/>
      <c r="EB207" s="170"/>
      <c r="EC207" s="170"/>
      <c r="ED207" s="170"/>
      <c r="EE207" s="170"/>
      <c r="EF207" s="170"/>
      <c r="EG207" s="170"/>
      <c r="EH207" s="170"/>
      <c r="EI207" s="170"/>
      <c r="EJ207" s="170"/>
      <c r="EK207" s="170"/>
      <c r="EL207" s="170"/>
      <c r="EM207" s="170"/>
      <c r="EN207" s="170"/>
      <c r="EO207" s="170"/>
      <c r="EP207" s="170"/>
    </row>
    <row r="208" ht="15.75" customHeight="1">
      <c r="A208" s="170"/>
      <c r="B208" s="170"/>
      <c r="C208" s="170"/>
      <c r="D208" s="170"/>
      <c r="E208" s="170"/>
      <c r="F208" s="170"/>
      <c r="G208" s="170"/>
      <c r="H208" s="170"/>
      <c r="I208" s="170"/>
      <c r="J208" s="170"/>
      <c r="K208" s="170"/>
      <c r="L208" s="170"/>
      <c r="M208" s="170"/>
      <c r="N208" s="170"/>
      <c r="O208" s="170"/>
      <c r="P208" s="170"/>
      <c r="Q208" s="170"/>
      <c r="R208" s="170"/>
      <c r="S208" s="170"/>
      <c r="T208" s="170"/>
      <c r="U208" s="170"/>
      <c r="V208" s="170"/>
      <c r="W208" s="170"/>
      <c r="X208" s="170"/>
      <c r="Y208" s="170"/>
      <c r="Z208" s="170"/>
      <c r="AA208" s="170"/>
      <c r="AB208" s="170"/>
      <c r="AC208" s="170"/>
      <c r="AD208" s="170"/>
      <c r="AE208" s="170"/>
      <c r="AF208" s="170"/>
      <c r="AG208" s="170"/>
      <c r="AH208" s="170"/>
      <c r="AI208" s="170"/>
      <c r="AJ208" s="170"/>
      <c r="AK208" s="170"/>
      <c r="AL208" s="170"/>
      <c r="AM208" s="170"/>
      <c r="AN208" s="170"/>
      <c r="AO208" s="170"/>
      <c r="AP208" s="170"/>
      <c r="AQ208" s="170"/>
      <c r="AR208" s="170"/>
      <c r="AS208" s="170"/>
      <c r="AT208" s="170"/>
      <c r="AU208" s="170"/>
      <c r="AV208" s="170"/>
      <c r="AW208" s="170"/>
      <c r="AX208" s="170"/>
      <c r="AY208" s="170"/>
      <c r="AZ208" s="170"/>
      <c r="BA208" s="170"/>
      <c r="BB208" s="170"/>
      <c r="BC208" s="170"/>
      <c r="BD208" s="170"/>
      <c r="BE208" s="170"/>
      <c r="BF208" s="170"/>
      <c r="BG208" s="170"/>
      <c r="BH208" s="170"/>
      <c r="BI208" s="170"/>
      <c r="BJ208" s="170"/>
      <c r="BK208" s="170"/>
      <c r="BL208" s="170"/>
      <c r="BM208" s="170"/>
      <c r="BN208" s="170"/>
      <c r="BO208" s="170"/>
      <c r="BP208" s="170"/>
      <c r="BQ208" s="170"/>
      <c r="BR208" s="170"/>
      <c r="BS208" s="170"/>
      <c r="BT208" s="170"/>
      <c r="BU208" s="170"/>
      <c r="BV208" s="170"/>
      <c r="BW208" s="170"/>
      <c r="BX208" s="170"/>
      <c r="BY208" s="170"/>
      <c r="BZ208" s="170"/>
      <c r="CA208" s="170"/>
      <c r="CB208" s="170"/>
      <c r="CC208" s="170"/>
      <c r="CD208" s="170"/>
      <c r="CE208" s="170"/>
      <c r="CF208" s="170"/>
      <c r="CG208" s="170"/>
      <c r="CH208" s="170"/>
      <c r="CI208" s="170"/>
      <c r="CJ208" s="170"/>
      <c r="CK208" s="170"/>
      <c r="CL208" s="170"/>
      <c r="CM208" s="170"/>
      <c r="CN208" s="170"/>
      <c r="CO208" s="170"/>
      <c r="CP208" s="170"/>
      <c r="CQ208" s="170"/>
      <c r="CR208" s="170"/>
      <c r="CS208" s="170"/>
      <c r="CT208" s="170"/>
      <c r="CU208" s="170"/>
      <c r="CV208" s="170"/>
      <c r="CW208" s="170"/>
      <c r="CX208" s="170"/>
      <c r="CY208" s="170"/>
      <c r="CZ208" s="170"/>
      <c r="DA208" s="170"/>
      <c r="DB208" s="170"/>
      <c r="DC208" s="170"/>
      <c r="DD208" s="170"/>
      <c r="DE208" s="170"/>
      <c r="DF208" s="170"/>
      <c r="DG208" s="170"/>
      <c r="DH208" s="170"/>
      <c r="DI208" s="170"/>
      <c r="DJ208" s="170"/>
      <c r="DK208" s="170"/>
      <c r="DL208" s="170"/>
      <c r="DM208" s="170"/>
      <c r="DN208" s="170"/>
      <c r="DO208" s="170"/>
      <c r="DP208" s="170"/>
      <c r="DQ208" s="170"/>
      <c r="DR208" s="170"/>
      <c r="DS208" s="170"/>
      <c r="DT208" s="170"/>
      <c r="DU208" s="170"/>
      <c r="DV208" s="170"/>
      <c r="DW208" s="170"/>
      <c r="DX208" s="170"/>
      <c r="DY208" s="170"/>
      <c r="DZ208" s="170"/>
      <c r="EA208" s="170"/>
      <c r="EB208" s="170"/>
      <c r="EC208" s="170"/>
      <c r="ED208" s="170"/>
      <c r="EE208" s="170"/>
      <c r="EF208" s="170"/>
      <c r="EG208" s="170"/>
      <c r="EH208" s="170"/>
      <c r="EI208" s="170"/>
      <c r="EJ208" s="170"/>
      <c r="EK208" s="170"/>
      <c r="EL208" s="170"/>
      <c r="EM208" s="170"/>
      <c r="EN208" s="170"/>
      <c r="EO208" s="170"/>
      <c r="EP208" s="170"/>
    </row>
    <row r="209" ht="15.75" customHeight="1">
      <c r="A209" s="170"/>
      <c r="B209" s="170"/>
      <c r="C209" s="170"/>
      <c r="D209" s="170"/>
      <c r="E209" s="170"/>
      <c r="F209" s="170"/>
      <c r="G209" s="170"/>
      <c r="H209" s="170"/>
      <c r="I209" s="170"/>
      <c r="J209" s="170"/>
      <c r="K209" s="170"/>
      <c r="L209" s="170"/>
      <c r="M209" s="170"/>
      <c r="N209" s="170"/>
      <c r="O209" s="170"/>
      <c r="P209" s="170"/>
      <c r="Q209" s="170"/>
      <c r="R209" s="170"/>
      <c r="S209" s="170"/>
      <c r="T209" s="170"/>
      <c r="U209" s="170"/>
      <c r="V209" s="170"/>
      <c r="W209" s="170"/>
      <c r="X209" s="170"/>
      <c r="Y209" s="170"/>
      <c r="Z209" s="170"/>
      <c r="AA209" s="170"/>
      <c r="AB209" s="170"/>
      <c r="AC209" s="170"/>
      <c r="AD209" s="170"/>
      <c r="AE209" s="170"/>
      <c r="AF209" s="170"/>
      <c r="AG209" s="170"/>
      <c r="AH209" s="170"/>
      <c r="AI209" s="170"/>
      <c r="AJ209" s="170"/>
      <c r="AK209" s="170"/>
      <c r="AL209" s="170"/>
      <c r="AM209" s="170"/>
      <c r="AN209" s="170"/>
      <c r="AO209" s="170"/>
      <c r="AP209" s="170"/>
      <c r="AQ209" s="170"/>
      <c r="AR209" s="170"/>
      <c r="AS209" s="170"/>
      <c r="AT209" s="170"/>
      <c r="AU209" s="170"/>
      <c r="AV209" s="170"/>
      <c r="AW209" s="170"/>
      <c r="AX209" s="170"/>
      <c r="AY209" s="170"/>
      <c r="AZ209" s="170"/>
      <c r="BA209" s="170"/>
      <c r="BB209" s="170"/>
      <c r="BC209" s="170"/>
      <c r="BD209" s="170"/>
      <c r="BE209" s="170"/>
      <c r="BF209" s="170"/>
      <c r="BG209" s="170"/>
      <c r="BH209" s="170"/>
      <c r="BI209" s="170"/>
      <c r="BJ209" s="170"/>
      <c r="BK209" s="170"/>
      <c r="BL209" s="170"/>
      <c r="BM209" s="170"/>
      <c r="BN209" s="170"/>
      <c r="BO209" s="170"/>
      <c r="BP209" s="170"/>
      <c r="BQ209" s="170"/>
      <c r="BR209" s="170"/>
      <c r="BS209" s="170"/>
      <c r="BT209" s="170"/>
      <c r="BU209" s="170"/>
      <c r="BV209" s="170"/>
      <c r="BW209" s="170"/>
      <c r="BX209" s="170"/>
      <c r="BY209" s="170"/>
      <c r="BZ209" s="170"/>
      <c r="CA209" s="170"/>
      <c r="CB209" s="170"/>
      <c r="CC209" s="170"/>
      <c r="CD209" s="170"/>
      <c r="CE209" s="170"/>
      <c r="CF209" s="170"/>
      <c r="CG209" s="170"/>
      <c r="CH209" s="170"/>
      <c r="CI209" s="170"/>
      <c r="CJ209" s="170"/>
      <c r="CK209" s="170"/>
      <c r="CL209" s="170"/>
      <c r="CM209" s="170"/>
      <c r="CN209" s="170"/>
      <c r="CO209" s="170"/>
      <c r="CP209" s="170"/>
      <c r="CQ209" s="170"/>
      <c r="CR209" s="170"/>
      <c r="CS209" s="170"/>
      <c r="CT209" s="170"/>
      <c r="CU209" s="170"/>
      <c r="CV209" s="170"/>
      <c r="CW209" s="170"/>
      <c r="CX209" s="170"/>
      <c r="CY209" s="170"/>
      <c r="CZ209" s="170"/>
      <c r="DA209" s="170"/>
      <c r="DB209" s="170"/>
      <c r="DC209" s="170"/>
      <c r="DD209" s="170"/>
      <c r="DE209" s="170"/>
      <c r="DF209" s="170"/>
      <c r="DG209" s="170"/>
      <c r="DH209" s="170"/>
      <c r="DI209" s="170"/>
      <c r="DJ209" s="170"/>
      <c r="DK209" s="170"/>
      <c r="DL209" s="170"/>
      <c r="DM209" s="170"/>
      <c r="DN209" s="170"/>
      <c r="DO209" s="170"/>
      <c r="DP209" s="170"/>
      <c r="DQ209" s="170"/>
      <c r="DR209" s="170"/>
      <c r="DS209" s="170"/>
      <c r="DT209" s="170"/>
      <c r="DU209" s="170"/>
      <c r="DV209" s="170"/>
      <c r="DW209" s="170"/>
      <c r="DX209" s="170"/>
      <c r="DY209" s="170"/>
      <c r="DZ209" s="170"/>
      <c r="EA209" s="170"/>
      <c r="EB209" s="170"/>
      <c r="EC209" s="170"/>
      <c r="ED209" s="170"/>
      <c r="EE209" s="170"/>
      <c r="EF209" s="170"/>
      <c r="EG209" s="170"/>
      <c r="EH209" s="170"/>
      <c r="EI209" s="170"/>
      <c r="EJ209" s="170"/>
      <c r="EK209" s="170"/>
      <c r="EL209" s="170"/>
      <c r="EM209" s="170"/>
      <c r="EN209" s="170"/>
      <c r="EO209" s="170"/>
      <c r="EP209" s="170"/>
    </row>
    <row r="210" ht="15.75" customHeight="1">
      <c r="A210" s="170"/>
      <c r="B210" s="170"/>
      <c r="C210" s="170"/>
      <c r="D210" s="170"/>
      <c r="E210" s="170"/>
      <c r="F210" s="170"/>
      <c r="G210" s="170"/>
      <c r="H210" s="170"/>
      <c r="I210" s="170"/>
      <c r="J210" s="170"/>
      <c r="K210" s="170"/>
      <c r="L210" s="170"/>
      <c r="M210" s="170"/>
      <c r="N210" s="170"/>
      <c r="O210" s="170"/>
      <c r="P210" s="170"/>
      <c r="Q210" s="170"/>
      <c r="R210" s="170"/>
      <c r="S210" s="170"/>
      <c r="T210" s="170"/>
      <c r="U210" s="170"/>
      <c r="V210" s="170"/>
      <c r="W210" s="170"/>
      <c r="X210" s="170"/>
      <c r="Y210" s="170"/>
      <c r="Z210" s="170"/>
      <c r="AA210" s="170"/>
      <c r="AB210" s="170"/>
      <c r="AC210" s="170"/>
      <c r="AD210" s="170"/>
      <c r="AE210" s="170"/>
      <c r="AF210" s="170"/>
      <c r="AG210" s="170"/>
      <c r="AH210" s="170"/>
      <c r="AI210" s="170"/>
      <c r="AJ210" s="170"/>
      <c r="AK210" s="170"/>
      <c r="AL210" s="170"/>
      <c r="AM210" s="170"/>
      <c r="AN210" s="170"/>
      <c r="AO210" s="170"/>
      <c r="AP210" s="170"/>
      <c r="AQ210" s="170"/>
      <c r="AR210" s="170"/>
      <c r="AS210" s="170"/>
      <c r="AT210" s="170"/>
      <c r="AU210" s="170"/>
      <c r="AV210" s="170"/>
      <c r="AW210" s="170"/>
      <c r="AX210" s="170"/>
      <c r="AY210" s="170"/>
      <c r="AZ210" s="170"/>
      <c r="BA210" s="170"/>
      <c r="BB210" s="170"/>
      <c r="BC210" s="170"/>
      <c r="BD210" s="170"/>
      <c r="BE210" s="170"/>
      <c r="BF210" s="170"/>
      <c r="BG210" s="170"/>
      <c r="BH210" s="170"/>
      <c r="BI210" s="170"/>
      <c r="BJ210" s="170"/>
      <c r="BK210" s="170"/>
      <c r="BL210" s="170"/>
      <c r="BM210" s="170"/>
      <c r="BN210" s="170"/>
      <c r="BO210" s="170"/>
      <c r="BP210" s="170"/>
      <c r="BQ210" s="170"/>
      <c r="BR210" s="170"/>
      <c r="BS210" s="170"/>
      <c r="BT210" s="170"/>
      <c r="BU210" s="170"/>
      <c r="BV210" s="170"/>
      <c r="BW210" s="170"/>
      <c r="BX210" s="170"/>
      <c r="BY210" s="170"/>
      <c r="BZ210" s="170"/>
      <c r="CA210" s="170"/>
      <c r="CB210" s="170"/>
      <c r="CC210" s="170"/>
      <c r="CD210" s="170"/>
      <c r="CE210" s="170"/>
      <c r="CF210" s="170"/>
      <c r="CG210" s="170"/>
      <c r="CH210" s="170"/>
      <c r="CI210" s="170"/>
      <c r="CJ210" s="170"/>
      <c r="CK210" s="170"/>
      <c r="CL210" s="170"/>
      <c r="CM210" s="170"/>
      <c r="CN210" s="170"/>
      <c r="CO210" s="170"/>
      <c r="CP210" s="170"/>
      <c r="CQ210" s="170"/>
      <c r="CR210" s="170"/>
      <c r="CS210" s="170"/>
      <c r="CT210" s="170"/>
      <c r="CU210" s="170"/>
      <c r="CV210" s="170"/>
      <c r="CW210" s="170"/>
      <c r="CX210" s="170"/>
      <c r="CY210" s="170"/>
      <c r="CZ210" s="170"/>
      <c r="DA210" s="170"/>
      <c r="DB210" s="170"/>
      <c r="DC210" s="170"/>
      <c r="DD210" s="170"/>
      <c r="DE210" s="170"/>
      <c r="DF210" s="170"/>
      <c r="DG210" s="170"/>
      <c r="DH210" s="170"/>
      <c r="DI210" s="170"/>
      <c r="DJ210" s="170"/>
      <c r="DK210" s="170"/>
      <c r="DL210" s="170"/>
      <c r="DM210" s="170"/>
      <c r="DN210" s="170"/>
      <c r="DO210" s="170"/>
      <c r="DP210" s="170"/>
      <c r="DQ210" s="170"/>
      <c r="DR210" s="170"/>
      <c r="DS210" s="170"/>
      <c r="DT210" s="170"/>
      <c r="DU210" s="170"/>
      <c r="DV210" s="170"/>
      <c r="DW210" s="170"/>
      <c r="DX210" s="170"/>
      <c r="DY210" s="170"/>
      <c r="DZ210" s="170"/>
      <c r="EA210" s="170"/>
      <c r="EB210" s="170"/>
      <c r="EC210" s="170"/>
      <c r="ED210" s="170"/>
      <c r="EE210" s="170"/>
      <c r="EF210" s="170"/>
      <c r="EG210" s="170"/>
      <c r="EH210" s="170"/>
      <c r="EI210" s="170"/>
      <c r="EJ210" s="170"/>
      <c r="EK210" s="170"/>
      <c r="EL210" s="170"/>
      <c r="EM210" s="170"/>
      <c r="EN210" s="170"/>
      <c r="EO210" s="170"/>
      <c r="EP210" s="170"/>
    </row>
    <row r="211" ht="15.75" customHeight="1">
      <c r="A211" s="170"/>
      <c r="B211" s="170"/>
      <c r="C211" s="170"/>
      <c r="D211" s="170"/>
      <c r="E211" s="170"/>
      <c r="F211" s="170"/>
      <c r="G211" s="170"/>
      <c r="H211" s="170"/>
      <c r="I211" s="170"/>
      <c r="J211" s="170"/>
      <c r="K211" s="170"/>
      <c r="L211" s="170"/>
      <c r="M211" s="170"/>
      <c r="N211" s="170"/>
      <c r="O211" s="170"/>
      <c r="P211" s="170"/>
      <c r="Q211" s="170"/>
      <c r="R211" s="170"/>
      <c r="S211" s="170"/>
      <c r="T211" s="170"/>
      <c r="U211" s="170"/>
      <c r="V211" s="170"/>
      <c r="W211" s="170"/>
      <c r="X211" s="170"/>
      <c r="Y211" s="170"/>
      <c r="Z211" s="170"/>
      <c r="AA211" s="170"/>
      <c r="AB211" s="170"/>
      <c r="AC211" s="170"/>
      <c r="AD211" s="170"/>
      <c r="AE211" s="170"/>
      <c r="AF211" s="170"/>
      <c r="AG211" s="170"/>
      <c r="AH211" s="170"/>
      <c r="AI211" s="170"/>
      <c r="AJ211" s="170"/>
      <c r="AK211" s="170"/>
      <c r="AL211" s="170"/>
      <c r="AM211" s="170"/>
      <c r="AN211" s="170"/>
      <c r="AO211" s="170"/>
      <c r="AP211" s="170"/>
      <c r="AQ211" s="170"/>
      <c r="AR211" s="170"/>
      <c r="AS211" s="170"/>
      <c r="AT211" s="170"/>
      <c r="AU211" s="170"/>
      <c r="AV211" s="170"/>
      <c r="AW211" s="170"/>
      <c r="AX211" s="170"/>
      <c r="AY211" s="170"/>
      <c r="AZ211" s="170"/>
      <c r="BA211" s="170"/>
      <c r="BB211" s="170"/>
      <c r="BC211" s="170"/>
      <c r="BD211" s="170"/>
      <c r="BE211" s="170"/>
      <c r="BF211" s="170"/>
      <c r="BG211" s="170"/>
      <c r="BH211" s="170"/>
      <c r="BI211" s="170"/>
      <c r="BJ211" s="170"/>
      <c r="BK211" s="170"/>
      <c r="BL211" s="170"/>
      <c r="BM211" s="170"/>
      <c r="BN211" s="170"/>
      <c r="BO211" s="170"/>
      <c r="BP211" s="170"/>
      <c r="BQ211" s="170"/>
      <c r="BR211" s="170"/>
      <c r="BS211" s="170"/>
      <c r="BT211" s="170"/>
      <c r="BU211" s="170"/>
      <c r="BV211" s="170"/>
      <c r="BW211" s="170"/>
      <c r="BX211" s="170"/>
      <c r="BY211" s="170"/>
      <c r="BZ211" s="170"/>
      <c r="CA211" s="170"/>
      <c r="CB211" s="170"/>
      <c r="CC211" s="170"/>
      <c r="CD211" s="170"/>
      <c r="CE211" s="170"/>
      <c r="CF211" s="170"/>
      <c r="CG211" s="170"/>
      <c r="CH211" s="170"/>
      <c r="CI211" s="170"/>
      <c r="CJ211" s="170"/>
      <c r="CK211" s="170"/>
      <c r="CL211" s="170"/>
      <c r="CM211" s="170"/>
      <c r="CN211" s="170"/>
      <c r="CO211" s="170"/>
      <c r="CP211" s="170"/>
      <c r="CQ211" s="170"/>
      <c r="CR211" s="170"/>
      <c r="CS211" s="170"/>
      <c r="CT211" s="170"/>
      <c r="CU211" s="170"/>
      <c r="CV211" s="170"/>
      <c r="CW211" s="170"/>
      <c r="CX211" s="170"/>
      <c r="CY211" s="170"/>
      <c r="CZ211" s="170"/>
      <c r="DA211" s="170"/>
      <c r="DB211" s="170"/>
      <c r="DC211" s="170"/>
      <c r="DD211" s="170"/>
      <c r="DE211" s="170"/>
      <c r="DF211" s="170"/>
      <c r="DG211" s="170"/>
      <c r="DH211" s="170"/>
      <c r="DI211" s="170"/>
      <c r="DJ211" s="170"/>
      <c r="DK211" s="170"/>
      <c r="DL211" s="170"/>
      <c r="DM211" s="170"/>
      <c r="DN211" s="170"/>
      <c r="DO211" s="170"/>
      <c r="DP211" s="170"/>
      <c r="DQ211" s="170"/>
      <c r="DR211" s="170"/>
      <c r="DS211" s="170"/>
      <c r="DT211" s="170"/>
      <c r="DU211" s="170"/>
      <c r="DV211" s="170"/>
      <c r="DW211" s="170"/>
      <c r="DX211" s="170"/>
      <c r="DY211" s="170"/>
      <c r="DZ211" s="170"/>
      <c r="EA211" s="170"/>
      <c r="EB211" s="170"/>
      <c r="EC211" s="170"/>
      <c r="ED211" s="170"/>
      <c r="EE211" s="170"/>
      <c r="EF211" s="170"/>
      <c r="EG211" s="170"/>
      <c r="EH211" s="170"/>
      <c r="EI211" s="170"/>
      <c r="EJ211" s="170"/>
      <c r="EK211" s="170"/>
      <c r="EL211" s="170"/>
      <c r="EM211" s="170"/>
      <c r="EN211" s="170"/>
      <c r="EO211" s="170"/>
      <c r="EP211" s="170"/>
    </row>
    <row r="212" ht="15.75" customHeight="1">
      <c r="A212" s="170"/>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c r="Y212" s="170"/>
      <c r="Z212" s="170"/>
      <c r="AA212" s="170"/>
      <c r="AB212" s="170"/>
      <c r="AC212" s="170"/>
      <c r="AD212" s="170"/>
      <c r="AE212" s="170"/>
      <c r="AF212" s="170"/>
      <c r="AG212" s="170"/>
      <c r="AH212" s="170"/>
      <c r="AI212" s="170"/>
      <c r="AJ212" s="170"/>
      <c r="AK212" s="170"/>
      <c r="AL212" s="170"/>
      <c r="AM212" s="170"/>
      <c r="AN212" s="170"/>
      <c r="AO212" s="170"/>
      <c r="AP212" s="170"/>
      <c r="AQ212" s="170"/>
      <c r="AR212" s="170"/>
      <c r="AS212" s="170"/>
      <c r="AT212" s="170"/>
      <c r="AU212" s="170"/>
      <c r="AV212" s="170"/>
      <c r="AW212" s="170"/>
      <c r="AX212" s="170"/>
      <c r="AY212" s="170"/>
      <c r="AZ212" s="170"/>
      <c r="BA212" s="170"/>
      <c r="BB212" s="170"/>
      <c r="BC212" s="170"/>
      <c r="BD212" s="170"/>
      <c r="BE212" s="170"/>
      <c r="BF212" s="170"/>
      <c r="BG212" s="170"/>
      <c r="BH212" s="170"/>
      <c r="BI212" s="170"/>
      <c r="BJ212" s="170"/>
      <c r="BK212" s="170"/>
      <c r="BL212" s="170"/>
      <c r="BM212" s="170"/>
      <c r="BN212" s="170"/>
      <c r="BO212" s="170"/>
      <c r="BP212" s="170"/>
      <c r="BQ212" s="170"/>
      <c r="BR212" s="170"/>
      <c r="BS212" s="170"/>
      <c r="BT212" s="170"/>
      <c r="BU212" s="170"/>
      <c r="BV212" s="170"/>
      <c r="BW212" s="170"/>
      <c r="BX212" s="170"/>
      <c r="BY212" s="170"/>
      <c r="BZ212" s="170"/>
      <c r="CA212" s="170"/>
      <c r="CB212" s="170"/>
      <c r="CC212" s="170"/>
      <c r="CD212" s="170"/>
      <c r="CE212" s="170"/>
      <c r="CF212" s="170"/>
      <c r="CG212" s="170"/>
      <c r="CH212" s="170"/>
      <c r="CI212" s="170"/>
      <c r="CJ212" s="170"/>
      <c r="CK212" s="170"/>
      <c r="CL212" s="170"/>
      <c r="CM212" s="170"/>
      <c r="CN212" s="170"/>
      <c r="CO212" s="170"/>
      <c r="CP212" s="170"/>
      <c r="CQ212" s="170"/>
      <c r="CR212" s="170"/>
      <c r="CS212" s="170"/>
      <c r="CT212" s="170"/>
      <c r="CU212" s="170"/>
      <c r="CV212" s="170"/>
      <c r="CW212" s="170"/>
      <c r="CX212" s="170"/>
      <c r="CY212" s="170"/>
      <c r="CZ212" s="170"/>
      <c r="DA212" s="170"/>
      <c r="DB212" s="170"/>
      <c r="DC212" s="170"/>
      <c r="DD212" s="170"/>
      <c r="DE212" s="170"/>
      <c r="DF212" s="170"/>
      <c r="DG212" s="170"/>
      <c r="DH212" s="170"/>
      <c r="DI212" s="170"/>
      <c r="DJ212" s="170"/>
      <c r="DK212" s="170"/>
      <c r="DL212" s="170"/>
      <c r="DM212" s="170"/>
      <c r="DN212" s="170"/>
      <c r="DO212" s="170"/>
      <c r="DP212" s="170"/>
      <c r="DQ212" s="170"/>
      <c r="DR212" s="170"/>
      <c r="DS212" s="170"/>
      <c r="DT212" s="170"/>
      <c r="DU212" s="170"/>
      <c r="DV212" s="170"/>
      <c r="DW212" s="170"/>
      <c r="DX212" s="170"/>
      <c r="DY212" s="170"/>
      <c r="DZ212" s="170"/>
      <c r="EA212" s="170"/>
      <c r="EB212" s="170"/>
      <c r="EC212" s="170"/>
      <c r="ED212" s="170"/>
      <c r="EE212" s="170"/>
      <c r="EF212" s="170"/>
      <c r="EG212" s="170"/>
      <c r="EH212" s="170"/>
      <c r="EI212" s="170"/>
      <c r="EJ212" s="170"/>
      <c r="EK212" s="170"/>
      <c r="EL212" s="170"/>
      <c r="EM212" s="170"/>
      <c r="EN212" s="170"/>
      <c r="EO212" s="170"/>
      <c r="EP212" s="170"/>
    </row>
    <row r="213" ht="15.75" customHeight="1">
      <c r="A213" s="170"/>
      <c r="B213" s="170"/>
      <c r="C213" s="170"/>
      <c r="D213" s="170"/>
      <c r="E213" s="170"/>
      <c r="F213" s="170"/>
      <c r="G213" s="170"/>
      <c r="H213" s="170"/>
      <c r="I213" s="170"/>
      <c r="J213" s="170"/>
      <c r="K213" s="170"/>
      <c r="L213" s="170"/>
      <c r="M213" s="170"/>
      <c r="N213" s="170"/>
      <c r="O213" s="170"/>
      <c r="P213" s="170"/>
      <c r="Q213" s="170"/>
      <c r="R213" s="170"/>
      <c r="S213" s="170"/>
      <c r="T213" s="170"/>
      <c r="U213" s="170"/>
      <c r="V213" s="170"/>
      <c r="W213" s="170"/>
      <c r="X213" s="170"/>
      <c r="Y213" s="170"/>
      <c r="Z213" s="170"/>
      <c r="AA213" s="170"/>
      <c r="AB213" s="170"/>
      <c r="AC213" s="170"/>
      <c r="AD213" s="170"/>
      <c r="AE213" s="170"/>
      <c r="AF213" s="170"/>
      <c r="AG213" s="170"/>
      <c r="AH213" s="170"/>
      <c r="AI213" s="170"/>
      <c r="AJ213" s="170"/>
      <c r="AK213" s="170"/>
      <c r="AL213" s="170"/>
      <c r="AM213" s="170"/>
      <c r="AN213" s="170"/>
      <c r="AO213" s="170"/>
      <c r="AP213" s="170"/>
      <c r="AQ213" s="170"/>
      <c r="AR213" s="170"/>
      <c r="AS213" s="170"/>
      <c r="AT213" s="170"/>
      <c r="AU213" s="170"/>
      <c r="AV213" s="170"/>
      <c r="AW213" s="170"/>
      <c r="AX213" s="170"/>
      <c r="AY213" s="170"/>
      <c r="AZ213" s="170"/>
      <c r="BA213" s="170"/>
      <c r="BB213" s="170"/>
      <c r="BC213" s="170"/>
      <c r="BD213" s="170"/>
      <c r="BE213" s="170"/>
      <c r="BF213" s="170"/>
      <c r="BG213" s="170"/>
      <c r="BH213" s="170"/>
      <c r="BI213" s="170"/>
      <c r="BJ213" s="170"/>
      <c r="BK213" s="170"/>
      <c r="BL213" s="170"/>
      <c r="BM213" s="170"/>
      <c r="BN213" s="170"/>
      <c r="BO213" s="170"/>
      <c r="BP213" s="170"/>
      <c r="BQ213" s="170"/>
      <c r="BR213" s="170"/>
      <c r="BS213" s="170"/>
      <c r="BT213" s="170"/>
      <c r="BU213" s="170"/>
      <c r="BV213" s="170"/>
      <c r="BW213" s="170"/>
      <c r="BX213" s="170"/>
      <c r="BY213" s="170"/>
      <c r="BZ213" s="170"/>
      <c r="CA213" s="170"/>
      <c r="CB213" s="170"/>
      <c r="CC213" s="170"/>
      <c r="CD213" s="170"/>
      <c r="CE213" s="170"/>
      <c r="CF213" s="170"/>
      <c r="CG213" s="170"/>
      <c r="CH213" s="170"/>
      <c r="CI213" s="170"/>
      <c r="CJ213" s="170"/>
      <c r="CK213" s="170"/>
      <c r="CL213" s="170"/>
      <c r="CM213" s="170"/>
      <c r="CN213" s="170"/>
      <c r="CO213" s="170"/>
      <c r="CP213" s="170"/>
      <c r="CQ213" s="170"/>
      <c r="CR213" s="170"/>
      <c r="CS213" s="170"/>
      <c r="CT213" s="170"/>
      <c r="CU213" s="170"/>
      <c r="CV213" s="170"/>
      <c r="CW213" s="170"/>
      <c r="CX213" s="170"/>
      <c r="CY213" s="170"/>
      <c r="CZ213" s="170"/>
      <c r="DA213" s="170"/>
      <c r="DB213" s="170"/>
      <c r="DC213" s="170"/>
      <c r="DD213" s="170"/>
      <c r="DE213" s="170"/>
      <c r="DF213" s="170"/>
      <c r="DG213" s="170"/>
      <c r="DH213" s="170"/>
      <c r="DI213" s="170"/>
      <c r="DJ213" s="170"/>
      <c r="DK213" s="170"/>
      <c r="DL213" s="170"/>
      <c r="DM213" s="170"/>
      <c r="DN213" s="170"/>
      <c r="DO213" s="170"/>
      <c r="DP213" s="170"/>
      <c r="DQ213" s="170"/>
      <c r="DR213" s="170"/>
      <c r="DS213" s="170"/>
      <c r="DT213" s="170"/>
      <c r="DU213" s="170"/>
      <c r="DV213" s="170"/>
      <c r="DW213" s="170"/>
      <c r="DX213" s="170"/>
      <c r="DY213" s="170"/>
      <c r="DZ213" s="170"/>
      <c r="EA213" s="170"/>
      <c r="EB213" s="170"/>
      <c r="EC213" s="170"/>
      <c r="ED213" s="170"/>
      <c r="EE213" s="170"/>
      <c r="EF213" s="170"/>
      <c r="EG213" s="170"/>
      <c r="EH213" s="170"/>
      <c r="EI213" s="170"/>
      <c r="EJ213" s="170"/>
      <c r="EK213" s="170"/>
      <c r="EL213" s="170"/>
      <c r="EM213" s="170"/>
      <c r="EN213" s="170"/>
      <c r="EO213" s="170"/>
      <c r="EP213" s="170"/>
    </row>
    <row r="214" ht="15.75" customHeight="1">
      <c r="A214" s="170"/>
      <c r="B214" s="170"/>
      <c r="C214" s="170"/>
      <c r="D214" s="170"/>
      <c r="E214" s="170"/>
      <c r="F214" s="170"/>
      <c r="G214" s="170"/>
      <c r="H214" s="170"/>
      <c r="I214" s="170"/>
      <c r="J214" s="170"/>
      <c r="K214" s="170"/>
      <c r="L214" s="170"/>
      <c r="M214" s="170"/>
      <c r="N214" s="170"/>
      <c r="O214" s="170"/>
      <c r="P214" s="170"/>
      <c r="Q214" s="170"/>
      <c r="R214" s="170"/>
      <c r="S214" s="170"/>
      <c r="T214" s="170"/>
      <c r="U214" s="170"/>
      <c r="V214" s="170"/>
      <c r="W214" s="170"/>
      <c r="X214" s="170"/>
      <c r="Y214" s="170"/>
      <c r="Z214" s="170"/>
      <c r="AA214" s="170"/>
      <c r="AB214" s="170"/>
      <c r="AC214" s="170"/>
      <c r="AD214" s="170"/>
      <c r="AE214" s="170"/>
      <c r="AF214" s="170"/>
      <c r="AG214" s="170"/>
      <c r="AH214" s="170"/>
      <c r="AI214" s="170"/>
      <c r="AJ214" s="170"/>
      <c r="AK214" s="170"/>
      <c r="AL214" s="170"/>
      <c r="AM214" s="170"/>
      <c r="AN214" s="170"/>
      <c r="AO214" s="170"/>
      <c r="AP214" s="170"/>
      <c r="AQ214" s="170"/>
      <c r="AR214" s="170"/>
      <c r="AS214" s="170"/>
      <c r="AT214" s="170"/>
      <c r="AU214" s="170"/>
      <c r="AV214" s="170"/>
      <c r="AW214" s="170"/>
      <c r="AX214" s="170"/>
      <c r="AY214" s="170"/>
      <c r="AZ214" s="170"/>
      <c r="BA214" s="170"/>
      <c r="BB214" s="170"/>
      <c r="BC214" s="170"/>
      <c r="BD214" s="170"/>
      <c r="BE214" s="170"/>
      <c r="BF214" s="170"/>
      <c r="BG214" s="170"/>
      <c r="BH214" s="170"/>
      <c r="BI214" s="170"/>
      <c r="BJ214" s="170"/>
      <c r="BK214" s="170"/>
      <c r="BL214" s="170"/>
      <c r="BM214" s="170"/>
      <c r="BN214" s="170"/>
      <c r="BO214" s="170"/>
      <c r="BP214" s="170"/>
      <c r="BQ214" s="170"/>
      <c r="BR214" s="170"/>
      <c r="BS214" s="170"/>
      <c r="BT214" s="170"/>
      <c r="BU214" s="170"/>
      <c r="BV214" s="170"/>
      <c r="BW214" s="170"/>
      <c r="BX214" s="170"/>
      <c r="BY214" s="170"/>
      <c r="BZ214" s="170"/>
      <c r="CA214" s="170"/>
      <c r="CB214" s="170"/>
      <c r="CC214" s="170"/>
      <c r="CD214" s="170"/>
      <c r="CE214" s="170"/>
      <c r="CF214" s="170"/>
      <c r="CG214" s="170"/>
      <c r="CH214" s="170"/>
      <c r="CI214" s="170"/>
      <c r="CJ214" s="170"/>
      <c r="CK214" s="170"/>
      <c r="CL214" s="170"/>
      <c r="CM214" s="170"/>
      <c r="CN214" s="170"/>
      <c r="CO214" s="170"/>
      <c r="CP214" s="170"/>
      <c r="CQ214" s="170"/>
      <c r="CR214" s="170"/>
      <c r="CS214" s="170"/>
      <c r="CT214" s="170"/>
      <c r="CU214" s="170"/>
      <c r="CV214" s="170"/>
      <c r="CW214" s="170"/>
      <c r="CX214" s="170"/>
      <c r="CY214" s="170"/>
      <c r="CZ214" s="170"/>
      <c r="DA214" s="170"/>
      <c r="DB214" s="170"/>
      <c r="DC214" s="170"/>
      <c r="DD214" s="170"/>
      <c r="DE214" s="170"/>
      <c r="DF214" s="170"/>
      <c r="DG214" s="170"/>
      <c r="DH214" s="170"/>
      <c r="DI214" s="170"/>
      <c r="DJ214" s="170"/>
      <c r="DK214" s="170"/>
      <c r="DL214" s="170"/>
      <c r="DM214" s="170"/>
      <c r="DN214" s="170"/>
      <c r="DO214" s="170"/>
      <c r="DP214" s="170"/>
      <c r="DQ214" s="170"/>
      <c r="DR214" s="170"/>
      <c r="DS214" s="170"/>
      <c r="DT214" s="170"/>
      <c r="DU214" s="170"/>
      <c r="DV214" s="170"/>
      <c r="DW214" s="170"/>
      <c r="DX214" s="170"/>
      <c r="DY214" s="170"/>
      <c r="DZ214" s="170"/>
      <c r="EA214" s="170"/>
      <c r="EB214" s="170"/>
      <c r="EC214" s="170"/>
      <c r="ED214" s="170"/>
      <c r="EE214" s="170"/>
      <c r="EF214" s="170"/>
      <c r="EG214" s="170"/>
      <c r="EH214" s="170"/>
      <c r="EI214" s="170"/>
      <c r="EJ214" s="170"/>
      <c r="EK214" s="170"/>
      <c r="EL214" s="170"/>
      <c r="EM214" s="170"/>
      <c r="EN214" s="170"/>
      <c r="EO214" s="170"/>
      <c r="EP214" s="170"/>
    </row>
    <row r="215" ht="15.75" customHeight="1">
      <c r="A215" s="170"/>
      <c r="B215" s="170"/>
      <c r="C215" s="170"/>
      <c r="D215" s="170"/>
      <c r="E215" s="170"/>
      <c r="F215" s="170"/>
      <c r="G215" s="170"/>
      <c r="H215" s="170"/>
      <c r="I215" s="170"/>
      <c r="J215" s="170"/>
      <c r="K215" s="170"/>
      <c r="L215" s="170"/>
      <c r="M215" s="170"/>
      <c r="N215" s="170"/>
      <c r="O215" s="170"/>
      <c r="P215" s="170"/>
      <c r="Q215" s="170"/>
      <c r="R215" s="170"/>
      <c r="S215" s="170"/>
      <c r="T215" s="170"/>
      <c r="U215" s="170"/>
      <c r="V215" s="170"/>
      <c r="W215" s="170"/>
      <c r="X215" s="170"/>
      <c r="Y215" s="170"/>
      <c r="Z215" s="170"/>
      <c r="AA215" s="170"/>
      <c r="AB215" s="170"/>
      <c r="AC215" s="170"/>
      <c r="AD215" s="170"/>
      <c r="AE215" s="170"/>
      <c r="AF215" s="170"/>
      <c r="AG215" s="170"/>
      <c r="AH215" s="170"/>
      <c r="AI215" s="170"/>
      <c r="AJ215" s="170"/>
      <c r="AK215" s="170"/>
      <c r="AL215" s="170"/>
      <c r="AM215" s="170"/>
      <c r="AN215" s="170"/>
      <c r="AO215" s="170"/>
      <c r="AP215" s="170"/>
      <c r="AQ215" s="170"/>
      <c r="AR215" s="170"/>
      <c r="AS215" s="170"/>
      <c r="AT215" s="170"/>
      <c r="AU215" s="170"/>
      <c r="AV215" s="170"/>
      <c r="AW215" s="170"/>
      <c r="AX215" s="170"/>
      <c r="AY215" s="170"/>
      <c r="AZ215" s="170"/>
      <c r="BA215" s="170"/>
      <c r="BB215" s="170"/>
      <c r="BC215" s="170"/>
      <c r="BD215" s="170"/>
      <c r="BE215" s="170"/>
      <c r="BF215" s="170"/>
      <c r="BG215" s="170"/>
      <c r="BH215" s="170"/>
      <c r="BI215" s="170"/>
      <c r="BJ215" s="170"/>
      <c r="BK215" s="170"/>
      <c r="BL215" s="170"/>
      <c r="BM215" s="170"/>
      <c r="BN215" s="170"/>
      <c r="BO215" s="170"/>
      <c r="BP215" s="170"/>
      <c r="BQ215" s="170"/>
      <c r="BR215" s="170"/>
      <c r="BS215" s="170"/>
      <c r="BT215" s="170"/>
      <c r="BU215" s="170"/>
      <c r="BV215" s="170"/>
      <c r="BW215" s="170"/>
      <c r="BX215" s="170"/>
      <c r="BY215" s="170"/>
      <c r="BZ215" s="170"/>
      <c r="CA215" s="170"/>
      <c r="CB215" s="170"/>
      <c r="CC215" s="170"/>
      <c r="CD215" s="170"/>
      <c r="CE215" s="170"/>
      <c r="CF215" s="170"/>
      <c r="CG215" s="170"/>
      <c r="CH215" s="170"/>
      <c r="CI215" s="170"/>
      <c r="CJ215" s="170"/>
      <c r="CK215" s="170"/>
      <c r="CL215" s="170"/>
      <c r="CM215" s="170"/>
      <c r="CN215" s="170"/>
      <c r="CO215" s="170"/>
      <c r="CP215" s="170"/>
      <c r="CQ215" s="170"/>
      <c r="CR215" s="170"/>
      <c r="CS215" s="170"/>
      <c r="CT215" s="170"/>
      <c r="CU215" s="170"/>
      <c r="CV215" s="170"/>
      <c r="CW215" s="170"/>
      <c r="CX215" s="170"/>
      <c r="CY215" s="170"/>
      <c r="CZ215" s="170"/>
      <c r="DA215" s="170"/>
      <c r="DB215" s="170"/>
      <c r="DC215" s="170"/>
      <c r="DD215" s="170"/>
      <c r="DE215" s="170"/>
      <c r="DF215" s="170"/>
      <c r="DG215" s="170"/>
      <c r="DH215" s="170"/>
      <c r="DI215" s="170"/>
      <c r="DJ215" s="170"/>
      <c r="DK215" s="170"/>
      <c r="DL215" s="170"/>
      <c r="DM215" s="170"/>
      <c r="DN215" s="170"/>
      <c r="DO215" s="170"/>
      <c r="DP215" s="170"/>
      <c r="DQ215" s="170"/>
      <c r="DR215" s="170"/>
      <c r="DS215" s="170"/>
      <c r="DT215" s="170"/>
      <c r="DU215" s="170"/>
      <c r="DV215" s="170"/>
      <c r="DW215" s="170"/>
      <c r="DX215" s="170"/>
      <c r="DY215" s="170"/>
      <c r="DZ215" s="170"/>
      <c r="EA215" s="170"/>
      <c r="EB215" s="170"/>
      <c r="EC215" s="170"/>
      <c r="ED215" s="170"/>
      <c r="EE215" s="170"/>
      <c r="EF215" s="170"/>
      <c r="EG215" s="170"/>
      <c r="EH215" s="170"/>
      <c r="EI215" s="170"/>
      <c r="EJ215" s="170"/>
      <c r="EK215" s="170"/>
      <c r="EL215" s="170"/>
      <c r="EM215" s="170"/>
      <c r="EN215" s="170"/>
      <c r="EO215" s="170"/>
      <c r="EP215" s="170"/>
    </row>
    <row r="216" ht="15.75" customHeight="1">
      <c r="A216" s="170"/>
      <c r="B216" s="170"/>
      <c r="C216" s="170"/>
      <c r="D216" s="170"/>
      <c r="E216" s="170"/>
      <c r="F216" s="170"/>
      <c r="G216" s="170"/>
      <c r="H216" s="170"/>
      <c r="I216" s="170"/>
      <c r="J216" s="170"/>
      <c r="K216" s="170"/>
      <c r="L216" s="170"/>
      <c r="M216" s="170"/>
      <c r="N216" s="170"/>
      <c r="O216" s="170"/>
      <c r="P216" s="170"/>
      <c r="Q216" s="170"/>
      <c r="R216" s="170"/>
      <c r="S216" s="170"/>
      <c r="T216" s="170"/>
      <c r="U216" s="170"/>
      <c r="V216" s="170"/>
      <c r="W216" s="170"/>
      <c r="X216" s="170"/>
      <c r="Y216" s="170"/>
      <c r="Z216" s="170"/>
      <c r="AA216" s="170"/>
      <c r="AB216" s="170"/>
      <c r="AC216" s="170"/>
      <c r="AD216" s="170"/>
      <c r="AE216" s="170"/>
      <c r="AF216" s="170"/>
      <c r="AG216" s="170"/>
      <c r="AH216" s="170"/>
      <c r="AI216" s="170"/>
      <c r="AJ216" s="170"/>
      <c r="AK216" s="170"/>
      <c r="AL216" s="170"/>
      <c r="AM216" s="170"/>
      <c r="AN216" s="170"/>
      <c r="AO216" s="170"/>
      <c r="AP216" s="170"/>
      <c r="AQ216" s="170"/>
      <c r="AR216" s="170"/>
      <c r="AS216" s="170"/>
      <c r="AT216" s="170"/>
      <c r="AU216" s="170"/>
      <c r="AV216" s="170"/>
      <c r="AW216" s="170"/>
      <c r="AX216" s="170"/>
      <c r="AY216" s="170"/>
      <c r="AZ216" s="170"/>
      <c r="BA216" s="170"/>
      <c r="BB216" s="170"/>
      <c r="BC216" s="170"/>
      <c r="BD216" s="170"/>
      <c r="BE216" s="170"/>
      <c r="BF216" s="170"/>
      <c r="BG216" s="170"/>
      <c r="BH216" s="170"/>
      <c r="BI216" s="170"/>
      <c r="BJ216" s="170"/>
      <c r="BK216" s="170"/>
      <c r="BL216" s="170"/>
      <c r="BM216" s="170"/>
      <c r="BN216" s="170"/>
      <c r="BO216" s="170"/>
      <c r="BP216" s="170"/>
      <c r="BQ216" s="170"/>
      <c r="BR216" s="170"/>
      <c r="BS216" s="170"/>
      <c r="BT216" s="170"/>
      <c r="BU216" s="170"/>
      <c r="BV216" s="170"/>
      <c r="BW216" s="170"/>
      <c r="BX216" s="170"/>
      <c r="BY216" s="170"/>
      <c r="BZ216" s="170"/>
      <c r="CA216" s="170"/>
      <c r="CB216" s="170"/>
      <c r="CC216" s="170"/>
      <c r="CD216" s="170"/>
      <c r="CE216" s="170"/>
      <c r="CF216" s="170"/>
      <c r="CG216" s="170"/>
      <c r="CH216" s="170"/>
      <c r="CI216" s="170"/>
      <c r="CJ216" s="170"/>
      <c r="CK216" s="170"/>
      <c r="CL216" s="170"/>
      <c r="CM216" s="170"/>
      <c r="CN216" s="170"/>
      <c r="CO216" s="170"/>
      <c r="CP216" s="170"/>
      <c r="CQ216" s="170"/>
      <c r="CR216" s="170"/>
      <c r="CS216" s="170"/>
      <c r="CT216" s="170"/>
      <c r="CU216" s="170"/>
      <c r="CV216" s="170"/>
      <c r="CW216" s="170"/>
      <c r="CX216" s="170"/>
      <c r="CY216" s="170"/>
      <c r="CZ216" s="170"/>
      <c r="DA216" s="170"/>
      <c r="DB216" s="170"/>
      <c r="DC216" s="170"/>
      <c r="DD216" s="170"/>
      <c r="DE216" s="170"/>
      <c r="DF216" s="170"/>
      <c r="DG216" s="170"/>
      <c r="DH216" s="170"/>
      <c r="DI216" s="170"/>
      <c r="DJ216" s="170"/>
      <c r="DK216" s="170"/>
      <c r="DL216" s="170"/>
      <c r="DM216" s="170"/>
      <c r="DN216" s="170"/>
      <c r="DO216" s="170"/>
      <c r="DP216" s="170"/>
      <c r="DQ216" s="170"/>
      <c r="DR216" s="170"/>
      <c r="DS216" s="170"/>
      <c r="DT216" s="170"/>
      <c r="DU216" s="170"/>
      <c r="DV216" s="170"/>
      <c r="DW216" s="170"/>
      <c r="DX216" s="170"/>
      <c r="DY216" s="170"/>
      <c r="DZ216" s="170"/>
      <c r="EA216" s="170"/>
      <c r="EB216" s="170"/>
      <c r="EC216" s="170"/>
      <c r="ED216" s="170"/>
      <c r="EE216" s="170"/>
      <c r="EF216" s="170"/>
      <c r="EG216" s="170"/>
      <c r="EH216" s="170"/>
      <c r="EI216" s="170"/>
      <c r="EJ216" s="170"/>
      <c r="EK216" s="170"/>
      <c r="EL216" s="170"/>
      <c r="EM216" s="170"/>
      <c r="EN216" s="170"/>
      <c r="EO216" s="170"/>
      <c r="EP216" s="170"/>
    </row>
    <row r="217" ht="15.75" customHeight="1">
      <c r="A217" s="170"/>
      <c r="B217" s="170"/>
      <c r="C217" s="170"/>
      <c r="D217" s="170"/>
      <c r="E217" s="170"/>
      <c r="F217" s="170"/>
      <c r="G217" s="170"/>
      <c r="H217" s="170"/>
      <c r="I217" s="170"/>
      <c r="J217" s="170"/>
      <c r="K217" s="170"/>
      <c r="L217" s="170"/>
      <c r="M217" s="170"/>
      <c r="N217" s="170"/>
      <c r="O217" s="170"/>
      <c r="P217" s="170"/>
      <c r="Q217" s="170"/>
      <c r="R217" s="170"/>
      <c r="S217" s="170"/>
      <c r="T217" s="170"/>
      <c r="U217" s="170"/>
      <c r="V217" s="170"/>
      <c r="W217" s="170"/>
      <c r="X217" s="170"/>
      <c r="Y217" s="170"/>
      <c r="Z217" s="170"/>
      <c r="AA217" s="170"/>
      <c r="AB217" s="170"/>
      <c r="AC217" s="170"/>
      <c r="AD217" s="170"/>
      <c r="AE217" s="170"/>
      <c r="AF217" s="170"/>
      <c r="AG217" s="170"/>
      <c r="AH217" s="170"/>
      <c r="AI217" s="170"/>
      <c r="AJ217" s="170"/>
      <c r="AK217" s="170"/>
      <c r="AL217" s="170"/>
      <c r="AM217" s="170"/>
      <c r="AN217" s="170"/>
      <c r="AO217" s="170"/>
      <c r="AP217" s="170"/>
      <c r="AQ217" s="170"/>
      <c r="AR217" s="170"/>
      <c r="AS217" s="170"/>
      <c r="AT217" s="170"/>
      <c r="AU217" s="170"/>
      <c r="AV217" s="170"/>
      <c r="AW217" s="170"/>
      <c r="AX217" s="170"/>
      <c r="AY217" s="170"/>
      <c r="AZ217" s="170"/>
      <c r="BA217" s="170"/>
      <c r="BB217" s="170"/>
      <c r="BC217" s="170"/>
      <c r="BD217" s="170"/>
      <c r="BE217" s="170"/>
      <c r="BF217" s="170"/>
      <c r="BG217" s="170"/>
      <c r="BH217" s="170"/>
      <c r="BI217" s="170"/>
      <c r="BJ217" s="170"/>
      <c r="BK217" s="170"/>
      <c r="BL217" s="170"/>
      <c r="BM217" s="170"/>
      <c r="BN217" s="170"/>
      <c r="BO217" s="170"/>
      <c r="BP217" s="170"/>
      <c r="BQ217" s="170"/>
      <c r="BR217" s="170"/>
      <c r="BS217" s="170"/>
      <c r="BT217" s="170"/>
      <c r="BU217" s="170"/>
      <c r="BV217" s="170"/>
      <c r="BW217" s="170"/>
      <c r="BX217" s="170"/>
      <c r="BY217" s="170"/>
      <c r="BZ217" s="170"/>
      <c r="CA217" s="170"/>
      <c r="CB217" s="170"/>
      <c r="CC217" s="170"/>
      <c r="CD217" s="170"/>
      <c r="CE217" s="170"/>
      <c r="CF217" s="170"/>
      <c r="CG217" s="170"/>
      <c r="CH217" s="170"/>
      <c r="CI217" s="170"/>
      <c r="CJ217" s="170"/>
      <c r="CK217" s="170"/>
      <c r="CL217" s="170"/>
      <c r="CM217" s="170"/>
      <c r="CN217" s="170"/>
      <c r="CO217" s="170"/>
      <c r="CP217" s="170"/>
      <c r="CQ217" s="170"/>
      <c r="CR217" s="170"/>
      <c r="CS217" s="170"/>
      <c r="CT217" s="170"/>
      <c r="CU217" s="170"/>
      <c r="CV217" s="170"/>
      <c r="CW217" s="170"/>
      <c r="CX217" s="170"/>
      <c r="CY217" s="170"/>
      <c r="CZ217" s="170"/>
      <c r="DA217" s="170"/>
      <c r="DB217" s="170"/>
      <c r="DC217" s="170"/>
      <c r="DD217" s="170"/>
      <c r="DE217" s="170"/>
      <c r="DF217" s="170"/>
      <c r="DG217" s="170"/>
      <c r="DH217" s="170"/>
      <c r="DI217" s="170"/>
      <c r="DJ217" s="170"/>
      <c r="DK217" s="170"/>
      <c r="DL217" s="170"/>
      <c r="DM217" s="170"/>
      <c r="DN217" s="170"/>
      <c r="DO217" s="170"/>
      <c r="DP217" s="170"/>
      <c r="DQ217" s="170"/>
      <c r="DR217" s="170"/>
      <c r="DS217" s="170"/>
      <c r="DT217" s="170"/>
      <c r="DU217" s="170"/>
      <c r="DV217" s="170"/>
      <c r="DW217" s="170"/>
      <c r="DX217" s="170"/>
      <c r="DY217" s="170"/>
      <c r="DZ217" s="170"/>
      <c r="EA217" s="170"/>
      <c r="EB217" s="170"/>
      <c r="EC217" s="170"/>
      <c r="ED217" s="170"/>
      <c r="EE217" s="170"/>
      <c r="EF217" s="170"/>
      <c r="EG217" s="170"/>
      <c r="EH217" s="170"/>
      <c r="EI217" s="170"/>
      <c r="EJ217" s="170"/>
      <c r="EK217" s="170"/>
      <c r="EL217" s="170"/>
      <c r="EM217" s="170"/>
      <c r="EN217" s="170"/>
      <c r="EO217" s="170"/>
      <c r="EP217" s="170"/>
    </row>
    <row r="218" ht="15.75" customHeight="1">
      <c r="A218" s="170"/>
      <c r="B218" s="170"/>
      <c r="C218" s="170"/>
      <c r="D218" s="170"/>
      <c r="E218" s="170"/>
      <c r="F218" s="170"/>
      <c r="G218" s="170"/>
      <c r="H218" s="170"/>
      <c r="I218" s="170"/>
      <c r="J218" s="170"/>
      <c r="K218" s="170"/>
      <c r="L218" s="170"/>
      <c r="M218" s="170"/>
      <c r="N218" s="170"/>
      <c r="O218" s="170"/>
      <c r="P218" s="170"/>
      <c r="Q218" s="170"/>
      <c r="R218" s="170"/>
      <c r="S218" s="170"/>
      <c r="T218" s="170"/>
      <c r="U218" s="170"/>
      <c r="V218" s="170"/>
      <c r="W218" s="170"/>
      <c r="X218" s="170"/>
      <c r="Y218" s="170"/>
      <c r="Z218" s="170"/>
      <c r="AA218" s="170"/>
      <c r="AB218" s="170"/>
      <c r="AC218" s="170"/>
      <c r="AD218" s="170"/>
      <c r="AE218" s="170"/>
      <c r="AF218" s="170"/>
      <c r="AG218" s="170"/>
      <c r="AH218" s="170"/>
      <c r="AI218" s="170"/>
      <c r="AJ218" s="170"/>
      <c r="AK218" s="170"/>
      <c r="AL218" s="170"/>
      <c r="AM218" s="170"/>
      <c r="AN218" s="170"/>
      <c r="AO218" s="170"/>
      <c r="AP218" s="170"/>
      <c r="AQ218" s="170"/>
      <c r="AR218" s="170"/>
      <c r="AS218" s="170"/>
      <c r="AT218" s="170"/>
      <c r="AU218" s="170"/>
      <c r="AV218" s="170"/>
      <c r="AW218" s="170"/>
      <c r="AX218" s="170"/>
      <c r="AY218" s="170"/>
      <c r="AZ218" s="170"/>
      <c r="BA218" s="170"/>
      <c r="BB218" s="170"/>
      <c r="BC218" s="170"/>
      <c r="BD218" s="170"/>
      <c r="BE218" s="170"/>
      <c r="BF218" s="170"/>
      <c r="BG218" s="170"/>
      <c r="BH218" s="170"/>
      <c r="BI218" s="170"/>
      <c r="BJ218" s="170"/>
      <c r="BK218" s="170"/>
      <c r="BL218" s="170"/>
      <c r="BM218" s="170"/>
      <c r="BN218" s="170"/>
      <c r="BO218" s="170"/>
      <c r="BP218" s="170"/>
      <c r="BQ218" s="170"/>
      <c r="BR218" s="170"/>
      <c r="BS218" s="170"/>
      <c r="BT218" s="170"/>
      <c r="BU218" s="170"/>
      <c r="BV218" s="170"/>
      <c r="BW218" s="170"/>
      <c r="BX218" s="170"/>
      <c r="BY218" s="170"/>
      <c r="BZ218" s="170"/>
      <c r="CA218" s="170"/>
      <c r="CB218" s="170"/>
      <c r="CC218" s="170"/>
      <c r="CD218" s="170"/>
      <c r="CE218" s="170"/>
      <c r="CF218" s="170"/>
      <c r="CG218" s="170"/>
      <c r="CH218" s="170"/>
      <c r="CI218" s="170"/>
      <c r="CJ218" s="170"/>
      <c r="CK218" s="170"/>
      <c r="CL218" s="170"/>
      <c r="CM218" s="170"/>
      <c r="CN218" s="170"/>
      <c r="CO218" s="170"/>
      <c r="CP218" s="170"/>
      <c r="CQ218" s="170"/>
      <c r="CR218" s="170"/>
      <c r="CS218" s="170"/>
      <c r="CT218" s="170"/>
      <c r="CU218" s="170"/>
      <c r="CV218" s="170"/>
      <c r="CW218" s="170"/>
      <c r="CX218" s="170"/>
      <c r="CY218" s="170"/>
      <c r="CZ218" s="170"/>
      <c r="DA218" s="170"/>
      <c r="DB218" s="170"/>
      <c r="DC218" s="170"/>
      <c r="DD218" s="170"/>
      <c r="DE218" s="170"/>
      <c r="DF218" s="170"/>
      <c r="DG218" s="170"/>
      <c r="DH218" s="170"/>
      <c r="DI218" s="170"/>
      <c r="DJ218" s="170"/>
      <c r="DK218" s="170"/>
      <c r="DL218" s="170"/>
      <c r="DM218" s="170"/>
      <c r="DN218" s="170"/>
      <c r="DO218" s="170"/>
      <c r="DP218" s="170"/>
      <c r="DQ218" s="170"/>
      <c r="DR218" s="170"/>
      <c r="DS218" s="170"/>
      <c r="DT218" s="170"/>
      <c r="DU218" s="170"/>
      <c r="DV218" s="170"/>
      <c r="DW218" s="170"/>
      <c r="DX218" s="170"/>
      <c r="DY218" s="170"/>
      <c r="DZ218" s="170"/>
      <c r="EA218" s="170"/>
      <c r="EB218" s="170"/>
      <c r="EC218" s="170"/>
      <c r="ED218" s="170"/>
      <c r="EE218" s="170"/>
      <c r="EF218" s="170"/>
      <c r="EG218" s="170"/>
      <c r="EH218" s="170"/>
      <c r="EI218" s="170"/>
      <c r="EJ218" s="170"/>
      <c r="EK218" s="170"/>
      <c r="EL218" s="170"/>
      <c r="EM218" s="170"/>
      <c r="EN218" s="170"/>
      <c r="EO218" s="170"/>
      <c r="EP218" s="170"/>
    </row>
    <row r="219" ht="15.75" customHeight="1">
      <c r="A219" s="170"/>
      <c r="B219" s="170"/>
      <c r="C219" s="170"/>
      <c r="D219" s="170"/>
      <c r="E219" s="170"/>
      <c r="F219" s="170"/>
      <c r="G219" s="170"/>
      <c r="H219" s="170"/>
      <c r="I219" s="170"/>
      <c r="J219" s="170"/>
      <c r="K219" s="170"/>
      <c r="L219" s="170"/>
      <c r="M219" s="170"/>
      <c r="N219" s="170"/>
      <c r="O219" s="170"/>
      <c r="P219" s="170"/>
      <c r="Q219" s="170"/>
      <c r="R219" s="170"/>
      <c r="S219" s="170"/>
      <c r="T219" s="170"/>
      <c r="U219" s="170"/>
      <c r="V219" s="170"/>
      <c r="W219" s="170"/>
      <c r="X219" s="170"/>
      <c r="Y219" s="170"/>
      <c r="Z219" s="170"/>
      <c r="AA219" s="170"/>
      <c r="AB219" s="170"/>
      <c r="AC219" s="170"/>
      <c r="AD219" s="170"/>
      <c r="AE219" s="170"/>
      <c r="AF219" s="170"/>
      <c r="AG219" s="170"/>
      <c r="AH219" s="170"/>
      <c r="AI219" s="170"/>
      <c r="AJ219" s="170"/>
      <c r="AK219" s="170"/>
      <c r="AL219" s="170"/>
      <c r="AM219" s="170"/>
      <c r="AN219" s="170"/>
      <c r="AO219" s="170"/>
      <c r="AP219" s="170"/>
      <c r="AQ219" s="170"/>
      <c r="AR219" s="170"/>
      <c r="AS219" s="170"/>
      <c r="AT219" s="170"/>
      <c r="AU219" s="170"/>
      <c r="AV219" s="170"/>
      <c r="AW219" s="170"/>
      <c r="AX219" s="170"/>
      <c r="AY219" s="170"/>
      <c r="AZ219" s="170"/>
      <c r="BA219" s="170"/>
      <c r="BB219" s="170"/>
      <c r="BC219" s="170"/>
      <c r="BD219" s="170"/>
      <c r="BE219" s="170"/>
      <c r="BF219" s="170"/>
      <c r="BG219" s="170"/>
      <c r="BH219" s="170"/>
      <c r="BI219" s="170"/>
      <c r="BJ219" s="170"/>
      <c r="BK219" s="170"/>
      <c r="BL219" s="170"/>
      <c r="BM219" s="170"/>
      <c r="BN219" s="170"/>
      <c r="BO219" s="170"/>
      <c r="BP219" s="170"/>
      <c r="BQ219" s="170"/>
      <c r="BR219" s="170"/>
      <c r="BS219" s="170"/>
      <c r="BT219" s="170"/>
      <c r="BU219" s="170"/>
      <c r="BV219" s="170"/>
      <c r="BW219" s="170"/>
      <c r="BX219" s="170"/>
      <c r="BY219" s="170"/>
      <c r="BZ219" s="170"/>
      <c r="CA219" s="170"/>
      <c r="CB219" s="170"/>
      <c r="CC219" s="170"/>
      <c r="CD219" s="170"/>
      <c r="CE219" s="170"/>
      <c r="CF219" s="170"/>
      <c r="CG219" s="170"/>
      <c r="CH219" s="170"/>
      <c r="CI219" s="170"/>
      <c r="CJ219" s="170"/>
      <c r="CK219" s="170"/>
      <c r="CL219" s="170"/>
      <c r="CM219" s="170"/>
      <c r="CN219" s="170"/>
      <c r="CO219" s="170"/>
      <c r="CP219" s="170"/>
      <c r="CQ219" s="170"/>
      <c r="CR219" s="170"/>
      <c r="CS219" s="170"/>
      <c r="CT219" s="170"/>
      <c r="CU219" s="170"/>
      <c r="CV219" s="170"/>
      <c r="CW219" s="170"/>
      <c r="CX219" s="170"/>
      <c r="CY219" s="170"/>
      <c r="CZ219" s="170"/>
      <c r="DA219" s="170"/>
      <c r="DB219" s="170"/>
      <c r="DC219" s="170"/>
      <c r="DD219" s="170"/>
      <c r="DE219" s="170"/>
      <c r="DF219" s="170"/>
      <c r="DG219" s="170"/>
      <c r="DH219" s="170"/>
      <c r="DI219" s="170"/>
      <c r="DJ219" s="170"/>
      <c r="DK219" s="170"/>
      <c r="DL219" s="170"/>
      <c r="DM219" s="170"/>
      <c r="DN219" s="170"/>
      <c r="DO219" s="170"/>
      <c r="DP219" s="170"/>
      <c r="DQ219" s="170"/>
      <c r="DR219" s="170"/>
      <c r="DS219" s="170"/>
      <c r="DT219" s="170"/>
      <c r="DU219" s="170"/>
      <c r="DV219" s="170"/>
      <c r="DW219" s="170"/>
      <c r="DX219" s="170"/>
      <c r="DY219" s="170"/>
      <c r="DZ219" s="170"/>
      <c r="EA219" s="170"/>
      <c r="EB219" s="170"/>
      <c r="EC219" s="170"/>
      <c r="ED219" s="170"/>
      <c r="EE219" s="170"/>
      <c r="EF219" s="170"/>
      <c r="EG219" s="170"/>
      <c r="EH219" s="170"/>
      <c r="EI219" s="170"/>
      <c r="EJ219" s="170"/>
      <c r="EK219" s="170"/>
      <c r="EL219" s="170"/>
      <c r="EM219" s="170"/>
      <c r="EN219" s="170"/>
      <c r="EO219" s="170"/>
      <c r="EP219" s="170"/>
    </row>
    <row r="220" ht="15.75" customHeight="1">
      <c r="A220" s="170"/>
      <c r="B220" s="170"/>
      <c r="C220" s="170"/>
      <c r="D220" s="170"/>
      <c r="E220" s="170"/>
      <c r="F220" s="170"/>
      <c r="G220" s="170"/>
      <c r="H220" s="170"/>
      <c r="I220" s="170"/>
      <c r="J220" s="170"/>
      <c r="K220" s="170"/>
      <c r="L220" s="170"/>
      <c r="M220" s="170"/>
      <c r="N220" s="170"/>
      <c r="O220" s="170"/>
      <c r="P220" s="170"/>
      <c r="Q220" s="170"/>
      <c r="R220" s="170"/>
      <c r="S220" s="170"/>
      <c r="T220" s="170"/>
      <c r="U220" s="170"/>
      <c r="V220" s="170"/>
      <c r="W220" s="170"/>
      <c r="X220" s="170"/>
      <c r="Y220" s="170"/>
      <c r="Z220" s="170"/>
      <c r="AA220" s="170"/>
      <c r="AB220" s="170"/>
      <c r="AC220" s="170"/>
      <c r="AD220" s="170"/>
      <c r="AE220" s="170"/>
      <c r="AF220" s="170"/>
      <c r="AG220" s="170"/>
      <c r="AH220" s="170"/>
      <c r="AI220" s="170"/>
      <c r="AJ220" s="170"/>
      <c r="AK220" s="170"/>
      <c r="AL220" s="170"/>
      <c r="AM220" s="170"/>
      <c r="AN220" s="170"/>
      <c r="AO220" s="170"/>
      <c r="AP220" s="170"/>
      <c r="AQ220" s="170"/>
      <c r="AR220" s="170"/>
      <c r="AS220" s="170"/>
      <c r="AT220" s="170"/>
      <c r="AU220" s="170"/>
      <c r="AV220" s="170"/>
      <c r="AW220" s="170"/>
      <c r="AX220" s="170"/>
      <c r="AY220" s="170"/>
      <c r="AZ220" s="170"/>
      <c r="BA220" s="170"/>
      <c r="BB220" s="170"/>
      <c r="BC220" s="170"/>
      <c r="BD220" s="170"/>
      <c r="BE220" s="170"/>
      <c r="BF220" s="170"/>
      <c r="BG220" s="170"/>
      <c r="BH220" s="170"/>
      <c r="BI220" s="170"/>
      <c r="BJ220" s="170"/>
      <c r="BK220" s="170"/>
      <c r="BL220" s="170"/>
      <c r="BM220" s="170"/>
      <c r="BN220" s="170"/>
      <c r="BO220" s="170"/>
      <c r="BP220" s="170"/>
      <c r="BQ220" s="170"/>
      <c r="BR220" s="170"/>
      <c r="BS220" s="170"/>
      <c r="BT220" s="170"/>
      <c r="BU220" s="170"/>
      <c r="BV220" s="170"/>
      <c r="BW220" s="170"/>
      <c r="BX220" s="170"/>
      <c r="BY220" s="170"/>
      <c r="BZ220" s="170"/>
      <c r="CA220" s="170"/>
      <c r="CB220" s="170"/>
      <c r="CC220" s="170"/>
      <c r="CD220" s="170"/>
      <c r="CE220" s="170"/>
      <c r="CF220" s="170"/>
      <c r="CG220" s="170"/>
      <c r="CH220" s="170"/>
      <c r="CI220" s="170"/>
      <c r="CJ220" s="170"/>
      <c r="CK220" s="170"/>
      <c r="CL220" s="170"/>
      <c r="CM220" s="170"/>
      <c r="CN220" s="170"/>
      <c r="CO220" s="170"/>
      <c r="CP220" s="170"/>
      <c r="CQ220" s="170"/>
      <c r="CR220" s="170"/>
      <c r="CS220" s="170"/>
      <c r="CT220" s="170"/>
      <c r="CU220" s="170"/>
      <c r="CV220" s="170"/>
      <c r="CW220" s="170"/>
      <c r="CX220" s="170"/>
      <c r="CY220" s="170"/>
      <c r="CZ220" s="170"/>
      <c r="DA220" s="170"/>
      <c r="DB220" s="170"/>
      <c r="DC220" s="170"/>
      <c r="DD220" s="170"/>
      <c r="DE220" s="170"/>
      <c r="DF220" s="170"/>
      <c r="DG220" s="170"/>
      <c r="DH220" s="170"/>
      <c r="DI220" s="170"/>
      <c r="DJ220" s="170"/>
      <c r="DK220" s="170"/>
      <c r="DL220" s="170"/>
      <c r="DM220" s="170"/>
      <c r="DN220" s="170"/>
      <c r="DO220" s="170"/>
      <c r="DP220" s="170"/>
      <c r="DQ220" s="170"/>
      <c r="DR220" s="170"/>
      <c r="DS220" s="170"/>
      <c r="DT220" s="170"/>
      <c r="DU220" s="170"/>
      <c r="DV220" s="170"/>
      <c r="DW220" s="170"/>
      <c r="DX220" s="170"/>
      <c r="DY220" s="170"/>
      <c r="DZ220" s="170"/>
      <c r="EA220" s="170"/>
      <c r="EB220" s="170"/>
      <c r="EC220" s="170"/>
      <c r="ED220" s="170"/>
      <c r="EE220" s="170"/>
      <c r="EF220" s="170"/>
      <c r="EG220" s="170"/>
      <c r="EH220" s="170"/>
      <c r="EI220" s="170"/>
      <c r="EJ220" s="170"/>
      <c r="EK220" s="170"/>
      <c r="EL220" s="170"/>
      <c r="EM220" s="170"/>
      <c r="EN220" s="170"/>
      <c r="EO220" s="170"/>
      <c r="EP220" s="170"/>
    </row>
    <row r="221" ht="15.75" customHeight="1">
      <c r="A221" s="170"/>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c r="Y221" s="170"/>
      <c r="Z221" s="170"/>
      <c r="AA221" s="170"/>
      <c r="AB221" s="170"/>
      <c r="AC221" s="170"/>
      <c r="AD221" s="170"/>
      <c r="AE221" s="170"/>
      <c r="AF221" s="170"/>
      <c r="AG221" s="170"/>
      <c r="AH221" s="170"/>
      <c r="AI221" s="170"/>
      <c r="AJ221" s="170"/>
      <c r="AK221" s="170"/>
      <c r="AL221" s="170"/>
      <c r="AM221" s="170"/>
      <c r="AN221" s="170"/>
      <c r="AO221" s="170"/>
      <c r="AP221" s="170"/>
      <c r="AQ221" s="170"/>
      <c r="AR221" s="170"/>
      <c r="AS221" s="170"/>
      <c r="AT221" s="170"/>
      <c r="AU221" s="170"/>
      <c r="AV221" s="170"/>
      <c r="AW221" s="170"/>
      <c r="AX221" s="170"/>
      <c r="AY221" s="170"/>
      <c r="AZ221" s="170"/>
      <c r="BA221" s="170"/>
      <c r="BB221" s="170"/>
      <c r="BC221" s="170"/>
      <c r="BD221" s="170"/>
      <c r="BE221" s="170"/>
      <c r="BF221" s="170"/>
      <c r="BG221" s="170"/>
      <c r="BH221" s="170"/>
      <c r="BI221" s="170"/>
      <c r="BJ221" s="170"/>
      <c r="BK221" s="170"/>
      <c r="BL221" s="170"/>
      <c r="BM221" s="170"/>
      <c r="BN221" s="170"/>
      <c r="BO221" s="170"/>
      <c r="BP221" s="170"/>
      <c r="BQ221" s="170"/>
      <c r="BR221" s="170"/>
      <c r="BS221" s="170"/>
      <c r="BT221" s="170"/>
      <c r="BU221" s="170"/>
      <c r="BV221" s="170"/>
      <c r="BW221" s="170"/>
      <c r="BX221" s="170"/>
      <c r="BY221" s="170"/>
      <c r="BZ221" s="170"/>
      <c r="CA221" s="170"/>
      <c r="CB221" s="170"/>
      <c r="CC221" s="170"/>
      <c r="CD221" s="170"/>
      <c r="CE221" s="170"/>
      <c r="CF221" s="170"/>
      <c r="CG221" s="170"/>
      <c r="CH221" s="170"/>
      <c r="CI221" s="170"/>
      <c r="CJ221" s="170"/>
      <c r="CK221" s="170"/>
      <c r="CL221" s="170"/>
      <c r="CM221" s="170"/>
      <c r="CN221" s="170"/>
      <c r="CO221" s="170"/>
      <c r="CP221" s="170"/>
      <c r="CQ221" s="170"/>
      <c r="CR221" s="170"/>
      <c r="CS221" s="170"/>
      <c r="CT221" s="170"/>
      <c r="CU221" s="170"/>
      <c r="CV221" s="170"/>
      <c r="CW221" s="170"/>
      <c r="CX221" s="170"/>
      <c r="CY221" s="170"/>
      <c r="CZ221" s="170"/>
      <c r="DA221" s="170"/>
      <c r="DB221" s="170"/>
      <c r="DC221" s="170"/>
      <c r="DD221" s="170"/>
      <c r="DE221" s="170"/>
      <c r="DF221" s="170"/>
      <c r="DG221" s="170"/>
      <c r="DH221" s="170"/>
      <c r="DI221" s="170"/>
      <c r="DJ221" s="170"/>
      <c r="DK221" s="170"/>
      <c r="DL221" s="170"/>
      <c r="DM221" s="170"/>
      <c r="DN221" s="170"/>
      <c r="DO221" s="170"/>
      <c r="DP221" s="170"/>
      <c r="DQ221" s="170"/>
      <c r="DR221" s="170"/>
      <c r="DS221" s="170"/>
      <c r="DT221" s="170"/>
      <c r="DU221" s="170"/>
      <c r="DV221" s="170"/>
      <c r="DW221" s="170"/>
      <c r="DX221" s="170"/>
      <c r="DY221" s="170"/>
      <c r="DZ221" s="170"/>
      <c r="EA221" s="170"/>
      <c r="EB221" s="170"/>
      <c r="EC221" s="170"/>
      <c r="ED221" s="170"/>
      <c r="EE221" s="170"/>
      <c r="EF221" s="170"/>
      <c r="EG221" s="170"/>
      <c r="EH221" s="170"/>
      <c r="EI221" s="170"/>
      <c r="EJ221" s="170"/>
      <c r="EK221" s="170"/>
      <c r="EL221" s="170"/>
      <c r="EM221" s="170"/>
      <c r="EN221" s="170"/>
      <c r="EO221" s="170"/>
      <c r="EP221" s="170"/>
    </row>
    <row r="222" ht="15.75" customHeight="1">
      <c r="A222" s="170"/>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c r="Y222" s="170"/>
      <c r="Z222" s="170"/>
      <c r="AA222" s="170"/>
      <c r="AB222" s="170"/>
      <c r="AC222" s="170"/>
      <c r="AD222" s="170"/>
      <c r="AE222" s="170"/>
      <c r="AF222" s="170"/>
      <c r="AG222" s="170"/>
      <c r="AH222" s="170"/>
      <c r="AI222" s="170"/>
      <c r="AJ222" s="170"/>
      <c r="AK222" s="170"/>
      <c r="AL222" s="170"/>
      <c r="AM222" s="170"/>
      <c r="AN222" s="170"/>
      <c r="AO222" s="170"/>
      <c r="AP222" s="170"/>
      <c r="AQ222" s="170"/>
      <c r="AR222" s="170"/>
      <c r="AS222" s="170"/>
      <c r="AT222" s="170"/>
      <c r="AU222" s="170"/>
      <c r="AV222" s="170"/>
      <c r="AW222" s="170"/>
      <c r="AX222" s="170"/>
      <c r="AY222" s="170"/>
      <c r="AZ222" s="170"/>
      <c r="BA222" s="170"/>
      <c r="BB222" s="170"/>
      <c r="BC222" s="170"/>
      <c r="BD222" s="170"/>
      <c r="BE222" s="170"/>
      <c r="BF222" s="170"/>
      <c r="BG222" s="170"/>
      <c r="BH222" s="170"/>
      <c r="BI222" s="170"/>
      <c r="BJ222" s="170"/>
      <c r="BK222" s="170"/>
      <c r="BL222" s="170"/>
      <c r="BM222" s="170"/>
      <c r="BN222" s="170"/>
      <c r="BO222" s="170"/>
      <c r="BP222" s="170"/>
      <c r="BQ222" s="170"/>
      <c r="BR222" s="170"/>
      <c r="BS222" s="170"/>
      <c r="BT222" s="170"/>
      <c r="BU222" s="170"/>
      <c r="BV222" s="170"/>
      <c r="BW222" s="170"/>
      <c r="BX222" s="170"/>
      <c r="BY222" s="170"/>
      <c r="BZ222" s="170"/>
      <c r="CA222" s="170"/>
      <c r="CB222" s="170"/>
      <c r="CC222" s="170"/>
      <c r="CD222" s="170"/>
      <c r="CE222" s="170"/>
      <c r="CF222" s="170"/>
      <c r="CG222" s="170"/>
      <c r="CH222" s="170"/>
      <c r="CI222" s="170"/>
      <c r="CJ222" s="170"/>
      <c r="CK222" s="170"/>
      <c r="CL222" s="170"/>
      <c r="CM222" s="170"/>
      <c r="CN222" s="170"/>
      <c r="CO222" s="170"/>
      <c r="CP222" s="170"/>
      <c r="CQ222" s="170"/>
      <c r="CR222" s="170"/>
      <c r="CS222" s="170"/>
      <c r="CT222" s="170"/>
      <c r="CU222" s="170"/>
      <c r="CV222" s="170"/>
      <c r="CW222" s="170"/>
      <c r="CX222" s="170"/>
      <c r="CY222" s="170"/>
      <c r="CZ222" s="170"/>
      <c r="DA222" s="170"/>
      <c r="DB222" s="170"/>
      <c r="DC222" s="170"/>
      <c r="DD222" s="170"/>
      <c r="DE222" s="170"/>
      <c r="DF222" s="170"/>
      <c r="DG222" s="170"/>
      <c r="DH222" s="170"/>
      <c r="DI222" s="170"/>
      <c r="DJ222" s="170"/>
      <c r="DK222" s="170"/>
      <c r="DL222" s="170"/>
      <c r="DM222" s="170"/>
      <c r="DN222" s="170"/>
      <c r="DO222" s="170"/>
      <c r="DP222" s="170"/>
      <c r="DQ222" s="170"/>
      <c r="DR222" s="170"/>
      <c r="DS222" s="170"/>
      <c r="DT222" s="170"/>
      <c r="DU222" s="170"/>
      <c r="DV222" s="170"/>
      <c r="DW222" s="170"/>
      <c r="DX222" s="170"/>
      <c r="DY222" s="170"/>
      <c r="DZ222" s="170"/>
      <c r="EA222" s="170"/>
      <c r="EB222" s="170"/>
      <c r="EC222" s="170"/>
      <c r="ED222" s="170"/>
      <c r="EE222" s="170"/>
      <c r="EF222" s="170"/>
      <c r="EG222" s="170"/>
      <c r="EH222" s="170"/>
      <c r="EI222" s="170"/>
      <c r="EJ222" s="170"/>
      <c r="EK222" s="170"/>
      <c r="EL222" s="170"/>
      <c r="EM222" s="170"/>
      <c r="EN222" s="170"/>
      <c r="EO222" s="170"/>
      <c r="EP222" s="170"/>
    </row>
    <row r="223" ht="15.75" customHeight="1">
      <c r="A223" s="170"/>
      <c r="B223" s="170"/>
      <c r="C223" s="170"/>
      <c r="D223" s="170"/>
      <c r="E223" s="170"/>
      <c r="F223" s="170"/>
      <c r="G223" s="170"/>
      <c r="H223" s="170"/>
      <c r="I223" s="170"/>
      <c r="J223" s="170"/>
      <c r="K223" s="170"/>
      <c r="L223" s="170"/>
      <c r="M223" s="170"/>
      <c r="N223" s="170"/>
      <c r="O223" s="170"/>
      <c r="P223" s="170"/>
      <c r="Q223" s="170"/>
      <c r="R223" s="170"/>
      <c r="S223" s="170"/>
      <c r="T223" s="170"/>
      <c r="U223" s="170"/>
      <c r="V223" s="170"/>
      <c r="W223" s="170"/>
      <c r="X223" s="170"/>
      <c r="Y223" s="170"/>
      <c r="Z223" s="170"/>
      <c r="AA223" s="170"/>
      <c r="AB223" s="170"/>
      <c r="AC223" s="170"/>
      <c r="AD223" s="170"/>
      <c r="AE223" s="170"/>
      <c r="AF223" s="170"/>
      <c r="AG223" s="170"/>
      <c r="AH223" s="170"/>
      <c r="AI223" s="170"/>
      <c r="AJ223" s="170"/>
      <c r="AK223" s="170"/>
      <c r="AL223" s="170"/>
      <c r="AM223" s="170"/>
      <c r="AN223" s="170"/>
      <c r="AO223" s="170"/>
      <c r="AP223" s="170"/>
      <c r="AQ223" s="170"/>
      <c r="AR223" s="170"/>
      <c r="AS223" s="170"/>
      <c r="AT223" s="170"/>
      <c r="AU223" s="170"/>
      <c r="AV223" s="170"/>
      <c r="AW223" s="170"/>
      <c r="AX223" s="170"/>
      <c r="AY223" s="170"/>
      <c r="AZ223" s="170"/>
      <c r="BA223" s="170"/>
      <c r="BB223" s="170"/>
      <c r="BC223" s="170"/>
      <c r="BD223" s="170"/>
      <c r="BE223" s="170"/>
      <c r="BF223" s="170"/>
      <c r="BG223" s="170"/>
      <c r="BH223" s="170"/>
      <c r="BI223" s="170"/>
      <c r="BJ223" s="170"/>
      <c r="BK223" s="170"/>
      <c r="BL223" s="170"/>
      <c r="BM223" s="170"/>
      <c r="BN223" s="170"/>
      <c r="BO223" s="170"/>
      <c r="BP223" s="170"/>
      <c r="BQ223" s="170"/>
      <c r="BR223" s="170"/>
      <c r="BS223" s="170"/>
      <c r="BT223" s="170"/>
      <c r="BU223" s="170"/>
      <c r="BV223" s="170"/>
      <c r="BW223" s="170"/>
      <c r="BX223" s="170"/>
      <c r="BY223" s="170"/>
      <c r="BZ223" s="170"/>
      <c r="CA223" s="170"/>
      <c r="CB223" s="170"/>
      <c r="CC223" s="170"/>
      <c r="CD223" s="170"/>
      <c r="CE223" s="170"/>
      <c r="CF223" s="170"/>
      <c r="CG223" s="170"/>
      <c r="CH223" s="170"/>
      <c r="CI223" s="170"/>
      <c r="CJ223" s="170"/>
      <c r="CK223" s="170"/>
      <c r="CL223" s="170"/>
      <c r="CM223" s="170"/>
      <c r="CN223" s="170"/>
      <c r="CO223" s="170"/>
      <c r="CP223" s="170"/>
      <c r="CQ223" s="170"/>
      <c r="CR223" s="170"/>
      <c r="CS223" s="170"/>
      <c r="CT223" s="170"/>
      <c r="CU223" s="170"/>
      <c r="CV223" s="170"/>
      <c r="CW223" s="170"/>
      <c r="CX223" s="170"/>
      <c r="CY223" s="170"/>
      <c r="CZ223" s="170"/>
      <c r="DA223" s="170"/>
      <c r="DB223" s="170"/>
      <c r="DC223" s="170"/>
      <c r="DD223" s="170"/>
      <c r="DE223" s="170"/>
      <c r="DF223" s="170"/>
      <c r="DG223" s="170"/>
      <c r="DH223" s="170"/>
      <c r="DI223" s="170"/>
      <c r="DJ223" s="170"/>
      <c r="DK223" s="170"/>
      <c r="DL223" s="170"/>
      <c r="DM223" s="170"/>
      <c r="DN223" s="170"/>
      <c r="DO223" s="170"/>
      <c r="DP223" s="170"/>
      <c r="DQ223" s="170"/>
      <c r="DR223" s="170"/>
      <c r="DS223" s="170"/>
      <c r="DT223" s="170"/>
      <c r="DU223" s="170"/>
      <c r="DV223" s="170"/>
      <c r="DW223" s="170"/>
      <c r="DX223" s="170"/>
      <c r="DY223" s="170"/>
      <c r="DZ223" s="170"/>
      <c r="EA223" s="170"/>
      <c r="EB223" s="170"/>
      <c r="EC223" s="170"/>
      <c r="ED223" s="170"/>
      <c r="EE223" s="170"/>
      <c r="EF223" s="170"/>
      <c r="EG223" s="170"/>
      <c r="EH223" s="170"/>
      <c r="EI223" s="170"/>
      <c r="EJ223" s="170"/>
      <c r="EK223" s="170"/>
      <c r="EL223" s="170"/>
      <c r="EM223" s="170"/>
      <c r="EN223" s="170"/>
      <c r="EO223" s="170"/>
      <c r="EP223" s="170"/>
    </row>
    <row r="224" ht="15.75" customHeight="1">
      <c r="A224" s="170"/>
      <c r="B224" s="170"/>
      <c r="C224" s="170"/>
      <c r="D224" s="170"/>
      <c r="E224" s="170"/>
      <c r="F224" s="170"/>
      <c r="G224" s="170"/>
      <c r="H224" s="170"/>
      <c r="I224" s="170"/>
      <c r="J224" s="170"/>
      <c r="K224" s="170"/>
      <c r="L224" s="170"/>
      <c r="M224" s="170"/>
      <c r="N224" s="170"/>
      <c r="O224" s="170"/>
      <c r="P224" s="170"/>
      <c r="Q224" s="170"/>
      <c r="R224" s="170"/>
      <c r="S224" s="170"/>
      <c r="T224" s="170"/>
      <c r="U224" s="170"/>
      <c r="V224" s="170"/>
      <c r="W224" s="170"/>
      <c r="X224" s="170"/>
      <c r="Y224" s="170"/>
      <c r="Z224" s="170"/>
      <c r="AA224" s="170"/>
      <c r="AB224" s="170"/>
      <c r="AC224" s="170"/>
      <c r="AD224" s="170"/>
      <c r="AE224" s="170"/>
      <c r="AF224" s="170"/>
      <c r="AG224" s="170"/>
      <c r="AH224" s="170"/>
      <c r="AI224" s="170"/>
      <c r="AJ224" s="170"/>
      <c r="AK224" s="170"/>
      <c r="AL224" s="170"/>
      <c r="AM224" s="170"/>
      <c r="AN224" s="170"/>
      <c r="AO224" s="170"/>
      <c r="AP224" s="170"/>
      <c r="AQ224" s="170"/>
      <c r="AR224" s="170"/>
      <c r="AS224" s="170"/>
      <c r="AT224" s="170"/>
      <c r="AU224" s="170"/>
      <c r="AV224" s="170"/>
      <c r="AW224" s="170"/>
      <c r="AX224" s="170"/>
      <c r="AY224" s="170"/>
      <c r="AZ224" s="170"/>
      <c r="BA224" s="170"/>
      <c r="BB224" s="170"/>
      <c r="BC224" s="170"/>
      <c r="BD224" s="170"/>
      <c r="BE224" s="170"/>
      <c r="BF224" s="170"/>
      <c r="BG224" s="170"/>
      <c r="BH224" s="170"/>
      <c r="BI224" s="170"/>
      <c r="BJ224" s="170"/>
      <c r="BK224" s="170"/>
      <c r="BL224" s="170"/>
      <c r="BM224" s="170"/>
      <c r="BN224" s="170"/>
      <c r="BO224" s="170"/>
      <c r="BP224" s="170"/>
      <c r="BQ224" s="170"/>
      <c r="BR224" s="170"/>
      <c r="BS224" s="170"/>
      <c r="BT224" s="170"/>
      <c r="BU224" s="170"/>
      <c r="BV224" s="170"/>
      <c r="BW224" s="170"/>
      <c r="BX224" s="170"/>
      <c r="BY224" s="170"/>
      <c r="BZ224" s="170"/>
      <c r="CA224" s="170"/>
      <c r="CB224" s="170"/>
      <c r="CC224" s="170"/>
      <c r="CD224" s="170"/>
      <c r="CE224" s="170"/>
      <c r="CF224" s="170"/>
      <c r="CG224" s="170"/>
      <c r="CH224" s="170"/>
      <c r="CI224" s="170"/>
      <c r="CJ224" s="170"/>
      <c r="CK224" s="170"/>
      <c r="CL224" s="170"/>
      <c r="CM224" s="170"/>
      <c r="CN224" s="170"/>
      <c r="CO224" s="170"/>
      <c r="CP224" s="170"/>
      <c r="CQ224" s="170"/>
      <c r="CR224" s="170"/>
      <c r="CS224" s="170"/>
      <c r="CT224" s="170"/>
      <c r="CU224" s="170"/>
      <c r="CV224" s="170"/>
      <c r="CW224" s="170"/>
      <c r="CX224" s="170"/>
      <c r="CY224" s="170"/>
      <c r="CZ224" s="170"/>
      <c r="DA224" s="170"/>
      <c r="DB224" s="170"/>
      <c r="DC224" s="170"/>
      <c r="DD224" s="170"/>
      <c r="DE224" s="170"/>
      <c r="DF224" s="170"/>
      <c r="DG224" s="170"/>
      <c r="DH224" s="170"/>
      <c r="DI224" s="170"/>
      <c r="DJ224" s="170"/>
      <c r="DK224" s="170"/>
      <c r="DL224" s="170"/>
      <c r="DM224" s="170"/>
      <c r="DN224" s="170"/>
      <c r="DO224" s="170"/>
      <c r="DP224" s="170"/>
      <c r="DQ224" s="170"/>
      <c r="DR224" s="170"/>
      <c r="DS224" s="170"/>
      <c r="DT224" s="170"/>
      <c r="DU224" s="170"/>
      <c r="DV224" s="170"/>
      <c r="DW224" s="170"/>
      <c r="DX224" s="170"/>
      <c r="DY224" s="170"/>
      <c r="DZ224" s="170"/>
      <c r="EA224" s="170"/>
      <c r="EB224" s="170"/>
      <c r="EC224" s="170"/>
      <c r="ED224" s="170"/>
      <c r="EE224" s="170"/>
      <c r="EF224" s="170"/>
      <c r="EG224" s="170"/>
      <c r="EH224" s="170"/>
      <c r="EI224" s="170"/>
      <c r="EJ224" s="170"/>
      <c r="EK224" s="170"/>
      <c r="EL224" s="170"/>
      <c r="EM224" s="170"/>
      <c r="EN224" s="170"/>
      <c r="EO224" s="170"/>
      <c r="EP224" s="170"/>
    </row>
    <row r="225" ht="15.75" customHeight="1">
      <c r="A225" s="170"/>
      <c r="B225" s="170"/>
      <c r="C225" s="170"/>
      <c r="D225" s="170"/>
      <c r="E225" s="170"/>
      <c r="F225" s="170"/>
      <c r="G225" s="170"/>
      <c r="H225" s="170"/>
      <c r="I225" s="170"/>
      <c r="J225" s="170"/>
      <c r="K225" s="170"/>
      <c r="L225" s="170"/>
      <c r="M225" s="170"/>
      <c r="N225" s="170"/>
      <c r="O225" s="170"/>
      <c r="P225" s="170"/>
      <c r="Q225" s="170"/>
      <c r="R225" s="170"/>
      <c r="S225" s="170"/>
      <c r="T225" s="170"/>
      <c r="U225" s="170"/>
      <c r="V225" s="170"/>
      <c r="W225" s="170"/>
      <c r="X225" s="170"/>
      <c r="Y225" s="170"/>
      <c r="Z225" s="170"/>
      <c r="AA225" s="170"/>
      <c r="AB225" s="170"/>
      <c r="AC225" s="170"/>
      <c r="AD225" s="170"/>
      <c r="AE225" s="170"/>
      <c r="AF225" s="170"/>
      <c r="AG225" s="170"/>
      <c r="AH225" s="170"/>
      <c r="AI225" s="170"/>
      <c r="AJ225" s="170"/>
      <c r="AK225" s="170"/>
      <c r="AL225" s="170"/>
      <c r="AM225" s="170"/>
      <c r="AN225" s="170"/>
      <c r="AO225" s="170"/>
      <c r="AP225" s="170"/>
      <c r="AQ225" s="170"/>
      <c r="AR225" s="170"/>
      <c r="AS225" s="170"/>
      <c r="AT225" s="170"/>
      <c r="AU225" s="170"/>
      <c r="AV225" s="170"/>
      <c r="AW225" s="170"/>
      <c r="AX225" s="170"/>
      <c r="AY225" s="170"/>
      <c r="AZ225" s="170"/>
      <c r="BA225" s="170"/>
      <c r="BB225" s="170"/>
      <c r="BC225" s="170"/>
      <c r="BD225" s="170"/>
      <c r="BE225" s="170"/>
      <c r="BF225" s="170"/>
      <c r="BG225" s="170"/>
      <c r="BH225" s="170"/>
      <c r="BI225" s="170"/>
      <c r="BJ225" s="170"/>
      <c r="BK225" s="170"/>
      <c r="BL225" s="170"/>
      <c r="BM225" s="170"/>
      <c r="BN225" s="170"/>
      <c r="BO225" s="170"/>
      <c r="BP225" s="170"/>
      <c r="BQ225" s="170"/>
      <c r="BR225" s="170"/>
      <c r="BS225" s="170"/>
      <c r="BT225" s="170"/>
      <c r="BU225" s="170"/>
      <c r="BV225" s="170"/>
      <c r="BW225" s="170"/>
      <c r="BX225" s="170"/>
      <c r="BY225" s="170"/>
      <c r="BZ225" s="170"/>
      <c r="CA225" s="170"/>
      <c r="CB225" s="170"/>
      <c r="CC225" s="170"/>
      <c r="CD225" s="170"/>
      <c r="CE225" s="170"/>
      <c r="CF225" s="170"/>
      <c r="CG225" s="170"/>
      <c r="CH225" s="170"/>
      <c r="CI225" s="170"/>
      <c r="CJ225" s="170"/>
      <c r="CK225" s="170"/>
      <c r="CL225" s="170"/>
      <c r="CM225" s="170"/>
      <c r="CN225" s="170"/>
      <c r="CO225" s="170"/>
      <c r="CP225" s="170"/>
      <c r="CQ225" s="170"/>
      <c r="CR225" s="170"/>
      <c r="CS225" s="170"/>
      <c r="CT225" s="170"/>
      <c r="CU225" s="170"/>
      <c r="CV225" s="170"/>
      <c r="CW225" s="170"/>
      <c r="CX225" s="170"/>
      <c r="CY225" s="170"/>
      <c r="CZ225" s="170"/>
      <c r="DA225" s="170"/>
      <c r="DB225" s="170"/>
      <c r="DC225" s="170"/>
      <c r="DD225" s="170"/>
      <c r="DE225" s="170"/>
      <c r="DF225" s="170"/>
      <c r="DG225" s="170"/>
      <c r="DH225" s="170"/>
      <c r="DI225" s="170"/>
      <c r="DJ225" s="170"/>
      <c r="DK225" s="170"/>
      <c r="DL225" s="170"/>
      <c r="DM225" s="170"/>
      <c r="DN225" s="170"/>
      <c r="DO225" s="170"/>
      <c r="DP225" s="170"/>
      <c r="DQ225" s="170"/>
      <c r="DR225" s="170"/>
      <c r="DS225" s="170"/>
      <c r="DT225" s="170"/>
      <c r="DU225" s="170"/>
      <c r="DV225" s="170"/>
      <c r="DW225" s="170"/>
      <c r="DX225" s="170"/>
      <c r="DY225" s="170"/>
      <c r="DZ225" s="170"/>
      <c r="EA225" s="170"/>
      <c r="EB225" s="170"/>
      <c r="EC225" s="170"/>
      <c r="ED225" s="170"/>
      <c r="EE225" s="170"/>
      <c r="EF225" s="170"/>
      <c r="EG225" s="170"/>
      <c r="EH225" s="170"/>
      <c r="EI225" s="170"/>
      <c r="EJ225" s="170"/>
      <c r="EK225" s="170"/>
      <c r="EL225" s="170"/>
      <c r="EM225" s="170"/>
      <c r="EN225" s="170"/>
      <c r="EO225" s="170"/>
      <c r="EP225" s="170"/>
    </row>
    <row r="226" ht="15.75" customHeight="1">
      <c r="A226" s="170"/>
      <c r="B226" s="170"/>
      <c r="C226" s="170"/>
      <c r="D226" s="170"/>
      <c r="E226" s="170"/>
      <c r="F226" s="170"/>
      <c r="G226" s="170"/>
      <c r="H226" s="170"/>
      <c r="I226" s="170"/>
      <c r="J226" s="170"/>
      <c r="K226" s="170"/>
      <c r="L226" s="170"/>
      <c r="M226" s="170"/>
      <c r="N226" s="170"/>
      <c r="O226" s="170"/>
      <c r="P226" s="170"/>
      <c r="Q226" s="170"/>
      <c r="R226" s="170"/>
      <c r="S226" s="170"/>
      <c r="T226" s="170"/>
      <c r="U226" s="170"/>
      <c r="V226" s="170"/>
      <c r="W226" s="170"/>
      <c r="X226" s="170"/>
      <c r="Y226" s="170"/>
      <c r="Z226" s="170"/>
      <c r="AA226" s="170"/>
      <c r="AB226" s="170"/>
      <c r="AC226" s="170"/>
      <c r="AD226" s="170"/>
      <c r="AE226" s="170"/>
      <c r="AF226" s="170"/>
      <c r="AG226" s="170"/>
      <c r="AH226" s="170"/>
      <c r="AI226" s="170"/>
      <c r="AJ226" s="170"/>
      <c r="AK226" s="170"/>
      <c r="AL226" s="170"/>
      <c r="AM226" s="170"/>
      <c r="AN226" s="170"/>
      <c r="AO226" s="170"/>
      <c r="AP226" s="170"/>
      <c r="AQ226" s="170"/>
      <c r="AR226" s="170"/>
      <c r="AS226" s="170"/>
      <c r="AT226" s="170"/>
      <c r="AU226" s="170"/>
      <c r="AV226" s="170"/>
      <c r="AW226" s="170"/>
      <c r="AX226" s="170"/>
      <c r="AY226" s="170"/>
      <c r="AZ226" s="170"/>
      <c r="BA226" s="170"/>
      <c r="BB226" s="170"/>
      <c r="BC226" s="170"/>
      <c r="BD226" s="170"/>
      <c r="BE226" s="170"/>
      <c r="BF226" s="170"/>
      <c r="BG226" s="170"/>
      <c r="BH226" s="170"/>
      <c r="BI226" s="170"/>
      <c r="BJ226" s="170"/>
      <c r="BK226" s="170"/>
      <c r="BL226" s="170"/>
      <c r="BM226" s="170"/>
      <c r="BN226" s="170"/>
      <c r="BO226" s="170"/>
      <c r="BP226" s="170"/>
      <c r="BQ226" s="170"/>
      <c r="BR226" s="170"/>
      <c r="BS226" s="170"/>
      <c r="BT226" s="170"/>
      <c r="BU226" s="170"/>
      <c r="BV226" s="170"/>
      <c r="BW226" s="170"/>
      <c r="BX226" s="170"/>
      <c r="BY226" s="170"/>
      <c r="BZ226" s="170"/>
      <c r="CA226" s="170"/>
      <c r="CB226" s="170"/>
      <c r="CC226" s="170"/>
      <c r="CD226" s="170"/>
      <c r="CE226" s="170"/>
      <c r="CF226" s="170"/>
      <c r="CG226" s="170"/>
      <c r="CH226" s="170"/>
      <c r="CI226" s="170"/>
      <c r="CJ226" s="170"/>
      <c r="CK226" s="170"/>
      <c r="CL226" s="170"/>
      <c r="CM226" s="170"/>
      <c r="CN226" s="170"/>
      <c r="CO226" s="170"/>
      <c r="CP226" s="170"/>
      <c r="CQ226" s="170"/>
      <c r="CR226" s="170"/>
      <c r="CS226" s="170"/>
      <c r="CT226" s="170"/>
      <c r="CU226" s="170"/>
      <c r="CV226" s="170"/>
      <c r="CW226" s="170"/>
      <c r="CX226" s="170"/>
      <c r="CY226" s="170"/>
      <c r="CZ226" s="170"/>
      <c r="DA226" s="170"/>
      <c r="DB226" s="170"/>
      <c r="DC226" s="170"/>
      <c r="DD226" s="170"/>
      <c r="DE226" s="170"/>
      <c r="DF226" s="170"/>
      <c r="DG226" s="170"/>
      <c r="DH226" s="170"/>
      <c r="DI226" s="170"/>
      <c r="DJ226" s="170"/>
      <c r="DK226" s="170"/>
      <c r="DL226" s="170"/>
      <c r="DM226" s="170"/>
      <c r="DN226" s="170"/>
      <c r="DO226" s="170"/>
      <c r="DP226" s="170"/>
      <c r="DQ226" s="170"/>
      <c r="DR226" s="170"/>
      <c r="DS226" s="170"/>
      <c r="DT226" s="170"/>
      <c r="DU226" s="170"/>
      <c r="DV226" s="170"/>
      <c r="DW226" s="170"/>
      <c r="DX226" s="170"/>
      <c r="DY226" s="170"/>
      <c r="DZ226" s="170"/>
      <c r="EA226" s="170"/>
      <c r="EB226" s="170"/>
      <c r="EC226" s="170"/>
      <c r="ED226" s="170"/>
      <c r="EE226" s="170"/>
      <c r="EF226" s="170"/>
      <c r="EG226" s="170"/>
      <c r="EH226" s="170"/>
      <c r="EI226" s="170"/>
      <c r="EJ226" s="170"/>
      <c r="EK226" s="170"/>
      <c r="EL226" s="170"/>
      <c r="EM226" s="170"/>
      <c r="EN226" s="170"/>
      <c r="EO226" s="170"/>
      <c r="EP226" s="170"/>
    </row>
    <row r="227" ht="15.75" customHeight="1">
      <c r="A227" s="170"/>
      <c r="B227" s="170"/>
      <c r="C227" s="170"/>
      <c r="D227" s="170"/>
      <c r="E227" s="170"/>
      <c r="F227" s="170"/>
      <c r="G227" s="170"/>
      <c r="H227" s="170"/>
      <c r="I227" s="170"/>
      <c r="J227" s="170"/>
      <c r="K227" s="170"/>
      <c r="L227" s="170"/>
      <c r="M227" s="170"/>
      <c r="N227" s="170"/>
      <c r="O227" s="170"/>
      <c r="P227" s="170"/>
      <c r="Q227" s="170"/>
      <c r="R227" s="170"/>
      <c r="S227" s="170"/>
      <c r="T227" s="170"/>
      <c r="U227" s="170"/>
      <c r="V227" s="170"/>
      <c r="W227" s="170"/>
      <c r="X227" s="170"/>
      <c r="Y227" s="170"/>
      <c r="Z227" s="170"/>
      <c r="AA227" s="170"/>
      <c r="AB227" s="170"/>
      <c r="AC227" s="170"/>
      <c r="AD227" s="170"/>
      <c r="AE227" s="170"/>
      <c r="AF227" s="170"/>
      <c r="AG227" s="170"/>
      <c r="AH227" s="170"/>
      <c r="AI227" s="170"/>
      <c r="AJ227" s="170"/>
      <c r="AK227" s="170"/>
      <c r="AL227" s="170"/>
      <c r="AM227" s="170"/>
      <c r="AN227" s="170"/>
      <c r="AO227" s="170"/>
      <c r="AP227" s="170"/>
      <c r="AQ227" s="170"/>
      <c r="AR227" s="170"/>
      <c r="AS227" s="170"/>
      <c r="AT227" s="170"/>
      <c r="AU227" s="170"/>
      <c r="AV227" s="170"/>
      <c r="AW227" s="170"/>
      <c r="AX227" s="170"/>
      <c r="AY227" s="170"/>
      <c r="AZ227" s="170"/>
      <c r="BA227" s="170"/>
      <c r="BB227" s="170"/>
      <c r="BC227" s="170"/>
      <c r="BD227" s="170"/>
      <c r="BE227" s="170"/>
      <c r="BF227" s="170"/>
      <c r="BG227" s="170"/>
      <c r="BH227" s="170"/>
      <c r="BI227" s="170"/>
      <c r="BJ227" s="170"/>
      <c r="BK227" s="170"/>
      <c r="BL227" s="170"/>
      <c r="BM227" s="170"/>
      <c r="BN227" s="170"/>
      <c r="BO227" s="170"/>
      <c r="BP227" s="170"/>
      <c r="BQ227" s="170"/>
      <c r="BR227" s="170"/>
      <c r="BS227" s="170"/>
      <c r="BT227" s="170"/>
      <c r="BU227" s="170"/>
      <c r="BV227" s="170"/>
      <c r="BW227" s="170"/>
      <c r="BX227" s="170"/>
      <c r="BY227" s="170"/>
      <c r="BZ227" s="170"/>
      <c r="CA227" s="170"/>
      <c r="CB227" s="170"/>
      <c r="CC227" s="170"/>
      <c r="CD227" s="170"/>
      <c r="CE227" s="170"/>
      <c r="CF227" s="170"/>
      <c r="CG227" s="170"/>
      <c r="CH227" s="170"/>
      <c r="CI227" s="170"/>
      <c r="CJ227" s="170"/>
      <c r="CK227" s="170"/>
      <c r="CL227" s="170"/>
      <c r="CM227" s="170"/>
      <c r="CN227" s="170"/>
      <c r="CO227" s="170"/>
      <c r="CP227" s="170"/>
      <c r="CQ227" s="170"/>
      <c r="CR227" s="170"/>
      <c r="CS227" s="170"/>
      <c r="CT227" s="170"/>
      <c r="CU227" s="170"/>
      <c r="CV227" s="170"/>
      <c r="CW227" s="170"/>
      <c r="CX227" s="170"/>
      <c r="CY227" s="170"/>
      <c r="CZ227" s="170"/>
      <c r="DA227" s="170"/>
      <c r="DB227" s="170"/>
      <c r="DC227" s="170"/>
      <c r="DD227" s="170"/>
      <c r="DE227" s="170"/>
      <c r="DF227" s="170"/>
      <c r="DG227" s="170"/>
      <c r="DH227" s="170"/>
      <c r="DI227" s="170"/>
      <c r="DJ227" s="170"/>
      <c r="DK227" s="170"/>
      <c r="DL227" s="170"/>
      <c r="DM227" s="170"/>
      <c r="DN227" s="170"/>
      <c r="DO227" s="170"/>
      <c r="DP227" s="170"/>
      <c r="DQ227" s="170"/>
      <c r="DR227" s="170"/>
      <c r="DS227" s="170"/>
      <c r="DT227" s="170"/>
      <c r="DU227" s="170"/>
      <c r="DV227" s="170"/>
      <c r="DW227" s="170"/>
      <c r="DX227" s="170"/>
      <c r="DY227" s="170"/>
      <c r="DZ227" s="170"/>
      <c r="EA227" s="170"/>
      <c r="EB227" s="170"/>
      <c r="EC227" s="170"/>
      <c r="ED227" s="170"/>
      <c r="EE227" s="170"/>
      <c r="EF227" s="170"/>
      <c r="EG227" s="170"/>
      <c r="EH227" s="170"/>
      <c r="EI227" s="170"/>
      <c r="EJ227" s="170"/>
      <c r="EK227" s="170"/>
      <c r="EL227" s="170"/>
      <c r="EM227" s="170"/>
      <c r="EN227" s="170"/>
      <c r="EO227" s="170"/>
      <c r="EP227" s="170"/>
    </row>
    <row r="228" ht="15.75" customHeight="1">
      <c r="A228" s="170"/>
      <c r="B228" s="170"/>
      <c r="C228" s="170"/>
      <c r="D228" s="170"/>
      <c r="E228" s="170"/>
      <c r="F228" s="170"/>
      <c r="G228" s="170"/>
      <c r="H228" s="170"/>
      <c r="I228" s="170"/>
      <c r="J228" s="170"/>
      <c r="K228" s="170"/>
      <c r="L228" s="170"/>
      <c r="M228" s="170"/>
      <c r="N228" s="170"/>
      <c r="O228" s="170"/>
      <c r="P228" s="170"/>
      <c r="Q228" s="170"/>
      <c r="R228" s="170"/>
      <c r="S228" s="170"/>
      <c r="T228" s="170"/>
      <c r="U228" s="170"/>
      <c r="V228" s="170"/>
      <c r="W228" s="170"/>
      <c r="X228" s="170"/>
      <c r="Y228" s="170"/>
      <c r="Z228" s="170"/>
      <c r="AA228" s="170"/>
      <c r="AB228" s="170"/>
      <c r="AC228" s="170"/>
      <c r="AD228" s="170"/>
      <c r="AE228" s="170"/>
      <c r="AF228" s="170"/>
      <c r="AG228" s="170"/>
      <c r="AH228" s="170"/>
      <c r="AI228" s="170"/>
      <c r="AJ228" s="170"/>
      <c r="AK228" s="170"/>
      <c r="AL228" s="170"/>
      <c r="AM228" s="170"/>
      <c r="AN228" s="170"/>
      <c r="AO228" s="170"/>
      <c r="AP228" s="170"/>
      <c r="AQ228" s="170"/>
      <c r="AR228" s="170"/>
      <c r="AS228" s="170"/>
      <c r="AT228" s="170"/>
      <c r="AU228" s="170"/>
      <c r="AV228" s="170"/>
      <c r="AW228" s="170"/>
      <c r="AX228" s="170"/>
      <c r="AY228" s="170"/>
      <c r="AZ228" s="170"/>
      <c r="BA228" s="170"/>
      <c r="BB228" s="170"/>
      <c r="BC228" s="170"/>
      <c r="BD228" s="170"/>
      <c r="BE228" s="170"/>
      <c r="BF228" s="170"/>
      <c r="BG228" s="170"/>
      <c r="BH228" s="170"/>
      <c r="BI228" s="170"/>
      <c r="BJ228" s="170"/>
      <c r="BK228" s="170"/>
      <c r="BL228" s="170"/>
      <c r="BM228" s="170"/>
      <c r="BN228" s="170"/>
      <c r="BO228" s="170"/>
      <c r="BP228" s="170"/>
      <c r="BQ228" s="170"/>
      <c r="BR228" s="170"/>
      <c r="BS228" s="170"/>
      <c r="BT228" s="170"/>
      <c r="BU228" s="170"/>
      <c r="BV228" s="170"/>
      <c r="BW228" s="170"/>
      <c r="BX228" s="170"/>
      <c r="BY228" s="170"/>
      <c r="BZ228" s="170"/>
      <c r="CA228" s="170"/>
      <c r="CB228" s="170"/>
      <c r="CC228" s="170"/>
      <c r="CD228" s="170"/>
      <c r="CE228" s="170"/>
      <c r="CF228" s="170"/>
      <c r="CG228" s="170"/>
      <c r="CH228" s="170"/>
      <c r="CI228" s="170"/>
      <c r="CJ228" s="170"/>
      <c r="CK228" s="170"/>
      <c r="CL228" s="170"/>
      <c r="CM228" s="170"/>
      <c r="CN228" s="170"/>
      <c r="CO228" s="170"/>
      <c r="CP228" s="170"/>
      <c r="CQ228" s="170"/>
      <c r="CR228" s="170"/>
      <c r="CS228" s="170"/>
      <c r="CT228" s="170"/>
      <c r="CU228" s="170"/>
      <c r="CV228" s="170"/>
      <c r="CW228" s="170"/>
      <c r="CX228" s="170"/>
      <c r="CY228" s="170"/>
      <c r="CZ228" s="170"/>
      <c r="DA228" s="170"/>
      <c r="DB228" s="170"/>
      <c r="DC228" s="170"/>
      <c r="DD228" s="170"/>
      <c r="DE228" s="170"/>
      <c r="DF228" s="170"/>
      <c r="DG228" s="170"/>
      <c r="DH228" s="170"/>
      <c r="DI228" s="170"/>
      <c r="DJ228" s="170"/>
      <c r="DK228" s="170"/>
      <c r="DL228" s="170"/>
      <c r="DM228" s="170"/>
      <c r="DN228" s="170"/>
      <c r="DO228" s="170"/>
      <c r="DP228" s="170"/>
      <c r="DQ228" s="170"/>
      <c r="DR228" s="170"/>
      <c r="DS228" s="170"/>
      <c r="DT228" s="170"/>
      <c r="DU228" s="170"/>
      <c r="DV228" s="170"/>
      <c r="DW228" s="170"/>
      <c r="DX228" s="170"/>
      <c r="DY228" s="170"/>
      <c r="DZ228" s="170"/>
      <c r="EA228" s="170"/>
      <c r="EB228" s="170"/>
      <c r="EC228" s="170"/>
      <c r="ED228" s="170"/>
      <c r="EE228" s="170"/>
      <c r="EF228" s="170"/>
      <c r="EG228" s="170"/>
      <c r="EH228" s="170"/>
      <c r="EI228" s="170"/>
      <c r="EJ228" s="170"/>
      <c r="EK228" s="170"/>
      <c r="EL228" s="170"/>
      <c r="EM228" s="170"/>
      <c r="EN228" s="170"/>
      <c r="EO228" s="170"/>
      <c r="EP228" s="170"/>
    </row>
    <row r="229" ht="15.75" customHeight="1">
      <c r="A229" s="170"/>
      <c r="B229" s="170"/>
      <c r="C229" s="170"/>
      <c r="D229" s="170"/>
      <c r="E229" s="170"/>
      <c r="F229" s="170"/>
      <c r="G229" s="170"/>
      <c r="H229" s="170"/>
      <c r="I229" s="170"/>
      <c r="J229" s="170"/>
      <c r="K229" s="170"/>
      <c r="L229" s="170"/>
      <c r="M229" s="170"/>
      <c r="N229" s="170"/>
      <c r="O229" s="170"/>
      <c r="P229" s="170"/>
      <c r="Q229" s="170"/>
      <c r="R229" s="170"/>
      <c r="S229" s="170"/>
      <c r="T229" s="170"/>
      <c r="U229" s="170"/>
      <c r="V229" s="170"/>
      <c r="W229" s="170"/>
      <c r="X229" s="170"/>
      <c r="Y229" s="170"/>
      <c r="Z229" s="170"/>
      <c r="AA229" s="170"/>
      <c r="AB229" s="170"/>
      <c r="AC229" s="170"/>
      <c r="AD229" s="170"/>
      <c r="AE229" s="170"/>
      <c r="AF229" s="170"/>
      <c r="AG229" s="170"/>
      <c r="AH229" s="170"/>
      <c r="AI229" s="170"/>
      <c r="AJ229" s="170"/>
      <c r="AK229" s="170"/>
      <c r="AL229" s="170"/>
      <c r="AM229" s="170"/>
      <c r="AN229" s="170"/>
      <c r="AO229" s="170"/>
      <c r="AP229" s="170"/>
      <c r="AQ229" s="170"/>
      <c r="AR229" s="170"/>
      <c r="AS229" s="170"/>
      <c r="AT229" s="170"/>
      <c r="AU229" s="170"/>
      <c r="AV229" s="170"/>
      <c r="AW229" s="170"/>
      <c r="AX229" s="170"/>
      <c r="AY229" s="170"/>
      <c r="AZ229" s="170"/>
      <c r="BA229" s="170"/>
      <c r="BB229" s="170"/>
      <c r="BC229" s="170"/>
      <c r="BD229" s="170"/>
      <c r="BE229" s="170"/>
      <c r="BF229" s="170"/>
      <c r="BG229" s="170"/>
      <c r="BH229" s="170"/>
      <c r="BI229" s="170"/>
      <c r="BJ229" s="170"/>
      <c r="BK229" s="170"/>
      <c r="BL229" s="170"/>
      <c r="BM229" s="170"/>
      <c r="BN229" s="170"/>
      <c r="BO229" s="170"/>
      <c r="BP229" s="170"/>
      <c r="BQ229" s="170"/>
      <c r="BR229" s="170"/>
      <c r="BS229" s="170"/>
      <c r="BT229" s="170"/>
      <c r="BU229" s="170"/>
      <c r="BV229" s="170"/>
      <c r="BW229" s="170"/>
      <c r="BX229" s="170"/>
      <c r="BY229" s="170"/>
      <c r="BZ229" s="170"/>
      <c r="CA229" s="170"/>
      <c r="CB229" s="170"/>
      <c r="CC229" s="170"/>
      <c r="CD229" s="170"/>
      <c r="CE229" s="170"/>
      <c r="CF229" s="170"/>
      <c r="CG229" s="170"/>
      <c r="CH229" s="170"/>
      <c r="CI229" s="170"/>
      <c r="CJ229" s="170"/>
      <c r="CK229" s="170"/>
      <c r="CL229" s="170"/>
      <c r="CM229" s="170"/>
      <c r="CN229" s="170"/>
      <c r="CO229" s="170"/>
      <c r="CP229" s="170"/>
      <c r="CQ229" s="170"/>
      <c r="CR229" s="170"/>
      <c r="CS229" s="170"/>
      <c r="CT229" s="170"/>
      <c r="CU229" s="170"/>
      <c r="CV229" s="170"/>
      <c r="CW229" s="170"/>
      <c r="CX229" s="170"/>
      <c r="CY229" s="170"/>
      <c r="CZ229" s="170"/>
      <c r="DA229" s="170"/>
      <c r="DB229" s="170"/>
      <c r="DC229" s="170"/>
      <c r="DD229" s="170"/>
      <c r="DE229" s="170"/>
      <c r="DF229" s="170"/>
      <c r="DG229" s="170"/>
      <c r="DH229" s="170"/>
      <c r="DI229" s="170"/>
      <c r="DJ229" s="170"/>
      <c r="DK229" s="170"/>
      <c r="DL229" s="170"/>
      <c r="DM229" s="170"/>
      <c r="DN229" s="170"/>
      <c r="DO229" s="170"/>
      <c r="DP229" s="170"/>
      <c r="DQ229" s="170"/>
      <c r="DR229" s="170"/>
      <c r="DS229" s="170"/>
      <c r="DT229" s="170"/>
      <c r="DU229" s="170"/>
      <c r="DV229" s="170"/>
      <c r="DW229" s="170"/>
      <c r="DX229" s="170"/>
      <c r="DY229" s="170"/>
      <c r="DZ229" s="170"/>
      <c r="EA229" s="170"/>
      <c r="EB229" s="170"/>
      <c r="EC229" s="170"/>
      <c r="ED229" s="170"/>
      <c r="EE229" s="170"/>
      <c r="EF229" s="170"/>
      <c r="EG229" s="170"/>
      <c r="EH229" s="170"/>
      <c r="EI229" s="170"/>
      <c r="EJ229" s="170"/>
      <c r="EK229" s="170"/>
      <c r="EL229" s="170"/>
      <c r="EM229" s="170"/>
      <c r="EN229" s="170"/>
      <c r="EO229" s="170"/>
      <c r="EP229" s="170"/>
    </row>
    <row r="230" ht="15.75" customHeight="1">
      <c r="A230" s="170"/>
      <c r="B230" s="170"/>
      <c r="C230" s="170"/>
      <c r="D230" s="170"/>
      <c r="E230" s="170"/>
      <c r="F230" s="170"/>
      <c r="G230" s="170"/>
      <c r="H230" s="170"/>
      <c r="I230" s="170"/>
      <c r="J230" s="170"/>
      <c r="K230" s="170"/>
      <c r="L230" s="170"/>
      <c r="M230" s="170"/>
      <c r="N230" s="170"/>
      <c r="O230" s="170"/>
      <c r="P230" s="170"/>
      <c r="Q230" s="170"/>
      <c r="R230" s="170"/>
      <c r="S230" s="170"/>
      <c r="T230" s="170"/>
      <c r="U230" s="170"/>
      <c r="V230" s="170"/>
      <c r="W230" s="170"/>
      <c r="X230" s="170"/>
      <c r="Y230" s="170"/>
      <c r="Z230" s="170"/>
      <c r="AA230" s="170"/>
      <c r="AB230" s="170"/>
      <c r="AC230" s="170"/>
      <c r="AD230" s="170"/>
      <c r="AE230" s="170"/>
      <c r="AF230" s="170"/>
      <c r="AG230" s="170"/>
      <c r="AH230" s="170"/>
      <c r="AI230" s="170"/>
      <c r="AJ230" s="170"/>
      <c r="AK230" s="170"/>
      <c r="AL230" s="170"/>
      <c r="AM230" s="170"/>
      <c r="AN230" s="170"/>
      <c r="AO230" s="170"/>
      <c r="AP230" s="170"/>
      <c r="AQ230" s="170"/>
      <c r="AR230" s="170"/>
      <c r="AS230" s="170"/>
      <c r="AT230" s="170"/>
      <c r="AU230" s="170"/>
      <c r="AV230" s="170"/>
      <c r="AW230" s="170"/>
      <c r="AX230" s="170"/>
      <c r="AY230" s="170"/>
      <c r="AZ230" s="170"/>
      <c r="BA230" s="170"/>
      <c r="BB230" s="170"/>
      <c r="BC230" s="170"/>
      <c r="BD230" s="170"/>
      <c r="BE230" s="170"/>
      <c r="BF230" s="170"/>
      <c r="BG230" s="170"/>
      <c r="BH230" s="170"/>
      <c r="BI230" s="170"/>
      <c r="BJ230" s="170"/>
      <c r="BK230" s="170"/>
      <c r="BL230" s="170"/>
      <c r="BM230" s="170"/>
      <c r="BN230" s="170"/>
      <c r="BO230" s="170"/>
      <c r="BP230" s="170"/>
      <c r="BQ230" s="170"/>
      <c r="BR230" s="170"/>
      <c r="BS230" s="170"/>
      <c r="BT230" s="170"/>
      <c r="BU230" s="170"/>
      <c r="BV230" s="170"/>
      <c r="BW230" s="170"/>
      <c r="BX230" s="170"/>
      <c r="BY230" s="170"/>
      <c r="BZ230" s="170"/>
      <c r="CA230" s="170"/>
      <c r="CB230" s="170"/>
      <c r="CC230" s="170"/>
      <c r="CD230" s="170"/>
      <c r="CE230" s="170"/>
      <c r="CF230" s="170"/>
      <c r="CG230" s="170"/>
      <c r="CH230" s="170"/>
      <c r="CI230" s="170"/>
      <c r="CJ230" s="170"/>
      <c r="CK230" s="170"/>
      <c r="CL230" s="170"/>
      <c r="CM230" s="170"/>
      <c r="CN230" s="170"/>
      <c r="CO230" s="170"/>
      <c r="CP230" s="170"/>
      <c r="CQ230" s="170"/>
      <c r="CR230" s="170"/>
      <c r="CS230" s="170"/>
      <c r="CT230" s="170"/>
      <c r="CU230" s="170"/>
      <c r="CV230" s="170"/>
      <c r="CW230" s="170"/>
      <c r="CX230" s="170"/>
      <c r="CY230" s="170"/>
      <c r="CZ230" s="170"/>
      <c r="DA230" s="170"/>
      <c r="DB230" s="170"/>
      <c r="DC230" s="170"/>
      <c r="DD230" s="170"/>
      <c r="DE230" s="170"/>
      <c r="DF230" s="170"/>
      <c r="DG230" s="170"/>
      <c r="DH230" s="170"/>
      <c r="DI230" s="170"/>
      <c r="DJ230" s="170"/>
      <c r="DK230" s="170"/>
      <c r="DL230" s="170"/>
      <c r="DM230" s="170"/>
      <c r="DN230" s="170"/>
      <c r="DO230" s="170"/>
      <c r="DP230" s="170"/>
      <c r="DQ230" s="170"/>
      <c r="DR230" s="170"/>
      <c r="DS230" s="170"/>
      <c r="DT230" s="170"/>
      <c r="DU230" s="170"/>
      <c r="DV230" s="170"/>
      <c r="DW230" s="170"/>
      <c r="DX230" s="170"/>
      <c r="DY230" s="170"/>
      <c r="DZ230" s="170"/>
      <c r="EA230" s="170"/>
      <c r="EB230" s="170"/>
      <c r="EC230" s="170"/>
      <c r="ED230" s="170"/>
      <c r="EE230" s="170"/>
      <c r="EF230" s="170"/>
      <c r="EG230" s="170"/>
      <c r="EH230" s="170"/>
      <c r="EI230" s="170"/>
      <c r="EJ230" s="170"/>
      <c r="EK230" s="170"/>
      <c r="EL230" s="170"/>
      <c r="EM230" s="170"/>
      <c r="EN230" s="170"/>
      <c r="EO230" s="170"/>
      <c r="EP230" s="170"/>
    </row>
    <row r="231" ht="15.75" customHeight="1">
      <c r="A231" s="170"/>
      <c r="B231" s="170"/>
      <c r="C231" s="170"/>
      <c r="D231" s="170"/>
      <c r="E231" s="170"/>
      <c r="F231" s="170"/>
      <c r="G231" s="170"/>
      <c r="H231" s="170"/>
      <c r="I231" s="170"/>
      <c r="J231" s="170"/>
      <c r="K231" s="170"/>
      <c r="L231" s="170"/>
      <c r="M231" s="170"/>
      <c r="N231" s="170"/>
      <c r="O231" s="170"/>
      <c r="P231" s="170"/>
      <c r="Q231" s="170"/>
      <c r="R231" s="170"/>
      <c r="S231" s="170"/>
      <c r="T231" s="170"/>
      <c r="U231" s="170"/>
      <c r="V231" s="170"/>
      <c r="W231" s="170"/>
      <c r="X231" s="170"/>
      <c r="Y231" s="170"/>
      <c r="Z231" s="170"/>
      <c r="AA231" s="170"/>
      <c r="AB231" s="170"/>
      <c r="AC231" s="170"/>
      <c r="AD231" s="170"/>
      <c r="AE231" s="170"/>
      <c r="AF231" s="170"/>
      <c r="AG231" s="170"/>
      <c r="AH231" s="170"/>
      <c r="AI231" s="170"/>
      <c r="AJ231" s="170"/>
      <c r="AK231" s="170"/>
      <c r="AL231" s="170"/>
      <c r="AM231" s="170"/>
      <c r="AN231" s="170"/>
      <c r="AO231" s="170"/>
      <c r="AP231" s="170"/>
      <c r="AQ231" s="170"/>
      <c r="AR231" s="170"/>
      <c r="AS231" s="170"/>
      <c r="AT231" s="170"/>
      <c r="AU231" s="170"/>
      <c r="AV231" s="170"/>
      <c r="AW231" s="170"/>
      <c r="AX231" s="170"/>
      <c r="AY231" s="170"/>
      <c r="AZ231" s="170"/>
      <c r="BA231" s="170"/>
      <c r="BB231" s="170"/>
      <c r="BC231" s="170"/>
      <c r="BD231" s="170"/>
      <c r="BE231" s="170"/>
      <c r="BF231" s="170"/>
      <c r="BG231" s="170"/>
      <c r="BH231" s="170"/>
      <c r="BI231" s="170"/>
      <c r="BJ231" s="170"/>
      <c r="BK231" s="170"/>
      <c r="BL231" s="170"/>
      <c r="BM231" s="170"/>
      <c r="BN231" s="170"/>
      <c r="BO231" s="170"/>
      <c r="BP231" s="170"/>
      <c r="BQ231" s="170"/>
      <c r="BR231" s="170"/>
      <c r="BS231" s="170"/>
      <c r="BT231" s="170"/>
      <c r="BU231" s="170"/>
      <c r="BV231" s="170"/>
      <c r="BW231" s="170"/>
      <c r="BX231" s="170"/>
      <c r="BY231" s="170"/>
      <c r="BZ231" s="170"/>
      <c r="CA231" s="170"/>
      <c r="CB231" s="170"/>
      <c r="CC231" s="170"/>
      <c r="CD231" s="170"/>
      <c r="CE231" s="170"/>
      <c r="CF231" s="170"/>
      <c r="CG231" s="170"/>
      <c r="CH231" s="170"/>
      <c r="CI231" s="170"/>
      <c r="CJ231" s="170"/>
      <c r="CK231" s="170"/>
      <c r="CL231" s="170"/>
      <c r="CM231" s="170"/>
      <c r="CN231" s="170"/>
      <c r="CO231" s="170"/>
      <c r="CP231" s="170"/>
      <c r="CQ231" s="170"/>
      <c r="CR231" s="170"/>
      <c r="CS231" s="170"/>
      <c r="CT231" s="170"/>
      <c r="CU231" s="170"/>
      <c r="CV231" s="170"/>
      <c r="CW231" s="170"/>
      <c r="CX231" s="170"/>
      <c r="CY231" s="170"/>
      <c r="CZ231" s="170"/>
      <c r="DA231" s="170"/>
      <c r="DB231" s="170"/>
      <c r="DC231" s="170"/>
      <c r="DD231" s="170"/>
      <c r="DE231" s="170"/>
      <c r="DF231" s="170"/>
      <c r="DG231" s="170"/>
      <c r="DH231" s="170"/>
      <c r="DI231" s="170"/>
      <c r="DJ231" s="170"/>
      <c r="DK231" s="170"/>
      <c r="DL231" s="170"/>
      <c r="DM231" s="170"/>
      <c r="DN231" s="170"/>
      <c r="DO231" s="170"/>
      <c r="DP231" s="170"/>
      <c r="DQ231" s="170"/>
      <c r="DR231" s="170"/>
      <c r="DS231" s="170"/>
      <c r="DT231" s="170"/>
      <c r="DU231" s="170"/>
      <c r="DV231" s="170"/>
      <c r="DW231" s="170"/>
      <c r="DX231" s="170"/>
      <c r="DY231" s="170"/>
      <c r="DZ231" s="170"/>
      <c r="EA231" s="170"/>
      <c r="EB231" s="170"/>
      <c r="EC231" s="170"/>
      <c r="ED231" s="170"/>
      <c r="EE231" s="170"/>
      <c r="EF231" s="170"/>
      <c r="EG231" s="170"/>
      <c r="EH231" s="170"/>
      <c r="EI231" s="170"/>
      <c r="EJ231" s="170"/>
      <c r="EK231" s="170"/>
      <c r="EL231" s="170"/>
      <c r="EM231" s="170"/>
      <c r="EN231" s="170"/>
      <c r="EO231" s="170"/>
      <c r="EP231" s="170"/>
    </row>
    <row r="232" ht="15.75" customHeight="1">
      <c r="A232" s="170"/>
      <c r="B232" s="170"/>
      <c r="C232" s="170"/>
      <c r="D232" s="170"/>
      <c r="E232" s="170"/>
      <c r="F232" s="170"/>
      <c r="G232" s="170"/>
      <c r="H232" s="170"/>
      <c r="I232" s="170"/>
      <c r="J232" s="170"/>
      <c r="K232" s="170"/>
      <c r="L232" s="170"/>
      <c r="M232" s="170"/>
      <c r="N232" s="170"/>
      <c r="O232" s="170"/>
      <c r="P232" s="170"/>
      <c r="Q232" s="170"/>
      <c r="R232" s="170"/>
      <c r="S232" s="170"/>
      <c r="T232" s="170"/>
      <c r="U232" s="170"/>
      <c r="V232" s="170"/>
      <c r="W232" s="170"/>
      <c r="X232" s="170"/>
      <c r="Y232" s="170"/>
      <c r="Z232" s="170"/>
      <c r="AA232" s="170"/>
      <c r="AB232" s="170"/>
      <c r="AC232" s="170"/>
      <c r="AD232" s="170"/>
      <c r="AE232" s="170"/>
      <c r="AF232" s="170"/>
      <c r="AG232" s="170"/>
      <c r="AH232" s="170"/>
      <c r="AI232" s="170"/>
      <c r="AJ232" s="170"/>
      <c r="AK232" s="170"/>
      <c r="AL232" s="170"/>
      <c r="AM232" s="170"/>
      <c r="AN232" s="170"/>
      <c r="AO232" s="170"/>
      <c r="AP232" s="170"/>
      <c r="AQ232" s="170"/>
      <c r="AR232" s="170"/>
      <c r="AS232" s="170"/>
      <c r="AT232" s="170"/>
      <c r="AU232" s="170"/>
      <c r="AV232" s="170"/>
      <c r="AW232" s="170"/>
      <c r="AX232" s="170"/>
      <c r="AY232" s="170"/>
      <c r="AZ232" s="170"/>
      <c r="BA232" s="170"/>
      <c r="BB232" s="170"/>
      <c r="BC232" s="170"/>
      <c r="BD232" s="170"/>
      <c r="BE232" s="170"/>
      <c r="BF232" s="170"/>
      <c r="BG232" s="170"/>
      <c r="BH232" s="170"/>
      <c r="BI232" s="170"/>
      <c r="BJ232" s="170"/>
      <c r="BK232" s="170"/>
      <c r="BL232" s="170"/>
      <c r="BM232" s="170"/>
      <c r="BN232" s="170"/>
      <c r="BO232" s="170"/>
      <c r="BP232" s="170"/>
      <c r="BQ232" s="170"/>
      <c r="BR232" s="170"/>
      <c r="BS232" s="170"/>
      <c r="BT232" s="170"/>
      <c r="BU232" s="170"/>
      <c r="BV232" s="170"/>
      <c r="BW232" s="170"/>
      <c r="BX232" s="170"/>
      <c r="BY232" s="170"/>
      <c r="BZ232" s="170"/>
      <c r="CA232" s="170"/>
      <c r="CB232" s="170"/>
      <c r="CC232" s="170"/>
      <c r="CD232" s="170"/>
      <c r="CE232" s="170"/>
      <c r="CF232" s="170"/>
      <c r="CG232" s="170"/>
      <c r="CH232" s="170"/>
      <c r="CI232" s="170"/>
      <c r="CJ232" s="170"/>
      <c r="CK232" s="170"/>
      <c r="CL232" s="170"/>
      <c r="CM232" s="170"/>
      <c r="CN232" s="170"/>
      <c r="CO232" s="170"/>
      <c r="CP232" s="170"/>
      <c r="CQ232" s="170"/>
      <c r="CR232" s="170"/>
      <c r="CS232" s="170"/>
      <c r="CT232" s="170"/>
      <c r="CU232" s="170"/>
      <c r="CV232" s="170"/>
      <c r="CW232" s="170"/>
      <c r="CX232" s="170"/>
      <c r="CY232" s="170"/>
      <c r="CZ232" s="170"/>
      <c r="DA232" s="170"/>
      <c r="DB232" s="170"/>
      <c r="DC232" s="170"/>
      <c r="DD232" s="170"/>
      <c r="DE232" s="170"/>
      <c r="DF232" s="170"/>
      <c r="DG232" s="170"/>
      <c r="DH232" s="170"/>
      <c r="DI232" s="170"/>
      <c r="DJ232" s="170"/>
      <c r="DK232" s="170"/>
      <c r="DL232" s="170"/>
      <c r="DM232" s="170"/>
      <c r="DN232" s="170"/>
      <c r="DO232" s="170"/>
      <c r="DP232" s="170"/>
      <c r="DQ232" s="170"/>
      <c r="DR232" s="170"/>
      <c r="DS232" s="170"/>
      <c r="DT232" s="170"/>
      <c r="DU232" s="170"/>
      <c r="DV232" s="170"/>
      <c r="DW232" s="170"/>
      <c r="DX232" s="170"/>
      <c r="DY232" s="170"/>
      <c r="DZ232" s="170"/>
      <c r="EA232" s="170"/>
      <c r="EB232" s="170"/>
      <c r="EC232" s="170"/>
      <c r="ED232" s="170"/>
      <c r="EE232" s="170"/>
      <c r="EF232" s="170"/>
      <c r="EG232" s="170"/>
      <c r="EH232" s="170"/>
      <c r="EI232" s="170"/>
      <c r="EJ232" s="170"/>
      <c r="EK232" s="170"/>
      <c r="EL232" s="170"/>
      <c r="EM232" s="170"/>
      <c r="EN232" s="170"/>
      <c r="EO232" s="170"/>
      <c r="EP232" s="170"/>
    </row>
    <row r="233" ht="15.75" customHeight="1">
      <c r="A233" s="170"/>
      <c r="B233" s="170"/>
      <c r="C233" s="170"/>
      <c r="D233" s="170"/>
      <c r="E233" s="170"/>
      <c r="F233" s="170"/>
      <c r="G233" s="170"/>
      <c r="H233" s="170"/>
      <c r="I233" s="170"/>
      <c r="J233" s="170"/>
      <c r="K233" s="170"/>
      <c r="L233" s="170"/>
      <c r="M233" s="170"/>
      <c r="N233" s="170"/>
      <c r="O233" s="170"/>
      <c r="P233" s="170"/>
      <c r="Q233" s="170"/>
      <c r="R233" s="170"/>
      <c r="S233" s="170"/>
      <c r="T233" s="170"/>
      <c r="U233" s="170"/>
      <c r="V233" s="170"/>
      <c r="W233" s="170"/>
      <c r="X233" s="170"/>
      <c r="Y233" s="170"/>
      <c r="Z233" s="170"/>
      <c r="AA233" s="170"/>
      <c r="AB233" s="170"/>
      <c r="AC233" s="170"/>
      <c r="AD233" s="170"/>
      <c r="AE233" s="170"/>
      <c r="AF233" s="170"/>
      <c r="AG233" s="170"/>
      <c r="AH233" s="170"/>
      <c r="AI233" s="170"/>
      <c r="AJ233" s="170"/>
      <c r="AK233" s="170"/>
      <c r="AL233" s="170"/>
      <c r="AM233" s="170"/>
      <c r="AN233" s="170"/>
      <c r="AO233" s="170"/>
      <c r="AP233" s="170"/>
      <c r="AQ233" s="170"/>
      <c r="AR233" s="170"/>
      <c r="AS233" s="170"/>
      <c r="AT233" s="170"/>
      <c r="AU233" s="170"/>
      <c r="AV233" s="170"/>
      <c r="AW233" s="170"/>
      <c r="AX233" s="170"/>
      <c r="AY233" s="170"/>
      <c r="AZ233" s="170"/>
      <c r="BA233" s="170"/>
      <c r="BB233" s="170"/>
      <c r="BC233" s="170"/>
      <c r="BD233" s="170"/>
      <c r="BE233" s="170"/>
      <c r="BF233" s="170"/>
      <c r="BG233" s="170"/>
      <c r="BH233" s="170"/>
      <c r="BI233" s="170"/>
      <c r="BJ233" s="170"/>
      <c r="BK233" s="170"/>
      <c r="BL233" s="170"/>
      <c r="BM233" s="170"/>
      <c r="BN233" s="170"/>
      <c r="BO233" s="170"/>
      <c r="BP233" s="170"/>
      <c r="BQ233" s="170"/>
      <c r="BR233" s="170"/>
      <c r="BS233" s="170"/>
      <c r="BT233" s="170"/>
      <c r="BU233" s="170"/>
      <c r="BV233" s="170"/>
      <c r="BW233" s="170"/>
      <c r="BX233" s="170"/>
      <c r="BY233" s="170"/>
      <c r="BZ233" s="170"/>
      <c r="CA233" s="170"/>
      <c r="CB233" s="170"/>
      <c r="CC233" s="170"/>
      <c r="CD233" s="170"/>
      <c r="CE233" s="170"/>
      <c r="CF233" s="170"/>
      <c r="CG233" s="170"/>
      <c r="CH233" s="170"/>
      <c r="CI233" s="170"/>
      <c r="CJ233" s="170"/>
      <c r="CK233" s="170"/>
      <c r="CL233" s="170"/>
      <c r="CM233" s="170"/>
      <c r="CN233" s="170"/>
      <c r="CO233" s="170"/>
      <c r="CP233" s="170"/>
      <c r="CQ233" s="170"/>
      <c r="CR233" s="170"/>
      <c r="CS233" s="170"/>
      <c r="CT233" s="170"/>
      <c r="CU233" s="170"/>
      <c r="CV233" s="170"/>
      <c r="CW233" s="170"/>
      <c r="CX233" s="170"/>
      <c r="CY233" s="170"/>
      <c r="CZ233" s="170"/>
      <c r="DA233" s="170"/>
      <c r="DB233" s="170"/>
      <c r="DC233" s="170"/>
      <c r="DD233" s="170"/>
      <c r="DE233" s="170"/>
      <c r="DF233" s="170"/>
      <c r="DG233" s="170"/>
      <c r="DH233" s="170"/>
      <c r="DI233" s="170"/>
      <c r="DJ233" s="170"/>
      <c r="DK233" s="170"/>
      <c r="DL233" s="170"/>
      <c r="DM233" s="170"/>
      <c r="DN233" s="170"/>
      <c r="DO233" s="170"/>
      <c r="DP233" s="170"/>
      <c r="DQ233" s="170"/>
      <c r="DR233" s="170"/>
      <c r="DS233" s="170"/>
      <c r="DT233" s="170"/>
      <c r="DU233" s="170"/>
      <c r="DV233" s="170"/>
      <c r="DW233" s="170"/>
      <c r="DX233" s="170"/>
      <c r="DY233" s="170"/>
      <c r="DZ233" s="170"/>
      <c r="EA233" s="170"/>
      <c r="EB233" s="170"/>
      <c r="EC233" s="170"/>
      <c r="ED233" s="170"/>
      <c r="EE233" s="170"/>
      <c r="EF233" s="170"/>
      <c r="EG233" s="170"/>
      <c r="EH233" s="170"/>
      <c r="EI233" s="170"/>
      <c r="EJ233" s="170"/>
      <c r="EK233" s="170"/>
      <c r="EL233" s="170"/>
      <c r="EM233" s="170"/>
      <c r="EN233" s="170"/>
      <c r="EO233" s="170"/>
      <c r="EP233" s="170"/>
    </row>
    <row r="234" ht="15.75" customHeight="1">
      <c r="A234" s="170"/>
      <c r="B234" s="170"/>
      <c r="C234" s="170"/>
      <c r="D234" s="170"/>
      <c r="E234" s="170"/>
      <c r="F234" s="170"/>
      <c r="G234" s="170"/>
      <c r="H234" s="170"/>
      <c r="I234" s="170"/>
      <c r="J234" s="170"/>
      <c r="K234" s="170"/>
      <c r="L234" s="170"/>
      <c r="M234" s="170"/>
      <c r="N234" s="170"/>
      <c r="O234" s="170"/>
      <c r="P234" s="170"/>
      <c r="Q234" s="170"/>
      <c r="R234" s="170"/>
      <c r="S234" s="170"/>
      <c r="T234" s="170"/>
      <c r="U234" s="170"/>
      <c r="V234" s="170"/>
      <c r="W234" s="170"/>
      <c r="X234" s="170"/>
      <c r="Y234" s="170"/>
      <c r="Z234" s="170"/>
      <c r="AA234" s="170"/>
      <c r="AB234" s="170"/>
      <c r="AC234" s="170"/>
      <c r="AD234" s="170"/>
      <c r="AE234" s="170"/>
      <c r="AF234" s="170"/>
      <c r="AG234" s="170"/>
      <c r="AH234" s="170"/>
      <c r="AI234" s="170"/>
      <c r="AJ234" s="170"/>
      <c r="AK234" s="170"/>
      <c r="AL234" s="170"/>
      <c r="AM234" s="170"/>
      <c r="AN234" s="170"/>
      <c r="AO234" s="170"/>
      <c r="AP234" s="170"/>
      <c r="AQ234" s="170"/>
      <c r="AR234" s="170"/>
      <c r="AS234" s="170"/>
      <c r="AT234" s="170"/>
      <c r="AU234" s="170"/>
      <c r="AV234" s="170"/>
      <c r="AW234" s="170"/>
      <c r="AX234" s="170"/>
      <c r="AY234" s="170"/>
      <c r="AZ234" s="170"/>
      <c r="BA234" s="170"/>
      <c r="BB234" s="170"/>
      <c r="BC234" s="170"/>
      <c r="BD234" s="170"/>
      <c r="BE234" s="170"/>
      <c r="BF234" s="170"/>
      <c r="BG234" s="170"/>
      <c r="BH234" s="170"/>
      <c r="BI234" s="170"/>
      <c r="BJ234" s="170"/>
      <c r="BK234" s="170"/>
      <c r="BL234" s="170"/>
      <c r="BM234" s="170"/>
      <c r="BN234" s="170"/>
      <c r="BO234" s="170"/>
      <c r="BP234" s="170"/>
      <c r="BQ234" s="170"/>
      <c r="BR234" s="170"/>
      <c r="BS234" s="170"/>
      <c r="BT234" s="170"/>
      <c r="BU234" s="170"/>
      <c r="BV234" s="170"/>
      <c r="BW234" s="170"/>
      <c r="BX234" s="170"/>
      <c r="BY234" s="170"/>
      <c r="BZ234" s="170"/>
      <c r="CA234" s="170"/>
      <c r="CB234" s="170"/>
      <c r="CC234" s="170"/>
      <c r="CD234" s="170"/>
      <c r="CE234" s="170"/>
      <c r="CF234" s="170"/>
      <c r="CG234" s="170"/>
      <c r="CH234" s="170"/>
      <c r="CI234" s="170"/>
      <c r="CJ234" s="170"/>
      <c r="CK234" s="170"/>
      <c r="CL234" s="170"/>
      <c r="CM234" s="170"/>
      <c r="CN234" s="170"/>
      <c r="CO234" s="170"/>
      <c r="CP234" s="170"/>
      <c r="CQ234" s="170"/>
      <c r="CR234" s="170"/>
      <c r="CS234" s="170"/>
      <c r="CT234" s="170"/>
      <c r="CU234" s="170"/>
      <c r="CV234" s="170"/>
      <c r="CW234" s="170"/>
      <c r="CX234" s="170"/>
      <c r="CY234" s="170"/>
      <c r="CZ234" s="170"/>
      <c r="DA234" s="170"/>
      <c r="DB234" s="170"/>
      <c r="DC234" s="170"/>
      <c r="DD234" s="170"/>
      <c r="DE234" s="170"/>
      <c r="DF234" s="170"/>
      <c r="DG234" s="170"/>
      <c r="DH234" s="170"/>
      <c r="DI234" s="170"/>
      <c r="DJ234" s="170"/>
      <c r="DK234" s="170"/>
      <c r="DL234" s="170"/>
      <c r="DM234" s="170"/>
      <c r="DN234" s="170"/>
      <c r="DO234" s="170"/>
      <c r="DP234" s="170"/>
      <c r="DQ234" s="170"/>
      <c r="DR234" s="170"/>
      <c r="DS234" s="170"/>
      <c r="DT234" s="170"/>
      <c r="DU234" s="170"/>
      <c r="DV234" s="170"/>
      <c r="DW234" s="170"/>
      <c r="DX234" s="170"/>
      <c r="DY234" s="170"/>
      <c r="DZ234" s="170"/>
      <c r="EA234" s="170"/>
      <c r="EB234" s="170"/>
      <c r="EC234" s="170"/>
      <c r="ED234" s="170"/>
      <c r="EE234" s="170"/>
      <c r="EF234" s="170"/>
      <c r="EG234" s="170"/>
      <c r="EH234" s="170"/>
      <c r="EI234" s="170"/>
      <c r="EJ234" s="170"/>
      <c r="EK234" s="170"/>
      <c r="EL234" s="170"/>
      <c r="EM234" s="170"/>
      <c r="EN234" s="170"/>
      <c r="EO234" s="170"/>
      <c r="EP234" s="170"/>
    </row>
    <row r="235" ht="15.75" customHeight="1">
      <c r="A235" s="170"/>
      <c r="B235" s="170"/>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c r="Y235" s="170"/>
      <c r="Z235" s="170"/>
      <c r="AA235" s="170"/>
      <c r="AB235" s="170"/>
      <c r="AC235" s="170"/>
      <c r="AD235" s="170"/>
      <c r="AE235" s="170"/>
      <c r="AF235" s="170"/>
      <c r="AG235" s="170"/>
      <c r="AH235" s="170"/>
      <c r="AI235" s="170"/>
      <c r="AJ235" s="170"/>
      <c r="AK235" s="170"/>
      <c r="AL235" s="170"/>
      <c r="AM235" s="170"/>
      <c r="AN235" s="170"/>
      <c r="AO235" s="170"/>
      <c r="AP235" s="170"/>
      <c r="AQ235" s="170"/>
      <c r="AR235" s="170"/>
      <c r="AS235" s="170"/>
      <c r="AT235" s="170"/>
      <c r="AU235" s="170"/>
      <c r="AV235" s="170"/>
      <c r="AW235" s="170"/>
      <c r="AX235" s="170"/>
      <c r="AY235" s="170"/>
      <c r="AZ235" s="170"/>
      <c r="BA235" s="170"/>
      <c r="BB235" s="170"/>
      <c r="BC235" s="170"/>
      <c r="BD235" s="170"/>
      <c r="BE235" s="170"/>
      <c r="BF235" s="170"/>
      <c r="BG235" s="170"/>
      <c r="BH235" s="170"/>
      <c r="BI235" s="170"/>
      <c r="BJ235" s="170"/>
      <c r="BK235" s="170"/>
      <c r="BL235" s="170"/>
      <c r="BM235" s="170"/>
      <c r="BN235" s="170"/>
      <c r="BO235" s="170"/>
      <c r="BP235" s="170"/>
      <c r="BQ235" s="170"/>
      <c r="BR235" s="170"/>
      <c r="BS235" s="170"/>
      <c r="BT235" s="170"/>
      <c r="BU235" s="170"/>
      <c r="BV235" s="170"/>
      <c r="BW235" s="170"/>
      <c r="BX235" s="170"/>
      <c r="BY235" s="170"/>
      <c r="BZ235" s="170"/>
      <c r="CA235" s="170"/>
      <c r="CB235" s="170"/>
      <c r="CC235" s="170"/>
      <c r="CD235" s="170"/>
      <c r="CE235" s="170"/>
      <c r="CF235" s="170"/>
      <c r="CG235" s="170"/>
      <c r="CH235" s="170"/>
      <c r="CI235" s="170"/>
      <c r="CJ235" s="170"/>
      <c r="CK235" s="170"/>
      <c r="CL235" s="170"/>
      <c r="CM235" s="170"/>
      <c r="CN235" s="170"/>
      <c r="CO235" s="170"/>
      <c r="CP235" s="170"/>
      <c r="CQ235" s="170"/>
      <c r="CR235" s="170"/>
      <c r="CS235" s="170"/>
      <c r="CT235" s="170"/>
      <c r="CU235" s="170"/>
      <c r="CV235" s="170"/>
      <c r="CW235" s="170"/>
      <c r="CX235" s="170"/>
      <c r="CY235" s="170"/>
      <c r="CZ235" s="170"/>
      <c r="DA235" s="170"/>
      <c r="DB235" s="170"/>
      <c r="DC235" s="170"/>
      <c r="DD235" s="170"/>
      <c r="DE235" s="170"/>
      <c r="DF235" s="170"/>
      <c r="DG235" s="170"/>
      <c r="DH235" s="170"/>
      <c r="DI235" s="170"/>
      <c r="DJ235" s="170"/>
      <c r="DK235" s="170"/>
      <c r="DL235" s="170"/>
      <c r="DM235" s="170"/>
      <c r="DN235" s="170"/>
      <c r="DO235" s="170"/>
      <c r="DP235" s="170"/>
      <c r="DQ235" s="170"/>
      <c r="DR235" s="170"/>
      <c r="DS235" s="170"/>
      <c r="DT235" s="170"/>
      <c r="DU235" s="170"/>
      <c r="DV235" s="170"/>
      <c r="DW235" s="170"/>
      <c r="DX235" s="170"/>
      <c r="DY235" s="170"/>
      <c r="DZ235" s="170"/>
      <c r="EA235" s="170"/>
      <c r="EB235" s="170"/>
      <c r="EC235" s="170"/>
      <c r="ED235" s="170"/>
      <c r="EE235" s="170"/>
      <c r="EF235" s="170"/>
      <c r="EG235" s="170"/>
      <c r="EH235" s="170"/>
      <c r="EI235" s="170"/>
      <c r="EJ235" s="170"/>
      <c r="EK235" s="170"/>
      <c r="EL235" s="170"/>
      <c r="EM235" s="170"/>
      <c r="EN235" s="170"/>
      <c r="EO235" s="170"/>
      <c r="EP235" s="170"/>
    </row>
    <row r="236" ht="15.75" customHeight="1">
      <c r="A236" s="170"/>
      <c r="B236" s="170"/>
      <c r="C236" s="170"/>
      <c r="D236" s="170"/>
      <c r="E236" s="170"/>
      <c r="F236" s="170"/>
      <c r="G236" s="170"/>
      <c r="H236" s="170"/>
      <c r="I236" s="170"/>
      <c r="J236" s="170"/>
      <c r="K236" s="170"/>
      <c r="L236" s="170"/>
      <c r="M236" s="170"/>
      <c r="N236" s="170"/>
      <c r="O236" s="170"/>
      <c r="P236" s="170"/>
      <c r="Q236" s="170"/>
      <c r="R236" s="170"/>
      <c r="S236" s="170"/>
      <c r="T236" s="170"/>
      <c r="U236" s="170"/>
      <c r="V236" s="170"/>
      <c r="W236" s="170"/>
      <c r="X236" s="170"/>
      <c r="Y236" s="170"/>
      <c r="Z236" s="170"/>
      <c r="AA236" s="170"/>
      <c r="AB236" s="170"/>
      <c r="AC236" s="170"/>
      <c r="AD236" s="170"/>
      <c r="AE236" s="170"/>
      <c r="AF236" s="170"/>
      <c r="AG236" s="170"/>
      <c r="AH236" s="170"/>
      <c r="AI236" s="170"/>
      <c r="AJ236" s="170"/>
      <c r="AK236" s="170"/>
      <c r="AL236" s="170"/>
      <c r="AM236" s="170"/>
      <c r="AN236" s="170"/>
      <c r="AO236" s="170"/>
      <c r="AP236" s="170"/>
      <c r="AQ236" s="170"/>
      <c r="AR236" s="170"/>
      <c r="AS236" s="170"/>
      <c r="AT236" s="170"/>
      <c r="AU236" s="170"/>
      <c r="AV236" s="170"/>
      <c r="AW236" s="170"/>
      <c r="AX236" s="170"/>
      <c r="AY236" s="170"/>
      <c r="AZ236" s="170"/>
      <c r="BA236" s="170"/>
      <c r="BB236" s="170"/>
      <c r="BC236" s="170"/>
      <c r="BD236" s="170"/>
      <c r="BE236" s="170"/>
      <c r="BF236" s="170"/>
      <c r="BG236" s="170"/>
      <c r="BH236" s="170"/>
      <c r="BI236" s="170"/>
      <c r="BJ236" s="170"/>
      <c r="BK236" s="170"/>
      <c r="BL236" s="170"/>
      <c r="BM236" s="170"/>
      <c r="BN236" s="170"/>
      <c r="BO236" s="170"/>
      <c r="BP236" s="170"/>
      <c r="BQ236" s="170"/>
      <c r="BR236" s="170"/>
      <c r="BS236" s="170"/>
      <c r="BT236" s="170"/>
      <c r="BU236" s="170"/>
      <c r="BV236" s="170"/>
      <c r="BW236" s="170"/>
      <c r="BX236" s="170"/>
      <c r="BY236" s="170"/>
      <c r="BZ236" s="170"/>
      <c r="CA236" s="170"/>
      <c r="CB236" s="170"/>
      <c r="CC236" s="170"/>
      <c r="CD236" s="170"/>
      <c r="CE236" s="170"/>
      <c r="CF236" s="170"/>
      <c r="CG236" s="170"/>
      <c r="CH236" s="170"/>
      <c r="CI236" s="170"/>
      <c r="CJ236" s="170"/>
      <c r="CK236" s="170"/>
      <c r="CL236" s="170"/>
      <c r="CM236" s="170"/>
      <c r="CN236" s="170"/>
      <c r="CO236" s="170"/>
      <c r="CP236" s="170"/>
      <c r="CQ236" s="170"/>
      <c r="CR236" s="170"/>
      <c r="CS236" s="170"/>
      <c r="CT236" s="170"/>
      <c r="CU236" s="170"/>
      <c r="CV236" s="170"/>
      <c r="CW236" s="170"/>
      <c r="CX236" s="170"/>
      <c r="CY236" s="170"/>
      <c r="CZ236" s="170"/>
      <c r="DA236" s="170"/>
      <c r="DB236" s="170"/>
      <c r="DC236" s="170"/>
      <c r="DD236" s="170"/>
      <c r="DE236" s="170"/>
      <c r="DF236" s="170"/>
      <c r="DG236" s="170"/>
      <c r="DH236" s="170"/>
      <c r="DI236" s="170"/>
      <c r="DJ236" s="170"/>
      <c r="DK236" s="170"/>
      <c r="DL236" s="170"/>
      <c r="DM236" s="170"/>
      <c r="DN236" s="170"/>
      <c r="DO236" s="170"/>
      <c r="DP236" s="170"/>
      <c r="DQ236" s="170"/>
      <c r="DR236" s="170"/>
      <c r="DS236" s="170"/>
      <c r="DT236" s="170"/>
      <c r="DU236" s="170"/>
      <c r="DV236" s="170"/>
      <c r="DW236" s="170"/>
      <c r="DX236" s="170"/>
      <c r="DY236" s="170"/>
      <c r="DZ236" s="170"/>
      <c r="EA236" s="170"/>
      <c r="EB236" s="170"/>
      <c r="EC236" s="170"/>
      <c r="ED236" s="170"/>
      <c r="EE236" s="170"/>
      <c r="EF236" s="170"/>
      <c r="EG236" s="170"/>
      <c r="EH236" s="170"/>
      <c r="EI236" s="170"/>
      <c r="EJ236" s="170"/>
      <c r="EK236" s="170"/>
      <c r="EL236" s="170"/>
      <c r="EM236" s="170"/>
      <c r="EN236" s="170"/>
      <c r="EO236" s="170"/>
      <c r="EP236" s="170"/>
    </row>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7.13"/>
    <col customWidth="1" min="2" max="2" width="14.38"/>
    <col customWidth="1" min="3" max="3" width="2.63"/>
    <col customWidth="1" min="4" max="51" width="14.38"/>
  </cols>
  <sheetData>
    <row r="1" ht="22.5" customHeight="1">
      <c r="A1" s="36" t="s">
        <v>413</v>
      </c>
      <c r="B1" s="135" t="s">
        <v>238</v>
      </c>
      <c r="C1" s="135"/>
      <c r="D1" s="37">
        <v>43101.0</v>
      </c>
      <c r="E1" s="37">
        <v>43132.0</v>
      </c>
      <c r="F1" s="37">
        <v>43160.0</v>
      </c>
      <c r="G1" s="37">
        <v>43191.0</v>
      </c>
      <c r="H1" s="37">
        <v>43221.0</v>
      </c>
      <c r="I1" s="37">
        <v>43252.0</v>
      </c>
      <c r="J1" s="37">
        <v>43282.0</v>
      </c>
      <c r="K1" s="37">
        <v>43313.0</v>
      </c>
      <c r="L1" s="37">
        <v>43344.0</v>
      </c>
      <c r="M1" s="37">
        <v>43374.0</v>
      </c>
      <c r="N1" s="37">
        <v>43405.0</v>
      </c>
      <c r="O1" s="37">
        <v>43435.0</v>
      </c>
      <c r="P1" s="37">
        <v>43466.0</v>
      </c>
      <c r="Q1" s="37">
        <v>43497.0</v>
      </c>
      <c r="R1" s="37">
        <v>43525.0</v>
      </c>
      <c r="S1" s="37">
        <v>43556.0</v>
      </c>
      <c r="T1" s="37">
        <v>43586.0</v>
      </c>
      <c r="U1" s="37">
        <v>43617.0</v>
      </c>
      <c r="V1" s="37">
        <v>43647.0</v>
      </c>
      <c r="W1" s="37">
        <v>43678.0</v>
      </c>
      <c r="X1" s="37">
        <v>43709.0</v>
      </c>
      <c r="Y1" s="37">
        <v>43739.0</v>
      </c>
      <c r="Z1" s="37">
        <v>43770.0</v>
      </c>
      <c r="AA1" s="37">
        <v>43800.0</v>
      </c>
      <c r="AB1" s="37">
        <v>43831.0</v>
      </c>
      <c r="AC1" s="37">
        <v>43862.0</v>
      </c>
      <c r="AD1" s="37">
        <v>43891.0</v>
      </c>
      <c r="AE1" s="37">
        <v>43922.0</v>
      </c>
      <c r="AF1" s="37">
        <v>43952.0</v>
      </c>
      <c r="AG1" s="37">
        <v>43983.0</v>
      </c>
      <c r="AH1" s="37">
        <v>44013.0</v>
      </c>
      <c r="AI1" s="37">
        <v>44044.0</v>
      </c>
      <c r="AJ1" s="37">
        <v>44075.0</v>
      </c>
      <c r="AK1" s="37">
        <v>44105.0</v>
      </c>
      <c r="AL1" s="37">
        <v>44136.0</v>
      </c>
      <c r="AM1" s="37">
        <v>44166.0</v>
      </c>
      <c r="AN1" s="37">
        <v>44197.0</v>
      </c>
      <c r="AO1" s="37">
        <v>44228.0</v>
      </c>
      <c r="AP1" s="37">
        <v>44256.0</v>
      </c>
      <c r="AQ1" s="37">
        <v>44287.0</v>
      </c>
      <c r="AR1" s="37">
        <v>44317.0</v>
      </c>
      <c r="AS1" s="37">
        <v>44348.0</v>
      </c>
      <c r="AT1" s="37">
        <v>44378.0</v>
      </c>
      <c r="AU1" s="37">
        <v>44409.0</v>
      </c>
      <c r="AV1" s="37">
        <v>44440.0</v>
      </c>
      <c r="AW1" s="37">
        <v>44470.0</v>
      </c>
      <c r="AX1" s="37">
        <v>44501.0</v>
      </c>
      <c r="AY1" s="37">
        <v>44531.0</v>
      </c>
    </row>
    <row r="2" ht="15.75" customHeight="1">
      <c r="A2" s="7" t="s">
        <v>239</v>
      </c>
      <c r="B2" s="159"/>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ht="15.75" customHeight="1">
      <c r="A3" s="31" t="s">
        <v>241</v>
      </c>
      <c r="B3" s="159"/>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row>
    <row r="4" ht="15.75" customHeight="1">
      <c r="A4" s="1" t="s">
        <v>242</v>
      </c>
      <c r="B4" s="160">
        <v>686204.6666666666</v>
      </c>
      <c r="C4" s="1"/>
      <c r="D4" s="76">
        <v>303373.0</v>
      </c>
      <c r="E4" s="76">
        <v>321057.0</v>
      </c>
      <c r="F4" s="76">
        <v>340521.0</v>
      </c>
      <c r="G4" s="76">
        <v>360770.0</v>
      </c>
      <c r="H4" s="76">
        <v>386024.0</v>
      </c>
      <c r="I4" s="76">
        <v>401465.0</v>
      </c>
      <c r="J4" s="76">
        <v>424939.0</v>
      </c>
      <c r="K4" s="76">
        <v>438925.0</v>
      </c>
      <c r="L4" s="76">
        <v>452768.0</v>
      </c>
      <c r="M4" s="76">
        <v>465957.0</v>
      </c>
      <c r="N4" s="76">
        <v>479118.0</v>
      </c>
      <c r="O4" s="76">
        <v>491501.0</v>
      </c>
      <c r="P4" s="76">
        <v>505058.0</v>
      </c>
      <c r="Q4" s="76">
        <v>525437.0</v>
      </c>
      <c r="R4" s="76">
        <v>542733.0</v>
      </c>
      <c r="S4" s="76">
        <v>598887.0</v>
      </c>
      <c r="T4" s="76">
        <v>614053.0</v>
      </c>
      <c r="U4" s="76">
        <v>637488.0</v>
      </c>
      <c r="V4" s="76">
        <v>657516.0</v>
      </c>
      <c r="W4" s="76">
        <v>685483.0</v>
      </c>
      <c r="X4" s="76">
        <v>715615.0</v>
      </c>
      <c r="Y4" s="96">
        <v>733085.8550515509</v>
      </c>
      <c r="Z4" s="96">
        <v>755452.3633821058</v>
      </c>
      <c r="AA4" s="96">
        <v>777089.137708845</v>
      </c>
      <c r="AB4" s="96">
        <v>798842.7476428507</v>
      </c>
      <c r="AC4" s="96">
        <v>820160.9929489999</v>
      </c>
      <c r="AD4" s="96">
        <v>841306.6032731872</v>
      </c>
      <c r="AE4" s="96">
        <v>862039.1991951385</v>
      </c>
      <c r="AF4" s="96">
        <v>882494.2770528236</v>
      </c>
      <c r="AG4" s="96">
        <v>904725.0885015742</v>
      </c>
      <c r="AH4" s="96">
        <v>926611.5340597169</v>
      </c>
      <c r="AI4" s="96">
        <v>948189.3869457918</v>
      </c>
      <c r="AJ4" s="96">
        <v>969459.1116398274</v>
      </c>
      <c r="AK4" s="96">
        <v>990420.050151143</v>
      </c>
      <c r="AL4" s="96">
        <v>1011084.1739220829</v>
      </c>
      <c r="AM4" s="96">
        <v>1031455.1092876518</v>
      </c>
      <c r="AN4" s="96">
        <v>1053588.1505530975</v>
      </c>
      <c r="AO4" s="96">
        <v>1075406.7487353184</v>
      </c>
      <c r="AP4" s="96">
        <v>1096916.273473845</v>
      </c>
      <c r="AQ4" s="96">
        <v>1118122.4848676606</v>
      </c>
      <c r="AR4" s="96">
        <v>1139031.2972662568</v>
      </c>
      <c r="AS4" s="96">
        <v>1159648.1697537834</v>
      </c>
      <c r="AT4" s="96">
        <v>1182029.1804724927</v>
      </c>
      <c r="AU4" s="96">
        <v>1204096.5761548781</v>
      </c>
      <c r="AV4" s="96">
        <v>1225856.2213891607</v>
      </c>
      <c r="AW4" s="96">
        <v>1247313.9055127318</v>
      </c>
      <c r="AX4" s="96">
        <v>1268475.3069442825</v>
      </c>
      <c r="AY4" s="96">
        <v>1291396.5664590835</v>
      </c>
    </row>
    <row r="5" ht="15.75" customHeight="1">
      <c r="A5" s="21" t="s">
        <v>243</v>
      </c>
      <c r="B5" s="161"/>
      <c r="C5" s="157"/>
      <c r="D5" s="157">
        <v>303373.0</v>
      </c>
      <c r="E5" s="157">
        <v>321057.0</v>
      </c>
      <c r="F5" s="157">
        <v>340521.0</v>
      </c>
      <c r="G5" s="157">
        <v>360770.0</v>
      </c>
      <c r="H5" s="157">
        <v>386024.0</v>
      </c>
      <c r="I5" s="157">
        <v>401465.0</v>
      </c>
      <c r="J5" s="157">
        <v>424939.0</v>
      </c>
      <c r="K5" s="157">
        <v>438925.0</v>
      </c>
      <c r="L5" s="157">
        <v>452768.0</v>
      </c>
      <c r="M5" s="157">
        <v>465957.0</v>
      </c>
      <c r="N5" s="157">
        <v>479118.0</v>
      </c>
      <c r="O5" s="157">
        <v>491501.0</v>
      </c>
      <c r="P5" s="157">
        <v>505058.0</v>
      </c>
      <c r="Q5" s="157">
        <v>525437.0</v>
      </c>
      <c r="R5" s="157">
        <v>542733.0</v>
      </c>
      <c r="S5" s="157">
        <v>598887.0</v>
      </c>
      <c r="T5" s="157">
        <v>614053.0</v>
      </c>
      <c r="U5" s="157">
        <v>637488.0</v>
      </c>
      <c r="V5" s="157">
        <v>657516.0</v>
      </c>
      <c r="W5" s="157">
        <v>685483.0</v>
      </c>
      <c r="X5" s="157">
        <v>715615.0</v>
      </c>
      <c r="Y5" s="157">
        <v>733085.8550515509</v>
      </c>
      <c r="Z5" s="157">
        <v>755452.3633821058</v>
      </c>
      <c r="AA5" s="157">
        <v>777089.137708845</v>
      </c>
      <c r="AB5" s="157">
        <v>798842.7476428507</v>
      </c>
      <c r="AC5" s="157">
        <v>820160.9929489999</v>
      </c>
      <c r="AD5" s="157">
        <v>841306.6032731872</v>
      </c>
      <c r="AE5" s="157">
        <v>862039.1991951385</v>
      </c>
      <c r="AF5" s="157">
        <v>882494.2770528236</v>
      </c>
      <c r="AG5" s="157">
        <v>904725.0885015742</v>
      </c>
      <c r="AH5" s="157">
        <v>926611.5340597169</v>
      </c>
      <c r="AI5" s="157">
        <v>948189.3869457918</v>
      </c>
      <c r="AJ5" s="157">
        <v>969459.1116398274</v>
      </c>
      <c r="AK5" s="157">
        <v>990420.050151143</v>
      </c>
      <c r="AL5" s="157">
        <v>1011084.1739220829</v>
      </c>
      <c r="AM5" s="157">
        <v>1031455.1092876518</v>
      </c>
      <c r="AN5" s="157">
        <v>1053588.1505530975</v>
      </c>
      <c r="AO5" s="157">
        <v>1075406.7487353184</v>
      </c>
      <c r="AP5" s="157">
        <v>1096916.273473845</v>
      </c>
      <c r="AQ5" s="157">
        <v>1118122.4848676606</v>
      </c>
      <c r="AR5" s="157">
        <v>1139031.2972662568</v>
      </c>
      <c r="AS5" s="157">
        <v>1159648.1697537834</v>
      </c>
      <c r="AT5" s="157">
        <v>1182029.1804724927</v>
      </c>
      <c r="AU5" s="157">
        <v>1204096.5761548781</v>
      </c>
      <c r="AV5" s="157">
        <v>1225856.2213891607</v>
      </c>
      <c r="AW5" s="157">
        <v>1247313.9055127318</v>
      </c>
      <c r="AX5" s="157">
        <v>1268475.3069442825</v>
      </c>
      <c r="AY5" s="157">
        <v>1291396.5664590835</v>
      </c>
    </row>
    <row r="6" ht="15.75" customHeight="1">
      <c r="A6" s="31" t="s">
        <v>244</v>
      </c>
      <c r="B6" s="159"/>
      <c r="C6" s="1"/>
      <c r="D6" s="76">
        <v>0.0</v>
      </c>
      <c r="E6" s="76">
        <v>0.0</v>
      </c>
      <c r="F6" s="76">
        <v>0.0</v>
      </c>
      <c r="G6" s="76">
        <v>0.0</v>
      </c>
      <c r="H6" s="76">
        <v>0.0</v>
      </c>
      <c r="I6" s="76">
        <v>0.0</v>
      </c>
      <c r="J6" s="76">
        <v>0.0</v>
      </c>
      <c r="K6" s="76">
        <v>0.0</v>
      </c>
      <c r="L6" s="76">
        <v>0.0</v>
      </c>
      <c r="M6" s="76">
        <v>0.0</v>
      </c>
      <c r="N6" s="76">
        <v>0.0</v>
      </c>
      <c r="O6" s="76">
        <v>0.0</v>
      </c>
      <c r="P6" s="76">
        <v>0.0</v>
      </c>
      <c r="Q6" s="76">
        <v>0.0</v>
      </c>
      <c r="R6" s="76">
        <v>0.0</v>
      </c>
      <c r="S6" s="76">
        <v>0.0</v>
      </c>
      <c r="T6" s="76">
        <v>0.0</v>
      </c>
      <c r="U6" s="76">
        <v>0.0</v>
      </c>
      <c r="V6" s="76">
        <v>0.0</v>
      </c>
      <c r="W6" s="76">
        <v>0.0</v>
      </c>
      <c r="X6" s="76">
        <v>0.0</v>
      </c>
      <c r="Y6" s="1"/>
      <c r="Z6" s="1"/>
      <c r="AA6" s="1"/>
      <c r="AB6" s="1"/>
      <c r="AC6" s="1"/>
      <c r="AD6" s="1"/>
      <c r="AE6" s="1"/>
      <c r="AF6" s="1"/>
      <c r="AG6" s="1"/>
      <c r="AH6" s="1"/>
      <c r="AI6" s="1"/>
      <c r="AJ6" s="1"/>
      <c r="AK6" s="1"/>
      <c r="AL6" s="1"/>
      <c r="AM6" s="1"/>
      <c r="AN6" s="1"/>
      <c r="AO6" s="1"/>
      <c r="AP6" s="1"/>
      <c r="AQ6" s="1"/>
      <c r="AR6" s="1"/>
      <c r="AS6" s="1"/>
      <c r="AT6" s="1"/>
      <c r="AU6" s="1"/>
      <c r="AV6" s="1"/>
      <c r="AW6" s="1"/>
      <c r="AX6" s="1"/>
      <c r="AY6" s="1"/>
    </row>
    <row r="7" ht="15.75" customHeight="1">
      <c r="A7" s="31" t="s">
        <v>245</v>
      </c>
      <c r="B7" s="159"/>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row>
    <row r="8" ht="15.75" customHeight="1">
      <c r="A8" s="1" t="s">
        <v>246</v>
      </c>
      <c r="B8" s="159"/>
      <c r="C8" s="1"/>
      <c r="D8" s="76"/>
      <c r="E8" s="76"/>
      <c r="F8" s="76"/>
      <c r="G8" s="76"/>
      <c r="H8" s="76"/>
      <c r="I8" s="76"/>
      <c r="J8" s="76"/>
      <c r="K8" s="76"/>
      <c r="L8" s="76"/>
      <c r="M8" s="76"/>
      <c r="N8" s="76"/>
      <c r="O8" s="76"/>
      <c r="P8" s="76"/>
      <c r="Q8" s="76"/>
      <c r="R8" s="76"/>
      <c r="S8" s="76"/>
      <c r="T8" s="76"/>
      <c r="U8" s="76"/>
      <c r="V8" s="76"/>
      <c r="W8" s="76"/>
      <c r="X8" s="76"/>
      <c r="Y8" s="1"/>
      <c r="Z8" s="1"/>
      <c r="AA8" s="1"/>
      <c r="AB8" s="1"/>
      <c r="AC8" s="1"/>
      <c r="AD8" s="1"/>
      <c r="AE8" s="1"/>
      <c r="AF8" s="1"/>
      <c r="AG8" s="1"/>
      <c r="AH8" s="1"/>
      <c r="AI8" s="1"/>
      <c r="AJ8" s="1"/>
      <c r="AK8" s="1"/>
      <c r="AL8" s="1"/>
      <c r="AM8" s="1"/>
      <c r="AN8" s="1"/>
      <c r="AO8" s="1"/>
      <c r="AP8" s="1"/>
      <c r="AQ8" s="1"/>
      <c r="AR8" s="1"/>
      <c r="AS8" s="1"/>
      <c r="AT8" s="1"/>
      <c r="AU8" s="1"/>
      <c r="AV8" s="1"/>
      <c r="AW8" s="1"/>
      <c r="AX8" s="1"/>
      <c r="AY8" s="1"/>
    </row>
    <row r="9" ht="15.75" customHeight="1">
      <c r="A9" s="1" t="s">
        <v>247</v>
      </c>
      <c r="B9" s="159"/>
      <c r="C9" s="1"/>
      <c r="D9" s="76"/>
      <c r="E9" s="76"/>
      <c r="F9" s="76"/>
      <c r="G9" s="76"/>
      <c r="H9" s="76"/>
      <c r="I9" s="76"/>
      <c r="J9" s="76"/>
      <c r="K9" s="76"/>
      <c r="L9" s="76"/>
      <c r="M9" s="76"/>
      <c r="N9" s="76"/>
      <c r="O9" s="76"/>
      <c r="P9" s="76"/>
      <c r="Q9" s="76"/>
      <c r="R9" s="76"/>
      <c r="S9" s="76"/>
      <c r="T9" s="76"/>
      <c r="U9" s="76"/>
      <c r="V9" s="76"/>
      <c r="W9" s="76"/>
      <c r="X9" s="76"/>
      <c r="Y9" s="1"/>
      <c r="Z9" s="1"/>
      <c r="AA9" s="1"/>
      <c r="AB9" s="1"/>
      <c r="AC9" s="1"/>
      <c r="AD9" s="1"/>
      <c r="AE9" s="1"/>
      <c r="AF9" s="1"/>
      <c r="AG9" s="1"/>
      <c r="AH9" s="1"/>
      <c r="AI9" s="1"/>
      <c r="AJ9" s="1"/>
      <c r="AK9" s="1"/>
      <c r="AL9" s="1"/>
      <c r="AM9" s="1"/>
      <c r="AN9" s="1"/>
      <c r="AO9" s="1"/>
      <c r="AP9" s="1"/>
      <c r="AQ9" s="1"/>
      <c r="AR9" s="1"/>
      <c r="AS9" s="1"/>
      <c r="AT9" s="1"/>
      <c r="AU9" s="1"/>
      <c r="AV9" s="1"/>
      <c r="AW9" s="1"/>
      <c r="AX9" s="1"/>
      <c r="AY9" s="1"/>
    </row>
    <row r="10" ht="15.75" customHeight="1">
      <c r="A10" s="1" t="s">
        <v>248</v>
      </c>
      <c r="B10" s="160">
        <v>2973.0</v>
      </c>
      <c r="C10" s="1"/>
      <c r="D10" s="76">
        <v>985.0</v>
      </c>
      <c r="E10" s="76">
        <v>985.0</v>
      </c>
      <c r="F10" s="76">
        <v>985.0</v>
      </c>
      <c r="G10" s="76">
        <v>1182.0</v>
      </c>
      <c r="H10" s="76">
        <v>1182.0</v>
      </c>
      <c r="I10" s="76">
        <v>1182.0</v>
      </c>
      <c r="J10" s="76">
        <v>1379.0</v>
      </c>
      <c r="K10" s="76">
        <v>1379.0</v>
      </c>
      <c r="L10" s="76">
        <v>1576.0</v>
      </c>
      <c r="M10" s="76">
        <v>1576.0</v>
      </c>
      <c r="N10" s="76">
        <v>1576.0</v>
      </c>
      <c r="O10" s="76">
        <v>1773.0</v>
      </c>
      <c r="P10" s="76">
        <v>1773.0</v>
      </c>
      <c r="Q10" s="76">
        <v>1773.0</v>
      </c>
      <c r="R10" s="76">
        <v>1773.0</v>
      </c>
      <c r="S10" s="76">
        <v>2773.0</v>
      </c>
      <c r="T10" s="76">
        <v>2973.0</v>
      </c>
      <c r="U10" s="76">
        <v>2973.0</v>
      </c>
      <c r="V10" s="76">
        <v>2973.0</v>
      </c>
      <c r="W10" s="76">
        <v>2973.0</v>
      </c>
      <c r="X10" s="76">
        <v>2973.0</v>
      </c>
      <c r="Y10" s="96">
        <v>6914.666666666667</v>
      </c>
      <c r="Z10" s="96">
        <v>8464.666666666666</v>
      </c>
      <c r="AA10" s="96">
        <v>9231.333333333334</v>
      </c>
      <c r="AB10" s="96">
        <v>9231.333333333334</v>
      </c>
      <c r="AC10" s="96">
        <v>9231.333333333334</v>
      </c>
      <c r="AD10" s="96">
        <v>9231.333333333334</v>
      </c>
      <c r="AE10" s="96">
        <v>9231.333333333334</v>
      </c>
      <c r="AF10" s="96">
        <v>9231.333333333334</v>
      </c>
      <c r="AG10" s="96">
        <v>9231.333333333334</v>
      </c>
      <c r="AH10" s="96">
        <v>9231.333333333334</v>
      </c>
      <c r="AI10" s="96">
        <v>9231.333333333334</v>
      </c>
      <c r="AJ10" s="96">
        <v>9231.333333333334</v>
      </c>
      <c r="AK10" s="96">
        <v>9231.333333333334</v>
      </c>
      <c r="AL10" s="96">
        <v>9231.333333333334</v>
      </c>
      <c r="AM10" s="96">
        <v>9231.333333333334</v>
      </c>
      <c r="AN10" s="96">
        <v>9231.333333333334</v>
      </c>
      <c r="AO10" s="96">
        <v>9231.333333333334</v>
      </c>
      <c r="AP10" s="96">
        <v>9231.333333333334</v>
      </c>
      <c r="AQ10" s="96">
        <v>9231.333333333334</v>
      </c>
      <c r="AR10" s="96">
        <v>9231.333333333334</v>
      </c>
      <c r="AS10" s="96">
        <v>9231.333333333334</v>
      </c>
      <c r="AT10" s="96">
        <v>9231.333333333334</v>
      </c>
      <c r="AU10" s="96">
        <v>9231.333333333334</v>
      </c>
      <c r="AV10" s="96">
        <v>9231.333333333334</v>
      </c>
      <c r="AW10" s="96">
        <v>9231.333333333334</v>
      </c>
      <c r="AX10" s="96">
        <v>9231.333333333334</v>
      </c>
      <c r="AY10" s="96">
        <v>9231.333333333334</v>
      </c>
    </row>
    <row r="11" ht="15.75" customHeight="1">
      <c r="A11" s="1" t="s">
        <v>249</v>
      </c>
      <c r="B11" s="160">
        <v>5567.0</v>
      </c>
      <c r="C11" s="1"/>
      <c r="D11" s="76">
        <v>2340.0</v>
      </c>
      <c r="E11" s="76">
        <v>2340.0</v>
      </c>
      <c r="F11" s="76">
        <v>2340.0</v>
      </c>
      <c r="G11" s="76">
        <v>2808.0</v>
      </c>
      <c r="H11" s="76">
        <v>2808.0</v>
      </c>
      <c r="I11" s="76">
        <v>2808.0</v>
      </c>
      <c r="J11" s="76">
        <v>3258.0</v>
      </c>
      <c r="K11" s="76">
        <v>3258.0</v>
      </c>
      <c r="L11" s="76">
        <v>3699.0</v>
      </c>
      <c r="M11" s="76">
        <v>3699.0</v>
      </c>
      <c r="N11" s="76">
        <v>3699.0</v>
      </c>
      <c r="O11" s="76">
        <v>5067.0</v>
      </c>
      <c r="P11" s="76">
        <v>5067.0</v>
      </c>
      <c r="Q11" s="76">
        <v>5067.0</v>
      </c>
      <c r="R11" s="76">
        <v>5067.0</v>
      </c>
      <c r="S11" s="76">
        <v>5067.0</v>
      </c>
      <c r="T11" s="76">
        <v>5567.0</v>
      </c>
      <c r="U11" s="76">
        <v>5567.0</v>
      </c>
      <c r="V11" s="76">
        <v>5567.0</v>
      </c>
      <c r="W11" s="76">
        <v>5567.0</v>
      </c>
      <c r="X11" s="76">
        <v>5567.0</v>
      </c>
      <c r="Y11" s="96">
        <v>5433.0</v>
      </c>
      <c r="Z11" s="96">
        <v>6670.5</v>
      </c>
      <c r="AA11" s="96">
        <v>7270.5</v>
      </c>
      <c r="AB11" s="96">
        <v>7270.5</v>
      </c>
      <c r="AC11" s="96">
        <v>7270.5</v>
      </c>
      <c r="AD11" s="96">
        <v>7270.5</v>
      </c>
      <c r="AE11" s="96">
        <v>7270.5</v>
      </c>
      <c r="AF11" s="96">
        <v>7270.5</v>
      </c>
      <c r="AG11" s="96">
        <v>7270.5</v>
      </c>
      <c r="AH11" s="96">
        <v>7270.5</v>
      </c>
      <c r="AI11" s="96">
        <v>7270.5</v>
      </c>
      <c r="AJ11" s="96">
        <v>7270.5</v>
      </c>
      <c r="AK11" s="96">
        <v>7270.5</v>
      </c>
      <c r="AL11" s="96">
        <v>7270.5</v>
      </c>
      <c r="AM11" s="96">
        <v>7270.5</v>
      </c>
      <c r="AN11" s="96">
        <v>7270.5</v>
      </c>
      <c r="AO11" s="96">
        <v>7270.5</v>
      </c>
      <c r="AP11" s="96">
        <v>7270.5</v>
      </c>
      <c r="AQ11" s="96">
        <v>7270.5</v>
      </c>
      <c r="AR11" s="96">
        <v>7270.5</v>
      </c>
      <c r="AS11" s="96">
        <v>7270.5</v>
      </c>
      <c r="AT11" s="96">
        <v>7270.5</v>
      </c>
      <c r="AU11" s="96">
        <v>7270.5</v>
      </c>
      <c r="AV11" s="96">
        <v>7270.5</v>
      </c>
      <c r="AW11" s="96">
        <v>7270.5</v>
      </c>
      <c r="AX11" s="96">
        <v>7270.5</v>
      </c>
      <c r="AY11" s="96">
        <v>7270.5</v>
      </c>
    </row>
    <row r="12" ht="15.75" customHeight="1">
      <c r="A12" s="1" t="s">
        <v>250</v>
      </c>
      <c r="B12" s="160">
        <v>59501.0</v>
      </c>
      <c r="C12" s="1"/>
      <c r="D12" s="76">
        <v>26000.0</v>
      </c>
      <c r="E12" s="76">
        <v>26000.0</v>
      </c>
      <c r="F12" s="76">
        <v>26000.0</v>
      </c>
      <c r="G12" s="76">
        <v>31200.0</v>
      </c>
      <c r="H12" s="76">
        <v>31200.0</v>
      </c>
      <c r="I12" s="76">
        <v>31200.0</v>
      </c>
      <c r="J12" s="76">
        <v>36200.0</v>
      </c>
      <c r="K12" s="76">
        <v>36200.0</v>
      </c>
      <c r="L12" s="76">
        <v>41100.0</v>
      </c>
      <c r="M12" s="76">
        <v>41100.0</v>
      </c>
      <c r="N12" s="76">
        <v>41100.0</v>
      </c>
      <c r="O12" s="76">
        <v>56300.0</v>
      </c>
      <c r="P12" s="76">
        <v>56300.0</v>
      </c>
      <c r="Q12" s="76">
        <v>56500.0</v>
      </c>
      <c r="R12" s="76">
        <v>56500.0</v>
      </c>
      <c r="S12" s="76">
        <v>56500.0</v>
      </c>
      <c r="T12" s="76">
        <v>59501.0</v>
      </c>
      <c r="U12" s="76">
        <v>59501.0</v>
      </c>
      <c r="V12" s="76">
        <v>59501.0</v>
      </c>
      <c r="W12" s="76">
        <v>59501.0</v>
      </c>
      <c r="X12" s="76">
        <v>59501.0</v>
      </c>
      <c r="Y12" s="96">
        <v>60366.666666666664</v>
      </c>
      <c r="Z12" s="96">
        <v>74116.66666666667</v>
      </c>
      <c r="AA12" s="96">
        <v>80783.33333333333</v>
      </c>
      <c r="AB12" s="96">
        <v>80783.33333333333</v>
      </c>
      <c r="AC12" s="96">
        <v>80783.33333333333</v>
      </c>
      <c r="AD12" s="96">
        <v>80783.33333333333</v>
      </c>
      <c r="AE12" s="96">
        <v>80783.33333333333</v>
      </c>
      <c r="AF12" s="96">
        <v>80783.33333333333</v>
      </c>
      <c r="AG12" s="96">
        <v>80783.33333333333</v>
      </c>
      <c r="AH12" s="96">
        <v>80783.33333333333</v>
      </c>
      <c r="AI12" s="96">
        <v>80783.33333333333</v>
      </c>
      <c r="AJ12" s="96">
        <v>80783.33333333333</v>
      </c>
      <c r="AK12" s="96">
        <v>80783.33333333333</v>
      </c>
      <c r="AL12" s="96">
        <v>80783.33333333333</v>
      </c>
      <c r="AM12" s="96">
        <v>80783.33333333333</v>
      </c>
      <c r="AN12" s="96">
        <v>80783.33333333333</v>
      </c>
      <c r="AO12" s="96">
        <v>80783.33333333333</v>
      </c>
      <c r="AP12" s="96">
        <v>80783.33333333333</v>
      </c>
      <c r="AQ12" s="96">
        <v>80783.33333333333</v>
      </c>
      <c r="AR12" s="96">
        <v>80783.33333333333</v>
      </c>
      <c r="AS12" s="96">
        <v>80783.33333333333</v>
      </c>
      <c r="AT12" s="96">
        <v>80783.33333333333</v>
      </c>
      <c r="AU12" s="96">
        <v>80783.33333333333</v>
      </c>
      <c r="AV12" s="96">
        <v>80783.33333333333</v>
      </c>
      <c r="AW12" s="96">
        <v>80783.33333333333</v>
      </c>
      <c r="AX12" s="96">
        <v>80783.33333333333</v>
      </c>
      <c r="AY12" s="96">
        <v>80783.33333333333</v>
      </c>
    </row>
    <row r="13" ht="15.75" customHeight="1">
      <c r="A13" s="21" t="s">
        <v>251</v>
      </c>
      <c r="B13" s="163"/>
      <c r="C13" s="21"/>
      <c r="D13" s="157">
        <v>29325.0</v>
      </c>
      <c r="E13" s="157">
        <v>29325.0</v>
      </c>
      <c r="F13" s="157">
        <v>29325.0</v>
      </c>
      <c r="G13" s="157">
        <v>35190.0</v>
      </c>
      <c r="H13" s="157">
        <v>35190.0</v>
      </c>
      <c r="I13" s="157">
        <v>35190.0</v>
      </c>
      <c r="J13" s="157">
        <v>40837.0</v>
      </c>
      <c r="K13" s="157">
        <v>40837.0</v>
      </c>
      <c r="L13" s="157">
        <v>46375.0</v>
      </c>
      <c r="M13" s="157">
        <v>46375.0</v>
      </c>
      <c r="N13" s="157">
        <v>46375.0</v>
      </c>
      <c r="O13" s="157">
        <v>63140.0</v>
      </c>
      <c r="P13" s="157">
        <v>63140.0</v>
      </c>
      <c r="Q13" s="157">
        <v>63340.0</v>
      </c>
      <c r="R13" s="157">
        <v>63340.0</v>
      </c>
      <c r="S13" s="157">
        <v>64340.0</v>
      </c>
      <c r="T13" s="157">
        <v>68041.0</v>
      </c>
      <c r="U13" s="157">
        <v>68041.0</v>
      </c>
      <c r="V13" s="157">
        <v>68041.0</v>
      </c>
      <c r="W13" s="157">
        <v>68041.0</v>
      </c>
      <c r="X13" s="157">
        <v>68041.0</v>
      </c>
      <c r="Y13" s="157">
        <v>72714.33333333333</v>
      </c>
      <c r="Z13" s="157">
        <v>89251.83333333334</v>
      </c>
      <c r="AA13" s="157">
        <v>97285.16666666666</v>
      </c>
      <c r="AB13" s="157">
        <v>97285.16666666666</v>
      </c>
      <c r="AC13" s="157">
        <v>97285.16666666666</v>
      </c>
      <c r="AD13" s="157">
        <v>97285.16666666666</v>
      </c>
      <c r="AE13" s="157">
        <v>97285.16666666666</v>
      </c>
      <c r="AF13" s="157">
        <v>97285.16666666666</v>
      </c>
      <c r="AG13" s="157">
        <v>97285.16666666666</v>
      </c>
      <c r="AH13" s="157">
        <v>97285.16666666666</v>
      </c>
      <c r="AI13" s="157">
        <v>97285.16666666666</v>
      </c>
      <c r="AJ13" s="157">
        <v>97285.16666666666</v>
      </c>
      <c r="AK13" s="157">
        <v>97285.16666666666</v>
      </c>
      <c r="AL13" s="157">
        <v>97285.16666666666</v>
      </c>
      <c r="AM13" s="157">
        <v>97285.16666666666</v>
      </c>
      <c r="AN13" s="157">
        <v>97285.16666666666</v>
      </c>
      <c r="AO13" s="157">
        <v>97285.16666666666</v>
      </c>
      <c r="AP13" s="157">
        <v>97285.16666666666</v>
      </c>
      <c r="AQ13" s="157">
        <v>97285.16666666666</v>
      </c>
      <c r="AR13" s="157">
        <v>97285.16666666666</v>
      </c>
      <c r="AS13" s="157">
        <v>97285.16666666666</v>
      </c>
      <c r="AT13" s="157">
        <v>97285.16666666666</v>
      </c>
      <c r="AU13" s="157">
        <v>97285.16666666666</v>
      </c>
      <c r="AV13" s="157">
        <v>97285.16666666666</v>
      </c>
      <c r="AW13" s="157">
        <v>97285.16666666666</v>
      </c>
      <c r="AX13" s="157">
        <v>97285.16666666666</v>
      </c>
      <c r="AY13" s="157">
        <v>97285.16666666666</v>
      </c>
    </row>
    <row r="14" ht="15.75" customHeight="1">
      <c r="A14" s="1" t="s">
        <v>252</v>
      </c>
      <c r="B14" s="164">
        <v>0.010850990035042996</v>
      </c>
      <c r="C14" s="1"/>
      <c r="D14" s="76">
        <v>4958.0</v>
      </c>
      <c r="E14" s="76">
        <v>5068.0</v>
      </c>
      <c r="F14" s="76">
        <v>5152.0</v>
      </c>
      <c r="G14" s="76">
        <v>5195.0</v>
      </c>
      <c r="H14" s="76">
        <v>5317.0</v>
      </c>
      <c r="I14" s="76">
        <v>5443.0</v>
      </c>
      <c r="J14" s="76">
        <v>5525.0</v>
      </c>
      <c r="K14" s="76">
        <v>5460.0</v>
      </c>
      <c r="L14" s="76">
        <v>5320.0</v>
      </c>
      <c r="M14" s="76">
        <v>5497.0</v>
      </c>
      <c r="N14" s="76">
        <v>5687.0</v>
      </c>
      <c r="O14" s="76">
        <v>5824.0</v>
      </c>
      <c r="P14" s="76">
        <v>4830.0</v>
      </c>
      <c r="Q14" s="76">
        <v>6476.0</v>
      </c>
      <c r="R14" s="76">
        <v>6788.0</v>
      </c>
      <c r="S14" s="76">
        <v>6788.0</v>
      </c>
      <c r="T14" s="76">
        <v>7214.0</v>
      </c>
      <c r="U14" s="76">
        <v>7433.0</v>
      </c>
      <c r="V14" s="76">
        <v>7296.0</v>
      </c>
      <c r="W14" s="76">
        <v>7521.0</v>
      </c>
      <c r="X14" s="76">
        <v>7521.0</v>
      </c>
      <c r="Y14" s="76">
        <v>7954.7073079953525</v>
      </c>
      <c r="Z14" s="76">
        <v>8197.406067008911</v>
      </c>
      <c r="AA14" s="76">
        <v>8432.18648961883</v>
      </c>
      <c r="AB14" s="76">
        <v>8668.23469423894</v>
      </c>
      <c r="AC14" s="76">
        <v>8899.558761620567</v>
      </c>
      <c r="AD14" s="76">
        <v>9129.009568533225</v>
      </c>
      <c r="AE14" s="76">
        <v>9353.978760282893</v>
      </c>
      <c r="AF14" s="76">
        <v>9575.936606282661</v>
      </c>
      <c r="AG14" s="76">
        <v>9817.162919783974</v>
      </c>
      <c r="AH14" s="76">
        <v>10054.652522437891</v>
      </c>
      <c r="AI14" s="76">
        <v>10288.793589082314</v>
      </c>
      <c r="AJ14" s="76">
        <v>10519.591159785403</v>
      </c>
      <c r="AK14" s="76">
        <v>10747.038094696836</v>
      </c>
      <c r="AL14" s="76">
        <v>10971.2642958182</v>
      </c>
      <c r="AM14" s="76">
        <v>11192.309112474495</v>
      </c>
      <c r="AN14" s="76">
        <v>11432.47452269104</v>
      </c>
      <c r="AO14" s="76">
        <v>11669.227914144927</v>
      </c>
      <c r="AP14" s="76">
        <v>11902.62755274119</v>
      </c>
      <c r="AQ14" s="76">
        <v>12132.735941256498</v>
      </c>
      <c r="AR14" s="76">
        <v>12359.617256238249</v>
      </c>
      <c r="AS14" s="76">
        <v>12583.330734154151</v>
      </c>
      <c r="AT14" s="76">
        <v>12826.186858437057</v>
      </c>
      <c r="AU14" s="76">
        <v>13065.639949085973</v>
      </c>
      <c r="AV14" s="76">
        <v>13301.753642689244</v>
      </c>
      <c r="AW14" s="76">
        <v>13534.590759289213</v>
      </c>
      <c r="AX14" s="76">
        <v>13764.212915350516</v>
      </c>
      <c r="AY14" s="76">
        <v>14012.931273936254</v>
      </c>
    </row>
    <row r="15" ht="15.75" customHeight="1">
      <c r="A15" s="21" t="s">
        <v>253</v>
      </c>
      <c r="B15" s="163"/>
      <c r="C15" s="21"/>
      <c r="D15" s="157">
        <v>34283.0</v>
      </c>
      <c r="E15" s="157">
        <v>34393.0</v>
      </c>
      <c r="F15" s="157">
        <v>34477.0</v>
      </c>
      <c r="G15" s="157">
        <v>40385.0</v>
      </c>
      <c r="H15" s="157">
        <v>40507.0</v>
      </c>
      <c r="I15" s="157">
        <v>40633.0</v>
      </c>
      <c r="J15" s="157">
        <v>46362.0</v>
      </c>
      <c r="K15" s="157">
        <v>46297.0</v>
      </c>
      <c r="L15" s="157">
        <v>51695.0</v>
      </c>
      <c r="M15" s="157">
        <v>51872.0</v>
      </c>
      <c r="N15" s="157">
        <v>52062.0</v>
      </c>
      <c r="O15" s="157">
        <v>68964.0</v>
      </c>
      <c r="P15" s="157">
        <v>67970.0</v>
      </c>
      <c r="Q15" s="157">
        <v>69816.0</v>
      </c>
      <c r="R15" s="157">
        <v>70128.0</v>
      </c>
      <c r="S15" s="157">
        <v>71128.0</v>
      </c>
      <c r="T15" s="157">
        <v>75255.0</v>
      </c>
      <c r="U15" s="157">
        <v>75474.0</v>
      </c>
      <c r="V15" s="157">
        <v>75337.0</v>
      </c>
      <c r="W15" s="157">
        <v>75562.0</v>
      </c>
      <c r="X15" s="157">
        <v>75562.0</v>
      </c>
      <c r="Y15" s="157">
        <v>80669.04064132868</v>
      </c>
      <c r="Z15" s="157">
        <v>97449.23940034225</v>
      </c>
      <c r="AA15" s="157">
        <v>105717.35315628549</v>
      </c>
      <c r="AB15" s="157">
        <v>105953.4013609056</v>
      </c>
      <c r="AC15" s="157">
        <v>106184.72542828723</v>
      </c>
      <c r="AD15" s="157">
        <v>106414.17623519988</v>
      </c>
      <c r="AE15" s="157">
        <v>106639.14542694954</v>
      </c>
      <c r="AF15" s="157">
        <v>106861.10327294932</v>
      </c>
      <c r="AG15" s="157">
        <v>107102.32958645064</v>
      </c>
      <c r="AH15" s="157">
        <v>107339.81918910454</v>
      </c>
      <c r="AI15" s="157">
        <v>107573.96025574897</v>
      </c>
      <c r="AJ15" s="157">
        <v>107804.75782645206</v>
      </c>
      <c r="AK15" s="157">
        <v>108032.2047613635</v>
      </c>
      <c r="AL15" s="157">
        <v>108256.43096248485</v>
      </c>
      <c r="AM15" s="157">
        <v>108477.47577914115</v>
      </c>
      <c r="AN15" s="157">
        <v>108717.6411893577</v>
      </c>
      <c r="AO15" s="157">
        <v>108954.39458081158</v>
      </c>
      <c r="AP15" s="157">
        <v>109187.79421940785</v>
      </c>
      <c r="AQ15" s="157">
        <v>109417.90260792316</v>
      </c>
      <c r="AR15" s="157">
        <v>109644.7839229049</v>
      </c>
      <c r="AS15" s="157">
        <v>109868.49740082081</v>
      </c>
      <c r="AT15" s="157">
        <v>110111.35352510371</v>
      </c>
      <c r="AU15" s="157">
        <v>110350.80661575263</v>
      </c>
      <c r="AV15" s="157">
        <v>110586.9203093559</v>
      </c>
      <c r="AW15" s="157">
        <v>110819.75742595588</v>
      </c>
      <c r="AX15" s="157">
        <v>111049.37958201717</v>
      </c>
      <c r="AY15" s="157">
        <v>111298.09794060291</v>
      </c>
    </row>
    <row r="16" ht="15.75" customHeight="1">
      <c r="A16" s="1" t="s">
        <v>254</v>
      </c>
      <c r="B16" s="159"/>
      <c r="C16" s="1"/>
      <c r="D16" s="76"/>
      <c r="E16" s="76"/>
      <c r="F16" s="76"/>
      <c r="G16" s="76"/>
      <c r="H16" s="76"/>
      <c r="I16" s="76"/>
      <c r="J16" s="76"/>
      <c r="K16" s="76"/>
      <c r="L16" s="76"/>
      <c r="M16" s="76"/>
      <c r="N16" s="76"/>
      <c r="O16" s="76"/>
      <c r="P16" s="76"/>
      <c r="Q16" s="76"/>
      <c r="R16" s="76"/>
      <c r="S16" s="76"/>
      <c r="T16" s="76"/>
      <c r="U16" s="76"/>
      <c r="V16" s="76"/>
      <c r="W16" s="76"/>
      <c r="X16" s="76"/>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row>
    <row r="17" ht="15.75" customHeight="1">
      <c r="A17" s="1" t="s">
        <v>255</v>
      </c>
      <c r="B17" s="164">
        <v>0.07112795307911052</v>
      </c>
      <c r="C17" s="1"/>
      <c r="D17" s="76">
        <v>30337.0</v>
      </c>
      <c r="E17" s="76">
        <v>32106.0</v>
      </c>
      <c r="F17" s="76">
        <v>35755.0</v>
      </c>
      <c r="G17" s="76">
        <v>36077.0</v>
      </c>
      <c r="H17" s="76">
        <v>37830.0</v>
      </c>
      <c r="I17" s="76">
        <v>38139.0</v>
      </c>
      <c r="J17" s="76">
        <v>38985.0</v>
      </c>
      <c r="K17" s="76">
        <v>40200.0</v>
      </c>
      <c r="L17" s="76">
        <v>38500.0</v>
      </c>
      <c r="M17" s="76">
        <v>43793.0</v>
      </c>
      <c r="N17" s="76">
        <v>43976.0</v>
      </c>
      <c r="O17" s="76">
        <v>44112.0</v>
      </c>
      <c r="P17" s="76">
        <v>43582.0</v>
      </c>
      <c r="Q17" s="76">
        <v>41175.0</v>
      </c>
      <c r="R17" s="76">
        <v>44454.0</v>
      </c>
      <c r="S17" s="76">
        <v>44454.0</v>
      </c>
      <c r="T17" s="76">
        <v>47850.0</v>
      </c>
      <c r="U17" s="76">
        <v>45979.0</v>
      </c>
      <c r="V17" s="76">
        <v>47228.0</v>
      </c>
      <c r="W17" s="76">
        <v>48972.0</v>
      </c>
      <c r="X17" s="76">
        <v>50225.0</v>
      </c>
      <c r="Y17" s="76">
        <v>52142.89630106633</v>
      </c>
      <c r="Z17" s="76">
        <v>53733.780256145576</v>
      </c>
      <c r="AA17" s="76">
        <v>55272.75972524118</v>
      </c>
      <c r="AB17" s="76">
        <v>56820.04947192841</v>
      </c>
      <c r="AC17" s="76">
        <v>58336.372623793155</v>
      </c>
      <c r="AD17" s="76">
        <v>59840.416602761106</v>
      </c>
      <c r="AE17" s="76">
        <v>61315.08371270582</v>
      </c>
      <c r="AF17" s="76">
        <v>62770.01153079679</v>
      </c>
      <c r="AG17" s="76">
        <v>64351.243644434086</v>
      </c>
      <c r="AH17" s="76">
        <v>65907.98171716215</v>
      </c>
      <c r="AI17" s="76">
        <v>67442.77022479085</v>
      </c>
      <c r="AJ17" s="76">
        <v>68955.64220483381</v>
      </c>
      <c r="AK17" s="76">
        <v>70446.55085576078</v>
      </c>
      <c r="AL17" s="76">
        <v>71916.34768176112</v>
      </c>
      <c r="AM17" s="76">
        <v>73365.29061662091</v>
      </c>
      <c r="AN17" s="76">
        <v>74939.56853724754</v>
      </c>
      <c r="AO17" s="76">
        <v>76491.48076500453</v>
      </c>
      <c r="AP17" s="76">
        <v>78021.40923136042</v>
      </c>
      <c r="AQ17" s="76">
        <v>79529.76364036542</v>
      </c>
      <c r="AR17" s="76">
        <v>81016.96466759269</v>
      </c>
      <c r="AS17" s="76">
        <v>82483.40060652349</v>
      </c>
      <c r="AT17" s="76">
        <v>84075.31608678692</v>
      </c>
      <c r="AU17" s="76">
        <v>85644.9247714618</v>
      </c>
      <c r="AV17" s="76">
        <v>87192.64379670394</v>
      </c>
      <c r="AW17" s="76">
        <v>88718.88494623167</v>
      </c>
      <c r="AX17" s="76">
        <v>90224.05211434324</v>
      </c>
      <c r="AY17" s="76">
        <v>91854.39438562612</v>
      </c>
    </row>
    <row r="18" ht="15.75" customHeight="1">
      <c r="A18" s="21" t="s">
        <v>256</v>
      </c>
      <c r="B18" s="163"/>
      <c r="C18" s="21"/>
      <c r="D18" s="157">
        <v>30337.0</v>
      </c>
      <c r="E18" s="157">
        <v>32106.0</v>
      </c>
      <c r="F18" s="157">
        <v>35755.0</v>
      </c>
      <c r="G18" s="157">
        <v>36077.0</v>
      </c>
      <c r="H18" s="157">
        <v>37830.0</v>
      </c>
      <c r="I18" s="157">
        <v>38139.0</v>
      </c>
      <c r="J18" s="157">
        <v>38985.0</v>
      </c>
      <c r="K18" s="157">
        <v>40200.0</v>
      </c>
      <c r="L18" s="157">
        <v>38500.0</v>
      </c>
      <c r="M18" s="157">
        <v>43793.0</v>
      </c>
      <c r="N18" s="157">
        <v>43976.0</v>
      </c>
      <c r="O18" s="157">
        <v>44112.0</v>
      </c>
      <c r="P18" s="157">
        <v>43582.0</v>
      </c>
      <c r="Q18" s="157">
        <v>41175.0</v>
      </c>
      <c r="R18" s="157">
        <v>44454.0</v>
      </c>
      <c r="S18" s="157">
        <v>44454.0</v>
      </c>
      <c r="T18" s="157">
        <v>47850.0</v>
      </c>
      <c r="U18" s="157">
        <v>45979.0</v>
      </c>
      <c r="V18" s="157">
        <v>47228.0</v>
      </c>
      <c r="W18" s="157">
        <v>48972.0</v>
      </c>
      <c r="X18" s="157">
        <v>50225.0</v>
      </c>
      <c r="Y18" s="157">
        <v>52142.89630106633</v>
      </c>
      <c r="Z18" s="157">
        <v>53733.780256145576</v>
      </c>
      <c r="AA18" s="157">
        <v>55272.75972524118</v>
      </c>
      <c r="AB18" s="157">
        <v>56820.04947192841</v>
      </c>
      <c r="AC18" s="157">
        <v>58336.372623793155</v>
      </c>
      <c r="AD18" s="157">
        <v>59840.416602761106</v>
      </c>
      <c r="AE18" s="157">
        <v>61315.08371270582</v>
      </c>
      <c r="AF18" s="157">
        <v>62770.01153079679</v>
      </c>
      <c r="AG18" s="157">
        <v>64351.243644434086</v>
      </c>
      <c r="AH18" s="157">
        <v>65907.98171716215</v>
      </c>
      <c r="AI18" s="157">
        <v>67442.77022479085</v>
      </c>
      <c r="AJ18" s="157">
        <v>68955.64220483381</v>
      </c>
      <c r="AK18" s="157">
        <v>70446.55085576078</v>
      </c>
      <c r="AL18" s="157">
        <v>71916.34768176112</v>
      </c>
      <c r="AM18" s="157">
        <v>73365.29061662091</v>
      </c>
      <c r="AN18" s="157">
        <v>74939.56853724754</v>
      </c>
      <c r="AO18" s="157">
        <v>76491.48076500453</v>
      </c>
      <c r="AP18" s="157">
        <v>78021.40923136042</v>
      </c>
      <c r="AQ18" s="157">
        <v>79529.76364036542</v>
      </c>
      <c r="AR18" s="157">
        <v>81016.96466759269</v>
      </c>
      <c r="AS18" s="157">
        <v>82483.40060652349</v>
      </c>
      <c r="AT18" s="157">
        <v>84075.31608678692</v>
      </c>
      <c r="AU18" s="157">
        <v>85644.9247714618</v>
      </c>
      <c r="AV18" s="157">
        <v>87192.64379670394</v>
      </c>
      <c r="AW18" s="157">
        <v>88718.88494623167</v>
      </c>
      <c r="AX18" s="157">
        <v>90224.05211434324</v>
      </c>
      <c r="AY18" s="157">
        <v>91854.39438562612</v>
      </c>
    </row>
    <row r="19" ht="15.75" customHeight="1">
      <c r="A19" s="21" t="s">
        <v>257</v>
      </c>
      <c r="B19" s="161"/>
      <c r="C19" s="157"/>
      <c r="D19" s="157">
        <v>64620.0</v>
      </c>
      <c r="E19" s="157">
        <v>66499.0</v>
      </c>
      <c r="F19" s="157">
        <v>70232.0</v>
      </c>
      <c r="G19" s="157">
        <v>76462.0</v>
      </c>
      <c r="H19" s="157">
        <v>78337.0</v>
      </c>
      <c r="I19" s="157">
        <v>78772.0</v>
      </c>
      <c r="J19" s="157">
        <v>85347.0</v>
      </c>
      <c r="K19" s="157">
        <v>86497.0</v>
      </c>
      <c r="L19" s="157">
        <v>90195.0</v>
      </c>
      <c r="M19" s="157">
        <v>95665.0</v>
      </c>
      <c r="N19" s="157">
        <v>96038.0</v>
      </c>
      <c r="O19" s="157">
        <v>113076.0</v>
      </c>
      <c r="P19" s="157">
        <v>111552.0</v>
      </c>
      <c r="Q19" s="157">
        <v>110991.0</v>
      </c>
      <c r="R19" s="157">
        <v>114582.0</v>
      </c>
      <c r="S19" s="157">
        <v>115582.0</v>
      </c>
      <c r="T19" s="157">
        <v>123105.0</v>
      </c>
      <c r="U19" s="157">
        <v>121453.0</v>
      </c>
      <c r="V19" s="157">
        <v>122565.0</v>
      </c>
      <c r="W19" s="157">
        <v>124534.0</v>
      </c>
      <c r="X19" s="157">
        <v>125787.0</v>
      </c>
      <c r="Y19" s="157">
        <v>132811.936942395</v>
      </c>
      <c r="Z19" s="157">
        <v>151183.01965648783</v>
      </c>
      <c r="AA19" s="157">
        <v>160990.11288152667</v>
      </c>
      <c r="AB19" s="157">
        <v>162773.450832834</v>
      </c>
      <c r="AC19" s="157">
        <v>164521.09805208037</v>
      </c>
      <c r="AD19" s="157">
        <v>166254.59283796098</v>
      </c>
      <c r="AE19" s="157">
        <v>167954.22913965536</v>
      </c>
      <c r="AF19" s="157">
        <v>169631.1148037461</v>
      </c>
      <c r="AG19" s="157">
        <v>171453.57323088474</v>
      </c>
      <c r="AH19" s="157">
        <v>173247.8009062667</v>
      </c>
      <c r="AI19" s="157">
        <v>175016.73048053982</v>
      </c>
      <c r="AJ19" s="157">
        <v>176760.40003128588</v>
      </c>
      <c r="AK19" s="157">
        <v>178478.75561712426</v>
      </c>
      <c r="AL19" s="157">
        <v>180172.778644246</v>
      </c>
      <c r="AM19" s="157">
        <v>181842.76639576207</v>
      </c>
      <c r="AN19" s="157">
        <v>183657.20972660524</v>
      </c>
      <c r="AO19" s="157">
        <v>185445.8753458161</v>
      </c>
      <c r="AP19" s="157">
        <v>187209.20345076825</v>
      </c>
      <c r="AQ19" s="157">
        <v>188947.6662482886</v>
      </c>
      <c r="AR19" s="157">
        <v>190661.7485904976</v>
      </c>
      <c r="AS19" s="157">
        <v>192351.89800734428</v>
      </c>
      <c r="AT19" s="157">
        <v>194186.66961189063</v>
      </c>
      <c r="AU19" s="157">
        <v>195995.73138721444</v>
      </c>
      <c r="AV19" s="157">
        <v>197779.56410605984</v>
      </c>
      <c r="AW19" s="157">
        <v>199538.64237218755</v>
      </c>
      <c r="AX19" s="157">
        <v>201273.4316963604</v>
      </c>
      <c r="AY19" s="157">
        <v>203152.49232622902</v>
      </c>
    </row>
    <row r="20" ht="15.75" customHeight="1">
      <c r="A20" s="21" t="s">
        <v>12</v>
      </c>
      <c r="B20" s="161"/>
      <c r="C20" s="157"/>
      <c r="D20" s="157">
        <v>238753.0</v>
      </c>
      <c r="E20" s="157">
        <v>254558.0</v>
      </c>
      <c r="F20" s="157">
        <v>270289.0</v>
      </c>
      <c r="G20" s="157">
        <v>284308.0</v>
      </c>
      <c r="H20" s="157">
        <v>307687.0</v>
      </c>
      <c r="I20" s="157">
        <v>322693.0</v>
      </c>
      <c r="J20" s="157">
        <v>339592.0</v>
      </c>
      <c r="K20" s="157">
        <v>352428.0</v>
      </c>
      <c r="L20" s="157">
        <v>362573.0</v>
      </c>
      <c r="M20" s="157">
        <v>370292.0</v>
      </c>
      <c r="N20" s="157">
        <v>383080.0</v>
      </c>
      <c r="O20" s="157">
        <v>378425.0</v>
      </c>
      <c r="P20" s="157">
        <v>393506.0</v>
      </c>
      <c r="Q20" s="157">
        <v>414446.0</v>
      </c>
      <c r="R20" s="157">
        <v>428151.0</v>
      </c>
      <c r="S20" s="157">
        <v>483305.0</v>
      </c>
      <c r="T20" s="157">
        <v>490948.0</v>
      </c>
      <c r="U20" s="157">
        <v>516035.0</v>
      </c>
      <c r="V20" s="157">
        <v>534951.0</v>
      </c>
      <c r="W20" s="157">
        <v>560949.0</v>
      </c>
      <c r="X20" s="157">
        <v>589828.0</v>
      </c>
      <c r="Y20" s="157">
        <v>600273.918109156</v>
      </c>
      <c r="Z20" s="157">
        <v>604269.343725618</v>
      </c>
      <c r="AA20" s="157">
        <v>616099.0248273183</v>
      </c>
      <c r="AB20" s="157">
        <v>636069.2968100167</v>
      </c>
      <c r="AC20" s="157">
        <v>655639.8948969195</v>
      </c>
      <c r="AD20" s="157">
        <v>675052.0104352261</v>
      </c>
      <c r="AE20" s="157">
        <v>694084.9700554832</v>
      </c>
      <c r="AF20" s="157">
        <v>712863.1622490775</v>
      </c>
      <c r="AG20" s="157">
        <v>733271.5152706895</v>
      </c>
      <c r="AH20" s="157">
        <v>753363.7331534502</v>
      </c>
      <c r="AI20" s="157">
        <v>773172.6564652519</v>
      </c>
      <c r="AJ20" s="157">
        <v>792698.7116085414</v>
      </c>
      <c r="AK20" s="157">
        <v>811941.2945340187</v>
      </c>
      <c r="AL20" s="157">
        <v>830911.3952778368</v>
      </c>
      <c r="AM20" s="157">
        <v>849612.3428918897</v>
      </c>
      <c r="AN20" s="157">
        <v>869930.9408264923</v>
      </c>
      <c r="AO20" s="157">
        <v>889960.8733895023</v>
      </c>
      <c r="AP20" s="157">
        <v>909707.0700230768</v>
      </c>
      <c r="AQ20" s="157">
        <v>929174.818619372</v>
      </c>
      <c r="AR20" s="157">
        <v>948369.5486757592</v>
      </c>
      <c r="AS20" s="157">
        <v>967296.2717464392</v>
      </c>
      <c r="AT20" s="157">
        <v>987842.5108606021</v>
      </c>
      <c r="AU20" s="157">
        <v>1008100.8447676636</v>
      </c>
      <c r="AV20" s="157">
        <v>1028076.6572831009</v>
      </c>
      <c r="AW20" s="157">
        <v>1047775.2631405442</v>
      </c>
      <c r="AX20" s="157">
        <v>1067201.875247922</v>
      </c>
      <c r="AY20" s="157">
        <v>1088244.0741328544</v>
      </c>
    </row>
    <row r="21" ht="15.75" customHeight="1">
      <c r="A21" s="31" t="s">
        <v>244</v>
      </c>
      <c r="B21" s="159"/>
      <c r="C21" s="1"/>
      <c r="D21" s="76">
        <v>0.0</v>
      </c>
      <c r="E21" s="76">
        <v>0.0</v>
      </c>
      <c r="F21" s="76">
        <v>0.0</v>
      </c>
      <c r="G21" s="76">
        <v>0.0</v>
      </c>
      <c r="H21" s="76">
        <v>0.0</v>
      </c>
      <c r="I21" s="76">
        <v>0.0</v>
      </c>
      <c r="J21" s="76">
        <v>0.0</v>
      </c>
      <c r="K21" s="76">
        <v>0.0</v>
      </c>
      <c r="L21" s="76">
        <v>0.0</v>
      </c>
      <c r="M21" s="76">
        <v>0.0</v>
      </c>
      <c r="N21" s="76">
        <v>0.0</v>
      </c>
      <c r="O21" s="76">
        <v>0.0</v>
      </c>
      <c r="P21" s="76">
        <v>0.0</v>
      </c>
      <c r="Q21" s="76">
        <v>0.0</v>
      </c>
      <c r="R21" s="76">
        <v>0.0</v>
      </c>
      <c r="S21" s="76">
        <v>0.0</v>
      </c>
      <c r="T21" s="76">
        <v>0.0</v>
      </c>
      <c r="U21" s="76">
        <v>0.0</v>
      </c>
      <c r="V21" s="76">
        <v>0.0</v>
      </c>
      <c r="W21" s="76">
        <v>0.0</v>
      </c>
      <c r="X21" s="76">
        <v>0.0</v>
      </c>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row>
    <row r="22" ht="15.75" customHeight="1">
      <c r="A22" s="31" t="s">
        <v>14</v>
      </c>
      <c r="B22" s="159"/>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row>
    <row r="23" ht="15.75" customHeight="1">
      <c r="A23" s="1" t="s">
        <v>15</v>
      </c>
      <c r="B23" s="159"/>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row>
    <row r="24" ht="15.75" customHeight="1">
      <c r="A24" s="1" t="s">
        <v>259</v>
      </c>
      <c r="B24" s="160">
        <v>28977.0</v>
      </c>
      <c r="C24" s="1"/>
      <c r="D24" s="165">
        <v>20800.0</v>
      </c>
      <c r="E24" s="165">
        <v>21162.0</v>
      </c>
      <c r="F24" s="165">
        <v>24016.0</v>
      </c>
      <c r="G24" s="165">
        <v>24060.0</v>
      </c>
      <c r="H24" s="165">
        <v>23821.0</v>
      </c>
      <c r="I24" s="165">
        <v>23226.0</v>
      </c>
      <c r="J24" s="165">
        <v>24060.0</v>
      </c>
      <c r="K24" s="165">
        <v>26430.0</v>
      </c>
      <c r="L24" s="165">
        <v>23500.0</v>
      </c>
      <c r="M24" s="165">
        <v>27820.0</v>
      </c>
      <c r="N24" s="165">
        <v>29340.0</v>
      </c>
      <c r="O24" s="165">
        <v>27420.0</v>
      </c>
      <c r="P24" s="165">
        <v>26920.0</v>
      </c>
      <c r="Q24" s="165">
        <v>27893.0</v>
      </c>
      <c r="R24" s="165">
        <v>27893.0</v>
      </c>
      <c r="S24" s="165">
        <v>29881.0</v>
      </c>
      <c r="T24" s="165">
        <v>28893.0</v>
      </c>
      <c r="U24" s="165">
        <v>27658.0</v>
      </c>
      <c r="V24" s="165">
        <v>27287.0</v>
      </c>
      <c r="W24" s="165">
        <v>29822.0</v>
      </c>
      <c r="X24" s="165">
        <v>29822.0</v>
      </c>
      <c r="Y24" s="96">
        <v>10000.0</v>
      </c>
      <c r="Z24" s="96">
        <v>0.0</v>
      </c>
      <c r="AA24" s="96">
        <v>0.0</v>
      </c>
      <c r="AB24" s="96">
        <v>0.0</v>
      </c>
      <c r="AC24" s="96">
        <v>0.0</v>
      </c>
      <c r="AD24" s="96">
        <v>0.0</v>
      </c>
      <c r="AE24" s="96">
        <v>0.0</v>
      </c>
      <c r="AF24" s="96">
        <v>0.0</v>
      </c>
      <c r="AG24" s="96">
        <v>0.0</v>
      </c>
      <c r="AH24" s="96">
        <v>0.0</v>
      </c>
      <c r="AI24" s="96">
        <v>0.0</v>
      </c>
      <c r="AJ24" s="96">
        <v>0.0</v>
      </c>
      <c r="AK24" s="96">
        <v>0.0</v>
      </c>
      <c r="AL24" s="96">
        <v>0.0</v>
      </c>
      <c r="AM24" s="96">
        <v>0.0</v>
      </c>
      <c r="AN24" s="96">
        <v>0.0</v>
      </c>
      <c r="AO24" s="96">
        <v>0.0</v>
      </c>
      <c r="AP24" s="96">
        <v>0.0</v>
      </c>
      <c r="AQ24" s="96">
        <v>0.0</v>
      </c>
      <c r="AR24" s="96">
        <v>0.0</v>
      </c>
      <c r="AS24" s="96">
        <v>0.0</v>
      </c>
      <c r="AT24" s="96">
        <v>0.0</v>
      </c>
      <c r="AU24" s="96">
        <v>0.0</v>
      </c>
      <c r="AV24" s="96">
        <v>0.0</v>
      </c>
      <c r="AW24" s="96">
        <v>0.0</v>
      </c>
      <c r="AX24" s="96">
        <v>0.0</v>
      </c>
      <c r="AY24" s="96">
        <v>0.0</v>
      </c>
    </row>
    <row r="25" ht="15.75" customHeight="1">
      <c r="A25" s="1" t="s">
        <v>260</v>
      </c>
      <c r="B25" s="159"/>
      <c r="C25" s="1"/>
      <c r="D25" s="76"/>
      <c r="E25" s="76"/>
      <c r="F25" s="76"/>
      <c r="G25" s="76"/>
      <c r="H25" s="76"/>
      <c r="I25" s="76"/>
      <c r="J25" s="76"/>
      <c r="K25" s="76"/>
      <c r="L25" s="76"/>
      <c r="M25" s="76"/>
      <c r="N25" s="76"/>
      <c r="O25" s="76"/>
      <c r="P25" s="76"/>
      <c r="Q25" s="76"/>
      <c r="R25" s="76"/>
      <c r="S25" s="76"/>
      <c r="T25" s="76"/>
      <c r="U25" s="76"/>
      <c r="V25" s="76"/>
      <c r="W25" s="76"/>
      <c r="X25" s="76"/>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row>
    <row r="26" ht="15.75" customHeight="1">
      <c r="A26" s="1" t="s">
        <v>261</v>
      </c>
      <c r="B26" s="160">
        <v>4450.0</v>
      </c>
      <c r="C26" s="1"/>
      <c r="D26" s="76">
        <v>2966.0</v>
      </c>
      <c r="E26" s="76">
        <v>3164.0</v>
      </c>
      <c r="F26" s="76">
        <v>3361.0</v>
      </c>
      <c r="G26" s="76">
        <v>3361.0</v>
      </c>
      <c r="H26" s="76">
        <v>3361.0</v>
      </c>
      <c r="I26" s="76">
        <v>3559.0</v>
      </c>
      <c r="J26" s="76">
        <v>3559.0</v>
      </c>
      <c r="K26" s="76">
        <v>3559.0</v>
      </c>
      <c r="L26" s="76">
        <v>3756.0</v>
      </c>
      <c r="M26" s="76">
        <v>3756.0</v>
      </c>
      <c r="N26" s="76">
        <v>3756.0</v>
      </c>
      <c r="O26" s="76">
        <v>4150.0</v>
      </c>
      <c r="P26" s="76">
        <v>4150.0</v>
      </c>
      <c r="Q26" s="76">
        <v>4150.0</v>
      </c>
      <c r="R26" s="76">
        <v>4150.0</v>
      </c>
      <c r="S26" s="76">
        <v>4150.0</v>
      </c>
      <c r="T26" s="76">
        <v>4450.0</v>
      </c>
      <c r="U26" s="76">
        <v>4450.0</v>
      </c>
      <c r="V26" s="76">
        <v>4450.0</v>
      </c>
      <c r="W26" s="76">
        <v>4450.0</v>
      </c>
      <c r="X26" s="76">
        <v>4450.0</v>
      </c>
      <c r="Y26" s="96">
        <v>18243.333333333336</v>
      </c>
      <c r="Z26" s="96">
        <v>18243.333333333336</v>
      </c>
      <c r="AA26" s="96">
        <v>19176.666666666668</v>
      </c>
      <c r="AB26" s="96">
        <v>19176.666666666668</v>
      </c>
      <c r="AC26" s="96">
        <v>19176.666666666668</v>
      </c>
      <c r="AD26" s="96">
        <v>19176.666666666668</v>
      </c>
      <c r="AE26" s="96">
        <v>19176.666666666668</v>
      </c>
      <c r="AF26" s="96">
        <v>19176.666666666668</v>
      </c>
      <c r="AG26" s="96">
        <v>19176.666666666668</v>
      </c>
      <c r="AH26" s="96">
        <v>19176.666666666668</v>
      </c>
      <c r="AI26" s="96">
        <v>19176.666666666668</v>
      </c>
      <c r="AJ26" s="96">
        <v>19176.666666666668</v>
      </c>
      <c r="AK26" s="96">
        <v>19176.666666666668</v>
      </c>
      <c r="AL26" s="96">
        <v>19176.666666666668</v>
      </c>
      <c r="AM26" s="96">
        <v>19176.666666666668</v>
      </c>
      <c r="AN26" s="96">
        <v>19176.666666666668</v>
      </c>
      <c r="AO26" s="96">
        <v>19176.666666666668</v>
      </c>
      <c r="AP26" s="96">
        <v>19176.666666666668</v>
      </c>
      <c r="AQ26" s="96">
        <v>19176.666666666668</v>
      </c>
      <c r="AR26" s="96">
        <v>19176.666666666668</v>
      </c>
      <c r="AS26" s="96">
        <v>19176.666666666668</v>
      </c>
      <c r="AT26" s="96">
        <v>19176.666666666668</v>
      </c>
      <c r="AU26" s="96">
        <v>19176.666666666668</v>
      </c>
      <c r="AV26" s="96">
        <v>19176.666666666668</v>
      </c>
      <c r="AW26" s="96">
        <v>19176.666666666668</v>
      </c>
      <c r="AX26" s="96">
        <v>19176.666666666668</v>
      </c>
      <c r="AY26" s="96">
        <v>19176.666666666668</v>
      </c>
    </row>
    <row r="27" ht="15.75" customHeight="1">
      <c r="A27" s="1" t="s">
        <v>262</v>
      </c>
      <c r="B27" s="160">
        <v>19450.0</v>
      </c>
      <c r="C27" s="1"/>
      <c r="D27" s="76">
        <v>14850.0</v>
      </c>
      <c r="E27" s="76">
        <v>15600.0</v>
      </c>
      <c r="F27" s="76">
        <v>16574.0</v>
      </c>
      <c r="G27" s="76">
        <v>16574.0</v>
      </c>
      <c r="H27" s="76">
        <v>16574.0</v>
      </c>
      <c r="I27" s="76">
        <v>17549.0</v>
      </c>
      <c r="J27" s="76">
        <v>17549.0</v>
      </c>
      <c r="K27" s="76">
        <v>17549.0</v>
      </c>
      <c r="L27" s="76">
        <v>18017.0</v>
      </c>
      <c r="M27" s="76">
        <v>18017.0</v>
      </c>
      <c r="N27" s="76">
        <v>18017.0</v>
      </c>
      <c r="O27" s="76">
        <v>18962.0</v>
      </c>
      <c r="P27" s="76">
        <v>18962.0</v>
      </c>
      <c r="Q27" s="76">
        <v>18962.0</v>
      </c>
      <c r="R27" s="76">
        <v>18962.0</v>
      </c>
      <c r="S27" s="76">
        <v>18962.0</v>
      </c>
      <c r="T27" s="76">
        <v>19450.0</v>
      </c>
      <c r="U27" s="76">
        <v>19450.0</v>
      </c>
      <c r="V27" s="76">
        <v>19450.0</v>
      </c>
      <c r="W27" s="76">
        <v>19450.0</v>
      </c>
      <c r="X27" s="76">
        <v>19450.0</v>
      </c>
      <c r="Y27" s="96">
        <v>19897.5</v>
      </c>
      <c r="Z27" s="96">
        <v>20797.5</v>
      </c>
      <c r="AA27" s="96">
        <v>21772.5</v>
      </c>
      <c r="AB27" s="96">
        <v>21772.5</v>
      </c>
      <c r="AC27" s="96">
        <v>21772.5</v>
      </c>
      <c r="AD27" s="96">
        <v>21772.5</v>
      </c>
      <c r="AE27" s="96">
        <v>21772.5</v>
      </c>
      <c r="AF27" s="96">
        <v>21772.5</v>
      </c>
      <c r="AG27" s="96">
        <v>21772.5</v>
      </c>
      <c r="AH27" s="96">
        <v>21772.5</v>
      </c>
      <c r="AI27" s="96">
        <v>21772.5</v>
      </c>
      <c r="AJ27" s="96">
        <v>21772.5</v>
      </c>
      <c r="AK27" s="96">
        <v>21772.5</v>
      </c>
      <c r="AL27" s="96">
        <v>21772.5</v>
      </c>
      <c r="AM27" s="96">
        <v>21772.5</v>
      </c>
      <c r="AN27" s="96">
        <v>21772.5</v>
      </c>
      <c r="AO27" s="96">
        <v>21772.5</v>
      </c>
      <c r="AP27" s="96">
        <v>21772.5</v>
      </c>
      <c r="AQ27" s="96">
        <v>21772.5</v>
      </c>
      <c r="AR27" s="96">
        <v>21772.5</v>
      </c>
      <c r="AS27" s="96">
        <v>21772.5</v>
      </c>
      <c r="AT27" s="96">
        <v>21772.5</v>
      </c>
      <c r="AU27" s="96">
        <v>21772.5</v>
      </c>
      <c r="AV27" s="96">
        <v>21772.5</v>
      </c>
      <c r="AW27" s="96">
        <v>21772.5</v>
      </c>
      <c r="AX27" s="96">
        <v>21772.5</v>
      </c>
      <c r="AY27" s="96">
        <v>21772.5</v>
      </c>
    </row>
    <row r="28" ht="15.75" customHeight="1">
      <c r="A28" s="1" t="s">
        <v>263</v>
      </c>
      <c r="B28" s="160">
        <v>215694.0</v>
      </c>
      <c r="C28" s="1"/>
      <c r="D28" s="76">
        <v>165000.0</v>
      </c>
      <c r="E28" s="76">
        <v>173328.0</v>
      </c>
      <c r="F28" s="76">
        <v>184161.0</v>
      </c>
      <c r="G28" s="76">
        <v>184161.0</v>
      </c>
      <c r="H28" s="76">
        <v>184161.0</v>
      </c>
      <c r="I28" s="76">
        <v>194994.0</v>
      </c>
      <c r="J28" s="76">
        <v>194994.0</v>
      </c>
      <c r="K28" s="76">
        <v>194994.0</v>
      </c>
      <c r="L28" s="76">
        <v>200194.0</v>
      </c>
      <c r="M28" s="76">
        <v>200194.0</v>
      </c>
      <c r="N28" s="76">
        <v>200194.0</v>
      </c>
      <c r="O28" s="76">
        <v>210694.0</v>
      </c>
      <c r="P28" s="76">
        <v>210694.0</v>
      </c>
      <c r="Q28" s="76">
        <v>210694.0</v>
      </c>
      <c r="R28" s="76">
        <v>210694.0</v>
      </c>
      <c r="S28" s="76">
        <v>210694.0</v>
      </c>
      <c r="T28" s="76">
        <v>215694.0</v>
      </c>
      <c r="U28" s="76">
        <v>215694.0</v>
      </c>
      <c r="V28" s="76">
        <v>215694.0</v>
      </c>
      <c r="W28" s="76">
        <v>215694.0</v>
      </c>
      <c r="X28" s="76">
        <v>215694.0</v>
      </c>
      <c r="Y28" s="96">
        <v>231083.33333333334</v>
      </c>
      <c r="Z28" s="96">
        <v>231083.33333333334</v>
      </c>
      <c r="AA28" s="96">
        <v>241916.6666666667</v>
      </c>
      <c r="AB28" s="96">
        <v>241916.6666666667</v>
      </c>
      <c r="AC28" s="96">
        <v>241916.6666666667</v>
      </c>
      <c r="AD28" s="96">
        <v>241916.6666666667</v>
      </c>
      <c r="AE28" s="96">
        <v>241916.6666666667</v>
      </c>
      <c r="AF28" s="96">
        <v>241916.6666666667</v>
      </c>
      <c r="AG28" s="96">
        <v>241916.6666666667</v>
      </c>
      <c r="AH28" s="96">
        <v>241916.6666666667</v>
      </c>
      <c r="AI28" s="96">
        <v>241916.6666666667</v>
      </c>
      <c r="AJ28" s="96">
        <v>241916.6666666667</v>
      </c>
      <c r="AK28" s="96">
        <v>241916.6666666667</v>
      </c>
      <c r="AL28" s="96">
        <v>241916.6666666667</v>
      </c>
      <c r="AM28" s="96">
        <v>241916.6666666667</v>
      </c>
      <c r="AN28" s="96">
        <v>241916.6666666667</v>
      </c>
      <c r="AO28" s="96">
        <v>241916.6666666667</v>
      </c>
      <c r="AP28" s="96">
        <v>241916.6666666667</v>
      </c>
      <c r="AQ28" s="96">
        <v>241916.6666666667</v>
      </c>
      <c r="AR28" s="96">
        <v>241916.6666666667</v>
      </c>
      <c r="AS28" s="96">
        <v>241916.6666666667</v>
      </c>
      <c r="AT28" s="96">
        <v>241916.6666666667</v>
      </c>
      <c r="AU28" s="96">
        <v>241916.6666666667</v>
      </c>
      <c r="AV28" s="96">
        <v>241916.6666666667</v>
      </c>
      <c r="AW28" s="96">
        <v>241916.6666666667</v>
      </c>
      <c r="AX28" s="96">
        <v>241916.6666666667</v>
      </c>
      <c r="AY28" s="96">
        <v>241916.6666666667</v>
      </c>
    </row>
    <row r="29" ht="15.75" customHeight="1">
      <c r="A29" s="21" t="s">
        <v>264</v>
      </c>
      <c r="B29" s="163"/>
      <c r="C29" s="21"/>
      <c r="D29" s="157">
        <v>182816.0</v>
      </c>
      <c r="E29" s="157">
        <v>192092.0</v>
      </c>
      <c r="F29" s="157">
        <v>204096.0</v>
      </c>
      <c r="G29" s="157">
        <v>204096.0</v>
      </c>
      <c r="H29" s="157">
        <v>204096.0</v>
      </c>
      <c r="I29" s="157">
        <v>216102.0</v>
      </c>
      <c r="J29" s="157">
        <v>216102.0</v>
      </c>
      <c r="K29" s="157">
        <v>216102.0</v>
      </c>
      <c r="L29" s="157">
        <v>221967.0</v>
      </c>
      <c r="M29" s="157">
        <v>221967.0</v>
      </c>
      <c r="N29" s="157">
        <v>221967.0</v>
      </c>
      <c r="O29" s="157">
        <v>233806.0</v>
      </c>
      <c r="P29" s="157">
        <v>233806.0</v>
      </c>
      <c r="Q29" s="157">
        <v>233806.0</v>
      </c>
      <c r="R29" s="157">
        <v>233806.0</v>
      </c>
      <c r="S29" s="157">
        <v>233806.0</v>
      </c>
      <c r="T29" s="157">
        <v>239594.0</v>
      </c>
      <c r="U29" s="157">
        <v>239594.0</v>
      </c>
      <c r="V29" s="157">
        <v>239594.0</v>
      </c>
      <c r="W29" s="157">
        <v>239594.0</v>
      </c>
      <c r="X29" s="157">
        <v>239594.0</v>
      </c>
      <c r="Y29" s="157">
        <v>269224.1666666667</v>
      </c>
      <c r="Z29" s="157">
        <v>270124.1666666667</v>
      </c>
      <c r="AA29" s="157">
        <v>282865.8333333334</v>
      </c>
      <c r="AB29" s="157">
        <v>282865.8333333334</v>
      </c>
      <c r="AC29" s="157">
        <v>282865.8333333334</v>
      </c>
      <c r="AD29" s="157">
        <v>282865.8333333334</v>
      </c>
      <c r="AE29" s="157">
        <v>282865.8333333334</v>
      </c>
      <c r="AF29" s="157">
        <v>282865.8333333334</v>
      </c>
      <c r="AG29" s="157">
        <v>282865.8333333334</v>
      </c>
      <c r="AH29" s="157">
        <v>282865.8333333334</v>
      </c>
      <c r="AI29" s="157">
        <v>282865.8333333334</v>
      </c>
      <c r="AJ29" s="157">
        <v>282865.8333333334</v>
      </c>
      <c r="AK29" s="157">
        <v>282865.8333333334</v>
      </c>
      <c r="AL29" s="157">
        <v>282865.8333333334</v>
      </c>
      <c r="AM29" s="157">
        <v>282865.8333333334</v>
      </c>
      <c r="AN29" s="157">
        <v>282865.8333333334</v>
      </c>
      <c r="AO29" s="157">
        <v>282865.8333333334</v>
      </c>
      <c r="AP29" s="157">
        <v>282865.8333333334</v>
      </c>
      <c r="AQ29" s="157">
        <v>282865.8333333334</v>
      </c>
      <c r="AR29" s="157">
        <v>282865.8333333334</v>
      </c>
      <c r="AS29" s="157">
        <v>282865.8333333334</v>
      </c>
      <c r="AT29" s="157">
        <v>282865.8333333334</v>
      </c>
      <c r="AU29" s="157">
        <v>282865.8333333334</v>
      </c>
      <c r="AV29" s="157">
        <v>282865.8333333334</v>
      </c>
      <c r="AW29" s="157">
        <v>282865.8333333334</v>
      </c>
      <c r="AX29" s="157">
        <v>282865.8333333334</v>
      </c>
      <c r="AY29" s="157">
        <v>282865.8333333334</v>
      </c>
    </row>
    <row r="30" ht="15.75" customHeight="1">
      <c r="A30" s="21" t="s">
        <v>414</v>
      </c>
      <c r="B30" s="163"/>
      <c r="C30" s="21"/>
      <c r="D30" s="157">
        <v>203616.0</v>
      </c>
      <c r="E30" s="157">
        <v>213254.0</v>
      </c>
      <c r="F30" s="157">
        <v>228112.0</v>
      </c>
      <c r="G30" s="157">
        <v>228156.0</v>
      </c>
      <c r="H30" s="157">
        <v>227917.0</v>
      </c>
      <c r="I30" s="157">
        <v>239328.0</v>
      </c>
      <c r="J30" s="157">
        <v>240162.0</v>
      </c>
      <c r="K30" s="157">
        <v>242532.0</v>
      </c>
      <c r="L30" s="157">
        <v>245467.0</v>
      </c>
      <c r="M30" s="157">
        <v>249787.0</v>
      </c>
      <c r="N30" s="157">
        <v>251307.0</v>
      </c>
      <c r="O30" s="157">
        <v>261226.0</v>
      </c>
      <c r="P30" s="157">
        <v>260726.0</v>
      </c>
      <c r="Q30" s="157">
        <v>261699.0</v>
      </c>
      <c r="R30" s="157">
        <v>261699.0</v>
      </c>
      <c r="S30" s="157">
        <v>263687.0</v>
      </c>
      <c r="T30" s="157">
        <v>268487.0</v>
      </c>
      <c r="U30" s="157">
        <v>267252.0</v>
      </c>
      <c r="V30" s="157">
        <v>266881.0</v>
      </c>
      <c r="W30" s="157">
        <v>269416.0</v>
      </c>
      <c r="X30" s="157">
        <v>269416.0</v>
      </c>
      <c r="Y30" s="157">
        <v>279224.1666666667</v>
      </c>
      <c r="Z30" s="157">
        <v>270124.1666666667</v>
      </c>
      <c r="AA30" s="157">
        <v>282865.8333333334</v>
      </c>
      <c r="AB30" s="157">
        <v>282865.8333333334</v>
      </c>
      <c r="AC30" s="157">
        <v>282865.8333333334</v>
      </c>
      <c r="AD30" s="157">
        <v>282865.8333333334</v>
      </c>
      <c r="AE30" s="157">
        <v>282865.8333333334</v>
      </c>
      <c r="AF30" s="157">
        <v>282865.8333333334</v>
      </c>
      <c r="AG30" s="157">
        <v>282865.8333333334</v>
      </c>
      <c r="AH30" s="157">
        <v>282865.8333333334</v>
      </c>
      <c r="AI30" s="157">
        <v>282865.8333333334</v>
      </c>
      <c r="AJ30" s="157">
        <v>282865.8333333334</v>
      </c>
      <c r="AK30" s="157">
        <v>282865.8333333334</v>
      </c>
      <c r="AL30" s="157">
        <v>282865.8333333334</v>
      </c>
      <c r="AM30" s="157">
        <v>282865.8333333334</v>
      </c>
      <c r="AN30" s="157">
        <v>282865.8333333334</v>
      </c>
      <c r="AO30" s="157">
        <v>282865.8333333334</v>
      </c>
      <c r="AP30" s="157">
        <v>282865.8333333334</v>
      </c>
      <c r="AQ30" s="157">
        <v>282865.8333333334</v>
      </c>
      <c r="AR30" s="157">
        <v>282865.8333333334</v>
      </c>
      <c r="AS30" s="157">
        <v>282865.8333333334</v>
      </c>
      <c r="AT30" s="157">
        <v>282865.8333333334</v>
      </c>
      <c r="AU30" s="157">
        <v>282865.8333333334</v>
      </c>
      <c r="AV30" s="157">
        <v>282865.8333333334</v>
      </c>
      <c r="AW30" s="157">
        <v>282865.8333333334</v>
      </c>
      <c r="AX30" s="157">
        <v>282865.8333333334</v>
      </c>
      <c r="AY30" s="157">
        <v>282865.8333333334</v>
      </c>
    </row>
    <row r="31" ht="15.75" customHeight="1">
      <c r="A31" s="31" t="s">
        <v>244</v>
      </c>
      <c r="B31" s="159"/>
      <c r="C31" s="1"/>
      <c r="D31" s="76">
        <v>0.0</v>
      </c>
      <c r="E31" s="76">
        <v>0.0</v>
      </c>
      <c r="F31" s="76">
        <v>0.0</v>
      </c>
      <c r="G31" s="76">
        <v>0.0</v>
      </c>
      <c r="H31" s="76">
        <v>0.0</v>
      </c>
      <c r="I31" s="76">
        <v>0.0</v>
      </c>
      <c r="J31" s="76">
        <v>0.0</v>
      </c>
      <c r="K31" s="76">
        <v>0.0</v>
      </c>
      <c r="L31" s="76">
        <v>0.0</v>
      </c>
      <c r="M31" s="76">
        <v>0.0</v>
      </c>
      <c r="N31" s="76">
        <v>0.0</v>
      </c>
      <c r="O31" s="76">
        <v>0.0</v>
      </c>
      <c r="P31" s="76">
        <v>0.0</v>
      </c>
      <c r="Q31" s="76">
        <v>0.0</v>
      </c>
      <c r="R31" s="76">
        <v>0.0</v>
      </c>
      <c r="S31" s="76">
        <v>0.0</v>
      </c>
      <c r="T31" s="76">
        <v>0.0</v>
      </c>
      <c r="U31" s="76">
        <v>0.0</v>
      </c>
      <c r="V31" s="76">
        <v>0.0</v>
      </c>
      <c r="W31" s="76">
        <v>0.0</v>
      </c>
      <c r="X31" s="76">
        <v>0.0</v>
      </c>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row>
    <row r="32" ht="15.75" customHeight="1">
      <c r="A32" s="1" t="s">
        <v>16</v>
      </c>
      <c r="B32" s="159"/>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row>
    <row r="33" ht="15.75" customHeight="1">
      <c r="A33" s="1" t="s">
        <v>266</v>
      </c>
      <c r="B33" s="160">
        <v>272.3333333333333</v>
      </c>
      <c r="C33" s="1"/>
      <c r="D33" s="76">
        <v>180.0</v>
      </c>
      <c r="E33" s="76">
        <v>178.0</v>
      </c>
      <c r="F33" s="76">
        <v>208.0</v>
      </c>
      <c r="G33" s="76">
        <v>210.0</v>
      </c>
      <c r="H33" s="76">
        <v>183.0</v>
      </c>
      <c r="I33" s="76">
        <v>197.0</v>
      </c>
      <c r="J33" s="76">
        <v>192.0</v>
      </c>
      <c r="K33" s="76">
        <v>208.0</v>
      </c>
      <c r="L33" s="76">
        <v>239.0</v>
      </c>
      <c r="M33" s="76">
        <v>212.0</v>
      </c>
      <c r="N33" s="76">
        <v>251.0</v>
      </c>
      <c r="O33" s="76">
        <v>293.0</v>
      </c>
      <c r="P33" s="76">
        <v>312.0</v>
      </c>
      <c r="Q33" s="76">
        <v>342.0</v>
      </c>
      <c r="R33" s="76">
        <v>224.0</v>
      </c>
      <c r="S33" s="76">
        <v>231.0</v>
      </c>
      <c r="T33" s="76">
        <v>211.0</v>
      </c>
      <c r="U33" s="76">
        <v>239.0</v>
      </c>
      <c r="V33" s="76">
        <v>249.0</v>
      </c>
      <c r="W33" s="76">
        <v>261.0</v>
      </c>
      <c r="X33" s="76">
        <v>307.0</v>
      </c>
      <c r="Y33" s="96">
        <v>272.3333333333333</v>
      </c>
      <c r="Z33" s="96">
        <v>272.3333333333333</v>
      </c>
      <c r="AA33" s="96">
        <v>272.3333333333333</v>
      </c>
      <c r="AB33" s="96">
        <v>272.3333333333333</v>
      </c>
      <c r="AC33" s="96">
        <v>272.3333333333333</v>
      </c>
      <c r="AD33" s="96">
        <v>272.3333333333333</v>
      </c>
      <c r="AE33" s="96">
        <v>272.3333333333333</v>
      </c>
      <c r="AF33" s="96">
        <v>272.3333333333333</v>
      </c>
      <c r="AG33" s="96">
        <v>272.3333333333333</v>
      </c>
      <c r="AH33" s="96">
        <v>272.3333333333333</v>
      </c>
      <c r="AI33" s="96">
        <v>272.3333333333333</v>
      </c>
      <c r="AJ33" s="96">
        <v>272.3333333333333</v>
      </c>
      <c r="AK33" s="96">
        <v>272.3333333333333</v>
      </c>
      <c r="AL33" s="96">
        <v>272.3333333333333</v>
      </c>
      <c r="AM33" s="96">
        <v>272.3333333333333</v>
      </c>
      <c r="AN33" s="96">
        <v>272.3333333333333</v>
      </c>
      <c r="AO33" s="96">
        <v>272.3333333333333</v>
      </c>
      <c r="AP33" s="96">
        <v>272.3333333333333</v>
      </c>
      <c r="AQ33" s="96">
        <v>272.3333333333333</v>
      </c>
      <c r="AR33" s="96">
        <v>272.3333333333333</v>
      </c>
      <c r="AS33" s="96">
        <v>272.3333333333333</v>
      </c>
      <c r="AT33" s="96">
        <v>272.3333333333333</v>
      </c>
      <c r="AU33" s="96">
        <v>272.3333333333333</v>
      </c>
      <c r="AV33" s="96">
        <v>272.3333333333333</v>
      </c>
      <c r="AW33" s="96">
        <v>272.3333333333333</v>
      </c>
      <c r="AX33" s="96">
        <v>272.3333333333333</v>
      </c>
      <c r="AY33" s="96">
        <v>272.3333333333333</v>
      </c>
    </row>
    <row r="34" ht="15.75" customHeight="1">
      <c r="A34" s="1" t="s">
        <v>267</v>
      </c>
      <c r="B34" s="160">
        <v>731.6666666666666</v>
      </c>
      <c r="C34" s="1"/>
      <c r="D34" s="76">
        <v>770.0</v>
      </c>
      <c r="E34" s="76">
        <v>947.0</v>
      </c>
      <c r="F34" s="76">
        <v>574.0</v>
      </c>
      <c r="G34" s="76">
        <v>761.0</v>
      </c>
      <c r="H34" s="76">
        <v>823.0</v>
      </c>
      <c r="I34" s="76">
        <v>712.0</v>
      </c>
      <c r="J34" s="76">
        <v>788.0</v>
      </c>
      <c r="K34" s="76">
        <v>830.0</v>
      </c>
      <c r="L34" s="76">
        <v>893.0</v>
      </c>
      <c r="M34" s="76">
        <v>840.0</v>
      </c>
      <c r="N34" s="76">
        <v>815.0</v>
      </c>
      <c r="O34" s="76">
        <v>924.0</v>
      </c>
      <c r="P34" s="76">
        <v>871.0</v>
      </c>
      <c r="Q34" s="76">
        <v>445.0</v>
      </c>
      <c r="R34" s="76">
        <v>755.0</v>
      </c>
      <c r="S34" s="76">
        <v>730.0</v>
      </c>
      <c r="T34" s="76">
        <v>655.0</v>
      </c>
      <c r="U34" s="76">
        <v>680.0</v>
      </c>
      <c r="V34" s="76">
        <v>709.0</v>
      </c>
      <c r="W34" s="76">
        <v>731.0</v>
      </c>
      <c r="X34" s="76">
        <v>755.0</v>
      </c>
      <c r="Y34" s="96">
        <v>731.6666666666666</v>
      </c>
      <c r="Z34" s="96">
        <v>731.6666666666666</v>
      </c>
      <c r="AA34" s="96">
        <v>731.6666666666666</v>
      </c>
      <c r="AB34" s="96">
        <v>731.6666666666666</v>
      </c>
      <c r="AC34" s="96">
        <v>731.6666666666666</v>
      </c>
      <c r="AD34" s="96">
        <v>731.6666666666666</v>
      </c>
      <c r="AE34" s="96">
        <v>731.6666666666666</v>
      </c>
      <c r="AF34" s="96">
        <v>731.6666666666666</v>
      </c>
      <c r="AG34" s="96">
        <v>731.6666666666666</v>
      </c>
      <c r="AH34" s="96">
        <v>731.6666666666666</v>
      </c>
      <c r="AI34" s="96">
        <v>731.6666666666666</v>
      </c>
      <c r="AJ34" s="96">
        <v>731.6666666666666</v>
      </c>
      <c r="AK34" s="96">
        <v>731.6666666666666</v>
      </c>
      <c r="AL34" s="96">
        <v>731.6666666666666</v>
      </c>
      <c r="AM34" s="96">
        <v>731.6666666666666</v>
      </c>
      <c r="AN34" s="96">
        <v>731.6666666666666</v>
      </c>
      <c r="AO34" s="96">
        <v>731.6666666666666</v>
      </c>
      <c r="AP34" s="96">
        <v>731.6666666666666</v>
      </c>
      <c r="AQ34" s="96">
        <v>731.6666666666666</v>
      </c>
      <c r="AR34" s="96">
        <v>731.6666666666666</v>
      </c>
      <c r="AS34" s="96">
        <v>731.6666666666666</v>
      </c>
      <c r="AT34" s="96">
        <v>731.6666666666666</v>
      </c>
      <c r="AU34" s="96">
        <v>731.6666666666666</v>
      </c>
      <c r="AV34" s="96">
        <v>731.6666666666666</v>
      </c>
      <c r="AW34" s="96">
        <v>731.6666666666666</v>
      </c>
      <c r="AX34" s="96">
        <v>731.6666666666666</v>
      </c>
      <c r="AY34" s="96">
        <v>731.6666666666666</v>
      </c>
    </row>
    <row r="35" ht="15.75" customHeight="1">
      <c r="A35" s="1" t="s">
        <v>268</v>
      </c>
      <c r="B35" s="160">
        <v>3123.3333333333335</v>
      </c>
      <c r="C35" s="1"/>
      <c r="D35" s="76">
        <v>1774.0</v>
      </c>
      <c r="E35" s="76">
        <v>1642.0</v>
      </c>
      <c r="F35" s="76">
        <v>1544.0</v>
      </c>
      <c r="G35" s="76">
        <v>1737.0</v>
      </c>
      <c r="H35" s="76">
        <v>1912.0</v>
      </c>
      <c r="I35" s="76">
        <v>1989.0</v>
      </c>
      <c r="J35" s="76">
        <v>2153.0</v>
      </c>
      <c r="K35" s="76">
        <v>1890.0</v>
      </c>
      <c r="L35" s="76">
        <v>2040.0</v>
      </c>
      <c r="M35" s="76">
        <v>2285.0</v>
      </c>
      <c r="N35" s="76">
        <v>2327.0</v>
      </c>
      <c r="O35" s="76">
        <v>2358.0</v>
      </c>
      <c r="P35" s="76">
        <v>2288.0</v>
      </c>
      <c r="Q35" s="76">
        <v>3455.0</v>
      </c>
      <c r="R35" s="76">
        <v>3571.0</v>
      </c>
      <c r="S35" s="76">
        <v>3571.0</v>
      </c>
      <c r="T35" s="76">
        <v>2910.0</v>
      </c>
      <c r="U35" s="76">
        <v>3387.0</v>
      </c>
      <c r="V35" s="76">
        <v>3266.0</v>
      </c>
      <c r="W35" s="76">
        <v>3197.0</v>
      </c>
      <c r="X35" s="76">
        <v>2907.0</v>
      </c>
      <c r="Y35" s="96">
        <v>3123.3333333333335</v>
      </c>
      <c r="Z35" s="96">
        <v>3123.3333333333335</v>
      </c>
      <c r="AA35" s="96">
        <v>3123.3333333333335</v>
      </c>
      <c r="AB35" s="96">
        <v>3123.3333333333335</v>
      </c>
      <c r="AC35" s="96">
        <v>3123.3333333333335</v>
      </c>
      <c r="AD35" s="96">
        <v>3123.3333333333335</v>
      </c>
      <c r="AE35" s="96">
        <v>3123.3333333333335</v>
      </c>
      <c r="AF35" s="96">
        <v>3123.3333333333335</v>
      </c>
      <c r="AG35" s="96">
        <v>3123.3333333333335</v>
      </c>
      <c r="AH35" s="96">
        <v>3123.3333333333335</v>
      </c>
      <c r="AI35" s="96">
        <v>3123.3333333333335</v>
      </c>
      <c r="AJ35" s="96">
        <v>3123.3333333333335</v>
      </c>
      <c r="AK35" s="96">
        <v>3123.3333333333335</v>
      </c>
      <c r="AL35" s="96">
        <v>3123.3333333333335</v>
      </c>
      <c r="AM35" s="96">
        <v>3123.3333333333335</v>
      </c>
      <c r="AN35" s="96">
        <v>3123.3333333333335</v>
      </c>
      <c r="AO35" s="96">
        <v>3123.3333333333335</v>
      </c>
      <c r="AP35" s="96">
        <v>3123.3333333333335</v>
      </c>
      <c r="AQ35" s="96">
        <v>3123.3333333333335</v>
      </c>
      <c r="AR35" s="96">
        <v>3123.3333333333335</v>
      </c>
      <c r="AS35" s="96">
        <v>3123.3333333333335</v>
      </c>
      <c r="AT35" s="96">
        <v>3123.3333333333335</v>
      </c>
      <c r="AU35" s="96">
        <v>3123.3333333333335</v>
      </c>
      <c r="AV35" s="96">
        <v>3123.3333333333335</v>
      </c>
      <c r="AW35" s="96">
        <v>3123.3333333333335</v>
      </c>
      <c r="AX35" s="96">
        <v>3123.3333333333335</v>
      </c>
      <c r="AY35" s="96">
        <v>3123.3333333333335</v>
      </c>
    </row>
    <row r="36" ht="15.75" customHeight="1">
      <c r="A36" s="1" t="s">
        <v>415</v>
      </c>
      <c r="B36" s="160">
        <v>783.3333333333334</v>
      </c>
      <c r="C36" s="1"/>
      <c r="D36" s="76">
        <v>663.0</v>
      </c>
      <c r="E36" s="76">
        <v>663.0</v>
      </c>
      <c r="F36" s="76">
        <v>663.0</v>
      </c>
      <c r="G36" s="76">
        <v>663.0</v>
      </c>
      <c r="H36" s="76">
        <v>663.0</v>
      </c>
      <c r="I36" s="76">
        <v>663.0</v>
      </c>
      <c r="J36" s="76">
        <v>663.0</v>
      </c>
      <c r="K36" s="76">
        <v>700.0</v>
      </c>
      <c r="L36" s="76">
        <v>700.0</v>
      </c>
      <c r="M36" s="76">
        <v>700.0</v>
      </c>
      <c r="N36" s="76">
        <v>700.0</v>
      </c>
      <c r="O36" s="76">
        <v>700.0</v>
      </c>
      <c r="P36" s="76">
        <v>750.0</v>
      </c>
      <c r="Q36" s="76">
        <v>750.0</v>
      </c>
      <c r="R36" s="76">
        <v>750.0</v>
      </c>
      <c r="S36" s="76">
        <v>750.0</v>
      </c>
      <c r="T36" s="76">
        <v>750.0</v>
      </c>
      <c r="U36" s="76">
        <v>750.0</v>
      </c>
      <c r="V36" s="76">
        <v>750.0</v>
      </c>
      <c r="W36" s="76">
        <v>800.0</v>
      </c>
      <c r="X36" s="76">
        <v>800.0</v>
      </c>
      <c r="Y36" s="96">
        <v>783.3333333333334</v>
      </c>
      <c r="Z36" s="96">
        <v>783.3333333333334</v>
      </c>
      <c r="AA36" s="96">
        <v>783.3333333333334</v>
      </c>
      <c r="AB36" s="96">
        <v>783.3333333333334</v>
      </c>
      <c r="AC36" s="96">
        <v>783.3333333333334</v>
      </c>
      <c r="AD36" s="96">
        <v>783.3333333333334</v>
      </c>
      <c r="AE36" s="96">
        <v>783.3333333333334</v>
      </c>
      <c r="AF36" s="96">
        <v>783.3333333333334</v>
      </c>
      <c r="AG36" s="96">
        <v>783.3333333333334</v>
      </c>
      <c r="AH36" s="96">
        <v>783.3333333333334</v>
      </c>
      <c r="AI36" s="96">
        <v>783.3333333333334</v>
      </c>
      <c r="AJ36" s="96">
        <v>783.3333333333334</v>
      </c>
      <c r="AK36" s="96">
        <v>783.3333333333334</v>
      </c>
      <c r="AL36" s="96">
        <v>783.3333333333334</v>
      </c>
      <c r="AM36" s="96">
        <v>783.3333333333334</v>
      </c>
      <c r="AN36" s="96">
        <v>783.3333333333334</v>
      </c>
      <c r="AO36" s="96">
        <v>783.3333333333334</v>
      </c>
      <c r="AP36" s="96">
        <v>783.3333333333334</v>
      </c>
      <c r="AQ36" s="96">
        <v>783.3333333333334</v>
      </c>
      <c r="AR36" s="96">
        <v>783.3333333333334</v>
      </c>
      <c r="AS36" s="96">
        <v>783.3333333333334</v>
      </c>
      <c r="AT36" s="96">
        <v>783.3333333333334</v>
      </c>
      <c r="AU36" s="96">
        <v>783.3333333333334</v>
      </c>
      <c r="AV36" s="96">
        <v>783.3333333333334</v>
      </c>
      <c r="AW36" s="96">
        <v>783.3333333333334</v>
      </c>
      <c r="AX36" s="96">
        <v>783.3333333333334</v>
      </c>
      <c r="AY36" s="96">
        <v>783.3333333333334</v>
      </c>
    </row>
    <row r="37" ht="15.75" customHeight="1">
      <c r="A37" s="1" t="s">
        <v>270</v>
      </c>
      <c r="B37" s="159"/>
      <c r="C37" s="1"/>
      <c r="D37" s="76"/>
      <c r="E37" s="76"/>
      <c r="F37" s="76"/>
      <c r="G37" s="76"/>
      <c r="H37" s="76"/>
      <c r="I37" s="76"/>
      <c r="J37" s="76"/>
      <c r="K37" s="76"/>
      <c r="L37" s="76"/>
      <c r="M37" s="76"/>
      <c r="N37" s="76"/>
      <c r="O37" s="76"/>
      <c r="P37" s="76"/>
      <c r="Q37" s="76"/>
      <c r="R37" s="76"/>
      <c r="S37" s="76"/>
      <c r="T37" s="76"/>
      <c r="U37" s="76"/>
      <c r="V37" s="76"/>
      <c r="W37" s="76"/>
      <c r="X37" s="76"/>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row>
    <row r="38" ht="15.75" customHeight="1">
      <c r="A38" s="1" t="s">
        <v>271</v>
      </c>
      <c r="B38" s="160">
        <v>6878.0</v>
      </c>
      <c r="C38" s="1"/>
      <c r="D38" s="76">
        <v>2250.0</v>
      </c>
      <c r="E38" s="76">
        <v>2346.0</v>
      </c>
      <c r="F38" s="76">
        <v>2806.0</v>
      </c>
      <c r="G38" s="76">
        <v>3195.0</v>
      </c>
      <c r="H38" s="76">
        <v>3233.0</v>
      </c>
      <c r="I38" s="76">
        <v>3592.0</v>
      </c>
      <c r="J38" s="76">
        <v>3621.0</v>
      </c>
      <c r="K38" s="76">
        <v>3689.0</v>
      </c>
      <c r="L38" s="76">
        <v>3772.0</v>
      </c>
      <c r="M38" s="76">
        <v>4011.0</v>
      </c>
      <c r="N38" s="76">
        <v>3922.0</v>
      </c>
      <c r="O38" s="76">
        <v>4271.0</v>
      </c>
      <c r="P38" s="76">
        <v>4129.0</v>
      </c>
      <c r="Q38" s="76">
        <v>4500.0</v>
      </c>
      <c r="R38" s="76">
        <v>5667.0</v>
      </c>
      <c r="S38" s="76">
        <v>5667.0</v>
      </c>
      <c r="T38" s="76">
        <v>6500.0</v>
      </c>
      <c r="U38" s="76">
        <v>6738.0</v>
      </c>
      <c r="V38" s="76">
        <v>6481.0</v>
      </c>
      <c r="W38" s="76">
        <v>6576.0</v>
      </c>
      <c r="X38" s="76">
        <v>7577.0</v>
      </c>
      <c r="Y38" s="96">
        <v>6878.0</v>
      </c>
      <c r="Z38" s="96">
        <v>6878.0</v>
      </c>
      <c r="AA38" s="96">
        <v>6878.0</v>
      </c>
      <c r="AB38" s="96">
        <v>6878.0</v>
      </c>
      <c r="AC38" s="96">
        <v>6878.0</v>
      </c>
      <c r="AD38" s="96">
        <v>6878.0</v>
      </c>
      <c r="AE38" s="96">
        <v>6878.0</v>
      </c>
      <c r="AF38" s="96">
        <v>6878.0</v>
      </c>
      <c r="AG38" s="96">
        <v>6878.0</v>
      </c>
      <c r="AH38" s="96">
        <v>6878.0</v>
      </c>
      <c r="AI38" s="96">
        <v>6878.0</v>
      </c>
      <c r="AJ38" s="96">
        <v>6878.0</v>
      </c>
      <c r="AK38" s="96">
        <v>6878.0</v>
      </c>
      <c r="AL38" s="96">
        <v>6878.0</v>
      </c>
      <c r="AM38" s="96">
        <v>6878.0</v>
      </c>
      <c r="AN38" s="96">
        <v>6878.0</v>
      </c>
      <c r="AO38" s="96">
        <v>6878.0</v>
      </c>
      <c r="AP38" s="96">
        <v>6878.0</v>
      </c>
      <c r="AQ38" s="96">
        <v>6878.0</v>
      </c>
      <c r="AR38" s="96">
        <v>6878.0</v>
      </c>
      <c r="AS38" s="96">
        <v>6878.0</v>
      </c>
      <c r="AT38" s="96">
        <v>6878.0</v>
      </c>
      <c r="AU38" s="96">
        <v>6878.0</v>
      </c>
      <c r="AV38" s="96">
        <v>6878.0</v>
      </c>
      <c r="AW38" s="96">
        <v>6878.0</v>
      </c>
      <c r="AX38" s="96">
        <v>6878.0</v>
      </c>
      <c r="AY38" s="96">
        <v>6878.0</v>
      </c>
    </row>
    <row r="39" ht="15.75" customHeight="1">
      <c r="A39" s="21" t="s">
        <v>272</v>
      </c>
      <c r="B39" s="163"/>
      <c r="C39" s="21"/>
      <c r="D39" s="157">
        <v>2250.0</v>
      </c>
      <c r="E39" s="157">
        <v>2346.0</v>
      </c>
      <c r="F39" s="157">
        <v>2806.0</v>
      </c>
      <c r="G39" s="157">
        <v>3195.0</v>
      </c>
      <c r="H39" s="157">
        <v>3233.0</v>
      </c>
      <c r="I39" s="157">
        <v>3592.0</v>
      </c>
      <c r="J39" s="157">
        <v>3621.0</v>
      </c>
      <c r="K39" s="157">
        <v>3689.0</v>
      </c>
      <c r="L39" s="157">
        <v>3772.0</v>
      </c>
      <c r="M39" s="157">
        <v>4011.0</v>
      </c>
      <c r="N39" s="157">
        <v>3922.0</v>
      </c>
      <c r="O39" s="157">
        <v>4271.0</v>
      </c>
      <c r="P39" s="157">
        <v>4129.0</v>
      </c>
      <c r="Q39" s="157">
        <v>4500.0</v>
      </c>
      <c r="R39" s="157">
        <v>5667.0</v>
      </c>
      <c r="S39" s="157">
        <v>5667.0</v>
      </c>
      <c r="T39" s="157">
        <v>6500.0</v>
      </c>
      <c r="U39" s="157">
        <v>6738.0</v>
      </c>
      <c r="V39" s="157">
        <v>6481.0</v>
      </c>
      <c r="W39" s="157">
        <v>6576.0</v>
      </c>
      <c r="X39" s="157">
        <v>7577.0</v>
      </c>
      <c r="Y39" s="157">
        <v>6878.0</v>
      </c>
      <c r="Z39" s="157">
        <v>6878.0</v>
      </c>
      <c r="AA39" s="157">
        <v>6878.0</v>
      </c>
      <c r="AB39" s="157">
        <v>6878.0</v>
      </c>
      <c r="AC39" s="157">
        <v>6878.0</v>
      </c>
      <c r="AD39" s="157">
        <v>6878.0</v>
      </c>
      <c r="AE39" s="157">
        <v>6878.0</v>
      </c>
      <c r="AF39" s="157">
        <v>6878.0</v>
      </c>
      <c r="AG39" s="157">
        <v>6878.0</v>
      </c>
      <c r="AH39" s="157">
        <v>6878.0</v>
      </c>
      <c r="AI39" s="157">
        <v>6878.0</v>
      </c>
      <c r="AJ39" s="157">
        <v>6878.0</v>
      </c>
      <c r="AK39" s="157">
        <v>6878.0</v>
      </c>
      <c r="AL39" s="157">
        <v>6878.0</v>
      </c>
      <c r="AM39" s="157">
        <v>6878.0</v>
      </c>
      <c r="AN39" s="157">
        <v>6878.0</v>
      </c>
      <c r="AO39" s="157">
        <v>6878.0</v>
      </c>
      <c r="AP39" s="157">
        <v>6878.0</v>
      </c>
      <c r="AQ39" s="157">
        <v>6878.0</v>
      </c>
      <c r="AR39" s="157">
        <v>6878.0</v>
      </c>
      <c r="AS39" s="157">
        <v>6878.0</v>
      </c>
      <c r="AT39" s="157">
        <v>6878.0</v>
      </c>
      <c r="AU39" s="157">
        <v>6878.0</v>
      </c>
      <c r="AV39" s="157">
        <v>6878.0</v>
      </c>
      <c r="AW39" s="157">
        <v>6878.0</v>
      </c>
      <c r="AX39" s="157">
        <v>6878.0</v>
      </c>
      <c r="AY39" s="157">
        <v>6878.0</v>
      </c>
    </row>
    <row r="40" ht="15.75" customHeight="1">
      <c r="A40" s="1" t="s">
        <v>273</v>
      </c>
      <c r="B40" s="159"/>
      <c r="C40" s="1"/>
      <c r="D40" s="76"/>
      <c r="E40" s="76"/>
      <c r="F40" s="76"/>
      <c r="G40" s="76"/>
      <c r="H40" s="76"/>
      <c r="I40" s="76"/>
      <c r="J40" s="76"/>
      <c r="K40" s="76"/>
      <c r="L40" s="76"/>
      <c r="M40" s="76"/>
      <c r="N40" s="76"/>
      <c r="O40" s="76"/>
      <c r="P40" s="76"/>
      <c r="Q40" s="76"/>
      <c r="R40" s="76"/>
      <c r="S40" s="76"/>
      <c r="T40" s="76"/>
      <c r="U40" s="76"/>
      <c r="V40" s="76"/>
      <c r="W40" s="76"/>
      <c r="X40" s="76"/>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row>
    <row r="41" ht="15.75" customHeight="1">
      <c r="A41" s="1" t="s">
        <v>274</v>
      </c>
      <c r="B41" s="160">
        <v>5188.0</v>
      </c>
      <c r="C41" s="1"/>
      <c r="D41" s="76">
        <v>5751.0</v>
      </c>
      <c r="E41" s="76">
        <v>6018.0</v>
      </c>
      <c r="F41" s="76">
        <v>6036.0</v>
      </c>
      <c r="G41" s="76">
        <v>5888.0</v>
      </c>
      <c r="H41" s="76">
        <v>6181.0</v>
      </c>
      <c r="I41" s="76">
        <v>6414.0</v>
      </c>
      <c r="J41" s="76">
        <v>6719.0</v>
      </c>
      <c r="K41" s="76">
        <v>6191.0</v>
      </c>
      <c r="L41" s="76">
        <v>6563.0</v>
      </c>
      <c r="M41" s="76">
        <v>6897.0</v>
      </c>
      <c r="N41" s="76">
        <v>6459.0</v>
      </c>
      <c r="O41" s="76">
        <v>6719.0</v>
      </c>
      <c r="P41" s="76">
        <v>6691.0</v>
      </c>
      <c r="Q41" s="76">
        <v>4245.0</v>
      </c>
      <c r="R41" s="76">
        <v>5237.0</v>
      </c>
      <c r="S41" s="76">
        <v>4988.0</v>
      </c>
      <c r="T41" s="76">
        <v>5237.0</v>
      </c>
      <c r="U41" s="76">
        <v>5471.0</v>
      </c>
      <c r="V41" s="76">
        <v>5388.0</v>
      </c>
      <c r="W41" s="76">
        <v>5477.0</v>
      </c>
      <c r="X41" s="76">
        <v>4699.0</v>
      </c>
      <c r="Y41" s="96">
        <v>5188.0</v>
      </c>
      <c r="Z41" s="96">
        <v>5188.0</v>
      </c>
      <c r="AA41" s="96">
        <v>5188.0</v>
      </c>
      <c r="AB41" s="96">
        <v>5188.0</v>
      </c>
      <c r="AC41" s="96">
        <v>5188.0</v>
      </c>
      <c r="AD41" s="96">
        <v>5188.0</v>
      </c>
      <c r="AE41" s="96">
        <v>5188.0</v>
      </c>
      <c r="AF41" s="96">
        <v>5188.0</v>
      </c>
      <c r="AG41" s="96">
        <v>5188.0</v>
      </c>
      <c r="AH41" s="96">
        <v>5188.0</v>
      </c>
      <c r="AI41" s="96">
        <v>5188.0</v>
      </c>
      <c r="AJ41" s="96">
        <v>5188.0</v>
      </c>
      <c r="AK41" s="96">
        <v>5188.0</v>
      </c>
      <c r="AL41" s="96">
        <v>5188.0</v>
      </c>
      <c r="AM41" s="96">
        <v>5188.0</v>
      </c>
      <c r="AN41" s="96">
        <v>5188.0</v>
      </c>
      <c r="AO41" s="96">
        <v>5188.0</v>
      </c>
      <c r="AP41" s="96">
        <v>5188.0</v>
      </c>
      <c r="AQ41" s="96">
        <v>5188.0</v>
      </c>
      <c r="AR41" s="96">
        <v>5188.0</v>
      </c>
      <c r="AS41" s="96">
        <v>5188.0</v>
      </c>
      <c r="AT41" s="96">
        <v>5188.0</v>
      </c>
      <c r="AU41" s="96">
        <v>5188.0</v>
      </c>
      <c r="AV41" s="96">
        <v>5188.0</v>
      </c>
      <c r="AW41" s="96">
        <v>5188.0</v>
      </c>
      <c r="AX41" s="96">
        <v>5188.0</v>
      </c>
      <c r="AY41" s="96">
        <v>5188.0</v>
      </c>
    </row>
    <row r="42" ht="15.75" customHeight="1">
      <c r="A42" s="21" t="s">
        <v>275</v>
      </c>
      <c r="B42" s="163"/>
      <c r="C42" s="21"/>
      <c r="D42" s="157">
        <v>5751.0</v>
      </c>
      <c r="E42" s="157">
        <v>6018.0</v>
      </c>
      <c r="F42" s="157">
        <v>6036.0</v>
      </c>
      <c r="G42" s="157">
        <v>5888.0</v>
      </c>
      <c r="H42" s="157">
        <v>6181.0</v>
      </c>
      <c r="I42" s="157">
        <v>6414.0</v>
      </c>
      <c r="J42" s="157">
        <v>6719.0</v>
      </c>
      <c r="K42" s="157">
        <v>6191.0</v>
      </c>
      <c r="L42" s="157">
        <v>6563.0</v>
      </c>
      <c r="M42" s="157">
        <v>6897.0</v>
      </c>
      <c r="N42" s="157">
        <v>6459.0</v>
      </c>
      <c r="O42" s="157">
        <v>6719.0</v>
      </c>
      <c r="P42" s="157">
        <v>6691.0</v>
      </c>
      <c r="Q42" s="157">
        <v>4245.0</v>
      </c>
      <c r="R42" s="157">
        <v>5237.0</v>
      </c>
      <c r="S42" s="157">
        <v>4988.0</v>
      </c>
      <c r="T42" s="157">
        <v>5237.0</v>
      </c>
      <c r="U42" s="157">
        <v>5471.0</v>
      </c>
      <c r="V42" s="157">
        <v>5388.0</v>
      </c>
      <c r="W42" s="157">
        <v>5477.0</v>
      </c>
      <c r="X42" s="157">
        <v>4699.0</v>
      </c>
      <c r="Y42" s="157">
        <v>5188.0</v>
      </c>
      <c r="Z42" s="157">
        <v>5188.0</v>
      </c>
      <c r="AA42" s="157">
        <v>5188.0</v>
      </c>
      <c r="AB42" s="157">
        <v>5188.0</v>
      </c>
      <c r="AC42" s="157">
        <v>5188.0</v>
      </c>
      <c r="AD42" s="157">
        <v>5188.0</v>
      </c>
      <c r="AE42" s="157">
        <v>5188.0</v>
      </c>
      <c r="AF42" s="157">
        <v>5188.0</v>
      </c>
      <c r="AG42" s="157">
        <v>5188.0</v>
      </c>
      <c r="AH42" s="157">
        <v>5188.0</v>
      </c>
      <c r="AI42" s="157">
        <v>5188.0</v>
      </c>
      <c r="AJ42" s="157">
        <v>5188.0</v>
      </c>
      <c r="AK42" s="157">
        <v>5188.0</v>
      </c>
      <c r="AL42" s="157">
        <v>5188.0</v>
      </c>
      <c r="AM42" s="157">
        <v>5188.0</v>
      </c>
      <c r="AN42" s="157">
        <v>5188.0</v>
      </c>
      <c r="AO42" s="157">
        <v>5188.0</v>
      </c>
      <c r="AP42" s="157">
        <v>5188.0</v>
      </c>
      <c r="AQ42" s="157">
        <v>5188.0</v>
      </c>
      <c r="AR42" s="157">
        <v>5188.0</v>
      </c>
      <c r="AS42" s="157">
        <v>5188.0</v>
      </c>
      <c r="AT42" s="157">
        <v>5188.0</v>
      </c>
      <c r="AU42" s="157">
        <v>5188.0</v>
      </c>
      <c r="AV42" s="157">
        <v>5188.0</v>
      </c>
      <c r="AW42" s="157">
        <v>5188.0</v>
      </c>
      <c r="AX42" s="157">
        <v>5188.0</v>
      </c>
      <c r="AY42" s="157">
        <v>5188.0</v>
      </c>
    </row>
    <row r="43" ht="15.75" customHeight="1">
      <c r="A43" s="1" t="s">
        <v>276</v>
      </c>
      <c r="B43" s="159"/>
      <c r="C43" s="1"/>
      <c r="D43" s="76"/>
      <c r="E43" s="76"/>
      <c r="F43" s="76"/>
      <c r="G43" s="76"/>
      <c r="H43" s="76"/>
      <c r="I43" s="76"/>
      <c r="J43" s="76"/>
      <c r="K43" s="76"/>
      <c r="L43" s="76"/>
      <c r="M43" s="76"/>
      <c r="N43" s="76"/>
      <c r="O43" s="76"/>
      <c r="P43" s="76"/>
      <c r="Q43" s="76"/>
      <c r="R43" s="76"/>
      <c r="S43" s="76"/>
      <c r="T43" s="76"/>
      <c r="U43" s="76"/>
      <c r="V43" s="76"/>
      <c r="W43" s="76"/>
      <c r="X43" s="76"/>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row>
    <row r="44" ht="15.75" customHeight="1">
      <c r="A44" s="1" t="s">
        <v>277</v>
      </c>
      <c r="B44" s="160">
        <v>5185.333333333333</v>
      </c>
      <c r="C44" s="1"/>
      <c r="D44" s="76">
        <v>2500.0</v>
      </c>
      <c r="E44" s="76">
        <v>2500.0</v>
      </c>
      <c r="F44" s="76">
        <v>2500.0</v>
      </c>
      <c r="G44" s="76">
        <v>2500.0</v>
      </c>
      <c r="H44" s="76">
        <v>3400.0</v>
      </c>
      <c r="I44" s="76">
        <v>5000.0</v>
      </c>
      <c r="J44" s="76">
        <v>6500.0</v>
      </c>
      <c r="K44" s="76">
        <v>6300.0</v>
      </c>
      <c r="L44" s="76">
        <v>6700.0</v>
      </c>
      <c r="M44" s="76">
        <v>6200.0</v>
      </c>
      <c r="N44" s="76">
        <v>6300.0</v>
      </c>
      <c r="O44" s="76">
        <v>6600.0</v>
      </c>
      <c r="P44" s="76">
        <v>6800.0</v>
      </c>
      <c r="Q44" s="76">
        <v>4100.0</v>
      </c>
      <c r="R44" s="76">
        <v>5800.0</v>
      </c>
      <c r="S44" s="76">
        <v>5376.0</v>
      </c>
      <c r="T44" s="76">
        <v>4831.0</v>
      </c>
      <c r="U44" s="76">
        <v>5229.0</v>
      </c>
      <c r="V44" s="76">
        <v>5462.0</v>
      </c>
      <c r="W44" s="76">
        <v>5519.0</v>
      </c>
      <c r="X44" s="76">
        <v>4575.0</v>
      </c>
      <c r="Y44" s="96">
        <v>5185.333333333333</v>
      </c>
      <c r="Z44" s="96">
        <v>5185.333333333333</v>
      </c>
      <c r="AA44" s="96">
        <v>5185.333333333333</v>
      </c>
      <c r="AB44" s="96">
        <v>5185.333333333333</v>
      </c>
      <c r="AC44" s="96">
        <v>5185.333333333333</v>
      </c>
      <c r="AD44" s="96">
        <v>5185.333333333333</v>
      </c>
      <c r="AE44" s="96">
        <v>5185.333333333333</v>
      </c>
      <c r="AF44" s="96">
        <v>5185.333333333333</v>
      </c>
      <c r="AG44" s="96">
        <v>5185.333333333333</v>
      </c>
      <c r="AH44" s="96">
        <v>5185.333333333333</v>
      </c>
      <c r="AI44" s="96">
        <v>5185.333333333333</v>
      </c>
      <c r="AJ44" s="96">
        <v>5185.333333333333</v>
      </c>
      <c r="AK44" s="96">
        <v>5185.333333333333</v>
      </c>
      <c r="AL44" s="96">
        <v>5185.333333333333</v>
      </c>
      <c r="AM44" s="96">
        <v>5185.333333333333</v>
      </c>
      <c r="AN44" s="96">
        <v>5185.333333333333</v>
      </c>
      <c r="AO44" s="96">
        <v>5185.333333333333</v>
      </c>
      <c r="AP44" s="96">
        <v>5185.333333333333</v>
      </c>
      <c r="AQ44" s="96">
        <v>5185.333333333333</v>
      </c>
      <c r="AR44" s="96">
        <v>5185.333333333333</v>
      </c>
      <c r="AS44" s="96">
        <v>5185.333333333333</v>
      </c>
      <c r="AT44" s="96">
        <v>5185.333333333333</v>
      </c>
      <c r="AU44" s="96">
        <v>5185.333333333333</v>
      </c>
      <c r="AV44" s="96">
        <v>5185.333333333333</v>
      </c>
      <c r="AW44" s="96">
        <v>5185.333333333333</v>
      </c>
      <c r="AX44" s="96">
        <v>5185.333333333333</v>
      </c>
      <c r="AY44" s="96">
        <v>5185.333333333333</v>
      </c>
    </row>
    <row r="45" ht="15.75" customHeight="1">
      <c r="A45" s="1" t="s">
        <v>278</v>
      </c>
      <c r="B45" s="160">
        <v>3093.0</v>
      </c>
      <c r="C45" s="1"/>
      <c r="D45" s="76">
        <v>1323.0</v>
      </c>
      <c r="E45" s="76">
        <v>1581.0</v>
      </c>
      <c r="F45" s="76">
        <v>1755.0</v>
      </c>
      <c r="G45" s="76">
        <v>1781.0</v>
      </c>
      <c r="H45" s="76">
        <v>1869.0</v>
      </c>
      <c r="I45" s="76">
        <v>2253.0</v>
      </c>
      <c r="J45" s="76">
        <v>2374.0</v>
      </c>
      <c r="K45" s="76">
        <v>2542.0</v>
      </c>
      <c r="L45" s="76">
        <v>2621.0</v>
      </c>
      <c r="M45" s="76">
        <v>2877.0</v>
      </c>
      <c r="N45" s="76">
        <v>2951.0</v>
      </c>
      <c r="O45" s="76">
        <v>3241.0</v>
      </c>
      <c r="P45" s="76">
        <v>3050.0</v>
      </c>
      <c r="Q45" s="76">
        <v>3457.0</v>
      </c>
      <c r="R45" s="76">
        <v>3492.0</v>
      </c>
      <c r="S45" s="76">
        <v>3781.0</v>
      </c>
      <c r="T45" s="76">
        <v>2492.0</v>
      </c>
      <c r="U45" s="76">
        <v>2632.0</v>
      </c>
      <c r="V45" s="76">
        <v>2717.0</v>
      </c>
      <c r="W45" s="76">
        <v>2782.0</v>
      </c>
      <c r="X45" s="76">
        <v>3780.0</v>
      </c>
      <c r="Y45" s="96">
        <v>3093.0</v>
      </c>
      <c r="Z45" s="96">
        <v>3093.0</v>
      </c>
      <c r="AA45" s="96">
        <v>3093.0</v>
      </c>
      <c r="AB45" s="96">
        <v>3093.0</v>
      </c>
      <c r="AC45" s="96">
        <v>3093.0</v>
      </c>
      <c r="AD45" s="96">
        <v>3093.0</v>
      </c>
      <c r="AE45" s="96">
        <v>3093.0</v>
      </c>
      <c r="AF45" s="96">
        <v>3093.0</v>
      </c>
      <c r="AG45" s="96">
        <v>3093.0</v>
      </c>
      <c r="AH45" s="96">
        <v>3093.0</v>
      </c>
      <c r="AI45" s="96">
        <v>3093.0</v>
      </c>
      <c r="AJ45" s="96">
        <v>3093.0</v>
      </c>
      <c r="AK45" s="96">
        <v>3093.0</v>
      </c>
      <c r="AL45" s="96">
        <v>3093.0</v>
      </c>
      <c r="AM45" s="96">
        <v>3093.0</v>
      </c>
      <c r="AN45" s="96">
        <v>3093.0</v>
      </c>
      <c r="AO45" s="96">
        <v>3093.0</v>
      </c>
      <c r="AP45" s="96">
        <v>3093.0</v>
      </c>
      <c r="AQ45" s="96">
        <v>3093.0</v>
      </c>
      <c r="AR45" s="96">
        <v>3093.0</v>
      </c>
      <c r="AS45" s="96">
        <v>3093.0</v>
      </c>
      <c r="AT45" s="96">
        <v>3093.0</v>
      </c>
      <c r="AU45" s="96">
        <v>3093.0</v>
      </c>
      <c r="AV45" s="96">
        <v>3093.0</v>
      </c>
      <c r="AW45" s="96">
        <v>3093.0</v>
      </c>
      <c r="AX45" s="96">
        <v>3093.0</v>
      </c>
      <c r="AY45" s="96">
        <v>3093.0</v>
      </c>
    </row>
    <row r="46" ht="15.75" customHeight="1">
      <c r="A46" s="21" t="s">
        <v>279</v>
      </c>
      <c r="B46" s="163"/>
      <c r="C46" s="21"/>
      <c r="D46" s="157">
        <v>3823.0</v>
      </c>
      <c r="E46" s="157">
        <v>4081.0</v>
      </c>
      <c r="F46" s="157">
        <v>4255.0</v>
      </c>
      <c r="G46" s="157">
        <v>4281.0</v>
      </c>
      <c r="H46" s="157">
        <v>5269.0</v>
      </c>
      <c r="I46" s="157">
        <v>7253.0</v>
      </c>
      <c r="J46" s="157">
        <v>8874.0</v>
      </c>
      <c r="K46" s="157">
        <v>8842.0</v>
      </c>
      <c r="L46" s="157">
        <v>9321.0</v>
      </c>
      <c r="M46" s="157">
        <v>9077.0</v>
      </c>
      <c r="N46" s="157">
        <v>9251.0</v>
      </c>
      <c r="O46" s="157">
        <v>9841.0</v>
      </c>
      <c r="P46" s="157">
        <v>9850.0</v>
      </c>
      <c r="Q46" s="157">
        <v>7557.0</v>
      </c>
      <c r="R46" s="157">
        <v>9292.0</v>
      </c>
      <c r="S46" s="157">
        <v>9157.0</v>
      </c>
      <c r="T46" s="157">
        <v>7323.0</v>
      </c>
      <c r="U46" s="157">
        <v>7861.0</v>
      </c>
      <c r="V46" s="157">
        <v>8179.0</v>
      </c>
      <c r="W46" s="157">
        <v>8301.0</v>
      </c>
      <c r="X46" s="157">
        <v>8355.0</v>
      </c>
      <c r="Y46" s="157">
        <v>8278.333333333332</v>
      </c>
      <c r="Z46" s="157">
        <v>8278.333333333332</v>
      </c>
      <c r="AA46" s="157">
        <v>8278.333333333332</v>
      </c>
      <c r="AB46" s="157">
        <v>8278.333333333332</v>
      </c>
      <c r="AC46" s="157">
        <v>8278.333333333332</v>
      </c>
      <c r="AD46" s="157">
        <v>8278.333333333332</v>
      </c>
      <c r="AE46" s="157">
        <v>8278.333333333332</v>
      </c>
      <c r="AF46" s="157">
        <v>8278.333333333332</v>
      </c>
      <c r="AG46" s="157">
        <v>8278.333333333332</v>
      </c>
      <c r="AH46" s="157">
        <v>8278.333333333332</v>
      </c>
      <c r="AI46" s="157">
        <v>8278.333333333332</v>
      </c>
      <c r="AJ46" s="157">
        <v>8278.333333333332</v>
      </c>
      <c r="AK46" s="157">
        <v>8278.333333333332</v>
      </c>
      <c r="AL46" s="157">
        <v>8278.333333333332</v>
      </c>
      <c r="AM46" s="157">
        <v>8278.333333333332</v>
      </c>
      <c r="AN46" s="157">
        <v>8278.333333333332</v>
      </c>
      <c r="AO46" s="157">
        <v>8278.333333333332</v>
      </c>
      <c r="AP46" s="157">
        <v>8278.333333333332</v>
      </c>
      <c r="AQ46" s="157">
        <v>8278.333333333332</v>
      </c>
      <c r="AR46" s="157">
        <v>8278.333333333332</v>
      </c>
      <c r="AS46" s="157">
        <v>8278.333333333332</v>
      </c>
      <c r="AT46" s="157">
        <v>8278.333333333332</v>
      </c>
      <c r="AU46" s="157">
        <v>8278.333333333332</v>
      </c>
      <c r="AV46" s="157">
        <v>8278.333333333332</v>
      </c>
      <c r="AW46" s="157">
        <v>8278.333333333332</v>
      </c>
      <c r="AX46" s="157">
        <v>8278.333333333332</v>
      </c>
      <c r="AY46" s="157">
        <v>8278.333333333332</v>
      </c>
    </row>
    <row r="47" ht="15.75" customHeight="1">
      <c r="A47" s="1" t="s">
        <v>280</v>
      </c>
      <c r="B47" s="159"/>
      <c r="C47" s="1"/>
      <c r="D47" s="76"/>
      <c r="E47" s="76"/>
      <c r="F47" s="76"/>
      <c r="G47" s="76"/>
      <c r="H47" s="76"/>
      <c r="I47" s="76"/>
      <c r="J47" s="76"/>
      <c r="K47" s="76"/>
      <c r="L47" s="76"/>
      <c r="M47" s="76"/>
      <c r="N47" s="76"/>
      <c r="O47" s="76"/>
      <c r="P47" s="76"/>
      <c r="Q47" s="76"/>
      <c r="R47" s="76"/>
      <c r="S47" s="76"/>
      <c r="T47" s="76"/>
      <c r="U47" s="76"/>
      <c r="V47" s="76"/>
      <c r="W47" s="76"/>
      <c r="X47" s="76"/>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row>
    <row r="48" ht="15.75" customHeight="1">
      <c r="A48" s="1" t="s">
        <v>281</v>
      </c>
      <c r="B48" s="160">
        <v>1794.0</v>
      </c>
      <c r="C48" s="1"/>
      <c r="D48" s="76">
        <v>900.0</v>
      </c>
      <c r="E48" s="76">
        <v>900.0</v>
      </c>
      <c r="F48" s="76">
        <v>900.0</v>
      </c>
      <c r="G48" s="76">
        <v>900.0</v>
      </c>
      <c r="H48" s="76">
        <v>900.0</v>
      </c>
      <c r="I48" s="76">
        <v>900.0</v>
      </c>
      <c r="J48" s="76">
        <v>900.0</v>
      </c>
      <c r="K48" s="76">
        <v>900.0</v>
      </c>
      <c r="L48" s="76">
        <v>1097.0</v>
      </c>
      <c r="M48" s="76">
        <v>1097.0</v>
      </c>
      <c r="N48" s="76">
        <v>1097.0</v>
      </c>
      <c r="O48" s="76">
        <v>1097.0</v>
      </c>
      <c r="P48" s="76">
        <v>1097.0</v>
      </c>
      <c r="Q48" s="76">
        <v>1294.0</v>
      </c>
      <c r="R48" s="76">
        <v>1294.0</v>
      </c>
      <c r="S48" s="76">
        <v>1294.0</v>
      </c>
      <c r="T48" s="76">
        <v>1794.0</v>
      </c>
      <c r="U48" s="76">
        <v>1794.0</v>
      </c>
      <c r="V48" s="76">
        <v>1794.0</v>
      </c>
      <c r="W48" s="76">
        <v>1794.0</v>
      </c>
      <c r="X48" s="76">
        <v>1794.0</v>
      </c>
      <c r="Y48" s="96">
        <v>1900.0</v>
      </c>
      <c r="Z48" s="96">
        <v>1900.0</v>
      </c>
      <c r="AA48" s="96">
        <v>1900.0</v>
      </c>
      <c r="AB48" s="96">
        <v>1900.0</v>
      </c>
      <c r="AC48" s="96">
        <v>1900.0</v>
      </c>
      <c r="AD48" s="96">
        <v>1900.0</v>
      </c>
      <c r="AE48" s="96">
        <v>1900.0</v>
      </c>
      <c r="AF48" s="96">
        <v>1900.0</v>
      </c>
      <c r="AG48" s="96">
        <v>1900.0</v>
      </c>
      <c r="AH48" s="96">
        <v>1900.0</v>
      </c>
      <c r="AI48" s="96">
        <v>1900.0</v>
      </c>
      <c r="AJ48" s="96">
        <v>1900.0</v>
      </c>
      <c r="AK48" s="96">
        <v>1900.0</v>
      </c>
      <c r="AL48" s="96">
        <v>1900.0</v>
      </c>
      <c r="AM48" s="96">
        <v>1900.0</v>
      </c>
      <c r="AN48" s="96">
        <v>1900.0</v>
      </c>
      <c r="AO48" s="96">
        <v>1900.0</v>
      </c>
      <c r="AP48" s="96">
        <v>1900.0</v>
      </c>
      <c r="AQ48" s="96">
        <v>1900.0</v>
      </c>
      <c r="AR48" s="96">
        <v>1900.0</v>
      </c>
      <c r="AS48" s="96">
        <v>1900.0</v>
      </c>
      <c r="AT48" s="96">
        <v>1900.0</v>
      </c>
      <c r="AU48" s="96">
        <v>1900.0</v>
      </c>
      <c r="AV48" s="96">
        <v>1900.0</v>
      </c>
      <c r="AW48" s="96">
        <v>1900.0</v>
      </c>
      <c r="AX48" s="96">
        <v>1900.0</v>
      </c>
      <c r="AY48" s="96">
        <v>1900.0</v>
      </c>
    </row>
    <row r="49" ht="15.75" customHeight="1">
      <c r="A49" s="1" t="s">
        <v>282</v>
      </c>
      <c r="B49" s="160">
        <v>2383.0</v>
      </c>
      <c r="C49" s="1"/>
      <c r="D49" s="76">
        <v>1500.0</v>
      </c>
      <c r="E49" s="76">
        <v>1500.0</v>
      </c>
      <c r="F49" s="76">
        <v>1500.0</v>
      </c>
      <c r="G49" s="76">
        <v>1500.0</v>
      </c>
      <c r="H49" s="76">
        <v>1500.0</v>
      </c>
      <c r="I49" s="76">
        <v>1500.0</v>
      </c>
      <c r="J49" s="76">
        <v>1500.0</v>
      </c>
      <c r="K49" s="76">
        <v>1500.0</v>
      </c>
      <c r="L49" s="76">
        <v>1908.0</v>
      </c>
      <c r="M49" s="76">
        <v>1908.0</v>
      </c>
      <c r="N49" s="76">
        <v>1908.0</v>
      </c>
      <c r="O49" s="76">
        <v>1908.0</v>
      </c>
      <c r="P49" s="76">
        <v>1908.0</v>
      </c>
      <c r="Q49" s="76">
        <v>2313.0</v>
      </c>
      <c r="R49" s="76">
        <v>2313.0</v>
      </c>
      <c r="S49" s="76">
        <v>2313.0</v>
      </c>
      <c r="T49" s="76">
        <v>2383.0</v>
      </c>
      <c r="U49" s="76">
        <v>2383.0</v>
      </c>
      <c r="V49" s="76">
        <v>2383.0</v>
      </c>
      <c r="W49" s="76">
        <v>2383.0</v>
      </c>
      <c r="X49" s="76">
        <v>2383.0</v>
      </c>
      <c r="Y49" s="96">
        <v>2025.0</v>
      </c>
      <c r="Z49" s="96">
        <v>2025.0</v>
      </c>
      <c r="AA49" s="96">
        <v>2025.0</v>
      </c>
      <c r="AB49" s="96">
        <v>2025.0</v>
      </c>
      <c r="AC49" s="96">
        <v>2025.0</v>
      </c>
      <c r="AD49" s="96">
        <v>2025.0</v>
      </c>
      <c r="AE49" s="96">
        <v>2025.0</v>
      </c>
      <c r="AF49" s="96">
        <v>2025.0</v>
      </c>
      <c r="AG49" s="96">
        <v>2025.0</v>
      </c>
      <c r="AH49" s="96">
        <v>2025.0</v>
      </c>
      <c r="AI49" s="96">
        <v>2025.0</v>
      </c>
      <c r="AJ49" s="96">
        <v>2025.0</v>
      </c>
      <c r="AK49" s="96">
        <v>2025.0</v>
      </c>
      <c r="AL49" s="96">
        <v>2025.0</v>
      </c>
      <c r="AM49" s="96">
        <v>2025.0</v>
      </c>
      <c r="AN49" s="96">
        <v>2025.0</v>
      </c>
      <c r="AO49" s="96">
        <v>2025.0</v>
      </c>
      <c r="AP49" s="96">
        <v>2025.0</v>
      </c>
      <c r="AQ49" s="96">
        <v>2025.0</v>
      </c>
      <c r="AR49" s="96">
        <v>2025.0</v>
      </c>
      <c r="AS49" s="96">
        <v>2025.0</v>
      </c>
      <c r="AT49" s="96">
        <v>2025.0</v>
      </c>
      <c r="AU49" s="96">
        <v>2025.0</v>
      </c>
      <c r="AV49" s="96">
        <v>2025.0</v>
      </c>
      <c r="AW49" s="96">
        <v>2025.0</v>
      </c>
      <c r="AX49" s="96">
        <v>2025.0</v>
      </c>
      <c r="AY49" s="96">
        <v>2025.0</v>
      </c>
    </row>
    <row r="50" ht="15.75" customHeight="1">
      <c r="A50" s="1" t="s">
        <v>283</v>
      </c>
      <c r="B50" s="160">
        <v>28700.0</v>
      </c>
      <c r="C50" s="1"/>
      <c r="D50" s="76">
        <v>16666.0</v>
      </c>
      <c r="E50" s="76">
        <v>16666.0</v>
      </c>
      <c r="F50" s="76">
        <v>16666.0</v>
      </c>
      <c r="G50" s="76">
        <v>16666.0</v>
      </c>
      <c r="H50" s="76">
        <v>16666.0</v>
      </c>
      <c r="I50" s="76">
        <v>16666.0</v>
      </c>
      <c r="J50" s="76">
        <v>16666.0</v>
      </c>
      <c r="K50" s="76">
        <v>16666.0</v>
      </c>
      <c r="L50" s="76">
        <v>21200.0</v>
      </c>
      <c r="M50" s="76">
        <v>21200.0</v>
      </c>
      <c r="N50" s="76">
        <v>21200.0</v>
      </c>
      <c r="O50" s="76">
        <v>21200.0</v>
      </c>
      <c r="P50" s="76">
        <v>21200.0</v>
      </c>
      <c r="Q50" s="76">
        <v>25700.0</v>
      </c>
      <c r="R50" s="76">
        <v>25700.0</v>
      </c>
      <c r="S50" s="76">
        <v>25700.0</v>
      </c>
      <c r="T50" s="76">
        <v>28700.0</v>
      </c>
      <c r="U50" s="76">
        <v>28700.0</v>
      </c>
      <c r="V50" s="76">
        <v>28700.0</v>
      </c>
      <c r="W50" s="76">
        <v>28700.0</v>
      </c>
      <c r="X50" s="76">
        <v>28700.0</v>
      </c>
      <c r="Y50" s="96">
        <v>22500.0</v>
      </c>
      <c r="Z50" s="96">
        <v>22500.0</v>
      </c>
      <c r="AA50" s="96">
        <v>22500.0</v>
      </c>
      <c r="AB50" s="96">
        <v>22500.0</v>
      </c>
      <c r="AC50" s="96">
        <v>22500.0</v>
      </c>
      <c r="AD50" s="96">
        <v>22500.0</v>
      </c>
      <c r="AE50" s="96">
        <v>22500.0</v>
      </c>
      <c r="AF50" s="96">
        <v>22500.0</v>
      </c>
      <c r="AG50" s="96">
        <v>22500.0</v>
      </c>
      <c r="AH50" s="96">
        <v>22500.0</v>
      </c>
      <c r="AI50" s="96">
        <v>22500.0</v>
      </c>
      <c r="AJ50" s="96">
        <v>22500.0</v>
      </c>
      <c r="AK50" s="96">
        <v>22500.0</v>
      </c>
      <c r="AL50" s="96">
        <v>22500.0</v>
      </c>
      <c r="AM50" s="96">
        <v>22500.0</v>
      </c>
      <c r="AN50" s="96">
        <v>22500.0</v>
      </c>
      <c r="AO50" s="96">
        <v>22500.0</v>
      </c>
      <c r="AP50" s="96">
        <v>22500.0</v>
      </c>
      <c r="AQ50" s="96">
        <v>22500.0</v>
      </c>
      <c r="AR50" s="96">
        <v>22500.0</v>
      </c>
      <c r="AS50" s="96">
        <v>22500.0</v>
      </c>
      <c r="AT50" s="96">
        <v>22500.0</v>
      </c>
      <c r="AU50" s="96">
        <v>22500.0</v>
      </c>
      <c r="AV50" s="96">
        <v>22500.0</v>
      </c>
      <c r="AW50" s="96">
        <v>22500.0</v>
      </c>
      <c r="AX50" s="96">
        <v>22500.0</v>
      </c>
      <c r="AY50" s="96">
        <v>22500.0</v>
      </c>
    </row>
    <row r="51" ht="15.75" customHeight="1">
      <c r="A51" s="21" t="s">
        <v>284</v>
      </c>
      <c r="B51" s="163"/>
      <c r="C51" s="21"/>
      <c r="D51" s="157">
        <v>19066.0</v>
      </c>
      <c r="E51" s="157">
        <v>19066.0</v>
      </c>
      <c r="F51" s="157">
        <v>19066.0</v>
      </c>
      <c r="G51" s="157">
        <v>19066.0</v>
      </c>
      <c r="H51" s="157">
        <v>19066.0</v>
      </c>
      <c r="I51" s="157">
        <v>19066.0</v>
      </c>
      <c r="J51" s="157">
        <v>19066.0</v>
      </c>
      <c r="K51" s="157">
        <v>19066.0</v>
      </c>
      <c r="L51" s="157">
        <v>24205.0</v>
      </c>
      <c r="M51" s="157">
        <v>24205.0</v>
      </c>
      <c r="N51" s="157">
        <v>24205.0</v>
      </c>
      <c r="O51" s="157">
        <v>24205.0</v>
      </c>
      <c r="P51" s="157">
        <v>24205.0</v>
      </c>
      <c r="Q51" s="157">
        <v>29307.0</v>
      </c>
      <c r="R51" s="157">
        <v>29307.0</v>
      </c>
      <c r="S51" s="157">
        <v>29307.0</v>
      </c>
      <c r="T51" s="157">
        <v>32877.0</v>
      </c>
      <c r="U51" s="157">
        <v>32877.0</v>
      </c>
      <c r="V51" s="157">
        <v>32877.0</v>
      </c>
      <c r="W51" s="157">
        <v>32877.0</v>
      </c>
      <c r="X51" s="157">
        <v>32877.0</v>
      </c>
      <c r="Y51" s="157">
        <v>26425.0</v>
      </c>
      <c r="Z51" s="157">
        <v>26425.0</v>
      </c>
      <c r="AA51" s="157">
        <v>26425.0</v>
      </c>
      <c r="AB51" s="157">
        <v>26425.0</v>
      </c>
      <c r="AC51" s="157">
        <v>26425.0</v>
      </c>
      <c r="AD51" s="157">
        <v>26425.0</v>
      </c>
      <c r="AE51" s="157">
        <v>26425.0</v>
      </c>
      <c r="AF51" s="157">
        <v>26425.0</v>
      </c>
      <c r="AG51" s="157">
        <v>26425.0</v>
      </c>
      <c r="AH51" s="157">
        <v>26425.0</v>
      </c>
      <c r="AI51" s="157">
        <v>26425.0</v>
      </c>
      <c r="AJ51" s="157">
        <v>26425.0</v>
      </c>
      <c r="AK51" s="157">
        <v>26425.0</v>
      </c>
      <c r="AL51" s="157">
        <v>26425.0</v>
      </c>
      <c r="AM51" s="157">
        <v>26425.0</v>
      </c>
      <c r="AN51" s="157">
        <v>26425.0</v>
      </c>
      <c r="AO51" s="157">
        <v>26425.0</v>
      </c>
      <c r="AP51" s="157">
        <v>26425.0</v>
      </c>
      <c r="AQ51" s="157">
        <v>26425.0</v>
      </c>
      <c r="AR51" s="157">
        <v>26425.0</v>
      </c>
      <c r="AS51" s="157">
        <v>26425.0</v>
      </c>
      <c r="AT51" s="157">
        <v>26425.0</v>
      </c>
      <c r="AU51" s="157">
        <v>26425.0</v>
      </c>
      <c r="AV51" s="157">
        <v>26425.0</v>
      </c>
      <c r="AW51" s="157">
        <v>26425.0</v>
      </c>
      <c r="AX51" s="157">
        <v>26425.0</v>
      </c>
      <c r="AY51" s="157">
        <v>26425.0</v>
      </c>
    </row>
    <row r="52" ht="15.75" customHeight="1">
      <c r="A52" s="1" t="s">
        <v>285</v>
      </c>
      <c r="B52" s="160">
        <v>25000.0</v>
      </c>
      <c r="C52" s="1"/>
      <c r="D52" s="76">
        <v>6790.0</v>
      </c>
      <c r="E52" s="76">
        <v>6790.0</v>
      </c>
      <c r="F52" s="76">
        <v>6790.0</v>
      </c>
      <c r="G52" s="76">
        <v>6790.0</v>
      </c>
      <c r="H52" s="76">
        <v>6790.0</v>
      </c>
      <c r="I52" s="76">
        <v>6790.0</v>
      </c>
      <c r="J52" s="76">
        <v>6790.0</v>
      </c>
      <c r="K52" s="76">
        <v>6930.0</v>
      </c>
      <c r="L52" s="76">
        <v>6930.0</v>
      </c>
      <c r="M52" s="76">
        <v>7380.0</v>
      </c>
      <c r="N52" s="76">
        <v>7236.0</v>
      </c>
      <c r="O52" s="76">
        <v>7563.0</v>
      </c>
      <c r="P52" s="76">
        <v>7255.0</v>
      </c>
      <c r="Q52" s="76">
        <v>7188.0</v>
      </c>
      <c r="R52" s="76">
        <v>7188.0</v>
      </c>
      <c r="S52" s="76">
        <v>7188.0</v>
      </c>
      <c r="T52" s="76">
        <v>6919.0</v>
      </c>
      <c r="U52" s="76">
        <v>7340.0</v>
      </c>
      <c r="V52" s="76">
        <v>7282.0</v>
      </c>
      <c r="W52" s="76">
        <v>7319.0</v>
      </c>
      <c r="X52" s="76">
        <v>7319.0</v>
      </c>
      <c r="Y52" s="96">
        <v>25000.0</v>
      </c>
      <c r="Z52" s="96">
        <v>25000.0</v>
      </c>
      <c r="AA52" s="96">
        <v>25000.0</v>
      </c>
      <c r="AB52" s="96">
        <v>25000.0</v>
      </c>
      <c r="AC52" s="96">
        <v>25000.0</v>
      </c>
      <c r="AD52" s="96">
        <v>25000.0</v>
      </c>
      <c r="AE52" s="96">
        <v>25000.0</v>
      </c>
      <c r="AF52" s="96">
        <v>25000.0</v>
      </c>
      <c r="AG52" s="96">
        <v>25000.0</v>
      </c>
      <c r="AH52" s="96">
        <v>25000.0</v>
      </c>
      <c r="AI52" s="96">
        <v>25000.0</v>
      </c>
      <c r="AJ52" s="96">
        <v>25000.0</v>
      </c>
      <c r="AK52" s="96">
        <v>25000.0</v>
      </c>
      <c r="AL52" s="96">
        <v>25000.0</v>
      </c>
      <c r="AM52" s="96">
        <v>25000.0</v>
      </c>
      <c r="AN52" s="96">
        <v>25000.0</v>
      </c>
      <c r="AO52" s="96">
        <v>25000.0</v>
      </c>
      <c r="AP52" s="96">
        <v>25000.0</v>
      </c>
      <c r="AQ52" s="96">
        <v>25000.0</v>
      </c>
      <c r="AR52" s="96">
        <v>25000.0</v>
      </c>
      <c r="AS52" s="96">
        <v>25000.0</v>
      </c>
      <c r="AT52" s="96">
        <v>25000.0</v>
      </c>
      <c r="AU52" s="96">
        <v>25000.0</v>
      </c>
      <c r="AV52" s="96">
        <v>25000.0</v>
      </c>
      <c r="AW52" s="96">
        <v>25000.0</v>
      </c>
      <c r="AX52" s="96">
        <v>25000.0</v>
      </c>
      <c r="AY52" s="96">
        <v>25000.0</v>
      </c>
    </row>
    <row r="53" ht="15.75" customHeight="1">
      <c r="A53" s="1" t="s">
        <v>287</v>
      </c>
      <c r="B53" s="160">
        <v>266.6666666666667</v>
      </c>
      <c r="C53" s="1"/>
      <c r="D53" s="76">
        <v>0.0</v>
      </c>
      <c r="E53" s="76">
        <v>0.0</v>
      </c>
      <c r="F53" s="76">
        <v>0.0</v>
      </c>
      <c r="G53" s="76">
        <v>0.0</v>
      </c>
      <c r="H53" s="76">
        <v>0.0</v>
      </c>
      <c r="I53" s="76">
        <v>0.0</v>
      </c>
      <c r="J53" s="76">
        <v>0.0</v>
      </c>
      <c r="K53" s="76">
        <v>0.0</v>
      </c>
      <c r="L53" s="76">
        <v>0.0</v>
      </c>
      <c r="M53" s="76">
        <v>0.0</v>
      </c>
      <c r="N53" s="76">
        <v>0.0</v>
      </c>
      <c r="O53" s="76">
        <v>0.0</v>
      </c>
      <c r="P53" s="76">
        <v>0.0</v>
      </c>
      <c r="Q53" s="76">
        <v>0.0</v>
      </c>
      <c r="R53" s="76">
        <v>0.0</v>
      </c>
      <c r="S53" s="76">
        <v>0.0</v>
      </c>
      <c r="T53" s="76">
        <v>0.0</v>
      </c>
      <c r="U53" s="76">
        <v>0.0</v>
      </c>
      <c r="V53" s="76">
        <v>0.0</v>
      </c>
      <c r="W53" s="76">
        <v>0.0</v>
      </c>
      <c r="X53" s="76">
        <v>800.0</v>
      </c>
      <c r="Y53" s="96">
        <v>266.6666666666667</v>
      </c>
      <c r="Z53" s="96">
        <v>266.6666666666667</v>
      </c>
      <c r="AA53" s="96">
        <v>266.6666666666667</v>
      </c>
      <c r="AB53" s="96">
        <v>266.6666666666667</v>
      </c>
      <c r="AC53" s="96">
        <v>266.6666666666667</v>
      </c>
      <c r="AD53" s="96">
        <v>266.6666666666667</v>
      </c>
      <c r="AE53" s="96">
        <v>266.6666666666667</v>
      </c>
      <c r="AF53" s="96">
        <v>266.6666666666667</v>
      </c>
      <c r="AG53" s="96">
        <v>266.6666666666667</v>
      </c>
      <c r="AH53" s="96">
        <v>266.6666666666667</v>
      </c>
      <c r="AI53" s="96">
        <v>266.6666666666667</v>
      </c>
      <c r="AJ53" s="96">
        <v>266.6666666666667</v>
      </c>
      <c r="AK53" s="96">
        <v>266.6666666666667</v>
      </c>
      <c r="AL53" s="96">
        <v>266.6666666666667</v>
      </c>
      <c r="AM53" s="96">
        <v>266.6666666666667</v>
      </c>
      <c r="AN53" s="96">
        <v>266.6666666666667</v>
      </c>
      <c r="AO53" s="96">
        <v>266.6666666666667</v>
      </c>
      <c r="AP53" s="96">
        <v>266.6666666666667</v>
      </c>
      <c r="AQ53" s="96">
        <v>266.6666666666667</v>
      </c>
      <c r="AR53" s="96">
        <v>266.6666666666667</v>
      </c>
      <c r="AS53" s="96">
        <v>266.6666666666667</v>
      </c>
      <c r="AT53" s="96">
        <v>266.6666666666667</v>
      </c>
      <c r="AU53" s="96">
        <v>266.6666666666667</v>
      </c>
      <c r="AV53" s="96">
        <v>266.6666666666667</v>
      </c>
      <c r="AW53" s="96">
        <v>266.6666666666667</v>
      </c>
      <c r="AX53" s="96">
        <v>266.6666666666667</v>
      </c>
      <c r="AY53" s="96">
        <v>266.6666666666667</v>
      </c>
    </row>
    <row r="54" ht="15.75" customHeight="1">
      <c r="A54" s="1" t="s">
        <v>288</v>
      </c>
      <c r="B54" s="160">
        <v>2597.3333333333335</v>
      </c>
      <c r="C54" s="1"/>
      <c r="D54" s="76">
        <v>1356.0</v>
      </c>
      <c r="E54" s="76">
        <v>1406.0</v>
      </c>
      <c r="F54" s="76">
        <v>1406.0</v>
      </c>
      <c r="G54" s="76">
        <v>1406.0</v>
      </c>
      <c r="H54" s="76">
        <v>1506.0</v>
      </c>
      <c r="I54" s="76">
        <v>1506.0</v>
      </c>
      <c r="J54" s="76">
        <v>1506.0</v>
      </c>
      <c r="K54" s="76">
        <v>1556.0</v>
      </c>
      <c r="L54" s="76">
        <v>1683.0</v>
      </c>
      <c r="M54" s="76">
        <v>1683.0</v>
      </c>
      <c r="N54" s="76">
        <v>1750.0</v>
      </c>
      <c r="O54" s="76">
        <v>1892.0</v>
      </c>
      <c r="P54" s="76">
        <v>1931.0</v>
      </c>
      <c r="Q54" s="76">
        <v>1907.0</v>
      </c>
      <c r="R54" s="76">
        <v>2007.0</v>
      </c>
      <c r="S54" s="76">
        <v>2276.0</v>
      </c>
      <c r="T54" s="76">
        <v>1983.0</v>
      </c>
      <c r="U54" s="76">
        <v>2451.0</v>
      </c>
      <c r="V54" s="76">
        <v>2550.0</v>
      </c>
      <c r="W54" s="76">
        <v>2621.0</v>
      </c>
      <c r="X54" s="76">
        <v>2621.0</v>
      </c>
      <c r="Y54" s="96">
        <v>2597.3333333333335</v>
      </c>
      <c r="Z54" s="96">
        <v>2597.3333333333335</v>
      </c>
      <c r="AA54" s="96">
        <v>2597.3333333333335</v>
      </c>
      <c r="AB54" s="96">
        <v>2597.3333333333335</v>
      </c>
      <c r="AC54" s="96">
        <v>2597.3333333333335</v>
      </c>
      <c r="AD54" s="96">
        <v>2597.3333333333335</v>
      </c>
      <c r="AE54" s="96">
        <v>2597.3333333333335</v>
      </c>
      <c r="AF54" s="96">
        <v>2597.3333333333335</v>
      </c>
      <c r="AG54" s="96">
        <v>2597.3333333333335</v>
      </c>
      <c r="AH54" s="96">
        <v>2597.3333333333335</v>
      </c>
      <c r="AI54" s="96">
        <v>2597.3333333333335</v>
      </c>
      <c r="AJ54" s="96">
        <v>2597.3333333333335</v>
      </c>
      <c r="AK54" s="96">
        <v>2597.3333333333335</v>
      </c>
      <c r="AL54" s="96">
        <v>2597.3333333333335</v>
      </c>
      <c r="AM54" s="96">
        <v>2597.3333333333335</v>
      </c>
      <c r="AN54" s="96">
        <v>2597.3333333333335</v>
      </c>
      <c r="AO54" s="96">
        <v>2597.3333333333335</v>
      </c>
      <c r="AP54" s="96">
        <v>2597.3333333333335</v>
      </c>
      <c r="AQ54" s="96">
        <v>2597.3333333333335</v>
      </c>
      <c r="AR54" s="96">
        <v>2597.3333333333335</v>
      </c>
      <c r="AS54" s="96">
        <v>2597.3333333333335</v>
      </c>
      <c r="AT54" s="96">
        <v>2597.3333333333335</v>
      </c>
      <c r="AU54" s="96">
        <v>2597.3333333333335</v>
      </c>
      <c r="AV54" s="96">
        <v>2597.3333333333335</v>
      </c>
      <c r="AW54" s="96">
        <v>2597.3333333333335</v>
      </c>
      <c r="AX54" s="96">
        <v>2597.3333333333335</v>
      </c>
      <c r="AY54" s="96">
        <v>2597.3333333333335</v>
      </c>
    </row>
    <row r="55" ht="15.75" customHeight="1">
      <c r="A55" s="1" t="s">
        <v>289</v>
      </c>
      <c r="B55" s="159"/>
      <c r="C55" s="1"/>
      <c r="D55" s="76"/>
      <c r="E55" s="76"/>
      <c r="F55" s="76"/>
      <c r="G55" s="76"/>
      <c r="H55" s="76"/>
      <c r="I55" s="76"/>
      <c r="J55" s="76"/>
      <c r="K55" s="76"/>
      <c r="L55" s="76"/>
      <c r="M55" s="76"/>
      <c r="N55" s="76"/>
      <c r="O55" s="76"/>
      <c r="P55" s="76"/>
      <c r="Q55" s="76"/>
      <c r="R55" s="76"/>
      <c r="S55" s="76"/>
      <c r="T55" s="76"/>
      <c r="U55" s="76"/>
      <c r="V55" s="76"/>
      <c r="W55" s="76"/>
      <c r="X55" s="76"/>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row>
    <row r="56" ht="15.75" customHeight="1">
      <c r="A56" s="1" t="s">
        <v>290</v>
      </c>
      <c r="B56" s="160">
        <v>5870.333333333333</v>
      </c>
      <c r="C56" s="1"/>
      <c r="D56" s="76">
        <v>3404.0</v>
      </c>
      <c r="E56" s="76">
        <v>3380.0</v>
      </c>
      <c r="F56" s="76">
        <v>3666.0</v>
      </c>
      <c r="G56" s="76">
        <v>3752.0</v>
      </c>
      <c r="H56" s="76">
        <v>3906.0</v>
      </c>
      <c r="I56" s="76">
        <v>4023.0</v>
      </c>
      <c r="J56" s="76">
        <v>4190.0</v>
      </c>
      <c r="K56" s="76">
        <v>4130.0</v>
      </c>
      <c r="L56" s="76">
        <v>4250.0</v>
      </c>
      <c r="M56" s="76">
        <v>3959.0</v>
      </c>
      <c r="N56" s="76">
        <v>4198.0</v>
      </c>
      <c r="O56" s="76">
        <v>4432.0</v>
      </c>
      <c r="P56" s="76">
        <v>4377.0</v>
      </c>
      <c r="Q56" s="76">
        <v>4577.0</v>
      </c>
      <c r="R56" s="76">
        <v>5005.0</v>
      </c>
      <c r="S56" s="76">
        <v>5233.0</v>
      </c>
      <c r="T56" s="76">
        <v>4572.0</v>
      </c>
      <c r="U56" s="76">
        <v>4871.0</v>
      </c>
      <c r="V56" s="76">
        <v>4938.0</v>
      </c>
      <c r="W56" s="76">
        <v>5121.0</v>
      </c>
      <c r="X56" s="76">
        <v>7552.0</v>
      </c>
      <c r="Y56" s="96">
        <v>5870.333333333333</v>
      </c>
      <c r="Z56" s="96">
        <v>5870.333333333333</v>
      </c>
      <c r="AA56" s="96">
        <v>5870.333333333333</v>
      </c>
      <c r="AB56" s="96">
        <v>5870.333333333333</v>
      </c>
      <c r="AC56" s="96">
        <v>5870.333333333333</v>
      </c>
      <c r="AD56" s="96">
        <v>5870.333333333333</v>
      </c>
      <c r="AE56" s="96">
        <v>5870.333333333333</v>
      </c>
      <c r="AF56" s="96">
        <v>5870.333333333333</v>
      </c>
      <c r="AG56" s="96">
        <v>5870.333333333333</v>
      </c>
      <c r="AH56" s="96">
        <v>5870.333333333333</v>
      </c>
      <c r="AI56" s="96">
        <v>5870.333333333333</v>
      </c>
      <c r="AJ56" s="96">
        <v>5870.333333333333</v>
      </c>
      <c r="AK56" s="96">
        <v>5870.333333333333</v>
      </c>
      <c r="AL56" s="96">
        <v>5870.333333333333</v>
      </c>
      <c r="AM56" s="96">
        <v>5870.333333333333</v>
      </c>
      <c r="AN56" s="96">
        <v>5870.333333333333</v>
      </c>
      <c r="AO56" s="96">
        <v>5870.333333333333</v>
      </c>
      <c r="AP56" s="96">
        <v>5870.333333333333</v>
      </c>
      <c r="AQ56" s="96">
        <v>5870.333333333333</v>
      </c>
      <c r="AR56" s="96">
        <v>5870.333333333333</v>
      </c>
      <c r="AS56" s="96">
        <v>5870.333333333333</v>
      </c>
      <c r="AT56" s="96">
        <v>5870.333333333333</v>
      </c>
      <c r="AU56" s="96">
        <v>5870.333333333333</v>
      </c>
      <c r="AV56" s="96">
        <v>5870.333333333333</v>
      </c>
      <c r="AW56" s="96">
        <v>5870.333333333333</v>
      </c>
      <c r="AX56" s="96">
        <v>5870.333333333333</v>
      </c>
      <c r="AY56" s="96">
        <v>5870.333333333333</v>
      </c>
    </row>
    <row r="57" ht="15.75" customHeight="1">
      <c r="A57" s="1" t="s">
        <v>291</v>
      </c>
      <c r="B57" s="160">
        <v>5132.666666666667</v>
      </c>
      <c r="C57" s="1"/>
      <c r="D57" s="76">
        <v>2487.0</v>
      </c>
      <c r="E57" s="76">
        <v>2849.0</v>
      </c>
      <c r="F57" s="76">
        <v>3138.0</v>
      </c>
      <c r="G57" s="76">
        <v>3532.0</v>
      </c>
      <c r="H57" s="76">
        <v>3337.0</v>
      </c>
      <c r="I57" s="76">
        <v>3267.0</v>
      </c>
      <c r="J57" s="76">
        <v>3451.0</v>
      </c>
      <c r="K57" s="76">
        <v>3510.0</v>
      </c>
      <c r="L57" s="76">
        <v>3714.0</v>
      </c>
      <c r="M57" s="76">
        <v>3628.0</v>
      </c>
      <c r="N57" s="76">
        <v>3766.0</v>
      </c>
      <c r="O57" s="76">
        <v>3916.0</v>
      </c>
      <c r="P57" s="76">
        <v>3839.0</v>
      </c>
      <c r="Q57" s="76">
        <v>4341.0</v>
      </c>
      <c r="R57" s="76">
        <v>4557.0</v>
      </c>
      <c r="S57" s="76">
        <v>4597.0</v>
      </c>
      <c r="T57" s="76">
        <v>6113.0</v>
      </c>
      <c r="U57" s="76">
        <v>5884.0</v>
      </c>
      <c r="V57" s="76">
        <v>6025.0</v>
      </c>
      <c r="W57" s="76">
        <v>5831.0</v>
      </c>
      <c r="X57" s="76">
        <v>3542.0</v>
      </c>
      <c r="Y57" s="96">
        <v>5132.666666666667</v>
      </c>
      <c r="Z57" s="96">
        <v>5132.666666666667</v>
      </c>
      <c r="AA57" s="96">
        <v>5132.666666666667</v>
      </c>
      <c r="AB57" s="96">
        <v>5132.666666666667</v>
      </c>
      <c r="AC57" s="96">
        <v>5132.666666666667</v>
      </c>
      <c r="AD57" s="96">
        <v>5132.666666666667</v>
      </c>
      <c r="AE57" s="96">
        <v>5132.666666666667</v>
      </c>
      <c r="AF57" s="96">
        <v>5132.666666666667</v>
      </c>
      <c r="AG57" s="96">
        <v>5132.666666666667</v>
      </c>
      <c r="AH57" s="96">
        <v>5132.666666666667</v>
      </c>
      <c r="AI57" s="96">
        <v>5132.666666666667</v>
      </c>
      <c r="AJ57" s="96">
        <v>5132.666666666667</v>
      </c>
      <c r="AK57" s="96">
        <v>5132.666666666667</v>
      </c>
      <c r="AL57" s="96">
        <v>5132.666666666667</v>
      </c>
      <c r="AM57" s="96">
        <v>5132.666666666667</v>
      </c>
      <c r="AN57" s="96">
        <v>5132.666666666667</v>
      </c>
      <c r="AO57" s="96">
        <v>5132.666666666667</v>
      </c>
      <c r="AP57" s="96">
        <v>5132.666666666667</v>
      </c>
      <c r="AQ57" s="96">
        <v>5132.666666666667</v>
      </c>
      <c r="AR57" s="96">
        <v>5132.666666666667</v>
      </c>
      <c r="AS57" s="96">
        <v>5132.666666666667</v>
      </c>
      <c r="AT57" s="96">
        <v>5132.666666666667</v>
      </c>
      <c r="AU57" s="96">
        <v>5132.666666666667</v>
      </c>
      <c r="AV57" s="96">
        <v>5132.666666666667</v>
      </c>
      <c r="AW57" s="96">
        <v>5132.666666666667</v>
      </c>
      <c r="AX57" s="96">
        <v>5132.666666666667</v>
      </c>
      <c r="AY57" s="96">
        <v>5132.666666666667</v>
      </c>
    </row>
    <row r="58" ht="15.75" customHeight="1">
      <c r="A58" s="1" t="s">
        <v>292</v>
      </c>
      <c r="B58" s="160">
        <v>1084.6666666666667</v>
      </c>
      <c r="C58" s="1"/>
      <c r="D58" s="76">
        <v>579.0</v>
      </c>
      <c r="E58" s="76">
        <v>498.0</v>
      </c>
      <c r="F58" s="76">
        <v>311.0</v>
      </c>
      <c r="G58" s="76">
        <v>706.0</v>
      </c>
      <c r="H58" s="76">
        <v>914.0</v>
      </c>
      <c r="I58" s="76">
        <v>855.0</v>
      </c>
      <c r="J58" s="76">
        <v>953.0</v>
      </c>
      <c r="K58" s="76">
        <v>985.0</v>
      </c>
      <c r="L58" s="76">
        <v>1730.0</v>
      </c>
      <c r="M58" s="76">
        <v>1073.0</v>
      </c>
      <c r="N58" s="76">
        <v>1205.0</v>
      </c>
      <c r="O58" s="76">
        <v>1436.0</v>
      </c>
      <c r="P58" s="76">
        <v>1489.0</v>
      </c>
      <c r="Q58" s="76">
        <v>1642.0</v>
      </c>
      <c r="R58" s="76">
        <v>1479.0</v>
      </c>
      <c r="S58" s="76">
        <v>1361.0</v>
      </c>
      <c r="T58" s="76">
        <v>1243.0</v>
      </c>
      <c r="U58" s="76">
        <v>1185.0</v>
      </c>
      <c r="V58" s="76">
        <v>1112.0</v>
      </c>
      <c r="W58" s="76">
        <v>1065.0</v>
      </c>
      <c r="X58" s="76">
        <v>1077.0</v>
      </c>
      <c r="Y58" s="96">
        <v>1084.6666666666667</v>
      </c>
      <c r="Z58" s="96">
        <v>1084.6666666666667</v>
      </c>
      <c r="AA58" s="96">
        <v>1084.6666666666667</v>
      </c>
      <c r="AB58" s="96">
        <v>1084.6666666666667</v>
      </c>
      <c r="AC58" s="96">
        <v>1084.6666666666667</v>
      </c>
      <c r="AD58" s="96">
        <v>1084.6666666666667</v>
      </c>
      <c r="AE58" s="96">
        <v>1084.6666666666667</v>
      </c>
      <c r="AF58" s="96">
        <v>1084.6666666666667</v>
      </c>
      <c r="AG58" s="96">
        <v>1084.6666666666667</v>
      </c>
      <c r="AH58" s="96">
        <v>1084.6666666666667</v>
      </c>
      <c r="AI58" s="96">
        <v>1084.6666666666667</v>
      </c>
      <c r="AJ58" s="96">
        <v>1084.6666666666667</v>
      </c>
      <c r="AK58" s="96">
        <v>1084.6666666666667</v>
      </c>
      <c r="AL58" s="96">
        <v>1084.6666666666667</v>
      </c>
      <c r="AM58" s="96">
        <v>1084.6666666666667</v>
      </c>
      <c r="AN58" s="96">
        <v>1084.6666666666667</v>
      </c>
      <c r="AO58" s="96">
        <v>1084.6666666666667</v>
      </c>
      <c r="AP58" s="96">
        <v>1084.6666666666667</v>
      </c>
      <c r="AQ58" s="96">
        <v>1084.6666666666667</v>
      </c>
      <c r="AR58" s="96">
        <v>1084.6666666666667</v>
      </c>
      <c r="AS58" s="96">
        <v>1084.6666666666667</v>
      </c>
      <c r="AT58" s="96">
        <v>1084.6666666666667</v>
      </c>
      <c r="AU58" s="96">
        <v>1084.6666666666667</v>
      </c>
      <c r="AV58" s="96">
        <v>1084.6666666666667</v>
      </c>
      <c r="AW58" s="96">
        <v>1084.6666666666667</v>
      </c>
      <c r="AX58" s="96">
        <v>1084.6666666666667</v>
      </c>
      <c r="AY58" s="96">
        <v>1084.6666666666667</v>
      </c>
    </row>
    <row r="59" ht="15.75" customHeight="1">
      <c r="A59" s="1" t="s">
        <v>293</v>
      </c>
      <c r="B59" s="160">
        <v>2012.6666666666667</v>
      </c>
      <c r="C59" s="1"/>
      <c r="D59" s="76">
        <v>671.0</v>
      </c>
      <c r="E59" s="76">
        <v>583.0</v>
      </c>
      <c r="F59" s="76">
        <v>888.0</v>
      </c>
      <c r="G59" s="76">
        <v>1219.0</v>
      </c>
      <c r="H59" s="76">
        <v>1474.0</v>
      </c>
      <c r="I59" s="76">
        <v>1322.0</v>
      </c>
      <c r="J59" s="76">
        <v>1588.0</v>
      </c>
      <c r="K59" s="76">
        <v>1625.0</v>
      </c>
      <c r="L59" s="76">
        <v>1730.0</v>
      </c>
      <c r="M59" s="76">
        <v>1633.0</v>
      </c>
      <c r="N59" s="76">
        <v>1781.0</v>
      </c>
      <c r="O59" s="76">
        <v>1826.0</v>
      </c>
      <c r="P59" s="76">
        <v>1750.0</v>
      </c>
      <c r="Q59" s="76">
        <v>2098.0</v>
      </c>
      <c r="R59" s="76">
        <v>1175.0</v>
      </c>
      <c r="S59" s="76">
        <v>1245.0</v>
      </c>
      <c r="T59" s="76">
        <v>4231.0</v>
      </c>
      <c r="U59" s="76">
        <v>1472.0</v>
      </c>
      <c r="V59" s="76">
        <v>1891.0</v>
      </c>
      <c r="W59" s="76">
        <v>1943.0</v>
      </c>
      <c r="X59" s="76">
        <v>2204.0</v>
      </c>
      <c r="Y59" s="96">
        <v>2012.6666666666667</v>
      </c>
      <c r="Z59" s="96">
        <v>2012.6666666666667</v>
      </c>
      <c r="AA59" s="96">
        <v>2012.6666666666667</v>
      </c>
      <c r="AB59" s="96">
        <v>2012.6666666666667</v>
      </c>
      <c r="AC59" s="96">
        <v>2012.6666666666667</v>
      </c>
      <c r="AD59" s="96">
        <v>2012.6666666666667</v>
      </c>
      <c r="AE59" s="96">
        <v>2012.6666666666667</v>
      </c>
      <c r="AF59" s="96">
        <v>2012.6666666666667</v>
      </c>
      <c r="AG59" s="96">
        <v>2012.6666666666667</v>
      </c>
      <c r="AH59" s="96">
        <v>2012.6666666666667</v>
      </c>
      <c r="AI59" s="96">
        <v>2012.6666666666667</v>
      </c>
      <c r="AJ59" s="96">
        <v>2012.6666666666667</v>
      </c>
      <c r="AK59" s="96">
        <v>2012.6666666666667</v>
      </c>
      <c r="AL59" s="96">
        <v>2012.6666666666667</v>
      </c>
      <c r="AM59" s="96">
        <v>2012.6666666666667</v>
      </c>
      <c r="AN59" s="96">
        <v>2012.6666666666667</v>
      </c>
      <c r="AO59" s="96">
        <v>2012.6666666666667</v>
      </c>
      <c r="AP59" s="96">
        <v>2012.6666666666667</v>
      </c>
      <c r="AQ59" s="96">
        <v>2012.6666666666667</v>
      </c>
      <c r="AR59" s="96">
        <v>2012.6666666666667</v>
      </c>
      <c r="AS59" s="96">
        <v>2012.6666666666667</v>
      </c>
      <c r="AT59" s="96">
        <v>2012.6666666666667</v>
      </c>
      <c r="AU59" s="96">
        <v>2012.6666666666667</v>
      </c>
      <c r="AV59" s="96">
        <v>2012.6666666666667</v>
      </c>
      <c r="AW59" s="96">
        <v>2012.6666666666667</v>
      </c>
      <c r="AX59" s="96">
        <v>2012.6666666666667</v>
      </c>
      <c r="AY59" s="96">
        <v>2012.6666666666667</v>
      </c>
    </row>
    <row r="60" ht="15.75" customHeight="1">
      <c r="A60" s="21" t="s">
        <v>294</v>
      </c>
      <c r="B60" s="163"/>
      <c r="C60" s="21"/>
      <c r="D60" s="157">
        <v>7141.0</v>
      </c>
      <c r="E60" s="157">
        <v>7310.0</v>
      </c>
      <c r="F60" s="157">
        <v>8003.0</v>
      </c>
      <c r="G60" s="157">
        <v>9209.0</v>
      </c>
      <c r="H60" s="157">
        <v>9631.0</v>
      </c>
      <c r="I60" s="157">
        <v>9467.0</v>
      </c>
      <c r="J60" s="157">
        <v>10182.0</v>
      </c>
      <c r="K60" s="157">
        <v>10250.0</v>
      </c>
      <c r="L60" s="157">
        <v>11424.0</v>
      </c>
      <c r="M60" s="157">
        <v>10293.0</v>
      </c>
      <c r="N60" s="157">
        <v>10950.0</v>
      </c>
      <c r="O60" s="157">
        <v>11610.0</v>
      </c>
      <c r="P60" s="157">
        <v>11455.0</v>
      </c>
      <c r="Q60" s="157">
        <v>12658.0</v>
      </c>
      <c r="R60" s="157">
        <v>12216.0</v>
      </c>
      <c r="S60" s="157">
        <v>12436.0</v>
      </c>
      <c r="T60" s="157">
        <v>16159.0</v>
      </c>
      <c r="U60" s="157">
        <v>13412.0</v>
      </c>
      <c r="V60" s="157">
        <v>13966.0</v>
      </c>
      <c r="W60" s="157">
        <v>13960.0</v>
      </c>
      <c r="X60" s="157">
        <v>14375.0</v>
      </c>
      <c r="Y60" s="157">
        <v>14100.333333333332</v>
      </c>
      <c r="Z60" s="157">
        <v>14100.333333333332</v>
      </c>
      <c r="AA60" s="157">
        <v>14100.333333333332</v>
      </c>
      <c r="AB60" s="157">
        <v>14100.333333333332</v>
      </c>
      <c r="AC60" s="157">
        <v>14100.333333333332</v>
      </c>
      <c r="AD60" s="157">
        <v>14100.333333333332</v>
      </c>
      <c r="AE60" s="157">
        <v>14100.333333333332</v>
      </c>
      <c r="AF60" s="157">
        <v>14100.333333333332</v>
      </c>
      <c r="AG60" s="157">
        <v>14100.333333333332</v>
      </c>
      <c r="AH60" s="157">
        <v>14100.333333333332</v>
      </c>
      <c r="AI60" s="157">
        <v>14100.333333333332</v>
      </c>
      <c r="AJ60" s="157">
        <v>14100.333333333332</v>
      </c>
      <c r="AK60" s="157">
        <v>14100.333333333332</v>
      </c>
      <c r="AL60" s="157">
        <v>14100.333333333332</v>
      </c>
      <c r="AM60" s="157">
        <v>14100.333333333332</v>
      </c>
      <c r="AN60" s="157">
        <v>14100.333333333332</v>
      </c>
      <c r="AO60" s="157">
        <v>14100.333333333332</v>
      </c>
      <c r="AP60" s="157">
        <v>14100.333333333332</v>
      </c>
      <c r="AQ60" s="157">
        <v>14100.333333333332</v>
      </c>
      <c r="AR60" s="157">
        <v>14100.333333333332</v>
      </c>
      <c r="AS60" s="157">
        <v>14100.333333333332</v>
      </c>
      <c r="AT60" s="157">
        <v>14100.333333333332</v>
      </c>
      <c r="AU60" s="157">
        <v>14100.333333333332</v>
      </c>
      <c r="AV60" s="157">
        <v>14100.333333333332</v>
      </c>
      <c r="AW60" s="157">
        <v>14100.333333333332</v>
      </c>
      <c r="AX60" s="157">
        <v>14100.333333333332</v>
      </c>
      <c r="AY60" s="157">
        <v>14100.333333333332</v>
      </c>
    </row>
    <row r="61" ht="15.75" customHeight="1">
      <c r="A61" s="21" t="s">
        <v>295</v>
      </c>
      <c r="B61" s="163"/>
      <c r="C61" s="21"/>
      <c r="D61" s="147">
        <v>49564.0</v>
      </c>
      <c r="E61" s="147">
        <v>50447.0</v>
      </c>
      <c r="F61" s="147">
        <v>51351.0</v>
      </c>
      <c r="G61" s="147">
        <v>53206.0</v>
      </c>
      <c r="H61" s="147">
        <v>55257.0</v>
      </c>
      <c r="I61" s="147">
        <v>57649.0</v>
      </c>
      <c r="J61" s="147">
        <v>60554.0</v>
      </c>
      <c r="K61" s="147">
        <v>60152.0</v>
      </c>
      <c r="L61" s="147">
        <v>67770.0</v>
      </c>
      <c r="M61" s="147">
        <v>67583.0</v>
      </c>
      <c r="N61" s="147">
        <v>67866.0</v>
      </c>
      <c r="O61" s="147">
        <v>70376.0</v>
      </c>
      <c r="P61" s="147">
        <v>69737.0</v>
      </c>
      <c r="Q61" s="147">
        <v>72354.0</v>
      </c>
      <c r="R61" s="147">
        <v>76214.0</v>
      </c>
      <c r="S61" s="147">
        <v>76301.0</v>
      </c>
      <c r="T61" s="147">
        <v>81524.0</v>
      </c>
      <c r="U61" s="147">
        <v>81206.0</v>
      </c>
      <c r="V61" s="147">
        <v>81697.0</v>
      </c>
      <c r="W61" s="147">
        <v>82120.0</v>
      </c>
      <c r="X61" s="147">
        <v>83392.0</v>
      </c>
      <c r="Y61" s="147">
        <v>93644.33333333333</v>
      </c>
      <c r="Z61" s="147">
        <v>93644.33333333333</v>
      </c>
      <c r="AA61" s="147">
        <v>93644.33333333333</v>
      </c>
      <c r="AB61" s="147">
        <v>93644.33333333333</v>
      </c>
      <c r="AC61" s="147">
        <v>93644.33333333333</v>
      </c>
      <c r="AD61" s="147">
        <v>93644.33333333333</v>
      </c>
      <c r="AE61" s="147">
        <v>93644.33333333333</v>
      </c>
      <c r="AF61" s="147">
        <v>93644.33333333333</v>
      </c>
      <c r="AG61" s="147">
        <v>93644.33333333333</v>
      </c>
      <c r="AH61" s="147">
        <v>93644.33333333333</v>
      </c>
      <c r="AI61" s="147">
        <v>93644.33333333333</v>
      </c>
      <c r="AJ61" s="147">
        <v>93644.33333333333</v>
      </c>
      <c r="AK61" s="147">
        <v>93644.33333333333</v>
      </c>
      <c r="AL61" s="147">
        <v>93644.33333333333</v>
      </c>
      <c r="AM61" s="147">
        <v>93644.33333333333</v>
      </c>
      <c r="AN61" s="147">
        <v>93644.33333333333</v>
      </c>
      <c r="AO61" s="147">
        <v>93644.33333333333</v>
      </c>
      <c r="AP61" s="147">
        <v>93644.33333333333</v>
      </c>
      <c r="AQ61" s="147">
        <v>93644.33333333333</v>
      </c>
      <c r="AR61" s="147">
        <v>93644.33333333333</v>
      </c>
      <c r="AS61" s="147">
        <v>93644.33333333333</v>
      </c>
      <c r="AT61" s="147">
        <v>93644.33333333333</v>
      </c>
      <c r="AU61" s="147">
        <v>93644.33333333333</v>
      </c>
      <c r="AV61" s="147">
        <v>93644.33333333333</v>
      </c>
      <c r="AW61" s="147">
        <v>93644.33333333333</v>
      </c>
      <c r="AX61" s="147">
        <v>93644.33333333333</v>
      </c>
      <c r="AY61" s="147">
        <v>93644.33333333333</v>
      </c>
    </row>
    <row r="62" ht="15.75" customHeight="1">
      <c r="A62" s="31" t="s">
        <v>244</v>
      </c>
      <c r="B62" s="159"/>
      <c r="C62" s="1"/>
      <c r="D62" s="76">
        <v>0.0</v>
      </c>
      <c r="E62" s="76">
        <v>0.0</v>
      </c>
      <c r="F62" s="76">
        <v>0.0</v>
      </c>
      <c r="G62" s="76">
        <v>0.0</v>
      </c>
      <c r="H62" s="76">
        <v>0.0</v>
      </c>
      <c r="I62" s="76">
        <v>0.0</v>
      </c>
      <c r="J62" s="76">
        <v>0.0</v>
      </c>
      <c r="K62" s="76">
        <v>0.0</v>
      </c>
      <c r="L62" s="76">
        <v>0.0</v>
      </c>
      <c r="M62" s="76">
        <v>0.0</v>
      </c>
      <c r="N62" s="76">
        <v>0.0</v>
      </c>
      <c r="O62" s="76">
        <v>0.0</v>
      </c>
      <c r="P62" s="76">
        <v>0.0</v>
      </c>
      <c r="Q62" s="76">
        <v>0.0</v>
      </c>
      <c r="R62" s="76">
        <v>0.0</v>
      </c>
      <c r="S62" s="76">
        <v>0.0</v>
      </c>
      <c r="T62" s="76">
        <v>0.0</v>
      </c>
      <c r="U62" s="76">
        <v>0.0</v>
      </c>
      <c r="V62" s="76">
        <v>0.0</v>
      </c>
      <c r="W62" s="76">
        <v>0.0</v>
      </c>
      <c r="X62" s="76">
        <v>0.0</v>
      </c>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row>
    <row r="63" ht="15.75" customHeight="1">
      <c r="A63" s="1" t="s">
        <v>17</v>
      </c>
      <c r="B63" s="159"/>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row>
    <row r="64" ht="15.75" customHeight="1">
      <c r="A64" s="1" t="s">
        <v>296</v>
      </c>
      <c r="B64" s="159"/>
      <c r="C64" s="1"/>
      <c r="D64" s="76"/>
      <c r="E64" s="76"/>
      <c r="F64" s="76"/>
      <c r="G64" s="76"/>
      <c r="H64" s="76"/>
      <c r="I64" s="76"/>
      <c r="J64" s="76"/>
      <c r="K64" s="76"/>
      <c r="L64" s="76"/>
      <c r="M64" s="76"/>
      <c r="N64" s="76"/>
      <c r="O64" s="76"/>
      <c r="P64" s="76"/>
      <c r="Q64" s="76"/>
      <c r="R64" s="76"/>
      <c r="S64" s="76"/>
      <c r="T64" s="76"/>
      <c r="U64" s="76"/>
      <c r="V64" s="76"/>
      <c r="W64" s="76"/>
      <c r="X64" s="76"/>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row>
    <row r="65" ht="15.75" customHeight="1">
      <c r="A65" s="1" t="s">
        <v>297</v>
      </c>
      <c r="B65" s="160">
        <v>168784.66666666666</v>
      </c>
      <c r="C65" s="1"/>
      <c r="D65" s="76">
        <v>43624.0</v>
      </c>
      <c r="E65" s="76">
        <v>46167.0</v>
      </c>
      <c r="F65" s="76">
        <v>48966.0</v>
      </c>
      <c r="G65" s="76">
        <v>51878.0</v>
      </c>
      <c r="H65" s="76">
        <v>55509.0</v>
      </c>
      <c r="I65" s="76">
        <v>57730.0</v>
      </c>
      <c r="J65" s="76">
        <v>66678.0</v>
      </c>
      <c r="K65" s="76">
        <v>72175.0</v>
      </c>
      <c r="L65" s="76">
        <v>95583.0</v>
      </c>
      <c r="M65" s="76">
        <v>100753.0</v>
      </c>
      <c r="N65" s="76">
        <v>121866.0</v>
      </c>
      <c r="O65" s="76">
        <v>132194.0</v>
      </c>
      <c r="P65" s="76">
        <v>135234.0</v>
      </c>
      <c r="Q65" s="76">
        <v>156382.0</v>
      </c>
      <c r="R65" s="76">
        <v>158221.0</v>
      </c>
      <c r="S65" s="76">
        <v>156382.0</v>
      </c>
      <c r="T65" s="76">
        <v>171134.0</v>
      </c>
      <c r="U65" s="76">
        <v>168772.0</v>
      </c>
      <c r="V65" s="76">
        <v>166219.0</v>
      </c>
      <c r="W65" s="76">
        <v>168021.0</v>
      </c>
      <c r="X65" s="76">
        <v>172114.0</v>
      </c>
      <c r="Y65" s="96">
        <v>168784.66666666666</v>
      </c>
      <c r="Z65" s="96">
        <v>168784.66666666666</v>
      </c>
      <c r="AA65" s="96">
        <v>168784.66666666666</v>
      </c>
      <c r="AB65" s="96">
        <v>168784.66666666666</v>
      </c>
      <c r="AC65" s="96">
        <v>168784.66666666666</v>
      </c>
      <c r="AD65" s="96">
        <v>168784.66666666666</v>
      </c>
      <c r="AE65" s="96">
        <v>168784.66666666666</v>
      </c>
      <c r="AF65" s="96">
        <v>168784.66666666666</v>
      </c>
      <c r="AG65" s="96">
        <v>168784.66666666666</v>
      </c>
      <c r="AH65" s="96">
        <v>168784.66666666666</v>
      </c>
      <c r="AI65" s="96">
        <v>168784.66666666666</v>
      </c>
      <c r="AJ65" s="96">
        <v>168784.66666666666</v>
      </c>
      <c r="AK65" s="96">
        <v>168784.66666666666</v>
      </c>
      <c r="AL65" s="96">
        <v>168784.66666666666</v>
      </c>
      <c r="AM65" s="96">
        <v>168784.66666666666</v>
      </c>
      <c r="AN65" s="96">
        <v>168784.66666666666</v>
      </c>
      <c r="AO65" s="96">
        <v>168784.66666666666</v>
      </c>
      <c r="AP65" s="96">
        <v>168784.66666666666</v>
      </c>
      <c r="AQ65" s="96">
        <v>168784.66666666666</v>
      </c>
      <c r="AR65" s="96">
        <v>168784.66666666666</v>
      </c>
      <c r="AS65" s="96">
        <v>168784.66666666666</v>
      </c>
      <c r="AT65" s="96">
        <v>168784.66666666666</v>
      </c>
      <c r="AU65" s="96">
        <v>168784.66666666666</v>
      </c>
      <c r="AV65" s="96">
        <v>168784.66666666666</v>
      </c>
      <c r="AW65" s="96">
        <v>168784.66666666666</v>
      </c>
      <c r="AX65" s="96">
        <v>168784.66666666666</v>
      </c>
      <c r="AY65" s="96">
        <v>168784.66666666666</v>
      </c>
    </row>
    <row r="66" ht="15.75" customHeight="1">
      <c r="A66" s="1" t="s">
        <v>298</v>
      </c>
      <c r="B66" s="159"/>
      <c r="C66" s="1"/>
      <c r="D66" s="76"/>
      <c r="E66" s="76"/>
      <c r="F66" s="76"/>
      <c r="G66" s="76"/>
      <c r="H66" s="76"/>
      <c r="I66" s="76"/>
      <c r="J66" s="76"/>
      <c r="K66" s="76"/>
      <c r="L66" s="76"/>
      <c r="M66" s="76"/>
      <c r="N66" s="76"/>
      <c r="O66" s="76"/>
      <c r="P66" s="76"/>
      <c r="Q66" s="76"/>
      <c r="R66" s="76"/>
      <c r="S66" s="76"/>
      <c r="T66" s="76"/>
      <c r="U66" s="76"/>
      <c r="V66" s="76"/>
      <c r="W66" s="76"/>
      <c r="X66" s="76"/>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row>
    <row r="67" ht="15.75" customHeight="1">
      <c r="A67" s="1" t="s">
        <v>299</v>
      </c>
      <c r="B67" s="160">
        <v>1800.0</v>
      </c>
      <c r="C67" s="1"/>
      <c r="D67" s="76">
        <v>450.0</v>
      </c>
      <c r="E67" s="76">
        <v>450.0</v>
      </c>
      <c r="F67" s="76">
        <v>450.0</v>
      </c>
      <c r="G67" s="76">
        <v>450.0</v>
      </c>
      <c r="H67" s="76">
        <v>450.0</v>
      </c>
      <c r="I67" s="76">
        <v>450.0</v>
      </c>
      <c r="J67" s="76">
        <v>900.0</v>
      </c>
      <c r="K67" s="76">
        <v>900.0</v>
      </c>
      <c r="L67" s="76">
        <v>900.0</v>
      </c>
      <c r="M67" s="76">
        <v>1350.0</v>
      </c>
      <c r="N67" s="76">
        <v>1350.0</v>
      </c>
      <c r="O67" s="76">
        <v>1350.0</v>
      </c>
      <c r="P67" s="76">
        <v>1800.0</v>
      </c>
      <c r="Q67" s="76">
        <v>1800.0</v>
      </c>
      <c r="R67" s="76">
        <v>1800.0</v>
      </c>
      <c r="S67" s="76">
        <v>1800.0</v>
      </c>
      <c r="T67" s="76">
        <v>1800.0</v>
      </c>
      <c r="U67" s="76">
        <v>1800.0</v>
      </c>
      <c r="V67" s="76">
        <v>1800.0</v>
      </c>
      <c r="W67" s="76">
        <v>1800.0</v>
      </c>
      <c r="X67" s="76">
        <v>1800.0</v>
      </c>
      <c r="Y67" s="96">
        <v>2033.3333333333333</v>
      </c>
      <c r="Z67" s="96">
        <v>2033.3333333333333</v>
      </c>
      <c r="AA67" s="96">
        <v>2033.3333333333333</v>
      </c>
      <c r="AB67" s="96">
        <v>3700.0</v>
      </c>
      <c r="AC67" s="96">
        <v>3700.0</v>
      </c>
      <c r="AD67" s="96">
        <v>5366.666666666666</v>
      </c>
      <c r="AE67" s="96">
        <v>5366.666666666666</v>
      </c>
      <c r="AF67" s="96">
        <v>5366.666666666666</v>
      </c>
      <c r="AG67" s="96">
        <v>5366.666666666666</v>
      </c>
      <c r="AH67" s="96">
        <v>5366.666666666666</v>
      </c>
      <c r="AI67" s="96">
        <v>5366.666666666666</v>
      </c>
      <c r="AJ67" s="96">
        <v>5366.666666666666</v>
      </c>
      <c r="AK67" s="96">
        <v>5366.666666666666</v>
      </c>
      <c r="AL67" s="96">
        <v>5366.666666666666</v>
      </c>
      <c r="AM67" s="96">
        <v>5366.666666666666</v>
      </c>
      <c r="AN67" s="96">
        <v>5366.666666666666</v>
      </c>
      <c r="AO67" s="96">
        <v>5366.666666666666</v>
      </c>
      <c r="AP67" s="96">
        <v>5366.666666666666</v>
      </c>
      <c r="AQ67" s="96">
        <v>5366.666666666666</v>
      </c>
      <c r="AR67" s="96">
        <v>5366.666666666666</v>
      </c>
      <c r="AS67" s="96">
        <v>5366.666666666666</v>
      </c>
      <c r="AT67" s="96">
        <v>5366.666666666666</v>
      </c>
      <c r="AU67" s="96">
        <v>5366.666666666666</v>
      </c>
      <c r="AV67" s="96">
        <v>5366.666666666666</v>
      </c>
      <c r="AW67" s="96">
        <v>5366.666666666666</v>
      </c>
      <c r="AX67" s="96">
        <v>5366.666666666666</v>
      </c>
      <c r="AY67" s="96">
        <v>5366.666666666666</v>
      </c>
    </row>
    <row r="68" ht="15.75" customHeight="1">
      <c r="A68" s="1" t="s">
        <v>300</v>
      </c>
      <c r="B68" s="160">
        <v>2115.0</v>
      </c>
      <c r="C68" s="1"/>
      <c r="D68" s="76">
        <v>529.0</v>
      </c>
      <c r="E68" s="76">
        <v>529.0</v>
      </c>
      <c r="F68" s="76">
        <v>529.0</v>
      </c>
      <c r="G68" s="76">
        <v>529.0</v>
      </c>
      <c r="H68" s="76">
        <v>529.0</v>
      </c>
      <c r="I68" s="76">
        <v>529.0</v>
      </c>
      <c r="J68" s="76">
        <v>1058.0</v>
      </c>
      <c r="K68" s="76">
        <v>1058.0</v>
      </c>
      <c r="L68" s="76">
        <v>1058.0</v>
      </c>
      <c r="M68" s="76">
        <v>1586.0</v>
      </c>
      <c r="N68" s="76">
        <v>1586.0</v>
      </c>
      <c r="O68" s="76">
        <v>1586.0</v>
      </c>
      <c r="P68" s="76">
        <v>2115.0</v>
      </c>
      <c r="Q68" s="76">
        <v>2115.0</v>
      </c>
      <c r="R68" s="76">
        <v>2115.0</v>
      </c>
      <c r="S68" s="76">
        <v>2115.0</v>
      </c>
      <c r="T68" s="76">
        <v>2115.0</v>
      </c>
      <c r="U68" s="76">
        <v>2115.0</v>
      </c>
      <c r="V68" s="76">
        <v>2115.0</v>
      </c>
      <c r="W68" s="76">
        <v>2115.0</v>
      </c>
      <c r="X68" s="76">
        <v>2115.0</v>
      </c>
      <c r="Y68" s="96">
        <v>2325.0</v>
      </c>
      <c r="Z68" s="96">
        <v>2325.0</v>
      </c>
      <c r="AA68" s="96">
        <v>2325.0</v>
      </c>
      <c r="AB68" s="96">
        <v>3825.0</v>
      </c>
      <c r="AC68" s="96">
        <v>3825.0</v>
      </c>
      <c r="AD68" s="96">
        <v>5325.0</v>
      </c>
      <c r="AE68" s="96">
        <v>5325.0</v>
      </c>
      <c r="AF68" s="96">
        <v>5325.0</v>
      </c>
      <c r="AG68" s="96">
        <v>5325.0</v>
      </c>
      <c r="AH68" s="96">
        <v>5325.0</v>
      </c>
      <c r="AI68" s="96">
        <v>5325.0</v>
      </c>
      <c r="AJ68" s="96">
        <v>5325.0</v>
      </c>
      <c r="AK68" s="96">
        <v>5325.0</v>
      </c>
      <c r="AL68" s="96">
        <v>5325.0</v>
      </c>
      <c r="AM68" s="96">
        <v>5325.0</v>
      </c>
      <c r="AN68" s="96">
        <v>5325.0</v>
      </c>
      <c r="AO68" s="96">
        <v>5325.0</v>
      </c>
      <c r="AP68" s="96">
        <v>5325.0</v>
      </c>
      <c r="AQ68" s="96">
        <v>5325.0</v>
      </c>
      <c r="AR68" s="96">
        <v>5325.0</v>
      </c>
      <c r="AS68" s="96">
        <v>5325.0</v>
      </c>
      <c r="AT68" s="96">
        <v>5325.0</v>
      </c>
      <c r="AU68" s="96">
        <v>5325.0</v>
      </c>
      <c r="AV68" s="96">
        <v>5325.0</v>
      </c>
      <c r="AW68" s="96">
        <v>5325.0</v>
      </c>
      <c r="AX68" s="96">
        <v>5325.0</v>
      </c>
      <c r="AY68" s="96">
        <v>5325.0</v>
      </c>
    </row>
    <row r="69" ht="15.75" customHeight="1">
      <c r="A69" s="1" t="s">
        <v>301</v>
      </c>
      <c r="B69" s="160">
        <v>23500.0</v>
      </c>
      <c r="C69" s="1"/>
      <c r="D69" s="76">
        <v>5875.0</v>
      </c>
      <c r="E69" s="76">
        <v>5875.0</v>
      </c>
      <c r="F69" s="76">
        <v>5875.0</v>
      </c>
      <c r="G69" s="76">
        <v>5875.0</v>
      </c>
      <c r="H69" s="76">
        <v>5875.0</v>
      </c>
      <c r="I69" s="76">
        <v>5875.0</v>
      </c>
      <c r="J69" s="76">
        <v>11750.0</v>
      </c>
      <c r="K69" s="76">
        <v>11750.0</v>
      </c>
      <c r="L69" s="76">
        <v>11750.0</v>
      </c>
      <c r="M69" s="76">
        <v>17625.0</v>
      </c>
      <c r="N69" s="76">
        <v>17625.0</v>
      </c>
      <c r="O69" s="76">
        <v>17625.0</v>
      </c>
      <c r="P69" s="76">
        <v>23500.0</v>
      </c>
      <c r="Q69" s="76">
        <v>23500.0</v>
      </c>
      <c r="R69" s="76">
        <v>23500.0</v>
      </c>
      <c r="S69" s="76">
        <v>23500.0</v>
      </c>
      <c r="T69" s="76">
        <v>23500.0</v>
      </c>
      <c r="U69" s="76">
        <v>23500.0</v>
      </c>
      <c r="V69" s="76">
        <v>23500.0</v>
      </c>
      <c r="W69" s="76">
        <v>23500.0</v>
      </c>
      <c r="X69" s="76">
        <v>23500.0</v>
      </c>
      <c r="Y69" s="96">
        <v>25833.333333333336</v>
      </c>
      <c r="Z69" s="96">
        <v>25833.333333333336</v>
      </c>
      <c r="AA69" s="96">
        <v>25833.333333333336</v>
      </c>
      <c r="AB69" s="96">
        <v>42500.00000000001</v>
      </c>
      <c r="AC69" s="96">
        <v>42500.00000000001</v>
      </c>
      <c r="AD69" s="96">
        <v>59166.66666666668</v>
      </c>
      <c r="AE69" s="96">
        <v>59166.66666666668</v>
      </c>
      <c r="AF69" s="96">
        <v>59166.66666666668</v>
      </c>
      <c r="AG69" s="96">
        <v>59166.66666666668</v>
      </c>
      <c r="AH69" s="96">
        <v>59166.66666666668</v>
      </c>
      <c r="AI69" s="96">
        <v>59166.66666666668</v>
      </c>
      <c r="AJ69" s="96">
        <v>59166.66666666668</v>
      </c>
      <c r="AK69" s="96">
        <v>59166.66666666668</v>
      </c>
      <c r="AL69" s="96">
        <v>59166.66666666668</v>
      </c>
      <c r="AM69" s="96">
        <v>59166.66666666668</v>
      </c>
      <c r="AN69" s="96">
        <v>59166.66666666668</v>
      </c>
      <c r="AO69" s="96">
        <v>59166.66666666668</v>
      </c>
      <c r="AP69" s="96">
        <v>59166.66666666668</v>
      </c>
      <c r="AQ69" s="96">
        <v>59166.66666666668</v>
      </c>
      <c r="AR69" s="96">
        <v>59166.66666666668</v>
      </c>
      <c r="AS69" s="96">
        <v>59166.66666666668</v>
      </c>
      <c r="AT69" s="96">
        <v>59166.66666666668</v>
      </c>
      <c r="AU69" s="96">
        <v>59166.66666666668</v>
      </c>
      <c r="AV69" s="96">
        <v>59166.66666666668</v>
      </c>
      <c r="AW69" s="96">
        <v>59166.66666666668</v>
      </c>
      <c r="AX69" s="96">
        <v>59166.66666666668</v>
      </c>
      <c r="AY69" s="96">
        <v>59166.66666666668</v>
      </c>
    </row>
    <row r="70" ht="15.75" customHeight="1">
      <c r="A70" s="21" t="s">
        <v>302</v>
      </c>
      <c r="B70" s="163"/>
      <c r="C70" s="21"/>
      <c r="D70" s="157">
        <v>6854.0</v>
      </c>
      <c r="E70" s="157">
        <v>6854.0</v>
      </c>
      <c r="F70" s="157">
        <v>6854.0</v>
      </c>
      <c r="G70" s="157">
        <v>6854.0</v>
      </c>
      <c r="H70" s="157">
        <v>6854.0</v>
      </c>
      <c r="I70" s="157">
        <v>6854.0</v>
      </c>
      <c r="J70" s="157">
        <v>13708.0</v>
      </c>
      <c r="K70" s="157">
        <v>13708.0</v>
      </c>
      <c r="L70" s="157">
        <v>13708.0</v>
      </c>
      <c r="M70" s="157">
        <v>20561.0</v>
      </c>
      <c r="N70" s="157">
        <v>20561.0</v>
      </c>
      <c r="O70" s="157">
        <v>20561.0</v>
      </c>
      <c r="P70" s="157">
        <v>27415.0</v>
      </c>
      <c r="Q70" s="157">
        <v>27415.0</v>
      </c>
      <c r="R70" s="157">
        <v>27415.0</v>
      </c>
      <c r="S70" s="157">
        <v>27415.0</v>
      </c>
      <c r="T70" s="157">
        <v>27415.0</v>
      </c>
      <c r="U70" s="157">
        <v>27415.0</v>
      </c>
      <c r="V70" s="157">
        <v>27415.0</v>
      </c>
      <c r="W70" s="157">
        <v>27415.0</v>
      </c>
      <c r="X70" s="157">
        <v>27415.0</v>
      </c>
      <c r="Y70" s="157">
        <v>30191.666666666668</v>
      </c>
      <c r="Z70" s="157">
        <v>30191.666666666668</v>
      </c>
      <c r="AA70" s="157">
        <v>30191.666666666668</v>
      </c>
      <c r="AB70" s="157">
        <v>50025.00000000001</v>
      </c>
      <c r="AC70" s="157">
        <v>50025.00000000001</v>
      </c>
      <c r="AD70" s="157">
        <v>69858.33333333334</v>
      </c>
      <c r="AE70" s="157">
        <v>69858.33333333334</v>
      </c>
      <c r="AF70" s="157">
        <v>69858.33333333334</v>
      </c>
      <c r="AG70" s="157">
        <v>69858.33333333334</v>
      </c>
      <c r="AH70" s="157">
        <v>69858.33333333334</v>
      </c>
      <c r="AI70" s="157">
        <v>69858.33333333334</v>
      </c>
      <c r="AJ70" s="157">
        <v>69858.33333333334</v>
      </c>
      <c r="AK70" s="157">
        <v>69858.33333333334</v>
      </c>
      <c r="AL70" s="157">
        <v>69858.33333333334</v>
      </c>
      <c r="AM70" s="157">
        <v>69858.33333333334</v>
      </c>
      <c r="AN70" s="157">
        <v>69858.33333333334</v>
      </c>
      <c r="AO70" s="157">
        <v>69858.33333333334</v>
      </c>
      <c r="AP70" s="157">
        <v>69858.33333333334</v>
      </c>
      <c r="AQ70" s="157">
        <v>69858.33333333334</v>
      </c>
      <c r="AR70" s="157">
        <v>69858.33333333334</v>
      </c>
      <c r="AS70" s="157">
        <v>69858.33333333334</v>
      </c>
      <c r="AT70" s="157">
        <v>69858.33333333334</v>
      </c>
      <c r="AU70" s="157">
        <v>69858.33333333334</v>
      </c>
      <c r="AV70" s="157">
        <v>69858.33333333334</v>
      </c>
      <c r="AW70" s="157">
        <v>69858.33333333334</v>
      </c>
      <c r="AX70" s="157">
        <v>69858.33333333334</v>
      </c>
      <c r="AY70" s="157">
        <v>69858.33333333334</v>
      </c>
    </row>
    <row r="71" ht="15.75" customHeight="1">
      <c r="A71" s="1" t="s">
        <v>303</v>
      </c>
      <c r="B71" s="159"/>
      <c r="C71" s="1"/>
      <c r="D71" s="76"/>
      <c r="E71" s="76">
        <v>500.0</v>
      </c>
      <c r="F71" s="76"/>
      <c r="G71" s="76"/>
      <c r="H71" s="76"/>
      <c r="I71" s="76"/>
      <c r="J71" s="76"/>
      <c r="K71" s="76"/>
      <c r="L71" s="76"/>
      <c r="M71" s="76"/>
      <c r="N71" s="76"/>
      <c r="O71" s="76"/>
      <c r="P71" s="76"/>
      <c r="Q71" s="76"/>
      <c r="R71" s="76"/>
      <c r="S71" s="76"/>
      <c r="T71" s="76"/>
      <c r="U71" s="76"/>
      <c r="V71" s="76"/>
      <c r="W71" s="76"/>
      <c r="X71" s="76"/>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row>
    <row r="72" ht="15.75" customHeight="1">
      <c r="A72" s="21" t="s">
        <v>305</v>
      </c>
      <c r="B72" s="163"/>
      <c r="C72" s="21"/>
      <c r="D72" s="157">
        <v>50478.0</v>
      </c>
      <c r="E72" s="157">
        <v>53521.0</v>
      </c>
      <c r="F72" s="157">
        <v>55820.0</v>
      </c>
      <c r="G72" s="157">
        <v>58732.0</v>
      </c>
      <c r="H72" s="157">
        <v>62363.0</v>
      </c>
      <c r="I72" s="157">
        <v>64584.0</v>
      </c>
      <c r="J72" s="157">
        <v>80386.0</v>
      </c>
      <c r="K72" s="157">
        <v>85883.0</v>
      </c>
      <c r="L72" s="157">
        <v>109291.0</v>
      </c>
      <c r="M72" s="157">
        <v>121314.0</v>
      </c>
      <c r="N72" s="157">
        <v>142427.0</v>
      </c>
      <c r="O72" s="157">
        <v>152755.0</v>
      </c>
      <c r="P72" s="157">
        <v>162649.0</v>
      </c>
      <c r="Q72" s="157">
        <v>183797.0</v>
      </c>
      <c r="R72" s="157">
        <v>185636.0</v>
      </c>
      <c r="S72" s="157">
        <v>183797.0</v>
      </c>
      <c r="T72" s="157">
        <v>198549.0</v>
      </c>
      <c r="U72" s="157">
        <v>196187.0</v>
      </c>
      <c r="V72" s="157">
        <v>193634.0</v>
      </c>
      <c r="W72" s="157">
        <v>195436.0</v>
      </c>
      <c r="X72" s="157">
        <v>199529.0</v>
      </c>
      <c r="Y72" s="157">
        <v>198976.3333333333</v>
      </c>
      <c r="Z72" s="157">
        <v>198976.3333333333</v>
      </c>
      <c r="AA72" s="157">
        <v>198976.3333333333</v>
      </c>
      <c r="AB72" s="157">
        <v>218809.66666666666</v>
      </c>
      <c r="AC72" s="157">
        <v>218809.66666666666</v>
      </c>
      <c r="AD72" s="157">
        <v>238643.0</v>
      </c>
      <c r="AE72" s="157">
        <v>238643.0</v>
      </c>
      <c r="AF72" s="157">
        <v>238643.0</v>
      </c>
      <c r="AG72" s="157">
        <v>238643.0</v>
      </c>
      <c r="AH72" s="157">
        <v>238643.0</v>
      </c>
      <c r="AI72" s="157">
        <v>238643.0</v>
      </c>
      <c r="AJ72" s="157">
        <v>238643.0</v>
      </c>
      <c r="AK72" s="157">
        <v>238643.0</v>
      </c>
      <c r="AL72" s="157">
        <v>238643.0</v>
      </c>
      <c r="AM72" s="157">
        <v>238643.0</v>
      </c>
      <c r="AN72" s="157">
        <v>238643.0</v>
      </c>
      <c r="AO72" s="157">
        <v>238643.0</v>
      </c>
      <c r="AP72" s="157">
        <v>238643.0</v>
      </c>
      <c r="AQ72" s="157">
        <v>238643.0</v>
      </c>
      <c r="AR72" s="157">
        <v>238643.0</v>
      </c>
      <c r="AS72" s="157">
        <v>238643.0</v>
      </c>
      <c r="AT72" s="157">
        <v>238643.0</v>
      </c>
      <c r="AU72" s="157">
        <v>238643.0</v>
      </c>
      <c r="AV72" s="157">
        <v>238643.0</v>
      </c>
      <c r="AW72" s="157">
        <v>238643.0</v>
      </c>
      <c r="AX72" s="157">
        <v>238643.0</v>
      </c>
      <c r="AY72" s="157">
        <v>238643.0</v>
      </c>
    </row>
    <row r="73" ht="15.75" customHeight="1">
      <c r="A73" s="1" t="s">
        <v>306</v>
      </c>
      <c r="B73" s="159"/>
      <c r="C73" s="1"/>
      <c r="D73" s="76"/>
      <c r="E73" s="76"/>
      <c r="F73" s="76"/>
      <c r="G73" s="76"/>
      <c r="H73" s="76"/>
      <c r="I73" s="76"/>
      <c r="J73" s="76"/>
      <c r="K73" s="76"/>
      <c r="L73" s="76"/>
      <c r="M73" s="76"/>
      <c r="N73" s="76"/>
      <c r="O73" s="76"/>
      <c r="P73" s="76"/>
      <c r="Q73" s="76"/>
      <c r="R73" s="76"/>
      <c r="S73" s="76"/>
      <c r="T73" s="76"/>
      <c r="U73" s="76"/>
      <c r="V73" s="76"/>
      <c r="W73" s="76"/>
      <c r="X73" s="76"/>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row>
    <row r="74" ht="15.75" customHeight="1">
      <c r="A74" s="1" t="s">
        <v>307</v>
      </c>
      <c r="B74" s="159"/>
      <c r="C74" s="1"/>
      <c r="D74" s="76"/>
      <c r="E74" s="76"/>
      <c r="F74" s="76"/>
      <c r="G74" s="76"/>
      <c r="H74" s="76"/>
      <c r="I74" s="76"/>
      <c r="J74" s="76"/>
      <c r="K74" s="76"/>
      <c r="L74" s="76"/>
      <c r="M74" s="76"/>
      <c r="N74" s="76"/>
      <c r="O74" s="76"/>
      <c r="P74" s="76"/>
      <c r="Q74" s="76"/>
      <c r="R74" s="76"/>
      <c r="S74" s="76"/>
      <c r="T74" s="76"/>
      <c r="U74" s="76"/>
      <c r="V74" s="76"/>
      <c r="W74" s="76"/>
      <c r="X74" s="76"/>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row>
    <row r="75" ht="15.75" customHeight="1">
      <c r="A75" s="1" t="s">
        <v>308</v>
      </c>
      <c r="B75" s="160">
        <v>1576.0</v>
      </c>
      <c r="C75" s="1"/>
      <c r="D75" s="76">
        <v>394.0</v>
      </c>
      <c r="E75" s="76">
        <v>394.0</v>
      </c>
      <c r="F75" s="76">
        <v>591.0</v>
      </c>
      <c r="G75" s="76">
        <v>591.0</v>
      </c>
      <c r="H75" s="76">
        <v>591.0</v>
      </c>
      <c r="I75" s="76">
        <v>788.0</v>
      </c>
      <c r="J75" s="76">
        <v>985.0</v>
      </c>
      <c r="K75" s="76">
        <v>985.0</v>
      </c>
      <c r="L75" s="76">
        <v>985.0</v>
      </c>
      <c r="M75" s="76">
        <v>1182.0</v>
      </c>
      <c r="N75" s="76">
        <v>1182.0</v>
      </c>
      <c r="O75" s="76">
        <v>1379.0</v>
      </c>
      <c r="P75" s="76">
        <v>1379.0</v>
      </c>
      <c r="Q75" s="76">
        <v>1576.0</v>
      </c>
      <c r="R75" s="76">
        <v>1576.0</v>
      </c>
      <c r="S75" s="76">
        <v>1576.0</v>
      </c>
      <c r="T75" s="76">
        <v>1576.0</v>
      </c>
      <c r="U75" s="76">
        <v>1576.0</v>
      </c>
      <c r="V75" s="76">
        <v>1576.0</v>
      </c>
      <c r="W75" s="76">
        <v>1576.0</v>
      </c>
      <c r="X75" s="76">
        <v>1576.0</v>
      </c>
      <c r="Y75" s="96">
        <v>3166.666666666667</v>
      </c>
      <c r="Z75" s="96">
        <v>6633.333333333334</v>
      </c>
      <c r="AA75" s="96">
        <v>6633.333333333334</v>
      </c>
      <c r="AB75" s="96">
        <v>6633.333333333334</v>
      </c>
      <c r="AC75" s="96">
        <v>6633.333333333334</v>
      </c>
      <c r="AD75" s="96">
        <v>6633.333333333334</v>
      </c>
      <c r="AE75" s="96">
        <v>10100.000000000002</v>
      </c>
      <c r="AF75" s="96">
        <v>10100.000000000002</v>
      </c>
      <c r="AG75" s="96">
        <v>10100.000000000002</v>
      </c>
      <c r="AH75" s="96">
        <v>10100.000000000002</v>
      </c>
      <c r="AI75" s="96">
        <v>10100.000000000002</v>
      </c>
      <c r="AJ75" s="96">
        <v>10100.000000000002</v>
      </c>
      <c r="AK75" s="96">
        <v>10100.000000000002</v>
      </c>
      <c r="AL75" s="96">
        <v>10100.000000000002</v>
      </c>
      <c r="AM75" s="96">
        <v>10100.000000000002</v>
      </c>
      <c r="AN75" s="96">
        <v>10100.000000000002</v>
      </c>
      <c r="AO75" s="96">
        <v>10100.000000000002</v>
      </c>
      <c r="AP75" s="96">
        <v>10100.000000000002</v>
      </c>
      <c r="AQ75" s="96">
        <v>10100.000000000002</v>
      </c>
      <c r="AR75" s="96">
        <v>10100.000000000002</v>
      </c>
      <c r="AS75" s="96">
        <v>10100.000000000002</v>
      </c>
      <c r="AT75" s="96">
        <v>10100.000000000002</v>
      </c>
      <c r="AU75" s="96">
        <v>10100.000000000002</v>
      </c>
      <c r="AV75" s="96">
        <v>10100.000000000002</v>
      </c>
      <c r="AW75" s="96">
        <v>10100.000000000002</v>
      </c>
      <c r="AX75" s="96">
        <v>10100.000000000002</v>
      </c>
      <c r="AY75" s="96">
        <v>10100.000000000002</v>
      </c>
    </row>
    <row r="76" ht="15.75" customHeight="1">
      <c r="A76" s="1" t="s">
        <v>309</v>
      </c>
      <c r="B76" s="160">
        <v>3645.0</v>
      </c>
      <c r="C76" s="1"/>
      <c r="D76" s="76">
        <v>900.0</v>
      </c>
      <c r="E76" s="76">
        <v>900.0</v>
      </c>
      <c r="F76" s="76">
        <v>1350.0</v>
      </c>
      <c r="G76" s="76">
        <v>1350.0</v>
      </c>
      <c r="H76" s="76">
        <v>1350.0</v>
      </c>
      <c r="I76" s="76">
        <v>1800.0</v>
      </c>
      <c r="J76" s="76">
        <v>2205.0</v>
      </c>
      <c r="K76" s="76">
        <v>2205.0</v>
      </c>
      <c r="L76" s="76">
        <v>2205.0</v>
      </c>
      <c r="M76" s="76">
        <v>2700.0</v>
      </c>
      <c r="N76" s="76">
        <v>2700.0</v>
      </c>
      <c r="O76" s="76">
        <v>3150.0</v>
      </c>
      <c r="P76" s="76">
        <v>3150.0</v>
      </c>
      <c r="Q76" s="76">
        <v>3645.0</v>
      </c>
      <c r="R76" s="76">
        <v>3645.0</v>
      </c>
      <c r="S76" s="76">
        <v>3645.0</v>
      </c>
      <c r="T76" s="76">
        <v>3645.0</v>
      </c>
      <c r="U76" s="76">
        <v>3645.0</v>
      </c>
      <c r="V76" s="76">
        <v>3645.0</v>
      </c>
      <c r="W76" s="76">
        <v>3645.0</v>
      </c>
      <c r="X76" s="76">
        <v>3645.0</v>
      </c>
      <c r="Y76" s="96">
        <v>2625.0</v>
      </c>
      <c r="Z76" s="96">
        <v>5925.0</v>
      </c>
      <c r="AA76" s="96">
        <v>5925.0</v>
      </c>
      <c r="AB76" s="96">
        <v>5925.0</v>
      </c>
      <c r="AC76" s="96">
        <v>5925.0</v>
      </c>
      <c r="AD76" s="96">
        <v>5925.0</v>
      </c>
      <c r="AE76" s="96">
        <v>9225.0</v>
      </c>
      <c r="AF76" s="96">
        <v>9225.0</v>
      </c>
      <c r="AG76" s="96">
        <v>9225.0</v>
      </c>
      <c r="AH76" s="96">
        <v>9225.0</v>
      </c>
      <c r="AI76" s="96">
        <v>9225.0</v>
      </c>
      <c r="AJ76" s="96">
        <v>9225.0</v>
      </c>
      <c r="AK76" s="96">
        <v>9225.0</v>
      </c>
      <c r="AL76" s="96">
        <v>9225.0</v>
      </c>
      <c r="AM76" s="96">
        <v>9225.0</v>
      </c>
      <c r="AN76" s="96">
        <v>9225.0</v>
      </c>
      <c r="AO76" s="96">
        <v>9225.0</v>
      </c>
      <c r="AP76" s="96">
        <v>9225.0</v>
      </c>
      <c r="AQ76" s="96">
        <v>9225.0</v>
      </c>
      <c r="AR76" s="96">
        <v>9225.0</v>
      </c>
      <c r="AS76" s="96">
        <v>9225.0</v>
      </c>
      <c r="AT76" s="96">
        <v>9225.0</v>
      </c>
      <c r="AU76" s="96">
        <v>9225.0</v>
      </c>
      <c r="AV76" s="96">
        <v>9225.0</v>
      </c>
      <c r="AW76" s="96">
        <v>9225.0</v>
      </c>
      <c r="AX76" s="96">
        <v>9225.0</v>
      </c>
      <c r="AY76" s="96">
        <v>9225.0</v>
      </c>
    </row>
    <row r="77" ht="15.75" customHeight="1">
      <c r="A77" s="1" t="s">
        <v>310</v>
      </c>
      <c r="B77" s="160">
        <v>39490.0</v>
      </c>
      <c r="C77" s="1"/>
      <c r="D77" s="76">
        <v>11652.0</v>
      </c>
      <c r="E77" s="76">
        <v>14166.0</v>
      </c>
      <c r="F77" s="76">
        <v>21021.0</v>
      </c>
      <c r="G77" s="76">
        <v>21868.0</v>
      </c>
      <c r="H77" s="76">
        <v>27274.0</v>
      </c>
      <c r="I77" s="76">
        <v>16676.0</v>
      </c>
      <c r="J77" s="76">
        <v>24845.0</v>
      </c>
      <c r="K77" s="76">
        <v>25937.0</v>
      </c>
      <c r="L77" s="76">
        <v>26800.0</v>
      </c>
      <c r="M77" s="76">
        <v>29607.0</v>
      </c>
      <c r="N77" s="76">
        <v>28195.0</v>
      </c>
      <c r="O77" s="76">
        <v>31733.0</v>
      </c>
      <c r="P77" s="76">
        <v>29875.0</v>
      </c>
      <c r="Q77" s="76">
        <v>31767.0</v>
      </c>
      <c r="R77" s="76">
        <v>33744.0</v>
      </c>
      <c r="S77" s="76">
        <v>32911.0</v>
      </c>
      <c r="T77" s="76">
        <v>38116.0</v>
      </c>
      <c r="U77" s="76">
        <v>37096.0</v>
      </c>
      <c r="V77" s="76">
        <v>37962.0</v>
      </c>
      <c r="W77" s="76">
        <v>38719.0</v>
      </c>
      <c r="X77" s="76">
        <v>41789.0</v>
      </c>
      <c r="Y77" s="96">
        <v>39490.0</v>
      </c>
      <c r="Z77" s="96">
        <v>39490.0</v>
      </c>
      <c r="AA77" s="96">
        <v>39490.0</v>
      </c>
      <c r="AB77" s="96">
        <v>39490.0</v>
      </c>
      <c r="AC77" s="96">
        <v>39490.0</v>
      </c>
      <c r="AD77" s="96">
        <v>39490.0</v>
      </c>
      <c r="AE77" s="96">
        <v>39490.0</v>
      </c>
      <c r="AF77" s="96">
        <v>39490.0</v>
      </c>
      <c r="AG77" s="96">
        <v>39490.0</v>
      </c>
      <c r="AH77" s="96">
        <v>39490.0</v>
      </c>
      <c r="AI77" s="96">
        <v>39490.0</v>
      </c>
      <c r="AJ77" s="96">
        <v>39490.0</v>
      </c>
      <c r="AK77" s="96">
        <v>39490.0</v>
      </c>
      <c r="AL77" s="96">
        <v>39490.0</v>
      </c>
      <c r="AM77" s="96">
        <v>39490.0</v>
      </c>
      <c r="AN77" s="96">
        <v>39490.0</v>
      </c>
      <c r="AO77" s="96">
        <v>39490.0</v>
      </c>
      <c r="AP77" s="96">
        <v>39490.0</v>
      </c>
      <c r="AQ77" s="96">
        <v>39490.0</v>
      </c>
      <c r="AR77" s="96">
        <v>39490.0</v>
      </c>
      <c r="AS77" s="96">
        <v>39490.0</v>
      </c>
      <c r="AT77" s="96">
        <v>39490.0</v>
      </c>
      <c r="AU77" s="96">
        <v>39490.0</v>
      </c>
      <c r="AV77" s="96">
        <v>39490.0</v>
      </c>
      <c r="AW77" s="96">
        <v>39490.0</v>
      </c>
      <c r="AX77" s="96">
        <v>39490.0</v>
      </c>
      <c r="AY77" s="96">
        <v>39490.0</v>
      </c>
    </row>
    <row r="78" ht="15.75" customHeight="1">
      <c r="A78" s="1" t="s">
        <v>311</v>
      </c>
      <c r="B78" s="160">
        <v>40500.0</v>
      </c>
      <c r="C78" s="1"/>
      <c r="D78" s="76">
        <v>10000.0</v>
      </c>
      <c r="E78" s="76">
        <v>10000.0</v>
      </c>
      <c r="F78" s="76">
        <v>15000.0</v>
      </c>
      <c r="G78" s="76">
        <v>15000.0</v>
      </c>
      <c r="H78" s="76">
        <v>15000.0</v>
      </c>
      <c r="I78" s="76">
        <v>20000.0</v>
      </c>
      <c r="J78" s="76">
        <v>24500.0</v>
      </c>
      <c r="K78" s="76">
        <v>24500.0</v>
      </c>
      <c r="L78" s="76">
        <v>24500.0</v>
      </c>
      <c r="M78" s="76">
        <v>30000.0</v>
      </c>
      <c r="N78" s="76">
        <v>30000.0</v>
      </c>
      <c r="O78" s="76">
        <v>35000.0</v>
      </c>
      <c r="P78" s="76">
        <v>35000.0</v>
      </c>
      <c r="Q78" s="76">
        <v>40500.0</v>
      </c>
      <c r="R78" s="76">
        <v>40500.0</v>
      </c>
      <c r="S78" s="76">
        <v>40500.0</v>
      </c>
      <c r="T78" s="76">
        <v>40500.0</v>
      </c>
      <c r="U78" s="76">
        <v>40500.0</v>
      </c>
      <c r="V78" s="76">
        <v>40500.0</v>
      </c>
      <c r="W78" s="76">
        <v>40500.0</v>
      </c>
      <c r="X78" s="76">
        <v>40500.0</v>
      </c>
      <c r="Y78" s="96">
        <v>29166.666666666668</v>
      </c>
      <c r="Z78" s="96">
        <v>65833.33333333334</v>
      </c>
      <c r="AA78" s="96">
        <v>65833.33333333334</v>
      </c>
      <c r="AB78" s="96">
        <v>65833.33333333334</v>
      </c>
      <c r="AC78" s="96">
        <v>65833.33333333334</v>
      </c>
      <c r="AD78" s="96">
        <v>65833.33333333334</v>
      </c>
      <c r="AE78" s="96">
        <v>102500.0</v>
      </c>
      <c r="AF78" s="96">
        <v>102500.0</v>
      </c>
      <c r="AG78" s="96">
        <v>102500.0</v>
      </c>
      <c r="AH78" s="96">
        <v>102500.0</v>
      </c>
      <c r="AI78" s="96">
        <v>102500.0</v>
      </c>
      <c r="AJ78" s="96">
        <v>102500.0</v>
      </c>
      <c r="AK78" s="96">
        <v>102500.0</v>
      </c>
      <c r="AL78" s="96">
        <v>102500.0</v>
      </c>
      <c r="AM78" s="96">
        <v>102500.0</v>
      </c>
      <c r="AN78" s="96">
        <v>102500.0</v>
      </c>
      <c r="AO78" s="96">
        <v>102500.0</v>
      </c>
      <c r="AP78" s="96">
        <v>102500.0</v>
      </c>
      <c r="AQ78" s="96">
        <v>102500.0</v>
      </c>
      <c r="AR78" s="96">
        <v>102500.0</v>
      </c>
      <c r="AS78" s="96">
        <v>102500.0</v>
      </c>
      <c r="AT78" s="96">
        <v>102500.0</v>
      </c>
      <c r="AU78" s="96">
        <v>102500.0</v>
      </c>
      <c r="AV78" s="96">
        <v>102500.0</v>
      </c>
      <c r="AW78" s="96">
        <v>102500.0</v>
      </c>
      <c r="AX78" s="96">
        <v>102500.0</v>
      </c>
      <c r="AY78" s="96">
        <v>102500.0</v>
      </c>
    </row>
    <row r="79" ht="15.75" customHeight="1">
      <c r="A79" s="21" t="s">
        <v>312</v>
      </c>
      <c r="B79" s="163"/>
      <c r="C79" s="21"/>
      <c r="D79" s="157">
        <v>22946.0</v>
      </c>
      <c r="E79" s="157">
        <v>25460.0</v>
      </c>
      <c r="F79" s="157">
        <v>37962.0</v>
      </c>
      <c r="G79" s="157">
        <v>38809.0</v>
      </c>
      <c r="H79" s="157">
        <v>44215.0</v>
      </c>
      <c r="I79" s="157">
        <v>39264.0</v>
      </c>
      <c r="J79" s="157">
        <v>52535.0</v>
      </c>
      <c r="K79" s="157">
        <v>53627.0</v>
      </c>
      <c r="L79" s="157">
        <v>54490.0</v>
      </c>
      <c r="M79" s="157">
        <v>63489.0</v>
      </c>
      <c r="N79" s="157">
        <v>62077.0</v>
      </c>
      <c r="O79" s="157">
        <v>71262.0</v>
      </c>
      <c r="P79" s="157">
        <v>69404.0</v>
      </c>
      <c r="Q79" s="157">
        <v>77488.0</v>
      </c>
      <c r="R79" s="157">
        <v>79465.0</v>
      </c>
      <c r="S79" s="157">
        <v>78632.0</v>
      </c>
      <c r="T79" s="157">
        <v>83837.0</v>
      </c>
      <c r="U79" s="157">
        <v>82817.0</v>
      </c>
      <c r="V79" s="157">
        <v>83683.0</v>
      </c>
      <c r="W79" s="157">
        <v>84440.0</v>
      </c>
      <c r="X79" s="157">
        <v>87510.0</v>
      </c>
      <c r="Y79" s="157">
        <v>74448.33333333333</v>
      </c>
      <c r="Z79" s="157">
        <v>117881.66666666669</v>
      </c>
      <c r="AA79" s="157">
        <v>117881.66666666669</v>
      </c>
      <c r="AB79" s="157">
        <v>117881.66666666669</v>
      </c>
      <c r="AC79" s="157">
        <v>117881.66666666669</v>
      </c>
      <c r="AD79" s="157">
        <v>117881.66666666669</v>
      </c>
      <c r="AE79" s="157">
        <v>161315.0</v>
      </c>
      <c r="AF79" s="157">
        <v>161315.0</v>
      </c>
      <c r="AG79" s="157">
        <v>161315.0</v>
      </c>
      <c r="AH79" s="157">
        <v>161315.0</v>
      </c>
      <c r="AI79" s="157">
        <v>161315.0</v>
      </c>
      <c r="AJ79" s="157">
        <v>161315.0</v>
      </c>
      <c r="AK79" s="157">
        <v>161315.0</v>
      </c>
      <c r="AL79" s="157">
        <v>161315.0</v>
      </c>
      <c r="AM79" s="157">
        <v>161315.0</v>
      </c>
      <c r="AN79" s="157">
        <v>161315.0</v>
      </c>
      <c r="AO79" s="157">
        <v>161315.0</v>
      </c>
      <c r="AP79" s="157">
        <v>161315.0</v>
      </c>
      <c r="AQ79" s="157">
        <v>161315.0</v>
      </c>
      <c r="AR79" s="157">
        <v>161315.0</v>
      </c>
      <c r="AS79" s="157">
        <v>161315.0</v>
      </c>
      <c r="AT79" s="157">
        <v>161315.0</v>
      </c>
      <c r="AU79" s="157">
        <v>161315.0</v>
      </c>
      <c r="AV79" s="157">
        <v>161315.0</v>
      </c>
      <c r="AW79" s="157">
        <v>161315.0</v>
      </c>
      <c r="AX79" s="157">
        <v>161315.0</v>
      </c>
      <c r="AY79" s="157">
        <v>161315.0</v>
      </c>
    </row>
    <row r="80" ht="15.75" customHeight="1">
      <c r="A80" s="21" t="s">
        <v>314</v>
      </c>
      <c r="B80" s="163"/>
      <c r="C80" s="21"/>
      <c r="D80" s="157">
        <v>22946.0</v>
      </c>
      <c r="E80" s="157">
        <v>25460.0</v>
      </c>
      <c r="F80" s="157">
        <v>37962.0</v>
      </c>
      <c r="G80" s="157">
        <v>38809.0</v>
      </c>
      <c r="H80" s="157">
        <v>44215.0</v>
      </c>
      <c r="I80" s="157">
        <v>39264.0</v>
      </c>
      <c r="J80" s="157">
        <v>52535.0</v>
      </c>
      <c r="K80" s="157">
        <v>53627.0</v>
      </c>
      <c r="L80" s="157">
        <v>54490.0</v>
      </c>
      <c r="M80" s="157">
        <v>63489.0</v>
      </c>
      <c r="N80" s="157">
        <v>62077.0</v>
      </c>
      <c r="O80" s="157">
        <v>71262.0</v>
      </c>
      <c r="P80" s="157">
        <v>69404.0</v>
      </c>
      <c r="Q80" s="157">
        <v>77488.0</v>
      </c>
      <c r="R80" s="157">
        <v>79465.0</v>
      </c>
      <c r="S80" s="157">
        <v>78632.0</v>
      </c>
      <c r="T80" s="157">
        <v>83837.0</v>
      </c>
      <c r="U80" s="157">
        <v>82817.0</v>
      </c>
      <c r="V80" s="157">
        <v>83683.0</v>
      </c>
      <c r="W80" s="157">
        <v>84440.0</v>
      </c>
      <c r="X80" s="157">
        <v>87510.0</v>
      </c>
      <c r="Y80" s="157">
        <v>74448.33333333333</v>
      </c>
      <c r="Z80" s="157">
        <v>117881.66666666669</v>
      </c>
      <c r="AA80" s="157">
        <v>117881.66666666669</v>
      </c>
      <c r="AB80" s="157">
        <v>117881.66666666669</v>
      </c>
      <c r="AC80" s="157">
        <v>117881.66666666669</v>
      </c>
      <c r="AD80" s="157">
        <v>117881.66666666669</v>
      </c>
      <c r="AE80" s="157">
        <v>161315.0</v>
      </c>
      <c r="AF80" s="157">
        <v>161315.0</v>
      </c>
      <c r="AG80" s="157">
        <v>161315.0</v>
      </c>
      <c r="AH80" s="157">
        <v>161315.0</v>
      </c>
      <c r="AI80" s="157">
        <v>161315.0</v>
      </c>
      <c r="AJ80" s="157">
        <v>161315.0</v>
      </c>
      <c r="AK80" s="157">
        <v>161315.0</v>
      </c>
      <c r="AL80" s="157">
        <v>161315.0</v>
      </c>
      <c r="AM80" s="157">
        <v>161315.0</v>
      </c>
      <c r="AN80" s="157">
        <v>161315.0</v>
      </c>
      <c r="AO80" s="157">
        <v>161315.0</v>
      </c>
      <c r="AP80" s="157">
        <v>161315.0</v>
      </c>
      <c r="AQ80" s="157">
        <v>161315.0</v>
      </c>
      <c r="AR80" s="157">
        <v>161315.0</v>
      </c>
      <c r="AS80" s="157">
        <v>161315.0</v>
      </c>
      <c r="AT80" s="157">
        <v>161315.0</v>
      </c>
      <c r="AU80" s="157">
        <v>161315.0</v>
      </c>
      <c r="AV80" s="157">
        <v>161315.0</v>
      </c>
      <c r="AW80" s="157">
        <v>161315.0</v>
      </c>
      <c r="AX80" s="157">
        <v>161315.0</v>
      </c>
      <c r="AY80" s="157">
        <v>161315.0</v>
      </c>
    </row>
    <row r="81" ht="15.75" customHeight="1">
      <c r="A81" s="21" t="s">
        <v>315</v>
      </c>
      <c r="B81" s="163"/>
      <c r="C81" s="21"/>
      <c r="D81" s="147">
        <v>73424.0</v>
      </c>
      <c r="E81" s="147">
        <v>78981.0</v>
      </c>
      <c r="F81" s="147">
        <v>93782.0</v>
      </c>
      <c r="G81" s="147">
        <v>97541.0</v>
      </c>
      <c r="H81" s="147">
        <v>106578.0</v>
      </c>
      <c r="I81" s="147">
        <v>103848.0</v>
      </c>
      <c r="J81" s="147">
        <v>132921.0</v>
      </c>
      <c r="K81" s="147">
        <v>139510.0</v>
      </c>
      <c r="L81" s="147">
        <v>163781.0</v>
      </c>
      <c r="M81" s="147">
        <v>184803.0</v>
      </c>
      <c r="N81" s="147">
        <v>204504.0</v>
      </c>
      <c r="O81" s="147">
        <v>224017.0</v>
      </c>
      <c r="P81" s="147">
        <v>232053.0</v>
      </c>
      <c r="Q81" s="147">
        <v>261285.0</v>
      </c>
      <c r="R81" s="147">
        <v>265101.0</v>
      </c>
      <c r="S81" s="147">
        <v>262429.0</v>
      </c>
      <c r="T81" s="147">
        <v>282386.0</v>
      </c>
      <c r="U81" s="147">
        <v>279004.0</v>
      </c>
      <c r="V81" s="147">
        <v>277317.0</v>
      </c>
      <c r="W81" s="147">
        <v>279876.0</v>
      </c>
      <c r="X81" s="147">
        <v>287039.0</v>
      </c>
      <c r="Y81" s="147">
        <v>273424.6666666666</v>
      </c>
      <c r="Z81" s="147">
        <v>316858.0</v>
      </c>
      <c r="AA81" s="147">
        <v>316858.0</v>
      </c>
      <c r="AB81" s="147">
        <v>336691.3333333334</v>
      </c>
      <c r="AC81" s="147">
        <v>336691.3333333334</v>
      </c>
      <c r="AD81" s="147">
        <v>356524.6666666667</v>
      </c>
      <c r="AE81" s="147">
        <v>399958.0</v>
      </c>
      <c r="AF81" s="147">
        <v>399958.0</v>
      </c>
      <c r="AG81" s="147">
        <v>399958.0</v>
      </c>
      <c r="AH81" s="147">
        <v>399958.0</v>
      </c>
      <c r="AI81" s="147">
        <v>399958.0</v>
      </c>
      <c r="AJ81" s="147">
        <v>399958.0</v>
      </c>
      <c r="AK81" s="147">
        <v>399958.0</v>
      </c>
      <c r="AL81" s="147">
        <v>399958.0</v>
      </c>
      <c r="AM81" s="147">
        <v>399958.0</v>
      </c>
      <c r="AN81" s="147">
        <v>399958.0</v>
      </c>
      <c r="AO81" s="147">
        <v>399958.0</v>
      </c>
      <c r="AP81" s="147">
        <v>399958.0</v>
      </c>
      <c r="AQ81" s="147">
        <v>399958.0</v>
      </c>
      <c r="AR81" s="147">
        <v>399958.0</v>
      </c>
      <c r="AS81" s="147">
        <v>399958.0</v>
      </c>
      <c r="AT81" s="147">
        <v>399958.0</v>
      </c>
      <c r="AU81" s="147">
        <v>399958.0</v>
      </c>
      <c r="AV81" s="147">
        <v>399958.0</v>
      </c>
      <c r="AW81" s="147">
        <v>399958.0</v>
      </c>
      <c r="AX81" s="147">
        <v>399958.0</v>
      </c>
      <c r="AY81" s="147">
        <v>399958.0</v>
      </c>
    </row>
    <row r="82" ht="15.75" customHeight="1">
      <c r="A82" s="31" t="s">
        <v>244</v>
      </c>
      <c r="B82" s="159"/>
      <c r="C82" s="1"/>
      <c r="D82" s="76">
        <v>0.0</v>
      </c>
      <c r="E82" s="76">
        <v>0.0</v>
      </c>
      <c r="F82" s="76">
        <v>0.0</v>
      </c>
      <c r="G82" s="76">
        <v>0.0</v>
      </c>
      <c r="H82" s="76">
        <v>0.0</v>
      </c>
      <c r="I82" s="76">
        <v>0.0</v>
      </c>
      <c r="J82" s="76">
        <v>0.0</v>
      </c>
      <c r="K82" s="76">
        <v>0.0</v>
      </c>
      <c r="L82" s="76">
        <v>0.0</v>
      </c>
      <c r="M82" s="76">
        <v>0.0</v>
      </c>
      <c r="N82" s="76">
        <v>0.0</v>
      </c>
      <c r="O82" s="76">
        <v>0.0</v>
      </c>
      <c r="P82" s="76">
        <v>0.0</v>
      </c>
      <c r="Q82" s="76">
        <v>0.0</v>
      </c>
      <c r="R82" s="76">
        <v>0.0</v>
      </c>
      <c r="S82" s="76">
        <v>0.0</v>
      </c>
      <c r="T82" s="76">
        <v>0.0</v>
      </c>
      <c r="U82" s="76">
        <v>0.0</v>
      </c>
      <c r="V82" s="76">
        <v>0.0</v>
      </c>
      <c r="W82" s="76">
        <v>0.0</v>
      </c>
      <c r="X82" s="76">
        <v>0.0</v>
      </c>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row>
    <row r="83" ht="15.75" customHeight="1">
      <c r="A83" s="21" t="s">
        <v>18</v>
      </c>
      <c r="B83" s="161"/>
      <c r="C83" s="157"/>
      <c r="D83" s="157">
        <v>326604.0</v>
      </c>
      <c r="E83" s="157">
        <v>342682.0</v>
      </c>
      <c r="F83" s="157">
        <v>373245.0</v>
      </c>
      <c r="G83" s="157">
        <v>378903.0</v>
      </c>
      <c r="H83" s="157">
        <v>389752.0</v>
      </c>
      <c r="I83" s="157">
        <v>400825.0</v>
      </c>
      <c r="J83" s="157">
        <v>433637.0</v>
      </c>
      <c r="K83" s="157">
        <v>442194.0</v>
      </c>
      <c r="L83" s="157">
        <v>477018.0</v>
      </c>
      <c r="M83" s="157">
        <v>502173.0</v>
      </c>
      <c r="N83" s="157">
        <v>523677.0</v>
      </c>
      <c r="O83" s="157">
        <v>555619.0</v>
      </c>
      <c r="P83" s="157">
        <v>562516.0</v>
      </c>
      <c r="Q83" s="157">
        <v>595338.0</v>
      </c>
      <c r="R83" s="157">
        <v>603014.0</v>
      </c>
      <c r="S83" s="157">
        <v>602417.0</v>
      </c>
      <c r="T83" s="157">
        <v>632397.0</v>
      </c>
      <c r="U83" s="157">
        <v>627462.0</v>
      </c>
      <c r="V83" s="157">
        <v>625895.0</v>
      </c>
      <c r="W83" s="157">
        <v>631412.0</v>
      </c>
      <c r="X83" s="157">
        <v>639847.0</v>
      </c>
      <c r="Y83" s="157">
        <v>646293.1666666666</v>
      </c>
      <c r="Z83" s="157">
        <v>680626.5</v>
      </c>
      <c r="AA83" s="157">
        <v>693368.1666666667</v>
      </c>
      <c r="AB83" s="157">
        <v>713201.5</v>
      </c>
      <c r="AC83" s="157">
        <v>713201.5</v>
      </c>
      <c r="AD83" s="157">
        <v>733034.8333333334</v>
      </c>
      <c r="AE83" s="157">
        <v>776468.1666666667</v>
      </c>
      <c r="AF83" s="157">
        <v>776468.1666666667</v>
      </c>
      <c r="AG83" s="157">
        <v>776468.1666666667</v>
      </c>
      <c r="AH83" s="157">
        <v>776468.1666666667</v>
      </c>
      <c r="AI83" s="157">
        <v>776468.1666666667</v>
      </c>
      <c r="AJ83" s="157">
        <v>776468.1666666667</v>
      </c>
      <c r="AK83" s="157">
        <v>776468.1666666667</v>
      </c>
      <c r="AL83" s="157">
        <v>776468.1666666667</v>
      </c>
      <c r="AM83" s="157">
        <v>776468.1666666667</v>
      </c>
      <c r="AN83" s="157">
        <v>776468.1666666667</v>
      </c>
      <c r="AO83" s="157">
        <v>776468.1666666667</v>
      </c>
      <c r="AP83" s="157">
        <v>776468.1666666667</v>
      </c>
      <c r="AQ83" s="157">
        <v>776468.1666666667</v>
      </c>
      <c r="AR83" s="157">
        <v>776468.1666666667</v>
      </c>
      <c r="AS83" s="157">
        <v>776468.1666666667</v>
      </c>
      <c r="AT83" s="157">
        <v>776468.1666666667</v>
      </c>
      <c r="AU83" s="157">
        <v>776468.1666666667</v>
      </c>
      <c r="AV83" s="157">
        <v>776468.1666666667</v>
      </c>
      <c r="AW83" s="157">
        <v>776468.1666666667</v>
      </c>
      <c r="AX83" s="157">
        <v>776468.1666666667</v>
      </c>
      <c r="AY83" s="157">
        <v>776468.1666666667</v>
      </c>
    </row>
    <row r="84" ht="15.75" customHeight="1">
      <c r="A84" s="21" t="s">
        <v>316</v>
      </c>
      <c r="B84" s="163"/>
      <c r="C84" s="21"/>
      <c r="D84" s="147">
        <v>-87851.0</v>
      </c>
      <c r="E84" s="147">
        <v>-88124.0</v>
      </c>
      <c r="F84" s="147">
        <v>-102956.0</v>
      </c>
      <c r="G84" s="147">
        <v>-94595.0</v>
      </c>
      <c r="H84" s="147">
        <v>-82065.0</v>
      </c>
      <c r="I84" s="147">
        <v>-78132.0</v>
      </c>
      <c r="J84" s="147">
        <v>-94045.0</v>
      </c>
      <c r="K84" s="147">
        <v>-89766.0</v>
      </c>
      <c r="L84" s="147">
        <v>-114445.0</v>
      </c>
      <c r="M84" s="147">
        <v>-131881.0</v>
      </c>
      <c r="N84" s="147">
        <v>-140597.0</v>
      </c>
      <c r="O84" s="147">
        <v>-177194.0</v>
      </c>
      <c r="P84" s="147">
        <v>-169010.0</v>
      </c>
      <c r="Q84" s="147">
        <v>-180892.0</v>
      </c>
      <c r="R84" s="147">
        <v>-174863.0</v>
      </c>
      <c r="S84" s="147">
        <v>-119112.0</v>
      </c>
      <c r="T84" s="147">
        <v>-141449.0</v>
      </c>
      <c r="U84" s="147">
        <v>-111427.0</v>
      </c>
      <c r="V84" s="147">
        <v>-90944.0</v>
      </c>
      <c r="W84" s="147">
        <v>-70463.0</v>
      </c>
      <c r="X84" s="147">
        <v>-50019.0</v>
      </c>
      <c r="Y84" s="147">
        <v>-46019.24855751067</v>
      </c>
      <c r="Z84" s="147">
        <v>-76357.15627438203</v>
      </c>
      <c r="AA84" s="147">
        <v>-77269.14183934848</v>
      </c>
      <c r="AB84" s="147">
        <v>-77132.20318998327</v>
      </c>
      <c r="AC84" s="147">
        <v>-57561.60510308051</v>
      </c>
      <c r="AD84" s="147">
        <v>-57982.82289810723</v>
      </c>
      <c r="AE84" s="147">
        <v>-82383.19661118358</v>
      </c>
      <c r="AF84" s="147">
        <v>-63605.00441758928</v>
      </c>
      <c r="AG84" s="147">
        <v>-43196.65139597724</v>
      </c>
      <c r="AH84" s="147">
        <v>-23104.433513216558</v>
      </c>
      <c r="AI84" s="147">
        <v>-3295.510201414814</v>
      </c>
      <c r="AJ84" s="147">
        <v>16230.544941874687</v>
      </c>
      <c r="AK84" s="147">
        <v>35473.127867351985</v>
      </c>
      <c r="AL84" s="147">
        <v>54443.22861117008</v>
      </c>
      <c r="AM84" s="147">
        <v>73144.176225223</v>
      </c>
      <c r="AN84" s="147">
        <v>93462.77415982552</v>
      </c>
      <c r="AO84" s="147">
        <v>113492.70672283554</v>
      </c>
      <c r="AP84" s="147">
        <v>133238.9033564101</v>
      </c>
      <c r="AQ84" s="147">
        <v>152706.65195270523</v>
      </c>
      <c r="AR84" s="147">
        <v>171901.3820090925</v>
      </c>
      <c r="AS84" s="147">
        <v>190828.10507977242</v>
      </c>
      <c r="AT84" s="147">
        <v>211374.3441939354</v>
      </c>
      <c r="AU84" s="147">
        <v>231632.67810099688</v>
      </c>
      <c r="AV84" s="147">
        <v>251608.49061643414</v>
      </c>
      <c r="AW84" s="147">
        <v>271307.09647387743</v>
      </c>
      <c r="AX84" s="147">
        <v>290733.7085812553</v>
      </c>
      <c r="AY84" s="147">
        <v>311775.9074661876</v>
      </c>
    </row>
    <row r="85" ht="15.75" customHeight="1">
      <c r="A85" s="31" t="s">
        <v>244</v>
      </c>
      <c r="B85" s="159"/>
      <c r="C85" s="1"/>
      <c r="D85" s="76">
        <v>0.0</v>
      </c>
      <c r="E85" s="76">
        <v>0.0</v>
      </c>
      <c r="F85" s="76">
        <v>0.0</v>
      </c>
      <c r="G85" s="76">
        <v>0.0</v>
      </c>
      <c r="H85" s="76">
        <v>0.0</v>
      </c>
      <c r="I85" s="76">
        <v>0.0</v>
      </c>
      <c r="J85" s="76">
        <v>0.0</v>
      </c>
      <c r="K85" s="76">
        <v>0.0</v>
      </c>
      <c r="L85" s="76">
        <v>0.0</v>
      </c>
      <c r="M85" s="76">
        <v>0.0</v>
      </c>
      <c r="N85" s="76">
        <v>0.0</v>
      </c>
      <c r="O85" s="76">
        <v>0.0</v>
      </c>
      <c r="P85" s="76">
        <v>0.0</v>
      </c>
      <c r="Q85" s="76">
        <v>0.0</v>
      </c>
      <c r="R85" s="76">
        <v>0.0</v>
      </c>
      <c r="S85" s="76">
        <v>0.0</v>
      </c>
      <c r="T85" s="76">
        <v>0.0</v>
      </c>
      <c r="U85" s="76">
        <v>0.0</v>
      </c>
      <c r="V85" s="76">
        <v>0.0</v>
      </c>
      <c r="W85" s="76">
        <v>0.0</v>
      </c>
      <c r="X85" s="76">
        <v>0.0</v>
      </c>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row>
    <row r="86" ht="15.75" customHeight="1">
      <c r="A86" s="31" t="s">
        <v>317</v>
      </c>
      <c r="B86" s="159"/>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row>
    <row r="87" ht="15.75" hidden="1" customHeight="1">
      <c r="A87" s="1"/>
      <c r="B87" s="159"/>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row>
    <row r="88" ht="15.75" hidden="1" customHeight="1">
      <c r="A88" s="1"/>
      <c r="B88" s="159"/>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row>
    <row r="89" ht="15.75" customHeight="1">
      <c r="A89" s="21" t="s">
        <v>319</v>
      </c>
      <c r="B89" s="161"/>
      <c r="C89" s="157"/>
      <c r="D89" s="157">
        <v>0.0</v>
      </c>
      <c r="E89" s="157">
        <v>0.0</v>
      </c>
      <c r="F89" s="157">
        <v>0.0</v>
      </c>
      <c r="G89" s="157">
        <v>0.0</v>
      </c>
      <c r="H89" s="157">
        <v>0.0</v>
      </c>
      <c r="I89" s="157">
        <v>0.0</v>
      </c>
      <c r="J89" s="157">
        <v>0.0</v>
      </c>
      <c r="K89" s="157">
        <v>0.0</v>
      </c>
      <c r="L89" s="157">
        <v>0.0</v>
      </c>
      <c r="M89" s="157">
        <v>0.0</v>
      </c>
      <c r="N89" s="157">
        <v>0.0</v>
      </c>
      <c r="O89" s="157">
        <v>0.0</v>
      </c>
      <c r="P89" s="157">
        <v>0.0</v>
      </c>
      <c r="Q89" s="157">
        <v>0.0</v>
      </c>
      <c r="R89" s="157">
        <v>0.0</v>
      </c>
      <c r="S89" s="157">
        <v>0.0</v>
      </c>
      <c r="T89" s="157">
        <v>0.0</v>
      </c>
      <c r="U89" s="157">
        <v>0.0</v>
      </c>
      <c r="V89" s="157">
        <v>0.0</v>
      </c>
      <c r="W89" s="157">
        <v>0.0</v>
      </c>
      <c r="X89" s="157">
        <v>0.0</v>
      </c>
      <c r="Y89" s="157">
        <v>0.0</v>
      </c>
      <c r="Z89" s="157">
        <v>0.0</v>
      </c>
      <c r="AA89" s="157">
        <v>0.0</v>
      </c>
      <c r="AB89" s="157">
        <v>0.0</v>
      </c>
      <c r="AC89" s="157">
        <v>0.0</v>
      </c>
      <c r="AD89" s="157">
        <v>0.0</v>
      </c>
      <c r="AE89" s="157">
        <v>0.0</v>
      </c>
      <c r="AF89" s="157">
        <v>0.0</v>
      </c>
      <c r="AG89" s="157">
        <v>0.0</v>
      </c>
      <c r="AH89" s="157">
        <v>0.0</v>
      </c>
      <c r="AI89" s="157">
        <v>0.0</v>
      </c>
      <c r="AJ89" s="157">
        <v>0.0</v>
      </c>
      <c r="AK89" s="157">
        <v>0.0</v>
      </c>
      <c r="AL89" s="157">
        <v>0.0</v>
      </c>
      <c r="AM89" s="157">
        <v>0.0</v>
      </c>
      <c r="AN89" s="157">
        <v>0.0</v>
      </c>
      <c r="AO89" s="157">
        <v>0.0</v>
      </c>
      <c r="AP89" s="157">
        <v>0.0</v>
      </c>
      <c r="AQ89" s="157">
        <v>0.0</v>
      </c>
      <c r="AR89" s="157">
        <v>0.0</v>
      </c>
      <c r="AS89" s="157">
        <v>0.0</v>
      </c>
      <c r="AT89" s="157">
        <v>0.0</v>
      </c>
      <c r="AU89" s="157">
        <v>0.0</v>
      </c>
      <c r="AV89" s="157">
        <v>0.0</v>
      </c>
      <c r="AW89" s="157">
        <v>0.0</v>
      </c>
      <c r="AX89" s="157">
        <v>0.0</v>
      </c>
      <c r="AY89" s="157">
        <v>0.0</v>
      </c>
    </row>
    <row r="90" ht="15.75" customHeight="1">
      <c r="A90" s="31" t="s">
        <v>320</v>
      </c>
      <c r="B90" s="159"/>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row>
    <row r="91" ht="15.75" hidden="1" customHeight="1">
      <c r="A91" s="1"/>
      <c r="B91" s="159"/>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row>
    <row r="92" ht="15.75" hidden="1" customHeight="1">
      <c r="A92" s="1"/>
      <c r="B92" s="159"/>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row>
    <row r="93" ht="15.75" customHeight="1">
      <c r="A93" s="21" t="s">
        <v>323</v>
      </c>
      <c r="B93" s="161"/>
      <c r="C93" s="157"/>
      <c r="D93" s="157">
        <v>0.0</v>
      </c>
      <c r="E93" s="157">
        <v>0.0</v>
      </c>
      <c r="F93" s="157">
        <v>0.0</v>
      </c>
      <c r="G93" s="157">
        <v>0.0</v>
      </c>
      <c r="H93" s="157">
        <v>0.0</v>
      </c>
      <c r="I93" s="157">
        <v>0.0</v>
      </c>
      <c r="J93" s="157">
        <v>0.0</v>
      </c>
      <c r="K93" s="157">
        <v>0.0</v>
      </c>
      <c r="L93" s="157">
        <v>0.0</v>
      </c>
      <c r="M93" s="157">
        <v>0.0</v>
      </c>
      <c r="N93" s="157">
        <v>0.0</v>
      </c>
      <c r="O93" s="157">
        <v>0.0</v>
      </c>
      <c r="P93" s="157">
        <v>0.0</v>
      </c>
      <c r="Q93" s="157">
        <v>0.0</v>
      </c>
      <c r="R93" s="157">
        <v>0.0</v>
      </c>
      <c r="S93" s="157">
        <v>0.0</v>
      </c>
      <c r="T93" s="157">
        <v>0.0</v>
      </c>
      <c r="U93" s="157">
        <v>0.0</v>
      </c>
      <c r="V93" s="157">
        <v>0.0</v>
      </c>
      <c r="W93" s="157">
        <v>0.0</v>
      </c>
      <c r="X93" s="157">
        <v>0.0</v>
      </c>
      <c r="Y93" s="157">
        <v>0.0</v>
      </c>
      <c r="Z93" s="157">
        <v>0.0</v>
      </c>
      <c r="AA93" s="157">
        <v>0.0</v>
      </c>
      <c r="AB93" s="157">
        <v>0.0</v>
      </c>
      <c r="AC93" s="157">
        <v>0.0</v>
      </c>
      <c r="AD93" s="157">
        <v>0.0</v>
      </c>
      <c r="AE93" s="157">
        <v>0.0</v>
      </c>
      <c r="AF93" s="157">
        <v>0.0</v>
      </c>
      <c r="AG93" s="157">
        <v>0.0</v>
      </c>
      <c r="AH93" s="157">
        <v>0.0</v>
      </c>
      <c r="AI93" s="157">
        <v>0.0</v>
      </c>
      <c r="AJ93" s="157">
        <v>0.0</v>
      </c>
      <c r="AK93" s="157">
        <v>0.0</v>
      </c>
      <c r="AL93" s="157">
        <v>0.0</v>
      </c>
      <c r="AM93" s="157">
        <v>0.0</v>
      </c>
      <c r="AN93" s="157">
        <v>0.0</v>
      </c>
      <c r="AO93" s="157">
        <v>0.0</v>
      </c>
      <c r="AP93" s="157">
        <v>0.0</v>
      </c>
      <c r="AQ93" s="157">
        <v>0.0</v>
      </c>
      <c r="AR93" s="157">
        <v>0.0</v>
      </c>
      <c r="AS93" s="157">
        <v>0.0</v>
      </c>
      <c r="AT93" s="157">
        <v>0.0</v>
      </c>
      <c r="AU93" s="157">
        <v>0.0</v>
      </c>
      <c r="AV93" s="157">
        <v>0.0</v>
      </c>
      <c r="AW93" s="157">
        <v>0.0</v>
      </c>
      <c r="AX93" s="157">
        <v>0.0</v>
      </c>
      <c r="AY93" s="157">
        <v>0.0</v>
      </c>
    </row>
    <row r="94" ht="15.75" customHeight="1">
      <c r="A94" s="21" t="s">
        <v>19</v>
      </c>
      <c r="B94" s="163"/>
      <c r="C94" s="21"/>
      <c r="D94" s="147">
        <v>-87851.0</v>
      </c>
      <c r="E94" s="147">
        <v>-88124.0</v>
      </c>
      <c r="F94" s="147">
        <v>-102956.0</v>
      </c>
      <c r="G94" s="147">
        <v>-94595.0</v>
      </c>
      <c r="H94" s="147">
        <v>-82065.0</v>
      </c>
      <c r="I94" s="147">
        <v>-78132.0</v>
      </c>
      <c r="J94" s="147">
        <v>-94045.0</v>
      </c>
      <c r="K94" s="147">
        <v>-89766.0</v>
      </c>
      <c r="L94" s="147">
        <v>-114445.0</v>
      </c>
      <c r="M94" s="147">
        <v>-131881.0</v>
      </c>
      <c r="N94" s="147">
        <v>-140597.0</v>
      </c>
      <c r="O94" s="147">
        <v>-177194.0</v>
      </c>
      <c r="P94" s="147">
        <v>-169010.0</v>
      </c>
      <c r="Q94" s="147">
        <v>-180892.0</v>
      </c>
      <c r="R94" s="147">
        <v>-174863.0</v>
      </c>
      <c r="S94" s="147">
        <v>-119112.0</v>
      </c>
      <c r="T94" s="147">
        <v>-141449.0</v>
      </c>
      <c r="U94" s="147">
        <v>-111427.0</v>
      </c>
      <c r="V94" s="147">
        <v>-90944.0</v>
      </c>
      <c r="W94" s="147">
        <v>-70463.0</v>
      </c>
      <c r="X94" s="147">
        <v>-50019.0</v>
      </c>
      <c r="Y94" s="147">
        <v>-46019.24855751067</v>
      </c>
      <c r="Z94" s="147">
        <v>-76357.15627438203</v>
      </c>
      <c r="AA94" s="147">
        <v>-77269.14183934848</v>
      </c>
      <c r="AB94" s="147">
        <v>-77132.20318998327</v>
      </c>
      <c r="AC94" s="147">
        <v>-57561.60510308051</v>
      </c>
      <c r="AD94" s="147">
        <v>-57982.82289810723</v>
      </c>
      <c r="AE94" s="147">
        <v>-82383.19661118358</v>
      </c>
      <c r="AF94" s="147">
        <v>-63605.00441758928</v>
      </c>
      <c r="AG94" s="147">
        <v>-43196.65139597724</v>
      </c>
      <c r="AH94" s="147">
        <v>-23104.433513216558</v>
      </c>
      <c r="AI94" s="147">
        <v>-3295.510201414814</v>
      </c>
      <c r="AJ94" s="147">
        <v>16230.544941874687</v>
      </c>
      <c r="AK94" s="147">
        <v>35473.127867351985</v>
      </c>
      <c r="AL94" s="147">
        <v>54443.22861117008</v>
      </c>
      <c r="AM94" s="147">
        <v>73144.176225223</v>
      </c>
      <c r="AN94" s="147">
        <v>93462.77415982552</v>
      </c>
      <c r="AO94" s="147">
        <v>113492.70672283554</v>
      </c>
      <c r="AP94" s="147">
        <v>133238.9033564101</v>
      </c>
      <c r="AQ94" s="147">
        <v>152706.65195270523</v>
      </c>
      <c r="AR94" s="147">
        <v>171901.3820090925</v>
      </c>
      <c r="AS94" s="147">
        <v>190828.10507977242</v>
      </c>
      <c r="AT94" s="147">
        <v>211374.3441939354</v>
      </c>
      <c r="AU94" s="147">
        <v>231632.67810099688</v>
      </c>
      <c r="AV94" s="147">
        <v>251608.49061643414</v>
      </c>
      <c r="AW94" s="147">
        <v>271307.09647387743</v>
      </c>
      <c r="AX94" s="147">
        <v>290733.7085812553</v>
      </c>
      <c r="AY94" s="147">
        <v>311775.9074661876</v>
      </c>
    </row>
    <row r="95" ht="15.75" customHeight="1">
      <c r="A95" s="31" t="s">
        <v>244</v>
      </c>
      <c r="B95" s="159"/>
      <c r="C95" s="1"/>
      <c r="D95" s="76">
        <v>0.0</v>
      </c>
      <c r="E95" s="76">
        <v>0.0</v>
      </c>
      <c r="F95" s="76">
        <v>0.0</v>
      </c>
      <c r="G95" s="76">
        <v>0.0</v>
      </c>
      <c r="H95" s="76">
        <v>0.0</v>
      </c>
      <c r="I95" s="76">
        <v>0.0</v>
      </c>
      <c r="J95" s="76">
        <v>0.0</v>
      </c>
      <c r="K95" s="76">
        <v>0.0</v>
      </c>
      <c r="L95" s="76">
        <v>0.0</v>
      </c>
      <c r="M95" s="76">
        <v>0.0</v>
      </c>
      <c r="N95" s="76">
        <v>0.0</v>
      </c>
      <c r="O95" s="76">
        <v>0.0</v>
      </c>
      <c r="P95" s="76">
        <v>0.0</v>
      </c>
      <c r="Q95" s="76">
        <v>0.0</v>
      </c>
      <c r="R95" s="76">
        <v>0.0</v>
      </c>
      <c r="S95" s="76">
        <v>0.0</v>
      </c>
      <c r="T95" s="76">
        <v>0.0</v>
      </c>
      <c r="U95" s="76">
        <v>0.0</v>
      </c>
      <c r="V95" s="76">
        <v>0.0</v>
      </c>
      <c r="W95" s="76">
        <v>0.0</v>
      </c>
      <c r="X95" s="76">
        <v>0.0</v>
      </c>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row>
    <row r="96" ht="15.75" customHeight="1">
      <c r="A96" s="1"/>
      <c r="B96" s="159"/>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row>
    <row r="97" ht="15.75" customHeight="1">
      <c r="A97" s="7" t="s">
        <v>324</v>
      </c>
      <c r="B97" s="159"/>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row>
    <row r="98" ht="15.75" customHeight="1">
      <c r="A98" s="1" t="s">
        <v>325</v>
      </c>
      <c r="B98" s="159"/>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row>
    <row r="99" ht="15.75" customHeight="1">
      <c r="A99" s="1" t="s">
        <v>326</v>
      </c>
      <c r="B99" s="159"/>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row>
    <row r="100" ht="15.75" customHeight="1">
      <c r="A100" s="1" t="s">
        <v>327</v>
      </c>
      <c r="B100" s="159"/>
      <c r="C100" s="1"/>
      <c r="D100" s="1"/>
      <c r="E100" s="1"/>
      <c r="F100" s="1"/>
      <c r="G100" s="1"/>
      <c r="H100" s="1"/>
      <c r="I100" s="1"/>
      <c r="J100" s="1"/>
      <c r="K100" s="1"/>
      <c r="L100" s="1"/>
      <c r="M100" s="1"/>
      <c r="N100" s="1"/>
      <c r="O100" s="1"/>
      <c r="P100" s="1"/>
      <c r="Q100" s="1"/>
      <c r="R100" s="1"/>
      <c r="S100" s="1"/>
      <c r="T100" s="1"/>
      <c r="U100" s="1"/>
      <c r="V100" s="1"/>
      <c r="W100" s="1"/>
      <c r="X100" s="1"/>
      <c r="Y100" s="96">
        <v>145042.75144248933</v>
      </c>
      <c r="Z100" s="96">
        <v>131685.5951681073</v>
      </c>
      <c r="AA100" s="96">
        <v>144416.45332875883</v>
      </c>
      <c r="AB100" s="96">
        <v>181284.25013877556</v>
      </c>
      <c r="AC100" s="96">
        <v>258722.64503569505</v>
      </c>
      <c r="AD100" s="96">
        <v>220739.82213758782</v>
      </c>
      <c r="AE100" s="96">
        <v>243356.62552640424</v>
      </c>
      <c r="AF100" s="96">
        <v>269751.62110881496</v>
      </c>
      <c r="AG100" s="96">
        <v>312554.9697128377</v>
      </c>
      <c r="AH100" s="96">
        <v>359450.53619962116</v>
      </c>
      <c r="AI100" s="96">
        <v>410155.02599820634</v>
      </c>
      <c r="AJ100" s="96">
        <v>464385.57094008103</v>
      </c>
      <c r="AK100" s="96">
        <v>557858.698807433</v>
      </c>
      <c r="AL100" s="96">
        <v>690301.9274186031</v>
      </c>
      <c r="AM100" s="96">
        <v>861446.1036438261</v>
      </c>
      <c r="AN100" s="96">
        <v>1083908.8778036516</v>
      </c>
      <c r="AO100" s="96">
        <v>1345401.5845264872</v>
      </c>
      <c r="AP100" s="96">
        <v>1609640.4878828973</v>
      </c>
      <c r="AQ100" s="96">
        <v>1876347.1398356026</v>
      </c>
      <c r="AR100" s="96">
        <v>2145248.5218446953</v>
      </c>
      <c r="AS100" s="96">
        <v>2428076.6269244677</v>
      </c>
      <c r="AT100" s="96">
        <v>2725450.971118403</v>
      </c>
      <c r="AU100" s="96">
        <v>3025083.6492194002</v>
      </c>
      <c r="AV100" s="96">
        <v>3326692.1398358345</v>
      </c>
      <c r="AW100" s="96">
        <v>3665999.236309712</v>
      </c>
      <c r="AX100" s="96">
        <v>4042732.944890967</v>
      </c>
      <c r="AY100" s="96">
        <v>4469508.852357155</v>
      </c>
    </row>
    <row r="101" ht="15.75" customHeight="1">
      <c r="A101" s="1" t="s">
        <v>328</v>
      </c>
      <c r="B101" s="159"/>
      <c r="C101" s="1"/>
      <c r="D101" s="76">
        <v>962267.0</v>
      </c>
      <c r="E101" s="76">
        <v>971917.0</v>
      </c>
      <c r="F101" s="76">
        <v>868961.0</v>
      </c>
      <c r="G101" s="76">
        <v>774366.0</v>
      </c>
      <c r="H101" s="76">
        <v>692301.0</v>
      </c>
      <c r="I101" s="76">
        <v>614169.0</v>
      </c>
      <c r="J101" s="76">
        <v>520124.0</v>
      </c>
      <c r="K101" s="76">
        <v>430358.0</v>
      </c>
      <c r="L101" s="76">
        <v>315913.0</v>
      </c>
      <c r="M101" s="76">
        <v>784032.0</v>
      </c>
      <c r="N101" s="76">
        <v>643435.0</v>
      </c>
      <c r="O101" s="76">
        <v>466241.0</v>
      </c>
      <c r="P101" s="76">
        <v>797231.0</v>
      </c>
      <c r="Q101" s="76">
        <v>616339.0</v>
      </c>
      <c r="R101" s="76">
        <v>441476.0</v>
      </c>
      <c r="S101" s="76">
        <v>322364.0</v>
      </c>
      <c r="T101" s="76">
        <v>480915.0</v>
      </c>
      <c r="U101" s="76">
        <v>369488.0</v>
      </c>
      <c r="V101" s="76">
        <v>278544.0</v>
      </c>
      <c r="W101" s="76">
        <v>208081.0</v>
      </c>
      <c r="X101" s="76">
        <v>158062.0</v>
      </c>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row>
    <row r="102" ht="15.75" customHeight="1">
      <c r="A102" s="21" t="s">
        <v>329</v>
      </c>
      <c r="B102" s="163"/>
      <c r="C102" s="21"/>
      <c r="D102" s="157">
        <v>962267.0</v>
      </c>
      <c r="E102" s="157">
        <v>971917.0</v>
      </c>
      <c r="F102" s="157">
        <v>868961.0</v>
      </c>
      <c r="G102" s="157">
        <v>774366.0</v>
      </c>
      <c r="H102" s="157">
        <v>692301.0</v>
      </c>
      <c r="I102" s="157">
        <v>614169.0</v>
      </c>
      <c r="J102" s="157">
        <v>520124.0</v>
      </c>
      <c r="K102" s="157">
        <v>430358.0</v>
      </c>
      <c r="L102" s="157">
        <v>315913.0</v>
      </c>
      <c r="M102" s="157">
        <v>784032.0</v>
      </c>
      <c r="N102" s="157">
        <v>643435.0</v>
      </c>
      <c r="O102" s="157">
        <v>466241.0</v>
      </c>
      <c r="P102" s="157">
        <v>797231.0</v>
      </c>
      <c r="Q102" s="157">
        <v>616339.0</v>
      </c>
      <c r="R102" s="157">
        <v>441476.0</v>
      </c>
      <c r="S102" s="157">
        <v>322364.0</v>
      </c>
      <c r="T102" s="157">
        <v>480915.0</v>
      </c>
      <c r="U102" s="157">
        <v>369488.0</v>
      </c>
      <c r="V102" s="157">
        <v>278544.0</v>
      </c>
      <c r="W102" s="157">
        <v>208081.0</v>
      </c>
      <c r="X102" s="157">
        <v>158062.0</v>
      </c>
      <c r="Y102" s="157">
        <v>145042.75144248933</v>
      </c>
      <c r="Z102" s="157">
        <v>131685.5951681073</v>
      </c>
      <c r="AA102" s="157">
        <v>144416.45332875883</v>
      </c>
      <c r="AB102" s="157">
        <v>181284.25013877556</v>
      </c>
      <c r="AC102" s="157">
        <v>258722.64503569505</v>
      </c>
      <c r="AD102" s="157">
        <v>220739.82213758782</v>
      </c>
      <c r="AE102" s="157">
        <v>243356.62552640424</v>
      </c>
      <c r="AF102" s="157">
        <v>269751.62110881496</v>
      </c>
      <c r="AG102" s="157">
        <v>312554.9697128377</v>
      </c>
      <c r="AH102" s="157">
        <v>359450.53619962116</v>
      </c>
      <c r="AI102" s="157">
        <v>410155.02599820634</v>
      </c>
      <c r="AJ102" s="157">
        <v>464385.57094008103</v>
      </c>
      <c r="AK102" s="157">
        <v>557858.698807433</v>
      </c>
      <c r="AL102" s="157">
        <v>690301.9274186031</v>
      </c>
      <c r="AM102" s="157">
        <v>861446.1036438261</v>
      </c>
      <c r="AN102" s="157">
        <v>1083908.8778036516</v>
      </c>
      <c r="AO102" s="157">
        <v>1345401.5845264872</v>
      </c>
      <c r="AP102" s="157">
        <v>1609640.4878828973</v>
      </c>
      <c r="AQ102" s="157">
        <v>1876347.1398356026</v>
      </c>
      <c r="AR102" s="157">
        <v>2145248.5218446953</v>
      </c>
      <c r="AS102" s="157">
        <v>2428076.6269244677</v>
      </c>
      <c r="AT102" s="157">
        <v>2725450.971118403</v>
      </c>
      <c r="AU102" s="157">
        <v>3025083.6492194002</v>
      </c>
      <c r="AV102" s="157">
        <v>3326692.1398358345</v>
      </c>
      <c r="AW102" s="157">
        <v>3665999.236309712</v>
      </c>
      <c r="AX102" s="157">
        <v>4042732.944890967</v>
      </c>
      <c r="AY102" s="157">
        <v>4469508.852357155</v>
      </c>
    </row>
    <row r="103" ht="15.75" customHeight="1">
      <c r="A103" s="21" t="s">
        <v>330</v>
      </c>
      <c r="B103" s="163"/>
      <c r="C103" s="21"/>
      <c r="D103" s="157">
        <v>962267.0</v>
      </c>
      <c r="E103" s="157">
        <v>971917.0</v>
      </c>
      <c r="F103" s="157">
        <v>868961.0</v>
      </c>
      <c r="G103" s="157">
        <v>774366.0</v>
      </c>
      <c r="H103" s="157">
        <v>692301.0</v>
      </c>
      <c r="I103" s="157">
        <v>614169.0</v>
      </c>
      <c r="J103" s="157">
        <v>520124.0</v>
      </c>
      <c r="K103" s="157">
        <v>430358.0</v>
      </c>
      <c r="L103" s="157">
        <v>315913.0</v>
      </c>
      <c r="M103" s="157">
        <v>784032.0</v>
      </c>
      <c r="N103" s="157">
        <v>643435.0</v>
      </c>
      <c r="O103" s="157">
        <v>466241.0</v>
      </c>
      <c r="P103" s="157">
        <v>797231.0</v>
      </c>
      <c r="Q103" s="157">
        <v>616339.0</v>
      </c>
      <c r="R103" s="157">
        <v>441476.0</v>
      </c>
      <c r="S103" s="157">
        <v>322364.0</v>
      </c>
      <c r="T103" s="157">
        <v>480915.0</v>
      </c>
      <c r="U103" s="157">
        <v>369488.0</v>
      </c>
      <c r="V103" s="157">
        <v>278544.0</v>
      </c>
      <c r="W103" s="157">
        <v>208081.0</v>
      </c>
      <c r="X103" s="157">
        <v>158062.0</v>
      </c>
      <c r="Y103" s="157">
        <v>145042.75144248933</v>
      </c>
      <c r="Z103" s="157">
        <v>131685.5951681073</v>
      </c>
      <c r="AA103" s="157">
        <v>144416.45332875883</v>
      </c>
      <c r="AB103" s="157">
        <v>181284.25013877556</v>
      </c>
      <c r="AC103" s="157">
        <v>258722.64503569505</v>
      </c>
      <c r="AD103" s="157">
        <v>220739.82213758782</v>
      </c>
      <c r="AE103" s="157">
        <v>243356.62552640424</v>
      </c>
      <c r="AF103" s="157">
        <v>269751.62110881496</v>
      </c>
      <c r="AG103" s="157">
        <v>312554.9697128377</v>
      </c>
      <c r="AH103" s="157">
        <v>359450.53619962116</v>
      </c>
      <c r="AI103" s="157">
        <v>410155.02599820634</v>
      </c>
      <c r="AJ103" s="157">
        <v>464385.57094008103</v>
      </c>
      <c r="AK103" s="157">
        <v>557858.698807433</v>
      </c>
      <c r="AL103" s="157">
        <v>690301.9274186031</v>
      </c>
      <c r="AM103" s="157">
        <v>861446.1036438261</v>
      </c>
      <c r="AN103" s="157">
        <v>1083908.8778036516</v>
      </c>
      <c r="AO103" s="157">
        <v>1345401.5845264872</v>
      </c>
      <c r="AP103" s="157">
        <v>1609640.4878828973</v>
      </c>
      <c r="AQ103" s="157">
        <v>1876347.1398356026</v>
      </c>
      <c r="AR103" s="157">
        <v>2145248.5218446953</v>
      </c>
      <c r="AS103" s="157">
        <v>2428076.6269244677</v>
      </c>
      <c r="AT103" s="157">
        <v>2725450.971118403</v>
      </c>
      <c r="AU103" s="157">
        <v>3025083.6492194002</v>
      </c>
      <c r="AV103" s="157">
        <v>3326692.1398358345</v>
      </c>
      <c r="AW103" s="157">
        <v>3665999.236309712</v>
      </c>
      <c r="AX103" s="157">
        <v>4042732.944890967</v>
      </c>
      <c r="AY103" s="157">
        <v>4469508.852357155</v>
      </c>
    </row>
    <row r="104" ht="15.75" customHeight="1">
      <c r="A104" s="31" t="s">
        <v>244</v>
      </c>
      <c r="B104" s="159"/>
      <c r="C104" s="1"/>
      <c r="D104" s="76">
        <v>0.0</v>
      </c>
      <c r="E104" s="76">
        <v>0.0</v>
      </c>
      <c r="F104" s="76">
        <v>0.0</v>
      </c>
      <c r="G104" s="76">
        <v>0.0</v>
      </c>
      <c r="H104" s="76">
        <v>0.0</v>
      </c>
      <c r="I104" s="76">
        <v>0.0</v>
      </c>
      <c r="J104" s="76">
        <v>0.0</v>
      </c>
      <c r="K104" s="76">
        <v>0.0</v>
      </c>
      <c r="L104" s="76">
        <v>0.0</v>
      </c>
      <c r="M104" s="76">
        <v>0.0</v>
      </c>
      <c r="N104" s="76">
        <v>0.0</v>
      </c>
      <c r="O104" s="76">
        <v>0.0</v>
      </c>
      <c r="P104" s="76">
        <v>0.0</v>
      </c>
      <c r="Q104" s="76">
        <v>0.0</v>
      </c>
      <c r="R104" s="76">
        <v>0.0</v>
      </c>
      <c r="S104" s="76">
        <v>0.0</v>
      </c>
      <c r="T104" s="76">
        <v>0.0</v>
      </c>
      <c r="U104" s="76">
        <v>0.0</v>
      </c>
      <c r="V104" s="76">
        <v>0.0</v>
      </c>
      <c r="W104" s="76">
        <v>0.0</v>
      </c>
      <c r="X104" s="76">
        <v>0.0</v>
      </c>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row>
    <row r="105" ht="15.75" customHeight="1">
      <c r="A105" s="1" t="s">
        <v>331</v>
      </c>
      <c r="B105" s="159"/>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row>
    <row r="106" ht="15.75" customHeight="1">
      <c r="A106" s="1" t="s">
        <v>332</v>
      </c>
      <c r="B106" s="160">
        <v>0.0</v>
      </c>
      <c r="C106" s="1"/>
      <c r="D106" s="76">
        <v>0.0</v>
      </c>
      <c r="E106" s="76">
        <v>0.0</v>
      </c>
      <c r="F106" s="76">
        <v>0.0</v>
      </c>
      <c r="G106" s="76">
        <v>0.0</v>
      </c>
      <c r="H106" s="76">
        <v>0.0</v>
      </c>
      <c r="I106" s="76">
        <v>0.0</v>
      </c>
      <c r="J106" s="76">
        <v>0.0</v>
      </c>
      <c r="K106" s="76">
        <v>0.0</v>
      </c>
      <c r="L106" s="76">
        <v>0.0</v>
      </c>
      <c r="M106" s="76">
        <v>0.0</v>
      </c>
      <c r="N106" s="76">
        <v>0.0</v>
      </c>
      <c r="O106" s="76">
        <v>0.0</v>
      </c>
      <c r="P106" s="76">
        <v>0.0</v>
      </c>
      <c r="Q106" s="76">
        <v>0.0</v>
      </c>
      <c r="R106" s="76">
        <v>0.0</v>
      </c>
      <c r="S106" s="76">
        <v>0.0</v>
      </c>
      <c r="T106" s="76">
        <v>0.0</v>
      </c>
      <c r="U106" s="76">
        <v>0.0</v>
      </c>
      <c r="V106" s="76">
        <v>0.0</v>
      </c>
      <c r="W106" s="76">
        <v>0.0</v>
      </c>
      <c r="X106" s="76">
        <v>0.0</v>
      </c>
      <c r="Y106" s="96">
        <v>0.0</v>
      </c>
      <c r="Z106" s="96">
        <v>0.0</v>
      </c>
      <c r="AA106" s="96">
        <v>0.0</v>
      </c>
      <c r="AB106" s="96">
        <v>0.0</v>
      </c>
      <c r="AC106" s="96">
        <v>0.0</v>
      </c>
      <c r="AD106" s="96">
        <v>0.0</v>
      </c>
      <c r="AE106" s="96">
        <v>0.0</v>
      </c>
      <c r="AF106" s="96">
        <v>0.0</v>
      </c>
      <c r="AG106" s="96">
        <v>0.0</v>
      </c>
      <c r="AH106" s="96">
        <v>0.0</v>
      </c>
      <c r="AI106" s="96">
        <v>0.0</v>
      </c>
      <c r="AJ106" s="96">
        <v>0.0</v>
      </c>
      <c r="AK106" s="96">
        <v>0.0</v>
      </c>
      <c r="AL106" s="96">
        <v>0.0</v>
      </c>
      <c r="AM106" s="96">
        <v>0.0</v>
      </c>
      <c r="AN106" s="96">
        <v>0.0</v>
      </c>
      <c r="AO106" s="96">
        <v>0.0</v>
      </c>
      <c r="AP106" s="96">
        <v>0.0</v>
      </c>
      <c r="AQ106" s="96">
        <v>0.0</v>
      </c>
      <c r="AR106" s="96">
        <v>0.0</v>
      </c>
      <c r="AS106" s="96">
        <v>0.0</v>
      </c>
      <c r="AT106" s="96">
        <v>0.0</v>
      </c>
      <c r="AU106" s="96">
        <v>0.0</v>
      </c>
      <c r="AV106" s="96">
        <v>0.0</v>
      </c>
      <c r="AW106" s="96">
        <v>0.0</v>
      </c>
      <c r="AX106" s="96">
        <v>0.0</v>
      </c>
      <c r="AY106" s="96">
        <v>0.0</v>
      </c>
    </row>
    <row r="107" ht="15.75" customHeight="1">
      <c r="A107" s="1" t="s">
        <v>333</v>
      </c>
      <c r="B107" s="160">
        <v>0.0</v>
      </c>
      <c r="C107" s="1"/>
      <c r="D107" s="76">
        <v>0.0</v>
      </c>
      <c r="E107" s="76">
        <v>0.0</v>
      </c>
      <c r="F107" s="76">
        <v>0.0</v>
      </c>
      <c r="G107" s="76">
        <v>0.0</v>
      </c>
      <c r="H107" s="76">
        <v>0.0</v>
      </c>
      <c r="I107" s="76">
        <v>0.0</v>
      </c>
      <c r="J107" s="76">
        <v>0.0</v>
      </c>
      <c r="K107" s="76">
        <v>0.0</v>
      </c>
      <c r="L107" s="76">
        <v>0.0</v>
      </c>
      <c r="M107" s="76">
        <v>0.0</v>
      </c>
      <c r="N107" s="76">
        <v>0.0</v>
      </c>
      <c r="O107" s="76">
        <v>0.0</v>
      </c>
      <c r="P107" s="76">
        <v>0.0</v>
      </c>
      <c r="Q107" s="76">
        <v>0.0</v>
      </c>
      <c r="R107" s="76">
        <v>0.0</v>
      </c>
      <c r="S107" s="76">
        <v>0.0</v>
      </c>
      <c r="T107" s="76">
        <v>0.0</v>
      </c>
      <c r="U107" s="76">
        <v>0.0</v>
      </c>
      <c r="V107" s="76">
        <v>0.0</v>
      </c>
      <c r="W107" s="76">
        <v>0.0</v>
      </c>
      <c r="X107" s="76">
        <v>0.0</v>
      </c>
      <c r="Y107" s="96">
        <v>0.0</v>
      </c>
      <c r="Z107" s="96">
        <v>0.0</v>
      </c>
      <c r="AA107" s="96">
        <v>0.0</v>
      </c>
      <c r="AB107" s="96">
        <v>0.0</v>
      </c>
      <c r="AC107" s="96">
        <v>0.0</v>
      </c>
      <c r="AD107" s="96">
        <v>0.0</v>
      </c>
      <c r="AE107" s="96">
        <v>0.0</v>
      </c>
      <c r="AF107" s="96">
        <v>0.0</v>
      </c>
      <c r="AG107" s="96">
        <v>0.0</v>
      </c>
      <c r="AH107" s="96">
        <v>0.0</v>
      </c>
      <c r="AI107" s="96">
        <v>0.0</v>
      </c>
      <c r="AJ107" s="96">
        <v>0.0</v>
      </c>
      <c r="AK107" s="96">
        <v>0.0</v>
      </c>
      <c r="AL107" s="96">
        <v>0.0</v>
      </c>
      <c r="AM107" s="96">
        <v>0.0</v>
      </c>
      <c r="AN107" s="96">
        <v>0.0</v>
      </c>
      <c r="AO107" s="96">
        <v>0.0</v>
      </c>
      <c r="AP107" s="96">
        <v>0.0</v>
      </c>
      <c r="AQ107" s="96">
        <v>0.0</v>
      </c>
      <c r="AR107" s="96">
        <v>0.0</v>
      </c>
      <c r="AS107" s="96">
        <v>0.0</v>
      </c>
      <c r="AT107" s="96">
        <v>0.0</v>
      </c>
      <c r="AU107" s="96">
        <v>0.0</v>
      </c>
      <c r="AV107" s="96">
        <v>0.0</v>
      </c>
      <c r="AW107" s="96">
        <v>0.0</v>
      </c>
      <c r="AX107" s="96">
        <v>0.0</v>
      </c>
      <c r="AY107" s="96">
        <v>0.0</v>
      </c>
    </row>
    <row r="108" ht="15.75" customHeight="1">
      <c r="A108" s="21" t="s">
        <v>334</v>
      </c>
      <c r="B108" s="163"/>
      <c r="C108" s="21"/>
      <c r="D108" s="157">
        <v>0.0</v>
      </c>
      <c r="E108" s="157">
        <v>0.0</v>
      </c>
      <c r="F108" s="157">
        <v>0.0</v>
      </c>
      <c r="G108" s="157">
        <v>0.0</v>
      </c>
      <c r="H108" s="157">
        <v>0.0</v>
      </c>
      <c r="I108" s="157">
        <v>0.0</v>
      </c>
      <c r="J108" s="157">
        <v>0.0</v>
      </c>
      <c r="K108" s="157">
        <v>0.0</v>
      </c>
      <c r="L108" s="157">
        <v>0.0</v>
      </c>
      <c r="M108" s="157">
        <v>0.0</v>
      </c>
      <c r="N108" s="157">
        <v>0.0</v>
      </c>
      <c r="O108" s="157">
        <v>0.0</v>
      </c>
      <c r="P108" s="157">
        <v>0.0</v>
      </c>
      <c r="Q108" s="157">
        <v>0.0</v>
      </c>
      <c r="R108" s="157">
        <v>0.0</v>
      </c>
      <c r="S108" s="157">
        <v>0.0</v>
      </c>
      <c r="T108" s="157">
        <v>0.0</v>
      </c>
      <c r="U108" s="157">
        <v>0.0</v>
      </c>
      <c r="V108" s="157">
        <v>0.0</v>
      </c>
      <c r="W108" s="157">
        <v>0.0</v>
      </c>
      <c r="X108" s="157">
        <v>0.0</v>
      </c>
      <c r="Y108" s="157">
        <v>0.0</v>
      </c>
      <c r="Z108" s="157">
        <v>0.0</v>
      </c>
      <c r="AA108" s="157">
        <v>0.0</v>
      </c>
      <c r="AB108" s="157">
        <v>0.0</v>
      </c>
      <c r="AC108" s="157">
        <v>0.0</v>
      </c>
      <c r="AD108" s="157">
        <v>0.0</v>
      </c>
      <c r="AE108" s="157">
        <v>0.0</v>
      </c>
      <c r="AF108" s="157">
        <v>0.0</v>
      </c>
      <c r="AG108" s="157">
        <v>0.0</v>
      </c>
      <c r="AH108" s="157">
        <v>0.0</v>
      </c>
      <c r="AI108" s="157">
        <v>0.0</v>
      </c>
      <c r="AJ108" s="157">
        <v>0.0</v>
      </c>
      <c r="AK108" s="157">
        <v>0.0</v>
      </c>
      <c r="AL108" s="157">
        <v>0.0</v>
      </c>
      <c r="AM108" s="157">
        <v>0.0</v>
      </c>
      <c r="AN108" s="157">
        <v>0.0</v>
      </c>
      <c r="AO108" s="157">
        <v>0.0</v>
      </c>
      <c r="AP108" s="157">
        <v>0.0</v>
      </c>
      <c r="AQ108" s="157">
        <v>0.0</v>
      </c>
      <c r="AR108" s="157">
        <v>0.0</v>
      </c>
      <c r="AS108" s="157">
        <v>0.0</v>
      </c>
      <c r="AT108" s="157">
        <v>0.0</v>
      </c>
      <c r="AU108" s="157">
        <v>0.0</v>
      </c>
      <c r="AV108" s="157">
        <v>0.0</v>
      </c>
      <c r="AW108" s="157">
        <v>0.0</v>
      </c>
      <c r="AX108" s="157">
        <v>0.0</v>
      </c>
      <c r="AY108" s="157">
        <v>0.0</v>
      </c>
    </row>
    <row r="109" ht="15.75" customHeight="1">
      <c r="A109" s="31" t="s">
        <v>244</v>
      </c>
      <c r="B109" s="159"/>
      <c r="C109" s="1"/>
      <c r="D109" s="76">
        <v>0.0</v>
      </c>
      <c r="E109" s="76">
        <v>0.0</v>
      </c>
      <c r="F109" s="76">
        <v>0.0</v>
      </c>
      <c r="G109" s="76">
        <v>0.0</v>
      </c>
      <c r="H109" s="76">
        <v>0.0</v>
      </c>
      <c r="I109" s="76">
        <v>0.0</v>
      </c>
      <c r="J109" s="76">
        <v>0.0</v>
      </c>
      <c r="K109" s="76">
        <v>0.0</v>
      </c>
      <c r="L109" s="76">
        <v>0.0</v>
      </c>
      <c r="M109" s="76">
        <v>0.0</v>
      </c>
      <c r="N109" s="76">
        <v>0.0</v>
      </c>
      <c r="O109" s="76">
        <v>0.0</v>
      </c>
      <c r="P109" s="76">
        <v>0.0</v>
      </c>
      <c r="Q109" s="76">
        <v>0.0</v>
      </c>
      <c r="R109" s="76">
        <v>0.0</v>
      </c>
      <c r="S109" s="76">
        <v>0.0</v>
      </c>
      <c r="T109" s="76">
        <v>0.0</v>
      </c>
      <c r="U109" s="76">
        <v>0.0</v>
      </c>
      <c r="V109" s="76">
        <v>0.0</v>
      </c>
      <c r="W109" s="76">
        <v>0.0</v>
      </c>
      <c r="X109" s="76">
        <v>0.0</v>
      </c>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row>
    <row r="110" ht="15.75" customHeight="1">
      <c r="A110" s="1" t="s">
        <v>335</v>
      </c>
      <c r="B110" s="159"/>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row>
    <row r="111" ht="15.75" customHeight="1">
      <c r="A111" s="1" t="s">
        <v>336</v>
      </c>
      <c r="B111" s="160">
        <v>0.0</v>
      </c>
      <c r="C111" s="1"/>
      <c r="D111" s="76">
        <v>0.0</v>
      </c>
      <c r="E111" s="76">
        <v>0.0</v>
      </c>
      <c r="F111" s="76">
        <v>0.0</v>
      </c>
      <c r="G111" s="76">
        <v>0.0</v>
      </c>
      <c r="H111" s="76">
        <v>0.0</v>
      </c>
      <c r="I111" s="76">
        <v>0.0</v>
      </c>
      <c r="J111" s="76">
        <v>0.0</v>
      </c>
      <c r="K111" s="76">
        <v>0.0</v>
      </c>
      <c r="L111" s="76">
        <v>0.0</v>
      </c>
      <c r="M111" s="76">
        <v>0.0</v>
      </c>
      <c r="N111" s="76">
        <v>0.0</v>
      </c>
      <c r="O111" s="76">
        <v>0.0</v>
      </c>
      <c r="P111" s="76">
        <v>0.0</v>
      </c>
      <c r="Q111" s="76">
        <v>0.0</v>
      </c>
      <c r="R111" s="76">
        <v>0.0</v>
      </c>
      <c r="S111" s="76">
        <v>0.0</v>
      </c>
      <c r="T111" s="76">
        <v>0.0</v>
      </c>
      <c r="U111" s="76">
        <v>0.0</v>
      </c>
      <c r="V111" s="76">
        <v>0.0</v>
      </c>
      <c r="W111" s="76">
        <v>0.0</v>
      </c>
      <c r="X111" s="76">
        <v>0.0</v>
      </c>
      <c r="Y111" s="96">
        <v>0.0</v>
      </c>
      <c r="Z111" s="96">
        <v>0.0</v>
      </c>
      <c r="AA111" s="96">
        <v>0.0</v>
      </c>
      <c r="AB111" s="96">
        <v>0.0</v>
      </c>
      <c r="AC111" s="96">
        <v>0.0</v>
      </c>
      <c r="AD111" s="96">
        <v>0.0</v>
      </c>
      <c r="AE111" s="96">
        <v>0.0</v>
      </c>
      <c r="AF111" s="96">
        <v>0.0</v>
      </c>
      <c r="AG111" s="96">
        <v>0.0</v>
      </c>
      <c r="AH111" s="96">
        <v>0.0</v>
      </c>
      <c r="AI111" s="96">
        <v>0.0</v>
      </c>
      <c r="AJ111" s="96">
        <v>0.0</v>
      </c>
      <c r="AK111" s="96">
        <v>0.0</v>
      </c>
      <c r="AL111" s="96">
        <v>0.0</v>
      </c>
      <c r="AM111" s="96">
        <v>0.0</v>
      </c>
      <c r="AN111" s="96">
        <v>0.0</v>
      </c>
      <c r="AO111" s="96">
        <v>0.0</v>
      </c>
      <c r="AP111" s="96">
        <v>0.0</v>
      </c>
      <c r="AQ111" s="96">
        <v>0.0</v>
      </c>
      <c r="AR111" s="96">
        <v>0.0</v>
      </c>
      <c r="AS111" s="96">
        <v>0.0</v>
      </c>
      <c r="AT111" s="96">
        <v>0.0</v>
      </c>
      <c r="AU111" s="96">
        <v>0.0</v>
      </c>
      <c r="AV111" s="96">
        <v>0.0</v>
      </c>
      <c r="AW111" s="96">
        <v>0.0</v>
      </c>
      <c r="AX111" s="96">
        <v>0.0</v>
      </c>
      <c r="AY111" s="96">
        <v>0.0</v>
      </c>
    </row>
    <row r="112" ht="15.75" customHeight="1">
      <c r="A112" s="1" t="s">
        <v>337</v>
      </c>
      <c r="B112" s="160">
        <v>0.0</v>
      </c>
      <c r="C112" s="1"/>
      <c r="D112" s="76">
        <v>0.0</v>
      </c>
      <c r="E112" s="76">
        <v>0.0</v>
      </c>
      <c r="F112" s="76">
        <v>0.0</v>
      </c>
      <c r="G112" s="76">
        <v>0.0</v>
      </c>
      <c r="H112" s="76">
        <v>0.0</v>
      </c>
      <c r="I112" s="76">
        <v>0.0</v>
      </c>
      <c r="J112" s="76">
        <v>0.0</v>
      </c>
      <c r="K112" s="76">
        <v>0.0</v>
      </c>
      <c r="L112" s="76">
        <v>0.0</v>
      </c>
      <c r="M112" s="76">
        <v>0.0</v>
      </c>
      <c r="N112" s="76">
        <v>0.0</v>
      </c>
      <c r="O112" s="76">
        <v>0.0</v>
      </c>
      <c r="P112" s="76">
        <v>0.0</v>
      </c>
      <c r="Q112" s="76">
        <v>0.0</v>
      </c>
      <c r="R112" s="76">
        <v>0.0</v>
      </c>
      <c r="S112" s="76">
        <v>0.0</v>
      </c>
      <c r="T112" s="76">
        <v>0.0</v>
      </c>
      <c r="U112" s="76">
        <v>0.0</v>
      </c>
      <c r="V112" s="76">
        <v>0.0</v>
      </c>
      <c r="W112" s="76">
        <v>0.0</v>
      </c>
      <c r="X112" s="76">
        <v>0.0</v>
      </c>
      <c r="Y112" s="96">
        <v>0.0</v>
      </c>
      <c r="Z112" s="96">
        <v>0.0</v>
      </c>
      <c r="AA112" s="96">
        <v>0.0</v>
      </c>
      <c r="AB112" s="96">
        <v>0.0</v>
      </c>
      <c r="AC112" s="96">
        <v>0.0</v>
      </c>
      <c r="AD112" s="183">
        <v>100000.0</v>
      </c>
      <c r="AE112" s="183">
        <v>100000.0</v>
      </c>
      <c r="AF112" s="183">
        <v>100000.0</v>
      </c>
      <c r="AG112" s="183">
        <v>100000.0</v>
      </c>
      <c r="AH112" s="183">
        <v>100000.0</v>
      </c>
      <c r="AI112" s="183">
        <v>100000.0</v>
      </c>
      <c r="AJ112" s="183">
        <v>100000.0</v>
      </c>
      <c r="AK112" s="183">
        <v>100000.0</v>
      </c>
      <c r="AL112" s="183">
        <v>100000.0</v>
      </c>
      <c r="AM112" s="183">
        <v>100000.0</v>
      </c>
      <c r="AN112" s="183">
        <v>100000.0</v>
      </c>
      <c r="AO112" s="183">
        <v>100000.0</v>
      </c>
      <c r="AP112" s="183">
        <v>100000.0</v>
      </c>
      <c r="AQ112" s="183">
        <v>100000.0</v>
      </c>
      <c r="AR112" s="183">
        <v>100000.0</v>
      </c>
      <c r="AS112" s="183">
        <v>100000.0</v>
      </c>
      <c r="AT112" s="183">
        <v>100000.0</v>
      </c>
      <c r="AU112" s="183">
        <v>100000.0</v>
      </c>
      <c r="AV112" s="183">
        <v>100000.0</v>
      </c>
      <c r="AW112" s="183">
        <v>100000.0</v>
      </c>
      <c r="AX112" s="183">
        <v>100000.0</v>
      </c>
      <c r="AY112" s="183">
        <v>100000.0</v>
      </c>
    </row>
    <row r="113" ht="15.75" customHeight="1">
      <c r="A113" s="1" t="s">
        <v>338</v>
      </c>
      <c r="B113" s="160">
        <v>0.0</v>
      </c>
      <c r="C113" s="1"/>
      <c r="D113" s="76">
        <v>0.0</v>
      </c>
      <c r="E113" s="76">
        <v>0.0</v>
      </c>
      <c r="F113" s="76">
        <v>0.0</v>
      </c>
      <c r="G113" s="76">
        <v>0.0</v>
      </c>
      <c r="H113" s="76">
        <v>0.0</v>
      </c>
      <c r="I113" s="76">
        <v>0.0</v>
      </c>
      <c r="J113" s="76">
        <v>0.0</v>
      </c>
      <c r="K113" s="76">
        <v>0.0</v>
      </c>
      <c r="L113" s="76">
        <v>0.0</v>
      </c>
      <c r="M113" s="76">
        <v>0.0</v>
      </c>
      <c r="N113" s="76">
        <v>0.0</v>
      </c>
      <c r="O113" s="76">
        <v>0.0</v>
      </c>
      <c r="P113" s="76">
        <v>0.0</v>
      </c>
      <c r="Q113" s="76">
        <v>0.0</v>
      </c>
      <c r="R113" s="76">
        <v>0.0</v>
      </c>
      <c r="S113" s="76">
        <v>0.0</v>
      </c>
      <c r="T113" s="76">
        <v>0.0</v>
      </c>
      <c r="U113" s="76">
        <v>0.0</v>
      </c>
      <c r="V113" s="76">
        <v>0.0</v>
      </c>
      <c r="W113" s="76">
        <v>0.0</v>
      </c>
      <c r="X113" s="76">
        <v>0.0</v>
      </c>
      <c r="Y113" s="96">
        <v>0.0</v>
      </c>
      <c r="Z113" s="96">
        <v>0.0</v>
      </c>
      <c r="AA113" s="96">
        <v>0.0</v>
      </c>
      <c r="AB113" s="96">
        <v>0.0</v>
      </c>
      <c r="AC113" s="96">
        <v>0.0</v>
      </c>
      <c r="AD113" s="96">
        <v>0.0</v>
      </c>
      <c r="AE113" s="96">
        <v>0.0</v>
      </c>
      <c r="AF113" s="96">
        <v>0.0</v>
      </c>
      <c r="AG113" s="96">
        <v>0.0</v>
      </c>
      <c r="AH113" s="96">
        <v>0.0</v>
      </c>
      <c r="AI113" s="96">
        <v>0.0</v>
      </c>
      <c r="AJ113" s="96">
        <v>0.0</v>
      </c>
      <c r="AK113" s="96">
        <v>0.0</v>
      </c>
      <c r="AL113" s="96">
        <v>0.0</v>
      </c>
      <c r="AM113" s="96">
        <v>0.0</v>
      </c>
      <c r="AN113" s="96">
        <v>0.0</v>
      </c>
      <c r="AO113" s="96">
        <v>0.0</v>
      </c>
      <c r="AP113" s="96">
        <v>0.0</v>
      </c>
      <c r="AQ113" s="96">
        <v>0.0</v>
      </c>
      <c r="AR113" s="96">
        <v>0.0</v>
      </c>
      <c r="AS113" s="96">
        <v>0.0</v>
      </c>
      <c r="AT113" s="96">
        <v>0.0</v>
      </c>
      <c r="AU113" s="96">
        <v>0.0</v>
      </c>
      <c r="AV113" s="96">
        <v>0.0</v>
      </c>
      <c r="AW113" s="96">
        <v>0.0</v>
      </c>
      <c r="AX113" s="96">
        <v>0.0</v>
      </c>
      <c r="AY113" s="96">
        <v>0.0</v>
      </c>
    </row>
    <row r="114" ht="15.75" customHeight="1">
      <c r="A114" s="21" t="s">
        <v>339</v>
      </c>
      <c r="B114" s="163"/>
      <c r="C114" s="21"/>
      <c r="D114" s="157">
        <v>0.0</v>
      </c>
      <c r="E114" s="157">
        <v>0.0</v>
      </c>
      <c r="F114" s="157">
        <v>0.0</v>
      </c>
      <c r="G114" s="157">
        <v>0.0</v>
      </c>
      <c r="H114" s="157">
        <v>0.0</v>
      </c>
      <c r="I114" s="157">
        <v>0.0</v>
      </c>
      <c r="J114" s="157">
        <v>0.0</v>
      </c>
      <c r="K114" s="157">
        <v>0.0</v>
      </c>
      <c r="L114" s="157">
        <v>0.0</v>
      </c>
      <c r="M114" s="157">
        <v>0.0</v>
      </c>
      <c r="N114" s="157">
        <v>0.0</v>
      </c>
      <c r="O114" s="157">
        <v>0.0</v>
      </c>
      <c r="P114" s="157">
        <v>0.0</v>
      </c>
      <c r="Q114" s="157">
        <v>0.0</v>
      </c>
      <c r="R114" s="157">
        <v>0.0</v>
      </c>
      <c r="S114" s="157">
        <v>0.0</v>
      </c>
      <c r="T114" s="157">
        <v>0.0</v>
      </c>
      <c r="U114" s="157">
        <v>0.0</v>
      </c>
      <c r="V114" s="157">
        <v>0.0</v>
      </c>
      <c r="W114" s="157">
        <v>0.0</v>
      </c>
      <c r="X114" s="157">
        <v>0.0</v>
      </c>
      <c r="Y114" s="157">
        <v>0.0</v>
      </c>
      <c r="Z114" s="157">
        <v>0.0</v>
      </c>
      <c r="AA114" s="157">
        <v>0.0</v>
      </c>
      <c r="AB114" s="157">
        <v>0.0</v>
      </c>
      <c r="AC114" s="157">
        <v>0.0</v>
      </c>
      <c r="AD114" s="157">
        <v>100000.0</v>
      </c>
      <c r="AE114" s="157">
        <v>100000.0</v>
      </c>
      <c r="AF114" s="157">
        <v>100000.0</v>
      </c>
      <c r="AG114" s="157">
        <v>100000.0</v>
      </c>
      <c r="AH114" s="157">
        <v>100000.0</v>
      </c>
      <c r="AI114" s="157">
        <v>100000.0</v>
      </c>
      <c r="AJ114" s="157">
        <v>100000.0</v>
      </c>
      <c r="AK114" s="157">
        <v>100000.0</v>
      </c>
      <c r="AL114" s="157">
        <v>100000.0</v>
      </c>
      <c r="AM114" s="157">
        <v>100000.0</v>
      </c>
      <c r="AN114" s="157">
        <v>100000.0</v>
      </c>
      <c r="AO114" s="157">
        <v>100000.0</v>
      </c>
      <c r="AP114" s="157">
        <v>100000.0</v>
      </c>
      <c r="AQ114" s="157">
        <v>100000.0</v>
      </c>
      <c r="AR114" s="157">
        <v>100000.0</v>
      </c>
      <c r="AS114" s="157">
        <v>100000.0</v>
      </c>
      <c r="AT114" s="157">
        <v>100000.0</v>
      </c>
      <c r="AU114" s="157">
        <v>100000.0</v>
      </c>
      <c r="AV114" s="157">
        <v>100000.0</v>
      </c>
      <c r="AW114" s="157">
        <v>100000.0</v>
      </c>
      <c r="AX114" s="157">
        <v>100000.0</v>
      </c>
      <c r="AY114" s="157">
        <v>100000.0</v>
      </c>
    </row>
    <row r="115" ht="15.75" customHeight="1">
      <c r="A115" s="31" t="s">
        <v>244</v>
      </c>
      <c r="B115" s="159"/>
      <c r="C115" s="1"/>
      <c r="D115" s="76">
        <v>0.0</v>
      </c>
      <c r="E115" s="76">
        <v>0.0</v>
      </c>
      <c r="F115" s="76">
        <v>0.0</v>
      </c>
      <c r="G115" s="76">
        <v>0.0</v>
      </c>
      <c r="H115" s="76">
        <v>0.0</v>
      </c>
      <c r="I115" s="76">
        <v>0.0</v>
      </c>
      <c r="J115" s="76">
        <v>0.0</v>
      </c>
      <c r="K115" s="76">
        <v>0.0</v>
      </c>
      <c r="L115" s="76">
        <v>0.0</v>
      </c>
      <c r="M115" s="76">
        <v>0.0</v>
      </c>
      <c r="N115" s="76">
        <v>0.0</v>
      </c>
      <c r="O115" s="76">
        <v>0.0</v>
      </c>
      <c r="P115" s="76">
        <v>0.0</v>
      </c>
      <c r="Q115" s="76">
        <v>0.0</v>
      </c>
      <c r="R115" s="76">
        <v>0.0</v>
      </c>
      <c r="S115" s="76">
        <v>0.0</v>
      </c>
      <c r="T115" s="76">
        <v>0.0</v>
      </c>
      <c r="U115" s="76">
        <v>0.0</v>
      </c>
      <c r="V115" s="76">
        <v>0.0</v>
      </c>
      <c r="W115" s="76">
        <v>0.0</v>
      </c>
      <c r="X115" s="76">
        <v>0.0</v>
      </c>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row>
    <row r="116" ht="15.75" customHeight="1">
      <c r="A116" s="21" t="s">
        <v>340</v>
      </c>
      <c r="B116" s="163"/>
      <c r="C116" s="21"/>
      <c r="D116" s="147">
        <v>962267.0</v>
      </c>
      <c r="E116" s="147">
        <v>971917.0</v>
      </c>
      <c r="F116" s="147">
        <v>868961.0</v>
      </c>
      <c r="G116" s="147">
        <v>774366.0</v>
      </c>
      <c r="H116" s="147">
        <v>692301.0</v>
      </c>
      <c r="I116" s="147">
        <v>614169.0</v>
      </c>
      <c r="J116" s="147">
        <v>520124.0</v>
      </c>
      <c r="K116" s="147">
        <v>430358.0</v>
      </c>
      <c r="L116" s="147">
        <v>315913.0</v>
      </c>
      <c r="M116" s="147">
        <v>784032.0</v>
      </c>
      <c r="N116" s="147">
        <v>643435.0</v>
      </c>
      <c r="O116" s="147">
        <v>466241.0</v>
      </c>
      <c r="P116" s="147">
        <v>797231.0</v>
      </c>
      <c r="Q116" s="147">
        <v>616339.0</v>
      </c>
      <c r="R116" s="147">
        <v>441476.0</v>
      </c>
      <c r="S116" s="147">
        <v>322364.0</v>
      </c>
      <c r="T116" s="147">
        <v>480915.0</v>
      </c>
      <c r="U116" s="147">
        <v>369488.0</v>
      </c>
      <c r="V116" s="147">
        <v>278544.0</v>
      </c>
      <c r="W116" s="147">
        <v>208081.0</v>
      </c>
      <c r="X116" s="147">
        <v>158062.0</v>
      </c>
      <c r="Y116" s="147">
        <v>145042.75144248933</v>
      </c>
      <c r="Z116" s="147">
        <v>131685.5951681073</v>
      </c>
      <c r="AA116" s="147">
        <v>144416.45332875883</v>
      </c>
      <c r="AB116" s="147">
        <v>181284.25013877556</v>
      </c>
      <c r="AC116" s="147">
        <v>258722.64503569505</v>
      </c>
      <c r="AD116" s="147">
        <v>320739.8221375878</v>
      </c>
      <c r="AE116" s="147">
        <v>343356.62552640424</v>
      </c>
      <c r="AF116" s="147">
        <v>369751.62110881496</v>
      </c>
      <c r="AG116" s="147">
        <v>412554.9697128377</v>
      </c>
      <c r="AH116" s="147">
        <v>459450.53619962116</v>
      </c>
      <c r="AI116" s="147">
        <v>510155.02599820634</v>
      </c>
      <c r="AJ116" s="147">
        <v>564385.570940081</v>
      </c>
      <c r="AK116" s="147">
        <v>657858.698807433</v>
      </c>
      <c r="AL116" s="147">
        <v>790301.9274186031</v>
      </c>
      <c r="AM116" s="147">
        <v>961446.1036438261</v>
      </c>
      <c r="AN116" s="147">
        <v>1183908.8778036516</v>
      </c>
      <c r="AO116" s="147">
        <v>1445401.5845264872</v>
      </c>
      <c r="AP116" s="147">
        <v>1709640.4878828973</v>
      </c>
      <c r="AQ116" s="147">
        <v>1976347.1398356026</v>
      </c>
      <c r="AR116" s="147">
        <v>2245248.5218446953</v>
      </c>
      <c r="AS116" s="147">
        <v>2528076.6269244677</v>
      </c>
      <c r="AT116" s="147">
        <v>2825450.971118403</v>
      </c>
      <c r="AU116" s="147">
        <v>3125083.6492194002</v>
      </c>
      <c r="AV116" s="147">
        <v>3426692.1398358345</v>
      </c>
      <c r="AW116" s="147">
        <v>3765999.236309712</v>
      </c>
      <c r="AX116" s="147">
        <v>4142732.944890967</v>
      </c>
      <c r="AY116" s="147">
        <v>4569508.852357155</v>
      </c>
    </row>
    <row r="117" ht="15.75" customHeight="1">
      <c r="A117" s="31" t="s">
        <v>244</v>
      </c>
      <c r="B117" s="159"/>
      <c r="C117" s="1"/>
      <c r="D117" s="76">
        <v>0.0</v>
      </c>
      <c r="E117" s="76">
        <v>0.0</v>
      </c>
      <c r="F117" s="76">
        <v>0.0</v>
      </c>
      <c r="G117" s="76">
        <v>0.0</v>
      </c>
      <c r="H117" s="76">
        <v>0.0</v>
      </c>
      <c r="I117" s="76">
        <v>0.0</v>
      </c>
      <c r="J117" s="76">
        <v>0.0</v>
      </c>
      <c r="K117" s="76">
        <v>0.0</v>
      </c>
      <c r="L117" s="76">
        <v>0.0</v>
      </c>
      <c r="M117" s="76">
        <v>0.0</v>
      </c>
      <c r="N117" s="76">
        <v>0.0</v>
      </c>
      <c r="O117" s="76">
        <v>0.0</v>
      </c>
      <c r="P117" s="76">
        <v>0.0</v>
      </c>
      <c r="Q117" s="76">
        <v>0.0</v>
      </c>
      <c r="R117" s="76">
        <v>0.0</v>
      </c>
      <c r="S117" s="76">
        <v>0.0</v>
      </c>
      <c r="T117" s="76">
        <v>0.0</v>
      </c>
      <c r="U117" s="76">
        <v>0.0</v>
      </c>
      <c r="V117" s="76">
        <v>0.0</v>
      </c>
      <c r="W117" s="76">
        <v>0.0</v>
      </c>
      <c r="X117" s="76">
        <v>0.0</v>
      </c>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row>
    <row r="118" ht="15.75" customHeight="1">
      <c r="A118" s="1" t="s">
        <v>341</v>
      </c>
      <c r="B118" s="159"/>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row>
    <row r="119" ht="15.75" customHeight="1">
      <c r="A119" s="1" t="s">
        <v>342</v>
      </c>
      <c r="B119" s="159"/>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row>
    <row r="120" ht="15.75" customHeight="1">
      <c r="A120" s="1" t="s">
        <v>343</v>
      </c>
      <c r="B120" s="159"/>
      <c r="C120" s="1"/>
      <c r="D120" s="76"/>
      <c r="E120" s="76"/>
      <c r="F120" s="76"/>
      <c r="G120" s="76"/>
      <c r="H120" s="76"/>
      <c r="I120" s="76"/>
      <c r="J120" s="76"/>
      <c r="K120" s="76"/>
      <c r="L120" s="76"/>
      <c r="M120" s="76"/>
      <c r="N120" s="76"/>
      <c r="O120" s="76"/>
      <c r="P120" s="76"/>
      <c r="Q120" s="76"/>
      <c r="R120" s="76"/>
      <c r="S120" s="76"/>
      <c r="T120" s="76"/>
      <c r="U120" s="76"/>
      <c r="V120" s="76"/>
      <c r="W120" s="76"/>
      <c r="X120" s="76"/>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row>
    <row r="121" ht="15.75" customHeight="1">
      <c r="A121" s="1" t="s">
        <v>344</v>
      </c>
      <c r="B121" s="159"/>
      <c r="C121" s="1"/>
      <c r="D121" s="76"/>
      <c r="E121" s="76"/>
      <c r="F121" s="76"/>
      <c r="G121" s="76"/>
      <c r="H121" s="76"/>
      <c r="I121" s="76"/>
      <c r="J121" s="76"/>
      <c r="K121" s="76"/>
      <c r="L121" s="76"/>
      <c r="M121" s="76"/>
      <c r="N121" s="76"/>
      <c r="O121" s="76"/>
      <c r="P121" s="76"/>
      <c r="Q121" s="76"/>
      <c r="R121" s="76"/>
      <c r="S121" s="76"/>
      <c r="T121" s="76"/>
      <c r="U121" s="76"/>
      <c r="V121" s="76"/>
      <c r="W121" s="76"/>
      <c r="X121" s="76"/>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row>
    <row r="122" ht="15.75" customHeight="1">
      <c r="A122" s="1" t="s">
        <v>345</v>
      </c>
      <c r="B122" s="160">
        <v>-1756.0</v>
      </c>
      <c r="C122" s="1"/>
      <c r="D122" s="76">
        <v>357.0</v>
      </c>
      <c r="E122" s="76">
        <v>-1756.0</v>
      </c>
      <c r="F122" s="76">
        <v>-1756.0</v>
      </c>
      <c r="G122" s="76">
        <v>-1756.0</v>
      </c>
      <c r="H122" s="76">
        <v>-1756.0</v>
      </c>
      <c r="I122" s="76">
        <v>-1756.0</v>
      </c>
      <c r="J122" s="76">
        <v>-1756.0</v>
      </c>
      <c r="K122" s="76">
        <v>-1756.0</v>
      </c>
      <c r="L122" s="76">
        <v>-1756.0</v>
      </c>
      <c r="M122" s="76">
        <v>-1756.0</v>
      </c>
      <c r="N122" s="76">
        <v>-1756.0</v>
      </c>
      <c r="O122" s="76">
        <v>-1756.0</v>
      </c>
      <c r="P122" s="76">
        <v>-1756.0</v>
      </c>
      <c r="Q122" s="76">
        <v>-1756.0</v>
      </c>
      <c r="R122" s="76">
        <v>-1756.0</v>
      </c>
      <c r="S122" s="76">
        <v>-1756.0</v>
      </c>
      <c r="T122" s="76">
        <v>-1756.0</v>
      </c>
      <c r="U122" s="76">
        <v>-1756.0</v>
      </c>
      <c r="V122" s="76">
        <v>-1756.0</v>
      </c>
      <c r="W122" s="76">
        <v>-1756.0</v>
      </c>
      <c r="X122" s="76">
        <v>-1756.0</v>
      </c>
      <c r="Y122" s="96">
        <v>-1756.0</v>
      </c>
      <c r="Z122" s="96">
        <v>-1756.0</v>
      </c>
      <c r="AA122" s="96">
        <v>-1756.0</v>
      </c>
      <c r="AB122" s="96">
        <v>-1756.0</v>
      </c>
      <c r="AC122" s="96">
        <v>-1756.0</v>
      </c>
      <c r="AD122" s="96">
        <v>-1756.0</v>
      </c>
      <c r="AE122" s="96">
        <v>-1756.0</v>
      </c>
      <c r="AF122" s="96">
        <v>-1756.0</v>
      </c>
      <c r="AG122" s="96">
        <v>-1756.0</v>
      </c>
      <c r="AH122" s="96">
        <v>-1756.0</v>
      </c>
      <c r="AI122" s="96">
        <v>-1756.0</v>
      </c>
      <c r="AJ122" s="96">
        <v>-1756.0</v>
      </c>
      <c r="AK122" s="96">
        <v>-1756.0</v>
      </c>
      <c r="AL122" s="96">
        <v>-1756.0</v>
      </c>
      <c r="AM122" s="96">
        <v>-1756.0</v>
      </c>
      <c r="AN122" s="96">
        <v>-1756.0</v>
      </c>
      <c r="AO122" s="96">
        <v>-1756.0</v>
      </c>
      <c r="AP122" s="96">
        <v>-1756.0</v>
      </c>
      <c r="AQ122" s="96">
        <v>-1756.0</v>
      </c>
      <c r="AR122" s="96">
        <v>-1756.0</v>
      </c>
      <c r="AS122" s="96">
        <v>-1756.0</v>
      </c>
      <c r="AT122" s="96">
        <v>-1756.0</v>
      </c>
      <c r="AU122" s="96">
        <v>-1756.0</v>
      </c>
      <c r="AV122" s="96">
        <v>-1756.0</v>
      </c>
      <c r="AW122" s="96">
        <v>-1756.0</v>
      </c>
      <c r="AX122" s="96">
        <v>-1756.0</v>
      </c>
      <c r="AY122" s="96">
        <v>-1756.0</v>
      </c>
    </row>
    <row r="123" ht="15.75" customHeight="1">
      <c r="A123" s="21" t="s">
        <v>346</v>
      </c>
      <c r="B123" s="163"/>
      <c r="C123" s="21"/>
      <c r="D123" s="157">
        <v>357.0</v>
      </c>
      <c r="E123" s="157">
        <v>-1756.0</v>
      </c>
      <c r="F123" s="157">
        <v>-1756.0</v>
      </c>
      <c r="G123" s="157">
        <v>-1756.0</v>
      </c>
      <c r="H123" s="157">
        <v>-1756.0</v>
      </c>
      <c r="I123" s="157">
        <v>-1756.0</v>
      </c>
      <c r="J123" s="157">
        <v>-1756.0</v>
      </c>
      <c r="K123" s="157">
        <v>-1756.0</v>
      </c>
      <c r="L123" s="157">
        <v>-1756.0</v>
      </c>
      <c r="M123" s="157">
        <v>-1756.0</v>
      </c>
      <c r="N123" s="157">
        <v>-1756.0</v>
      </c>
      <c r="O123" s="157">
        <v>-1756.0</v>
      </c>
      <c r="P123" s="157">
        <v>-1756.0</v>
      </c>
      <c r="Q123" s="157">
        <v>-1756.0</v>
      </c>
      <c r="R123" s="157">
        <v>-1756.0</v>
      </c>
      <c r="S123" s="157">
        <v>-1756.0</v>
      </c>
      <c r="T123" s="157">
        <v>-1756.0</v>
      </c>
      <c r="U123" s="157">
        <v>-1756.0</v>
      </c>
      <c r="V123" s="157">
        <v>-1756.0</v>
      </c>
      <c r="W123" s="157">
        <v>-1756.0</v>
      </c>
      <c r="X123" s="157">
        <v>-1756.0</v>
      </c>
      <c r="Y123" s="157">
        <v>-1756.0</v>
      </c>
      <c r="Z123" s="157">
        <v>-1756.0</v>
      </c>
      <c r="AA123" s="157">
        <v>-1756.0</v>
      </c>
      <c r="AB123" s="157">
        <v>-1756.0</v>
      </c>
      <c r="AC123" s="157">
        <v>-1756.0</v>
      </c>
      <c r="AD123" s="157">
        <v>-1756.0</v>
      </c>
      <c r="AE123" s="157">
        <v>-1756.0</v>
      </c>
      <c r="AF123" s="157">
        <v>-1756.0</v>
      </c>
      <c r="AG123" s="157">
        <v>-1756.0</v>
      </c>
      <c r="AH123" s="157">
        <v>-1756.0</v>
      </c>
      <c r="AI123" s="157">
        <v>-1756.0</v>
      </c>
      <c r="AJ123" s="157">
        <v>-1756.0</v>
      </c>
      <c r="AK123" s="157">
        <v>-1756.0</v>
      </c>
      <c r="AL123" s="157">
        <v>-1756.0</v>
      </c>
      <c r="AM123" s="157">
        <v>-1756.0</v>
      </c>
      <c r="AN123" s="157">
        <v>-1756.0</v>
      </c>
      <c r="AO123" s="157">
        <v>-1756.0</v>
      </c>
      <c r="AP123" s="157">
        <v>-1756.0</v>
      </c>
      <c r="AQ123" s="157">
        <v>-1756.0</v>
      </c>
      <c r="AR123" s="157">
        <v>-1756.0</v>
      </c>
      <c r="AS123" s="157">
        <v>-1756.0</v>
      </c>
      <c r="AT123" s="157">
        <v>-1756.0</v>
      </c>
      <c r="AU123" s="157">
        <v>-1756.0</v>
      </c>
      <c r="AV123" s="157">
        <v>-1756.0</v>
      </c>
      <c r="AW123" s="157">
        <v>-1756.0</v>
      </c>
      <c r="AX123" s="157">
        <v>-1756.0</v>
      </c>
      <c r="AY123" s="157">
        <v>-1756.0</v>
      </c>
    </row>
    <row r="124" ht="15.75" customHeight="1">
      <c r="A124" s="1" t="s">
        <v>347</v>
      </c>
      <c r="B124" s="159"/>
      <c r="C124" s="1"/>
      <c r="D124" s="76"/>
      <c r="E124" s="76"/>
      <c r="F124" s="76"/>
      <c r="G124" s="76"/>
      <c r="H124" s="76"/>
      <c r="I124" s="76"/>
      <c r="J124" s="76"/>
      <c r="K124" s="76"/>
      <c r="L124" s="76"/>
      <c r="M124" s="76"/>
      <c r="N124" s="76"/>
      <c r="O124" s="76"/>
      <c r="P124" s="76"/>
      <c r="Q124" s="76"/>
      <c r="R124" s="76"/>
      <c r="S124" s="76"/>
      <c r="T124" s="76"/>
      <c r="U124" s="76"/>
      <c r="V124" s="76"/>
      <c r="W124" s="76"/>
      <c r="X124" s="76"/>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row>
    <row r="125" ht="15.75" customHeight="1">
      <c r="A125" s="1" t="s">
        <v>348</v>
      </c>
      <c r="B125" s="159"/>
      <c r="C125" s="1"/>
      <c r="D125" s="76"/>
      <c r="E125" s="76"/>
      <c r="F125" s="76"/>
      <c r="G125" s="76"/>
      <c r="H125" s="76"/>
      <c r="I125" s="76"/>
      <c r="J125" s="76"/>
      <c r="K125" s="76"/>
      <c r="L125" s="76"/>
      <c r="M125" s="76"/>
      <c r="N125" s="76"/>
      <c r="O125" s="76"/>
      <c r="P125" s="76"/>
      <c r="Q125" s="76"/>
      <c r="R125" s="76"/>
      <c r="S125" s="76"/>
      <c r="T125" s="76"/>
      <c r="U125" s="76"/>
      <c r="V125" s="76"/>
      <c r="W125" s="76"/>
      <c r="X125" s="76"/>
      <c r="Y125" s="96">
        <v>33000.0</v>
      </c>
      <c r="Z125" s="96">
        <v>96000.0</v>
      </c>
      <c r="AA125" s="96">
        <v>186000.0</v>
      </c>
      <c r="AB125" s="96">
        <v>300000.0</v>
      </c>
      <c r="AC125" s="96">
        <v>435000.0</v>
      </c>
      <c r="AD125" s="96">
        <v>555000.0</v>
      </c>
      <c r="AE125" s="96">
        <v>660000.0</v>
      </c>
      <c r="AF125" s="96">
        <v>750000.0</v>
      </c>
      <c r="AG125" s="96">
        <v>836000.0</v>
      </c>
      <c r="AH125" s="96">
        <v>906000.0</v>
      </c>
      <c r="AI125" s="96">
        <v>960000.0</v>
      </c>
      <c r="AJ125" s="96">
        <v>998000.0</v>
      </c>
      <c r="AK125" s="96">
        <v>1056000.0</v>
      </c>
      <c r="AL125" s="96">
        <v>1134000.0</v>
      </c>
      <c r="AM125" s="96">
        <v>1232000.0</v>
      </c>
      <c r="AN125" s="96">
        <v>1361000.0</v>
      </c>
      <c r="AO125" s="96">
        <v>1509000.0</v>
      </c>
      <c r="AP125" s="96">
        <v>1640000.0</v>
      </c>
      <c r="AQ125" s="96">
        <v>1754000.0</v>
      </c>
      <c r="AR125" s="96">
        <v>1851000.0</v>
      </c>
      <c r="AS125" s="96">
        <v>1943000.0</v>
      </c>
      <c r="AT125" s="96">
        <v>2029000.0</v>
      </c>
      <c r="AU125" s="96">
        <v>2097000.0</v>
      </c>
      <c r="AV125" s="96">
        <v>2147000.0</v>
      </c>
      <c r="AW125" s="96">
        <v>2215000.0</v>
      </c>
      <c r="AX125" s="96">
        <v>2301000.0</v>
      </c>
      <c r="AY125" s="96">
        <v>2416000.0</v>
      </c>
    </row>
    <row r="126" ht="15.75" customHeight="1">
      <c r="A126" s="1" t="s">
        <v>349</v>
      </c>
      <c r="B126" s="160">
        <v>-352.0</v>
      </c>
      <c r="C126" s="1"/>
      <c r="D126" s="76">
        <v>-239.0</v>
      </c>
      <c r="E126" s="76">
        <v>-352.0</v>
      </c>
      <c r="F126" s="76">
        <v>-352.0</v>
      </c>
      <c r="G126" s="76">
        <v>-352.0</v>
      </c>
      <c r="H126" s="76">
        <v>-352.0</v>
      </c>
      <c r="I126" s="76">
        <v>-352.0</v>
      </c>
      <c r="J126" s="76">
        <v>-352.0</v>
      </c>
      <c r="K126" s="76">
        <v>-352.0</v>
      </c>
      <c r="L126" s="76">
        <v>-352.0</v>
      </c>
      <c r="M126" s="76">
        <v>-352.0</v>
      </c>
      <c r="N126" s="76">
        <v>-352.0</v>
      </c>
      <c r="O126" s="76">
        <v>-352.0</v>
      </c>
      <c r="P126" s="76">
        <v>-352.0</v>
      </c>
      <c r="Q126" s="76">
        <v>-352.0</v>
      </c>
      <c r="R126" s="76">
        <v>-352.0</v>
      </c>
      <c r="S126" s="76">
        <v>-352.0</v>
      </c>
      <c r="T126" s="76">
        <v>-352.0</v>
      </c>
      <c r="U126" s="76">
        <v>-352.0</v>
      </c>
      <c r="V126" s="76">
        <v>-352.0</v>
      </c>
      <c r="W126" s="76">
        <v>-352.0</v>
      </c>
      <c r="X126" s="76">
        <v>-352.0</v>
      </c>
      <c r="Y126" s="96">
        <v>-352.0</v>
      </c>
      <c r="Z126" s="96">
        <v>-352.0</v>
      </c>
      <c r="AA126" s="96">
        <v>-352.0</v>
      </c>
      <c r="AB126" s="96">
        <v>-352.0</v>
      </c>
      <c r="AC126" s="96">
        <v>-352.0</v>
      </c>
      <c r="AD126" s="96">
        <v>-352.0</v>
      </c>
      <c r="AE126" s="96">
        <v>-352.0</v>
      </c>
      <c r="AF126" s="96">
        <v>-352.0</v>
      </c>
      <c r="AG126" s="96">
        <v>-352.0</v>
      </c>
      <c r="AH126" s="96">
        <v>-352.0</v>
      </c>
      <c r="AI126" s="96">
        <v>-352.0</v>
      </c>
      <c r="AJ126" s="96">
        <v>-352.0</v>
      </c>
      <c r="AK126" s="96">
        <v>-352.0</v>
      </c>
      <c r="AL126" s="96">
        <v>-352.0</v>
      </c>
      <c r="AM126" s="96">
        <v>-352.0</v>
      </c>
      <c r="AN126" s="96">
        <v>-352.0</v>
      </c>
      <c r="AO126" s="96">
        <v>-352.0</v>
      </c>
      <c r="AP126" s="96">
        <v>-352.0</v>
      </c>
      <c r="AQ126" s="96">
        <v>-352.0</v>
      </c>
      <c r="AR126" s="96">
        <v>-352.0</v>
      </c>
      <c r="AS126" s="96">
        <v>-352.0</v>
      </c>
      <c r="AT126" s="96">
        <v>-352.0</v>
      </c>
      <c r="AU126" s="96">
        <v>-352.0</v>
      </c>
      <c r="AV126" s="96">
        <v>-352.0</v>
      </c>
      <c r="AW126" s="96">
        <v>-352.0</v>
      </c>
      <c r="AX126" s="96">
        <v>-352.0</v>
      </c>
      <c r="AY126" s="96">
        <v>-352.0</v>
      </c>
    </row>
    <row r="127" ht="15.75" customHeight="1">
      <c r="A127" s="21" t="s">
        <v>350</v>
      </c>
      <c r="B127" s="163"/>
      <c r="C127" s="21"/>
      <c r="D127" s="157">
        <v>-239.0</v>
      </c>
      <c r="E127" s="157">
        <v>-352.0</v>
      </c>
      <c r="F127" s="157">
        <v>-352.0</v>
      </c>
      <c r="G127" s="157">
        <v>-352.0</v>
      </c>
      <c r="H127" s="157">
        <v>-352.0</v>
      </c>
      <c r="I127" s="157">
        <v>-352.0</v>
      </c>
      <c r="J127" s="157">
        <v>-352.0</v>
      </c>
      <c r="K127" s="157">
        <v>-352.0</v>
      </c>
      <c r="L127" s="157">
        <v>-352.0</v>
      </c>
      <c r="M127" s="157">
        <v>-352.0</v>
      </c>
      <c r="N127" s="157">
        <v>-352.0</v>
      </c>
      <c r="O127" s="157">
        <v>-352.0</v>
      </c>
      <c r="P127" s="157">
        <v>-352.0</v>
      </c>
      <c r="Q127" s="157">
        <v>-352.0</v>
      </c>
      <c r="R127" s="157">
        <v>-352.0</v>
      </c>
      <c r="S127" s="157">
        <v>-352.0</v>
      </c>
      <c r="T127" s="157">
        <v>-352.0</v>
      </c>
      <c r="U127" s="157">
        <v>-352.0</v>
      </c>
      <c r="V127" s="157">
        <v>-352.0</v>
      </c>
      <c r="W127" s="157">
        <v>-352.0</v>
      </c>
      <c r="X127" s="157">
        <v>-352.0</v>
      </c>
      <c r="Y127" s="157">
        <v>32648.0</v>
      </c>
      <c r="Z127" s="157">
        <v>95648.0</v>
      </c>
      <c r="AA127" s="157">
        <v>185648.0</v>
      </c>
      <c r="AB127" s="157">
        <v>299648.0</v>
      </c>
      <c r="AC127" s="157">
        <v>434648.0</v>
      </c>
      <c r="AD127" s="157">
        <v>554648.0</v>
      </c>
      <c r="AE127" s="157">
        <v>659648.0</v>
      </c>
      <c r="AF127" s="157">
        <v>749648.0</v>
      </c>
      <c r="AG127" s="157">
        <v>835648.0</v>
      </c>
      <c r="AH127" s="157">
        <v>905648.0</v>
      </c>
      <c r="AI127" s="157">
        <v>959648.0</v>
      </c>
      <c r="AJ127" s="157">
        <v>997648.0</v>
      </c>
      <c r="AK127" s="157">
        <v>1055648.0</v>
      </c>
      <c r="AL127" s="157">
        <v>1133648.0</v>
      </c>
      <c r="AM127" s="157">
        <v>1231648.0</v>
      </c>
      <c r="AN127" s="157">
        <v>1360648.0</v>
      </c>
      <c r="AO127" s="157">
        <v>1508648.0</v>
      </c>
      <c r="AP127" s="157">
        <v>1639648.0</v>
      </c>
      <c r="AQ127" s="157">
        <v>1753648.0</v>
      </c>
      <c r="AR127" s="157">
        <v>1850648.0</v>
      </c>
      <c r="AS127" s="157">
        <v>1942648.0</v>
      </c>
      <c r="AT127" s="157">
        <v>2028648.0</v>
      </c>
      <c r="AU127" s="157">
        <v>2096648.0</v>
      </c>
      <c r="AV127" s="157">
        <v>2146648.0</v>
      </c>
      <c r="AW127" s="157">
        <v>2214648.0</v>
      </c>
      <c r="AX127" s="157">
        <v>2300648.0</v>
      </c>
      <c r="AY127" s="157">
        <v>2415648.0</v>
      </c>
    </row>
    <row r="128" ht="15.75" customHeight="1">
      <c r="A128" s="21" t="s">
        <v>351</v>
      </c>
      <c r="B128" s="163"/>
      <c r="C128" s="21"/>
      <c r="D128" s="157">
        <v>118.0</v>
      </c>
      <c r="E128" s="157">
        <v>-2108.0</v>
      </c>
      <c r="F128" s="157">
        <v>-2108.0</v>
      </c>
      <c r="G128" s="157">
        <v>-2108.0</v>
      </c>
      <c r="H128" s="157">
        <v>-2108.0</v>
      </c>
      <c r="I128" s="157">
        <v>-2108.0</v>
      </c>
      <c r="J128" s="157">
        <v>-2108.0</v>
      </c>
      <c r="K128" s="157">
        <v>-2108.0</v>
      </c>
      <c r="L128" s="157">
        <v>-2108.0</v>
      </c>
      <c r="M128" s="157">
        <v>-2108.0</v>
      </c>
      <c r="N128" s="157">
        <v>-2108.0</v>
      </c>
      <c r="O128" s="157">
        <v>-2108.0</v>
      </c>
      <c r="P128" s="157">
        <v>-2108.0</v>
      </c>
      <c r="Q128" s="157">
        <v>-2108.0</v>
      </c>
      <c r="R128" s="157">
        <v>-2108.0</v>
      </c>
      <c r="S128" s="157">
        <v>-2108.0</v>
      </c>
      <c r="T128" s="157">
        <v>-2108.0</v>
      </c>
      <c r="U128" s="157">
        <v>-2108.0</v>
      </c>
      <c r="V128" s="157">
        <v>-2108.0</v>
      </c>
      <c r="W128" s="157">
        <v>-2108.0</v>
      </c>
      <c r="X128" s="157">
        <v>-2108.0</v>
      </c>
      <c r="Y128" s="157">
        <v>30892.0</v>
      </c>
      <c r="Z128" s="157">
        <v>93892.0</v>
      </c>
      <c r="AA128" s="157">
        <v>183892.0</v>
      </c>
      <c r="AB128" s="157">
        <v>297892.0</v>
      </c>
      <c r="AC128" s="157">
        <v>432892.0</v>
      </c>
      <c r="AD128" s="157">
        <v>552892.0</v>
      </c>
      <c r="AE128" s="157">
        <v>657892.0</v>
      </c>
      <c r="AF128" s="157">
        <v>747892.0</v>
      </c>
      <c r="AG128" s="157">
        <v>833892.0</v>
      </c>
      <c r="AH128" s="157">
        <v>903892.0</v>
      </c>
      <c r="AI128" s="157">
        <v>957892.0</v>
      </c>
      <c r="AJ128" s="157">
        <v>995892.0</v>
      </c>
      <c r="AK128" s="157">
        <v>1053892.0</v>
      </c>
      <c r="AL128" s="157">
        <v>1131892.0</v>
      </c>
      <c r="AM128" s="157">
        <v>1229892.0</v>
      </c>
      <c r="AN128" s="157">
        <v>1358892.0</v>
      </c>
      <c r="AO128" s="157">
        <v>1506892.0</v>
      </c>
      <c r="AP128" s="157">
        <v>1637892.0</v>
      </c>
      <c r="AQ128" s="157">
        <v>1751892.0</v>
      </c>
      <c r="AR128" s="157">
        <v>1848892.0</v>
      </c>
      <c r="AS128" s="157">
        <v>1940892.0</v>
      </c>
      <c r="AT128" s="157">
        <v>2026892.0</v>
      </c>
      <c r="AU128" s="157">
        <v>2094892.0</v>
      </c>
      <c r="AV128" s="157">
        <v>2144892.0</v>
      </c>
      <c r="AW128" s="157">
        <v>2212892.0</v>
      </c>
      <c r="AX128" s="157">
        <v>2298892.0</v>
      </c>
      <c r="AY128" s="157">
        <v>2413892.0</v>
      </c>
    </row>
    <row r="129" ht="15.75" customHeight="1">
      <c r="A129" s="31" t="s">
        <v>244</v>
      </c>
      <c r="B129" s="159"/>
      <c r="C129" s="1"/>
      <c r="D129" s="76">
        <v>0.0</v>
      </c>
      <c r="E129" s="76">
        <v>0.0</v>
      </c>
      <c r="F129" s="76">
        <v>0.0</v>
      </c>
      <c r="G129" s="76">
        <v>0.0</v>
      </c>
      <c r="H129" s="76">
        <v>0.0</v>
      </c>
      <c r="I129" s="76">
        <v>0.0</v>
      </c>
      <c r="J129" s="76">
        <v>0.0</v>
      </c>
      <c r="K129" s="76">
        <v>0.0</v>
      </c>
      <c r="L129" s="76">
        <v>0.0</v>
      </c>
      <c r="M129" s="76">
        <v>0.0</v>
      </c>
      <c r="N129" s="76">
        <v>0.0</v>
      </c>
      <c r="O129" s="76">
        <v>0.0</v>
      </c>
      <c r="P129" s="76">
        <v>0.0</v>
      </c>
      <c r="Q129" s="76">
        <v>0.0</v>
      </c>
      <c r="R129" s="76">
        <v>0.0</v>
      </c>
      <c r="S129" s="76">
        <v>0.0</v>
      </c>
      <c r="T129" s="76">
        <v>0.0</v>
      </c>
      <c r="U129" s="76">
        <v>0.0</v>
      </c>
      <c r="V129" s="76">
        <v>0.0</v>
      </c>
      <c r="W129" s="76">
        <v>0.0</v>
      </c>
      <c r="X129" s="76">
        <v>0.0</v>
      </c>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row>
    <row r="130" ht="15.75" customHeight="1">
      <c r="A130" s="1" t="s">
        <v>352</v>
      </c>
      <c r="B130" s="159"/>
      <c r="C130" s="1"/>
      <c r="D130" s="96"/>
      <c r="E130" s="96"/>
      <c r="F130" s="96"/>
      <c r="G130" s="96"/>
      <c r="H130" s="96"/>
      <c r="I130" s="96"/>
      <c r="J130" s="96"/>
      <c r="K130" s="96"/>
      <c r="L130" s="96"/>
      <c r="M130" s="96"/>
      <c r="N130" s="96"/>
      <c r="O130" s="96"/>
      <c r="P130" s="96"/>
      <c r="Q130" s="96"/>
      <c r="R130" s="96"/>
      <c r="S130" s="96"/>
      <c r="T130" s="96"/>
      <c r="U130" s="96"/>
      <c r="V130" s="96"/>
      <c r="W130" s="96"/>
      <c r="X130" s="96"/>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row>
    <row r="131" ht="15.75" customHeight="1">
      <c r="A131" s="1" t="s">
        <v>353</v>
      </c>
      <c r="B131" s="160">
        <v>2050000.0</v>
      </c>
      <c r="C131" s="1"/>
      <c r="D131" s="76">
        <v>550000.0</v>
      </c>
      <c r="E131" s="76">
        <v>650000.0</v>
      </c>
      <c r="F131" s="76">
        <v>650000.0</v>
      </c>
      <c r="G131" s="76">
        <v>650000.0</v>
      </c>
      <c r="H131" s="76">
        <v>650000.0</v>
      </c>
      <c r="I131" s="76">
        <v>650000.0</v>
      </c>
      <c r="J131" s="76">
        <v>650000.0</v>
      </c>
      <c r="K131" s="76">
        <v>650000.0</v>
      </c>
      <c r="L131" s="76">
        <v>650000.0</v>
      </c>
      <c r="M131" s="76">
        <v>1250000.0</v>
      </c>
      <c r="N131" s="76">
        <v>1250000.0</v>
      </c>
      <c r="O131" s="76">
        <v>1250000.0</v>
      </c>
      <c r="P131" s="76">
        <v>1750000.0</v>
      </c>
      <c r="Q131" s="76">
        <v>1750000.0</v>
      </c>
      <c r="R131" s="76">
        <v>1750000.0</v>
      </c>
      <c r="S131" s="76">
        <v>1750000.0</v>
      </c>
      <c r="T131" s="76">
        <v>2050000.0</v>
      </c>
      <c r="U131" s="76">
        <v>2050000.0</v>
      </c>
      <c r="V131" s="76">
        <v>2050000.0</v>
      </c>
      <c r="W131" s="76">
        <v>2050000.0</v>
      </c>
      <c r="X131" s="76">
        <v>2050000.0</v>
      </c>
      <c r="Y131" s="96">
        <v>2050000.0</v>
      </c>
      <c r="Z131" s="96">
        <v>2050000.0</v>
      </c>
      <c r="AA131" s="96">
        <v>2050000.0</v>
      </c>
      <c r="AB131" s="96">
        <v>2050000.0</v>
      </c>
      <c r="AC131" s="96">
        <v>2050000.0</v>
      </c>
      <c r="AD131" s="96">
        <v>2050000.0</v>
      </c>
      <c r="AE131" s="96">
        <v>2050000.0</v>
      </c>
      <c r="AF131" s="96">
        <v>2050000.0</v>
      </c>
      <c r="AG131" s="96">
        <v>2050000.0</v>
      </c>
      <c r="AH131" s="96">
        <v>2050000.0</v>
      </c>
      <c r="AI131" s="96">
        <v>2050000.0</v>
      </c>
      <c r="AJ131" s="96">
        <v>2050000.0</v>
      </c>
      <c r="AK131" s="96">
        <v>2050000.0</v>
      </c>
      <c r="AL131" s="96">
        <v>2050000.0</v>
      </c>
      <c r="AM131" s="96">
        <v>2050000.0</v>
      </c>
      <c r="AN131" s="96">
        <v>2050000.0</v>
      </c>
      <c r="AO131" s="96">
        <v>2050000.0</v>
      </c>
      <c r="AP131" s="96">
        <v>2050000.0</v>
      </c>
      <c r="AQ131" s="96">
        <v>2050000.0</v>
      </c>
      <c r="AR131" s="96">
        <v>2050000.0</v>
      </c>
      <c r="AS131" s="96">
        <v>2050000.0</v>
      </c>
      <c r="AT131" s="96">
        <v>2050000.0</v>
      </c>
      <c r="AU131" s="96">
        <v>2050000.0</v>
      </c>
      <c r="AV131" s="96">
        <v>2050000.0</v>
      </c>
      <c r="AW131" s="96">
        <v>2050000.0</v>
      </c>
      <c r="AX131" s="96">
        <v>2050000.0</v>
      </c>
      <c r="AY131" s="96">
        <v>2050000.0</v>
      </c>
    </row>
    <row r="132" ht="15.75" customHeight="1">
      <c r="A132" s="1" t="s">
        <v>354</v>
      </c>
      <c r="B132" s="160">
        <v>500000.0</v>
      </c>
      <c r="C132" s="1"/>
      <c r="D132" s="76">
        <v>500000.0</v>
      </c>
      <c r="E132" s="76">
        <v>500000.0</v>
      </c>
      <c r="F132" s="76">
        <v>500000.0</v>
      </c>
      <c r="G132" s="76">
        <v>500000.0</v>
      </c>
      <c r="H132" s="76">
        <v>500000.0</v>
      </c>
      <c r="I132" s="76">
        <v>500000.0</v>
      </c>
      <c r="J132" s="76">
        <v>500000.0</v>
      </c>
      <c r="K132" s="76">
        <v>500000.0</v>
      </c>
      <c r="L132" s="76">
        <v>500000.0</v>
      </c>
      <c r="M132" s="76">
        <v>500000.0</v>
      </c>
      <c r="N132" s="76">
        <v>500000.0</v>
      </c>
      <c r="O132" s="76">
        <v>500000.0</v>
      </c>
      <c r="P132" s="76">
        <v>500000.0</v>
      </c>
      <c r="Q132" s="76">
        <v>500000.0</v>
      </c>
      <c r="R132" s="76">
        <v>500000.0</v>
      </c>
      <c r="S132" s="76">
        <v>500000.0</v>
      </c>
      <c r="T132" s="76">
        <v>500000.0</v>
      </c>
      <c r="U132" s="76">
        <v>500000.0</v>
      </c>
      <c r="V132" s="76">
        <v>500000.0</v>
      </c>
      <c r="W132" s="76">
        <v>500000.0</v>
      </c>
      <c r="X132" s="76">
        <v>500000.0</v>
      </c>
      <c r="Y132" s="96">
        <v>500000.0</v>
      </c>
      <c r="Z132" s="96">
        <v>500000.0</v>
      </c>
      <c r="AA132" s="96">
        <v>500000.0</v>
      </c>
      <c r="AB132" s="96">
        <v>500000.0</v>
      </c>
      <c r="AC132" s="96">
        <v>500000.0</v>
      </c>
      <c r="AD132" s="96">
        <v>500000.0</v>
      </c>
      <c r="AE132" s="96">
        <v>500000.0</v>
      </c>
      <c r="AF132" s="96">
        <v>500000.0</v>
      </c>
      <c r="AG132" s="96">
        <v>500000.0</v>
      </c>
      <c r="AH132" s="96">
        <v>500000.0</v>
      </c>
      <c r="AI132" s="96">
        <v>500000.0</v>
      </c>
      <c r="AJ132" s="96">
        <v>500000.0</v>
      </c>
      <c r="AK132" s="96">
        <v>500000.0</v>
      </c>
      <c r="AL132" s="96">
        <v>500000.0</v>
      </c>
      <c r="AM132" s="96">
        <v>500000.0</v>
      </c>
      <c r="AN132" s="96">
        <v>500000.0</v>
      </c>
      <c r="AO132" s="96">
        <v>500000.0</v>
      </c>
      <c r="AP132" s="96">
        <v>500000.0</v>
      </c>
      <c r="AQ132" s="96">
        <v>500000.0</v>
      </c>
      <c r="AR132" s="96">
        <v>500000.0</v>
      </c>
      <c r="AS132" s="96">
        <v>500000.0</v>
      </c>
      <c r="AT132" s="96">
        <v>500000.0</v>
      </c>
      <c r="AU132" s="96">
        <v>500000.0</v>
      </c>
      <c r="AV132" s="96">
        <v>500000.0</v>
      </c>
      <c r="AW132" s="96">
        <v>500000.0</v>
      </c>
      <c r="AX132" s="96">
        <v>500000.0</v>
      </c>
      <c r="AY132" s="96">
        <v>500000.0</v>
      </c>
    </row>
    <row r="133" ht="15.75" customHeight="1">
      <c r="A133" s="1" t="s">
        <v>355</v>
      </c>
      <c r="B133" s="160">
        <v>0.0</v>
      </c>
      <c r="C133" s="1"/>
      <c r="D133" s="76">
        <v>0.0</v>
      </c>
      <c r="E133" s="76">
        <v>0.0</v>
      </c>
      <c r="F133" s="76">
        <v>0.0</v>
      </c>
      <c r="G133" s="76">
        <v>0.0</v>
      </c>
      <c r="H133" s="76">
        <v>0.0</v>
      </c>
      <c r="I133" s="76">
        <v>0.0</v>
      </c>
      <c r="J133" s="76">
        <v>0.0</v>
      </c>
      <c r="K133" s="76">
        <v>0.0</v>
      </c>
      <c r="L133" s="76">
        <v>0.0</v>
      </c>
      <c r="M133" s="76">
        <v>0.0</v>
      </c>
      <c r="N133" s="76">
        <v>0.0</v>
      </c>
      <c r="O133" s="76">
        <v>0.0</v>
      </c>
      <c r="P133" s="76">
        <v>0.0</v>
      </c>
      <c r="Q133" s="76">
        <v>0.0</v>
      </c>
      <c r="R133" s="76">
        <v>0.0</v>
      </c>
      <c r="S133" s="76">
        <v>0.0</v>
      </c>
      <c r="T133" s="76">
        <v>0.0</v>
      </c>
      <c r="U133" s="76">
        <v>0.0</v>
      </c>
      <c r="V133" s="76">
        <v>0.0</v>
      </c>
      <c r="W133" s="76">
        <v>0.0</v>
      </c>
      <c r="X133" s="76">
        <v>0.0</v>
      </c>
      <c r="Y133" s="96">
        <v>0.0</v>
      </c>
      <c r="Z133" s="96">
        <v>0.0</v>
      </c>
      <c r="AA133" s="96">
        <v>0.0</v>
      </c>
      <c r="AB133" s="96">
        <v>0.0</v>
      </c>
      <c r="AC133" s="96">
        <v>0.0</v>
      </c>
      <c r="AD133" s="96">
        <v>0.0</v>
      </c>
      <c r="AE133" s="96">
        <v>0.0</v>
      </c>
      <c r="AF133" s="96">
        <v>0.0</v>
      </c>
      <c r="AG133" s="96">
        <v>0.0</v>
      </c>
      <c r="AH133" s="96">
        <v>0.0</v>
      </c>
      <c r="AI133" s="96">
        <v>0.0</v>
      </c>
      <c r="AJ133" s="96">
        <v>0.0</v>
      </c>
      <c r="AK133" s="96">
        <v>0.0</v>
      </c>
      <c r="AL133" s="96">
        <v>0.0</v>
      </c>
      <c r="AM133" s="96">
        <v>0.0</v>
      </c>
      <c r="AN133" s="96">
        <v>0.0</v>
      </c>
      <c r="AO133" s="96">
        <v>0.0</v>
      </c>
      <c r="AP133" s="96">
        <v>0.0</v>
      </c>
      <c r="AQ133" s="96">
        <v>0.0</v>
      </c>
      <c r="AR133" s="96">
        <v>0.0</v>
      </c>
      <c r="AS133" s="96">
        <v>0.0</v>
      </c>
      <c r="AT133" s="96">
        <v>0.0</v>
      </c>
      <c r="AU133" s="96">
        <v>0.0</v>
      </c>
      <c r="AV133" s="96">
        <v>0.0</v>
      </c>
      <c r="AW133" s="96">
        <v>0.0</v>
      </c>
      <c r="AX133" s="96">
        <v>0.0</v>
      </c>
      <c r="AY133" s="96">
        <v>0.0</v>
      </c>
    </row>
    <row r="134" ht="15.75" customHeight="1">
      <c r="A134" s="21" t="s">
        <v>358</v>
      </c>
      <c r="B134" s="163"/>
      <c r="C134" s="21"/>
      <c r="D134" s="147">
        <v>1050000.0</v>
      </c>
      <c r="E134" s="147">
        <v>1150000.0</v>
      </c>
      <c r="F134" s="147">
        <v>1150000.0</v>
      </c>
      <c r="G134" s="147">
        <v>1150000.0</v>
      </c>
      <c r="H134" s="147">
        <v>1150000.0</v>
      </c>
      <c r="I134" s="147">
        <v>1150000.0</v>
      </c>
      <c r="J134" s="147">
        <v>1150000.0</v>
      </c>
      <c r="K134" s="147">
        <v>1150000.0</v>
      </c>
      <c r="L134" s="147">
        <v>1150000.0</v>
      </c>
      <c r="M134" s="147">
        <v>1750000.0</v>
      </c>
      <c r="N134" s="147">
        <v>1750000.0</v>
      </c>
      <c r="O134" s="147">
        <v>1750000.0</v>
      </c>
      <c r="P134" s="147">
        <v>2250000.0</v>
      </c>
      <c r="Q134" s="147">
        <v>2250000.0</v>
      </c>
      <c r="R134" s="147">
        <v>2250000.0</v>
      </c>
      <c r="S134" s="147">
        <v>2250000.0</v>
      </c>
      <c r="T134" s="147">
        <v>2550000.0</v>
      </c>
      <c r="U134" s="147">
        <v>2550000.0</v>
      </c>
      <c r="V134" s="147">
        <v>2550000.0</v>
      </c>
      <c r="W134" s="147">
        <v>2550000.0</v>
      </c>
      <c r="X134" s="147">
        <v>2550000.0</v>
      </c>
      <c r="Y134" s="157">
        <v>2550000.0</v>
      </c>
      <c r="Z134" s="157">
        <v>2550000.0</v>
      </c>
      <c r="AA134" s="157">
        <v>2550000.0</v>
      </c>
      <c r="AB134" s="157">
        <v>2550000.0</v>
      </c>
      <c r="AC134" s="157">
        <v>2550000.0</v>
      </c>
      <c r="AD134" s="157">
        <v>2550000.0</v>
      </c>
      <c r="AE134" s="157">
        <v>2550000.0</v>
      </c>
      <c r="AF134" s="157">
        <v>2550000.0</v>
      </c>
      <c r="AG134" s="157">
        <v>2550000.0</v>
      </c>
      <c r="AH134" s="157">
        <v>2550000.0</v>
      </c>
      <c r="AI134" s="157">
        <v>2550000.0</v>
      </c>
      <c r="AJ134" s="157">
        <v>2550000.0</v>
      </c>
      <c r="AK134" s="157">
        <v>2550000.0</v>
      </c>
      <c r="AL134" s="157">
        <v>2550000.0</v>
      </c>
      <c r="AM134" s="157">
        <v>2550000.0</v>
      </c>
      <c r="AN134" s="157">
        <v>2550000.0</v>
      </c>
      <c r="AO134" s="157">
        <v>2550000.0</v>
      </c>
      <c r="AP134" s="157">
        <v>2550000.0</v>
      </c>
      <c r="AQ134" s="157">
        <v>2550000.0</v>
      </c>
      <c r="AR134" s="157">
        <v>2550000.0</v>
      </c>
      <c r="AS134" s="157">
        <v>2550000.0</v>
      </c>
      <c r="AT134" s="157">
        <v>2550000.0</v>
      </c>
      <c r="AU134" s="157">
        <v>2550000.0</v>
      </c>
      <c r="AV134" s="157">
        <v>2550000.0</v>
      </c>
      <c r="AW134" s="157">
        <v>2550000.0</v>
      </c>
      <c r="AX134" s="157">
        <v>2550000.0</v>
      </c>
      <c r="AY134" s="157">
        <v>2550000.0</v>
      </c>
    </row>
    <row r="135" ht="15.75" customHeight="1">
      <c r="A135" s="31" t="s">
        <v>244</v>
      </c>
      <c r="B135" s="159"/>
      <c r="C135" s="1"/>
      <c r="D135" s="76">
        <v>0.0</v>
      </c>
      <c r="E135" s="76">
        <v>0.0</v>
      </c>
      <c r="F135" s="76">
        <v>0.0</v>
      </c>
      <c r="G135" s="76">
        <v>0.0</v>
      </c>
      <c r="H135" s="76">
        <v>0.0</v>
      </c>
      <c r="I135" s="76">
        <v>0.0</v>
      </c>
      <c r="J135" s="76">
        <v>0.0</v>
      </c>
      <c r="K135" s="76">
        <v>0.0</v>
      </c>
      <c r="L135" s="76">
        <v>0.0</v>
      </c>
      <c r="M135" s="76">
        <v>0.0</v>
      </c>
      <c r="N135" s="76">
        <v>0.0</v>
      </c>
      <c r="O135" s="76">
        <v>0.0</v>
      </c>
      <c r="P135" s="76">
        <v>0.0</v>
      </c>
      <c r="Q135" s="76">
        <v>0.0</v>
      </c>
      <c r="R135" s="76">
        <v>0.0</v>
      </c>
      <c r="S135" s="76">
        <v>0.0</v>
      </c>
      <c r="T135" s="76">
        <v>0.0</v>
      </c>
      <c r="U135" s="76">
        <v>0.0</v>
      </c>
      <c r="V135" s="76">
        <v>0.0</v>
      </c>
      <c r="W135" s="76">
        <v>0.0</v>
      </c>
      <c r="X135" s="76">
        <v>0.0</v>
      </c>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row>
    <row r="136" ht="15.75" customHeight="1">
      <c r="A136" s="21" t="s">
        <v>359</v>
      </c>
      <c r="B136" s="163"/>
      <c r="C136" s="21"/>
      <c r="D136" s="147">
        <v>1050118.0</v>
      </c>
      <c r="E136" s="147">
        <v>1147892.0</v>
      </c>
      <c r="F136" s="147">
        <v>1147892.0</v>
      </c>
      <c r="G136" s="147">
        <v>1147892.0</v>
      </c>
      <c r="H136" s="147">
        <v>1147892.0</v>
      </c>
      <c r="I136" s="147">
        <v>1147892.0</v>
      </c>
      <c r="J136" s="147">
        <v>1147892.0</v>
      </c>
      <c r="K136" s="147">
        <v>1147892.0</v>
      </c>
      <c r="L136" s="147">
        <v>1147892.0</v>
      </c>
      <c r="M136" s="147">
        <v>1747892.0</v>
      </c>
      <c r="N136" s="147">
        <v>1747892.0</v>
      </c>
      <c r="O136" s="147">
        <v>1747892.0</v>
      </c>
      <c r="P136" s="147">
        <v>2247892.0</v>
      </c>
      <c r="Q136" s="147">
        <v>2247892.0</v>
      </c>
      <c r="R136" s="147">
        <v>2247892.0</v>
      </c>
      <c r="S136" s="147">
        <v>2247892.0</v>
      </c>
      <c r="T136" s="147">
        <v>2547892.0</v>
      </c>
      <c r="U136" s="147">
        <v>2547892.0</v>
      </c>
      <c r="V136" s="147">
        <v>2547892.0</v>
      </c>
      <c r="W136" s="147">
        <v>2547892.0</v>
      </c>
      <c r="X136" s="147">
        <v>2547892.0</v>
      </c>
      <c r="Y136" s="147">
        <v>2580892.0</v>
      </c>
      <c r="Z136" s="147">
        <v>2643892.0</v>
      </c>
      <c r="AA136" s="147">
        <v>2733892.0</v>
      </c>
      <c r="AB136" s="147">
        <v>2847892.0</v>
      </c>
      <c r="AC136" s="147">
        <v>2982892.0</v>
      </c>
      <c r="AD136" s="147">
        <v>3102892.0</v>
      </c>
      <c r="AE136" s="147">
        <v>3207892.0</v>
      </c>
      <c r="AF136" s="147">
        <v>3297892.0</v>
      </c>
      <c r="AG136" s="147">
        <v>3383892.0</v>
      </c>
      <c r="AH136" s="147">
        <v>3453892.0</v>
      </c>
      <c r="AI136" s="147">
        <v>3507892.0</v>
      </c>
      <c r="AJ136" s="147">
        <v>3545892.0</v>
      </c>
      <c r="AK136" s="147">
        <v>3603892.0</v>
      </c>
      <c r="AL136" s="147">
        <v>3681892.0</v>
      </c>
      <c r="AM136" s="147">
        <v>3779892.0</v>
      </c>
      <c r="AN136" s="147">
        <v>3908892.0</v>
      </c>
      <c r="AO136" s="147">
        <v>4056892.0</v>
      </c>
      <c r="AP136" s="147">
        <v>4187892.0</v>
      </c>
      <c r="AQ136" s="147">
        <v>4301892.0</v>
      </c>
      <c r="AR136" s="147">
        <v>4398892.0</v>
      </c>
      <c r="AS136" s="147">
        <v>4490892.0</v>
      </c>
      <c r="AT136" s="147">
        <v>4576892.0</v>
      </c>
      <c r="AU136" s="147">
        <v>4644892.0</v>
      </c>
      <c r="AV136" s="147">
        <v>4694892.0</v>
      </c>
      <c r="AW136" s="147">
        <v>4762892.0</v>
      </c>
      <c r="AX136" s="147">
        <v>4848892.0</v>
      </c>
      <c r="AY136" s="147">
        <v>4963892.0</v>
      </c>
    </row>
    <row r="137" ht="15.75" customHeight="1">
      <c r="A137" s="31" t="s">
        <v>244</v>
      </c>
      <c r="B137" s="159"/>
      <c r="C137" s="1"/>
      <c r="D137" s="76">
        <v>0.0</v>
      </c>
      <c r="E137" s="76">
        <v>0.0</v>
      </c>
      <c r="F137" s="76">
        <v>0.0</v>
      </c>
      <c r="G137" s="76">
        <v>0.0</v>
      </c>
      <c r="H137" s="76">
        <v>0.0</v>
      </c>
      <c r="I137" s="76">
        <v>0.0</v>
      </c>
      <c r="J137" s="76">
        <v>0.0</v>
      </c>
      <c r="K137" s="76">
        <v>0.0</v>
      </c>
      <c r="L137" s="76">
        <v>0.0</v>
      </c>
      <c r="M137" s="76">
        <v>0.0</v>
      </c>
      <c r="N137" s="76">
        <v>0.0</v>
      </c>
      <c r="O137" s="76">
        <v>0.0</v>
      </c>
      <c r="P137" s="76">
        <v>0.0</v>
      </c>
      <c r="Q137" s="76">
        <v>0.0</v>
      </c>
      <c r="R137" s="76">
        <v>0.0</v>
      </c>
      <c r="S137" s="76">
        <v>0.0</v>
      </c>
      <c r="T137" s="76">
        <v>0.0</v>
      </c>
      <c r="U137" s="76">
        <v>0.0</v>
      </c>
      <c r="V137" s="76">
        <v>0.0</v>
      </c>
      <c r="W137" s="76">
        <v>0.0</v>
      </c>
      <c r="X137" s="76">
        <v>0.0</v>
      </c>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row>
    <row r="138" ht="15.75" customHeight="1">
      <c r="A138" s="1" t="s">
        <v>360</v>
      </c>
      <c r="B138" s="159"/>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row>
    <row r="139" ht="15.75" customHeight="1">
      <c r="A139" s="1" t="s">
        <v>361</v>
      </c>
      <c r="B139" s="160">
        <v>0.0</v>
      </c>
      <c r="C139" s="1"/>
      <c r="D139" s="76">
        <v>0.0</v>
      </c>
      <c r="E139" s="76">
        <v>0.0</v>
      </c>
      <c r="F139" s="76">
        <v>0.0</v>
      </c>
      <c r="G139" s="76">
        <v>0.0</v>
      </c>
      <c r="H139" s="76">
        <v>0.0</v>
      </c>
      <c r="I139" s="76">
        <v>0.0</v>
      </c>
      <c r="J139" s="76">
        <v>0.0</v>
      </c>
      <c r="K139" s="76">
        <v>0.0</v>
      </c>
      <c r="L139" s="76">
        <v>0.0</v>
      </c>
      <c r="M139" s="76">
        <v>0.0</v>
      </c>
      <c r="N139" s="76">
        <v>0.0</v>
      </c>
      <c r="O139" s="76">
        <v>0.0</v>
      </c>
      <c r="P139" s="76">
        <v>0.0</v>
      </c>
      <c r="Q139" s="76">
        <v>0.0</v>
      </c>
      <c r="R139" s="76">
        <v>0.0</v>
      </c>
      <c r="S139" s="76">
        <v>0.0</v>
      </c>
      <c r="T139" s="76">
        <v>0.0</v>
      </c>
      <c r="U139" s="76">
        <v>0.0</v>
      </c>
      <c r="V139" s="76">
        <v>0.0</v>
      </c>
      <c r="W139" s="76">
        <v>0.0</v>
      </c>
      <c r="X139" s="76">
        <v>0.0</v>
      </c>
      <c r="Y139" s="96">
        <v>0.0</v>
      </c>
      <c r="Z139" s="96">
        <v>0.0</v>
      </c>
      <c r="AA139" s="96">
        <v>0.0</v>
      </c>
      <c r="AB139" s="96">
        <v>0.0</v>
      </c>
      <c r="AC139" s="96">
        <v>0.0</v>
      </c>
      <c r="AD139" s="96">
        <v>0.0</v>
      </c>
      <c r="AE139" s="96">
        <v>0.0</v>
      </c>
      <c r="AF139" s="96">
        <v>0.0</v>
      </c>
      <c r="AG139" s="96">
        <v>0.0</v>
      </c>
      <c r="AH139" s="96">
        <v>0.0</v>
      </c>
      <c r="AI139" s="96">
        <v>0.0</v>
      </c>
      <c r="AJ139" s="96">
        <v>0.0</v>
      </c>
      <c r="AK139" s="96">
        <v>0.0</v>
      </c>
      <c r="AL139" s="96">
        <v>0.0</v>
      </c>
      <c r="AM139" s="96">
        <v>0.0</v>
      </c>
      <c r="AN139" s="96">
        <v>0.0</v>
      </c>
      <c r="AO139" s="96">
        <v>0.0</v>
      </c>
      <c r="AP139" s="96">
        <v>0.0</v>
      </c>
      <c r="AQ139" s="96">
        <v>0.0</v>
      </c>
      <c r="AR139" s="96">
        <v>0.0</v>
      </c>
      <c r="AS139" s="96">
        <v>0.0</v>
      </c>
      <c r="AT139" s="96">
        <v>0.0</v>
      </c>
      <c r="AU139" s="96">
        <v>0.0</v>
      </c>
      <c r="AV139" s="96">
        <v>0.0</v>
      </c>
      <c r="AW139" s="96">
        <v>0.0</v>
      </c>
      <c r="AX139" s="96">
        <v>0.0</v>
      </c>
      <c r="AY139" s="96">
        <v>0.0</v>
      </c>
    </row>
    <row r="140" ht="15.75" customHeight="1">
      <c r="A140" s="1" t="s">
        <v>362</v>
      </c>
      <c r="B140" s="160">
        <v>332421.0</v>
      </c>
      <c r="C140" s="1"/>
      <c r="D140" s="76">
        <v>332421.0</v>
      </c>
      <c r="E140" s="76">
        <v>332421.0</v>
      </c>
      <c r="F140" s="76">
        <v>332421.0</v>
      </c>
      <c r="G140" s="76">
        <v>332421.0</v>
      </c>
      <c r="H140" s="76">
        <v>332421.0</v>
      </c>
      <c r="I140" s="76">
        <v>332421.0</v>
      </c>
      <c r="J140" s="76">
        <v>332421.0</v>
      </c>
      <c r="K140" s="76">
        <v>332421.0</v>
      </c>
      <c r="L140" s="76">
        <v>332421.0</v>
      </c>
      <c r="M140" s="76">
        <v>332421.0</v>
      </c>
      <c r="N140" s="76">
        <v>332421.0</v>
      </c>
      <c r="O140" s="76">
        <v>332421.0</v>
      </c>
      <c r="P140" s="76">
        <v>332421.0</v>
      </c>
      <c r="Q140" s="76">
        <v>332421.0</v>
      </c>
      <c r="R140" s="76">
        <v>332421.0</v>
      </c>
      <c r="S140" s="76">
        <v>332421.0</v>
      </c>
      <c r="T140" s="76">
        <v>332421.0</v>
      </c>
      <c r="U140" s="76">
        <v>332421.0</v>
      </c>
      <c r="V140" s="76">
        <v>332421.0</v>
      </c>
      <c r="W140" s="76">
        <v>332421.0</v>
      </c>
      <c r="X140" s="76">
        <v>332421.0</v>
      </c>
      <c r="Y140" s="96">
        <v>332421.0</v>
      </c>
      <c r="Z140" s="96">
        <v>332421.0</v>
      </c>
      <c r="AA140" s="96">
        <v>332421.0</v>
      </c>
      <c r="AB140" s="96">
        <v>332421.0</v>
      </c>
      <c r="AC140" s="96">
        <v>332421.0</v>
      </c>
      <c r="AD140" s="96">
        <v>332421.0</v>
      </c>
      <c r="AE140" s="96">
        <v>332421.0</v>
      </c>
      <c r="AF140" s="96">
        <v>332421.0</v>
      </c>
      <c r="AG140" s="96">
        <v>332421.0</v>
      </c>
      <c r="AH140" s="96">
        <v>332421.0</v>
      </c>
      <c r="AI140" s="96">
        <v>332421.0</v>
      </c>
      <c r="AJ140" s="96">
        <v>332421.0</v>
      </c>
      <c r="AK140" s="96">
        <v>332421.0</v>
      </c>
      <c r="AL140" s="96">
        <v>332421.0</v>
      </c>
      <c r="AM140" s="96">
        <v>332421.0</v>
      </c>
      <c r="AN140" s="96">
        <v>332421.0</v>
      </c>
      <c r="AO140" s="96">
        <v>332421.0</v>
      </c>
      <c r="AP140" s="96">
        <v>332421.0</v>
      </c>
      <c r="AQ140" s="96">
        <v>332421.0</v>
      </c>
      <c r="AR140" s="96">
        <v>332421.0</v>
      </c>
      <c r="AS140" s="96">
        <v>332421.0</v>
      </c>
      <c r="AT140" s="96">
        <v>332421.0</v>
      </c>
      <c r="AU140" s="96">
        <v>332421.0</v>
      </c>
      <c r="AV140" s="96">
        <v>332421.0</v>
      </c>
      <c r="AW140" s="96">
        <v>332421.0</v>
      </c>
      <c r="AX140" s="96">
        <v>332421.0</v>
      </c>
      <c r="AY140" s="96">
        <v>332421.0</v>
      </c>
    </row>
    <row r="141" ht="15.75" customHeight="1">
      <c r="A141" s="1" t="s">
        <v>363</v>
      </c>
      <c r="B141" s="160">
        <v>-1614072.0</v>
      </c>
      <c r="C141" s="1"/>
      <c r="D141" s="76">
        <v>-332421.0</v>
      </c>
      <c r="E141" s="76">
        <v>-332421.0</v>
      </c>
      <c r="F141" s="76">
        <v>-332421.0</v>
      </c>
      <c r="G141" s="76">
        <v>-332421.0</v>
      </c>
      <c r="H141" s="76">
        <v>-332421.0</v>
      </c>
      <c r="I141" s="76">
        <v>-332421.0</v>
      </c>
      <c r="J141" s="76">
        <v>-332421.0</v>
      </c>
      <c r="K141" s="76">
        <v>-332421.0</v>
      </c>
      <c r="L141" s="76">
        <v>-332421.0</v>
      </c>
      <c r="M141" s="76">
        <v>-332421.0</v>
      </c>
      <c r="N141" s="76">
        <v>-332421.0</v>
      </c>
      <c r="O141" s="76">
        <v>-332421.0</v>
      </c>
      <c r="P141" s="76">
        <v>-1614072.0</v>
      </c>
      <c r="Q141" s="76">
        <v>-1614072.0</v>
      </c>
      <c r="R141" s="76">
        <v>-1614072.0</v>
      </c>
      <c r="S141" s="76">
        <v>-1614072.0</v>
      </c>
      <c r="T141" s="76">
        <v>-1614072.0</v>
      </c>
      <c r="U141" s="76">
        <v>-1614072.0</v>
      </c>
      <c r="V141" s="76">
        <v>-1614072.0</v>
      </c>
      <c r="W141" s="76">
        <v>-1614072.0</v>
      </c>
      <c r="X141" s="76">
        <v>-1614072.0</v>
      </c>
      <c r="Y141" s="96">
        <v>-1614072.0</v>
      </c>
      <c r="Z141" s="96">
        <v>-1614072.0</v>
      </c>
      <c r="AA141" s="96">
        <v>-1614072.0</v>
      </c>
      <c r="AB141" s="96">
        <v>-1614072.0</v>
      </c>
      <c r="AC141" s="96">
        <v>-1614072.0</v>
      </c>
      <c r="AD141" s="96">
        <v>-1614072.0</v>
      </c>
      <c r="AE141" s="96">
        <v>-1614072.0</v>
      </c>
      <c r="AF141" s="96">
        <v>-1614072.0</v>
      </c>
      <c r="AG141" s="96">
        <v>-1614072.0</v>
      </c>
      <c r="AH141" s="96">
        <v>-1614072.0</v>
      </c>
      <c r="AI141" s="96">
        <v>-1614072.0</v>
      </c>
      <c r="AJ141" s="96">
        <v>-1614072.0</v>
      </c>
      <c r="AK141" s="96">
        <v>-1614072.0</v>
      </c>
      <c r="AL141" s="96">
        <v>-1614072.0</v>
      </c>
      <c r="AM141" s="96">
        <v>-1614072.0</v>
      </c>
      <c r="AN141" s="96">
        <v>-1614072.0</v>
      </c>
      <c r="AO141" s="96">
        <v>-1614072.0</v>
      </c>
      <c r="AP141" s="96">
        <v>-1614072.0</v>
      </c>
      <c r="AQ141" s="96">
        <v>-1614072.0</v>
      </c>
      <c r="AR141" s="96">
        <v>-1614072.0</v>
      </c>
      <c r="AS141" s="96">
        <v>-1614072.0</v>
      </c>
      <c r="AT141" s="96">
        <v>-1614072.0</v>
      </c>
      <c r="AU141" s="96">
        <v>-1614072.0</v>
      </c>
      <c r="AV141" s="96">
        <v>-1614072.0</v>
      </c>
      <c r="AW141" s="96">
        <v>-1614072.0</v>
      </c>
      <c r="AX141" s="96">
        <v>-1614072.0</v>
      </c>
      <c r="AY141" s="96">
        <v>-1614072.0</v>
      </c>
    </row>
    <row r="142" ht="15.75" customHeight="1">
      <c r="A142" s="1" t="s">
        <v>364</v>
      </c>
      <c r="B142" s="159"/>
      <c r="C142" s="1"/>
      <c r="D142" s="76">
        <v>-87851.0</v>
      </c>
      <c r="E142" s="76">
        <v>-175975.0</v>
      </c>
      <c r="F142" s="76">
        <v>-278931.0</v>
      </c>
      <c r="G142" s="76">
        <v>-373526.0</v>
      </c>
      <c r="H142" s="76">
        <v>-455591.0</v>
      </c>
      <c r="I142" s="76">
        <v>-533723.0</v>
      </c>
      <c r="J142" s="76">
        <v>-627768.0</v>
      </c>
      <c r="K142" s="76">
        <v>-717534.0</v>
      </c>
      <c r="L142" s="76">
        <v>-831979.0</v>
      </c>
      <c r="M142" s="76">
        <v>-963860.0</v>
      </c>
      <c r="N142" s="76">
        <v>-1104457.0</v>
      </c>
      <c r="O142" s="76">
        <v>-1281651.0</v>
      </c>
      <c r="P142" s="76">
        <v>-169010.0</v>
      </c>
      <c r="Q142" s="76">
        <v>-349902.0</v>
      </c>
      <c r="R142" s="76">
        <v>-524765.0</v>
      </c>
      <c r="S142" s="76">
        <v>-643877.0</v>
      </c>
      <c r="T142" s="76">
        <v>-785326.0</v>
      </c>
      <c r="U142" s="76">
        <v>-896753.0</v>
      </c>
      <c r="V142" s="76">
        <v>-987697.0</v>
      </c>
      <c r="W142" s="76">
        <v>-1058160.0</v>
      </c>
      <c r="X142" s="76">
        <v>-1108179.0</v>
      </c>
      <c r="Y142" s="76">
        <v>-1154198.2485575108</v>
      </c>
      <c r="Z142" s="76">
        <v>-1230555.4048318928</v>
      </c>
      <c r="AA142" s="76">
        <v>-1307824.5466712413</v>
      </c>
      <c r="AB142" s="76">
        <v>-1384956.7498612246</v>
      </c>
      <c r="AC142" s="76">
        <v>-1442518.3549643052</v>
      </c>
      <c r="AD142" s="76">
        <v>-1500501.1778624123</v>
      </c>
      <c r="AE142" s="76">
        <v>-1582884.374473596</v>
      </c>
      <c r="AF142" s="76">
        <v>-1646489.3788911854</v>
      </c>
      <c r="AG142" s="76">
        <v>-1689686.0302871626</v>
      </c>
      <c r="AH142" s="76">
        <v>-1712790.463800379</v>
      </c>
      <c r="AI142" s="76">
        <v>-1716085.974001794</v>
      </c>
      <c r="AJ142" s="76">
        <v>-1699855.4290599192</v>
      </c>
      <c r="AK142" s="76">
        <v>-1664382.3011925672</v>
      </c>
      <c r="AL142" s="76">
        <v>-1609939.0725813971</v>
      </c>
      <c r="AM142" s="76">
        <v>-1536794.8963561743</v>
      </c>
      <c r="AN142" s="76">
        <v>-1443332.1221963488</v>
      </c>
      <c r="AO142" s="76">
        <v>-1329839.4154735133</v>
      </c>
      <c r="AP142" s="76">
        <v>-1196600.5121171032</v>
      </c>
      <c r="AQ142" s="76">
        <v>-1043893.860164398</v>
      </c>
      <c r="AR142" s="76">
        <v>-871992.4781553055</v>
      </c>
      <c r="AS142" s="76">
        <v>-681164.3730755331</v>
      </c>
      <c r="AT142" s="76">
        <v>-469790.0288815977</v>
      </c>
      <c r="AU142" s="76">
        <v>-238157.3507806008</v>
      </c>
      <c r="AV142" s="76">
        <v>13451.139835833339</v>
      </c>
      <c r="AW142" s="76">
        <v>284758.2363097108</v>
      </c>
      <c r="AX142" s="76">
        <v>575491.944890966</v>
      </c>
      <c r="AY142" s="76">
        <v>887267.8523571537</v>
      </c>
    </row>
    <row r="143" ht="15.75" customHeight="1">
      <c r="A143" s="21" t="s">
        <v>365</v>
      </c>
      <c r="B143" s="163"/>
      <c r="C143" s="21"/>
      <c r="D143" s="147">
        <v>-87851.0</v>
      </c>
      <c r="E143" s="147">
        <v>-175975.0</v>
      </c>
      <c r="F143" s="147">
        <v>-278931.0</v>
      </c>
      <c r="G143" s="147">
        <v>-373526.0</v>
      </c>
      <c r="H143" s="147">
        <v>-455591.0</v>
      </c>
      <c r="I143" s="147">
        <v>-533723.0</v>
      </c>
      <c r="J143" s="147">
        <v>-627768.0</v>
      </c>
      <c r="K143" s="147">
        <v>-717534.0</v>
      </c>
      <c r="L143" s="147">
        <v>-831979.0</v>
      </c>
      <c r="M143" s="147">
        <v>-963860.0</v>
      </c>
      <c r="N143" s="147">
        <v>-1104457.0</v>
      </c>
      <c r="O143" s="147">
        <v>-1281651.0</v>
      </c>
      <c r="P143" s="147">
        <v>-1450661.0</v>
      </c>
      <c r="Q143" s="147">
        <v>-1631553.0</v>
      </c>
      <c r="R143" s="147">
        <v>-1806416.0</v>
      </c>
      <c r="S143" s="147">
        <v>-1925528.0</v>
      </c>
      <c r="T143" s="147">
        <v>-2066977.0</v>
      </c>
      <c r="U143" s="147">
        <v>-2178404.0</v>
      </c>
      <c r="V143" s="147">
        <v>-2269348.0</v>
      </c>
      <c r="W143" s="147">
        <v>-2339811.0</v>
      </c>
      <c r="X143" s="147">
        <v>-2389830.0</v>
      </c>
      <c r="Y143" s="157">
        <v>-2435849.248557511</v>
      </c>
      <c r="Z143" s="157">
        <v>-2512206.404831893</v>
      </c>
      <c r="AA143" s="157">
        <v>-2589475.5466712415</v>
      </c>
      <c r="AB143" s="157">
        <v>-2666607.7498612246</v>
      </c>
      <c r="AC143" s="157">
        <v>-2724169.354964305</v>
      </c>
      <c r="AD143" s="157">
        <v>-2782152.1778624123</v>
      </c>
      <c r="AE143" s="157">
        <v>-2864535.374473596</v>
      </c>
      <c r="AF143" s="157">
        <v>-2928140.3788911854</v>
      </c>
      <c r="AG143" s="157">
        <v>-2971337.0302871624</v>
      </c>
      <c r="AH143" s="157">
        <v>-2994441.463800379</v>
      </c>
      <c r="AI143" s="157">
        <v>-2997736.974001794</v>
      </c>
      <c r="AJ143" s="157">
        <v>-2981506.429059919</v>
      </c>
      <c r="AK143" s="157">
        <v>-2946033.301192567</v>
      </c>
      <c r="AL143" s="157">
        <v>-2891590.0725813974</v>
      </c>
      <c r="AM143" s="157">
        <v>-2818445.8963561743</v>
      </c>
      <c r="AN143" s="157">
        <v>-2724983.122196349</v>
      </c>
      <c r="AO143" s="157">
        <v>-2611490.4154735133</v>
      </c>
      <c r="AP143" s="157">
        <v>-2478251.512117103</v>
      </c>
      <c r="AQ143" s="157">
        <v>-2325544.860164398</v>
      </c>
      <c r="AR143" s="157">
        <v>-2153643.4781553056</v>
      </c>
      <c r="AS143" s="157">
        <v>-1962815.3730755332</v>
      </c>
      <c r="AT143" s="157">
        <v>-1751441.0288815978</v>
      </c>
      <c r="AU143" s="157">
        <v>-1519808.3507806007</v>
      </c>
      <c r="AV143" s="157">
        <v>-1268199.8601641667</v>
      </c>
      <c r="AW143" s="157">
        <v>-996892.7636902892</v>
      </c>
      <c r="AX143" s="157">
        <v>-706159.055109034</v>
      </c>
      <c r="AY143" s="157">
        <v>-394383.14764284634</v>
      </c>
    </row>
    <row r="144" ht="15.75" customHeight="1">
      <c r="A144" s="31" t="s">
        <v>244</v>
      </c>
      <c r="B144" s="159"/>
      <c r="C144" s="1"/>
      <c r="D144" s="76">
        <v>0.0</v>
      </c>
      <c r="E144" s="76">
        <v>0.0</v>
      </c>
      <c r="F144" s="76">
        <v>0.0</v>
      </c>
      <c r="G144" s="76">
        <v>0.0</v>
      </c>
      <c r="H144" s="76">
        <v>0.0</v>
      </c>
      <c r="I144" s="76">
        <v>0.0</v>
      </c>
      <c r="J144" s="76">
        <v>0.0</v>
      </c>
      <c r="K144" s="76">
        <v>0.0</v>
      </c>
      <c r="L144" s="76">
        <v>0.0</v>
      </c>
      <c r="M144" s="76">
        <v>0.0</v>
      </c>
      <c r="N144" s="76">
        <v>0.0</v>
      </c>
      <c r="O144" s="76">
        <v>0.0</v>
      </c>
      <c r="P144" s="76">
        <v>0.0</v>
      </c>
      <c r="Q144" s="76">
        <v>0.0</v>
      </c>
      <c r="R144" s="76">
        <v>0.0</v>
      </c>
      <c r="S144" s="76">
        <v>0.0</v>
      </c>
      <c r="T144" s="76">
        <v>0.0</v>
      </c>
      <c r="U144" s="76">
        <v>0.0</v>
      </c>
      <c r="V144" s="76">
        <v>0.0</v>
      </c>
      <c r="W144" s="76">
        <v>0.0</v>
      </c>
      <c r="X144" s="76">
        <v>0.0</v>
      </c>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row>
    <row r="145" ht="15.75" customHeight="1">
      <c r="A145" s="21" t="s">
        <v>366</v>
      </c>
      <c r="B145" s="163"/>
      <c r="C145" s="21"/>
      <c r="D145" s="147">
        <v>962267.0</v>
      </c>
      <c r="E145" s="147">
        <v>971917.0</v>
      </c>
      <c r="F145" s="147">
        <v>868961.0</v>
      </c>
      <c r="G145" s="147">
        <v>774366.0</v>
      </c>
      <c r="H145" s="147">
        <v>692301.0</v>
      </c>
      <c r="I145" s="147">
        <v>614169.0</v>
      </c>
      <c r="J145" s="147">
        <v>520124.0</v>
      </c>
      <c r="K145" s="147">
        <v>430358.0</v>
      </c>
      <c r="L145" s="147">
        <v>315913.0</v>
      </c>
      <c r="M145" s="147">
        <v>784032.0</v>
      </c>
      <c r="N145" s="147">
        <v>643435.0</v>
      </c>
      <c r="O145" s="147">
        <v>466241.0</v>
      </c>
      <c r="P145" s="147">
        <v>797231.0</v>
      </c>
      <c r="Q145" s="147">
        <v>616339.0</v>
      </c>
      <c r="R145" s="147">
        <v>441476.0</v>
      </c>
      <c r="S145" s="147">
        <v>322364.0</v>
      </c>
      <c r="T145" s="147">
        <v>480915.0</v>
      </c>
      <c r="U145" s="147">
        <v>369488.0</v>
      </c>
      <c r="V145" s="147">
        <v>278544.0</v>
      </c>
      <c r="W145" s="147">
        <v>208081.0</v>
      </c>
      <c r="X145" s="147">
        <v>158062.0</v>
      </c>
      <c r="Y145" s="147">
        <v>145042.7514424892</v>
      </c>
      <c r="Z145" s="147">
        <v>131685.5951681072</v>
      </c>
      <c r="AA145" s="147">
        <v>144416.45332875848</v>
      </c>
      <c r="AB145" s="147">
        <v>181284.25013877545</v>
      </c>
      <c r="AC145" s="147">
        <v>258722.64503569482</v>
      </c>
      <c r="AD145" s="147">
        <v>320739.8221375877</v>
      </c>
      <c r="AE145" s="147">
        <v>343356.625526404</v>
      </c>
      <c r="AF145" s="147">
        <v>369751.6211088146</v>
      </c>
      <c r="AG145" s="147">
        <v>412554.9697128376</v>
      </c>
      <c r="AH145" s="147">
        <v>459450.5361996209</v>
      </c>
      <c r="AI145" s="147">
        <v>510155.0259982059</v>
      </c>
      <c r="AJ145" s="147">
        <v>564385.570940081</v>
      </c>
      <c r="AK145" s="147">
        <v>657858.6988074328</v>
      </c>
      <c r="AL145" s="147">
        <v>790301.9274186026</v>
      </c>
      <c r="AM145" s="147">
        <v>961446.1036438257</v>
      </c>
      <c r="AN145" s="147">
        <v>1183908.8778036512</v>
      </c>
      <c r="AO145" s="147">
        <v>1445401.5845264867</v>
      </c>
      <c r="AP145" s="147">
        <v>1709640.4878828968</v>
      </c>
      <c r="AQ145" s="147">
        <v>1976347.1398356021</v>
      </c>
      <c r="AR145" s="147">
        <v>2245248.5218446944</v>
      </c>
      <c r="AS145" s="147">
        <v>2528076.626924467</v>
      </c>
      <c r="AT145" s="147">
        <v>2825450.971118402</v>
      </c>
      <c r="AU145" s="147">
        <v>3125083.6492193993</v>
      </c>
      <c r="AV145" s="147">
        <v>3426692.1398358336</v>
      </c>
      <c r="AW145" s="147">
        <v>3765999.236309711</v>
      </c>
      <c r="AX145" s="147">
        <v>4142732.944890966</v>
      </c>
      <c r="AY145" s="147">
        <v>4569508.852357154</v>
      </c>
    </row>
    <row r="146" ht="15.75" customHeight="1">
      <c r="A146" s="31" t="s">
        <v>244</v>
      </c>
      <c r="B146" s="159"/>
      <c r="C146" s="1"/>
      <c r="D146" s="76">
        <v>0.0</v>
      </c>
      <c r="E146" s="76">
        <v>0.0</v>
      </c>
      <c r="F146" s="76">
        <v>0.0</v>
      </c>
      <c r="G146" s="76">
        <v>0.0</v>
      </c>
      <c r="H146" s="76">
        <v>0.0</v>
      </c>
      <c r="I146" s="76">
        <v>0.0</v>
      </c>
      <c r="J146" s="76">
        <v>0.0</v>
      </c>
      <c r="K146" s="76">
        <v>0.0</v>
      </c>
      <c r="L146" s="76">
        <v>0.0</v>
      </c>
      <c r="M146" s="76">
        <v>0.0</v>
      </c>
      <c r="N146" s="76">
        <v>0.0</v>
      </c>
      <c r="O146" s="76">
        <v>0.0</v>
      </c>
      <c r="P146" s="76">
        <v>0.0</v>
      </c>
      <c r="Q146" s="76">
        <v>0.0</v>
      </c>
      <c r="R146" s="76">
        <v>0.0</v>
      </c>
      <c r="S146" s="76">
        <v>0.0</v>
      </c>
      <c r="T146" s="76">
        <v>0.0</v>
      </c>
      <c r="U146" s="76">
        <v>0.0</v>
      </c>
      <c r="V146" s="76">
        <v>0.0</v>
      </c>
      <c r="W146" s="76">
        <v>0.0</v>
      </c>
      <c r="X146" s="76">
        <v>0.0</v>
      </c>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row>
    <row r="147" ht="15.75" customHeight="1">
      <c r="A147" s="31" t="s">
        <v>367</v>
      </c>
      <c r="B147" s="159"/>
      <c r="C147" s="1"/>
      <c r="D147" s="76">
        <v>0.0</v>
      </c>
      <c r="E147" s="76">
        <v>0.0</v>
      </c>
      <c r="F147" s="76">
        <v>0.0</v>
      </c>
      <c r="G147" s="76">
        <v>0.0</v>
      </c>
      <c r="H147" s="76">
        <v>0.0</v>
      </c>
      <c r="I147" s="76">
        <v>0.0</v>
      </c>
      <c r="J147" s="76">
        <v>0.0</v>
      </c>
      <c r="K147" s="76">
        <v>0.0</v>
      </c>
      <c r="L147" s="76">
        <v>0.0</v>
      </c>
      <c r="M147" s="76">
        <v>0.0</v>
      </c>
      <c r="N147" s="76">
        <v>0.0</v>
      </c>
      <c r="O147" s="76">
        <v>0.0</v>
      </c>
      <c r="P147" s="76">
        <v>0.0</v>
      </c>
      <c r="Q147" s="76">
        <v>0.0</v>
      </c>
      <c r="R147" s="76">
        <v>0.0</v>
      </c>
      <c r="S147" s="76">
        <v>0.0</v>
      </c>
      <c r="T147" s="76">
        <v>0.0</v>
      </c>
      <c r="U147" s="76">
        <v>0.0</v>
      </c>
      <c r="V147" s="76">
        <v>0.0</v>
      </c>
      <c r="W147" s="76">
        <v>0.0</v>
      </c>
      <c r="X147" s="76">
        <v>0.0</v>
      </c>
      <c r="Y147" s="76">
        <v>0.0</v>
      </c>
      <c r="Z147" s="76">
        <v>0.0</v>
      </c>
      <c r="AA147" s="76">
        <v>0.0</v>
      </c>
      <c r="AB147" s="76">
        <v>0.0</v>
      </c>
      <c r="AC147" s="76">
        <v>0.0</v>
      </c>
      <c r="AD147" s="76">
        <v>0.0</v>
      </c>
      <c r="AE147" s="76">
        <v>0.0</v>
      </c>
      <c r="AF147" s="76">
        <v>0.0</v>
      </c>
      <c r="AG147" s="76">
        <v>0.0</v>
      </c>
      <c r="AH147" s="76">
        <v>0.0</v>
      </c>
      <c r="AI147" s="76">
        <v>0.0</v>
      </c>
      <c r="AJ147" s="76">
        <v>0.0</v>
      </c>
      <c r="AK147" s="76">
        <v>0.0</v>
      </c>
      <c r="AL147" s="76">
        <v>0.0</v>
      </c>
      <c r="AM147" s="76">
        <v>0.0</v>
      </c>
      <c r="AN147" s="76">
        <v>0.0</v>
      </c>
      <c r="AO147" s="76">
        <v>0.0</v>
      </c>
      <c r="AP147" s="76">
        <v>0.0</v>
      </c>
      <c r="AQ147" s="76">
        <v>0.0</v>
      </c>
      <c r="AR147" s="76">
        <v>0.0</v>
      </c>
      <c r="AS147" s="76">
        <v>0.0</v>
      </c>
      <c r="AT147" s="76">
        <v>0.0</v>
      </c>
      <c r="AU147" s="76">
        <v>0.0</v>
      </c>
      <c r="AV147" s="76">
        <v>0.0</v>
      </c>
      <c r="AW147" s="76">
        <v>0.0</v>
      </c>
      <c r="AX147" s="76">
        <v>0.0</v>
      </c>
      <c r="AY147" s="76">
        <v>0.0</v>
      </c>
    </row>
    <row r="148" ht="15.75" customHeight="1">
      <c r="A148" s="1"/>
      <c r="B148" s="159"/>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row>
    <row r="149" ht="15.75" customHeight="1">
      <c r="A149" s="7" t="s">
        <v>368</v>
      </c>
      <c r="B149" s="159"/>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row>
    <row r="150" ht="15.75" customHeight="1">
      <c r="A150" s="1" t="s">
        <v>369</v>
      </c>
      <c r="B150" s="159"/>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row>
    <row r="151" ht="15.75" customHeight="1">
      <c r="A151" s="1" t="s">
        <v>370</v>
      </c>
      <c r="B151" s="159"/>
      <c r="C151" s="1"/>
      <c r="D151" s="96">
        <v>-87851.0</v>
      </c>
      <c r="E151" s="96">
        <v>-88124.0</v>
      </c>
      <c r="F151" s="96">
        <v>-102956.0</v>
      </c>
      <c r="G151" s="96">
        <v>-94595.0</v>
      </c>
      <c r="H151" s="96">
        <v>-82065.0</v>
      </c>
      <c r="I151" s="96">
        <v>-78132.0</v>
      </c>
      <c r="J151" s="96">
        <v>-94045.0</v>
      </c>
      <c r="K151" s="96">
        <v>-89766.0</v>
      </c>
      <c r="L151" s="96">
        <v>-114445.0</v>
      </c>
      <c r="M151" s="96">
        <v>-131881.0</v>
      </c>
      <c r="N151" s="96">
        <v>-140597.0</v>
      </c>
      <c r="O151" s="96">
        <v>-177194.0</v>
      </c>
      <c r="P151" s="96">
        <v>-169010.0</v>
      </c>
      <c r="Q151" s="96">
        <v>-180892.0</v>
      </c>
      <c r="R151" s="96">
        <v>-174863.0</v>
      </c>
      <c r="S151" s="96">
        <v>-119112.0</v>
      </c>
      <c r="T151" s="96">
        <v>-141449.0</v>
      </c>
      <c r="U151" s="96">
        <v>-111427.0</v>
      </c>
      <c r="V151" s="96">
        <v>-90944.0</v>
      </c>
      <c r="W151" s="96">
        <v>-70463.0</v>
      </c>
      <c r="X151" s="96">
        <v>-50019.0</v>
      </c>
      <c r="Y151" s="96">
        <v>-46019.24855751067</v>
      </c>
      <c r="Z151" s="96">
        <v>-76357.15627438203</v>
      </c>
      <c r="AA151" s="96">
        <v>-77269.14183934848</v>
      </c>
      <c r="AB151" s="96">
        <v>-77132.20318998327</v>
      </c>
      <c r="AC151" s="96">
        <v>-57561.60510308051</v>
      </c>
      <c r="AD151" s="96">
        <v>-57982.82289810723</v>
      </c>
      <c r="AE151" s="96">
        <v>-82383.19661118358</v>
      </c>
      <c r="AF151" s="96">
        <v>-63605.00441758928</v>
      </c>
      <c r="AG151" s="96">
        <v>-43196.65139597724</v>
      </c>
      <c r="AH151" s="96">
        <v>-23104.433513216558</v>
      </c>
      <c r="AI151" s="96">
        <v>-3295.510201414814</v>
      </c>
      <c r="AJ151" s="96">
        <v>16230.544941874687</v>
      </c>
      <c r="AK151" s="96">
        <v>35473.127867351985</v>
      </c>
      <c r="AL151" s="96">
        <v>54443.22861117008</v>
      </c>
      <c r="AM151" s="96">
        <v>73144.176225223</v>
      </c>
      <c r="AN151" s="96">
        <v>93462.77415982552</v>
      </c>
      <c r="AO151" s="96">
        <v>113492.70672283554</v>
      </c>
      <c r="AP151" s="96">
        <v>133238.9033564101</v>
      </c>
      <c r="AQ151" s="96">
        <v>152706.65195270523</v>
      </c>
      <c r="AR151" s="96">
        <v>171901.3820090925</v>
      </c>
      <c r="AS151" s="96">
        <v>190828.10507977242</v>
      </c>
      <c r="AT151" s="96">
        <v>211374.3441939354</v>
      </c>
      <c r="AU151" s="96">
        <v>231632.67810099688</v>
      </c>
      <c r="AV151" s="96">
        <v>251608.49061643414</v>
      </c>
      <c r="AW151" s="96">
        <v>271307.09647387743</v>
      </c>
      <c r="AX151" s="96">
        <v>290733.7085812553</v>
      </c>
      <c r="AY151" s="96">
        <v>311775.9074661876</v>
      </c>
    </row>
    <row r="152" ht="15.75" customHeight="1">
      <c r="A152" s="1" t="s">
        <v>371</v>
      </c>
      <c r="B152" s="159"/>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row>
    <row r="153" ht="15.75" customHeight="1">
      <c r="A153" s="1" t="s">
        <v>332</v>
      </c>
      <c r="B153" s="159"/>
      <c r="C153" s="1"/>
      <c r="D153" s="96">
        <v>0.0</v>
      </c>
      <c r="E153" s="96">
        <v>0.0</v>
      </c>
      <c r="F153" s="96">
        <v>0.0</v>
      </c>
      <c r="G153" s="96">
        <v>0.0</v>
      </c>
      <c r="H153" s="96">
        <v>0.0</v>
      </c>
      <c r="I153" s="96">
        <v>0.0</v>
      </c>
      <c r="J153" s="96">
        <v>0.0</v>
      </c>
      <c r="K153" s="96">
        <v>0.0</v>
      </c>
      <c r="L153" s="96">
        <v>0.0</v>
      </c>
      <c r="M153" s="96">
        <v>0.0</v>
      </c>
      <c r="N153" s="96">
        <v>0.0</v>
      </c>
      <c r="O153" s="96">
        <v>0.0</v>
      </c>
      <c r="P153" s="96">
        <v>0.0</v>
      </c>
      <c r="Q153" s="96">
        <v>0.0</v>
      </c>
      <c r="R153" s="96">
        <v>0.0</v>
      </c>
      <c r="S153" s="96">
        <v>0.0</v>
      </c>
      <c r="T153" s="96">
        <v>0.0</v>
      </c>
      <c r="U153" s="96">
        <v>0.0</v>
      </c>
      <c r="V153" s="96">
        <v>0.0</v>
      </c>
      <c r="W153" s="96">
        <v>0.0</v>
      </c>
      <c r="X153" s="96">
        <v>0.0</v>
      </c>
      <c r="Y153" s="96">
        <v>0.0</v>
      </c>
      <c r="Z153" s="96">
        <v>0.0</v>
      </c>
      <c r="AA153" s="96">
        <v>0.0</v>
      </c>
      <c r="AB153" s="96">
        <v>0.0</v>
      </c>
      <c r="AC153" s="96">
        <v>0.0</v>
      </c>
      <c r="AD153" s="96">
        <v>0.0</v>
      </c>
      <c r="AE153" s="96">
        <v>0.0</v>
      </c>
      <c r="AF153" s="96">
        <v>0.0</v>
      </c>
      <c r="AG153" s="96">
        <v>0.0</v>
      </c>
      <c r="AH153" s="96">
        <v>0.0</v>
      </c>
      <c r="AI153" s="96">
        <v>0.0</v>
      </c>
      <c r="AJ153" s="96">
        <v>0.0</v>
      </c>
      <c r="AK153" s="96">
        <v>0.0</v>
      </c>
      <c r="AL153" s="96">
        <v>0.0</v>
      </c>
      <c r="AM153" s="96">
        <v>0.0</v>
      </c>
      <c r="AN153" s="96">
        <v>0.0</v>
      </c>
      <c r="AO153" s="96">
        <v>0.0</v>
      </c>
      <c r="AP153" s="96">
        <v>0.0</v>
      </c>
      <c r="AQ153" s="96">
        <v>0.0</v>
      </c>
      <c r="AR153" s="96">
        <v>0.0</v>
      </c>
      <c r="AS153" s="96">
        <v>0.0</v>
      </c>
      <c r="AT153" s="96">
        <v>0.0</v>
      </c>
      <c r="AU153" s="96">
        <v>0.0</v>
      </c>
      <c r="AV153" s="96">
        <v>0.0</v>
      </c>
      <c r="AW153" s="96">
        <v>0.0</v>
      </c>
      <c r="AX153" s="96">
        <v>0.0</v>
      </c>
      <c r="AY153" s="96">
        <v>0.0</v>
      </c>
    </row>
    <row r="154" ht="15.75" customHeight="1">
      <c r="A154" s="1" t="s">
        <v>336</v>
      </c>
      <c r="B154" s="159"/>
      <c r="C154" s="1"/>
      <c r="D154" s="96">
        <v>0.0</v>
      </c>
      <c r="E154" s="96">
        <v>0.0</v>
      </c>
      <c r="F154" s="96">
        <v>0.0</v>
      </c>
      <c r="G154" s="96">
        <v>0.0</v>
      </c>
      <c r="H154" s="96">
        <v>0.0</v>
      </c>
      <c r="I154" s="96">
        <v>0.0</v>
      </c>
      <c r="J154" s="96">
        <v>0.0</v>
      </c>
      <c r="K154" s="96">
        <v>0.0</v>
      </c>
      <c r="L154" s="96">
        <v>0.0</v>
      </c>
      <c r="M154" s="96">
        <v>0.0</v>
      </c>
      <c r="N154" s="96">
        <v>0.0</v>
      </c>
      <c r="O154" s="96">
        <v>0.0</v>
      </c>
      <c r="P154" s="96">
        <v>0.0</v>
      </c>
      <c r="Q154" s="96">
        <v>0.0</v>
      </c>
      <c r="R154" s="96">
        <v>0.0</v>
      </c>
      <c r="S154" s="96">
        <v>0.0</v>
      </c>
      <c r="T154" s="96">
        <v>0.0</v>
      </c>
      <c r="U154" s="96">
        <v>0.0</v>
      </c>
      <c r="V154" s="96">
        <v>0.0</v>
      </c>
      <c r="W154" s="96">
        <v>0.0</v>
      </c>
      <c r="X154" s="96">
        <v>0.0</v>
      </c>
      <c r="Y154" s="96">
        <v>0.0</v>
      </c>
      <c r="Z154" s="96">
        <v>0.0</v>
      </c>
      <c r="AA154" s="96">
        <v>0.0</v>
      </c>
      <c r="AB154" s="96">
        <v>0.0</v>
      </c>
      <c r="AC154" s="96">
        <v>0.0</v>
      </c>
      <c r="AD154" s="96">
        <v>0.0</v>
      </c>
      <c r="AE154" s="96">
        <v>0.0</v>
      </c>
      <c r="AF154" s="96">
        <v>0.0</v>
      </c>
      <c r="AG154" s="96">
        <v>0.0</v>
      </c>
      <c r="AH154" s="96">
        <v>0.0</v>
      </c>
      <c r="AI154" s="96">
        <v>0.0</v>
      </c>
      <c r="AJ154" s="96">
        <v>0.0</v>
      </c>
      <c r="AK154" s="96">
        <v>0.0</v>
      </c>
      <c r="AL154" s="96">
        <v>0.0</v>
      </c>
      <c r="AM154" s="96">
        <v>0.0</v>
      </c>
      <c r="AN154" s="96">
        <v>0.0</v>
      </c>
      <c r="AO154" s="96">
        <v>0.0</v>
      </c>
      <c r="AP154" s="96">
        <v>0.0</v>
      </c>
      <c r="AQ154" s="96">
        <v>0.0</v>
      </c>
      <c r="AR154" s="96">
        <v>0.0</v>
      </c>
      <c r="AS154" s="96">
        <v>0.0</v>
      </c>
      <c r="AT154" s="96">
        <v>0.0</v>
      </c>
      <c r="AU154" s="96">
        <v>0.0</v>
      </c>
      <c r="AV154" s="96">
        <v>0.0</v>
      </c>
      <c r="AW154" s="96">
        <v>0.0</v>
      </c>
      <c r="AX154" s="96">
        <v>0.0</v>
      </c>
      <c r="AY154" s="96">
        <v>0.0</v>
      </c>
    </row>
    <row r="155" ht="15.75" customHeight="1">
      <c r="A155" s="1" t="s">
        <v>372</v>
      </c>
      <c r="B155" s="159"/>
      <c r="C155" s="1"/>
      <c r="D155" s="96">
        <v>357.0</v>
      </c>
      <c r="E155" s="96">
        <v>-2113.0</v>
      </c>
      <c r="F155" s="96">
        <v>0.0</v>
      </c>
      <c r="G155" s="96">
        <v>0.0</v>
      </c>
      <c r="H155" s="96">
        <v>0.0</v>
      </c>
      <c r="I155" s="96">
        <v>0.0</v>
      </c>
      <c r="J155" s="96">
        <v>0.0</v>
      </c>
      <c r="K155" s="96">
        <v>0.0</v>
      </c>
      <c r="L155" s="96">
        <v>0.0</v>
      </c>
      <c r="M155" s="96">
        <v>0.0</v>
      </c>
      <c r="N155" s="96">
        <v>0.0</v>
      </c>
      <c r="O155" s="96">
        <v>0.0</v>
      </c>
      <c r="P155" s="96">
        <v>0.0</v>
      </c>
      <c r="Q155" s="96">
        <v>0.0</v>
      </c>
      <c r="R155" s="96">
        <v>0.0</v>
      </c>
      <c r="S155" s="96">
        <v>0.0</v>
      </c>
      <c r="T155" s="96">
        <v>0.0</v>
      </c>
      <c r="U155" s="96">
        <v>0.0</v>
      </c>
      <c r="V155" s="96">
        <v>0.0</v>
      </c>
      <c r="W155" s="96">
        <v>0.0</v>
      </c>
      <c r="X155" s="96">
        <v>0.0</v>
      </c>
      <c r="Y155" s="96">
        <v>0.0</v>
      </c>
      <c r="Z155" s="96">
        <v>0.0</v>
      </c>
      <c r="AA155" s="96">
        <v>0.0</v>
      </c>
      <c r="AB155" s="96">
        <v>0.0</v>
      </c>
      <c r="AC155" s="96">
        <v>0.0</v>
      </c>
      <c r="AD155" s="96">
        <v>0.0</v>
      </c>
      <c r="AE155" s="96">
        <v>0.0</v>
      </c>
      <c r="AF155" s="96">
        <v>0.0</v>
      </c>
      <c r="AG155" s="96">
        <v>0.0</v>
      </c>
      <c r="AH155" s="96">
        <v>0.0</v>
      </c>
      <c r="AI155" s="96">
        <v>0.0</v>
      </c>
      <c r="AJ155" s="96">
        <v>0.0</v>
      </c>
      <c r="AK155" s="96">
        <v>0.0</v>
      </c>
      <c r="AL155" s="96">
        <v>0.0</v>
      </c>
      <c r="AM155" s="96">
        <v>0.0</v>
      </c>
      <c r="AN155" s="96">
        <v>0.0</v>
      </c>
      <c r="AO155" s="96">
        <v>0.0</v>
      </c>
      <c r="AP155" s="96">
        <v>0.0</v>
      </c>
      <c r="AQ155" s="96">
        <v>0.0</v>
      </c>
      <c r="AR155" s="96">
        <v>0.0</v>
      </c>
      <c r="AS155" s="96">
        <v>0.0</v>
      </c>
      <c r="AT155" s="96">
        <v>0.0</v>
      </c>
      <c r="AU155" s="96">
        <v>0.0</v>
      </c>
      <c r="AV155" s="96">
        <v>0.0</v>
      </c>
      <c r="AW155" s="96">
        <v>0.0</v>
      </c>
      <c r="AX155" s="96">
        <v>0.0</v>
      </c>
      <c r="AY155" s="96">
        <v>0.0</v>
      </c>
    </row>
    <row r="156" ht="15.75" customHeight="1">
      <c r="A156" s="1" t="s">
        <v>373</v>
      </c>
      <c r="B156" s="159"/>
      <c r="C156" s="1"/>
      <c r="D156" s="96"/>
      <c r="E156" s="96"/>
      <c r="F156" s="96"/>
      <c r="G156" s="96"/>
      <c r="H156" s="96"/>
      <c r="I156" s="96"/>
      <c r="J156" s="96"/>
      <c r="K156" s="96"/>
      <c r="L156" s="96"/>
      <c r="M156" s="96"/>
      <c r="N156" s="96"/>
      <c r="O156" s="96"/>
      <c r="P156" s="96"/>
      <c r="Q156" s="96"/>
      <c r="R156" s="96"/>
      <c r="S156" s="96"/>
      <c r="T156" s="96"/>
      <c r="U156" s="96"/>
      <c r="V156" s="96"/>
      <c r="W156" s="96"/>
      <c r="X156" s="96"/>
      <c r="Y156" s="96">
        <v>33000.0</v>
      </c>
      <c r="Z156" s="96">
        <v>63000.0</v>
      </c>
      <c r="AA156" s="96">
        <v>90000.0</v>
      </c>
      <c r="AB156" s="96">
        <v>114000.0</v>
      </c>
      <c r="AC156" s="96">
        <v>135000.0</v>
      </c>
      <c r="AD156" s="96">
        <v>120000.0</v>
      </c>
      <c r="AE156" s="96">
        <v>105000.0</v>
      </c>
      <c r="AF156" s="96">
        <v>90000.0</v>
      </c>
      <c r="AG156" s="96">
        <v>86000.0</v>
      </c>
      <c r="AH156" s="96">
        <v>70000.0</v>
      </c>
      <c r="AI156" s="96">
        <v>54000.0</v>
      </c>
      <c r="AJ156" s="96">
        <v>38000.0</v>
      </c>
      <c r="AK156" s="96">
        <v>58000.0</v>
      </c>
      <c r="AL156" s="96">
        <v>78000.0</v>
      </c>
      <c r="AM156" s="96">
        <v>98000.0</v>
      </c>
      <c r="AN156" s="96">
        <v>129000.0</v>
      </c>
      <c r="AO156" s="96">
        <v>148000.0</v>
      </c>
      <c r="AP156" s="96">
        <v>131000.0</v>
      </c>
      <c r="AQ156" s="96">
        <v>114000.0</v>
      </c>
      <c r="AR156" s="96">
        <v>97000.0</v>
      </c>
      <c r="AS156" s="96">
        <v>92000.0</v>
      </c>
      <c r="AT156" s="96">
        <v>86000.0</v>
      </c>
      <c r="AU156" s="96">
        <v>68000.0</v>
      </c>
      <c r="AV156" s="96">
        <v>50000.0</v>
      </c>
      <c r="AW156" s="96">
        <v>68000.0</v>
      </c>
      <c r="AX156" s="96">
        <v>86000.0</v>
      </c>
      <c r="AY156" s="96">
        <v>115000.0</v>
      </c>
    </row>
    <row r="157" ht="15.75" customHeight="1">
      <c r="A157" s="1" t="s">
        <v>374</v>
      </c>
      <c r="B157" s="159"/>
      <c r="C157" s="1"/>
      <c r="D157" s="96">
        <v>-239.0</v>
      </c>
      <c r="E157" s="96">
        <v>-113.0</v>
      </c>
      <c r="F157" s="96">
        <v>0.0</v>
      </c>
      <c r="G157" s="96">
        <v>0.0</v>
      </c>
      <c r="H157" s="96">
        <v>0.0</v>
      </c>
      <c r="I157" s="96">
        <v>0.0</v>
      </c>
      <c r="J157" s="96">
        <v>0.0</v>
      </c>
      <c r="K157" s="96">
        <v>0.0</v>
      </c>
      <c r="L157" s="96">
        <v>0.0</v>
      </c>
      <c r="M157" s="96">
        <v>0.0</v>
      </c>
      <c r="N157" s="96">
        <v>0.0</v>
      </c>
      <c r="O157" s="96">
        <v>0.0</v>
      </c>
      <c r="P157" s="96">
        <v>0.0</v>
      </c>
      <c r="Q157" s="96">
        <v>0.0</v>
      </c>
      <c r="R157" s="96">
        <v>0.0</v>
      </c>
      <c r="S157" s="96">
        <v>0.0</v>
      </c>
      <c r="T157" s="96">
        <v>0.0</v>
      </c>
      <c r="U157" s="96">
        <v>0.0</v>
      </c>
      <c r="V157" s="96">
        <v>0.0</v>
      </c>
      <c r="W157" s="96">
        <v>0.0</v>
      </c>
      <c r="X157" s="96">
        <v>0.0</v>
      </c>
      <c r="Y157" s="96">
        <v>0.0</v>
      </c>
      <c r="Z157" s="96">
        <v>0.0</v>
      </c>
      <c r="AA157" s="96">
        <v>0.0</v>
      </c>
      <c r="AB157" s="96">
        <v>0.0</v>
      </c>
      <c r="AC157" s="96">
        <v>0.0</v>
      </c>
      <c r="AD157" s="96">
        <v>0.0</v>
      </c>
      <c r="AE157" s="96">
        <v>0.0</v>
      </c>
      <c r="AF157" s="96">
        <v>0.0</v>
      </c>
      <c r="AG157" s="96">
        <v>0.0</v>
      </c>
      <c r="AH157" s="96">
        <v>0.0</v>
      </c>
      <c r="AI157" s="96">
        <v>0.0</v>
      </c>
      <c r="AJ157" s="96">
        <v>0.0</v>
      </c>
      <c r="AK157" s="96">
        <v>0.0</v>
      </c>
      <c r="AL157" s="96">
        <v>0.0</v>
      </c>
      <c r="AM157" s="96">
        <v>0.0</v>
      </c>
      <c r="AN157" s="96">
        <v>0.0</v>
      </c>
      <c r="AO157" s="96">
        <v>0.0</v>
      </c>
      <c r="AP157" s="96">
        <v>0.0</v>
      </c>
      <c r="AQ157" s="96">
        <v>0.0</v>
      </c>
      <c r="AR157" s="96">
        <v>0.0</v>
      </c>
      <c r="AS157" s="96">
        <v>0.0</v>
      </c>
      <c r="AT157" s="96">
        <v>0.0</v>
      </c>
      <c r="AU157" s="96">
        <v>0.0</v>
      </c>
      <c r="AV157" s="96">
        <v>0.0</v>
      </c>
      <c r="AW157" s="96">
        <v>0.0</v>
      </c>
      <c r="AX157" s="96">
        <v>0.0</v>
      </c>
      <c r="AY157" s="96">
        <v>0.0</v>
      </c>
    </row>
    <row r="158" ht="15.75" customHeight="1">
      <c r="A158" s="21" t="s">
        <v>375</v>
      </c>
      <c r="B158" s="163"/>
      <c r="C158" s="21"/>
      <c r="D158" s="147">
        <v>118.0</v>
      </c>
      <c r="E158" s="147">
        <v>-2226.0</v>
      </c>
      <c r="F158" s="147">
        <v>0.0</v>
      </c>
      <c r="G158" s="147">
        <v>0.0</v>
      </c>
      <c r="H158" s="147">
        <v>0.0</v>
      </c>
      <c r="I158" s="147">
        <v>0.0</v>
      </c>
      <c r="J158" s="147">
        <v>0.0</v>
      </c>
      <c r="K158" s="147">
        <v>0.0</v>
      </c>
      <c r="L158" s="147">
        <v>0.0</v>
      </c>
      <c r="M158" s="147">
        <v>0.0</v>
      </c>
      <c r="N158" s="147">
        <v>0.0</v>
      </c>
      <c r="O158" s="147">
        <v>0.0</v>
      </c>
      <c r="P158" s="147">
        <v>0.0</v>
      </c>
      <c r="Q158" s="147">
        <v>0.0</v>
      </c>
      <c r="R158" s="147">
        <v>0.0</v>
      </c>
      <c r="S158" s="147">
        <v>0.0</v>
      </c>
      <c r="T158" s="147">
        <v>0.0</v>
      </c>
      <c r="U158" s="147">
        <v>0.0</v>
      </c>
      <c r="V158" s="147">
        <v>0.0</v>
      </c>
      <c r="W158" s="147">
        <v>0.0</v>
      </c>
      <c r="X158" s="147">
        <v>0.0</v>
      </c>
      <c r="Y158" s="147">
        <v>33000.0</v>
      </c>
      <c r="Z158" s="147">
        <v>63000.0</v>
      </c>
      <c r="AA158" s="147">
        <v>90000.0</v>
      </c>
      <c r="AB158" s="147">
        <v>114000.0</v>
      </c>
      <c r="AC158" s="147">
        <v>135000.0</v>
      </c>
      <c r="AD158" s="147">
        <v>120000.0</v>
      </c>
      <c r="AE158" s="147">
        <v>105000.0</v>
      </c>
      <c r="AF158" s="147">
        <v>90000.0</v>
      </c>
      <c r="AG158" s="147">
        <v>86000.0</v>
      </c>
      <c r="AH158" s="147">
        <v>70000.0</v>
      </c>
      <c r="AI158" s="147">
        <v>54000.0</v>
      </c>
      <c r="AJ158" s="147">
        <v>38000.0</v>
      </c>
      <c r="AK158" s="147">
        <v>58000.0</v>
      </c>
      <c r="AL158" s="147">
        <v>78000.0</v>
      </c>
      <c r="AM158" s="147">
        <v>98000.0</v>
      </c>
      <c r="AN158" s="147">
        <v>129000.0</v>
      </c>
      <c r="AO158" s="147">
        <v>148000.0</v>
      </c>
      <c r="AP158" s="147">
        <v>131000.0</v>
      </c>
      <c r="AQ158" s="147">
        <v>114000.0</v>
      </c>
      <c r="AR158" s="147">
        <v>97000.0</v>
      </c>
      <c r="AS158" s="147">
        <v>92000.0</v>
      </c>
      <c r="AT158" s="147">
        <v>86000.0</v>
      </c>
      <c r="AU158" s="147">
        <v>68000.0</v>
      </c>
      <c r="AV158" s="147">
        <v>50000.0</v>
      </c>
      <c r="AW158" s="147">
        <v>68000.0</v>
      </c>
      <c r="AX158" s="147">
        <v>86000.0</v>
      </c>
      <c r="AY158" s="147">
        <v>115000.0</v>
      </c>
    </row>
    <row r="159" ht="15.75" customHeight="1">
      <c r="A159" s="21" t="s">
        <v>376</v>
      </c>
      <c r="B159" s="163"/>
      <c r="C159" s="21"/>
      <c r="D159" s="147">
        <v>-87733.0</v>
      </c>
      <c r="E159" s="147">
        <v>-90350.0</v>
      </c>
      <c r="F159" s="147">
        <v>-102956.0</v>
      </c>
      <c r="G159" s="147">
        <v>-94595.0</v>
      </c>
      <c r="H159" s="147">
        <v>-82065.0</v>
      </c>
      <c r="I159" s="147">
        <v>-78132.0</v>
      </c>
      <c r="J159" s="147">
        <v>-94045.0</v>
      </c>
      <c r="K159" s="147">
        <v>-89766.0</v>
      </c>
      <c r="L159" s="147">
        <v>-114445.0</v>
      </c>
      <c r="M159" s="147">
        <v>-131881.0</v>
      </c>
      <c r="N159" s="147">
        <v>-140597.0</v>
      </c>
      <c r="O159" s="147">
        <v>-177194.0</v>
      </c>
      <c r="P159" s="147">
        <v>-169010.0</v>
      </c>
      <c r="Q159" s="147">
        <v>-180892.0</v>
      </c>
      <c r="R159" s="147">
        <v>-174863.0</v>
      </c>
      <c r="S159" s="147">
        <v>-119112.0</v>
      </c>
      <c r="T159" s="147">
        <v>-141449.0</v>
      </c>
      <c r="U159" s="147">
        <v>-111427.0</v>
      </c>
      <c r="V159" s="147">
        <v>-90944.0</v>
      </c>
      <c r="W159" s="147">
        <v>-70463.0</v>
      </c>
      <c r="X159" s="147">
        <v>-50019.0</v>
      </c>
      <c r="Y159" s="147">
        <v>-13019.24855751067</v>
      </c>
      <c r="Z159" s="147">
        <v>-13357.156274382025</v>
      </c>
      <c r="AA159" s="147">
        <v>12730.858160651522</v>
      </c>
      <c r="AB159" s="147">
        <v>36867.796810016735</v>
      </c>
      <c r="AC159" s="147">
        <v>77438.39489691949</v>
      </c>
      <c r="AD159" s="147">
        <v>62017.17710189277</v>
      </c>
      <c r="AE159" s="147">
        <v>22616.80338881642</v>
      </c>
      <c r="AF159" s="147">
        <v>26394.995582410716</v>
      </c>
      <c r="AG159" s="147">
        <v>42803.34860402276</v>
      </c>
      <c r="AH159" s="147">
        <v>46895.56648678344</v>
      </c>
      <c r="AI159" s="147">
        <v>50704.489798585186</v>
      </c>
      <c r="AJ159" s="147">
        <v>54230.54494187469</v>
      </c>
      <c r="AK159" s="147">
        <v>93473.12786735198</v>
      </c>
      <c r="AL159" s="147">
        <v>132443.22861117008</v>
      </c>
      <c r="AM159" s="147">
        <v>171144.176225223</v>
      </c>
      <c r="AN159" s="147">
        <v>222462.77415982552</v>
      </c>
      <c r="AO159" s="147">
        <v>261492.70672283554</v>
      </c>
      <c r="AP159" s="147">
        <v>264238.9033564101</v>
      </c>
      <c r="AQ159" s="147">
        <v>266706.65195270523</v>
      </c>
      <c r="AR159" s="147">
        <v>268901.3820090925</v>
      </c>
      <c r="AS159" s="147">
        <v>282828.1050797724</v>
      </c>
      <c r="AT159" s="147">
        <v>297374.3441939354</v>
      </c>
      <c r="AU159" s="147">
        <v>299632.6781009969</v>
      </c>
      <c r="AV159" s="147">
        <v>301608.49061643414</v>
      </c>
      <c r="AW159" s="147">
        <v>339307.09647387743</v>
      </c>
      <c r="AX159" s="147">
        <v>376733.7085812553</v>
      </c>
      <c r="AY159" s="147">
        <v>426775.9074661876</v>
      </c>
    </row>
    <row r="160" ht="15.75" customHeight="1">
      <c r="A160" s="31" t="s">
        <v>244</v>
      </c>
      <c r="B160" s="159"/>
      <c r="C160" s="1"/>
      <c r="D160" s="76">
        <v>0.0</v>
      </c>
      <c r="E160" s="76">
        <v>0.0</v>
      </c>
      <c r="F160" s="76">
        <v>0.0</v>
      </c>
      <c r="G160" s="76">
        <v>0.0</v>
      </c>
      <c r="H160" s="76">
        <v>0.0</v>
      </c>
      <c r="I160" s="76">
        <v>0.0</v>
      </c>
      <c r="J160" s="76">
        <v>0.0</v>
      </c>
      <c r="K160" s="76">
        <v>0.0</v>
      </c>
      <c r="L160" s="76">
        <v>0.0</v>
      </c>
      <c r="M160" s="76">
        <v>0.0</v>
      </c>
      <c r="N160" s="76">
        <v>0.0</v>
      </c>
      <c r="O160" s="76">
        <v>0.0</v>
      </c>
      <c r="P160" s="76">
        <v>0.0</v>
      </c>
      <c r="Q160" s="76">
        <v>0.0</v>
      </c>
      <c r="R160" s="76">
        <v>0.0</v>
      </c>
      <c r="S160" s="76">
        <v>0.0</v>
      </c>
      <c r="T160" s="76">
        <v>0.0</v>
      </c>
      <c r="U160" s="76">
        <v>0.0</v>
      </c>
      <c r="V160" s="76">
        <v>0.0</v>
      </c>
      <c r="W160" s="76">
        <v>0.0</v>
      </c>
      <c r="X160" s="76">
        <v>0.0</v>
      </c>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row>
    <row r="161" ht="15.75" customHeight="1">
      <c r="A161" s="1" t="s">
        <v>377</v>
      </c>
      <c r="B161" s="159"/>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row>
    <row r="162" ht="15.75" customHeight="1">
      <c r="A162" s="1" t="s">
        <v>378</v>
      </c>
      <c r="B162" s="159"/>
      <c r="C162" s="1"/>
      <c r="D162" s="96">
        <v>0.0</v>
      </c>
      <c r="E162" s="96">
        <v>0.0</v>
      </c>
      <c r="F162" s="96">
        <v>0.0</v>
      </c>
      <c r="G162" s="96">
        <v>0.0</v>
      </c>
      <c r="H162" s="96">
        <v>0.0</v>
      </c>
      <c r="I162" s="96">
        <v>0.0</v>
      </c>
      <c r="J162" s="96">
        <v>0.0</v>
      </c>
      <c r="K162" s="96">
        <v>0.0</v>
      </c>
      <c r="L162" s="96">
        <v>0.0</v>
      </c>
      <c r="M162" s="96">
        <v>0.0</v>
      </c>
      <c r="N162" s="96">
        <v>0.0</v>
      </c>
      <c r="O162" s="96">
        <v>0.0</v>
      </c>
      <c r="P162" s="96">
        <v>0.0</v>
      </c>
      <c r="Q162" s="96">
        <v>0.0</v>
      </c>
      <c r="R162" s="96">
        <v>0.0</v>
      </c>
      <c r="S162" s="96">
        <v>0.0</v>
      </c>
      <c r="T162" s="96">
        <v>0.0</v>
      </c>
      <c r="U162" s="96">
        <v>0.0</v>
      </c>
      <c r="V162" s="96">
        <v>0.0</v>
      </c>
      <c r="W162" s="96">
        <v>0.0</v>
      </c>
      <c r="X162" s="96">
        <v>0.0</v>
      </c>
      <c r="Y162" s="96">
        <v>0.0</v>
      </c>
      <c r="Z162" s="96">
        <v>0.0</v>
      </c>
      <c r="AA162" s="96">
        <v>0.0</v>
      </c>
      <c r="AB162" s="96">
        <v>0.0</v>
      </c>
      <c r="AC162" s="96">
        <v>0.0</v>
      </c>
      <c r="AD162" s="96">
        <v>0.0</v>
      </c>
      <c r="AE162" s="96">
        <v>0.0</v>
      </c>
      <c r="AF162" s="96">
        <v>0.0</v>
      </c>
      <c r="AG162" s="96">
        <v>0.0</v>
      </c>
      <c r="AH162" s="96">
        <v>0.0</v>
      </c>
      <c r="AI162" s="96">
        <v>0.0</v>
      </c>
      <c r="AJ162" s="96">
        <v>0.0</v>
      </c>
      <c r="AK162" s="96">
        <v>0.0</v>
      </c>
      <c r="AL162" s="96">
        <v>0.0</v>
      </c>
      <c r="AM162" s="96">
        <v>0.0</v>
      </c>
      <c r="AN162" s="96">
        <v>0.0</v>
      </c>
      <c r="AO162" s="96">
        <v>0.0</v>
      </c>
      <c r="AP162" s="96">
        <v>0.0</v>
      </c>
      <c r="AQ162" s="96">
        <v>0.0</v>
      </c>
      <c r="AR162" s="96">
        <v>0.0</v>
      </c>
      <c r="AS162" s="96">
        <v>0.0</v>
      </c>
      <c r="AT162" s="96">
        <v>0.0</v>
      </c>
      <c r="AU162" s="96">
        <v>0.0</v>
      </c>
      <c r="AV162" s="96">
        <v>0.0</v>
      </c>
      <c r="AW162" s="96">
        <v>0.0</v>
      </c>
      <c r="AX162" s="96">
        <v>0.0</v>
      </c>
      <c r="AY162" s="96">
        <v>0.0</v>
      </c>
    </row>
    <row r="163" ht="15.75" customHeight="1">
      <c r="A163" s="1" t="s">
        <v>379</v>
      </c>
      <c r="B163" s="159"/>
      <c r="C163" s="1"/>
      <c r="D163" s="96">
        <v>0.0</v>
      </c>
      <c r="E163" s="96">
        <v>0.0</v>
      </c>
      <c r="F163" s="96">
        <v>0.0</v>
      </c>
      <c r="G163" s="96">
        <v>0.0</v>
      </c>
      <c r="H163" s="96">
        <v>0.0</v>
      </c>
      <c r="I163" s="96">
        <v>0.0</v>
      </c>
      <c r="J163" s="96">
        <v>0.0</v>
      </c>
      <c r="K163" s="96">
        <v>0.0</v>
      </c>
      <c r="L163" s="96">
        <v>0.0</v>
      </c>
      <c r="M163" s="96">
        <v>0.0</v>
      </c>
      <c r="N163" s="96">
        <v>0.0</v>
      </c>
      <c r="O163" s="96">
        <v>0.0</v>
      </c>
      <c r="P163" s="96">
        <v>0.0</v>
      </c>
      <c r="Q163" s="96">
        <v>0.0</v>
      </c>
      <c r="R163" s="96">
        <v>0.0</v>
      </c>
      <c r="S163" s="96">
        <v>0.0</v>
      </c>
      <c r="T163" s="96">
        <v>0.0</v>
      </c>
      <c r="U163" s="96">
        <v>0.0</v>
      </c>
      <c r="V163" s="96">
        <v>0.0</v>
      </c>
      <c r="W163" s="96">
        <v>0.0</v>
      </c>
      <c r="X163" s="96">
        <v>0.0</v>
      </c>
      <c r="Y163" s="96">
        <v>0.0</v>
      </c>
      <c r="Z163" s="96">
        <v>0.0</v>
      </c>
      <c r="AA163" s="96">
        <v>0.0</v>
      </c>
      <c r="AB163" s="96">
        <v>0.0</v>
      </c>
      <c r="AC163" s="96">
        <v>0.0</v>
      </c>
      <c r="AD163" s="96">
        <v>-100000.0</v>
      </c>
      <c r="AE163" s="96">
        <v>0.0</v>
      </c>
      <c r="AF163" s="96">
        <v>0.0</v>
      </c>
      <c r="AG163" s="96">
        <v>0.0</v>
      </c>
      <c r="AH163" s="96">
        <v>0.0</v>
      </c>
      <c r="AI163" s="96">
        <v>0.0</v>
      </c>
      <c r="AJ163" s="96">
        <v>0.0</v>
      </c>
      <c r="AK163" s="96">
        <v>0.0</v>
      </c>
      <c r="AL163" s="96">
        <v>0.0</v>
      </c>
      <c r="AM163" s="96">
        <v>0.0</v>
      </c>
      <c r="AN163" s="96">
        <v>0.0</v>
      </c>
      <c r="AO163" s="96">
        <v>0.0</v>
      </c>
      <c r="AP163" s="96">
        <v>0.0</v>
      </c>
      <c r="AQ163" s="96">
        <v>0.0</v>
      </c>
      <c r="AR163" s="96">
        <v>0.0</v>
      </c>
      <c r="AS163" s="96">
        <v>0.0</v>
      </c>
      <c r="AT163" s="96">
        <v>0.0</v>
      </c>
      <c r="AU163" s="96">
        <v>0.0</v>
      </c>
      <c r="AV163" s="96">
        <v>0.0</v>
      </c>
      <c r="AW163" s="96">
        <v>0.0</v>
      </c>
      <c r="AX163" s="96">
        <v>0.0</v>
      </c>
      <c r="AY163" s="96">
        <v>0.0</v>
      </c>
    </row>
    <row r="164" ht="15.75" customHeight="1">
      <c r="A164" s="1" t="s">
        <v>380</v>
      </c>
      <c r="B164" s="159"/>
      <c r="C164" s="1"/>
      <c r="D164" s="96">
        <v>0.0</v>
      </c>
      <c r="E164" s="96">
        <v>0.0</v>
      </c>
      <c r="F164" s="96">
        <v>0.0</v>
      </c>
      <c r="G164" s="96">
        <v>0.0</v>
      </c>
      <c r="H164" s="96">
        <v>0.0</v>
      </c>
      <c r="I164" s="96">
        <v>0.0</v>
      </c>
      <c r="J164" s="96">
        <v>0.0</v>
      </c>
      <c r="K164" s="96">
        <v>0.0</v>
      </c>
      <c r="L164" s="96">
        <v>0.0</v>
      </c>
      <c r="M164" s="96">
        <v>0.0</v>
      </c>
      <c r="N164" s="96">
        <v>0.0</v>
      </c>
      <c r="O164" s="96">
        <v>0.0</v>
      </c>
      <c r="P164" s="96">
        <v>0.0</v>
      </c>
      <c r="Q164" s="96">
        <v>0.0</v>
      </c>
      <c r="R164" s="96">
        <v>0.0</v>
      </c>
      <c r="S164" s="96">
        <v>0.0</v>
      </c>
      <c r="T164" s="96">
        <v>0.0</v>
      </c>
      <c r="U164" s="96">
        <v>0.0</v>
      </c>
      <c r="V164" s="96">
        <v>0.0</v>
      </c>
      <c r="W164" s="96">
        <v>0.0</v>
      </c>
      <c r="X164" s="96">
        <v>0.0</v>
      </c>
      <c r="Y164" s="96">
        <v>0.0</v>
      </c>
      <c r="Z164" s="96">
        <v>0.0</v>
      </c>
      <c r="AA164" s="96">
        <v>0.0</v>
      </c>
      <c r="AB164" s="96">
        <v>0.0</v>
      </c>
      <c r="AC164" s="96">
        <v>0.0</v>
      </c>
      <c r="AD164" s="96">
        <v>0.0</v>
      </c>
      <c r="AE164" s="96">
        <v>0.0</v>
      </c>
      <c r="AF164" s="96">
        <v>0.0</v>
      </c>
      <c r="AG164" s="96">
        <v>0.0</v>
      </c>
      <c r="AH164" s="96">
        <v>0.0</v>
      </c>
      <c r="AI164" s="96">
        <v>0.0</v>
      </c>
      <c r="AJ164" s="96">
        <v>0.0</v>
      </c>
      <c r="AK164" s="96">
        <v>0.0</v>
      </c>
      <c r="AL164" s="96">
        <v>0.0</v>
      </c>
      <c r="AM164" s="96">
        <v>0.0</v>
      </c>
      <c r="AN164" s="96">
        <v>0.0</v>
      </c>
      <c r="AO164" s="96">
        <v>0.0</v>
      </c>
      <c r="AP164" s="96">
        <v>0.0</v>
      </c>
      <c r="AQ164" s="96">
        <v>0.0</v>
      </c>
      <c r="AR164" s="96">
        <v>0.0</v>
      </c>
      <c r="AS164" s="96">
        <v>0.0</v>
      </c>
      <c r="AT164" s="96">
        <v>0.0</v>
      </c>
      <c r="AU164" s="96">
        <v>0.0</v>
      </c>
      <c r="AV164" s="96">
        <v>0.0</v>
      </c>
      <c r="AW164" s="96">
        <v>0.0</v>
      </c>
      <c r="AX164" s="96">
        <v>0.0</v>
      </c>
      <c r="AY164" s="96">
        <v>0.0</v>
      </c>
    </row>
    <row r="165" ht="15.75" customHeight="1">
      <c r="A165" s="21" t="s">
        <v>381</v>
      </c>
      <c r="B165" s="163"/>
      <c r="C165" s="21"/>
      <c r="D165" s="147">
        <v>0.0</v>
      </c>
      <c r="E165" s="147">
        <v>0.0</v>
      </c>
      <c r="F165" s="147">
        <v>0.0</v>
      </c>
      <c r="G165" s="147">
        <v>0.0</v>
      </c>
      <c r="H165" s="147">
        <v>0.0</v>
      </c>
      <c r="I165" s="147">
        <v>0.0</v>
      </c>
      <c r="J165" s="147">
        <v>0.0</v>
      </c>
      <c r="K165" s="147">
        <v>0.0</v>
      </c>
      <c r="L165" s="147">
        <v>0.0</v>
      </c>
      <c r="M165" s="147">
        <v>0.0</v>
      </c>
      <c r="N165" s="147">
        <v>0.0</v>
      </c>
      <c r="O165" s="147">
        <v>0.0</v>
      </c>
      <c r="P165" s="147">
        <v>0.0</v>
      </c>
      <c r="Q165" s="147">
        <v>0.0</v>
      </c>
      <c r="R165" s="147">
        <v>0.0</v>
      </c>
      <c r="S165" s="147">
        <v>0.0</v>
      </c>
      <c r="T165" s="147">
        <v>0.0</v>
      </c>
      <c r="U165" s="147">
        <v>0.0</v>
      </c>
      <c r="V165" s="147">
        <v>0.0</v>
      </c>
      <c r="W165" s="147">
        <v>0.0</v>
      </c>
      <c r="X165" s="147">
        <v>0.0</v>
      </c>
      <c r="Y165" s="147">
        <v>0.0</v>
      </c>
      <c r="Z165" s="147">
        <v>0.0</v>
      </c>
      <c r="AA165" s="147">
        <v>0.0</v>
      </c>
      <c r="AB165" s="147">
        <v>0.0</v>
      </c>
      <c r="AC165" s="147">
        <v>0.0</v>
      </c>
      <c r="AD165" s="147">
        <v>-100000.0</v>
      </c>
      <c r="AE165" s="147">
        <v>0.0</v>
      </c>
      <c r="AF165" s="147">
        <v>0.0</v>
      </c>
      <c r="AG165" s="147">
        <v>0.0</v>
      </c>
      <c r="AH165" s="147">
        <v>0.0</v>
      </c>
      <c r="AI165" s="147">
        <v>0.0</v>
      </c>
      <c r="AJ165" s="147">
        <v>0.0</v>
      </c>
      <c r="AK165" s="147">
        <v>0.0</v>
      </c>
      <c r="AL165" s="147">
        <v>0.0</v>
      </c>
      <c r="AM165" s="147">
        <v>0.0</v>
      </c>
      <c r="AN165" s="147">
        <v>0.0</v>
      </c>
      <c r="AO165" s="147">
        <v>0.0</v>
      </c>
      <c r="AP165" s="147">
        <v>0.0</v>
      </c>
      <c r="AQ165" s="147">
        <v>0.0</v>
      </c>
      <c r="AR165" s="147">
        <v>0.0</v>
      </c>
      <c r="AS165" s="147">
        <v>0.0</v>
      </c>
      <c r="AT165" s="147">
        <v>0.0</v>
      </c>
      <c r="AU165" s="147">
        <v>0.0</v>
      </c>
      <c r="AV165" s="147">
        <v>0.0</v>
      </c>
      <c r="AW165" s="147">
        <v>0.0</v>
      </c>
      <c r="AX165" s="147">
        <v>0.0</v>
      </c>
      <c r="AY165" s="147">
        <v>0.0</v>
      </c>
    </row>
    <row r="166" ht="15.75" customHeight="1">
      <c r="A166" s="31" t="s">
        <v>244</v>
      </c>
      <c r="B166" s="159"/>
      <c r="C166" s="1"/>
      <c r="D166" s="76">
        <v>0.0</v>
      </c>
      <c r="E166" s="76">
        <v>0.0</v>
      </c>
      <c r="F166" s="76">
        <v>0.0</v>
      </c>
      <c r="G166" s="76">
        <v>0.0</v>
      </c>
      <c r="H166" s="76">
        <v>0.0</v>
      </c>
      <c r="I166" s="76">
        <v>0.0</v>
      </c>
      <c r="J166" s="76">
        <v>0.0</v>
      </c>
      <c r="K166" s="76">
        <v>0.0</v>
      </c>
      <c r="L166" s="76">
        <v>0.0</v>
      </c>
      <c r="M166" s="76">
        <v>0.0</v>
      </c>
      <c r="N166" s="76">
        <v>0.0</v>
      </c>
      <c r="O166" s="76">
        <v>0.0</v>
      </c>
      <c r="P166" s="76">
        <v>0.0</v>
      </c>
      <c r="Q166" s="76">
        <v>0.0</v>
      </c>
      <c r="R166" s="76">
        <v>0.0</v>
      </c>
      <c r="S166" s="76">
        <v>0.0</v>
      </c>
      <c r="T166" s="76">
        <v>0.0</v>
      </c>
      <c r="U166" s="76">
        <v>0.0</v>
      </c>
      <c r="V166" s="76">
        <v>0.0</v>
      </c>
      <c r="W166" s="76">
        <v>0.0</v>
      </c>
      <c r="X166" s="76">
        <v>0.0</v>
      </c>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row>
    <row r="167" ht="15.75" customHeight="1">
      <c r="A167" s="1" t="s">
        <v>382</v>
      </c>
      <c r="B167" s="159"/>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row>
    <row r="168" ht="15.75" customHeight="1">
      <c r="A168" s="1" t="s">
        <v>383</v>
      </c>
      <c r="B168" s="159"/>
      <c r="C168" s="1"/>
      <c r="D168" s="96">
        <v>550000.0</v>
      </c>
      <c r="E168" s="96">
        <v>100000.0</v>
      </c>
      <c r="F168" s="96">
        <v>0.0</v>
      </c>
      <c r="G168" s="96">
        <v>0.0</v>
      </c>
      <c r="H168" s="96">
        <v>0.0</v>
      </c>
      <c r="I168" s="96">
        <v>0.0</v>
      </c>
      <c r="J168" s="96">
        <v>0.0</v>
      </c>
      <c r="K168" s="96">
        <v>0.0</v>
      </c>
      <c r="L168" s="96">
        <v>0.0</v>
      </c>
      <c r="M168" s="96">
        <v>600000.0</v>
      </c>
      <c r="N168" s="96">
        <v>0.0</v>
      </c>
      <c r="O168" s="96">
        <v>0.0</v>
      </c>
      <c r="P168" s="96">
        <v>500000.0</v>
      </c>
      <c r="Q168" s="96">
        <v>0.0</v>
      </c>
      <c r="R168" s="96">
        <v>0.0</v>
      </c>
      <c r="S168" s="96">
        <v>0.0</v>
      </c>
      <c r="T168" s="96">
        <v>300000.0</v>
      </c>
      <c r="U168" s="96">
        <v>0.0</v>
      </c>
      <c r="V168" s="96">
        <v>0.0</v>
      </c>
      <c r="W168" s="96">
        <v>0.0</v>
      </c>
      <c r="X168" s="96">
        <v>0.0</v>
      </c>
      <c r="Y168" s="96">
        <v>0.0</v>
      </c>
      <c r="Z168" s="96">
        <v>0.0</v>
      </c>
      <c r="AA168" s="96">
        <v>0.0</v>
      </c>
      <c r="AB168" s="96">
        <v>0.0</v>
      </c>
      <c r="AC168" s="96">
        <v>0.0</v>
      </c>
      <c r="AD168" s="96">
        <v>0.0</v>
      </c>
      <c r="AE168" s="96">
        <v>0.0</v>
      </c>
      <c r="AF168" s="96">
        <v>0.0</v>
      </c>
      <c r="AG168" s="96">
        <v>0.0</v>
      </c>
      <c r="AH168" s="96">
        <v>0.0</v>
      </c>
      <c r="AI168" s="96">
        <v>0.0</v>
      </c>
      <c r="AJ168" s="96">
        <v>0.0</v>
      </c>
      <c r="AK168" s="96">
        <v>0.0</v>
      </c>
      <c r="AL168" s="96">
        <v>0.0</v>
      </c>
      <c r="AM168" s="96">
        <v>0.0</v>
      </c>
      <c r="AN168" s="96">
        <v>0.0</v>
      </c>
      <c r="AO168" s="96">
        <v>0.0</v>
      </c>
      <c r="AP168" s="96">
        <v>0.0</v>
      </c>
      <c r="AQ168" s="96">
        <v>0.0</v>
      </c>
      <c r="AR168" s="96">
        <v>0.0</v>
      </c>
      <c r="AS168" s="96">
        <v>0.0</v>
      </c>
      <c r="AT168" s="96">
        <v>0.0</v>
      </c>
      <c r="AU168" s="96">
        <v>0.0</v>
      </c>
      <c r="AV168" s="96">
        <v>0.0</v>
      </c>
      <c r="AW168" s="96">
        <v>0.0</v>
      </c>
      <c r="AX168" s="96">
        <v>0.0</v>
      </c>
      <c r="AY168" s="96">
        <v>0.0</v>
      </c>
    </row>
    <row r="169" ht="15.75" customHeight="1">
      <c r="A169" s="1" t="s">
        <v>384</v>
      </c>
      <c r="B169" s="159"/>
      <c r="C169" s="1"/>
      <c r="D169" s="96">
        <v>500000.0</v>
      </c>
      <c r="E169" s="96">
        <v>0.0</v>
      </c>
      <c r="F169" s="96">
        <v>0.0</v>
      </c>
      <c r="G169" s="96">
        <v>0.0</v>
      </c>
      <c r="H169" s="96">
        <v>0.0</v>
      </c>
      <c r="I169" s="96">
        <v>0.0</v>
      </c>
      <c r="J169" s="96">
        <v>0.0</v>
      </c>
      <c r="K169" s="96">
        <v>0.0</v>
      </c>
      <c r="L169" s="96">
        <v>0.0</v>
      </c>
      <c r="M169" s="96">
        <v>0.0</v>
      </c>
      <c r="N169" s="96">
        <v>0.0</v>
      </c>
      <c r="O169" s="96">
        <v>0.0</v>
      </c>
      <c r="P169" s="96">
        <v>0.0</v>
      </c>
      <c r="Q169" s="96">
        <v>0.0</v>
      </c>
      <c r="R169" s="96">
        <v>0.0</v>
      </c>
      <c r="S169" s="96">
        <v>0.0</v>
      </c>
      <c r="T169" s="96">
        <v>0.0</v>
      </c>
      <c r="U169" s="96">
        <v>0.0</v>
      </c>
      <c r="V169" s="96">
        <v>0.0</v>
      </c>
      <c r="W169" s="96">
        <v>0.0</v>
      </c>
      <c r="X169" s="96">
        <v>0.0</v>
      </c>
      <c r="Y169" s="96">
        <v>0.0</v>
      </c>
      <c r="Z169" s="96">
        <v>0.0</v>
      </c>
      <c r="AA169" s="96">
        <v>0.0</v>
      </c>
      <c r="AB169" s="96">
        <v>0.0</v>
      </c>
      <c r="AC169" s="96">
        <v>0.0</v>
      </c>
      <c r="AD169" s="96">
        <v>0.0</v>
      </c>
      <c r="AE169" s="96">
        <v>0.0</v>
      </c>
      <c r="AF169" s="96">
        <v>0.0</v>
      </c>
      <c r="AG169" s="96">
        <v>0.0</v>
      </c>
      <c r="AH169" s="96">
        <v>0.0</v>
      </c>
      <c r="AI169" s="96">
        <v>0.0</v>
      </c>
      <c r="AJ169" s="96">
        <v>0.0</v>
      </c>
      <c r="AK169" s="96">
        <v>0.0</v>
      </c>
      <c r="AL169" s="96">
        <v>0.0</v>
      </c>
      <c r="AM169" s="96">
        <v>0.0</v>
      </c>
      <c r="AN169" s="96">
        <v>0.0</v>
      </c>
      <c r="AO169" s="96">
        <v>0.0</v>
      </c>
      <c r="AP169" s="96">
        <v>0.0</v>
      </c>
      <c r="AQ169" s="96">
        <v>0.0</v>
      </c>
      <c r="AR169" s="96">
        <v>0.0</v>
      </c>
      <c r="AS169" s="96">
        <v>0.0</v>
      </c>
      <c r="AT169" s="96">
        <v>0.0</v>
      </c>
      <c r="AU169" s="96">
        <v>0.0</v>
      </c>
      <c r="AV169" s="96">
        <v>0.0</v>
      </c>
      <c r="AW169" s="96">
        <v>0.0</v>
      </c>
      <c r="AX169" s="96">
        <v>0.0</v>
      </c>
      <c r="AY169" s="96">
        <v>0.0</v>
      </c>
    </row>
    <row r="170" ht="15.75" customHeight="1">
      <c r="A170" s="1" t="s">
        <v>385</v>
      </c>
      <c r="B170" s="159"/>
      <c r="C170" s="1"/>
      <c r="D170" s="96">
        <v>0.0</v>
      </c>
      <c r="E170" s="96">
        <v>0.0</v>
      </c>
      <c r="F170" s="96">
        <v>0.0</v>
      </c>
      <c r="G170" s="96">
        <v>0.0</v>
      </c>
      <c r="H170" s="96">
        <v>0.0</v>
      </c>
      <c r="I170" s="96">
        <v>0.0</v>
      </c>
      <c r="J170" s="96">
        <v>0.0</v>
      </c>
      <c r="K170" s="96">
        <v>0.0</v>
      </c>
      <c r="L170" s="96">
        <v>0.0</v>
      </c>
      <c r="M170" s="96">
        <v>0.0</v>
      </c>
      <c r="N170" s="96">
        <v>0.0</v>
      </c>
      <c r="O170" s="96">
        <v>0.0</v>
      </c>
      <c r="P170" s="96">
        <v>0.0</v>
      </c>
      <c r="Q170" s="96">
        <v>0.0</v>
      </c>
      <c r="R170" s="96">
        <v>0.0</v>
      </c>
      <c r="S170" s="96">
        <v>0.0</v>
      </c>
      <c r="T170" s="96">
        <v>0.0</v>
      </c>
      <c r="U170" s="96">
        <v>0.0</v>
      </c>
      <c r="V170" s="96">
        <v>0.0</v>
      </c>
      <c r="W170" s="96">
        <v>0.0</v>
      </c>
      <c r="X170" s="96">
        <v>0.0</v>
      </c>
      <c r="Y170" s="96">
        <v>0.0</v>
      </c>
      <c r="Z170" s="96">
        <v>0.0</v>
      </c>
      <c r="AA170" s="96">
        <v>0.0</v>
      </c>
      <c r="AB170" s="96">
        <v>0.0</v>
      </c>
      <c r="AC170" s="96">
        <v>0.0</v>
      </c>
      <c r="AD170" s="96">
        <v>0.0</v>
      </c>
      <c r="AE170" s="96">
        <v>0.0</v>
      </c>
      <c r="AF170" s="96">
        <v>0.0</v>
      </c>
      <c r="AG170" s="96">
        <v>0.0</v>
      </c>
      <c r="AH170" s="96">
        <v>0.0</v>
      </c>
      <c r="AI170" s="96">
        <v>0.0</v>
      </c>
      <c r="AJ170" s="96">
        <v>0.0</v>
      </c>
      <c r="AK170" s="96">
        <v>0.0</v>
      </c>
      <c r="AL170" s="96">
        <v>0.0</v>
      </c>
      <c r="AM170" s="96">
        <v>0.0</v>
      </c>
      <c r="AN170" s="96">
        <v>0.0</v>
      </c>
      <c r="AO170" s="96">
        <v>0.0</v>
      </c>
      <c r="AP170" s="96">
        <v>0.0</v>
      </c>
      <c r="AQ170" s="96">
        <v>0.0</v>
      </c>
      <c r="AR170" s="96">
        <v>0.0</v>
      </c>
      <c r="AS170" s="96">
        <v>0.0</v>
      </c>
      <c r="AT170" s="96">
        <v>0.0</v>
      </c>
      <c r="AU170" s="96">
        <v>0.0</v>
      </c>
      <c r="AV170" s="96">
        <v>0.0</v>
      </c>
      <c r="AW170" s="96">
        <v>0.0</v>
      </c>
      <c r="AX170" s="96">
        <v>0.0</v>
      </c>
      <c r="AY170" s="96">
        <v>0.0</v>
      </c>
    </row>
    <row r="171" ht="15.75" customHeight="1">
      <c r="A171" s="1" t="s">
        <v>388</v>
      </c>
      <c r="B171" s="159"/>
      <c r="C171" s="1"/>
      <c r="D171" s="96">
        <v>0.0</v>
      </c>
      <c r="E171" s="96">
        <v>0.0</v>
      </c>
      <c r="F171" s="96">
        <v>0.0</v>
      </c>
      <c r="G171" s="96">
        <v>0.0</v>
      </c>
      <c r="H171" s="96">
        <v>0.0</v>
      </c>
      <c r="I171" s="96">
        <v>0.0</v>
      </c>
      <c r="J171" s="96">
        <v>0.0</v>
      </c>
      <c r="K171" s="96">
        <v>0.0</v>
      </c>
      <c r="L171" s="96">
        <v>0.0</v>
      </c>
      <c r="M171" s="96">
        <v>0.0</v>
      </c>
      <c r="N171" s="96">
        <v>0.0</v>
      </c>
      <c r="O171" s="96">
        <v>0.0</v>
      </c>
      <c r="P171" s="96">
        <v>0.0</v>
      </c>
      <c r="Q171" s="96">
        <v>0.0</v>
      </c>
      <c r="R171" s="96">
        <v>0.0</v>
      </c>
      <c r="S171" s="96">
        <v>0.0</v>
      </c>
      <c r="T171" s="96">
        <v>0.0</v>
      </c>
      <c r="U171" s="96">
        <v>0.0</v>
      </c>
      <c r="V171" s="96">
        <v>0.0</v>
      </c>
      <c r="W171" s="96">
        <v>0.0</v>
      </c>
      <c r="X171" s="96">
        <v>0.0</v>
      </c>
      <c r="Y171" s="96">
        <v>0.0</v>
      </c>
      <c r="Z171" s="96">
        <v>0.0</v>
      </c>
      <c r="AA171" s="96">
        <v>0.0</v>
      </c>
      <c r="AB171" s="96">
        <v>0.0</v>
      </c>
      <c r="AC171" s="96">
        <v>0.0</v>
      </c>
      <c r="AD171" s="96">
        <v>0.0</v>
      </c>
      <c r="AE171" s="96">
        <v>0.0</v>
      </c>
      <c r="AF171" s="96">
        <v>0.0</v>
      </c>
      <c r="AG171" s="96">
        <v>0.0</v>
      </c>
      <c r="AH171" s="96">
        <v>0.0</v>
      </c>
      <c r="AI171" s="96">
        <v>0.0</v>
      </c>
      <c r="AJ171" s="96">
        <v>0.0</v>
      </c>
      <c r="AK171" s="96">
        <v>0.0</v>
      </c>
      <c r="AL171" s="96">
        <v>0.0</v>
      </c>
      <c r="AM171" s="96">
        <v>0.0</v>
      </c>
      <c r="AN171" s="96">
        <v>0.0</v>
      </c>
      <c r="AO171" s="96">
        <v>0.0</v>
      </c>
      <c r="AP171" s="96">
        <v>0.0</v>
      </c>
      <c r="AQ171" s="96">
        <v>0.0</v>
      </c>
      <c r="AR171" s="96">
        <v>0.0</v>
      </c>
      <c r="AS171" s="96">
        <v>0.0</v>
      </c>
      <c r="AT171" s="96">
        <v>0.0</v>
      </c>
      <c r="AU171" s="96">
        <v>0.0</v>
      </c>
      <c r="AV171" s="96">
        <v>0.0</v>
      </c>
      <c r="AW171" s="96">
        <v>0.0</v>
      </c>
      <c r="AX171" s="96">
        <v>0.0</v>
      </c>
      <c r="AY171" s="96">
        <v>0.0</v>
      </c>
    </row>
    <row r="172" ht="15.75" customHeight="1">
      <c r="A172" s="21" t="s">
        <v>389</v>
      </c>
      <c r="B172" s="163"/>
      <c r="C172" s="21"/>
      <c r="D172" s="147">
        <v>1050000.0</v>
      </c>
      <c r="E172" s="147">
        <v>100000.0</v>
      </c>
      <c r="F172" s="147">
        <v>0.0</v>
      </c>
      <c r="G172" s="147">
        <v>0.0</v>
      </c>
      <c r="H172" s="147">
        <v>0.0</v>
      </c>
      <c r="I172" s="147">
        <v>0.0</v>
      </c>
      <c r="J172" s="147">
        <v>0.0</v>
      </c>
      <c r="K172" s="147">
        <v>0.0</v>
      </c>
      <c r="L172" s="147">
        <v>0.0</v>
      </c>
      <c r="M172" s="147">
        <v>600000.0</v>
      </c>
      <c r="N172" s="147">
        <v>0.0</v>
      </c>
      <c r="O172" s="147">
        <v>0.0</v>
      </c>
      <c r="P172" s="147">
        <v>500000.0</v>
      </c>
      <c r="Q172" s="147">
        <v>0.0</v>
      </c>
      <c r="R172" s="147">
        <v>0.0</v>
      </c>
      <c r="S172" s="147">
        <v>0.0</v>
      </c>
      <c r="T172" s="147">
        <v>300000.0</v>
      </c>
      <c r="U172" s="147">
        <v>0.0</v>
      </c>
      <c r="V172" s="147">
        <v>0.0</v>
      </c>
      <c r="W172" s="147">
        <v>0.0</v>
      </c>
      <c r="X172" s="147">
        <v>0.0</v>
      </c>
      <c r="Y172" s="147">
        <v>0.0</v>
      </c>
      <c r="Z172" s="147">
        <v>0.0</v>
      </c>
      <c r="AA172" s="147">
        <v>0.0</v>
      </c>
      <c r="AB172" s="147">
        <v>0.0</v>
      </c>
      <c r="AC172" s="147">
        <v>0.0</v>
      </c>
      <c r="AD172" s="147">
        <v>0.0</v>
      </c>
      <c r="AE172" s="147">
        <v>0.0</v>
      </c>
      <c r="AF172" s="147">
        <v>0.0</v>
      </c>
      <c r="AG172" s="147">
        <v>0.0</v>
      </c>
      <c r="AH172" s="147">
        <v>0.0</v>
      </c>
      <c r="AI172" s="147">
        <v>0.0</v>
      </c>
      <c r="AJ172" s="147">
        <v>0.0</v>
      </c>
      <c r="AK172" s="147">
        <v>0.0</v>
      </c>
      <c r="AL172" s="147">
        <v>0.0</v>
      </c>
      <c r="AM172" s="147">
        <v>0.0</v>
      </c>
      <c r="AN172" s="147">
        <v>0.0</v>
      </c>
      <c r="AO172" s="147">
        <v>0.0</v>
      </c>
      <c r="AP172" s="147">
        <v>0.0</v>
      </c>
      <c r="AQ172" s="147">
        <v>0.0</v>
      </c>
      <c r="AR172" s="147">
        <v>0.0</v>
      </c>
      <c r="AS172" s="147">
        <v>0.0</v>
      </c>
      <c r="AT172" s="147">
        <v>0.0</v>
      </c>
      <c r="AU172" s="147">
        <v>0.0</v>
      </c>
      <c r="AV172" s="147">
        <v>0.0</v>
      </c>
      <c r="AW172" s="147">
        <v>0.0</v>
      </c>
      <c r="AX172" s="147">
        <v>0.0</v>
      </c>
      <c r="AY172" s="147">
        <v>0.0</v>
      </c>
    </row>
    <row r="173" ht="15.75" customHeight="1">
      <c r="A173" s="31" t="s">
        <v>244</v>
      </c>
      <c r="B173" s="159"/>
      <c r="C173" s="1"/>
      <c r="D173" s="76">
        <v>0.0</v>
      </c>
      <c r="E173" s="76">
        <v>0.0</v>
      </c>
      <c r="F173" s="76">
        <v>0.0</v>
      </c>
      <c r="G173" s="76">
        <v>0.0</v>
      </c>
      <c r="H173" s="76">
        <v>0.0</v>
      </c>
      <c r="I173" s="76">
        <v>0.0</v>
      </c>
      <c r="J173" s="76">
        <v>0.0</v>
      </c>
      <c r="K173" s="76">
        <v>0.0</v>
      </c>
      <c r="L173" s="76">
        <v>0.0</v>
      </c>
      <c r="M173" s="76">
        <v>0.0</v>
      </c>
      <c r="N173" s="76">
        <v>0.0</v>
      </c>
      <c r="O173" s="76">
        <v>0.0</v>
      </c>
      <c r="P173" s="76">
        <v>0.0</v>
      </c>
      <c r="Q173" s="76">
        <v>0.0</v>
      </c>
      <c r="R173" s="76">
        <v>0.0</v>
      </c>
      <c r="S173" s="76">
        <v>0.0</v>
      </c>
      <c r="T173" s="76">
        <v>0.0</v>
      </c>
      <c r="U173" s="76">
        <v>0.0</v>
      </c>
      <c r="V173" s="76">
        <v>0.0</v>
      </c>
      <c r="W173" s="76">
        <v>0.0</v>
      </c>
      <c r="X173" s="76">
        <v>0.0</v>
      </c>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row>
    <row r="174" ht="15.75" customHeight="1">
      <c r="A174" s="21" t="s">
        <v>390</v>
      </c>
      <c r="B174" s="163"/>
      <c r="C174" s="21"/>
      <c r="D174" s="147">
        <v>962267.0</v>
      </c>
      <c r="E174" s="147">
        <v>9650.0</v>
      </c>
      <c r="F174" s="147">
        <v>-102956.0</v>
      </c>
      <c r="G174" s="147">
        <v>-94595.0</v>
      </c>
      <c r="H174" s="147">
        <v>-82065.0</v>
      </c>
      <c r="I174" s="147">
        <v>-78132.0</v>
      </c>
      <c r="J174" s="147">
        <v>-94045.0</v>
      </c>
      <c r="K174" s="147">
        <v>-89766.0</v>
      </c>
      <c r="L174" s="147">
        <v>-114445.0</v>
      </c>
      <c r="M174" s="147">
        <v>468119.0</v>
      </c>
      <c r="N174" s="147">
        <v>-140597.0</v>
      </c>
      <c r="O174" s="147">
        <v>-177194.0</v>
      </c>
      <c r="P174" s="147">
        <v>330990.0</v>
      </c>
      <c r="Q174" s="147">
        <v>-180892.0</v>
      </c>
      <c r="R174" s="147">
        <v>-174863.0</v>
      </c>
      <c r="S174" s="147">
        <v>-119112.0</v>
      </c>
      <c r="T174" s="147">
        <v>158551.0</v>
      </c>
      <c r="U174" s="147">
        <v>-111427.0</v>
      </c>
      <c r="V174" s="147">
        <v>-90944.0</v>
      </c>
      <c r="W174" s="147">
        <v>-70463.0</v>
      </c>
      <c r="X174" s="147">
        <v>-50019.0</v>
      </c>
      <c r="Y174" s="147">
        <v>-13019.24855751067</v>
      </c>
      <c r="Z174" s="147">
        <v>-13357.156274382025</v>
      </c>
      <c r="AA174" s="147">
        <v>12730.858160651522</v>
      </c>
      <c r="AB174" s="147">
        <v>36867.796810016735</v>
      </c>
      <c r="AC174" s="147">
        <v>77438.39489691949</v>
      </c>
      <c r="AD174" s="147">
        <v>-37982.82289810723</v>
      </c>
      <c r="AE174" s="147">
        <v>22616.80338881642</v>
      </c>
      <c r="AF174" s="147">
        <v>26394.995582410716</v>
      </c>
      <c r="AG174" s="147">
        <v>42803.34860402276</v>
      </c>
      <c r="AH174" s="147">
        <v>46895.56648678344</v>
      </c>
      <c r="AI174" s="147">
        <v>50704.489798585186</v>
      </c>
      <c r="AJ174" s="147">
        <v>54230.54494187469</v>
      </c>
      <c r="AK174" s="147">
        <v>93473.12786735198</v>
      </c>
      <c r="AL174" s="147">
        <v>132443.22861117008</v>
      </c>
      <c r="AM174" s="147">
        <v>171144.176225223</v>
      </c>
      <c r="AN174" s="147">
        <v>222462.77415982552</v>
      </c>
      <c r="AO174" s="147">
        <v>261492.70672283554</v>
      </c>
      <c r="AP174" s="147">
        <v>264238.9033564101</v>
      </c>
      <c r="AQ174" s="147">
        <v>266706.65195270523</v>
      </c>
      <c r="AR174" s="147">
        <v>268901.3820090925</v>
      </c>
      <c r="AS174" s="147">
        <v>282828.1050797724</v>
      </c>
      <c r="AT174" s="147">
        <v>297374.3441939354</v>
      </c>
      <c r="AU174" s="147">
        <v>299632.6781009969</v>
      </c>
      <c r="AV174" s="147">
        <v>301608.49061643414</v>
      </c>
      <c r="AW174" s="147">
        <v>339307.09647387743</v>
      </c>
      <c r="AX174" s="147">
        <v>376733.7085812553</v>
      </c>
      <c r="AY174" s="147">
        <v>426775.9074661876</v>
      </c>
    </row>
    <row r="175" ht="15.75" customHeight="1">
      <c r="A175" s="31" t="s">
        <v>244</v>
      </c>
      <c r="B175" s="159"/>
      <c r="C175" s="1"/>
      <c r="D175" s="76">
        <v>0.0</v>
      </c>
      <c r="E175" s="76">
        <v>0.0</v>
      </c>
      <c r="F175" s="76">
        <v>0.0</v>
      </c>
      <c r="G175" s="76">
        <v>0.0</v>
      </c>
      <c r="H175" s="76">
        <v>0.0</v>
      </c>
      <c r="I175" s="76">
        <v>0.0</v>
      </c>
      <c r="J175" s="76">
        <v>0.0</v>
      </c>
      <c r="K175" s="76">
        <v>0.0</v>
      </c>
      <c r="L175" s="76">
        <v>0.0</v>
      </c>
      <c r="M175" s="76">
        <v>0.0</v>
      </c>
      <c r="N175" s="76">
        <v>0.0</v>
      </c>
      <c r="O175" s="76">
        <v>0.0</v>
      </c>
      <c r="P175" s="76">
        <v>0.0</v>
      </c>
      <c r="Q175" s="76">
        <v>0.0</v>
      </c>
      <c r="R175" s="76">
        <v>0.0</v>
      </c>
      <c r="S175" s="76">
        <v>0.0</v>
      </c>
      <c r="T175" s="76">
        <v>0.0</v>
      </c>
      <c r="U175" s="76">
        <v>0.0</v>
      </c>
      <c r="V175" s="76">
        <v>0.0</v>
      </c>
      <c r="W175" s="76">
        <v>0.0</v>
      </c>
      <c r="X175" s="76">
        <v>0.0</v>
      </c>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row>
    <row r="176" ht="15.75" customHeight="1">
      <c r="A176" s="1"/>
      <c r="B176" s="159"/>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row>
    <row r="177" ht="15.75" customHeight="1">
      <c r="A177" s="1"/>
      <c r="B177" s="159"/>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row>
    <row r="178" ht="15.75" customHeight="1">
      <c r="A178" s="1"/>
      <c r="B178" s="159"/>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row>
    <row r="179" ht="15.75" customHeight="1">
      <c r="A179" s="1"/>
      <c r="B179" s="159"/>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row>
    <row r="180" ht="15.75" customHeight="1">
      <c r="A180" s="1"/>
      <c r="B180" s="159"/>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row>
    <row r="181" ht="15.75" customHeight="1">
      <c r="A181" s="1"/>
      <c r="B181" s="159"/>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row>
    <row r="182" ht="15.75" customHeight="1">
      <c r="A182" s="1"/>
      <c r="B182" s="159"/>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row>
    <row r="183" ht="15.75" customHeight="1">
      <c r="A183" s="1"/>
      <c r="B183" s="159"/>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row>
    <row r="184" ht="15.75" customHeight="1">
      <c r="A184" s="1"/>
      <c r="B184" s="159"/>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row>
    <row r="185" ht="15.75" customHeight="1">
      <c r="A185" s="1"/>
      <c r="B185" s="159"/>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row>
    <row r="186" ht="15.75" customHeight="1">
      <c r="A186" s="1"/>
      <c r="B186" s="159"/>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row>
    <row r="187" ht="15.75" customHeight="1">
      <c r="A187" s="1"/>
      <c r="B187" s="159"/>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row>
    <row r="188" ht="15.75" customHeight="1">
      <c r="A188" s="1"/>
      <c r="B188" s="159"/>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row>
    <row r="189" ht="15.75" customHeight="1">
      <c r="A189" s="1"/>
      <c r="B189" s="159"/>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row>
    <row r="190" ht="15.75" customHeight="1">
      <c r="A190" s="1"/>
      <c r="B190" s="159"/>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row>
    <row r="191" ht="15.75" customHeight="1">
      <c r="A191" s="1"/>
      <c r="B191" s="159"/>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row>
    <row r="192" ht="15.75" customHeight="1">
      <c r="A192" s="1"/>
      <c r="B192" s="159"/>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row>
    <row r="193" ht="15.75" customHeight="1">
      <c r="A193" s="1"/>
      <c r="B193" s="159"/>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row>
    <row r="194" ht="15.75" customHeight="1">
      <c r="A194" s="1"/>
      <c r="B194" s="159"/>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row>
    <row r="195" ht="15.75" customHeight="1">
      <c r="A195" s="1"/>
      <c r="B195" s="159"/>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row>
    <row r="196" ht="15.75" customHeight="1">
      <c r="A196" s="1"/>
      <c r="B196" s="159"/>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row>
    <row r="197" ht="15.75" customHeight="1">
      <c r="A197" s="1"/>
      <c r="B197" s="159"/>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row>
    <row r="198" ht="15.75" customHeight="1">
      <c r="A198" s="1"/>
      <c r="B198" s="159"/>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row>
    <row r="199" ht="15.75" customHeight="1">
      <c r="A199" s="1"/>
      <c r="B199" s="159"/>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row>
    <row r="200" ht="15.75" customHeight="1">
      <c r="A200" s="1"/>
      <c r="B200" s="159"/>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row>
    <row r="201" ht="15.75" customHeight="1">
      <c r="A201" s="1"/>
      <c r="B201" s="159"/>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row>
    <row r="202" ht="15.75" customHeight="1">
      <c r="A202" s="1"/>
      <c r="B202" s="159"/>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row>
    <row r="203" ht="15.75" customHeight="1">
      <c r="A203" s="1"/>
      <c r="B203" s="159"/>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row>
    <row r="204" ht="15.75" customHeight="1">
      <c r="A204" s="1"/>
      <c r="B204" s="159"/>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row>
    <row r="205" ht="15.75" customHeight="1">
      <c r="A205" s="1"/>
      <c r="B205" s="159"/>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row>
    <row r="206" ht="15.75" customHeight="1">
      <c r="A206" s="1"/>
      <c r="B206" s="159"/>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row>
    <row r="207" ht="15.75" customHeight="1">
      <c r="A207" s="1"/>
      <c r="B207" s="159"/>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row>
    <row r="208" ht="15.75" customHeight="1">
      <c r="A208" s="1"/>
      <c r="B208" s="159"/>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row>
    <row r="209" ht="15.75" customHeight="1">
      <c r="A209" s="1"/>
      <c r="B209" s="159"/>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row>
    <row r="210" ht="15.75" customHeight="1">
      <c r="A210" s="1"/>
      <c r="B210" s="159"/>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row>
    <row r="211" ht="15.75" customHeight="1">
      <c r="A211" s="1"/>
      <c r="B211" s="159"/>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row>
    <row r="212" ht="15.75" customHeight="1">
      <c r="A212" s="1"/>
      <c r="B212" s="159"/>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row>
    <row r="213" ht="15.75" customHeight="1">
      <c r="A213" s="1"/>
      <c r="B213" s="159"/>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row>
    <row r="214" ht="15.75" customHeight="1">
      <c r="A214" s="1"/>
      <c r="B214" s="159"/>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row>
    <row r="215" ht="15.75" customHeight="1">
      <c r="A215" s="1"/>
      <c r="B215" s="159"/>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row>
    <row r="216" ht="15.75" customHeight="1">
      <c r="A216" s="1"/>
      <c r="B216" s="159"/>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row>
    <row r="217" ht="15.75" customHeight="1">
      <c r="A217" s="1"/>
      <c r="B217" s="159"/>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row>
    <row r="218" ht="15.75" customHeight="1">
      <c r="A218" s="1"/>
      <c r="B218" s="159"/>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row>
    <row r="219" ht="15.75" customHeight="1">
      <c r="A219" s="1"/>
      <c r="B219" s="159"/>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row>
    <row r="220" ht="15.75" customHeight="1">
      <c r="A220" s="1"/>
      <c r="B220" s="159"/>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row>
    <row r="221" ht="15.75" customHeight="1">
      <c r="A221" s="1"/>
      <c r="B221" s="159"/>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row>
    <row r="222" ht="15.75" customHeight="1">
      <c r="A222" s="1"/>
      <c r="B222" s="159"/>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row>
    <row r="223" ht="15.75" customHeight="1">
      <c r="A223" s="1"/>
      <c r="B223" s="159"/>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row>
    <row r="224" ht="15.75" customHeight="1">
      <c r="A224" s="1"/>
      <c r="B224" s="159"/>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row>
    <row r="225" ht="15.75" customHeight="1">
      <c r="A225" s="1"/>
      <c r="B225" s="159"/>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row>
    <row r="226" ht="15.75" customHeight="1">
      <c r="A226" s="1"/>
      <c r="B226" s="159"/>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row>
    <row r="227" ht="15.75" customHeight="1">
      <c r="A227" s="1"/>
      <c r="B227" s="159"/>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row>
    <row r="228" ht="15.75" customHeight="1">
      <c r="A228" s="1"/>
      <c r="B228" s="159"/>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row>
    <row r="229" ht="15.75" customHeight="1">
      <c r="A229" s="1"/>
      <c r="B229" s="159"/>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row>
    <row r="230" ht="15.75" customHeight="1">
      <c r="A230" s="1"/>
      <c r="B230" s="159"/>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row>
    <row r="231" ht="15.75" customHeight="1">
      <c r="A231" s="1"/>
      <c r="B231" s="159"/>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row>
    <row r="232" ht="15.75" customHeight="1">
      <c r="A232" s="1"/>
      <c r="B232" s="159"/>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row>
    <row r="233" ht="15.75" customHeight="1">
      <c r="A233" s="1"/>
      <c r="B233" s="159"/>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row>
    <row r="234" ht="15.75" customHeight="1">
      <c r="A234" s="1"/>
      <c r="B234" s="159"/>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row>
    <row r="235" ht="15.75" customHeight="1">
      <c r="A235" s="1"/>
      <c r="B235" s="159"/>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ht="15.75" customHeight="1">
      <c r="A236" s="1"/>
      <c r="B236" s="159"/>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ht="15.75" customHeight="1">
      <c r="A237" s="1"/>
      <c r="B237" s="159"/>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ht="15.75" customHeight="1">
      <c r="A238" s="1"/>
      <c r="B238" s="159"/>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ht="15.75" customHeight="1">
      <c r="A239" s="1"/>
      <c r="B239" s="159"/>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ht="15.75" customHeight="1">
      <c r="A240" s="1"/>
      <c r="B240" s="159"/>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ht="15.75" customHeight="1">
      <c r="A241" s="1"/>
      <c r="B241" s="159"/>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ht="15.75" customHeight="1">
      <c r="A242" s="1"/>
      <c r="B242" s="159"/>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row>
    <row r="243" ht="15.75" customHeight="1">
      <c r="A243" s="1"/>
      <c r="B243" s="159"/>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ht="15.75" customHeight="1">
      <c r="A244" s="1"/>
      <c r="B244" s="159"/>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ht="15.75" customHeight="1">
      <c r="A245" s="1"/>
      <c r="B245" s="159"/>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row r="246" ht="15.75" customHeight="1">
      <c r="A246" s="1"/>
      <c r="B246" s="159"/>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row>
    <row r="247" ht="15.75" customHeight="1">
      <c r="A247" s="1"/>
      <c r="B247" s="159"/>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row>
    <row r="248" ht="15.75" customHeight="1">
      <c r="A248" s="1"/>
      <c r="B248" s="159"/>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row>
    <row r="249" ht="15.75" customHeight="1">
      <c r="A249" s="1"/>
      <c r="B249" s="159"/>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row>
    <row r="250" ht="15.75" customHeight="1">
      <c r="A250" s="1"/>
      <c r="B250" s="159"/>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row>
    <row r="251" ht="15.75" customHeight="1">
      <c r="A251" s="1"/>
      <c r="B251" s="159"/>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row>
    <row r="252" ht="15.75" customHeight="1">
      <c r="A252" s="1"/>
      <c r="B252" s="159"/>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row>
    <row r="253" ht="15.75" customHeight="1">
      <c r="A253" s="1"/>
      <c r="B253" s="159"/>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row>
    <row r="254" ht="15.75" customHeight="1">
      <c r="A254" s="1"/>
      <c r="B254" s="159"/>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row>
    <row r="255" ht="15.75" customHeight="1">
      <c r="A255" s="1"/>
      <c r="B255" s="159"/>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row>
    <row r="256" ht="15.75" customHeight="1">
      <c r="A256" s="1"/>
      <c r="B256" s="159"/>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row>
    <row r="257" ht="15.75" customHeight="1">
      <c r="A257" s="1"/>
      <c r="B257" s="159"/>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row>
    <row r="258" ht="15.75" customHeight="1">
      <c r="A258" s="1"/>
      <c r="B258" s="159"/>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row>
    <row r="259" ht="15.75" customHeight="1">
      <c r="A259" s="1"/>
      <c r="B259" s="159"/>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row>
    <row r="260" ht="15.75" customHeight="1">
      <c r="A260" s="1"/>
      <c r="B260" s="159"/>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row>
    <row r="261" ht="15.75" customHeight="1">
      <c r="A261" s="1"/>
      <c r="B261" s="159"/>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row>
    <row r="262" ht="15.75" customHeight="1">
      <c r="A262" s="1"/>
      <c r="B262" s="159"/>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row>
    <row r="263" ht="15.75" customHeight="1">
      <c r="A263" s="1"/>
      <c r="B263" s="159"/>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row>
    <row r="264" ht="15.75" customHeight="1">
      <c r="A264" s="1"/>
      <c r="B264" s="159"/>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row>
    <row r="265" ht="15.75" customHeight="1">
      <c r="A265" s="1"/>
      <c r="B265" s="159"/>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row>
    <row r="266" ht="15.75" customHeight="1">
      <c r="A266" s="1"/>
      <c r="B266" s="159"/>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row>
    <row r="267" ht="15.75" customHeight="1">
      <c r="A267" s="1"/>
      <c r="B267" s="159"/>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row>
    <row r="268" ht="15.75" customHeight="1">
      <c r="A268" s="1"/>
      <c r="B268" s="159"/>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row>
    <row r="269" ht="15.75" customHeight="1">
      <c r="A269" s="1"/>
      <c r="B269" s="159"/>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row>
    <row r="270" ht="15.75" customHeight="1">
      <c r="A270" s="1"/>
      <c r="B270" s="159"/>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row>
    <row r="271" ht="15.75" customHeight="1">
      <c r="A271" s="1"/>
      <c r="B271" s="159"/>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row>
    <row r="272" ht="15.75" customHeight="1">
      <c r="A272" s="1"/>
      <c r="B272" s="159"/>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row>
    <row r="273" ht="15.75" customHeight="1">
      <c r="A273" s="1"/>
      <c r="B273" s="159"/>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row>
    <row r="274" ht="15.75" customHeight="1">
      <c r="A274" s="1"/>
      <c r="B274" s="159"/>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row>
    <row r="275" ht="15.75" customHeight="1">
      <c r="A275" s="1"/>
      <c r="B275" s="159"/>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row>
    <row r="276" ht="15.75" customHeight="1">
      <c r="A276" s="1"/>
      <c r="B276" s="159"/>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row>
    <row r="277" ht="15.75" customHeight="1">
      <c r="A277" s="1"/>
      <c r="B277" s="159"/>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row>
    <row r="278" ht="15.75" customHeight="1">
      <c r="A278" s="1"/>
      <c r="B278" s="159"/>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row>
    <row r="279" ht="15.75" customHeight="1">
      <c r="A279" s="1"/>
      <c r="B279" s="159"/>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row>
    <row r="280" ht="15.75" customHeight="1">
      <c r="A280" s="1"/>
      <c r="B280" s="159"/>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row>
    <row r="281" ht="15.75" customHeight="1">
      <c r="A281" s="1"/>
      <c r="B281" s="159"/>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row>
    <row r="282" ht="15.75" customHeight="1">
      <c r="A282" s="1"/>
      <c r="B282" s="159"/>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row>
    <row r="283" ht="15.75" customHeight="1">
      <c r="A283" s="1"/>
      <c r="B283" s="159"/>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row>
    <row r="284" ht="15.75" customHeight="1">
      <c r="A284" s="1"/>
      <c r="B284" s="159"/>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row>
    <row r="285" ht="15.75" customHeight="1">
      <c r="A285" s="1"/>
      <c r="B285" s="159"/>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row>
    <row r="286" ht="15.75" customHeight="1">
      <c r="A286" s="1"/>
      <c r="B286" s="159"/>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row>
    <row r="287" ht="15.75" customHeight="1">
      <c r="A287" s="1"/>
      <c r="B287" s="159"/>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row>
    <row r="288" ht="15.75" customHeight="1">
      <c r="A288" s="1"/>
      <c r="B288" s="159"/>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row>
    <row r="289" ht="15.75" customHeight="1">
      <c r="A289" s="1"/>
      <c r="B289" s="159"/>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row>
    <row r="290" ht="15.75" customHeight="1">
      <c r="A290" s="1"/>
      <c r="B290" s="159"/>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row>
    <row r="291" ht="15.75" customHeight="1">
      <c r="A291" s="1"/>
      <c r="B291" s="159"/>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row>
    <row r="292" ht="15.75" customHeight="1">
      <c r="A292" s="1"/>
      <c r="B292" s="159"/>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row>
    <row r="293" ht="15.75" customHeight="1">
      <c r="A293" s="1"/>
      <c r="B293" s="159"/>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row>
    <row r="294" ht="15.75" customHeight="1">
      <c r="A294" s="1"/>
      <c r="B294" s="159"/>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row>
    <row r="295" ht="15.75" customHeight="1">
      <c r="A295" s="1"/>
      <c r="B295" s="159"/>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row>
    <row r="296" ht="15.75" customHeight="1">
      <c r="A296" s="1"/>
      <c r="B296" s="159"/>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row>
    <row r="297" ht="15.75" customHeight="1">
      <c r="A297" s="1"/>
      <c r="B297" s="159"/>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row>
    <row r="298" ht="15.75" customHeight="1">
      <c r="A298" s="1"/>
      <c r="B298" s="159"/>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row>
    <row r="299" ht="15.75" customHeight="1">
      <c r="A299" s="1"/>
      <c r="B299" s="159"/>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row>
    <row r="300" ht="15.75" customHeight="1">
      <c r="A300" s="1"/>
      <c r="B300" s="159"/>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row>
    <row r="301" ht="15.75" customHeight="1">
      <c r="A301" s="1"/>
      <c r="B301" s="159"/>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row>
    <row r="302" ht="15.75" customHeight="1">
      <c r="A302" s="1"/>
      <c r="B302" s="159"/>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row>
    <row r="303" ht="15.75" customHeight="1">
      <c r="A303" s="1"/>
      <c r="B303" s="159"/>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row>
    <row r="304" ht="15.75" customHeight="1">
      <c r="A304" s="1"/>
      <c r="B304" s="159"/>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row>
    <row r="305" ht="15.75" customHeight="1">
      <c r="A305" s="1"/>
      <c r="B305" s="159"/>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row>
    <row r="306" ht="15.75" customHeight="1">
      <c r="A306" s="1"/>
      <c r="B306" s="159"/>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row>
    <row r="307" ht="15.75" customHeight="1">
      <c r="A307" s="1"/>
      <c r="B307" s="159"/>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row>
    <row r="308" ht="15.75" customHeight="1">
      <c r="A308" s="1"/>
      <c r="B308" s="159"/>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row>
    <row r="309" ht="15.75" customHeight="1">
      <c r="A309" s="1"/>
      <c r="B309" s="159"/>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row>
    <row r="310" ht="15.75" customHeight="1">
      <c r="A310" s="1"/>
      <c r="B310" s="159"/>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row>
    <row r="311" ht="15.75" customHeight="1">
      <c r="A311" s="1"/>
      <c r="B311" s="159"/>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row>
    <row r="312" ht="15.75" customHeight="1">
      <c r="A312" s="1"/>
      <c r="B312" s="159"/>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row>
    <row r="313" ht="15.75" customHeight="1">
      <c r="A313" s="1"/>
      <c r="B313" s="159"/>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row>
    <row r="314" ht="15.75" customHeight="1">
      <c r="A314" s="1"/>
      <c r="B314" s="159"/>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row>
    <row r="315" ht="15.75" customHeight="1">
      <c r="A315" s="1"/>
      <c r="B315" s="159"/>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row>
    <row r="316" ht="15.75" customHeight="1">
      <c r="A316" s="1"/>
      <c r="B316" s="159"/>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row>
    <row r="317" ht="15.75" customHeight="1">
      <c r="A317" s="1"/>
      <c r="B317" s="159"/>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row>
    <row r="318" ht="15.75" customHeight="1">
      <c r="A318" s="1"/>
      <c r="B318" s="159"/>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row>
    <row r="319" ht="15.75" customHeight="1">
      <c r="A319" s="1"/>
      <c r="B319" s="159"/>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row>
    <row r="320" ht="15.75" customHeight="1">
      <c r="A320" s="1"/>
      <c r="B320" s="159"/>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row>
    <row r="321" ht="15.75" customHeight="1">
      <c r="A321" s="1"/>
      <c r="B321" s="159"/>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row>
    <row r="322" ht="15.75" customHeight="1">
      <c r="A322" s="1"/>
      <c r="B322" s="159"/>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row>
    <row r="323" ht="15.75" customHeight="1">
      <c r="A323" s="1"/>
      <c r="B323" s="159"/>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row>
    <row r="324" ht="15.75" customHeight="1">
      <c r="A324" s="1"/>
      <c r="B324" s="159"/>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row>
    <row r="325" ht="15.75" customHeight="1">
      <c r="A325" s="1"/>
      <c r="B325" s="159"/>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row>
    <row r="326" ht="15.75" customHeight="1">
      <c r="A326" s="1"/>
      <c r="B326" s="159"/>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row>
    <row r="327" ht="15.75" customHeight="1">
      <c r="A327" s="1"/>
      <c r="B327" s="159"/>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row>
    <row r="328" ht="15.75" customHeight="1">
      <c r="A328" s="1"/>
      <c r="B328" s="159"/>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row>
    <row r="329" ht="15.75" customHeight="1">
      <c r="A329" s="1"/>
      <c r="B329" s="159"/>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row>
    <row r="330" ht="15.75" customHeight="1">
      <c r="A330" s="1"/>
      <c r="B330" s="159"/>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row>
    <row r="331" ht="15.75" customHeight="1">
      <c r="A331" s="1"/>
      <c r="B331" s="159"/>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row>
    <row r="332" ht="15.75" customHeight="1">
      <c r="A332" s="1"/>
      <c r="B332" s="159"/>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row>
    <row r="333" ht="15.75" customHeight="1">
      <c r="A333" s="1"/>
      <c r="B333" s="159"/>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row>
    <row r="334" ht="15.75" customHeight="1">
      <c r="A334" s="1"/>
      <c r="B334" s="159"/>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row>
    <row r="335" ht="15.75" customHeight="1">
      <c r="A335" s="1"/>
      <c r="B335" s="159"/>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row>
    <row r="336" ht="15.75" customHeight="1">
      <c r="A336" s="1"/>
      <c r="B336" s="159"/>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row>
    <row r="337" ht="15.75" customHeight="1">
      <c r="A337" s="1"/>
      <c r="B337" s="159"/>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row>
    <row r="338" ht="15.75" customHeight="1">
      <c r="A338" s="1"/>
      <c r="B338" s="159"/>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row>
    <row r="339" ht="15.75" customHeight="1">
      <c r="A339" s="1"/>
      <c r="B339" s="159"/>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row>
    <row r="340" ht="15.75" customHeight="1">
      <c r="A340" s="1"/>
      <c r="B340" s="159"/>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row>
    <row r="341" ht="15.75" customHeight="1">
      <c r="A341" s="1"/>
      <c r="B341" s="159"/>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row>
    <row r="342" ht="15.75" customHeight="1">
      <c r="A342" s="1"/>
      <c r="B342" s="159"/>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row>
    <row r="343" ht="15.75" customHeight="1">
      <c r="A343" s="1"/>
      <c r="B343" s="159"/>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row>
    <row r="344" ht="15.75" customHeight="1">
      <c r="A344" s="1"/>
      <c r="B344" s="159"/>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row>
    <row r="345" ht="15.75" customHeight="1">
      <c r="A345" s="1"/>
      <c r="B345" s="159"/>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row>
    <row r="346" ht="15.75" customHeight="1">
      <c r="A346" s="1"/>
      <c r="B346" s="159"/>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row>
    <row r="347" ht="15.75" customHeight="1">
      <c r="A347" s="1"/>
      <c r="B347" s="159"/>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row>
    <row r="348" ht="15.75" customHeight="1">
      <c r="A348" s="1"/>
      <c r="B348" s="159"/>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row>
    <row r="349" ht="15.75" customHeight="1">
      <c r="A349" s="1"/>
      <c r="B349" s="159"/>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row>
    <row r="350" ht="15.75" customHeight="1">
      <c r="A350" s="1"/>
      <c r="B350" s="159"/>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row>
    <row r="351" ht="15.75" customHeight="1">
      <c r="A351" s="1"/>
      <c r="B351" s="159"/>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row>
    <row r="352" ht="15.75" customHeight="1">
      <c r="A352" s="1"/>
      <c r="B352" s="159"/>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row>
    <row r="353" ht="15.75" customHeight="1">
      <c r="A353" s="1"/>
      <c r="B353" s="159"/>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row>
    <row r="354" ht="15.75" customHeight="1">
      <c r="A354" s="1"/>
      <c r="B354" s="159"/>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row>
    <row r="355" ht="15.75" customHeight="1">
      <c r="A355" s="1"/>
      <c r="B355" s="159"/>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row>
    <row r="356" ht="15.75" customHeight="1">
      <c r="A356" s="1"/>
      <c r="B356" s="159"/>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row>
    <row r="357" ht="15.75" customHeight="1">
      <c r="A357" s="1"/>
      <c r="B357" s="159"/>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row>
    <row r="358" ht="15.75" customHeight="1">
      <c r="A358" s="1"/>
      <c r="B358" s="159"/>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row>
    <row r="359" ht="15.75" customHeight="1">
      <c r="A359" s="1"/>
      <c r="B359" s="159"/>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row>
    <row r="360" ht="15.75" customHeight="1">
      <c r="A360" s="1"/>
      <c r="B360" s="159"/>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row>
    <row r="361" ht="15.75" customHeight="1">
      <c r="A361" s="1"/>
      <c r="B361" s="159"/>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row>
    <row r="362" ht="15.75" customHeight="1">
      <c r="A362" s="1"/>
      <c r="B362" s="159"/>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row>
    <row r="363" ht="15.75" customHeight="1">
      <c r="A363" s="1"/>
      <c r="B363" s="159"/>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row>
    <row r="364" ht="15.75" customHeight="1">
      <c r="A364" s="1"/>
      <c r="B364" s="159"/>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row>
    <row r="365" ht="15.75" customHeight="1">
      <c r="A365" s="1"/>
      <c r="B365" s="159"/>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row>
    <row r="366" ht="15.75" customHeight="1">
      <c r="A366" s="1"/>
      <c r="B366" s="159"/>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row>
    <row r="367" ht="15.75" customHeight="1">
      <c r="A367" s="1"/>
      <c r="B367" s="159"/>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row>
    <row r="368" ht="15.75" customHeight="1">
      <c r="A368" s="1"/>
      <c r="B368" s="159"/>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row>
    <row r="369" ht="15.75" customHeight="1">
      <c r="A369" s="1"/>
      <c r="B369" s="159"/>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row>
    <row r="370" ht="15.75" customHeight="1">
      <c r="A370" s="1"/>
      <c r="B370" s="159"/>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row>
    <row r="371" ht="15.75" customHeight="1">
      <c r="A371" s="1"/>
      <c r="B371" s="159"/>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row>
    <row r="372" ht="15.75" customHeight="1">
      <c r="A372" s="1"/>
      <c r="B372" s="159"/>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row>
    <row r="373" ht="15.75" customHeight="1">
      <c r="A373" s="1"/>
      <c r="B373" s="159"/>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row>
    <row r="374" ht="15.75" customHeight="1">
      <c r="A374" s="1"/>
      <c r="B374" s="159"/>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row>
    <row r="375" ht="15.75" customHeight="1">
      <c r="A375" s="1"/>
      <c r="B375" s="159"/>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row>
  </sheetData>
  <conditionalFormatting sqref="D6:X6 D21:X21 D31:X31 D62:X62 D82:X82 D85:X85 D95:X95 D104:X104 D109:X109 D115:X115 D117:X117 D129:X129 D135:X135 D137:X137 D144:X144 D146:X147 D160:X160 D166:X166 D173:X173 D175:X175 Y147:AY147">
    <cfRule type="cellIs" dxfId="4" priority="1" operator="equal">
      <formula>0</formula>
    </cfRule>
  </conditionalFormatting>
  <conditionalFormatting sqref="D6:X6 D21:X21 D31:X31 D62:X62 D82:X82 D85:X85 D95:X95 D104:X104 D109:X109 D115:X115 D117:X117 D129:X129 D135:X135 D137:X137 D144:X144 D146:X147 D160:X160 D166:X166 D173:X173 D175:X175 Y147:AY147">
    <cfRule type="cellIs" dxfId="5" priority="2" operator="notEqual">
      <formula>0</formula>
    </cfRule>
  </conditionalFormatting>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B888"/>
    <outlinePr summaryBelow="0" summaryRight="0"/>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3.13"/>
    <col customWidth="1" min="2" max="4" width="14.38"/>
    <col customWidth="1" min="5" max="27" width="14.63"/>
    <col customWidth="1" min="28" max="49" width="15.38"/>
    <col customWidth="1" min="50" max="63" width="14.38"/>
  </cols>
  <sheetData>
    <row r="1" ht="15.75" customHeight="1">
      <c r="A1" s="184" t="s">
        <v>416</v>
      </c>
      <c r="B1" s="185"/>
      <c r="C1" s="185"/>
      <c r="D1" s="185">
        <v>43647.0</v>
      </c>
      <c r="E1" s="185">
        <f t="shared" ref="E1:AW1" si="1">EDATE(D1,1)</f>
        <v>43678</v>
      </c>
      <c r="F1" s="185">
        <f t="shared" si="1"/>
        <v>43709</v>
      </c>
      <c r="G1" s="185">
        <f t="shared" si="1"/>
        <v>43739</v>
      </c>
      <c r="H1" s="185">
        <f t="shared" si="1"/>
        <v>43770</v>
      </c>
      <c r="I1" s="185">
        <f t="shared" si="1"/>
        <v>43800</v>
      </c>
      <c r="J1" s="185">
        <f t="shared" si="1"/>
        <v>43831</v>
      </c>
      <c r="K1" s="185">
        <f t="shared" si="1"/>
        <v>43862</v>
      </c>
      <c r="L1" s="185">
        <f t="shared" si="1"/>
        <v>43891</v>
      </c>
      <c r="M1" s="185">
        <f t="shared" si="1"/>
        <v>43922</v>
      </c>
      <c r="N1" s="185">
        <f t="shared" si="1"/>
        <v>43952</v>
      </c>
      <c r="O1" s="185">
        <f t="shared" si="1"/>
        <v>43983</v>
      </c>
      <c r="P1" s="185">
        <f t="shared" si="1"/>
        <v>44013</v>
      </c>
      <c r="Q1" s="185">
        <f t="shared" si="1"/>
        <v>44044</v>
      </c>
      <c r="R1" s="185">
        <f t="shared" si="1"/>
        <v>44075</v>
      </c>
      <c r="S1" s="185">
        <f t="shared" si="1"/>
        <v>44105</v>
      </c>
      <c r="T1" s="185">
        <f t="shared" si="1"/>
        <v>44136</v>
      </c>
      <c r="U1" s="185">
        <f t="shared" si="1"/>
        <v>44166</v>
      </c>
      <c r="V1" s="185">
        <f t="shared" si="1"/>
        <v>44197</v>
      </c>
      <c r="W1" s="185">
        <f t="shared" si="1"/>
        <v>44228</v>
      </c>
      <c r="X1" s="185">
        <f t="shared" si="1"/>
        <v>44256</v>
      </c>
      <c r="Y1" s="185">
        <f t="shared" si="1"/>
        <v>44287</v>
      </c>
      <c r="Z1" s="185">
        <f t="shared" si="1"/>
        <v>44317</v>
      </c>
      <c r="AA1" s="185">
        <f t="shared" si="1"/>
        <v>44348</v>
      </c>
      <c r="AB1" s="185">
        <f t="shared" si="1"/>
        <v>44378</v>
      </c>
      <c r="AC1" s="185">
        <f t="shared" si="1"/>
        <v>44409</v>
      </c>
      <c r="AD1" s="185">
        <f t="shared" si="1"/>
        <v>44440</v>
      </c>
      <c r="AE1" s="185">
        <f t="shared" si="1"/>
        <v>44470</v>
      </c>
      <c r="AF1" s="185">
        <f t="shared" si="1"/>
        <v>44501</v>
      </c>
      <c r="AG1" s="185">
        <f t="shared" si="1"/>
        <v>44531</v>
      </c>
      <c r="AH1" s="185">
        <f t="shared" si="1"/>
        <v>44562</v>
      </c>
      <c r="AI1" s="185">
        <f t="shared" si="1"/>
        <v>44593</v>
      </c>
      <c r="AJ1" s="185">
        <f t="shared" si="1"/>
        <v>44621</v>
      </c>
      <c r="AK1" s="185">
        <f t="shared" si="1"/>
        <v>44652</v>
      </c>
      <c r="AL1" s="185">
        <f t="shared" si="1"/>
        <v>44682</v>
      </c>
      <c r="AM1" s="185">
        <f t="shared" si="1"/>
        <v>44713</v>
      </c>
      <c r="AN1" s="185">
        <f t="shared" si="1"/>
        <v>44743</v>
      </c>
      <c r="AO1" s="185">
        <f t="shared" si="1"/>
        <v>44774</v>
      </c>
      <c r="AP1" s="185">
        <f t="shared" si="1"/>
        <v>44805</v>
      </c>
      <c r="AQ1" s="185">
        <f t="shared" si="1"/>
        <v>44835</v>
      </c>
      <c r="AR1" s="185">
        <f t="shared" si="1"/>
        <v>44866</v>
      </c>
      <c r="AS1" s="185">
        <f t="shared" si="1"/>
        <v>44896</v>
      </c>
      <c r="AT1" s="185">
        <f t="shared" si="1"/>
        <v>44927</v>
      </c>
      <c r="AU1" s="185">
        <f t="shared" si="1"/>
        <v>44958</v>
      </c>
      <c r="AV1" s="185">
        <f t="shared" si="1"/>
        <v>44986</v>
      </c>
      <c r="AW1" s="185">
        <f t="shared" si="1"/>
        <v>45017</v>
      </c>
      <c r="AX1" s="185"/>
      <c r="AY1" s="185"/>
      <c r="AZ1" s="185"/>
      <c r="BA1" s="185"/>
      <c r="BB1" s="185"/>
      <c r="BC1" s="185"/>
      <c r="BD1" s="185"/>
      <c r="BE1" s="185"/>
      <c r="BF1" s="185"/>
      <c r="BG1" s="185"/>
      <c r="BH1" s="185"/>
      <c r="BI1" s="185"/>
      <c r="BJ1" s="185"/>
      <c r="BK1" s="185"/>
      <c r="BL1" s="186"/>
      <c r="BM1" s="186"/>
      <c r="BN1" s="186"/>
      <c r="BO1" s="186"/>
      <c r="BP1" s="186"/>
      <c r="BQ1" s="186"/>
      <c r="BR1" s="186"/>
      <c r="BS1" s="186"/>
      <c r="BT1" s="186"/>
      <c r="BU1" s="186"/>
      <c r="BV1" s="186"/>
      <c r="BW1" s="186"/>
      <c r="BX1" s="186"/>
      <c r="BY1" s="186"/>
      <c r="BZ1" s="186"/>
      <c r="CA1" s="186"/>
      <c r="CB1" s="186"/>
      <c r="CC1" s="186"/>
      <c r="CD1" s="186"/>
    </row>
    <row r="2" ht="15.75" customHeight="1">
      <c r="A2" s="187" t="s">
        <v>417</v>
      </c>
      <c r="B2" s="93"/>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c r="AJ2" s="93"/>
      <c r="AK2" s="93"/>
      <c r="AL2" s="93"/>
      <c r="AM2" s="93"/>
      <c r="AN2" s="93"/>
      <c r="AO2" s="93"/>
      <c r="AP2" s="93"/>
      <c r="AQ2" s="93"/>
      <c r="AR2" s="93"/>
      <c r="AS2" s="93"/>
      <c r="AT2" s="93"/>
      <c r="AU2" s="93"/>
      <c r="AV2" s="93"/>
      <c r="AW2" s="93"/>
      <c r="AX2" s="93"/>
      <c r="AY2" s="93"/>
      <c r="AZ2" s="93"/>
      <c r="BA2" s="93"/>
      <c r="BB2" s="93"/>
      <c r="BC2" s="93"/>
      <c r="BD2" s="93"/>
      <c r="BE2" s="93"/>
      <c r="BF2" s="93"/>
      <c r="BG2" s="93"/>
      <c r="BH2" s="93"/>
      <c r="BI2" s="93"/>
      <c r="BJ2" s="93"/>
      <c r="BK2" s="93"/>
    </row>
    <row r="3" ht="15.75" customHeight="1">
      <c r="A3" s="188" t="s">
        <v>418</v>
      </c>
      <c r="B3" s="93"/>
      <c r="C3" s="93"/>
      <c r="D3" s="67"/>
      <c r="E3" s="67" t="str">
        <f t="shared" ref="E3:AW3" si="2">D5</f>
        <v/>
      </c>
      <c r="F3" s="67">
        <f t="shared" si="2"/>
        <v>0</v>
      </c>
      <c r="G3" s="67">
        <f t="shared" si="2"/>
        <v>0</v>
      </c>
      <c r="H3" s="67">
        <f t="shared" si="2"/>
        <v>0</v>
      </c>
      <c r="I3" s="67">
        <f t="shared" si="2"/>
        <v>0</v>
      </c>
      <c r="J3" s="67">
        <f t="shared" si="2"/>
        <v>0</v>
      </c>
      <c r="K3" s="67">
        <f t="shared" si="2"/>
        <v>0</v>
      </c>
      <c r="L3" s="67">
        <f t="shared" si="2"/>
        <v>0</v>
      </c>
      <c r="M3" s="67">
        <f t="shared" si="2"/>
        <v>0</v>
      </c>
      <c r="N3" s="67">
        <f t="shared" si="2"/>
        <v>0</v>
      </c>
      <c r="O3" s="67">
        <f t="shared" si="2"/>
        <v>0</v>
      </c>
      <c r="P3" s="67">
        <f t="shared" si="2"/>
        <v>0</v>
      </c>
      <c r="Q3" s="67">
        <f t="shared" si="2"/>
        <v>0</v>
      </c>
      <c r="R3" s="67">
        <f t="shared" si="2"/>
        <v>0</v>
      </c>
      <c r="S3" s="67">
        <f t="shared" si="2"/>
        <v>0</v>
      </c>
      <c r="T3" s="67">
        <f t="shared" si="2"/>
        <v>0</v>
      </c>
      <c r="U3" s="67">
        <f t="shared" si="2"/>
        <v>0</v>
      </c>
      <c r="V3" s="67">
        <f t="shared" si="2"/>
        <v>0</v>
      </c>
      <c r="W3" s="67">
        <f t="shared" si="2"/>
        <v>0</v>
      </c>
      <c r="X3" s="67">
        <f t="shared" si="2"/>
        <v>0</v>
      </c>
      <c r="Y3" s="67">
        <f t="shared" si="2"/>
        <v>0</v>
      </c>
      <c r="Z3" s="67">
        <f t="shared" si="2"/>
        <v>0</v>
      </c>
      <c r="AA3" s="67">
        <f t="shared" si="2"/>
        <v>0</v>
      </c>
      <c r="AB3" s="67">
        <f t="shared" si="2"/>
        <v>0</v>
      </c>
      <c r="AC3" s="67">
        <f t="shared" si="2"/>
        <v>0</v>
      </c>
      <c r="AD3" s="67">
        <f t="shared" si="2"/>
        <v>0</v>
      </c>
      <c r="AE3" s="67">
        <f t="shared" si="2"/>
        <v>0</v>
      </c>
      <c r="AF3" s="67">
        <f t="shared" si="2"/>
        <v>0</v>
      </c>
      <c r="AG3" s="67">
        <f t="shared" si="2"/>
        <v>0</v>
      </c>
      <c r="AH3" s="67">
        <f t="shared" si="2"/>
        <v>0</v>
      </c>
      <c r="AI3" s="67">
        <f t="shared" si="2"/>
        <v>0</v>
      </c>
      <c r="AJ3" s="67">
        <f t="shared" si="2"/>
        <v>0</v>
      </c>
      <c r="AK3" s="67">
        <f t="shared" si="2"/>
        <v>0</v>
      </c>
      <c r="AL3" s="67">
        <f t="shared" si="2"/>
        <v>0</v>
      </c>
      <c r="AM3" s="67">
        <f t="shared" si="2"/>
        <v>0</v>
      </c>
      <c r="AN3" s="67">
        <f t="shared" si="2"/>
        <v>0</v>
      </c>
      <c r="AO3" s="67">
        <f t="shared" si="2"/>
        <v>0</v>
      </c>
      <c r="AP3" s="67">
        <f t="shared" si="2"/>
        <v>0</v>
      </c>
      <c r="AQ3" s="67">
        <f t="shared" si="2"/>
        <v>0</v>
      </c>
      <c r="AR3" s="67">
        <f t="shared" si="2"/>
        <v>0</v>
      </c>
      <c r="AS3" s="67">
        <f t="shared" si="2"/>
        <v>0</v>
      </c>
      <c r="AT3" s="67">
        <f t="shared" si="2"/>
        <v>0</v>
      </c>
      <c r="AU3" s="67">
        <f t="shared" si="2"/>
        <v>0</v>
      </c>
      <c r="AV3" s="67">
        <f t="shared" si="2"/>
        <v>0</v>
      </c>
      <c r="AW3" s="67">
        <f t="shared" si="2"/>
        <v>0</v>
      </c>
      <c r="AX3" s="93"/>
      <c r="AY3" s="93"/>
      <c r="AZ3" s="93"/>
      <c r="BA3" s="93"/>
      <c r="BB3" s="93"/>
      <c r="BC3" s="93"/>
      <c r="BD3" s="93"/>
      <c r="BE3" s="93"/>
      <c r="BF3" s="93"/>
      <c r="BG3" s="93"/>
      <c r="BH3" s="93"/>
      <c r="BI3" s="93"/>
      <c r="BJ3" s="93"/>
      <c r="BK3" s="93"/>
    </row>
    <row r="4" ht="15.75" customHeight="1">
      <c r="A4" s="189" t="s">
        <v>419</v>
      </c>
      <c r="B4" s="93"/>
      <c r="C4" s="93"/>
      <c r="D4" s="67"/>
      <c r="E4" s="190"/>
      <c r="F4" s="190"/>
      <c r="G4" s="190"/>
      <c r="H4" s="190"/>
      <c r="I4" s="190"/>
      <c r="J4" s="190"/>
      <c r="K4" s="190"/>
      <c r="L4" s="190"/>
      <c r="M4" s="190"/>
      <c r="N4" s="190"/>
      <c r="O4" s="190"/>
      <c r="P4" s="190"/>
      <c r="Q4" s="190"/>
      <c r="R4" s="190"/>
      <c r="S4" s="190"/>
      <c r="T4" s="190"/>
      <c r="U4" s="190"/>
      <c r="V4" s="190"/>
      <c r="W4" s="190"/>
      <c r="X4" s="190"/>
      <c r="Y4" s="190"/>
      <c r="Z4" s="190"/>
      <c r="AA4" s="190"/>
      <c r="AB4" s="190"/>
      <c r="AC4" s="190"/>
      <c r="AD4" s="67"/>
      <c r="AE4" s="67"/>
      <c r="AF4" s="67"/>
      <c r="AG4" s="67"/>
      <c r="AH4" s="67"/>
      <c r="AI4" s="67"/>
      <c r="AJ4" s="67"/>
      <c r="AK4" s="67"/>
      <c r="AL4" s="67"/>
      <c r="AM4" s="67"/>
      <c r="AN4" s="67"/>
      <c r="AO4" s="67"/>
      <c r="AP4" s="67"/>
      <c r="AQ4" s="67"/>
      <c r="AR4" s="67"/>
      <c r="AS4" s="67"/>
      <c r="AT4" s="67"/>
      <c r="AU4" s="67"/>
      <c r="AV4" s="67"/>
      <c r="AW4" s="67"/>
      <c r="AX4" s="93"/>
      <c r="AY4" s="93"/>
      <c r="AZ4" s="93"/>
      <c r="BA4" s="93"/>
      <c r="BB4" s="93"/>
      <c r="BC4" s="93"/>
      <c r="BD4" s="93"/>
      <c r="BE4" s="93"/>
      <c r="BF4" s="93"/>
      <c r="BG4" s="93"/>
      <c r="BH4" s="93"/>
      <c r="BI4" s="93"/>
      <c r="BJ4" s="93"/>
      <c r="BK4" s="93"/>
    </row>
    <row r="5" ht="15.75" customHeight="1">
      <c r="A5" s="191" t="s">
        <v>399</v>
      </c>
      <c r="B5" s="192"/>
      <c r="C5" s="192"/>
      <c r="D5" s="193"/>
      <c r="E5" s="194">
        <f t="shared" ref="E5:AW5" si="3">SUM(E3:E4)</f>
        <v>0</v>
      </c>
      <c r="F5" s="194">
        <f t="shared" si="3"/>
        <v>0</v>
      </c>
      <c r="G5" s="194">
        <f t="shared" si="3"/>
        <v>0</v>
      </c>
      <c r="H5" s="194">
        <f t="shared" si="3"/>
        <v>0</v>
      </c>
      <c r="I5" s="194">
        <f t="shared" si="3"/>
        <v>0</v>
      </c>
      <c r="J5" s="194">
        <f t="shared" si="3"/>
        <v>0</v>
      </c>
      <c r="K5" s="194">
        <f t="shared" si="3"/>
        <v>0</v>
      </c>
      <c r="L5" s="194">
        <f t="shared" si="3"/>
        <v>0</v>
      </c>
      <c r="M5" s="194">
        <f t="shared" si="3"/>
        <v>0</v>
      </c>
      <c r="N5" s="194">
        <f t="shared" si="3"/>
        <v>0</v>
      </c>
      <c r="O5" s="194">
        <f t="shared" si="3"/>
        <v>0</v>
      </c>
      <c r="P5" s="194">
        <f t="shared" si="3"/>
        <v>0</v>
      </c>
      <c r="Q5" s="194">
        <f t="shared" si="3"/>
        <v>0</v>
      </c>
      <c r="R5" s="194">
        <f t="shared" si="3"/>
        <v>0</v>
      </c>
      <c r="S5" s="194">
        <f t="shared" si="3"/>
        <v>0</v>
      </c>
      <c r="T5" s="194">
        <f t="shared" si="3"/>
        <v>0</v>
      </c>
      <c r="U5" s="194">
        <f t="shared" si="3"/>
        <v>0</v>
      </c>
      <c r="V5" s="194">
        <f t="shared" si="3"/>
        <v>0</v>
      </c>
      <c r="W5" s="194">
        <f t="shared" si="3"/>
        <v>0</v>
      </c>
      <c r="X5" s="194">
        <f t="shared" si="3"/>
        <v>0</v>
      </c>
      <c r="Y5" s="194">
        <f t="shared" si="3"/>
        <v>0</v>
      </c>
      <c r="Z5" s="194">
        <f t="shared" si="3"/>
        <v>0</v>
      </c>
      <c r="AA5" s="194">
        <f t="shared" si="3"/>
        <v>0</v>
      </c>
      <c r="AB5" s="194">
        <f t="shared" si="3"/>
        <v>0</v>
      </c>
      <c r="AC5" s="194">
        <f t="shared" si="3"/>
        <v>0</v>
      </c>
      <c r="AD5" s="194">
        <f t="shared" si="3"/>
        <v>0</v>
      </c>
      <c r="AE5" s="194">
        <f t="shared" si="3"/>
        <v>0</v>
      </c>
      <c r="AF5" s="194">
        <f t="shared" si="3"/>
        <v>0</v>
      </c>
      <c r="AG5" s="194">
        <f t="shared" si="3"/>
        <v>0</v>
      </c>
      <c r="AH5" s="194">
        <f t="shared" si="3"/>
        <v>0</v>
      </c>
      <c r="AI5" s="194">
        <f t="shared" si="3"/>
        <v>0</v>
      </c>
      <c r="AJ5" s="194">
        <f t="shared" si="3"/>
        <v>0</v>
      </c>
      <c r="AK5" s="194">
        <f t="shared" si="3"/>
        <v>0</v>
      </c>
      <c r="AL5" s="194">
        <f t="shared" si="3"/>
        <v>0</v>
      </c>
      <c r="AM5" s="194">
        <f t="shared" si="3"/>
        <v>0</v>
      </c>
      <c r="AN5" s="194">
        <f t="shared" si="3"/>
        <v>0</v>
      </c>
      <c r="AO5" s="194">
        <f t="shared" si="3"/>
        <v>0</v>
      </c>
      <c r="AP5" s="194">
        <f t="shared" si="3"/>
        <v>0</v>
      </c>
      <c r="AQ5" s="194">
        <f t="shared" si="3"/>
        <v>0</v>
      </c>
      <c r="AR5" s="194">
        <f t="shared" si="3"/>
        <v>0</v>
      </c>
      <c r="AS5" s="194">
        <f t="shared" si="3"/>
        <v>0</v>
      </c>
      <c r="AT5" s="194">
        <f t="shared" si="3"/>
        <v>0</v>
      </c>
      <c r="AU5" s="194">
        <f t="shared" si="3"/>
        <v>0</v>
      </c>
      <c r="AV5" s="194">
        <f t="shared" si="3"/>
        <v>0</v>
      </c>
      <c r="AW5" s="194">
        <f t="shared" si="3"/>
        <v>0</v>
      </c>
      <c r="AX5" s="195"/>
      <c r="AY5" s="195"/>
      <c r="AZ5" s="195"/>
      <c r="BA5" s="195"/>
      <c r="BB5" s="195"/>
      <c r="BC5" s="195"/>
      <c r="BD5" s="195"/>
      <c r="BE5" s="195"/>
      <c r="BF5" s="195"/>
      <c r="BG5" s="195"/>
      <c r="BH5" s="195"/>
      <c r="BI5" s="195"/>
      <c r="BJ5" s="195"/>
      <c r="BK5" s="195"/>
    </row>
    <row r="6" ht="15.75" customHeight="1">
      <c r="A6" s="188"/>
      <c r="B6" s="93"/>
      <c r="C6" s="93"/>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93"/>
      <c r="AY6" s="93"/>
      <c r="AZ6" s="93"/>
      <c r="BA6" s="93"/>
      <c r="BB6" s="93"/>
      <c r="BC6" s="93"/>
      <c r="BD6" s="93"/>
      <c r="BE6" s="93"/>
      <c r="BF6" s="93"/>
      <c r="BG6" s="93"/>
      <c r="BH6" s="93"/>
      <c r="BI6" s="93"/>
      <c r="BJ6" s="93"/>
      <c r="BK6" s="93"/>
    </row>
    <row r="7" ht="15.75" customHeight="1">
      <c r="A7" s="187" t="s">
        <v>420</v>
      </c>
      <c r="B7" s="93"/>
      <c r="C7" s="93"/>
      <c r="D7" s="67"/>
      <c r="E7" s="67"/>
      <c r="F7" s="67"/>
      <c r="G7" s="67"/>
      <c r="H7" s="67"/>
      <c r="I7" s="67"/>
      <c r="J7" s="67"/>
      <c r="K7" s="67"/>
      <c r="L7" s="67"/>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93"/>
      <c r="AY7" s="93"/>
      <c r="AZ7" s="93"/>
      <c r="BA7" s="93"/>
      <c r="BB7" s="93"/>
      <c r="BC7" s="93"/>
      <c r="BD7" s="93"/>
      <c r="BE7" s="93"/>
      <c r="BF7" s="93"/>
      <c r="BG7" s="93"/>
      <c r="BH7" s="93"/>
      <c r="BI7" s="93"/>
      <c r="BJ7" s="93"/>
      <c r="BK7" s="93"/>
    </row>
    <row r="8" ht="15.75" customHeight="1">
      <c r="A8" s="188" t="s">
        <v>418</v>
      </c>
      <c r="B8" s="96"/>
      <c r="C8" s="96"/>
      <c r="D8" s="67"/>
      <c r="E8" s="67" t="str">
        <f t="shared" ref="E8:AW8" si="4">D13</f>
        <v/>
      </c>
      <c r="F8" s="67">
        <f t="shared" si="4"/>
        <v>0</v>
      </c>
      <c r="G8" s="67">
        <f t="shared" si="4"/>
        <v>0</v>
      </c>
      <c r="H8" s="67">
        <f t="shared" si="4"/>
        <v>0</v>
      </c>
      <c r="I8" s="67">
        <f t="shared" si="4"/>
        <v>0</v>
      </c>
      <c r="J8" s="67">
        <f t="shared" si="4"/>
        <v>0</v>
      </c>
      <c r="K8" s="67">
        <f t="shared" si="4"/>
        <v>0</v>
      </c>
      <c r="L8" s="67">
        <f t="shared" si="4"/>
        <v>0</v>
      </c>
      <c r="M8" s="67">
        <f t="shared" si="4"/>
        <v>0</v>
      </c>
      <c r="N8" s="67">
        <f t="shared" si="4"/>
        <v>0</v>
      </c>
      <c r="O8" s="67">
        <f t="shared" si="4"/>
        <v>0</v>
      </c>
      <c r="P8" s="67">
        <f t="shared" si="4"/>
        <v>0</v>
      </c>
      <c r="Q8" s="67">
        <f t="shared" si="4"/>
        <v>0</v>
      </c>
      <c r="R8" s="67">
        <f t="shared" si="4"/>
        <v>0</v>
      </c>
      <c r="S8" s="67">
        <f t="shared" si="4"/>
        <v>0</v>
      </c>
      <c r="T8" s="67">
        <f t="shared" si="4"/>
        <v>0</v>
      </c>
      <c r="U8" s="67">
        <f t="shared" si="4"/>
        <v>0</v>
      </c>
      <c r="V8" s="67">
        <f t="shared" si="4"/>
        <v>0</v>
      </c>
      <c r="W8" s="67">
        <f t="shared" si="4"/>
        <v>0</v>
      </c>
      <c r="X8" s="67">
        <f t="shared" si="4"/>
        <v>0</v>
      </c>
      <c r="Y8" s="67">
        <f t="shared" si="4"/>
        <v>0</v>
      </c>
      <c r="Z8" s="67">
        <f t="shared" si="4"/>
        <v>0</v>
      </c>
      <c r="AA8" s="67">
        <f t="shared" si="4"/>
        <v>0</v>
      </c>
      <c r="AB8" s="67">
        <f t="shared" si="4"/>
        <v>0</v>
      </c>
      <c r="AC8" s="67">
        <f t="shared" si="4"/>
        <v>0</v>
      </c>
      <c r="AD8" s="67">
        <f t="shared" si="4"/>
        <v>0</v>
      </c>
      <c r="AE8" s="67">
        <f t="shared" si="4"/>
        <v>0</v>
      </c>
      <c r="AF8" s="67">
        <f t="shared" si="4"/>
        <v>0</v>
      </c>
      <c r="AG8" s="67">
        <f t="shared" si="4"/>
        <v>0</v>
      </c>
      <c r="AH8" s="67">
        <f t="shared" si="4"/>
        <v>0</v>
      </c>
      <c r="AI8" s="67">
        <f t="shared" si="4"/>
        <v>0</v>
      </c>
      <c r="AJ8" s="67">
        <f t="shared" si="4"/>
        <v>0</v>
      </c>
      <c r="AK8" s="67">
        <f t="shared" si="4"/>
        <v>0</v>
      </c>
      <c r="AL8" s="67">
        <f t="shared" si="4"/>
        <v>0</v>
      </c>
      <c r="AM8" s="67">
        <f t="shared" si="4"/>
        <v>0</v>
      </c>
      <c r="AN8" s="67">
        <f t="shared" si="4"/>
        <v>0</v>
      </c>
      <c r="AO8" s="67">
        <f t="shared" si="4"/>
        <v>0</v>
      </c>
      <c r="AP8" s="67">
        <f t="shared" si="4"/>
        <v>0</v>
      </c>
      <c r="AQ8" s="67">
        <f t="shared" si="4"/>
        <v>0</v>
      </c>
      <c r="AR8" s="67">
        <f t="shared" si="4"/>
        <v>0</v>
      </c>
      <c r="AS8" s="67">
        <f t="shared" si="4"/>
        <v>0</v>
      </c>
      <c r="AT8" s="67">
        <f t="shared" si="4"/>
        <v>0</v>
      </c>
      <c r="AU8" s="67">
        <f t="shared" si="4"/>
        <v>0</v>
      </c>
      <c r="AV8" s="67">
        <f t="shared" si="4"/>
        <v>0</v>
      </c>
      <c r="AW8" s="67">
        <f t="shared" si="4"/>
        <v>0</v>
      </c>
      <c r="AX8" s="96"/>
      <c r="AY8" s="96"/>
      <c r="AZ8" s="96"/>
      <c r="BA8" s="96"/>
      <c r="BB8" s="96"/>
      <c r="BC8" s="96"/>
      <c r="BD8" s="96"/>
      <c r="BE8" s="96"/>
      <c r="BF8" s="96"/>
      <c r="BG8" s="96"/>
      <c r="BH8" s="96"/>
      <c r="BI8" s="96"/>
      <c r="BJ8" s="96"/>
      <c r="BK8" s="96"/>
    </row>
    <row r="9" ht="15.75" customHeight="1">
      <c r="A9" s="188" t="s">
        <v>421</v>
      </c>
      <c r="B9" s="93"/>
      <c r="C9" s="93"/>
      <c r="D9" s="67"/>
      <c r="E9" s="190">
        <f>SUMIFS(Renewals_Amount,Renewals_Date,"&gt;="&amp;E$1,Renewals_Date,"&lt;"&amp;F$1,Renewals_Interval,12)</f>
        <v>0</v>
      </c>
      <c r="F9" s="190">
        <f>SUMIFS(Renewals_Amount,Renewals_Date,"&gt;="&amp;F$1,Renewals_Date,"&lt;"&amp;G$1,Renewals_Interval,12)</f>
        <v>0</v>
      </c>
      <c r="G9" s="190">
        <f>SUMIFS(Renewals_Amount,Renewals_Date,"&gt;="&amp;G$1,Renewals_Date,"&lt;"&amp;H$1,Renewals_Interval,12)</f>
        <v>0</v>
      </c>
      <c r="H9" s="190">
        <f>SUMIFS(Renewals_Amount,Renewals_Date,"&gt;="&amp;H$1,Renewals_Date,"&lt;"&amp;I$1,Renewals_Interval,12)</f>
        <v>0</v>
      </c>
      <c r="I9" s="190">
        <f>SUMIFS(Renewals_Amount,Renewals_Date,"&gt;="&amp;I$1,Renewals_Date,"&lt;"&amp;J$1,Renewals_Interval,12)</f>
        <v>0</v>
      </c>
      <c r="J9" s="190">
        <f>SUMIFS(Renewals_Amount,Renewals_Date,"&gt;="&amp;J$1,Renewals_Date,"&lt;"&amp;K$1,Renewals_Interval,12)</f>
        <v>0</v>
      </c>
      <c r="K9" s="190">
        <f>SUMIFS(Renewals_Amount,Renewals_Date,"&gt;="&amp;K$1,Renewals_Date,"&lt;"&amp;L$1,Renewals_Interval,12)</f>
        <v>0</v>
      </c>
      <c r="L9" s="190">
        <f>SUMIFS(Renewals_Amount,Renewals_Date,"&gt;="&amp;L$1,Renewals_Date,"&lt;"&amp;M$1,Renewals_Interval,12)</f>
        <v>0</v>
      </c>
      <c r="M9" s="190">
        <f>SUMIFS(Renewals_Amount,Renewals_Date,"&gt;="&amp;M$1,Renewals_Date,"&lt;"&amp;N$1,Renewals_Interval,12)</f>
        <v>0</v>
      </c>
      <c r="N9" s="190">
        <f>SUMIFS(Renewals_Amount,Renewals_Date,"&gt;="&amp;N$1,Renewals_Date,"&lt;"&amp;O$1,Renewals_Interval,12)</f>
        <v>0</v>
      </c>
      <c r="O9" s="190">
        <f>SUMIFS(Renewals_Amount,Renewals_Date,"&gt;="&amp;O$1,Renewals_Date,"&lt;"&amp;P$1,Renewals_Interval,12)</f>
        <v>0</v>
      </c>
      <c r="P9" s="190">
        <f>SUMIFS(Renewals_Amount,Renewals_Date,"&gt;="&amp;P$1,Renewals_Date,"&lt;"&amp;Q$1,Renewals_Interval,12)</f>
        <v>0</v>
      </c>
      <c r="Q9" s="196">
        <f t="shared" ref="Q9:AW9" si="5">E9+E10+E11+E17</f>
        <v>0</v>
      </c>
      <c r="R9" s="196">
        <f t="shared" si="5"/>
        <v>0</v>
      </c>
      <c r="S9" s="196">
        <f t="shared" si="5"/>
        <v>0</v>
      </c>
      <c r="T9" s="196">
        <f t="shared" si="5"/>
        <v>0</v>
      </c>
      <c r="U9" s="196">
        <f t="shared" si="5"/>
        <v>0</v>
      </c>
      <c r="V9" s="196">
        <f t="shared" si="5"/>
        <v>0</v>
      </c>
      <c r="W9" s="196">
        <f t="shared" si="5"/>
        <v>0</v>
      </c>
      <c r="X9" s="196">
        <f t="shared" si="5"/>
        <v>0</v>
      </c>
      <c r="Y9" s="196">
        <f t="shared" si="5"/>
        <v>0</v>
      </c>
      <c r="Z9" s="196">
        <f t="shared" si="5"/>
        <v>0</v>
      </c>
      <c r="AA9" s="196">
        <f t="shared" si="5"/>
        <v>0</v>
      </c>
      <c r="AB9" s="196">
        <f t="shared" si="5"/>
        <v>0</v>
      </c>
      <c r="AC9" s="196">
        <f t="shared" si="5"/>
        <v>0</v>
      </c>
      <c r="AD9" s="196">
        <f t="shared" si="5"/>
        <v>0</v>
      </c>
      <c r="AE9" s="196">
        <f t="shared" si="5"/>
        <v>0</v>
      </c>
      <c r="AF9" s="196">
        <f t="shared" si="5"/>
        <v>0</v>
      </c>
      <c r="AG9" s="196">
        <f t="shared" si="5"/>
        <v>0</v>
      </c>
      <c r="AH9" s="196">
        <f t="shared" si="5"/>
        <v>0</v>
      </c>
      <c r="AI9" s="196">
        <f t="shared" si="5"/>
        <v>0</v>
      </c>
      <c r="AJ9" s="196">
        <f t="shared" si="5"/>
        <v>0</v>
      </c>
      <c r="AK9" s="196">
        <f t="shared" si="5"/>
        <v>0</v>
      </c>
      <c r="AL9" s="196">
        <f t="shared" si="5"/>
        <v>0</v>
      </c>
      <c r="AM9" s="196">
        <f t="shared" si="5"/>
        <v>0</v>
      </c>
      <c r="AN9" s="196">
        <f t="shared" si="5"/>
        <v>0</v>
      </c>
      <c r="AO9" s="196">
        <f t="shared" si="5"/>
        <v>0</v>
      </c>
      <c r="AP9" s="196">
        <f t="shared" si="5"/>
        <v>0</v>
      </c>
      <c r="AQ9" s="196">
        <f t="shared" si="5"/>
        <v>0</v>
      </c>
      <c r="AR9" s="196">
        <f t="shared" si="5"/>
        <v>0</v>
      </c>
      <c r="AS9" s="196">
        <f t="shared" si="5"/>
        <v>0</v>
      </c>
      <c r="AT9" s="196">
        <f t="shared" si="5"/>
        <v>0</v>
      </c>
      <c r="AU9" s="196">
        <f t="shared" si="5"/>
        <v>0</v>
      </c>
      <c r="AV9" s="196">
        <f t="shared" si="5"/>
        <v>0</v>
      </c>
      <c r="AW9" s="196">
        <f t="shared" si="5"/>
        <v>0</v>
      </c>
      <c r="AX9" s="197"/>
      <c r="AY9" s="197"/>
      <c r="AZ9" s="197"/>
      <c r="BA9" s="197"/>
      <c r="BB9" s="197"/>
      <c r="BC9" s="197"/>
      <c r="BD9" s="197"/>
      <c r="BE9" s="197"/>
      <c r="BF9" s="197"/>
      <c r="BG9" s="197"/>
      <c r="BH9" s="197"/>
      <c r="BI9" s="197"/>
      <c r="BJ9" s="197"/>
      <c r="BK9" s="197"/>
    </row>
    <row r="10" ht="15.75" customHeight="1">
      <c r="A10" s="188" t="s">
        <v>422</v>
      </c>
      <c r="B10" s="39"/>
      <c r="C10" s="39"/>
      <c r="D10" s="190"/>
      <c r="E10" s="190">
        <f t="array" ref="E10">INDEX(Revenue_Model_Churn_MRR_12m,MATCH(E$1,Revenue_Model_Months,0))*12</f>
        <v>0</v>
      </c>
      <c r="F10" s="190">
        <f t="array" ref="F10">INDEX(Revenue_Model_Churn_MRR_12m,MATCH(F$1,Revenue_Model_Months,0))*12</f>
        <v>0</v>
      </c>
      <c r="G10" s="190">
        <f t="array" ref="G10">INDEX(Revenue_Model_Churn_MRR_12m,MATCH(G$1,Revenue_Model_Months,0))*12</f>
        <v>0</v>
      </c>
      <c r="H10" s="190">
        <f t="array" ref="H10">INDEX(Revenue_Model_Churn_MRR_12m,MATCH(H$1,Revenue_Model_Months,0))*12</f>
        <v>0</v>
      </c>
      <c r="I10" s="190">
        <f t="array" ref="I10">INDEX(Revenue_Model_Churn_MRR_12m,MATCH(I$1,Revenue_Model_Months,0))*12</f>
        <v>0</v>
      </c>
      <c r="J10" s="190">
        <f t="array" ref="J10">INDEX(Revenue_Model_Churn_MRR_12m,MATCH(J$1,Revenue_Model_Months,0))*12</f>
        <v>0</v>
      </c>
      <c r="K10" s="190">
        <f t="array" ref="K10">INDEX(Revenue_Model_Churn_MRR_12m,MATCH(K$1,Revenue_Model_Months,0))*12</f>
        <v>0</v>
      </c>
      <c r="L10" s="190">
        <f t="array" ref="L10">INDEX(Revenue_Model_Churn_MRR_12m,MATCH(L$1,Revenue_Model_Months,0))*12</f>
        <v>0</v>
      </c>
      <c r="M10" s="190">
        <f t="array" ref="M10">INDEX(Revenue_Model_Churn_MRR_12m,MATCH(M$1,Revenue_Model_Months,0))*12</f>
        <v>0</v>
      </c>
      <c r="N10" s="190">
        <f t="array" ref="N10">INDEX(Revenue_Model_Churn_MRR_12m,MATCH(N$1,Revenue_Model_Months,0))*12</f>
        <v>0</v>
      </c>
      <c r="O10" s="190">
        <f t="array" ref="O10">INDEX(Revenue_Model_Churn_MRR_12m,MATCH(O$1,Revenue_Model_Months,0))*12</f>
        <v>0</v>
      </c>
      <c r="P10" s="190">
        <f t="array" ref="P10">INDEX(Revenue_Model_Churn_MRR_12m,MATCH(P$1,Revenue_Model_Months,0))*12</f>
        <v>0</v>
      </c>
      <c r="Q10" s="190">
        <f t="array" ref="Q10">INDEX(Revenue_Model_Churn_MRR_12m,MATCH(Q$1,Revenue_Model_Months,0))*12</f>
        <v>0</v>
      </c>
      <c r="R10" s="190">
        <f t="array" ref="R10">INDEX(Revenue_Model_Churn_MRR_12m,MATCH(R$1,Revenue_Model_Months,0))*12</f>
        <v>0</v>
      </c>
      <c r="S10" s="190">
        <f t="array" ref="S10">INDEX(Revenue_Model_Churn_MRR_12m,MATCH(S$1,Revenue_Model_Months,0))*12</f>
        <v>0</v>
      </c>
      <c r="T10" s="190">
        <f t="array" ref="T10">INDEX(Revenue_Model_Churn_MRR_12m,MATCH(T$1,Revenue_Model_Months,0))*12</f>
        <v>0</v>
      </c>
      <c r="U10" s="190">
        <f t="array" ref="U10">INDEX(Revenue_Model_Churn_MRR_12m,MATCH(U$1,Revenue_Model_Months,0))*12</f>
        <v>0</v>
      </c>
      <c r="V10" s="190">
        <f t="array" ref="V10">INDEX(Revenue_Model_Churn_MRR_12m,MATCH(V$1,Revenue_Model_Months,0))*12</f>
        <v>0</v>
      </c>
      <c r="W10" s="190">
        <f t="array" ref="W10">INDEX(Revenue_Model_Churn_MRR_12m,MATCH(W$1,Revenue_Model_Months,0))*12</f>
        <v>0</v>
      </c>
      <c r="X10" s="190">
        <f t="array" ref="X10">INDEX(Revenue_Model_Churn_MRR_12m,MATCH(X$1,Revenue_Model_Months,0))*12</f>
        <v>0</v>
      </c>
      <c r="Y10" s="190">
        <f t="array" ref="Y10">INDEX(Revenue_Model_Churn_MRR_12m,MATCH(Y$1,Revenue_Model_Months,0))*12</f>
        <v>0</v>
      </c>
      <c r="Z10" s="190">
        <f t="array" ref="Z10">INDEX(Revenue_Model_Churn_MRR_12m,MATCH(Z$1,Revenue_Model_Months,0))*12</f>
        <v>0</v>
      </c>
      <c r="AA10" s="190">
        <f t="array" ref="AA10">INDEX(Revenue_Model_Churn_MRR_12m,MATCH(AA$1,Revenue_Model_Months,0))*12</f>
        <v>0</v>
      </c>
      <c r="AB10" s="190">
        <f t="array" ref="AB10">INDEX(Revenue_Model_Churn_MRR_12m,MATCH(AB$1,Revenue_Model_Months,0))*12</f>
        <v>0</v>
      </c>
      <c r="AC10" s="190">
        <f t="array" ref="AC10">INDEX(Revenue_Model_Churn_MRR_12m,MATCH(AC$1,Revenue_Model_Months,0))*12</f>
        <v>0</v>
      </c>
      <c r="AD10" s="190">
        <f t="array" ref="AD10">INDEX(Revenue_Model_Churn_MRR_12m,MATCH(AD$1,Revenue_Model_Months,0))*12</f>
        <v>0</v>
      </c>
      <c r="AE10" s="190">
        <f t="array" ref="AE10">INDEX(Revenue_Model_Churn_MRR_12m,MATCH(AE$1,Revenue_Model_Months,0))*12</f>
        <v>0</v>
      </c>
      <c r="AF10" s="190">
        <f t="array" ref="AF10">INDEX(Revenue_Model_Churn_MRR_12m,MATCH(AF$1,Revenue_Model_Months,0))*12</f>
        <v>0</v>
      </c>
      <c r="AG10" s="190">
        <f t="array" ref="AG10">INDEX(Revenue_Model_Churn_MRR_12m,MATCH(AG$1,Revenue_Model_Months,0))*12</f>
        <v>0</v>
      </c>
      <c r="AH10" s="190">
        <f t="array" ref="AH10">INDEX(Revenue_Model_Churn_MRR_12m,MATCH(AH$1,Revenue_Model_Months,0))*12</f>
        <v>0</v>
      </c>
      <c r="AI10" s="190">
        <f t="array" ref="AI10">INDEX(Revenue_Model_Churn_MRR_12m,MATCH(AI$1,Revenue_Model_Months,0))*12</f>
        <v>0</v>
      </c>
      <c r="AJ10" s="190">
        <f t="array" ref="AJ10">INDEX(Revenue_Model_Churn_MRR_12m,MATCH(AJ$1,Revenue_Model_Months,0))*12</f>
        <v>0</v>
      </c>
      <c r="AK10" s="190">
        <f t="array" ref="AK10">INDEX(Revenue_Model_Churn_MRR_12m,MATCH(AK$1,Revenue_Model_Months,0))*12</f>
        <v>0</v>
      </c>
      <c r="AL10" s="190">
        <f t="array" ref="AL10">INDEX(Revenue_Model_Churn_MRR_12m,MATCH(AL$1,Revenue_Model_Months,0))*12</f>
        <v>0</v>
      </c>
      <c r="AM10" s="190">
        <f t="array" ref="AM10">INDEX(Revenue_Model_Churn_MRR_12m,MATCH(AM$1,Revenue_Model_Months,0))*12</f>
        <v>0</v>
      </c>
      <c r="AN10" s="190">
        <f t="array" ref="AN10">INDEX(Revenue_Model_Churn_MRR_12m,MATCH(AN$1,Revenue_Model_Months,0))*12</f>
        <v>0</v>
      </c>
      <c r="AO10" s="190">
        <f t="array" ref="AO10">INDEX(Revenue_Model_Churn_MRR_12m,MATCH(AO$1,Revenue_Model_Months,0))*12</f>
        <v>0</v>
      </c>
      <c r="AP10" s="190">
        <f t="array" ref="AP10">INDEX(Revenue_Model_Churn_MRR_12m,MATCH(AP$1,Revenue_Model_Months,0))*12</f>
        <v>0</v>
      </c>
      <c r="AQ10" s="190">
        <f t="array" ref="AQ10">INDEX(Revenue_Model_Churn_MRR_12m,MATCH(AQ$1,Revenue_Model_Months,0))*12</f>
        <v>0</v>
      </c>
      <c r="AR10" s="190">
        <f t="array" ref="AR10">INDEX(Revenue_Model_Churn_MRR_12m,MATCH(AR$1,Revenue_Model_Months,0))*12</f>
        <v>0</v>
      </c>
      <c r="AS10" s="190">
        <f t="array" ref="AS10">INDEX(Revenue_Model_Churn_MRR_12m,MATCH(AS$1,Revenue_Model_Months,0))*12</f>
        <v>0</v>
      </c>
      <c r="AT10" s="190">
        <f t="array" ref="AT10">INDEX(Revenue_Model_Churn_MRR_12m,MATCH(AT$1,Revenue_Model_Months,0))*12</f>
        <v>0</v>
      </c>
      <c r="AU10" s="190">
        <f t="array" ref="AU10">INDEX(Revenue_Model_Churn_MRR_12m,MATCH(AU$1,Revenue_Model_Months,0))*12</f>
        <v>0</v>
      </c>
      <c r="AV10" s="190">
        <f t="array" ref="AV10">INDEX(Revenue_Model_Churn_MRR_12m,MATCH(AV$1,Revenue_Model_Months,0))*12</f>
        <v>0</v>
      </c>
      <c r="AW10" s="190">
        <f t="array" ref="AW10">INDEX(Revenue_Model_Churn_MRR_12m,MATCH(AW$1,Revenue_Model_Months,0))*12</f>
        <v>0</v>
      </c>
      <c r="AX10" s="39"/>
      <c r="AY10" s="39"/>
      <c r="AZ10" s="39"/>
      <c r="BA10" s="39"/>
      <c r="BB10" s="39"/>
      <c r="BC10" s="39"/>
      <c r="BD10" s="39"/>
      <c r="BE10" s="39"/>
      <c r="BF10" s="39"/>
      <c r="BG10" s="39"/>
      <c r="BH10" s="39"/>
      <c r="BI10" s="39"/>
      <c r="BJ10" s="39"/>
      <c r="BK10" s="39"/>
    </row>
    <row r="11" ht="15.75" customHeight="1">
      <c r="A11" s="188" t="s">
        <v>423</v>
      </c>
      <c r="B11" s="39"/>
      <c r="C11" s="39"/>
      <c r="D11" s="190"/>
      <c r="E11" s="190">
        <f t="array" ref="E11">INDEX(Revenue_Model_Contraction_MRR_12m,MATCH(E$1,Revenue_Model_Months,0))*12</f>
        <v>0</v>
      </c>
      <c r="F11" s="190">
        <f t="array" ref="F11">INDEX(Revenue_Model_Contraction_MRR_12m,MATCH(F$1,Revenue_Model_Months,0))*12</f>
        <v>0</v>
      </c>
      <c r="G11" s="190">
        <f t="array" ref="G11">INDEX(Revenue_Model_Contraction_MRR_12m,MATCH(G$1,Revenue_Model_Months,0))*12</f>
        <v>0</v>
      </c>
      <c r="H11" s="190">
        <f t="array" ref="H11">INDEX(Revenue_Model_Contraction_MRR_12m,MATCH(H$1,Revenue_Model_Months,0))*12</f>
        <v>0</v>
      </c>
      <c r="I11" s="190">
        <f t="array" ref="I11">INDEX(Revenue_Model_Contraction_MRR_12m,MATCH(I$1,Revenue_Model_Months,0))*12</f>
        <v>0</v>
      </c>
      <c r="J11" s="190">
        <f t="array" ref="J11">INDEX(Revenue_Model_Contraction_MRR_12m,MATCH(J$1,Revenue_Model_Months,0))*12</f>
        <v>0</v>
      </c>
      <c r="K11" s="190">
        <f t="array" ref="K11">INDEX(Revenue_Model_Contraction_MRR_12m,MATCH(K$1,Revenue_Model_Months,0))*12</f>
        <v>0</v>
      </c>
      <c r="L11" s="190">
        <f t="array" ref="L11">INDEX(Revenue_Model_Contraction_MRR_12m,MATCH(L$1,Revenue_Model_Months,0))*12</f>
        <v>0</v>
      </c>
      <c r="M11" s="190">
        <f t="array" ref="M11">INDEX(Revenue_Model_Contraction_MRR_12m,MATCH(M$1,Revenue_Model_Months,0))*12</f>
        <v>0</v>
      </c>
      <c r="N11" s="190">
        <f t="array" ref="N11">INDEX(Revenue_Model_Contraction_MRR_12m,MATCH(N$1,Revenue_Model_Months,0))*12</f>
        <v>0</v>
      </c>
      <c r="O11" s="190">
        <f t="array" ref="O11">INDEX(Revenue_Model_Contraction_MRR_12m,MATCH(O$1,Revenue_Model_Months,0))*12</f>
        <v>0</v>
      </c>
      <c r="P11" s="190">
        <f t="array" ref="P11">INDEX(Revenue_Model_Contraction_MRR_12m,MATCH(P$1,Revenue_Model_Months,0))*12</f>
        <v>0</v>
      </c>
      <c r="Q11" s="190">
        <f t="array" ref="Q11">INDEX(Revenue_Model_Contraction_MRR_12m,MATCH(Q$1,Revenue_Model_Months,0))*12</f>
        <v>0</v>
      </c>
      <c r="R11" s="190">
        <f t="array" ref="R11">INDEX(Revenue_Model_Contraction_MRR_12m,MATCH(R$1,Revenue_Model_Months,0))*12</f>
        <v>0</v>
      </c>
      <c r="S11" s="190">
        <f t="array" ref="S11">INDEX(Revenue_Model_Contraction_MRR_12m,MATCH(S$1,Revenue_Model_Months,0))*12</f>
        <v>0</v>
      </c>
      <c r="T11" s="190">
        <f t="array" ref="T11">INDEX(Revenue_Model_Contraction_MRR_12m,MATCH(T$1,Revenue_Model_Months,0))*12</f>
        <v>0</v>
      </c>
      <c r="U11" s="190">
        <f t="array" ref="U11">INDEX(Revenue_Model_Contraction_MRR_12m,MATCH(U$1,Revenue_Model_Months,0))*12</f>
        <v>0</v>
      </c>
      <c r="V11" s="190">
        <f t="array" ref="V11">INDEX(Revenue_Model_Contraction_MRR_12m,MATCH(V$1,Revenue_Model_Months,0))*12</f>
        <v>0</v>
      </c>
      <c r="W11" s="190">
        <f t="array" ref="W11">INDEX(Revenue_Model_Contraction_MRR_12m,MATCH(W$1,Revenue_Model_Months,0))*12</f>
        <v>0</v>
      </c>
      <c r="X11" s="190">
        <f t="array" ref="X11">INDEX(Revenue_Model_Contraction_MRR_12m,MATCH(X$1,Revenue_Model_Months,0))*12</f>
        <v>0</v>
      </c>
      <c r="Y11" s="190">
        <f t="array" ref="Y11">INDEX(Revenue_Model_Contraction_MRR_12m,MATCH(Y$1,Revenue_Model_Months,0))*12</f>
        <v>0</v>
      </c>
      <c r="Z11" s="190">
        <f t="array" ref="Z11">INDEX(Revenue_Model_Contraction_MRR_12m,MATCH(Z$1,Revenue_Model_Months,0))*12</f>
        <v>0</v>
      </c>
      <c r="AA11" s="190">
        <f t="array" ref="AA11">INDEX(Revenue_Model_Contraction_MRR_12m,MATCH(AA$1,Revenue_Model_Months,0))*12</f>
        <v>0</v>
      </c>
      <c r="AB11" s="190">
        <f t="array" ref="AB11">INDEX(Revenue_Model_Contraction_MRR_12m,MATCH(AB$1,Revenue_Model_Months,0))*12</f>
        <v>0</v>
      </c>
      <c r="AC11" s="190">
        <f t="array" ref="AC11">INDEX(Revenue_Model_Contraction_MRR_12m,MATCH(AC$1,Revenue_Model_Months,0))*12</f>
        <v>0</v>
      </c>
      <c r="AD11" s="190">
        <f t="array" ref="AD11">INDEX(Revenue_Model_Contraction_MRR_12m,MATCH(AD$1,Revenue_Model_Months,0))*12</f>
        <v>0</v>
      </c>
      <c r="AE11" s="190">
        <f t="array" ref="AE11">INDEX(Revenue_Model_Contraction_MRR_12m,MATCH(AE$1,Revenue_Model_Months,0))*12</f>
        <v>0</v>
      </c>
      <c r="AF11" s="190">
        <f t="array" ref="AF11">INDEX(Revenue_Model_Contraction_MRR_12m,MATCH(AF$1,Revenue_Model_Months,0))*12</f>
        <v>0</v>
      </c>
      <c r="AG11" s="190">
        <f t="array" ref="AG11">INDEX(Revenue_Model_Contraction_MRR_12m,MATCH(AG$1,Revenue_Model_Months,0))*12</f>
        <v>0</v>
      </c>
      <c r="AH11" s="190">
        <f t="array" ref="AH11">INDEX(Revenue_Model_Contraction_MRR_12m,MATCH(AH$1,Revenue_Model_Months,0))*12</f>
        <v>0</v>
      </c>
      <c r="AI11" s="190">
        <f t="array" ref="AI11">INDEX(Revenue_Model_Contraction_MRR_12m,MATCH(AI$1,Revenue_Model_Months,0))*12</f>
        <v>0</v>
      </c>
      <c r="AJ11" s="190">
        <f t="array" ref="AJ11">INDEX(Revenue_Model_Contraction_MRR_12m,MATCH(AJ$1,Revenue_Model_Months,0))*12</f>
        <v>0</v>
      </c>
      <c r="AK11" s="190">
        <f t="array" ref="AK11">INDEX(Revenue_Model_Contraction_MRR_12m,MATCH(AK$1,Revenue_Model_Months,0))*12</f>
        <v>0</v>
      </c>
      <c r="AL11" s="190">
        <f t="array" ref="AL11">INDEX(Revenue_Model_Contraction_MRR_12m,MATCH(AL$1,Revenue_Model_Months,0))*12</f>
        <v>0</v>
      </c>
      <c r="AM11" s="190">
        <f t="array" ref="AM11">INDEX(Revenue_Model_Contraction_MRR_12m,MATCH(AM$1,Revenue_Model_Months,0))*12</f>
        <v>0</v>
      </c>
      <c r="AN11" s="190">
        <f t="array" ref="AN11">INDEX(Revenue_Model_Contraction_MRR_12m,MATCH(AN$1,Revenue_Model_Months,0))*12</f>
        <v>0</v>
      </c>
      <c r="AO11" s="190">
        <f t="array" ref="AO11">INDEX(Revenue_Model_Contraction_MRR_12m,MATCH(AO$1,Revenue_Model_Months,0))*12</f>
        <v>0</v>
      </c>
      <c r="AP11" s="190">
        <f t="array" ref="AP11">INDEX(Revenue_Model_Contraction_MRR_12m,MATCH(AP$1,Revenue_Model_Months,0))*12</f>
        <v>0</v>
      </c>
      <c r="AQ11" s="190">
        <f t="array" ref="AQ11">INDEX(Revenue_Model_Contraction_MRR_12m,MATCH(AQ$1,Revenue_Model_Months,0))*12</f>
        <v>0</v>
      </c>
      <c r="AR11" s="190">
        <f t="array" ref="AR11">INDEX(Revenue_Model_Contraction_MRR_12m,MATCH(AR$1,Revenue_Model_Months,0))*12</f>
        <v>0</v>
      </c>
      <c r="AS11" s="190">
        <f t="array" ref="AS11">INDEX(Revenue_Model_Contraction_MRR_12m,MATCH(AS$1,Revenue_Model_Months,0))*12</f>
        <v>0</v>
      </c>
      <c r="AT11" s="190">
        <f t="array" ref="AT11">INDEX(Revenue_Model_Contraction_MRR_12m,MATCH(AT$1,Revenue_Model_Months,0))*12</f>
        <v>0</v>
      </c>
      <c r="AU11" s="190">
        <f t="array" ref="AU11">INDEX(Revenue_Model_Contraction_MRR_12m,MATCH(AU$1,Revenue_Model_Months,0))*12</f>
        <v>0</v>
      </c>
      <c r="AV11" s="190">
        <f t="array" ref="AV11">INDEX(Revenue_Model_Contraction_MRR_12m,MATCH(AV$1,Revenue_Model_Months,0))*12</f>
        <v>0</v>
      </c>
      <c r="AW11" s="190">
        <f t="array" ref="AW11">INDEX(Revenue_Model_Contraction_MRR_12m,MATCH(AW$1,Revenue_Model_Months,0))*12</f>
        <v>0</v>
      </c>
      <c r="AX11" s="39"/>
      <c r="AY11" s="39"/>
      <c r="AZ11" s="39"/>
      <c r="BA11" s="39"/>
      <c r="BB11" s="39"/>
      <c r="BC11" s="39"/>
      <c r="BD11" s="39"/>
      <c r="BE11" s="39"/>
      <c r="BF11" s="39"/>
      <c r="BG11" s="39"/>
      <c r="BH11" s="39"/>
      <c r="BI11" s="39"/>
      <c r="BJ11" s="39"/>
      <c r="BK11" s="39"/>
    </row>
    <row r="12" ht="15.75" customHeight="1">
      <c r="A12" s="189" t="s">
        <v>424</v>
      </c>
      <c r="B12" s="96"/>
      <c r="C12" s="96"/>
      <c r="D12" s="67"/>
      <c r="E12" s="67">
        <f t="shared" ref="E12:AW12" si="6">-E80</f>
        <v>0</v>
      </c>
      <c r="F12" s="67">
        <f t="shared" si="6"/>
        <v>0</v>
      </c>
      <c r="G12" s="67">
        <f t="shared" si="6"/>
        <v>0</v>
      </c>
      <c r="H12" s="67">
        <f t="shared" si="6"/>
        <v>0</v>
      </c>
      <c r="I12" s="67">
        <f t="shared" si="6"/>
        <v>0</v>
      </c>
      <c r="J12" s="67">
        <f t="shared" si="6"/>
        <v>0</v>
      </c>
      <c r="K12" s="67">
        <f t="shared" si="6"/>
        <v>0</v>
      </c>
      <c r="L12" s="67">
        <f t="shared" si="6"/>
        <v>0</v>
      </c>
      <c r="M12" s="67">
        <f t="shared" si="6"/>
        <v>0</v>
      </c>
      <c r="N12" s="67">
        <f t="shared" si="6"/>
        <v>0</v>
      </c>
      <c r="O12" s="67">
        <f t="shared" si="6"/>
        <v>0</v>
      </c>
      <c r="P12" s="67">
        <f t="shared" si="6"/>
        <v>0</v>
      </c>
      <c r="Q12" s="67">
        <f t="shared" si="6"/>
        <v>0</v>
      </c>
      <c r="R12" s="67">
        <f t="shared" si="6"/>
        <v>0</v>
      </c>
      <c r="S12" s="67">
        <f t="shared" si="6"/>
        <v>0</v>
      </c>
      <c r="T12" s="67">
        <f t="shared" si="6"/>
        <v>0</v>
      </c>
      <c r="U12" s="67">
        <f t="shared" si="6"/>
        <v>0</v>
      </c>
      <c r="V12" s="67">
        <f t="shared" si="6"/>
        <v>0</v>
      </c>
      <c r="W12" s="67">
        <f t="shared" si="6"/>
        <v>0</v>
      </c>
      <c r="X12" s="67">
        <f t="shared" si="6"/>
        <v>0</v>
      </c>
      <c r="Y12" s="67">
        <f t="shared" si="6"/>
        <v>0</v>
      </c>
      <c r="Z12" s="67">
        <f t="shared" si="6"/>
        <v>0</v>
      </c>
      <c r="AA12" s="67">
        <f t="shared" si="6"/>
        <v>0</v>
      </c>
      <c r="AB12" s="67">
        <f t="shared" si="6"/>
        <v>0</v>
      </c>
      <c r="AC12" s="67">
        <f t="shared" si="6"/>
        <v>0</v>
      </c>
      <c r="AD12" s="67">
        <f t="shared" si="6"/>
        <v>0</v>
      </c>
      <c r="AE12" s="67">
        <f t="shared" si="6"/>
        <v>0</v>
      </c>
      <c r="AF12" s="67">
        <f t="shared" si="6"/>
        <v>0</v>
      </c>
      <c r="AG12" s="67">
        <f t="shared" si="6"/>
        <v>0</v>
      </c>
      <c r="AH12" s="67">
        <f t="shared" si="6"/>
        <v>0</v>
      </c>
      <c r="AI12" s="67">
        <f t="shared" si="6"/>
        <v>0</v>
      </c>
      <c r="AJ12" s="67">
        <f t="shared" si="6"/>
        <v>0</v>
      </c>
      <c r="AK12" s="67">
        <f t="shared" si="6"/>
        <v>0</v>
      </c>
      <c r="AL12" s="67">
        <f t="shared" si="6"/>
        <v>0</v>
      </c>
      <c r="AM12" s="67">
        <f t="shared" si="6"/>
        <v>0</v>
      </c>
      <c r="AN12" s="67">
        <f t="shared" si="6"/>
        <v>0</v>
      </c>
      <c r="AO12" s="67">
        <f t="shared" si="6"/>
        <v>0</v>
      </c>
      <c r="AP12" s="67">
        <f t="shared" si="6"/>
        <v>0</v>
      </c>
      <c r="AQ12" s="67">
        <f t="shared" si="6"/>
        <v>0</v>
      </c>
      <c r="AR12" s="67">
        <f t="shared" si="6"/>
        <v>0</v>
      </c>
      <c r="AS12" s="67">
        <f t="shared" si="6"/>
        <v>0</v>
      </c>
      <c r="AT12" s="67">
        <f t="shared" si="6"/>
        <v>0</v>
      </c>
      <c r="AU12" s="67">
        <f t="shared" si="6"/>
        <v>0</v>
      </c>
      <c r="AV12" s="67">
        <f t="shared" si="6"/>
        <v>0</v>
      </c>
      <c r="AW12" s="67">
        <f t="shared" si="6"/>
        <v>0</v>
      </c>
      <c r="AX12" s="96"/>
      <c r="AY12" s="96"/>
      <c r="AZ12" s="96"/>
      <c r="BA12" s="96"/>
      <c r="BB12" s="96"/>
      <c r="BC12" s="96"/>
      <c r="BD12" s="96"/>
      <c r="BE12" s="96"/>
      <c r="BF12" s="96"/>
      <c r="BG12" s="96"/>
      <c r="BH12" s="96"/>
      <c r="BI12" s="96"/>
      <c r="BJ12" s="96"/>
      <c r="BK12" s="96"/>
    </row>
    <row r="13" ht="15.75" customHeight="1">
      <c r="A13" s="191" t="s">
        <v>425</v>
      </c>
      <c r="B13" s="147"/>
      <c r="C13" s="147"/>
      <c r="D13" s="194"/>
      <c r="E13" s="194">
        <f t="shared" ref="E13:AW13" si="7">SUM(E8:E12)</f>
        <v>0</v>
      </c>
      <c r="F13" s="194">
        <f t="shared" si="7"/>
        <v>0</v>
      </c>
      <c r="G13" s="194">
        <f t="shared" si="7"/>
        <v>0</v>
      </c>
      <c r="H13" s="194">
        <f t="shared" si="7"/>
        <v>0</v>
      </c>
      <c r="I13" s="194">
        <f t="shared" si="7"/>
        <v>0</v>
      </c>
      <c r="J13" s="194">
        <f t="shared" si="7"/>
        <v>0</v>
      </c>
      <c r="K13" s="194">
        <f t="shared" si="7"/>
        <v>0</v>
      </c>
      <c r="L13" s="194">
        <f t="shared" si="7"/>
        <v>0</v>
      </c>
      <c r="M13" s="194">
        <f t="shared" si="7"/>
        <v>0</v>
      </c>
      <c r="N13" s="194">
        <f t="shared" si="7"/>
        <v>0</v>
      </c>
      <c r="O13" s="194">
        <f t="shared" si="7"/>
        <v>0</v>
      </c>
      <c r="P13" s="194">
        <f t="shared" si="7"/>
        <v>0</v>
      </c>
      <c r="Q13" s="194">
        <f t="shared" si="7"/>
        <v>0</v>
      </c>
      <c r="R13" s="194">
        <f t="shared" si="7"/>
        <v>0</v>
      </c>
      <c r="S13" s="194">
        <f t="shared" si="7"/>
        <v>0</v>
      </c>
      <c r="T13" s="194">
        <f t="shared" si="7"/>
        <v>0</v>
      </c>
      <c r="U13" s="194">
        <f t="shared" si="7"/>
        <v>0</v>
      </c>
      <c r="V13" s="194">
        <f t="shared" si="7"/>
        <v>0</v>
      </c>
      <c r="W13" s="194">
        <f t="shared" si="7"/>
        <v>0</v>
      </c>
      <c r="X13" s="194">
        <f t="shared" si="7"/>
        <v>0</v>
      </c>
      <c r="Y13" s="194">
        <f t="shared" si="7"/>
        <v>0</v>
      </c>
      <c r="Z13" s="194">
        <f t="shared" si="7"/>
        <v>0</v>
      </c>
      <c r="AA13" s="194">
        <f t="shared" si="7"/>
        <v>0</v>
      </c>
      <c r="AB13" s="194">
        <f t="shared" si="7"/>
        <v>0</v>
      </c>
      <c r="AC13" s="194">
        <f t="shared" si="7"/>
        <v>0</v>
      </c>
      <c r="AD13" s="194">
        <f t="shared" si="7"/>
        <v>0</v>
      </c>
      <c r="AE13" s="194">
        <f t="shared" si="7"/>
        <v>0</v>
      </c>
      <c r="AF13" s="194">
        <f t="shared" si="7"/>
        <v>0</v>
      </c>
      <c r="AG13" s="194">
        <f t="shared" si="7"/>
        <v>0</v>
      </c>
      <c r="AH13" s="194">
        <f t="shared" si="7"/>
        <v>0</v>
      </c>
      <c r="AI13" s="194">
        <f t="shared" si="7"/>
        <v>0</v>
      </c>
      <c r="AJ13" s="194">
        <f t="shared" si="7"/>
        <v>0</v>
      </c>
      <c r="AK13" s="194">
        <f t="shared" si="7"/>
        <v>0</v>
      </c>
      <c r="AL13" s="194">
        <f t="shared" si="7"/>
        <v>0</v>
      </c>
      <c r="AM13" s="194">
        <f t="shared" si="7"/>
        <v>0</v>
      </c>
      <c r="AN13" s="194">
        <f t="shared" si="7"/>
        <v>0</v>
      </c>
      <c r="AO13" s="194">
        <f t="shared" si="7"/>
        <v>0</v>
      </c>
      <c r="AP13" s="194">
        <f t="shared" si="7"/>
        <v>0</v>
      </c>
      <c r="AQ13" s="194">
        <f t="shared" si="7"/>
        <v>0</v>
      </c>
      <c r="AR13" s="194">
        <f t="shared" si="7"/>
        <v>0</v>
      </c>
      <c r="AS13" s="194">
        <f t="shared" si="7"/>
        <v>0</v>
      </c>
      <c r="AT13" s="194">
        <f t="shared" si="7"/>
        <v>0</v>
      </c>
      <c r="AU13" s="194">
        <f t="shared" si="7"/>
        <v>0</v>
      </c>
      <c r="AV13" s="194">
        <f t="shared" si="7"/>
        <v>0</v>
      </c>
      <c r="AW13" s="194">
        <f t="shared" si="7"/>
        <v>0</v>
      </c>
      <c r="AX13" s="198"/>
      <c r="AY13" s="198"/>
      <c r="AZ13" s="198"/>
      <c r="BA13" s="198"/>
      <c r="BB13" s="198"/>
      <c r="BC13" s="198"/>
      <c r="BD13" s="198"/>
      <c r="BE13" s="198"/>
      <c r="BF13" s="198"/>
      <c r="BG13" s="198"/>
      <c r="BH13" s="198"/>
      <c r="BI13" s="198"/>
      <c r="BJ13" s="198"/>
      <c r="BK13" s="198"/>
    </row>
    <row r="14" ht="15.75" customHeight="1">
      <c r="A14" s="188"/>
      <c r="B14" s="93"/>
      <c r="C14" s="93"/>
      <c r="D14" s="67"/>
      <c r="E14" s="67"/>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93"/>
      <c r="AY14" s="93"/>
      <c r="AZ14" s="93"/>
      <c r="BA14" s="93"/>
      <c r="BB14" s="93"/>
      <c r="BC14" s="93"/>
      <c r="BD14" s="93"/>
      <c r="BE14" s="93"/>
      <c r="BF14" s="93"/>
      <c r="BG14" s="93"/>
      <c r="BH14" s="93"/>
      <c r="BI14" s="93"/>
      <c r="BJ14" s="93"/>
      <c r="BK14" s="93"/>
    </row>
    <row r="15" ht="15.75" customHeight="1">
      <c r="A15" s="187" t="s">
        <v>426</v>
      </c>
      <c r="B15" s="93"/>
      <c r="C15" s="93"/>
      <c r="D15" s="67"/>
      <c r="E15" s="67"/>
      <c r="F15" s="67"/>
      <c r="G15" s="67"/>
      <c r="H15" s="67"/>
      <c r="I15" s="67"/>
      <c r="J15" s="67"/>
      <c r="K15" s="67"/>
      <c r="L15" s="67"/>
      <c r="M15" s="67"/>
      <c r="N15" s="67"/>
      <c r="O15" s="67"/>
      <c r="P15" s="67"/>
      <c r="Q15" s="67"/>
      <c r="R15" s="67"/>
      <c r="S15" s="67"/>
      <c r="T15" s="67"/>
      <c r="U15" s="67"/>
      <c r="V15" s="67"/>
      <c r="W15" s="67"/>
      <c r="X15" s="67"/>
      <c r="Y15" s="67"/>
      <c r="Z15" s="67"/>
      <c r="AA15" s="67"/>
      <c r="AB15" s="67"/>
      <c r="AC15" s="67"/>
      <c r="AD15" s="67"/>
      <c r="AE15" s="67"/>
      <c r="AF15" s="67"/>
      <c r="AG15" s="67"/>
      <c r="AH15" s="67"/>
      <c r="AI15" s="67"/>
      <c r="AJ15" s="67"/>
      <c r="AK15" s="67"/>
      <c r="AL15" s="67"/>
      <c r="AM15" s="67"/>
      <c r="AN15" s="67"/>
      <c r="AO15" s="67"/>
      <c r="AP15" s="67"/>
      <c r="AQ15" s="67"/>
      <c r="AR15" s="67"/>
      <c r="AS15" s="67"/>
      <c r="AT15" s="67"/>
      <c r="AU15" s="67"/>
      <c r="AV15" s="67"/>
      <c r="AW15" s="67"/>
      <c r="AX15" s="93"/>
      <c r="AY15" s="93"/>
      <c r="AZ15" s="93"/>
      <c r="BA15" s="93"/>
      <c r="BB15" s="93"/>
      <c r="BC15" s="93"/>
      <c r="BD15" s="93"/>
      <c r="BE15" s="93"/>
      <c r="BF15" s="93"/>
      <c r="BG15" s="93"/>
      <c r="BH15" s="93"/>
      <c r="BI15" s="93"/>
      <c r="BJ15" s="93"/>
      <c r="BK15" s="93"/>
    </row>
    <row r="16" ht="15.75" customHeight="1">
      <c r="A16" s="188" t="s">
        <v>418</v>
      </c>
      <c r="B16" s="96"/>
      <c r="C16" s="96"/>
      <c r="D16" s="67"/>
      <c r="E16" s="67" t="str">
        <f t="shared" ref="E16:AW16" si="8">D19</f>
        <v/>
      </c>
      <c r="F16" s="67">
        <f t="shared" si="8"/>
        <v>0</v>
      </c>
      <c r="G16" s="67">
        <f t="shared" si="8"/>
        <v>0</v>
      </c>
      <c r="H16" s="67">
        <f t="shared" si="8"/>
        <v>0</v>
      </c>
      <c r="I16" s="67">
        <f t="shared" si="8"/>
        <v>0</v>
      </c>
      <c r="J16" s="67">
        <f t="shared" si="8"/>
        <v>0</v>
      </c>
      <c r="K16" s="67">
        <f t="shared" si="8"/>
        <v>0</v>
      </c>
      <c r="L16" s="67">
        <f t="shared" si="8"/>
        <v>0</v>
      </c>
      <c r="M16" s="67">
        <f t="shared" si="8"/>
        <v>0</v>
      </c>
      <c r="N16" s="67">
        <f t="shared" si="8"/>
        <v>0</v>
      </c>
      <c r="O16" s="67">
        <f t="shared" si="8"/>
        <v>0</v>
      </c>
      <c r="P16" s="67">
        <f t="shared" si="8"/>
        <v>0</v>
      </c>
      <c r="Q16" s="67">
        <f t="shared" si="8"/>
        <v>0</v>
      </c>
      <c r="R16" s="67">
        <f t="shared" si="8"/>
        <v>0</v>
      </c>
      <c r="S16" s="67">
        <f t="shared" si="8"/>
        <v>0</v>
      </c>
      <c r="T16" s="67">
        <f t="shared" si="8"/>
        <v>0</v>
      </c>
      <c r="U16" s="67">
        <f t="shared" si="8"/>
        <v>0</v>
      </c>
      <c r="V16" s="67">
        <f t="shared" si="8"/>
        <v>0</v>
      </c>
      <c r="W16" s="67">
        <f t="shared" si="8"/>
        <v>0</v>
      </c>
      <c r="X16" s="67">
        <f t="shared" si="8"/>
        <v>0</v>
      </c>
      <c r="Y16" s="67">
        <f t="shared" si="8"/>
        <v>0</v>
      </c>
      <c r="Z16" s="67">
        <f t="shared" si="8"/>
        <v>0</v>
      </c>
      <c r="AA16" s="67">
        <f t="shared" si="8"/>
        <v>0</v>
      </c>
      <c r="AB16" s="67">
        <f t="shared" si="8"/>
        <v>0</v>
      </c>
      <c r="AC16" s="67">
        <f t="shared" si="8"/>
        <v>0</v>
      </c>
      <c r="AD16" s="67">
        <f t="shared" si="8"/>
        <v>0</v>
      </c>
      <c r="AE16" s="67">
        <f t="shared" si="8"/>
        <v>0</v>
      </c>
      <c r="AF16" s="67">
        <f t="shared" si="8"/>
        <v>0</v>
      </c>
      <c r="AG16" s="67">
        <f t="shared" si="8"/>
        <v>0</v>
      </c>
      <c r="AH16" s="67">
        <f t="shared" si="8"/>
        <v>0</v>
      </c>
      <c r="AI16" s="67">
        <f t="shared" si="8"/>
        <v>0</v>
      </c>
      <c r="AJ16" s="67">
        <f t="shared" si="8"/>
        <v>0</v>
      </c>
      <c r="AK16" s="67">
        <f t="shared" si="8"/>
        <v>0</v>
      </c>
      <c r="AL16" s="67">
        <f t="shared" si="8"/>
        <v>0</v>
      </c>
      <c r="AM16" s="67">
        <f t="shared" si="8"/>
        <v>0</v>
      </c>
      <c r="AN16" s="67">
        <f t="shared" si="8"/>
        <v>0</v>
      </c>
      <c r="AO16" s="67">
        <f t="shared" si="8"/>
        <v>0</v>
      </c>
      <c r="AP16" s="67">
        <f t="shared" si="8"/>
        <v>0</v>
      </c>
      <c r="AQ16" s="67">
        <f t="shared" si="8"/>
        <v>0</v>
      </c>
      <c r="AR16" s="67">
        <f t="shared" si="8"/>
        <v>0</v>
      </c>
      <c r="AS16" s="67">
        <f t="shared" si="8"/>
        <v>0</v>
      </c>
      <c r="AT16" s="67">
        <f t="shared" si="8"/>
        <v>0</v>
      </c>
      <c r="AU16" s="67">
        <f t="shared" si="8"/>
        <v>0</v>
      </c>
      <c r="AV16" s="67">
        <f t="shared" si="8"/>
        <v>0</v>
      </c>
      <c r="AW16" s="67">
        <f t="shared" si="8"/>
        <v>0</v>
      </c>
      <c r="AX16" s="96"/>
      <c r="AY16" s="96"/>
      <c r="AZ16" s="96"/>
      <c r="BA16" s="96"/>
      <c r="BB16" s="96"/>
      <c r="BC16" s="96"/>
      <c r="BD16" s="96"/>
      <c r="BE16" s="96"/>
      <c r="BF16" s="96"/>
      <c r="BG16" s="96"/>
      <c r="BH16" s="96"/>
      <c r="BI16" s="96"/>
      <c r="BJ16" s="96"/>
      <c r="BK16" s="96"/>
    </row>
    <row r="17" ht="15.75" customHeight="1">
      <c r="A17" s="188" t="s">
        <v>427</v>
      </c>
      <c r="B17" s="39"/>
      <c r="C17" s="39"/>
      <c r="D17" s="190"/>
      <c r="E17" s="190">
        <f t="array" ref="E17">INDEX(Revenue_Model_New_MRR_12m,MATCH(E$1,Revenue_Model_Months,0))*12</f>
        <v>0</v>
      </c>
      <c r="F17" s="190">
        <f t="array" ref="F17">INDEX(Revenue_Model_New_MRR_12m,MATCH(F$1,Revenue_Model_Months,0))*12</f>
        <v>0</v>
      </c>
      <c r="G17" s="190">
        <f t="array" ref="G17">INDEX(Revenue_Model_New_MRR_12m,MATCH(G$1,Revenue_Model_Months,0))*12</f>
        <v>0</v>
      </c>
      <c r="H17" s="190">
        <f t="array" ref="H17">INDEX(Revenue_Model_New_MRR_12m,MATCH(H$1,Revenue_Model_Months,0))*12</f>
        <v>0</v>
      </c>
      <c r="I17" s="190">
        <f t="array" ref="I17">INDEX(Revenue_Model_New_MRR_12m,MATCH(I$1,Revenue_Model_Months,0))*12</f>
        <v>0</v>
      </c>
      <c r="J17" s="190">
        <f t="array" ref="J17">INDEX(Revenue_Model_New_MRR_12m,MATCH(J$1,Revenue_Model_Months,0))*12</f>
        <v>0</v>
      </c>
      <c r="K17" s="190">
        <f t="array" ref="K17">INDEX(Revenue_Model_New_MRR_12m,MATCH(K$1,Revenue_Model_Months,0))*12</f>
        <v>0</v>
      </c>
      <c r="L17" s="190">
        <f t="array" ref="L17">INDEX(Revenue_Model_New_MRR_12m,MATCH(L$1,Revenue_Model_Months,0))*12</f>
        <v>0</v>
      </c>
      <c r="M17" s="190">
        <f t="array" ref="M17">INDEX(Revenue_Model_New_MRR_12m,MATCH(M$1,Revenue_Model_Months,0))*12</f>
        <v>0</v>
      </c>
      <c r="N17" s="190">
        <f t="array" ref="N17">INDEX(Revenue_Model_New_MRR_12m,MATCH(N$1,Revenue_Model_Months,0))*12</f>
        <v>0</v>
      </c>
      <c r="O17" s="190">
        <f t="array" ref="O17">INDEX(Revenue_Model_New_MRR_12m,MATCH(O$1,Revenue_Model_Months,0))*12</f>
        <v>0</v>
      </c>
      <c r="P17" s="190">
        <f t="array" ref="P17">INDEX(Revenue_Model_New_MRR_12m,MATCH(P$1,Revenue_Model_Months,0))*12</f>
        <v>0</v>
      </c>
      <c r="Q17" s="190">
        <f t="array" ref="Q17">INDEX(Revenue_Model_New_MRR_12m,MATCH(Q$1,Revenue_Model_Months,0))*12</f>
        <v>0</v>
      </c>
      <c r="R17" s="190">
        <f t="array" ref="R17">INDEX(Revenue_Model_New_MRR_12m,MATCH(R$1,Revenue_Model_Months,0))*12</f>
        <v>0</v>
      </c>
      <c r="S17" s="190">
        <f t="array" ref="S17">INDEX(Revenue_Model_New_MRR_12m,MATCH(S$1,Revenue_Model_Months,0))*12</f>
        <v>0</v>
      </c>
      <c r="T17" s="190">
        <f t="array" ref="T17">INDEX(Revenue_Model_New_MRR_12m,MATCH(T$1,Revenue_Model_Months,0))*12</f>
        <v>0</v>
      </c>
      <c r="U17" s="190">
        <f t="array" ref="U17">INDEX(Revenue_Model_New_MRR_12m,MATCH(U$1,Revenue_Model_Months,0))*12</f>
        <v>0</v>
      </c>
      <c r="V17" s="190">
        <f t="array" ref="V17">INDEX(Revenue_Model_New_MRR_12m,MATCH(V$1,Revenue_Model_Months,0))*12</f>
        <v>0</v>
      </c>
      <c r="W17" s="190">
        <f t="array" ref="W17">INDEX(Revenue_Model_New_MRR_12m,MATCH(W$1,Revenue_Model_Months,0))*12</f>
        <v>0</v>
      </c>
      <c r="X17" s="190">
        <f t="array" ref="X17">INDEX(Revenue_Model_New_MRR_12m,MATCH(X$1,Revenue_Model_Months,0))*12</f>
        <v>0</v>
      </c>
      <c r="Y17" s="190">
        <f t="array" ref="Y17">INDEX(Revenue_Model_New_MRR_12m,MATCH(Y$1,Revenue_Model_Months,0))*12</f>
        <v>0</v>
      </c>
      <c r="Z17" s="190">
        <f t="array" ref="Z17">INDEX(Revenue_Model_New_MRR_12m,MATCH(Z$1,Revenue_Model_Months,0))*12</f>
        <v>0</v>
      </c>
      <c r="AA17" s="190">
        <f t="array" ref="AA17">INDEX(Revenue_Model_New_MRR_12m,MATCH(AA$1,Revenue_Model_Months,0))*12</f>
        <v>0</v>
      </c>
      <c r="AB17" s="190">
        <f t="array" ref="AB17">INDEX(Revenue_Model_New_MRR_12m,MATCH(AB$1,Revenue_Model_Months,0))*12</f>
        <v>0</v>
      </c>
      <c r="AC17" s="190">
        <f t="array" ref="AC17">INDEX(Revenue_Model_New_MRR_12m,MATCH(AC$1,Revenue_Model_Months,0))*12</f>
        <v>0</v>
      </c>
      <c r="AD17" s="190">
        <f t="array" ref="AD17">INDEX(Revenue_Model_New_MRR_12m,MATCH(AD$1,Revenue_Model_Months,0))*12</f>
        <v>0</v>
      </c>
      <c r="AE17" s="190">
        <f t="array" ref="AE17">INDEX(Revenue_Model_New_MRR_12m,MATCH(AE$1,Revenue_Model_Months,0))*12</f>
        <v>0</v>
      </c>
      <c r="AF17" s="190">
        <f t="array" ref="AF17">INDEX(Revenue_Model_New_MRR_12m,MATCH(AF$1,Revenue_Model_Months,0))*12</f>
        <v>0</v>
      </c>
      <c r="AG17" s="190">
        <f t="array" ref="AG17">INDEX(Revenue_Model_New_MRR_12m,MATCH(AG$1,Revenue_Model_Months,0))*12</f>
        <v>0</v>
      </c>
      <c r="AH17" s="190">
        <f t="array" ref="AH17">INDEX(Revenue_Model_New_MRR_12m,MATCH(AH$1,Revenue_Model_Months,0))*12</f>
        <v>0</v>
      </c>
      <c r="AI17" s="190">
        <f t="array" ref="AI17">INDEX(Revenue_Model_New_MRR_12m,MATCH(AI$1,Revenue_Model_Months,0))*12</f>
        <v>0</v>
      </c>
      <c r="AJ17" s="190">
        <f t="array" ref="AJ17">INDEX(Revenue_Model_New_MRR_12m,MATCH(AJ$1,Revenue_Model_Months,0))*12</f>
        <v>0</v>
      </c>
      <c r="AK17" s="190">
        <f t="array" ref="AK17">INDEX(Revenue_Model_New_MRR_12m,MATCH(AK$1,Revenue_Model_Months,0))*12</f>
        <v>0</v>
      </c>
      <c r="AL17" s="190">
        <f t="array" ref="AL17">INDEX(Revenue_Model_New_MRR_12m,MATCH(AL$1,Revenue_Model_Months,0))*12</f>
        <v>0</v>
      </c>
      <c r="AM17" s="190">
        <f t="array" ref="AM17">INDEX(Revenue_Model_New_MRR_12m,MATCH(AM$1,Revenue_Model_Months,0))*12</f>
        <v>0</v>
      </c>
      <c r="AN17" s="190">
        <f t="array" ref="AN17">INDEX(Revenue_Model_New_MRR_12m,MATCH(AN$1,Revenue_Model_Months,0))*12</f>
        <v>0</v>
      </c>
      <c r="AO17" s="190">
        <f t="array" ref="AO17">INDEX(Revenue_Model_New_MRR_12m,MATCH(AO$1,Revenue_Model_Months,0))*12</f>
        <v>0</v>
      </c>
      <c r="AP17" s="190">
        <f t="array" ref="AP17">INDEX(Revenue_Model_New_MRR_12m,MATCH(AP$1,Revenue_Model_Months,0))*12</f>
        <v>0</v>
      </c>
      <c r="AQ17" s="190">
        <f t="array" ref="AQ17">INDEX(Revenue_Model_New_MRR_12m,MATCH(AQ$1,Revenue_Model_Months,0))*12</f>
        <v>0</v>
      </c>
      <c r="AR17" s="190">
        <f t="array" ref="AR17">INDEX(Revenue_Model_New_MRR_12m,MATCH(AR$1,Revenue_Model_Months,0))*12</f>
        <v>0</v>
      </c>
      <c r="AS17" s="190">
        <f t="array" ref="AS17">INDEX(Revenue_Model_New_MRR_12m,MATCH(AS$1,Revenue_Model_Months,0))*12</f>
        <v>0</v>
      </c>
      <c r="AT17" s="190">
        <f t="array" ref="AT17">INDEX(Revenue_Model_New_MRR_12m,MATCH(AT$1,Revenue_Model_Months,0))*12</f>
        <v>0</v>
      </c>
      <c r="AU17" s="190">
        <f t="array" ref="AU17">INDEX(Revenue_Model_New_MRR_12m,MATCH(AU$1,Revenue_Model_Months,0))*12</f>
        <v>0</v>
      </c>
      <c r="AV17" s="190">
        <f t="array" ref="AV17">INDEX(Revenue_Model_New_MRR_12m,MATCH(AV$1,Revenue_Model_Months,0))*12</f>
        <v>0</v>
      </c>
      <c r="AW17" s="190">
        <f t="array" ref="AW17">INDEX(Revenue_Model_New_MRR_12m,MATCH(AW$1,Revenue_Model_Months,0))*12</f>
        <v>0</v>
      </c>
      <c r="AX17" s="39"/>
      <c r="AY17" s="39"/>
      <c r="AZ17" s="39"/>
      <c r="BA17" s="39"/>
      <c r="BB17" s="39"/>
      <c r="BC17" s="39"/>
      <c r="BD17" s="39"/>
      <c r="BE17" s="39"/>
      <c r="BF17" s="39"/>
      <c r="BG17" s="39"/>
      <c r="BH17" s="39"/>
      <c r="BI17" s="39"/>
      <c r="BJ17" s="39"/>
      <c r="BK17" s="39"/>
    </row>
    <row r="18" ht="15.75" customHeight="1">
      <c r="A18" s="189" t="s">
        <v>428</v>
      </c>
      <c r="B18" s="96"/>
      <c r="C18" s="96"/>
      <c r="D18" s="67"/>
      <c r="E18" s="67">
        <f t="shared" ref="E18:AW18" si="9">-E$28</f>
        <v>0</v>
      </c>
      <c r="F18" s="67">
        <f t="shared" si="9"/>
        <v>0</v>
      </c>
      <c r="G18" s="67">
        <f t="shared" si="9"/>
        <v>0</v>
      </c>
      <c r="H18" s="67">
        <f t="shared" si="9"/>
        <v>0</v>
      </c>
      <c r="I18" s="67">
        <f t="shared" si="9"/>
        <v>0</v>
      </c>
      <c r="J18" s="67">
        <f t="shared" si="9"/>
        <v>0</v>
      </c>
      <c r="K18" s="67">
        <f t="shared" si="9"/>
        <v>0</v>
      </c>
      <c r="L18" s="67">
        <f t="shared" si="9"/>
        <v>0</v>
      </c>
      <c r="M18" s="67">
        <f t="shared" si="9"/>
        <v>0</v>
      </c>
      <c r="N18" s="67">
        <f t="shared" si="9"/>
        <v>0</v>
      </c>
      <c r="O18" s="67">
        <f t="shared" si="9"/>
        <v>0</v>
      </c>
      <c r="P18" s="67">
        <f t="shared" si="9"/>
        <v>0</v>
      </c>
      <c r="Q18" s="67">
        <f t="shared" si="9"/>
        <v>0</v>
      </c>
      <c r="R18" s="67">
        <f t="shared" si="9"/>
        <v>0</v>
      </c>
      <c r="S18" s="67">
        <f t="shared" si="9"/>
        <v>0</v>
      </c>
      <c r="T18" s="67">
        <f t="shared" si="9"/>
        <v>0</v>
      </c>
      <c r="U18" s="67">
        <f t="shared" si="9"/>
        <v>0</v>
      </c>
      <c r="V18" s="67">
        <f t="shared" si="9"/>
        <v>0</v>
      </c>
      <c r="W18" s="67">
        <f t="shared" si="9"/>
        <v>0</v>
      </c>
      <c r="X18" s="67">
        <f t="shared" si="9"/>
        <v>0</v>
      </c>
      <c r="Y18" s="67">
        <f t="shared" si="9"/>
        <v>0</v>
      </c>
      <c r="Z18" s="67">
        <f t="shared" si="9"/>
        <v>0</v>
      </c>
      <c r="AA18" s="67">
        <f t="shared" si="9"/>
        <v>0</v>
      </c>
      <c r="AB18" s="67">
        <f t="shared" si="9"/>
        <v>0</v>
      </c>
      <c r="AC18" s="67">
        <f t="shared" si="9"/>
        <v>0</v>
      </c>
      <c r="AD18" s="67">
        <f t="shared" si="9"/>
        <v>0</v>
      </c>
      <c r="AE18" s="67">
        <f t="shared" si="9"/>
        <v>0</v>
      </c>
      <c r="AF18" s="67">
        <f t="shared" si="9"/>
        <v>0</v>
      </c>
      <c r="AG18" s="67">
        <f t="shared" si="9"/>
        <v>0</v>
      </c>
      <c r="AH18" s="67">
        <f t="shared" si="9"/>
        <v>0</v>
      </c>
      <c r="AI18" s="67">
        <f t="shared" si="9"/>
        <v>0</v>
      </c>
      <c r="AJ18" s="67">
        <f t="shared" si="9"/>
        <v>0</v>
      </c>
      <c r="AK18" s="67">
        <f t="shared" si="9"/>
        <v>0</v>
      </c>
      <c r="AL18" s="67">
        <f t="shared" si="9"/>
        <v>0</v>
      </c>
      <c r="AM18" s="67">
        <f t="shared" si="9"/>
        <v>0</v>
      </c>
      <c r="AN18" s="67">
        <f t="shared" si="9"/>
        <v>0</v>
      </c>
      <c r="AO18" s="67">
        <f t="shared" si="9"/>
        <v>0</v>
      </c>
      <c r="AP18" s="67">
        <f t="shared" si="9"/>
        <v>0</v>
      </c>
      <c r="AQ18" s="67">
        <f t="shared" si="9"/>
        <v>0</v>
      </c>
      <c r="AR18" s="67">
        <f t="shared" si="9"/>
        <v>0</v>
      </c>
      <c r="AS18" s="67">
        <f t="shared" si="9"/>
        <v>0</v>
      </c>
      <c r="AT18" s="67">
        <f t="shared" si="9"/>
        <v>0</v>
      </c>
      <c r="AU18" s="67">
        <f t="shared" si="9"/>
        <v>0</v>
      </c>
      <c r="AV18" s="67">
        <f t="shared" si="9"/>
        <v>0</v>
      </c>
      <c r="AW18" s="67">
        <f t="shared" si="9"/>
        <v>0</v>
      </c>
      <c r="AX18" s="96"/>
      <c r="AY18" s="96"/>
      <c r="AZ18" s="96"/>
      <c r="BA18" s="96"/>
      <c r="BB18" s="96"/>
      <c r="BC18" s="96"/>
      <c r="BD18" s="96"/>
      <c r="BE18" s="96"/>
      <c r="BF18" s="96"/>
      <c r="BG18" s="96"/>
      <c r="BH18" s="96"/>
      <c r="BI18" s="96"/>
      <c r="BJ18" s="96"/>
      <c r="BK18" s="96"/>
    </row>
    <row r="19" ht="15.75" customHeight="1">
      <c r="A19" s="191" t="s">
        <v>429</v>
      </c>
      <c r="B19" s="147"/>
      <c r="C19" s="147"/>
      <c r="D19" s="194"/>
      <c r="E19" s="194">
        <f t="shared" ref="E19:AW19" si="10">SUM(E16:E18)</f>
        <v>0</v>
      </c>
      <c r="F19" s="194">
        <f t="shared" si="10"/>
        <v>0</v>
      </c>
      <c r="G19" s="194">
        <f t="shared" si="10"/>
        <v>0</v>
      </c>
      <c r="H19" s="194">
        <f t="shared" si="10"/>
        <v>0</v>
      </c>
      <c r="I19" s="194">
        <f t="shared" si="10"/>
        <v>0</v>
      </c>
      <c r="J19" s="194">
        <f t="shared" si="10"/>
        <v>0</v>
      </c>
      <c r="K19" s="194">
        <f t="shared" si="10"/>
        <v>0</v>
      </c>
      <c r="L19" s="194">
        <f t="shared" si="10"/>
        <v>0</v>
      </c>
      <c r="M19" s="194">
        <f t="shared" si="10"/>
        <v>0</v>
      </c>
      <c r="N19" s="194">
        <f t="shared" si="10"/>
        <v>0</v>
      </c>
      <c r="O19" s="194">
        <f t="shared" si="10"/>
        <v>0</v>
      </c>
      <c r="P19" s="194">
        <f t="shared" si="10"/>
        <v>0</v>
      </c>
      <c r="Q19" s="194">
        <f t="shared" si="10"/>
        <v>0</v>
      </c>
      <c r="R19" s="194">
        <f t="shared" si="10"/>
        <v>0</v>
      </c>
      <c r="S19" s="194">
        <f t="shared" si="10"/>
        <v>0</v>
      </c>
      <c r="T19" s="194">
        <f t="shared" si="10"/>
        <v>0</v>
      </c>
      <c r="U19" s="194">
        <f t="shared" si="10"/>
        <v>0</v>
      </c>
      <c r="V19" s="194">
        <f t="shared" si="10"/>
        <v>0</v>
      </c>
      <c r="W19" s="194">
        <f t="shared" si="10"/>
        <v>0</v>
      </c>
      <c r="X19" s="194">
        <f t="shared" si="10"/>
        <v>0</v>
      </c>
      <c r="Y19" s="194">
        <f t="shared" si="10"/>
        <v>0</v>
      </c>
      <c r="Z19" s="194">
        <f t="shared" si="10"/>
        <v>0</v>
      </c>
      <c r="AA19" s="194">
        <f t="shared" si="10"/>
        <v>0</v>
      </c>
      <c r="AB19" s="194">
        <f t="shared" si="10"/>
        <v>0</v>
      </c>
      <c r="AC19" s="194">
        <f t="shared" si="10"/>
        <v>0</v>
      </c>
      <c r="AD19" s="194">
        <f t="shared" si="10"/>
        <v>0</v>
      </c>
      <c r="AE19" s="194">
        <f t="shared" si="10"/>
        <v>0</v>
      </c>
      <c r="AF19" s="194">
        <f t="shared" si="10"/>
        <v>0</v>
      </c>
      <c r="AG19" s="194">
        <f t="shared" si="10"/>
        <v>0</v>
      </c>
      <c r="AH19" s="194">
        <f t="shared" si="10"/>
        <v>0</v>
      </c>
      <c r="AI19" s="194">
        <f t="shared" si="10"/>
        <v>0</v>
      </c>
      <c r="AJ19" s="194">
        <f t="shared" si="10"/>
        <v>0</v>
      </c>
      <c r="AK19" s="194">
        <f t="shared" si="10"/>
        <v>0</v>
      </c>
      <c r="AL19" s="194">
        <f t="shared" si="10"/>
        <v>0</v>
      </c>
      <c r="AM19" s="194">
        <f t="shared" si="10"/>
        <v>0</v>
      </c>
      <c r="AN19" s="194">
        <f t="shared" si="10"/>
        <v>0</v>
      </c>
      <c r="AO19" s="194">
        <f t="shared" si="10"/>
        <v>0</v>
      </c>
      <c r="AP19" s="194">
        <f t="shared" si="10"/>
        <v>0</v>
      </c>
      <c r="AQ19" s="194">
        <f t="shared" si="10"/>
        <v>0</v>
      </c>
      <c r="AR19" s="194">
        <f t="shared" si="10"/>
        <v>0</v>
      </c>
      <c r="AS19" s="194">
        <f t="shared" si="10"/>
        <v>0</v>
      </c>
      <c r="AT19" s="194">
        <f t="shared" si="10"/>
        <v>0</v>
      </c>
      <c r="AU19" s="194">
        <f t="shared" si="10"/>
        <v>0</v>
      </c>
      <c r="AV19" s="194">
        <f t="shared" si="10"/>
        <v>0</v>
      </c>
      <c r="AW19" s="194">
        <f t="shared" si="10"/>
        <v>0</v>
      </c>
      <c r="AX19" s="198"/>
      <c r="AY19" s="198"/>
      <c r="AZ19" s="198"/>
      <c r="BA19" s="198"/>
      <c r="BB19" s="198"/>
      <c r="BC19" s="198"/>
      <c r="BD19" s="198"/>
      <c r="BE19" s="198"/>
      <c r="BF19" s="198"/>
      <c r="BG19" s="198"/>
      <c r="BH19" s="198"/>
      <c r="BI19" s="198"/>
      <c r="BJ19" s="198"/>
      <c r="BK19" s="198"/>
    </row>
    <row r="20" ht="15.75" customHeight="1">
      <c r="A20" s="188"/>
      <c r="B20" s="52"/>
      <c r="C20" s="93"/>
      <c r="D20" s="67"/>
      <c r="E20" s="67"/>
      <c r="F20" s="67"/>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93"/>
      <c r="AY20" s="93"/>
      <c r="AZ20" s="93"/>
      <c r="BA20" s="93"/>
      <c r="BB20" s="93"/>
      <c r="BC20" s="93"/>
      <c r="BD20" s="93"/>
      <c r="BE20" s="93"/>
      <c r="BF20" s="93"/>
      <c r="BG20" s="93"/>
      <c r="BH20" s="93"/>
      <c r="BI20" s="93"/>
      <c r="BJ20" s="93"/>
      <c r="BK20" s="93"/>
    </row>
    <row r="21" ht="15.75" customHeight="1">
      <c r="A21" s="199" t="s">
        <v>430</v>
      </c>
      <c r="B21" s="200"/>
      <c r="C21" s="200"/>
      <c r="D21" s="201">
        <f t="shared" ref="D21:AW21" si="11">D19+D13+D5</f>
        <v>0</v>
      </c>
      <c r="E21" s="201">
        <f t="shared" si="11"/>
        <v>0</v>
      </c>
      <c r="F21" s="201">
        <f t="shared" si="11"/>
        <v>0</v>
      </c>
      <c r="G21" s="201">
        <f t="shared" si="11"/>
        <v>0</v>
      </c>
      <c r="H21" s="201">
        <f t="shared" si="11"/>
        <v>0</v>
      </c>
      <c r="I21" s="201">
        <f t="shared" si="11"/>
        <v>0</v>
      </c>
      <c r="J21" s="201">
        <f t="shared" si="11"/>
        <v>0</v>
      </c>
      <c r="K21" s="201">
        <f t="shared" si="11"/>
        <v>0</v>
      </c>
      <c r="L21" s="201">
        <f t="shared" si="11"/>
        <v>0</v>
      </c>
      <c r="M21" s="201">
        <f t="shared" si="11"/>
        <v>0</v>
      </c>
      <c r="N21" s="201">
        <f t="shared" si="11"/>
        <v>0</v>
      </c>
      <c r="O21" s="201">
        <f t="shared" si="11"/>
        <v>0</v>
      </c>
      <c r="P21" s="201">
        <f t="shared" si="11"/>
        <v>0</v>
      </c>
      <c r="Q21" s="201">
        <f t="shared" si="11"/>
        <v>0</v>
      </c>
      <c r="R21" s="201">
        <f t="shared" si="11"/>
        <v>0</v>
      </c>
      <c r="S21" s="201">
        <f t="shared" si="11"/>
        <v>0</v>
      </c>
      <c r="T21" s="201">
        <f t="shared" si="11"/>
        <v>0</v>
      </c>
      <c r="U21" s="201">
        <f t="shared" si="11"/>
        <v>0</v>
      </c>
      <c r="V21" s="201">
        <f t="shared" si="11"/>
        <v>0</v>
      </c>
      <c r="W21" s="201">
        <f t="shared" si="11"/>
        <v>0</v>
      </c>
      <c r="X21" s="201">
        <f t="shared" si="11"/>
        <v>0</v>
      </c>
      <c r="Y21" s="201">
        <f t="shared" si="11"/>
        <v>0</v>
      </c>
      <c r="Z21" s="201">
        <f t="shared" si="11"/>
        <v>0</v>
      </c>
      <c r="AA21" s="201">
        <f t="shared" si="11"/>
        <v>0</v>
      </c>
      <c r="AB21" s="201">
        <f t="shared" si="11"/>
        <v>0</v>
      </c>
      <c r="AC21" s="201">
        <f t="shared" si="11"/>
        <v>0</v>
      </c>
      <c r="AD21" s="201">
        <f t="shared" si="11"/>
        <v>0</v>
      </c>
      <c r="AE21" s="201">
        <f t="shared" si="11"/>
        <v>0</v>
      </c>
      <c r="AF21" s="201">
        <f t="shared" si="11"/>
        <v>0</v>
      </c>
      <c r="AG21" s="201">
        <f t="shared" si="11"/>
        <v>0</v>
      </c>
      <c r="AH21" s="201">
        <f t="shared" si="11"/>
        <v>0</v>
      </c>
      <c r="AI21" s="201">
        <f t="shared" si="11"/>
        <v>0</v>
      </c>
      <c r="AJ21" s="201">
        <f t="shared" si="11"/>
        <v>0</v>
      </c>
      <c r="AK21" s="201">
        <f t="shared" si="11"/>
        <v>0</v>
      </c>
      <c r="AL21" s="201">
        <f t="shared" si="11"/>
        <v>0</v>
      </c>
      <c r="AM21" s="201">
        <f t="shared" si="11"/>
        <v>0</v>
      </c>
      <c r="AN21" s="201">
        <f t="shared" si="11"/>
        <v>0</v>
      </c>
      <c r="AO21" s="201">
        <f t="shared" si="11"/>
        <v>0</v>
      </c>
      <c r="AP21" s="201">
        <f t="shared" si="11"/>
        <v>0</v>
      </c>
      <c r="AQ21" s="201">
        <f t="shared" si="11"/>
        <v>0</v>
      </c>
      <c r="AR21" s="201">
        <f t="shared" si="11"/>
        <v>0</v>
      </c>
      <c r="AS21" s="201">
        <f t="shared" si="11"/>
        <v>0</v>
      </c>
      <c r="AT21" s="201">
        <f t="shared" si="11"/>
        <v>0</v>
      </c>
      <c r="AU21" s="201">
        <f t="shared" si="11"/>
        <v>0</v>
      </c>
      <c r="AV21" s="201">
        <f t="shared" si="11"/>
        <v>0</v>
      </c>
      <c r="AW21" s="201">
        <f t="shared" si="11"/>
        <v>0</v>
      </c>
      <c r="AX21" s="200"/>
      <c r="AY21" s="200"/>
      <c r="AZ21" s="200"/>
      <c r="BA21" s="200"/>
      <c r="BB21" s="200"/>
      <c r="BC21" s="200"/>
      <c r="BD21" s="200"/>
      <c r="BE21" s="200"/>
      <c r="BF21" s="200"/>
      <c r="BG21" s="200"/>
      <c r="BH21" s="200"/>
      <c r="BI21" s="200"/>
      <c r="BJ21" s="200"/>
      <c r="BK21" s="200"/>
    </row>
    <row r="22" ht="15.75" customHeight="1">
      <c r="A22" s="188" t="s">
        <v>431</v>
      </c>
      <c r="B22" s="202"/>
      <c r="C22" s="202"/>
      <c r="D22" s="96">
        <f t="shared" ref="D22:AW22" si="12">D21-C21</f>
        <v>0</v>
      </c>
      <c r="E22" s="96">
        <f t="shared" si="12"/>
        <v>0</v>
      </c>
      <c r="F22" s="96">
        <f t="shared" si="12"/>
        <v>0</v>
      </c>
      <c r="G22" s="96">
        <f t="shared" si="12"/>
        <v>0</v>
      </c>
      <c r="H22" s="96">
        <f t="shared" si="12"/>
        <v>0</v>
      </c>
      <c r="I22" s="96">
        <f t="shared" si="12"/>
        <v>0</v>
      </c>
      <c r="J22" s="96">
        <f t="shared" si="12"/>
        <v>0</v>
      </c>
      <c r="K22" s="96">
        <f t="shared" si="12"/>
        <v>0</v>
      </c>
      <c r="L22" s="96">
        <f t="shared" si="12"/>
        <v>0</v>
      </c>
      <c r="M22" s="96">
        <f t="shared" si="12"/>
        <v>0</v>
      </c>
      <c r="N22" s="96">
        <f t="shared" si="12"/>
        <v>0</v>
      </c>
      <c r="O22" s="96">
        <f t="shared" si="12"/>
        <v>0</v>
      </c>
      <c r="P22" s="96">
        <f t="shared" si="12"/>
        <v>0</v>
      </c>
      <c r="Q22" s="96">
        <f t="shared" si="12"/>
        <v>0</v>
      </c>
      <c r="R22" s="96">
        <f t="shared" si="12"/>
        <v>0</v>
      </c>
      <c r="S22" s="96">
        <f t="shared" si="12"/>
        <v>0</v>
      </c>
      <c r="T22" s="96">
        <f t="shared" si="12"/>
        <v>0</v>
      </c>
      <c r="U22" s="96">
        <f t="shared" si="12"/>
        <v>0</v>
      </c>
      <c r="V22" s="96">
        <f t="shared" si="12"/>
        <v>0</v>
      </c>
      <c r="W22" s="96">
        <f t="shared" si="12"/>
        <v>0</v>
      </c>
      <c r="X22" s="96">
        <f t="shared" si="12"/>
        <v>0</v>
      </c>
      <c r="Y22" s="96">
        <f t="shared" si="12"/>
        <v>0</v>
      </c>
      <c r="Z22" s="96">
        <f t="shared" si="12"/>
        <v>0</v>
      </c>
      <c r="AA22" s="96">
        <f t="shared" si="12"/>
        <v>0</v>
      </c>
      <c r="AB22" s="96">
        <f t="shared" si="12"/>
        <v>0</v>
      </c>
      <c r="AC22" s="96">
        <f t="shared" si="12"/>
        <v>0</v>
      </c>
      <c r="AD22" s="96">
        <f t="shared" si="12"/>
        <v>0</v>
      </c>
      <c r="AE22" s="96">
        <f t="shared" si="12"/>
        <v>0</v>
      </c>
      <c r="AF22" s="96">
        <f t="shared" si="12"/>
        <v>0</v>
      </c>
      <c r="AG22" s="96">
        <f t="shared" si="12"/>
        <v>0</v>
      </c>
      <c r="AH22" s="96">
        <f t="shared" si="12"/>
        <v>0</v>
      </c>
      <c r="AI22" s="96">
        <f t="shared" si="12"/>
        <v>0</v>
      </c>
      <c r="AJ22" s="96">
        <f t="shared" si="12"/>
        <v>0</v>
      </c>
      <c r="AK22" s="96">
        <f t="shared" si="12"/>
        <v>0</v>
      </c>
      <c r="AL22" s="96">
        <f t="shared" si="12"/>
        <v>0</v>
      </c>
      <c r="AM22" s="96">
        <f t="shared" si="12"/>
        <v>0</v>
      </c>
      <c r="AN22" s="96">
        <f t="shared" si="12"/>
        <v>0</v>
      </c>
      <c r="AO22" s="96">
        <f t="shared" si="12"/>
        <v>0</v>
      </c>
      <c r="AP22" s="96">
        <f t="shared" si="12"/>
        <v>0</v>
      </c>
      <c r="AQ22" s="96">
        <f t="shared" si="12"/>
        <v>0</v>
      </c>
      <c r="AR22" s="96">
        <f t="shared" si="12"/>
        <v>0</v>
      </c>
      <c r="AS22" s="96">
        <f t="shared" si="12"/>
        <v>0</v>
      </c>
      <c r="AT22" s="96">
        <f t="shared" si="12"/>
        <v>0</v>
      </c>
      <c r="AU22" s="96">
        <f t="shared" si="12"/>
        <v>0</v>
      </c>
      <c r="AV22" s="96">
        <f t="shared" si="12"/>
        <v>0</v>
      </c>
      <c r="AW22" s="96">
        <f t="shared" si="12"/>
        <v>0</v>
      </c>
      <c r="AX22" s="202"/>
      <c r="AY22" s="202"/>
      <c r="AZ22" s="202"/>
      <c r="BA22" s="202"/>
      <c r="BB22" s="202"/>
      <c r="BC22" s="202"/>
      <c r="BD22" s="202"/>
      <c r="BE22" s="202"/>
      <c r="BF22" s="202"/>
      <c r="BG22" s="202"/>
      <c r="BH22" s="202"/>
      <c r="BI22" s="202"/>
      <c r="BJ22" s="202"/>
      <c r="BK22" s="202"/>
    </row>
    <row r="23" ht="15.75" customHeight="1">
      <c r="A23" s="203" t="s">
        <v>226</v>
      </c>
      <c r="B23" s="93"/>
      <c r="C23" s="93"/>
      <c r="D23" s="93"/>
      <c r="E23" s="93"/>
      <c r="F23" s="93"/>
      <c r="G23" s="93"/>
      <c r="H23" s="93"/>
      <c r="I23" s="93"/>
      <c r="J23" s="93"/>
      <c r="K23" s="93"/>
      <c r="L23" s="93"/>
      <c r="M23" s="93"/>
      <c r="N23" s="93"/>
      <c r="O23" s="93"/>
      <c r="P23" s="93"/>
      <c r="Q23" s="93"/>
      <c r="R23" s="93"/>
      <c r="S23" s="93"/>
      <c r="T23" s="93"/>
      <c r="U23" s="93"/>
      <c r="V23" s="93"/>
      <c r="W23" s="93"/>
      <c r="X23" s="93"/>
      <c r="Y23" s="93"/>
      <c r="Z23" s="52"/>
      <c r="AA23" s="93"/>
      <c r="AB23" s="93"/>
      <c r="AC23" s="93"/>
      <c r="AD23" s="93"/>
      <c r="AE23" s="93"/>
      <c r="AF23" s="93"/>
      <c r="AG23" s="93"/>
      <c r="AH23" s="93"/>
      <c r="AI23" s="93"/>
      <c r="AJ23" s="93"/>
      <c r="AK23" s="93"/>
      <c r="AL23" s="93"/>
      <c r="AM23" s="93"/>
      <c r="AN23" s="93"/>
      <c r="AO23" s="93"/>
      <c r="AP23" s="93"/>
      <c r="AQ23" s="93"/>
      <c r="AR23" s="93"/>
      <c r="AS23" s="93"/>
      <c r="AT23" s="93"/>
      <c r="AU23" s="93"/>
      <c r="AV23" s="93"/>
      <c r="AW23" s="93"/>
      <c r="AX23" s="93"/>
      <c r="AY23" s="93"/>
      <c r="AZ23" s="93"/>
      <c r="BA23" s="93"/>
      <c r="BB23" s="93"/>
      <c r="BC23" s="93"/>
      <c r="BD23" s="93"/>
      <c r="BE23" s="93"/>
      <c r="BF23" s="93"/>
      <c r="BG23" s="93"/>
      <c r="BH23" s="93"/>
      <c r="BI23" s="93"/>
      <c r="BJ23" s="93"/>
      <c r="BK23" s="93"/>
    </row>
    <row r="24" ht="15.75" customHeight="1">
      <c r="A24" s="203" t="s">
        <v>432</v>
      </c>
      <c r="B24" s="39"/>
      <c r="C24" s="39"/>
      <c r="D24" s="39">
        <f t="array" ref="D24">INDEX(Revenue_Model_MRR,MATCH(D$1,Revenue_Model_Months,0))</f>
        <v>657516.3014</v>
      </c>
      <c r="E24" s="39">
        <f t="array" ref="E24">INDEX(Revenue_Model_MRR,MATCH(E$1,Revenue_Model_Months,0))</f>
        <v>684009.6601</v>
      </c>
      <c r="F24" s="39">
        <f t="array" ref="F24">INDEX(Revenue_Model_MRR,MATCH(F$1,Revenue_Model_Months,0))</f>
        <v>710064.5103</v>
      </c>
      <c r="G24" s="39">
        <f t="array" ref="G24">INDEX(Revenue_Model_MRR,MATCH(G$1,Revenue_Model_Months,0))</f>
        <v>733560.3605</v>
      </c>
      <c r="H24" s="39">
        <f t="array" ref="H24">INDEX(Revenue_Model_MRR,MATCH(H$1,Revenue_Model_Months,0))</f>
        <v>755324.2106</v>
      </c>
      <c r="I24" s="39">
        <f t="array" ref="I24">INDEX(Revenue_Model_MRR,MATCH(I$1,Revenue_Model_Months,0))</f>
        <v>776285.0608</v>
      </c>
      <c r="J24" s="39">
        <f t="array" ref="J24">INDEX(Revenue_Model_MRR,MATCH(J$1,Revenue_Model_Months,0))</f>
        <v>798743.911</v>
      </c>
      <c r="K24" s="39">
        <f t="array" ref="K24">INDEX(Revenue_Model_MRR,MATCH(K$1,Revenue_Model_Months,0))</f>
        <v>824307.7612</v>
      </c>
      <c r="L24" s="39">
        <f t="array" ref="L24">INDEX(Revenue_Model_MRR,MATCH(L$1,Revenue_Model_Months,0))</f>
        <v>820162.7612</v>
      </c>
      <c r="M24" s="39">
        <f t="array" ref="M24">INDEX(Revenue_Model_MRR,MATCH(M$1,Revenue_Model_Months,0))</f>
        <v>794706.7612</v>
      </c>
      <c r="N24" s="39">
        <f t="array" ref="N24">INDEX(Revenue_Model_MRR,MATCH(N$1,Revenue_Model_Months,0))</f>
        <v>780349.4289</v>
      </c>
      <c r="O24" s="39">
        <f t="array" ref="O24">INDEX(Revenue_Model_MRR,MATCH(O$1,Revenue_Model_Months,0))</f>
        <v>776838.8983</v>
      </c>
      <c r="P24" s="39">
        <f t="array" ref="P24">INDEX(Revenue_Model_MRR,MATCH(P$1,Revenue_Model_Months,0))</f>
        <v>784307.4964</v>
      </c>
      <c r="Q24" s="39">
        <f t="array" ref="Q24">INDEX(Revenue_Model_MRR,MATCH(Q$1,Revenue_Model_Months,0))</f>
        <v>794270.1184</v>
      </c>
      <c r="R24" s="39">
        <f t="array" ref="R24">INDEX(Revenue_Model_MRR,MATCH(R$1,Revenue_Model_Months,0))</f>
        <v>810446.9171</v>
      </c>
      <c r="S24" s="39">
        <f t="array" ref="S24">INDEX(Revenue_Model_MRR,MATCH(S$1,Revenue_Model_Months,0))</f>
        <v>828843.4437</v>
      </c>
      <c r="T24" s="39">
        <f t="array" ref="T24">INDEX(Revenue_Model_MRR,MATCH(T$1,Revenue_Model_Months,0))</f>
        <v>846201.4208</v>
      </c>
      <c r="U24" s="39">
        <f t="array" ref="U24">INDEX(Revenue_Model_MRR,MATCH(U$1,Revenue_Model_Months,0))</f>
        <v>864575.1131</v>
      </c>
      <c r="V24" s="39">
        <f t="array" ref="V24">INDEX(Revenue_Model_MRR,MATCH(V$1,Revenue_Model_Months,0))</f>
        <v>882839.9823</v>
      </c>
      <c r="W24" s="39">
        <f t="array" ref="W24">INDEX(Revenue_Model_MRR,MATCH(W$1,Revenue_Model_Months,0))</f>
        <v>902246.5996</v>
      </c>
      <c r="X24" s="39">
        <f t="array" ref="X24">INDEX(Revenue_Model_MRR,MATCH(X$1,Revenue_Model_Months,0))</f>
        <v>921493.2125</v>
      </c>
      <c r="Y24" s="39">
        <f t="array" ref="Y24">INDEX(Revenue_Model_MRR,MATCH(Y$1,Revenue_Model_Months,0))</f>
        <v>941858.9225</v>
      </c>
      <c r="Z24" s="39">
        <f t="array" ref="Z24">INDEX(Revenue_Model_MRR,MATCH(Z$1,Revenue_Model_Months,0))</f>
        <v>963330.7191</v>
      </c>
      <c r="AA24" s="39">
        <f t="array" ref="AA24">INDEX(Revenue_Model_MRR,MATCH(AA$1,Revenue_Model_Months,0))</f>
        <v>984645.7735</v>
      </c>
      <c r="AB24" s="39">
        <f t="array" ref="AB24">INDEX(Revenue_Model_MRR,MATCH(AB$1,Revenue_Model_Months,0))</f>
        <v>1007059.449</v>
      </c>
      <c r="AC24" s="39">
        <f t="array" ref="AC24">INDEX(Revenue_Model_MRR,MATCH(AC$1,Revenue_Model_Months,0))</f>
        <v>1029314.149</v>
      </c>
      <c r="AD24" s="39">
        <f t="array" ref="AD24">INDEX(Revenue_Model_MRR,MATCH(AD$1,Revenue_Model_Months,0))</f>
        <v>1052658.019</v>
      </c>
      <c r="AE24" s="39">
        <f t="array" ref="AE24">INDEX(Revenue_Model_MRR,MATCH(AE$1,Revenue_Model_Months,0))</f>
        <v>1077084.272</v>
      </c>
      <c r="AF24" s="39">
        <f t="array" ref="AF24">INDEX(Revenue_Model_MRR,MATCH(AF$1,Revenue_Model_Months,0))</f>
        <v>1101336.803</v>
      </c>
      <c r="AG24" s="39">
        <f t="array" ref="AG24">INDEX(Revenue_Model_MRR,MATCH(AG$1,Revenue_Model_Months,0))</f>
        <v>1126664.72</v>
      </c>
      <c r="AH24" s="39">
        <f t="array" ref="AH24">INDEX(Revenue_Model_MRR,MATCH(AH$1,Revenue_Model_Months,0))</f>
        <v>1160464.661</v>
      </c>
      <c r="AI24" s="39">
        <f t="array" ref="AI24">INDEX(Revenue_Model_MRR,MATCH(AI$1,Revenue_Model_Months,0))</f>
        <v>1195278.601</v>
      </c>
      <c r="AJ24" s="39">
        <f t="array" ref="AJ24">INDEX(Revenue_Model_MRR,MATCH(AJ$1,Revenue_Model_Months,0))</f>
        <v>1231136.959</v>
      </c>
      <c r="AK24" s="39">
        <f t="array" ref="AK24">INDEX(Revenue_Model_MRR,MATCH(AK$1,Revenue_Model_Months,0))</f>
        <v>1268071.068</v>
      </c>
      <c r="AL24" s="39">
        <f t="array" ref="AL24">INDEX(Revenue_Model_MRR,MATCH(AL$1,Revenue_Model_Months,0))</f>
        <v>1306113.2</v>
      </c>
      <c r="AM24" s="39">
        <f t="array" ref="AM24">INDEX(Revenue_Model_MRR,MATCH(AM$1,Revenue_Model_Months,0))</f>
        <v>1345296.596</v>
      </c>
      <c r="AN24" s="39">
        <f t="array" ref="AN24">INDEX(Revenue_Model_MRR,MATCH(AN$1,Revenue_Model_Months,0))</f>
        <v>1385655.494</v>
      </c>
      <c r="AO24" s="39">
        <f t="array" ref="AO24">INDEX(Revenue_Model_MRR,MATCH(AO$1,Revenue_Model_Months,0))</f>
        <v>1427225.159</v>
      </c>
      <c r="AP24" s="39">
        <f t="array" ref="AP24">INDEX(Revenue_Model_MRR,MATCH(AP$1,Revenue_Model_Months,0))</f>
        <v>1470041.914</v>
      </c>
      <c r="AQ24" s="39">
        <f t="array" ref="AQ24">INDEX(Revenue_Model_MRR,MATCH(AQ$1,Revenue_Model_Months,0))</f>
        <v>1514143.171</v>
      </c>
      <c r="AR24" s="39">
        <f t="array" ref="AR24">INDEX(Revenue_Model_MRR,MATCH(AR$1,Revenue_Model_Months,0))</f>
        <v>1559567.466</v>
      </c>
      <c r="AS24" s="39">
        <f t="array" ref="AS24">INDEX(Revenue_Model_MRR,MATCH(AS$1,Revenue_Model_Months,0))</f>
        <v>1606354.49</v>
      </c>
      <c r="AT24" s="39">
        <f t="array" ref="AT24">INDEX(Revenue_Model_MRR,MATCH(AT$1,Revenue_Model_Months,0))</f>
        <v>1654545.125</v>
      </c>
      <c r="AU24" s="39">
        <f t="array" ref="AU24">INDEX(Revenue_Model_MRR,MATCH(AU$1,Revenue_Model_Months,0))</f>
        <v>1704181.479</v>
      </c>
      <c r="AV24" s="39">
        <f t="array" ref="AV24">INDEX(Revenue_Model_MRR,MATCH(AV$1,Revenue_Model_Months,0))</f>
        <v>1755306.923</v>
      </c>
      <c r="AW24" s="39">
        <f t="array" ref="AW24">INDEX(Revenue_Model_MRR,MATCH(AW$1,Revenue_Model_Months,0))</f>
        <v>1807966.131</v>
      </c>
      <c r="AX24" s="39"/>
      <c r="AY24" s="39"/>
      <c r="AZ24" s="39"/>
      <c r="BA24" s="39"/>
      <c r="BB24" s="39"/>
      <c r="BC24" s="39"/>
      <c r="BD24" s="39"/>
      <c r="BE24" s="39"/>
      <c r="BF24" s="39"/>
      <c r="BG24" s="39"/>
      <c r="BH24" s="39"/>
      <c r="BI24" s="39"/>
      <c r="BJ24" s="39"/>
      <c r="BK24" s="39"/>
    </row>
    <row r="25" ht="15.75" customHeight="1">
      <c r="A25" s="203" t="s">
        <v>433</v>
      </c>
      <c r="B25" s="202"/>
      <c r="C25" s="202"/>
      <c r="D25" s="67"/>
      <c r="E25" s="67">
        <f t="shared" ref="E25:AW25" si="13">E24+E22</f>
        <v>684009.6601</v>
      </c>
      <c r="F25" s="67">
        <f t="shared" si="13"/>
        <v>710064.5103</v>
      </c>
      <c r="G25" s="67">
        <f t="shared" si="13"/>
        <v>733560.3605</v>
      </c>
      <c r="H25" s="67">
        <f t="shared" si="13"/>
        <v>755324.2106</v>
      </c>
      <c r="I25" s="67">
        <f t="shared" si="13"/>
        <v>776285.0608</v>
      </c>
      <c r="J25" s="67">
        <f t="shared" si="13"/>
        <v>798743.911</v>
      </c>
      <c r="K25" s="67">
        <f t="shared" si="13"/>
        <v>824307.7612</v>
      </c>
      <c r="L25" s="67">
        <f t="shared" si="13"/>
        <v>820162.7612</v>
      </c>
      <c r="M25" s="67">
        <f t="shared" si="13"/>
        <v>794706.7612</v>
      </c>
      <c r="N25" s="67">
        <f t="shared" si="13"/>
        <v>780349.4289</v>
      </c>
      <c r="O25" s="67">
        <f t="shared" si="13"/>
        <v>776838.8983</v>
      </c>
      <c r="P25" s="67">
        <f t="shared" si="13"/>
        <v>784307.4964</v>
      </c>
      <c r="Q25" s="67">
        <f t="shared" si="13"/>
        <v>794270.1184</v>
      </c>
      <c r="R25" s="67">
        <f t="shared" si="13"/>
        <v>810446.9171</v>
      </c>
      <c r="S25" s="67">
        <f t="shared" si="13"/>
        <v>828843.4437</v>
      </c>
      <c r="T25" s="67">
        <f t="shared" si="13"/>
        <v>846201.4208</v>
      </c>
      <c r="U25" s="67">
        <f t="shared" si="13"/>
        <v>864575.1131</v>
      </c>
      <c r="V25" s="67">
        <f t="shared" si="13"/>
        <v>882839.9823</v>
      </c>
      <c r="W25" s="67">
        <f t="shared" si="13"/>
        <v>902246.5996</v>
      </c>
      <c r="X25" s="67">
        <f t="shared" si="13"/>
        <v>921493.2125</v>
      </c>
      <c r="Y25" s="67">
        <f t="shared" si="13"/>
        <v>941858.9225</v>
      </c>
      <c r="Z25" s="67">
        <f t="shared" si="13"/>
        <v>963330.7191</v>
      </c>
      <c r="AA25" s="67">
        <f t="shared" si="13"/>
        <v>984645.7735</v>
      </c>
      <c r="AB25" s="67">
        <f t="shared" si="13"/>
        <v>1007059.449</v>
      </c>
      <c r="AC25" s="67">
        <f t="shared" si="13"/>
        <v>1029314.149</v>
      </c>
      <c r="AD25" s="67">
        <f t="shared" si="13"/>
        <v>1052658.019</v>
      </c>
      <c r="AE25" s="67">
        <f t="shared" si="13"/>
        <v>1077084.272</v>
      </c>
      <c r="AF25" s="67">
        <f t="shared" si="13"/>
        <v>1101336.803</v>
      </c>
      <c r="AG25" s="67">
        <f t="shared" si="13"/>
        <v>1126664.72</v>
      </c>
      <c r="AH25" s="67">
        <f t="shared" si="13"/>
        <v>1160464.661</v>
      </c>
      <c r="AI25" s="67">
        <f t="shared" si="13"/>
        <v>1195278.601</v>
      </c>
      <c r="AJ25" s="67">
        <f t="shared" si="13"/>
        <v>1231136.959</v>
      </c>
      <c r="AK25" s="67">
        <f t="shared" si="13"/>
        <v>1268071.068</v>
      </c>
      <c r="AL25" s="67">
        <f t="shared" si="13"/>
        <v>1306113.2</v>
      </c>
      <c r="AM25" s="67">
        <f t="shared" si="13"/>
        <v>1345296.596</v>
      </c>
      <c r="AN25" s="67">
        <f t="shared" si="13"/>
        <v>1385655.494</v>
      </c>
      <c r="AO25" s="67">
        <f t="shared" si="13"/>
        <v>1427225.159</v>
      </c>
      <c r="AP25" s="67">
        <f t="shared" si="13"/>
        <v>1470041.914</v>
      </c>
      <c r="AQ25" s="67">
        <f t="shared" si="13"/>
        <v>1514143.171</v>
      </c>
      <c r="AR25" s="67">
        <f t="shared" si="13"/>
        <v>1559567.466</v>
      </c>
      <c r="AS25" s="67">
        <f t="shared" si="13"/>
        <v>1606354.49</v>
      </c>
      <c r="AT25" s="67">
        <f t="shared" si="13"/>
        <v>1654545.125</v>
      </c>
      <c r="AU25" s="67">
        <f t="shared" si="13"/>
        <v>1704181.479</v>
      </c>
      <c r="AV25" s="67">
        <f t="shared" si="13"/>
        <v>1755306.923</v>
      </c>
      <c r="AW25" s="67">
        <f t="shared" si="13"/>
        <v>1807966.131</v>
      </c>
      <c r="AX25" s="202"/>
      <c r="AY25" s="202"/>
      <c r="AZ25" s="202"/>
      <c r="BA25" s="202"/>
      <c r="BB25" s="202"/>
      <c r="BC25" s="202"/>
      <c r="BD25" s="202"/>
      <c r="BE25" s="202"/>
      <c r="BF25" s="202"/>
      <c r="BG25" s="202"/>
      <c r="BH25" s="202"/>
      <c r="BI25" s="202"/>
      <c r="BJ25" s="202"/>
      <c r="BK25" s="202"/>
    </row>
    <row r="26" ht="15.75" customHeight="1">
      <c r="A26" s="188"/>
      <c r="B26" s="202"/>
      <c r="C26" s="202"/>
      <c r="D26" s="202"/>
      <c r="E26" s="202"/>
      <c r="F26" s="202"/>
      <c r="G26" s="202"/>
      <c r="H26" s="202"/>
      <c r="I26" s="202"/>
      <c r="J26" s="202"/>
      <c r="K26" s="202"/>
      <c r="L26" s="202"/>
      <c r="M26" s="202"/>
      <c r="N26" s="202"/>
      <c r="O26" s="202"/>
      <c r="P26" s="202"/>
      <c r="Q26" s="202"/>
      <c r="R26" s="202"/>
      <c r="S26" s="202"/>
      <c r="T26" s="202"/>
      <c r="U26" s="202"/>
      <c r="V26" s="202"/>
      <c r="W26" s="202"/>
      <c r="X26" s="202"/>
      <c r="Y26" s="202"/>
      <c r="Z26" s="202"/>
      <c r="AA26" s="202"/>
      <c r="AB26" s="202"/>
      <c r="AC26" s="202"/>
      <c r="AD26" s="202"/>
      <c r="AE26" s="202"/>
      <c r="AF26" s="202"/>
      <c r="AG26" s="202"/>
      <c r="AH26" s="202"/>
      <c r="AI26" s="202"/>
      <c r="AJ26" s="202"/>
      <c r="AK26" s="202"/>
      <c r="AL26" s="202"/>
      <c r="AM26" s="202"/>
      <c r="AN26" s="202"/>
      <c r="AO26" s="202"/>
      <c r="AP26" s="202"/>
      <c r="AQ26" s="202"/>
      <c r="AR26" s="202"/>
      <c r="AS26" s="202"/>
      <c r="AT26" s="202"/>
      <c r="AU26" s="202"/>
      <c r="AV26" s="202"/>
      <c r="AW26" s="202"/>
      <c r="AX26" s="202"/>
      <c r="AY26" s="202"/>
      <c r="AZ26" s="202"/>
      <c r="BA26" s="202"/>
      <c r="BB26" s="202"/>
      <c r="BC26" s="202"/>
      <c r="BD26" s="202"/>
      <c r="BE26" s="202"/>
      <c r="BF26" s="202"/>
      <c r="BG26" s="202"/>
      <c r="BH26" s="202"/>
      <c r="BI26" s="202"/>
      <c r="BJ26" s="202"/>
      <c r="BK26" s="202"/>
    </row>
    <row r="27" ht="15.75" customHeight="1">
      <c r="A27" s="188"/>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c r="BK27" s="44"/>
    </row>
    <row r="28" ht="15.75" customHeight="1">
      <c r="A28" s="204" t="s">
        <v>434</v>
      </c>
      <c r="B28" s="205"/>
      <c r="C28" s="205"/>
      <c r="D28" s="205">
        <f t="shared" ref="D28:AW28" si="14">SUM(D29:D76)</f>
        <v>0</v>
      </c>
      <c r="E28" s="205">
        <f t="shared" si="14"/>
        <v>0</v>
      </c>
      <c r="F28" s="205">
        <f t="shared" si="14"/>
        <v>0</v>
      </c>
      <c r="G28" s="205">
        <f t="shared" si="14"/>
        <v>0</v>
      </c>
      <c r="H28" s="205">
        <f t="shared" si="14"/>
        <v>0</v>
      </c>
      <c r="I28" s="205">
        <f t="shared" si="14"/>
        <v>0</v>
      </c>
      <c r="J28" s="205">
        <f t="shared" si="14"/>
        <v>0</v>
      </c>
      <c r="K28" s="205">
        <f t="shared" si="14"/>
        <v>0</v>
      </c>
      <c r="L28" s="205">
        <f t="shared" si="14"/>
        <v>0</v>
      </c>
      <c r="M28" s="205">
        <f t="shared" si="14"/>
        <v>0</v>
      </c>
      <c r="N28" s="205">
        <f t="shared" si="14"/>
        <v>0</v>
      </c>
      <c r="O28" s="205">
        <f t="shared" si="14"/>
        <v>0</v>
      </c>
      <c r="P28" s="205">
        <f t="shared" si="14"/>
        <v>0</v>
      </c>
      <c r="Q28" s="205">
        <f t="shared" si="14"/>
        <v>0</v>
      </c>
      <c r="R28" s="205">
        <f t="shared" si="14"/>
        <v>0</v>
      </c>
      <c r="S28" s="205">
        <f t="shared" si="14"/>
        <v>0</v>
      </c>
      <c r="T28" s="205">
        <f t="shared" si="14"/>
        <v>0</v>
      </c>
      <c r="U28" s="205">
        <f t="shared" si="14"/>
        <v>0</v>
      </c>
      <c r="V28" s="205">
        <f t="shared" si="14"/>
        <v>0</v>
      </c>
      <c r="W28" s="205">
        <f t="shared" si="14"/>
        <v>0</v>
      </c>
      <c r="X28" s="205">
        <f t="shared" si="14"/>
        <v>0</v>
      </c>
      <c r="Y28" s="205">
        <f t="shared" si="14"/>
        <v>0</v>
      </c>
      <c r="Z28" s="205">
        <f t="shared" si="14"/>
        <v>0</v>
      </c>
      <c r="AA28" s="205">
        <f t="shared" si="14"/>
        <v>0</v>
      </c>
      <c r="AB28" s="205">
        <f t="shared" si="14"/>
        <v>0</v>
      </c>
      <c r="AC28" s="205">
        <f t="shared" si="14"/>
        <v>0</v>
      </c>
      <c r="AD28" s="205">
        <f t="shared" si="14"/>
        <v>0</v>
      </c>
      <c r="AE28" s="205">
        <f t="shared" si="14"/>
        <v>0</v>
      </c>
      <c r="AF28" s="205">
        <f t="shared" si="14"/>
        <v>0</v>
      </c>
      <c r="AG28" s="205">
        <f t="shared" si="14"/>
        <v>0</v>
      </c>
      <c r="AH28" s="205">
        <f t="shared" si="14"/>
        <v>0</v>
      </c>
      <c r="AI28" s="205">
        <f t="shared" si="14"/>
        <v>0</v>
      </c>
      <c r="AJ28" s="205">
        <f t="shared" si="14"/>
        <v>0</v>
      </c>
      <c r="AK28" s="205">
        <f t="shared" si="14"/>
        <v>0</v>
      </c>
      <c r="AL28" s="205">
        <f t="shared" si="14"/>
        <v>0</v>
      </c>
      <c r="AM28" s="205">
        <f t="shared" si="14"/>
        <v>0</v>
      </c>
      <c r="AN28" s="205">
        <f t="shared" si="14"/>
        <v>0</v>
      </c>
      <c r="AO28" s="205">
        <f t="shared" si="14"/>
        <v>0</v>
      </c>
      <c r="AP28" s="205">
        <f t="shared" si="14"/>
        <v>0</v>
      </c>
      <c r="AQ28" s="205">
        <f t="shared" si="14"/>
        <v>0</v>
      </c>
      <c r="AR28" s="205">
        <f t="shared" si="14"/>
        <v>0</v>
      </c>
      <c r="AS28" s="205">
        <f t="shared" si="14"/>
        <v>0</v>
      </c>
      <c r="AT28" s="205">
        <f t="shared" si="14"/>
        <v>0</v>
      </c>
      <c r="AU28" s="205">
        <f t="shared" si="14"/>
        <v>0</v>
      </c>
      <c r="AV28" s="205">
        <f t="shared" si="14"/>
        <v>0</v>
      </c>
      <c r="AW28" s="205">
        <f t="shared" si="14"/>
        <v>0</v>
      </c>
      <c r="AX28" s="96"/>
      <c r="AY28" s="96"/>
      <c r="AZ28" s="96"/>
      <c r="BA28" s="96"/>
      <c r="BB28" s="96"/>
      <c r="BC28" s="96"/>
      <c r="BD28" s="96"/>
      <c r="BE28" s="96"/>
      <c r="BF28" s="96"/>
      <c r="BG28" s="96"/>
      <c r="BH28" s="96"/>
      <c r="BI28" s="96"/>
      <c r="BJ28" s="96"/>
      <c r="BK28" s="96"/>
    </row>
    <row r="29" ht="15.75" customHeight="1">
      <c r="A29" s="206">
        <f>$D$1</f>
        <v>43647</v>
      </c>
      <c r="B29" s="96"/>
      <c r="C29" s="96"/>
      <c r="D29" s="96">
        <f>SUM(D$17)/12</f>
        <v>0</v>
      </c>
      <c r="E29" s="96">
        <f t="shared" ref="E29:O29" si="15">D29</f>
        <v>0</v>
      </c>
      <c r="F29" s="96">
        <f t="shared" si="15"/>
        <v>0</v>
      </c>
      <c r="G29" s="96">
        <f t="shared" si="15"/>
        <v>0</v>
      </c>
      <c r="H29" s="96">
        <f t="shared" si="15"/>
        <v>0</v>
      </c>
      <c r="I29" s="96">
        <f t="shared" si="15"/>
        <v>0</v>
      </c>
      <c r="J29" s="96">
        <f t="shared" si="15"/>
        <v>0</v>
      </c>
      <c r="K29" s="96">
        <f t="shared" si="15"/>
        <v>0</v>
      </c>
      <c r="L29" s="96">
        <f t="shared" si="15"/>
        <v>0</v>
      </c>
      <c r="M29" s="96">
        <f t="shared" si="15"/>
        <v>0</v>
      </c>
      <c r="N29" s="96">
        <f t="shared" si="15"/>
        <v>0</v>
      </c>
      <c r="O29" s="96">
        <f t="shared" si="15"/>
        <v>0</v>
      </c>
      <c r="P29" s="96"/>
      <c r="Q29" s="96"/>
      <c r="R29" s="96"/>
      <c r="S29" s="96"/>
      <c r="T29" s="96"/>
      <c r="U29" s="96"/>
      <c r="V29" s="96"/>
      <c r="W29" s="96"/>
      <c r="X29" s="96"/>
      <c r="Y29" s="96"/>
      <c r="Z29" s="96"/>
      <c r="AA29" s="96"/>
      <c r="AB29" s="96"/>
      <c r="AC29" s="96"/>
      <c r="AD29" s="96"/>
      <c r="AE29" s="96"/>
      <c r="AF29" s="96"/>
      <c r="AG29" s="96"/>
      <c r="AH29" s="96"/>
      <c r="AI29" s="96"/>
      <c r="AJ29" s="96"/>
      <c r="AK29" s="96"/>
      <c r="AL29" s="96"/>
      <c r="AM29" s="96"/>
      <c r="AN29" s="96"/>
      <c r="AO29" s="96"/>
      <c r="AP29" s="96"/>
      <c r="AQ29" s="96"/>
      <c r="AR29" s="96"/>
      <c r="AS29" s="96"/>
      <c r="AT29" s="96"/>
      <c r="AU29" s="96"/>
      <c r="AV29" s="96"/>
      <c r="AW29" s="96"/>
      <c r="AX29" s="96"/>
      <c r="AY29" s="96"/>
      <c r="AZ29" s="96"/>
      <c r="BA29" s="96"/>
      <c r="BB29" s="96"/>
      <c r="BC29" s="96"/>
      <c r="BD29" s="96"/>
      <c r="BE29" s="96"/>
      <c r="BF29" s="96"/>
      <c r="BG29" s="96"/>
      <c r="BH29" s="96"/>
      <c r="BI29" s="96"/>
      <c r="BJ29" s="96"/>
      <c r="BK29" s="96"/>
    </row>
    <row r="30" ht="15.75" customHeight="1">
      <c r="A30" s="206">
        <f t="shared" ref="A30:A76" si="17">EDATE(A29,1)</f>
        <v>43678</v>
      </c>
      <c r="B30" s="96"/>
      <c r="C30" s="96"/>
      <c r="D30" s="96"/>
      <c r="E30" s="96">
        <f>SUM(E$17)/12</f>
        <v>0</v>
      </c>
      <c r="F30" s="96">
        <f t="shared" ref="F30:P30" si="16">E30</f>
        <v>0</v>
      </c>
      <c r="G30" s="96">
        <f t="shared" si="16"/>
        <v>0</v>
      </c>
      <c r="H30" s="96">
        <f t="shared" si="16"/>
        <v>0</v>
      </c>
      <c r="I30" s="96">
        <f t="shared" si="16"/>
        <v>0</v>
      </c>
      <c r="J30" s="96">
        <f t="shared" si="16"/>
        <v>0</v>
      </c>
      <c r="K30" s="96">
        <f t="shared" si="16"/>
        <v>0</v>
      </c>
      <c r="L30" s="96">
        <f t="shared" si="16"/>
        <v>0</v>
      </c>
      <c r="M30" s="96">
        <f t="shared" si="16"/>
        <v>0</v>
      </c>
      <c r="N30" s="96">
        <f t="shared" si="16"/>
        <v>0</v>
      </c>
      <c r="O30" s="96">
        <f t="shared" si="16"/>
        <v>0</v>
      </c>
      <c r="P30" s="96">
        <f t="shared" si="16"/>
        <v>0</v>
      </c>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6"/>
      <c r="BH30" s="96"/>
      <c r="BI30" s="96"/>
      <c r="BJ30" s="96"/>
      <c r="BK30" s="96"/>
    </row>
    <row r="31" ht="15.75" customHeight="1">
      <c r="A31" s="206">
        <f t="shared" si="17"/>
        <v>43709</v>
      </c>
      <c r="B31" s="96"/>
      <c r="C31" s="96"/>
      <c r="D31" s="96"/>
      <c r="E31" s="96"/>
      <c r="F31" s="96">
        <f>SUM(F$17)/12</f>
        <v>0</v>
      </c>
      <c r="G31" s="96">
        <f t="shared" ref="G31:Q31" si="18">F31</f>
        <v>0</v>
      </c>
      <c r="H31" s="96">
        <f t="shared" si="18"/>
        <v>0</v>
      </c>
      <c r="I31" s="96">
        <f t="shared" si="18"/>
        <v>0</v>
      </c>
      <c r="J31" s="96">
        <f t="shared" si="18"/>
        <v>0</v>
      </c>
      <c r="K31" s="96">
        <f t="shared" si="18"/>
        <v>0</v>
      </c>
      <c r="L31" s="96">
        <f t="shared" si="18"/>
        <v>0</v>
      </c>
      <c r="M31" s="96">
        <f t="shared" si="18"/>
        <v>0</v>
      </c>
      <c r="N31" s="96">
        <f t="shared" si="18"/>
        <v>0</v>
      </c>
      <c r="O31" s="96">
        <f t="shared" si="18"/>
        <v>0</v>
      </c>
      <c r="P31" s="96">
        <f t="shared" si="18"/>
        <v>0</v>
      </c>
      <c r="Q31" s="96">
        <f t="shared" si="18"/>
        <v>0</v>
      </c>
      <c r="R31" s="96"/>
      <c r="S31" s="96"/>
      <c r="T31" s="96"/>
      <c r="U31" s="96"/>
      <c r="V31" s="96"/>
      <c r="W31" s="96"/>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6"/>
      <c r="BD31" s="96"/>
      <c r="BE31" s="96"/>
      <c r="BF31" s="96"/>
      <c r="BG31" s="96"/>
      <c r="BH31" s="96"/>
      <c r="BI31" s="96"/>
      <c r="BJ31" s="96"/>
      <c r="BK31" s="96"/>
    </row>
    <row r="32" ht="15.75" customHeight="1">
      <c r="A32" s="206">
        <f t="shared" si="17"/>
        <v>43739</v>
      </c>
      <c r="B32" s="96"/>
      <c r="C32" s="96"/>
      <c r="D32" s="96"/>
      <c r="E32" s="96"/>
      <c r="F32" s="96"/>
      <c r="G32" s="96">
        <f>SUM(G$17)/12</f>
        <v>0</v>
      </c>
      <c r="H32" s="96">
        <f t="shared" ref="H32:R32" si="19">G32</f>
        <v>0</v>
      </c>
      <c r="I32" s="96">
        <f t="shared" si="19"/>
        <v>0</v>
      </c>
      <c r="J32" s="96">
        <f t="shared" si="19"/>
        <v>0</v>
      </c>
      <c r="K32" s="96">
        <f t="shared" si="19"/>
        <v>0</v>
      </c>
      <c r="L32" s="96">
        <f t="shared" si="19"/>
        <v>0</v>
      </c>
      <c r="M32" s="96">
        <f t="shared" si="19"/>
        <v>0</v>
      </c>
      <c r="N32" s="96">
        <f t="shared" si="19"/>
        <v>0</v>
      </c>
      <c r="O32" s="96">
        <f t="shared" si="19"/>
        <v>0</v>
      </c>
      <c r="P32" s="96">
        <f t="shared" si="19"/>
        <v>0</v>
      </c>
      <c r="Q32" s="96">
        <f t="shared" si="19"/>
        <v>0</v>
      </c>
      <c r="R32" s="96">
        <f t="shared" si="19"/>
        <v>0</v>
      </c>
      <c r="S32" s="96"/>
      <c r="T32" s="96"/>
      <c r="U32" s="96"/>
      <c r="V32" s="96"/>
      <c r="W32" s="96"/>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6"/>
      <c r="BJ32" s="96"/>
      <c r="BK32" s="96"/>
    </row>
    <row r="33" ht="15.75" customHeight="1">
      <c r="A33" s="206">
        <f t="shared" si="17"/>
        <v>43770</v>
      </c>
      <c r="B33" s="96"/>
      <c r="C33" s="96"/>
      <c r="D33" s="96"/>
      <c r="E33" s="96"/>
      <c r="F33" s="96"/>
      <c r="G33" s="96"/>
      <c r="H33" s="96">
        <f>SUM(H$17)/12</f>
        <v>0</v>
      </c>
      <c r="I33" s="96">
        <f t="shared" ref="I33:S33" si="20">H33</f>
        <v>0</v>
      </c>
      <c r="J33" s="96">
        <f t="shared" si="20"/>
        <v>0</v>
      </c>
      <c r="K33" s="96">
        <f t="shared" si="20"/>
        <v>0</v>
      </c>
      <c r="L33" s="96">
        <f t="shared" si="20"/>
        <v>0</v>
      </c>
      <c r="M33" s="96">
        <f t="shared" si="20"/>
        <v>0</v>
      </c>
      <c r="N33" s="96">
        <f t="shared" si="20"/>
        <v>0</v>
      </c>
      <c r="O33" s="96">
        <f t="shared" si="20"/>
        <v>0</v>
      </c>
      <c r="P33" s="96">
        <f t="shared" si="20"/>
        <v>0</v>
      </c>
      <c r="Q33" s="96">
        <f t="shared" si="20"/>
        <v>0</v>
      </c>
      <c r="R33" s="96">
        <f t="shared" si="20"/>
        <v>0</v>
      </c>
      <c r="S33" s="96">
        <f t="shared" si="20"/>
        <v>0</v>
      </c>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6"/>
      <c r="BJ33" s="96"/>
      <c r="BK33" s="96"/>
    </row>
    <row r="34" ht="15.75" customHeight="1">
      <c r="A34" s="206">
        <f t="shared" si="17"/>
        <v>43800</v>
      </c>
      <c r="B34" s="96"/>
      <c r="C34" s="96"/>
      <c r="D34" s="96"/>
      <c r="E34" s="96"/>
      <c r="F34" s="96"/>
      <c r="G34" s="96"/>
      <c r="H34" s="96"/>
      <c r="I34" s="96">
        <f>SUM(I$17)/12</f>
        <v>0</v>
      </c>
      <c r="J34" s="96">
        <f t="shared" ref="J34:T34" si="21">I34</f>
        <v>0</v>
      </c>
      <c r="K34" s="96">
        <f t="shared" si="21"/>
        <v>0</v>
      </c>
      <c r="L34" s="96">
        <f t="shared" si="21"/>
        <v>0</v>
      </c>
      <c r="M34" s="96">
        <f t="shared" si="21"/>
        <v>0</v>
      </c>
      <c r="N34" s="96">
        <f t="shared" si="21"/>
        <v>0</v>
      </c>
      <c r="O34" s="96">
        <f t="shared" si="21"/>
        <v>0</v>
      </c>
      <c r="P34" s="96">
        <f t="shared" si="21"/>
        <v>0</v>
      </c>
      <c r="Q34" s="96">
        <f t="shared" si="21"/>
        <v>0</v>
      </c>
      <c r="R34" s="96">
        <f t="shared" si="21"/>
        <v>0</v>
      </c>
      <c r="S34" s="96">
        <f t="shared" si="21"/>
        <v>0</v>
      </c>
      <c r="T34" s="96">
        <f t="shared" si="21"/>
        <v>0</v>
      </c>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6"/>
      <c r="BJ34" s="96"/>
      <c r="BK34" s="96"/>
    </row>
    <row r="35" ht="15.75" customHeight="1">
      <c r="A35" s="206">
        <f t="shared" si="17"/>
        <v>43831</v>
      </c>
      <c r="B35" s="96"/>
      <c r="C35" s="96"/>
      <c r="D35" s="96"/>
      <c r="E35" s="96"/>
      <c r="F35" s="96"/>
      <c r="G35" s="96"/>
      <c r="H35" s="96"/>
      <c r="I35" s="96"/>
      <c r="J35" s="96">
        <f>SUM(J$17)/12</f>
        <v>0</v>
      </c>
      <c r="K35" s="96">
        <f t="shared" ref="K35:U35" si="22">J35</f>
        <v>0</v>
      </c>
      <c r="L35" s="96">
        <f t="shared" si="22"/>
        <v>0</v>
      </c>
      <c r="M35" s="96">
        <f t="shared" si="22"/>
        <v>0</v>
      </c>
      <c r="N35" s="96">
        <f t="shared" si="22"/>
        <v>0</v>
      </c>
      <c r="O35" s="96">
        <f t="shared" si="22"/>
        <v>0</v>
      </c>
      <c r="P35" s="96">
        <f t="shared" si="22"/>
        <v>0</v>
      </c>
      <c r="Q35" s="96">
        <f t="shared" si="22"/>
        <v>0</v>
      </c>
      <c r="R35" s="96">
        <f t="shared" si="22"/>
        <v>0</v>
      </c>
      <c r="S35" s="96">
        <f t="shared" si="22"/>
        <v>0</v>
      </c>
      <c r="T35" s="96">
        <f t="shared" si="22"/>
        <v>0</v>
      </c>
      <c r="U35" s="96">
        <f t="shared" si="22"/>
        <v>0</v>
      </c>
      <c r="V35" s="96"/>
      <c r="W35" s="96"/>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6"/>
      <c r="BJ35" s="96"/>
      <c r="BK35" s="96"/>
    </row>
    <row r="36" ht="15.75" customHeight="1">
      <c r="A36" s="206">
        <f t="shared" si="17"/>
        <v>43862</v>
      </c>
      <c r="B36" s="96"/>
      <c r="C36" s="96"/>
      <c r="D36" s="96"/>
      <c r="E36" s="96"/>
      <c r="F36" s="96"/>
      <c r="G36" s="96"/>
      <c r="H36" s="96"/>
      <c r="I36" s="96"/>
      <c r="J36" s="96"/>
      <c r="K36" s="96">
        <f>SUM(K$17)/12</f>
        <v>0</v>
      </c>
      <c r="L36" s="96">
        <f t="shared" ref="L36:V36" si="23">K36</f>
        <v>0</v>
      </c>
      <c r="M36" s="96">
        <f t="shared" si="23"/>
        <v>0</v>
      </c>
      <c r="N36" s="96">
        <f t="shared" si="23"/>
        <v>0</v>
      </c>
      <c r="O36" s="96">
        <f t="shared" si="23"/>
        <v>0</v>
      </c>
      <c r="P36" s="96">
        <f t="shared" si="23"/>
        <v>0</v>
      </c>
      <c r="Q36" s="96">
        <f t="shared" si="23"/>
        <v>0</v>
      </c>
      <c r="R36" s="96">
        <f t="shared" si="23"/>
        <v>0</v>
      </c>
      <c r="S36" s="96">
        <f t="shared" si="23"/>
        <v>0</v>
      </c>
      <c r="T36" s="96">
        <f t="shared" si="23"/>
        <v>0</v>
      </c>
      <c r="U36" s="96">
        <f t="shared" si="23"/>
        <v>0</v>
      </c>
      <c r="V36" s="96">
        <f t="shared" si="23"/>
        <v>0</v>
      </c>
      <c r="W36" s="96"/>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6"/>
      <c r="BJ36" s="96"/>
      <c r="BK36" s="96"/>
    </row>
    <row r="37" ht="15.75" customHeight="1">
      <c r="A37" s="206">
        <f t="shared" si="17"/>
        <v>43891</v>
      </c>
      <c r="B37" s="96"/>
      <c r="C37" s="96"/>
      <c r="D37" s="96"/>
      <c r="E37" s="96"/>
      <c r="F37" s="96"/>
      <c r="G37" s="96"/>
      <c r="H37" s="96"/>
      <c r="I37" s="96"/>
      <c r="J37" s="96"/>
      <c r="K37" s="96"/>
      <c r="L37" s="96">
        <f>SUM(L$17)/12</f>
        <v>0</v>
      </c>
      <c r="M37" s="96">
        <f t="shared" ref="M37:W37" si="24">L37</f>
        <v>0</v>
      </c>
      <c r="N37" s="96">
        <f t="shared" si="24"/>
        <v>0</v>
      </c>
      <c r="O37" s="96">
        <f t="shared" si="24"/>
        <v>0</v>
      </c>
      <c r="P37" s="96">
        <f t="shared" si="24"/>
        <v>0</v>
      </c>
      <c r="Q37" s="96">
        <f t="shared" si="24"/>
        <v>0</v>
      </c>
      <c r="R37" s="96">
        <f t="shared" si="24"/>
        <v>0</v>
      </c>
      <c r="S37" s="96">
        <f t="shared" si="24"/>
        <v>0</v>
      </c>
      <c r="T37" s="96">
        <f t="shared" si="24"/>
        <v>0</v>
      </c>
      <c r="U37" s="96">
        <f t="shared" si="24"/>
        <v>0</v>
      </c>
      <c r="V37" s="96">
        <f t="shared" si="24"/>
        <v>0</v>
      </c>
      <c r="W37" s="96">
        <f t="shared" si="24"/>
        <v>0</v>
      </c>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6"/>
      <c r="BJ37" s="96"/>
      <c r="BK37" s="96"/>
    </row>
    <row r="38" ht="15.75" customHeight="1">
      <c r="A38" s="206">
        <f t="shared" si="17"/>
        <v>43922</v>
      </c>
      <c r="B38" s="96"/>
      <c r="C38" s="96"/>
      <c r="D38" s="96"/>
      <c r="E38" s="96"/>
      <c r="F38" s="96"/>
      <c r="G38" s="96"/>
      <c r="H38" s="96"/>
      <c r="I38" s="96"/>
      <c r="J38" s="96"/>
      <c r="K38" s="96"/>
      <c r="L38" s="96"/>
      <c r="M38" s="96">
        <f>SUM(M$17)/12</f>
        <v>0</v>
      </c>
      <c r="N38" s="96">
        <f t="shared" ref="N38:X38" si="25">M38</f>
        <v>0</v>
      </c>
      <c r="O38" s="96">
        <f t="shared" si="25"/>
        <v>0</v>
      </c>
      <c r="P38" s="96">
        <f t="shared" si="25"/>
        <v>0</v>
      </c>
      <c r="Q38" s="96">
        <f t="shared" si="25"/>
        <v>0</v>
      </c>
      <c r="R38" s="96">
        <f t="shared" si="25"/>
        <v>0</v>
      </c>
      <c r="S38" s="96">
        <f t="shared" si="25"/>
        <v>0</v>
      </c>
      <c r="T38" s="96">
        <f t="shared" si="25"/>
        <v>0</v>
      </c>
      <c r="U38" s="96">
        <f t="shared" si="25"/>
        <v>0</v>
      </c>
      <c r="V38" s="96">
        <f t="shared" si="25"/>
        <v>0</v>
      </c>
      <c r="W38" s="96">
        <f t="shared" si="25"/>
        <v>0</v>
      </c>
      <c r="X38" s="96">
        <f t="shared" si="25"/>
        <v>0</v>
      </c>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6"/>
      <c r="BJ38" s="96"/>
      <c r="BK38" s="96"/>
    </row>
    <row r="39" ht="15.75" customHeight="1">
      <c r="A39" s="206">
        <f t="shared" si="17"/>
        <v>43952</v>
      </c>
      <c r="B39" s="96"/>
      <c r="C39" s="96"/>
      <c r="D39" s="96"/>
      <c r="E39" s="96"/>
      <c r="F39" s="96"/>
      <c r="G39" s="96"/>
      <c r="H39" s="96"/>
      <c r="I39" s="96"/>
      <c r="J39" s="96"/>
      <c r="K39" s="96"/>
      <c r="L39" s="96"/>
      <c r="M39" s="96"/>
      <c r="N39" s="96">
        <f>SUM(N$17)/12</f>
        <v>0</v>
      </c>
      <c r="O39" s="96">
        <f t="shared" ref="O39:Y39" si="26">N39</f>
        <v>0</v>
      </c>
      <c r="P39" s="96">
        <f t="shared" si="26"/>
        <v>0</v>
      </c>
      <c r="Q39" s="96">
        <f t="shared" si="26"/>
        <v>0</v>
      </c>
      <c r="R39" s="96">
        <f t="shared" si="26"/>
        <v>0</v>
      </c>
      <c r="S39" s="96">
        <f t="shared" si="26"/>
        <v>0</v>
      </c>
      <c r="T39" s="96">
        <f t="shared" si="26"/>
        <v>0</v>
      </c>
      <c r="U39" s="96">
        <f t="shared" si="26"/>
        <v>0</v>
      </c>
      <c r="V39" s="96">
        <f t="shared" si="26"/>
        <v>0</v>
      </c>
      <c r="W39" s="96">
        <f t="shared" si="26"/>
        <v>0</v>
      </c>
      <c r="X39" s="96">
        <f t="shared" si="26"/>
        <v>0</v>
      </c>
      <c r="Y39" s="96">
        <f t="shared" si="26"/>
        <v>0</v>
      </c>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6"/>
      <c r="BJ39" s="96"/>
      <c r="BK39" s="96"/>
    </row>
    <row r="40" ht="15.75" customHeight="1">
      <c r="A40" s="206">
        <f t="shared" si="17"/>
        <v>43983</v>
      </c>
      <c r="B40" s="96"/>
      <c r="C40" s="96"/>
      <c r="D40" s="96"/>
      <c r="E40" s="96"/>
      <c r="F40" s="96"/>
      <c r="G40" s="96"/>
      <c r="H40" s="96"/>
      <c r="I40" s="96"/>
      <c r="J40" s="96"/>
      <c r="K40" s="96"/>
      <c r="L40" s="96"/>
      <c r="M40" s="96"/>
      <c r="N40" s="96"/>
      <c r="O40" s="96">
        <f>SUM(O$17)/12</f>
        <v>0</v>
      </c>
      <c r="P40" s="96">
        <f t="shared" ref="P40:Z40" si="27">O40</f>
        <v>0</v>
      </c>
      <c r="Q40" s="96">
        <f t="shared" si="27"/>
        <v>0</v>
      </c>
      <c r="R40" s="96">
        <f t="shared" si="27"/>
        <v>0</v>
      </c>
      <c r="S40" s="96">
        <f t="shared" si="27"/>
        <v>0</v>
      </c>
      <c r="T40" s="96">
        <f t="shared" si="27"/>
        <v>0</v>
      </c>
      <c r="U40" s="96">
        <f t="shared" si="27"/>
        <v>0</v>
      </c>
      <c r="V40" s="96">
        <f t="shared" si="27"/>
        <v>0</v>
      </c>
      <c r="W40" s="96">
        <f t="shared" si="27"/>
        <v>0</v>
      </c>
      <c r="X40" s="96">
        <f t="shared" si="27"/>
        <v>0</v>
      </c>
      <c r="Y40" s="96">
        <f t="shared" si="27"/>
        <v>0</v>
      </c>
      <c r="Z40" s="96">
        <f t="shared" si="27"/>
        <v>0</v>
      </c>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6"/>
      <c r="BJ40" s="96"/>
      <c r="BK40" s="96"/>
    </row>
    <row r="41" ht="15.75" customHeight="1">
      <c r="A41" s="206">
        <f t="shared" si="17"/>
        <v>44013</v>
      </c>
      <c r="B41" s="96"/>
      <c r="C41" s="96"/>
      <c r="D41" s="96"/>
      <c r="E41" s="96"/>
      <c r="F41" s="96"/>
      <c r="G41" s="96"/>
      <c r="H41" s="96"/>
      <c r="I41" s="96"/>
      <c r="J41" s="96"/>
      <c r="K41" s="96"/>
      <c r="L41" s="96"/>
      <c r="M41" s="96"/>
      <c r="N41" s="96"/>
      <c r="O41" s="96"/>
      <c r="P41" s="96">
        <f>SUM(P$17)/12</f>
        <v>0</v>
      </c>
      <c r="Q41" s="96">
        <f t="shared" ref="Q41:AA41" si="28">P41</f>
        <v>0</v>
      </c>
      <c r="R41" s="96">
        <f t="shared" si="28"/>
        <v>0</v>
      </c>
      <c r="S41" s="96">
        <f t="shared" si="28"/>
        <v>0</v>
      </c>
      <c r="T41" s="96">
        <f t="shared" si="28"/>
        <v>0</v>
      </c>
      <c r="U41" s="96">
        <f t="shared" si="28"/>
        <v>0</v>
      </c>
      <c r="V41" s="96">
        <f t="shared" si="28"/>
        <v>0</v>
      </c>
      <c r="W41" s="96">
        <f t="shared" si="28"/>
        <v>0</v>
      </c>
      <c r="X41" s="96">
        <f t="shared" si="28"/>
        <v>0</v>
      </c>
      <c r="Y41" s="96">
        <f t="shared" si="28"/>
        <v>0</v>
      </c>
      <c r="Z41" s="96">
        <f t="shared" si="28"/>
        <v>0</v>
      </c>
      <c r="AA41" s="96">
        <f t="shared" si="28"/>
        <v>0</v>
      </c>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6"/>
      <c r="BJ41" s="96"/>
      <c r="BK41" s="96"/>
    </row>
    <row r="42" ht="15.75" customHeight="1">
      <c r="A42" s="206">
        <f t="shared" si="17"/>
        <v>44044</v>
      </c>
      <c r="B42" s="96"/>
      <c r="C42" s="96"/>
      <c r="D42" s="96"/>
      <c r="E42" s="96"/>
      <c r="F42" s="96"/>
      <c r="G42" s="96"/>
      <c r="H42" s="96"/>
      <c r="I42" s="96"/>
      <c r="J42" s="96"/>
      <c r="K42" s="96"/>
      <c r="L42" s="96"/>
      <c r="M42" s="96"/>
      <c r="N42" s="96"/>
      <c r="O42" s="96"/>
      <c r="P42" s="96"/>
      <c r="Q42" s="96">
        <f>SUM(Q$17)/12</f>
        <v>0</v>
      </c>
      <c r="R42" s="96">
        <f t="shared" ref="R42:AB42" si="29">Q42</f>
        <v>0</v>
      </c>
      <c r="S42" s="96">
        <f t="shared" si="29"/>
        <v>0</v>
      </c>
      <c r="T42" s="96">
        <f t="shared" si="29"/>
        <v>0</v>
      </c>
      <c r="U42" s="96">
        <f t="shared" si="29"/>
        <v>0</v>
      </c>
      <c r="V42" s="96">
        <f t="shared" si="29"/>
        <v>0</v>
      </c>
      <c r="W42" s="96">
        <f t="shared" si="29"/>
        <v>0</v>
      </c>
      <c r="X42" s="96">
        <f t="shared" si="29"/>
        <v>0</v>
      </c>
      <c r="Y42" s="96">
        <f t="shared" si="29"/>
        <v>0</v>
      </c>
      <c r="Z42" s="96">
        <f t="shared" si="29"/>
        <v>0</v>
      </c>
      <c r="AA42" s="96">
        <f t="shared" si="29"/>
        <v>0</v>
      </c>
      <c r="AB42" s="96">
        <f t="shared" si="29"/>
        <v>0</v>
      </c>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6"/>
      <c r="BJ42" s="96"/>
      <c r="BK42" s="96"/>
    </row>
    <row r="43" ht="15.75" customHeight="1">
      <c r="A43" s="206">
        <f t="shared" si="17"/>
        <v>44075</v>
      </c>
      <c r="B43" s="96"/>
      <c r="C43" s="96"/>
      <c r="D43" s="96"/>
      <c r="E43" s="96"/>
      <c r="F43" s="96"/>
      <c r="G43" s="96"/>
      <c r="H43" s="96"/>
      <c r="I43" s="96"/>
      <c r="J43" s="96"/>
      <c r="K43" s="96"/>
      <c r="L43" s="96"/>
      <c r="M43" s="96"/>
      <c r="N43" s="96"/>
      <c r="O43" s="96"/>
      <c r="P43" s="96"/>
      <c r="Q43" s="96"/>
      <c r="R43" s="96">
        <f>SUM(R$17)/12</f>
        <v>0</v>
      </c>
      <c r="S43" s="96">
        <f t="shared" ref="S43:AC43" si="30">R43</f>
        <v>0</v>
      </c>
      <c r="T43" s="96">
        <f t="shared" si="30"/>
        <v>0</v>
      </c>
      <c r="U43" s="96">
        <f t="shared" si="30"/>
        <v>0</v>
      </c>
      <c r="V43" s="96">
        <f t="shared" si="30"/>
        <v>0</v>
      </c>
      <c r="W43" s="96">
        <f t="shared" si="30"/>
        <v>0</v>
      </c>
      <c r="X43" s="96">
        <f t="shared" si="30"/>
        <v>0</v>
      </c>
      <c r="Y43" s="96">
        <f t="shared" si="30"/>
        <v>0</v>
      </c>
      <c r="Z43" s="96">
        <f t="shared" si="30"/>
        <v>0</v>
      </c>
      <c r="AA43" s="96">
        <f t="shared" si="30"/>
        <v>0</v>
      </c>
      <c r="AB43" s="96">
        <f t="shared" si="30"/>
        <v>0</v>
      </c>
      <c r="AC43" s="96">
        <f t="shared" si="30"/>
        <v>0</v>
      </c>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6"/>
      <c r="BJ43" s="96"/>
      <c r="BK43" s="96"/>
    </row>
    <row r="44" ht="15.75" customHeight="1">
      <c r="A44" s="206">
        <f t="shared" si="17"/>
        <v>44105</v>
      </c>
      <c r="B44" s="96"/>
      <c r="C44" s="96"/>
      <c r="D44" s="96"/>
      <c r="E44" s="96"/>
      <c r="F44" s="96"/>
      <c r="G44" s="96"/>
      <c r="H44" s="96"/>
      <c r="I44" s="96"/>
      <c r="J44" s="96"/>
      <c r="K44" s="96"/>
      <c r="L44" s="96"/>
      <c r="M44" s="96"/>
      <c r="N44" s="96"/>
      <c r="O44" s="96"/>
      <c r="P44" s="96"/>
      <c r="Q44" s="96"/>
      <c r="R44" s="96"/>
      <c r="S44" s="96">
        <f>SUM(S$17)/12</f>
        <v>0</v>
      </c>
      <c r="T44" s="96">
        <f t="shared" ref="T44:AD44" si="31">S44</f>
        <v>0</v>
      </c>
      <c r="U44" s="96">
        <f t="shared" si="31"/>
        <v>0</v>
      </c>
      <c r="V44" s="96">
        <f t="shared" si="31"/>
        <v>0</v>
      </c>
      <c r="W44" s="96">
        <f t="shared" si="31"/>
        <v>0</v>
      </c>
      <c r="X44" s="96">
        <f t="shared" si="31"/>
        <v>0</v>
      </c>
      <c r="Y44" s="96">
        <f t="shared" si="31"/>
        <v>0</v>
      </c>
      <c r="Z44" s="96">
        <f t="shared" si="31"/>
        <v>0</v>
      </c>
      <c r="AA44" s="96">
        <f t="shared" si="31"/>
        <v>0</v>
      </c>
      <c r="AB44" s="96">
        <f t="shared" si="31"/>
        <v>0</v>
      </c>
      <c r="AC44" s="96">
        <f t="shared" si="31"/>
        <v>0</v>
      </c>
      <c r="AD44" s="96">
        <f t="shared" si="31"/>
        <v>0</v>
      </c>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6"/>
      <c r="BJ44" s="96"/>
      <c r="BK44" s="96"/>
    </row>
    <row r="45" ht="15.75" customHeight="1">
      <c r="A45" s="206">
        <f t="shared" si="17"/>
        <v>44136</v>
      </c>
      <c r="B45" s="96"/>
      <c r="C45" s="96"/>
      <c r="D45" s="96"/>
      <c r="E45" s="96"/>
      <c r="F45" s="96"/>
      <c r="G45" s="96"/>
      <c r="H45" s="96"/>
      <c r="I45" s="96"/>
      <c r="J45" s="96"/>
      <c r="K45" s="96"/>
      <c r="L45" s="96"/>
      <c r="M45" s="96"/>
      <c r="N45" s="96"/>
      <c r="O45" s="96"/>
      <c r="P45" s="96"/>
      <c r="Q45" s="96"/>
      <c r="R45" s="96"/>
      <c r="S45" s="96"/>
      <c r="T45" s="96">
        <f>SUM(T$17)/12</f>
        <v>0</v>
      </c>
      <c r="U45" s="96">
        <f t="shared" ref="U45:AE45" si="32">T45</f>
        <v>0</v>
      </c>
      <c r="V45" s="96">
        <f t="shared" si="32"/>
        <v>0</v>
      </c>
      <c r="W45" s="96">
        <f t="shared" si="32"/>
        <v>0</v>
      </c>
      <c r="X45" s="96">
        <f t="shared" si="32"/>
        <v>0</v>
      </c>
      <c r="Y45" s="96">
        <f t="shared" si="32"/>
        <v>0</v>
      </c>
      <c r="Z45" s="96">
        <f t="shared" si="32"/>
        <v>0</v>
      </c>
      <c r="AA45" s="96">
        <f t="shared" si="32"/>
        <v>0</v>
      </c>
      <c r="AB45" s="96">
        <f t="shared" si="32"/>
        <v>0</v>
      </c>
      <c r="AC45" s="96">
        <f t="shared" si="32"/>
        <v>0</v>
      </c>
      <c r="AD45" s="96">
        <f t="shared" si="32"/>
        <v>0</v>
      </c>
      <c r="AE45" s="96">
        <f t="shared" si="32"/>
        <v>0</v>
      </c>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6"/>
      <c r="BJ45" s="96"/>
      <c r="BK45" s="96"/>
    </row>
    <row r="46" ht="15.75" customHeight="1">
      <c r="A46" s="206">
        <f t="shared" si="17"/>
        <v>44166</v>
      </c>
      <c r="B46" s="96"/>
      <c r="C46" s="96"/>
      <c r="D46" s="96"/>
      <c r="E46" s="96"/>
      <c r="F46" s="96"/>
      <c r="G46" s="96"/>
      <c r="H46" s="96"/>
      <c r="I46" s="96"/>
      <c r="J46" s="96"/>
      <c r="K46" s="96"/>
      <c r="L46" s="96"/>
      <c r="M46" s="96"/>
      <c r="N46" s="96"/>
      <c r="O46" s="96"/>
      <c r="P46" s="96"/>
      <c r="Q46" s="96"/>
      <c r="R46" s="96"/>
      <c r="S46" s="96"/>
      <c r="T46" s="96"/>
      <c r="U46" s="96">
        <f>SUM(U$17)/12</f>
        <v>0</v>
      </c>
      <c r="V46" s="96">
        <f t="shared" ref="V46:AF46" si="33">U46</f>
        <v>0</v>
      </c>
      <c r="W46" s="96">
        <f t="shared" si="33"/>
        <v>0</v>
      </c>
      <c r="X46" s="96">
        <f t="shared" si="33"/>
        <v>0</v>
      </c>
      <c r="Y46" s="96">
        <f t="shared" si="33"/>
        <v>0</v>
      </c>
      <c r="Z46" s="96">
        <f t="shared" si="33"/>
        <v>0</v>
      </c>
      <c r="AA46" s="96">
        <f t="shared" si="33"/>
        <v>0</v>
      </c>
      <c r="AB46" s="96">
        <f t="shared" si="33"/>
        <v>0</v>
      </c>
      <c r="AC46" s="96">
        <f t="shared" si="33"/>
        <v>0</v>
      </c>
      <c r="AD46" s="96">
        <f t="shared" si="33"/>
        <v>0</v>
      </c>
      <c r="AE46" s="96">
        <f t="shared" si="33"/>
        <v>0</v>
      </c>
      <c r="AF46" s="96">
        <f t="shared" si="33"/>
        <v>0</v>
      </c>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6"/>
      <c r="BJ46" s="96"/>
      <c r="BK46" s="96"/>
    </row>
    <row r="47" ht="15.75" customHeight="1">
      <c r="A47" s="206">
        <f t="shared" si="17"/>
        <v>44197</v>
      </c>
      <c r="B47" s="96"/>
      <c r="C47" s="96"/>
      <c r="D47" s="96"/>
      <c r="E47" s="96"/>
      <c r="F47" s="96"/>
      <c r="G47" s="96"/>
      <c r="H47" s="96"/>
      <c r="I47" s="96"/>
      <c r="J47" s="96"/>
      <c r="K47" s="96"/>
      <c r="L47" s="96"/>
      <c r="M47" s="96"/>
      <c r="N47" s="96"/>
      <c r="O47" s="96"/>
      <c r="P47" s="96"/>
      <c r="Q47" s="96"/>
      <c r="R47" s="96"/>
      <c r="S47" s="96"/>
      <c r="T47" s="96"/>
      <c r="U47" s="96"/>
      <c r="V47" s="96">
        <f>SUM(V$17)/12</f>
        <v>0</v>
      </c>
      <c r="W47" s="96">
        <f t="shared" ref="W47:AG47" si="34">V47</f>
        <v>0</v>
      </c>
      <c r="X47" s="96">
        <f t="shared" si="34"/>
        <v>0</v>
      </c>
      <c r="Y47" s="96">
        <f t="shared" si="34"/>
        <v>0</v>
      </c>
      <c r="Z47" s="96">
        <f t="shared" si="34"/>
        <v>0</v>
      </c>
      <c r="AA47" s="96">
        <f t="shared" si="34"/>
        <v>0</v>
      </c>
      <c r="AB47" s="96">
        <f t="shared" si="34"/>
        <v>0</v>
      </c>
      <c r="AC47" s="96">
        <f t="shared" si="34"/>
        <v>0</v>
      </c>
      <c r="AD47" s="96">
        <f t="shared" si="34"/>
        <v>0</v>
      </c>
      <c r="AE47" s="96">
        <f t="shared" si="34"/>
        <v>0</v>
      </c>
      <c r="AF47" s="96">
        <f t="shared" si="34"/>
        <v>0</v>
      </c>
      <c r="AG47" s="96">
        <f t="shared" si="34"/>
        <v>0</v>
      </c>
      <c r="AH47" s="96"/>
      <c r="AI47" s="96"/>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6"/>
      <c r="BI47" s="96"/>
      <c r="BJ47" s="96"/>
      <c r="BK47" s="96"/>
    </row>
    <row r="48" ht="15.75" customHeight="1">
      <c r="A48" s="206">
        <f t="shared" si="17"/>
        <v>44228</v>
      </c>
      <c r="B48" s="96"/>
      <c r="C48" s="96"/>
      <c r="D48" s="96"/>
      <c r="E48" s="96"/>
      <c r="F48" s="96"/>
      <c r="G48" s="96"/>
      <c r="H48" s="96"/>
      <c r="I48" s="96"/>
      <c r="J48" s="96"/>
      <c r="K48" s="96"/>
      <c r="L48" s="96"/>
      <c r="M48" s="96"/>
      <c r="N48" s="96"/>
      <c r="O48" s="96"/>
      <c r="P48" s="96"/>
      <c r="Q48" s="96"/>
      <c r="R48" s="96"/>
      <c r="S48" s="96"/>
      <c r="T48" s="96"/>
      <c r="U48" s="96"/>
      <c r="V48" s="96"/>
      <c r="W48" s="96">
        <f>SUM(W$17)/12</f>
        <v>0</v>
      </c>
      <c r="X48" s="96">
        <f t="shared" ref="X48:AH48" si="35">W48</f>
        <v>0</v>
      </c>
      <c r="Y48" s="96">
        <f t="shared" si="35"/>
        <v>0</v>
      </c>
      <c r="Z48" s="96">
        <f t="shared" si="35"/>
        <v>0</v>
      </c>
      <c r="AA48" s="96">
        <f t="shared" si="35"/>
        <v>0</v>
      </c>
      <c r="AB48" s="96">
        <f t="shared" si="35"/>
        <v>0</v>
      </c>
      <c r="AC48" s="96">
        <f t="shared" si="35"/>
        <v>0</v>
      </c>
      <c r="AD48" s="96">
        <f t="shared" si="35"/>
        <v>0</v>
      </c>
      <c r="AE48" s="96">
        <f t="shared" si="35"/>
        <v>0</v>
      </c>
      <c r="AF48" s="96">
        <f t="shared" si="35"/>
        <v>0</v>
      </c>
      <c r="AG48" s="96">
        <f t="shared" si="35"/>
        <v>0</v>
      </c>
      <c r="AH48" s="96">
        <f t="shared" si="35"/>
        <v>0</v>
      </c>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6"/>
      <c r="BJ48" s="96"/>
      <c r="BK48" s="96"/>
    </row>
    <row r="49" ht="15.75" customHeight="1">
      <c r="A49" s="206">
        <f t="shared" si="17"/>
        <v>44256</v>
      </c>
      <c r="B49" s="96"/>
      <c r="C49" s="96"/>
      <c r="D49" s="96"/>
      <c r="E49" s="96"/>
      <c r="F49" s="96"/>
      <c r="G49" s="96"/>
      <c r="H49" s="96"/>
      <c r="I49" s="96"/>
      <c r="J49" s="96"/>
      <c r="K49" s="96"/>
      <c r="L49" s="96"/>
      <c r="M49" s="96"/>
      <c r="N49" s="96"/>
      <c r="O49" s="96"/>
      <c r="P49" s="96"/>
      <c r="Q49" s="96"/>
      <c r="R49" s="96"/>
      <c r="S49" s="96"/>
      <c r="T49" s="96"/>
      <c r="U49" s="96"/>
      <c r="V49" s="96"/>
      <c r="W49" s="96"/>
      <c r="X49" s="96">
        <f>SUM(X$17)/12</f>
        <v>0</v>
      </c>
      <c r="Y49" s="96">
        <f t="shared" ref="Y49:AI49" si="36">X49</f>
        <v>0</v>
      </c>
      <c r="Z49" s="96">
        <f t="shared" si="36"/>
        <v>0</v>
      </c>
      <c r="AA49" s="96">
        <f t="shared" si="36"/>
        <v>0</v>
      </c>
      <c r="AB49" s="96">
        <f t="shared" si="36"/>
        <v>0</v>
      </c>
      <c r="AC49" s="96">
        <f t="shared" si="36"/>
        <v>0</v>
      </c>
      <c r="AD49" s="96">
        <f t="shared" si="36"/>
        <v>0</v>
      </c>
      <c r="AE49" s="96">
        <f t="shared" si="36"/>
        <v>0</v>
      </c>
      <c r="AF49" s="96">
        <f t="shared" si="36"/>
        <v>0</v>
      </c>
      <c r="AG49" s="96">
        <f t="shared" si="36"/>
        <v>0</v>
      </c>
      <c r="AH49" s="96">
        <f t="shared" si="36"/>
        <v>0</v>
      </c>
      <c r="AI49" s="96">
        <f t="shared" si="36"/>
        <v>0</v>
      </c>
      <c r="AJ49" s="96"/>
      <c r="AK49" s="96"/>
      <c r="AL49" s="96"/>
      <c r="AM49" s="96"/>
      <c r="AN49" s="96"/>
      <c r="AO49" s="96"/>
      <c r="AP49" s="96"/>
      <c r="AQ49" s="96"/>
      <c r="AR49" s="96"/>
      <c r="AS49" s="96"/>
      <c r="AT49" s="96"/>
      <c r="AU49" s="96"/>
      <c r="AV49" s="96"/>
      <c r="AW49" s="96"/>
      <c r="AX49" s="96"/>
      <c r="AY49" s="96"/>
      <c r="AZ49" s="96"/>
      <c r="BA49" s="96"/>
      <c r="BB49" s="96"/>
      <c r="BC49" s="96"/>
      <c r="BD49" s="96"/>
      <c r="BE49" s="96"/>
      <c r="BF49" s="96"/>
      <c r="BG49" s="96"/>
      <c r="BH49" s="96"/>
      <c r="BI49" s="96"/>
      <c r="BJ49" s="96"/>
      <c r="BK49" s="96"/>
    </row>
    <row r="50" ht="15.75" customHeight="1">
      <c r="A50" s="206">
        <f t="shared" si="17"/>
        <v>44287</v>
      </c>
      <c r="B50" s="96"/>
      <c r="C50" s="96"/>
      <c r="D50" s="96"/>
      <c r="E50" s="96"/>
      <c r="F50" s="96"/>
      <c r="G50" s="96"/>
      <c r="H50" s="96"/>
      <c r="I50" s="96"/>
      <c r="J50" s="96"/>
      <c r="K50" s="96"/>
      <c r="L50" s="96"/>
      <c r="M50" s="96"/>
      <c r="N50" s="96"/>
      <c r="O50" s="96"/>
      <c r="P50" s="96"/>
      <c r="Q50" s="96"/>
      <c r="R50" s="96"/>
      <c r="S50" s="96"/>
      <c r="T50" s="96"/>
      <c r="U50" s="96"/>
      <c r="V50" s="96"/>
      <c r="W50" s="96"/>
      <c r="X50" s="96"/>
      <c r="Y50" s="96">
        <f>SUM(Y$17)/12</f>
        <v>0</v>
      </c>
      <c r="Z50" s="96">
        <f t="shared" ref="Z50:AJ50" si="37">Y50</f>
        <v>0</v>
      </c>
      <c r="AA50" s="96">
        <f t="shared" si="37"/>
        <v>0</v>
      </c>
      <c r="AB50" s="96">
        <f t="shared" si="37"/>
        <v>0</v>
      </c>
      <c r="AC50" s="96">
        <f t="shared" si="37"/>
        <v>0</v>
      </c>
      <c r="AD50" s="96">
        <f t="shared" si="37"/>
        <v>0</v>
      </c>
      <c r="AE50" s="96">
        <f t="shared" si="37"/>
        <v>0</v>
      </c>
      <c r="AF50" s="96">
        <f t="shared" si="37"/>
        <v>0</v>
      </c>
      <c r="AG50" s="96">
        <f t="shared" si="37"/>
        <v>0</v>
      </c>
      <c r="AH50" s="96">
        <f t="shared" si="37"/>
        <v>0</v>
      </c>
      <c r="AI50" s="96">
        <f t="shared" si="37"/>
        <v>0</v>
      </c>
      <c r="AJ50" s="96">
        <f t="shared" si="37"/>
        <v>0</v>
      </c>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6"/>
      <c r="BJ50" s="96"/>
      <c r="BK50" s="96"/>
    </row>
    <row r="51" ht="15.75" customHeight="1">
      <c r="A51" s="206">
        <f t="shared" si="17"/>
        <v>44317</v>
      </c>
      <c r="B51" s="96"/>
      <c r="C51" s="96"/>
      <c r="D51" s="96"/>
      <c r="E51" s="96"/>
      <c r="F51" s="96"/>
      <c r="G51" s="96"/>
      <c r="H51" s="96"/>
      <c r="I51" s="96"/>
      <c r="J51" s="96"/>
      <c r="K51" s="96"/>
      <c r="L51" s="96"/>
      <c r="M51" s="96"/>
      <c r="N51" s="96"/>
      <c r="O51" s="96"/>
      <c r="P51" s="96"/>
      <c r="Q51" s="96"/>
      <c r="R51" s="96"/>
      <c r="S51" s="96"/>
      <c r="T51" s="96"/>
      <c r="U51" s="96"/>
      <c r="V51" s="96"/>
      <c r="W51" s="96"/>
      <c r="X51" s="96"/>
      <c r="Y51" s="96"/>
      <c r="Z51" s="96">
        <f>SUM(Z$17)/12</f>
        <v>0</v>
      </c>
      <c r="AA51" s="96">
        <f t="shared" ref="AA51:AK51" si="38">Z51</f>
        <v>0</v>
      </c>
      <c r="AB51" s="96">
        <f t="shared" si="38"/>
        <v>0</v>
      </c>
      <c r="AC51" s="96">
        <f t="shared" si="38"/>
        <v>0</v>
      </c>
      <c r="AD51" s="96">
        <f t="shared" si="38"/>
        <v>0</v>
      </c>
      <c r="AE51" s="96">
        <f t="shared" si="38"/>
        <v>0</v>
      </c>
      <c r="AF51" s="96">
        <f t="shared" si="38"/>
        <v>0</v>
      </c>
      <c r="AG51" s="96">
        <f t="shared" si="38"/>
        <v>0</v>
      </c>
      <c r="AH51" s="96">
        <f t="shared" si="38"/>
        <v>0</v>
      </c>
      <c r="AI51" s="96">
        <f t="shared" si="38"/>
        <v>0</v>
      </c>
      <c r="AJ51" s="96">
        <f t="shared" si="38"/>
        <v>0</v>
      </c>
      <c r="AK51" s="96">
        <f t="shared" si="38"/>
        <v>0</v>
      </c>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6"/>
      <c r="BJ51" s="96"/>
      <c r="BK51" s="96"/>
    </row>
    <row r="52" ht="15.75" customHeight="1">
      <c r="A52" s="206">
        <f t="shared" si="17"/>
        <v>44348</v>
      </c>
      <c r="B52" s="96"/>
      <c r="C52" s="96"/>
      <c r="D52" s="96"/>
      <c r="E52" s="96"/>
      <c r="F52" s="96"/>
      <c r="G52" s="96"/>
      <c r="H52" s="96"/>
      <c r="I52" s="96"/>
      <c r="J52" s="96"/>
      <c r="K52" s="96"/>
      <c r="L52" s="96"/>
      <c r="M52" s="96"/>
      <c r="N52" s="96"/>
      <c r="O52" s="96"/>
      <c r="P52" s="96"/>
      <c r="Q52" s="96"/>
      <c r="R52" s="96"/>
      <c r="S52" s="96"/>
      <c r="T52" s="96"/>
      <c r="U52" s="96"/>
      <c r="V52" s="96"/>
      <c r="W52" s="96"/>
      <c r="X52" s="96"/>
      <c r="Y52" s="96"/>
      <c r="Z52" s="96"/>
      <c r="AA52" s="96">
        <f>SUM(AA$17)/12</f>
        <v>0</v>
      </c>
      <c r="AB52" s="96">
        <f t="shared" ref="AB52:AL52" si="39">AA52</f>
        <v>0</v>
      </c>
      <c r="AC52" s="96">
        <f t="shared" si="39"/>
        <v>0</v>
      </c>
      <c r="AD52" s="96">
        <f t="shared" si="39"/>
        <v>0</v>
      </c>
      <c r="AE52" s="96">
        <f t="shared" si="39"/>
        <v>0</v>
      </c>
      <c r="AF52" s="96">
        <f t="shared" si="39"/>
        <v>0</v>
      </c>
      <c r="AG52" s="96">
        <f t="shared" si="39"/>
        <v>0</v>
      </c>
      <c r="AH52" s="96">
        <f t="shared" si="39"/>
        <v>0</v>
      </c>
      <c r="AI52" s="96">
        <f t="shared" si="39"/>
        <v>0</v>
      </c>
      <c r="AJ52" s="96">
        <f t="shared" si="39"/>
        <v>0</v>
      </c>
      <c r="AK52" s="96">
        <f t="shared" si="39"/>
        <v>0</v>
      </c>
      <c r="AL52" s="96">
        <f t="shared" si="39"/>
        <v>0</v>
      </c>
      <c r="AM52" s="96"/>
      <c r="AN52" s="96"/>
      <c r="AO52" s="96"/>
      <c r="AP52" s="96"/>
      <c r="AQ52" s="96"/>
      <c r="AR52" s="96"/>
      <c r="AS52" s="96"/>
      <c r="AT52" s="96"/>
      <c r="AU52" s="96"/>
      <c r="AV52" s="96"/>
      <c r="AW52" s="96"/>
      <c r="AX52" s="96"/>
      <c r="AY52" s="96"/>
      <c r="AZ52" s="96"/>
      <c r="BA52" s="96"/>
      <c r="BB52" s="96"/>
      <c r="BC52" s="96"/>
      <c r="BD52" s="96"/>
      <c r="BE52" s="96"/>
      <c r="BF52" s="96"/>
      <c r="BG52" s="96"/>
      <c r="BH52" s="96"/>
      <c r="BI52" s="96"/>
      <c r="BJ52" s="96"/>
      <c r="BK52" s="96"/>
    </row>
    <row r="53" ht="15.75" customHeight="1">
      <c r="A53" s="206">
        <f t="shared" si="17"/>
        <v>44378</v>
      </c>
      <c r="B53" s="96"/>
      <c r="C53" s="96"/>
      <c r="D53" s="96"/>
      <c r="E53" s="96"/>
      <c r="F53" s="96"/>
      <c r="G53" s="96"/>
      <c r="H53" s="96"/>
      <c r="I53" s="96"/>
      <c r="J53" s="96"/>
      <c r="K53" s="96"/>
      <c r="L53" s="96"/>
      <c r="M53" s="96"/>
      <c r="N53" s="96"/>
      <c r="O53" s="96"/>
      <c r="P53" s="96"/>
      <c r="Q53" s="96"/>
      <c r="R53" s="96"/>
      <c r="S53" s="96"/>
      <c r="T53" s="96"/>
      <c r="U53" s="96"/>
      <c r="V53" s="96"/>
      <c r="W53" s="96"/>
      <c r="X53" s="96"/>
      <c r="Y53" s="96"/>
      <c r="Z53" s="96"/>
      <c r="AA53" s="96"/>
      <c r="AB53" s="96">
        <f>SUM(AB$17)/12</f>
        <v>0</v>
      </c>
      <c r="AC53" s="96">
        <f t="shared" ref="AC53:AM53" si="40">AB53</f>
        <v>0</v>
      </c>
      <c r="AD53" s="96">
        <f t="shared" si="40"/>
        <v>0</v>
      </c>
      <c r="AE53" s="96">
        <f t="shared" si="40"/>
        <v>0</v>
      </c>
      <c r="AF53" s="96">
        <f t="shared" si="40"/>
        <v>0</v>
      </c>
      <c r="AG53" s="96">
        <f t="shared" si="40"/>
        <v>0</v>
      </c>
      <c r="AH53" s="96">
        <f t="shared" si="40"/>
        <v>0</v>
      </c>
      <c r="AI53" s="96">
        <f t="shared" si="40"/>
        <v>0</v>
      </c>
      <c r="AJ53" s="96">
        <f t="shared" si="40"/>
        <v>0</v>
      </c>
      <c r="AK53" s="96">
        <f t="shared" si="40"/>
        <v>0</v>
      </c>
      <c r="AL53" s="96">
        <f t="shared" si="40"/>
        <v>0</v>
      </c>
      <c r="AM53" s="96">
        <f t="shared" si="40"/>
        <v>0</v>
      </c>
      <c r="AN53" s="96"/>
      <c r="AO53" s="96"/>
      <c r="AP53" s="96"/>
      <c r="AQ53" s="96"/>
      <c r="AR53" s="96"/>
      <c r="AS53" s="96"/>
      <c r="AT53" s="96"/>
      <c r="AU53" s="96"/>
      <c r="AV53" s="96"/>
      <c r="AW53" s="96"/>
      <c r="AX53" s="96"/>
      <c r="AY53" s="96"/>
      <c r="AZ53" s="96"/>
      <c r="BA53" s="96"/>
      <c r="BB53" s="96"/>
      <c r="BC53" s="96"/>
      <c r="BD53" s="96"/>
      <c r="BE53" s="96"/>
      <c r="BF53" s="96"/>
      <c r="BG53" s="96"/>
      <c r="BH53" s="96"/>
      <c r="BI53" s="96"/>
      <c r="BJ53" s="96"/>
      <c r="BK53" s="96"/>
    </row>
    <row r="54" ht="15.75" customHeight="1">
      <c r="A54" s="206">
        <f t="shared" si="17"/>
        <v>44409</v>
      </c>
      <c r="B54" s="96"/>
      <c r="C54" s="96"/>
      <c r="D54" s="96"/>
      <c r="E54" s="96"/>
      <c r="F54" s="96"/>
      <c r="G54" s="96"/>
      <c r="H54" s="96"/>
      <c r="I54" s="96"/>
      <c r="J54" s="96"/>
      <c r="K54" s="96"/>
      <c r="L54" s="96"/>
      <c r="M54" s="96"/>
      <c r="N54" s="96"/>
      <c r="O54" s="96"/>
      <c r="P54" s="96"/>
      <c r="Q54" s="96"/>
      <c r="R54" s="96"/>
      <c r="S54" s="96"/>
      <c r="T54" s="96"/>
      <c r="U54" s="96"/>
      <c r="V54" s="96"/>
      <c r="W54" s="96"/>
      <c r="X54" s="96"/>
      <c r="Y54" s="96"/>
      <c r="Z54" s="96"/>
      <c r="AA54" s="96"/>
      <c r="AB54" s="96"/>
      <c r="AC54" s="96">
        <f>SUM(AC$17)/12</f>
        <v>0</v>
      </c>
      <c r="AD54" s="96">
        <f t="shared" ref="AD54:AN54" si="41">AC54</f>
        <v>0</v>
      </c>
      <c r="AE54" s="96">
        <f t="shared" si="41"/>
        <v>0</v>
      </c>
      <c r="AF54" s="96">
        <f t="shared" si="41"/>
        <v>0</v>
      </c>
      <c r="AG54" s="96">
        <f t="shared" si="41"/>
        <v>0</v>
      </c>
      <c r="AH54" s="96">
        <f t="shared" si="41"/>
        <v>0</v>
      </c>
      <c r="AI54" s="96">
        <f t="shared" si="41"/>
        <v>0</v>
      </c>
      <c r="AJ54" s="96">
        <f t="shared" si="41"/>
        <v>0</v>
      </c>
      <c r="AK54" s="96">
        <f t="shared" si="41"/>
        <v>0</v>
      </c>
      <c r="AL54" s="96">
        <f t="shared" si="41"/>
        <v>0</v>
      </c>
      <c r="AM54" s="96">
        <f t="shared" si="41"/>
        <v>0</v>
      </c>
      <c r="AN54" s="96">
        <f t="shared" si="41"/>
        <v>0</v>
      </c>
      <c r="AO54" s="96"/>
      <c r="AP54" s="96"/>
      <c r="AQ54" s="96"/>
      <c r="AR54" s="96"/>
      <c r="AS54" s="96"/>
      <c r="AT54" s="96"/>
      <c r="AU54" s="96"/>
      <c r="AV54" s="96"/>
      <c r="AW54" s="96"/>
      <c r="AX54" s="96"/>
      <c r="AY54" s="96"/>
      <c r="AZ54" s="96"/>
      <c r="BA54" s="96"/>
      <c r="BB54" s="96"/>
      <c r="BC54" s="96"/>
      <c r="BD54" s="96"/>
      <c r="BE54" s="96"/>
      <c r="BF54" s="96"/>
      <c r="BG54" s="96"/>
      <c r="BH54" s="96"/>
      <c r="BI54" s="96"/>
      <c r="BJ54" s="96"/>
      <c r="BK54" s="96"/>
    </row>
    <row r="55" ht="15.75" customHeight="1">
      <c r="A55" s="206">
        <f t="shared" si="17"/>
        <v>44440</v>
      </c>
      <c r="B55" s="96"/>
      <c r="C55" s="96"/>
      <c r="D55" s="96"/>
      <c r="E55" s="96"/>
      <c r="F55" s="96"/>
      <c r="G55" s="96"/>
      <c r="H55" s="96"/>
      <c r="I55" s="96"/>
      <c r="J55" s="96"/>
      <c r="K55" s="96"/>
      <c r="L55" s="96"/>
      <c r="M55" s="96"/>
      <c r="N55" s="96"/>
      <c r="O55" s="96"/>
      <c r="P55" s="96"/>
      <c r="Q55" s="96"/>
      <c r="R55" s="96"/>
      <c r="S55" s="96"/>
      <c r="T55" s="96"/>
      <c r="U55" s="96"/>
      <c r="V55" s="96"/>
      <c r="W55" s="96"/>
      <c r="X55" s="96"/>
      <c r="Y55" s="96"/>
      <c r="Z55" s="96"/>
      <c r="AA55" s="96"/>
      <c r="AB55" s="96"/>
      <c r="AC55" s="96"/>
      <c r="AD55" s="96">
        <f>SUM(AD$17)/12</f>
        <v>0</v>
      </c>
      <c r="AE55" s="96">
        <f t="shared" ref="AE55:AO55" si="42">AD55</f>
        <v>0</v>
      </c>
      <c r="AF55" s="96">
        <f t="shared" si="42"/>
        <v>0</v>
      </c>
      <c r="AG55" s="96">
        <f t="shared" si="42"/>
        <v>0</v>
      </c>
      <c r="AH55" s="96">
        <f t="shared" si="42"/>
        <v>0</v>
      </c>
      <c r="AI55" s="96">
        <f t="shared" si="42"/>
        <v>0</v>
      </c>
      <c r="AJ55" s="96">
        <f t="shared" si="42"/>
        <v>0</v>
      </c>
      <c r="AK55" s="96">
        <f t="shared" si="42"/>
        <v>0</v>
      </c>
      <c r="AL55" s="96">
        <f t="shared" si="42"/>
        <v>0</v>
      </c>
      <c r="AM55" s="96">
        <f t="shared" si="42"/>
        <v>0</v>
      </c>
      <c r="AN55" s="96">
        <f t="shared" si="42"/>
        <v>0</v>
      </c>
      <c r="AO55" s="96">
        <f t="shared" si="42"/>
        <v>0</v>
      </c>
      <c r="AP55" s="96"/>
      <c r="AQ55" s="96"/>
      <c r="AR55" s="96"/>
      <c r="AS55" s="96"/>
      <c r="AT55" s="96"/>
      <c r="AU55" s="96"/>
      <c r="AV55" s="96"/>
      <c r="AW55" s="96"/>
      <c r="AX55" s="96"/>
      <c r="AY55" s="96"/>
      <c r="AZ55" s="96"/>
      <c r="BA55" s="96"/>
      <c r="BB55" s="96"/>
      <c r="BC55" s="96"/>
      <c r="BD55" s="96"/>
      <c r="BE55" s="96"/>
      <c r="BF55" s="96"/>
      <c r="BG55" s="96"/>
      <c r="BH55" s="96"/>
      <c r="BI55" s="96"/>
      <c r="BJ55" s="96"/>
      <c r="BK55" s="96"/>
    </row>
    <row r="56" ht="15.75" customHeight="1">
      <c r="A56" s="206">
        <f t="shared" si="17"/>
        <v>44470</v>
      </c>
      <c r="B56" s="96"/>
      <c r="C56" s="96"/>
      <c r="D56" s="96"/>
      <c r="E56" s="96"/>
      <c r="F56" s="96"/>
      <c r="G56" s="96"/>
      <c r="H56" s="96"/>
      <c r="I56" s="96"/>
      <c r="J56" s="96"/>
      <c r="K56" s="96"/>
      <c r="L56" s="96"/>
      <c r="M56" s="96"/>
      <c r="N56" s="96"/>
      <c r="O56" s="96"/>
      <c r="P56" s="96"/>
      <c r="Q56" s="96"/>
      <c r="R56" s="96"/>
      <c r="S56" s="96"/>
      <c r="T56" s="96"/>
      <c r="U56" s="96"/>
      <c r="V56" s="96"/>
      <c r="W56" s="96"/>
      <c r="X56" s="96"/>
      <c r="Y56" s="96"/>
      <c r="Z56" s="96"/>
      <c r="AA56" s="96"/>
      <c r="AB56" s="96"/>
      <c r="AC56" s="96"/>
      <c r="AD56" s="96"/>
      <c r="AE56" s="96">
        <f>SUM(AE$17)/12</f>
        <v>0</v>
      </c>
      <c r="AF56" s="96">
        <f t="shared" ref="AF56:AP56" si="43">AE56</f>
        <v>0</v>
      </c>
      <c r="AG56" s="96">
        <f t="shared" si="43"/>
        <v>0</v>
      </c>
      <c r="AH56" s="96">
        <f t="shared" si="43"/>
        <v>0</v>
      </c>
      <c r="AI56" s="96">
        <f t="shared" si="43"/>
        <v>0</v>
      </c>
      <c r="AJ56" s="96">
        <f t="shared" si="43"/>
        <v>0</v>
      </c>
      <c r="AK56" s="96">
        <f t="shared" si="43"/>
        <v>0</v>
      </c>
      <c r="AL56" s="96">
        <f t="shared" si="43"/>
        <v>0</v>
      </c>
      <c r="AM56" s="96">
        <f t="shared" si="43"/>
        <v>0</v>
      </c>
      <c r="AN56" s="96">
        <f t="shared" si="43"/>
        <v>0</v>
      </c>
      <c r="AO56" s="96">
        <f t="shared" si="43"/>
        <v>0</v>
      </c>
      <c r="AP56" s="96">
        <f t="shared" si="43"/>
        <v>0</v>
      </c>
      <c r="AQ56" s="96"/>
      <c r="AR56" s="96"/>
      <c r="AS56" s="96"/>
      <c r="AT56" s="96"/>
      <c r="AU56" s="96"/>
      <c r="AV56" s="96"/>
      <c r="AW56" s="96"/>
      <c r="AX56" s="96"/>
      <c r="AY56" s="96"/>
      <c r="AZ56" s="96"/>
      <c r="BA56" s="96"/>
      <c r="BB56" s="96"/>
      <c r="BC56" s="96"/>
      <c r="BD56" s="96"/>
      <c r="BE56" s="96"/>
      <c r="BF56" s="96"/>
      <c r="BG56" s="96"/>
      <c r="BH56" s="96"/>
      <c r="BI56" s="96"/>
      <c r="BJ56" s="96"/>
      <c r="BK56" s="96"/>
    </row>
    <row r="57" ht="15.75" customHeight="1">
      <c r="A57" s="206">
        <f t="shared" si="17"/>
        <v>44501</v>
      </c>
      <c r="B57" s="96"/>
      <c r="C57" s="96"/>
      <c r="D57" s="96"/>
      <c r="E57" s="96"/>
      <c r="F57" s="96"/>
      <c r="G57" s="96"/>
      <c r="H57" s="96"/>
      <c r="I57" s="96"/>
      <c r="J57" s="96"/>
      <c r="K57" s="96"/>
      <c r="L57" s="96"/>
      <c r="M57" s="96"/>
      <c r="N57" s="96"/>
      <c r="O57" s="96"/>
      <c r="P57" s="96"/>
      <c r="Q57" s="96"/>
      <c r="R57" s="96"/>
      <c r="S57" s="96"/>
      <c r="T57" s="96"/>
      <c r="U57" s="96"/>
      <c r="V57" s="96"/>
      <c r="W57" s="96"/>
      <c r="X57" s="96"/>
      <c r="Y57" s="96"/>
      <c r="Z57" s="96"/>
      <c r="AA57" s="96"/>
      <c r="AB57" s="96"/>
      <c r="AC57" s="96"/>
      <c r="AD57" s="96"/>
      <c r="AE57" s="96"/>
      <c r="AF57" s="96">
        <f>SUM(AF$17)/12</f>
        <v>0</v>
      </c>
      <c r="AG57" s="96">
        <f t="shared" ref="AG57:AQ57" si="44">AF57</f>
        <v>0</v>
      </c>
      <c r="AH57" s="96">
        <f t="shared" si="44"/>
        <v>0</v>
      </c>
      <c r="AI57" s="96">
        <f t="shared" si="44"/>
        <v>0</v>
      </c>
      <c r="AJ57" s="96">
        <f t="shared" si="44"/>
        <v>0</v>
      </c>
      <c r="AK57" s="96">
        <f t="shared" si="44"/>
        <v>0</v>
      </c>
      <c r="AL57" s="96">
        <f t="shared" si="44"/>
        <v>0</v>
      </c>
      <c r="AM57" s="96">
        <f t="shared" si="44"/>
        <v>0</v>
      </c>
      <c r="AN57" s="96">
        <f t="shared" si="44"/>
        <v>0</v>
      </c>
      <c r="AO57" s="96">
        <f t="shared" si="44"/>
        <v>0</v>
      </c>
      <c r="AP57" s="96">
        <f t="shared" si="44"/>
        <v>0</v>
      </c>
      <c r="AQ57" s="96">
        <f t="shared" si="44"/>
        <v>0</v>
      </c>
      <c r="AR57" s="96"/>
      <c r="AS57" s="96"/>
      <c r="AT57" s="96"/>
      <c r="AU57" s="96"/>
      <c r="AV57" s="96"/>
      <c r="AW57" s="96"/>
      <c r="AX57" s="96"/>
      <c r="AY57" s="96"/>
      <c r="AZ57" s="96"/>
      <c r="BA57" s="96"/>
      <c r="BB57" s="96"/>
      <c r="BC57" s="96"/>
      <c r="BD57" s="96"/>
      <c r="BE57" s="96"/>
      <c r="BF57" s="96"/>
      <c r="BG57" s="96"/>
      <c r="BH57" s="96"/>
      <c r="BI57" s="96"/>
      <c r="BJ57" s="96"/>
      <c r="BK57" s="96"/>
    </row>
    <row r="58" ht="15.75" customHeight="1">
      <c r="A58" s="206">
        <f t="shared" si="17"/>
        <v>44531</v>
      </c>
      <c r="B58" s="96"/>
      <c r="C58" s="96"/>
      <c r="D58" s="96"/>
      <c r="E58" s="96"/>
      <c r="F58" s="96"/>
      <c r="G58" s="96"/>
      <c r="H58" s="96"/>
      <c r="I58" s="96"/>
      <c r="J58" s="96"/>
      <c r="K58" s="96"/>
      <c r="L58" s="96"/>
      <c r="M58" s="96"/>
      <c r="N58" s="96"/>
      <c r="O58" s="96"/>
      <c r="P58" s="96"/>
      <c r="Q58" s="96"/>
      <c r="R58" s="96"/>
      <c r="S58" s="96"/>
      <c r="T58" s="96"/>
      <c r="U58" s="96"/>
      <c r="V58" s="96"/>
      <c r="W58" s="96"/>
      <c r="X58" s="96"/>
      <c r="Y58" s="96"/>
      <c r="Z58" s="96"/>
      <c r="AA58" s="96"/>
      <c r="AB58" s="96"/>
      <c r="AC58" s="96"/>
      <c r="AD58" s="96"/>
      <c r="AE58" s="96"/>
      <c r="AF58" s="96"/>
      <c r="AG58" s="96">
        <f>SUM(AG$17)/12</f>
        <v>0</v>
      </c>
      <c r="AH58" s="96">
        <f t="shared" ref="AH58:AR58" si="45">AG58</f>
        <v>0</v>
      </c>
      <c r="AI58" s="96">
        <f t="shared" si="45"/>
        <v>0</v>
      </c>
      <c r="AJ58" s="96">
        <f t="shared" si="45"/>
        <v>0</v>
      </c>
      <c r="AK58" s="96">
        <f t="shared" si="45"/>
        <v>0</v>
      </c>
      <c r="AL58" s="96">
        <f t="shared" si="45"/>
        <v>0</v>
      </c>
      <c r="AM58" s="96">
        <f t="shared" si="45"/>
        <v>0</v>
      </c>
      <c r="AN58" s="96">
        <f t="shared" si="45"/>
        <v>0</v>
      </c>
      <c r="AO58" s="96">
        <f t="shared" si="45"/>
        <v>0</v>
      </c>
      <c r="AP58" s="96">
        <f t="shared" si="45"/>
        <v>0</v>
      </c>
      <c r="AQ58" s="96">
        <f t="shared" si="45"/>
        <v>0</v>
      </c>
      <c r="AR58" s="96">
        <f t="shared" si="45"/>
        <v>0</v>
      </c>
      <c r="AS58" s="96"/>
      <c r="AT58" s="96"/>
      <c r="AU58" s="96"/>
      <c r="AV58" s="96"/>
      <c r="AW58" s="96"/>
      <c r="AX58" s="96"/>
      <c r="AY58" s="96"/>
      <c r="AZ58" s="96"/>
      <c r="BA58" s="96"/>
      <c r="BB58" s="96"/>
      <c r="BC58" s="96"/>
      <c r="BD58" s="96"/>
      <c r="BE58" s="96"/>
      <c r="BF58" s="96"/>
      <c r="BG58" s="96"/>
      <c r="BH58" s="96"/>
      <c r="BI58" s="96"/>
      <c r="BJ58" s="96"/>
      <c r="BK58" s="96"/>
    </row>
    <row r="59" ht="15.75" customHeight="1">
      <c r="A59" s="206">
        <f t="shared" si="17"/>
        <v>44562</v>
      </c>
      <c r="B59" s="96"/>
      <c r="C59" s="96"/>
      <c r="D59" s="96"/>
      <c r="E59" s="96"/>
      <c r="F59" s="96"/>
      <c r="G59" s="96"/>
      <c r="H59" s="96"/>
      <c r="I59" s="96"/>
      <c r="J59" s="96"/>
      <c r="K59" s="96"/>
      <c r="L59" s="96"/>
      <c r="M59" s="96"/>
      <c r="N59" s="96"/>
      <c r="O59" s="96"/>
      <c r="P59" s="96"/>
      <c r="Q59" s="96"/>
      <c r="R59" s="96"/>
      <c r="S59" s="96"/>
      <c r="T59" s="96"/>
      <c r="U59" s="96"/>
      <c r="V59" s="96"/>
      <c r="W59" s="96"/>
      <c r="X59" s="96"/>
      <c r="Y59" s="96"/>
      <c r="Z59" s="96"/>
      <c r="AA59" s="96"/>
      <c r="AB59" s="96"/>
      <c r="AC59" s="96"/>
      <c r="AD59" s="96"/>
      <c r="AE59" s="96"/>
      <c r="AF59" s="96"/>
      <c r="AG59" s="96"/>
      <c r="AH59" s="96">
        <f>SUM(AH$17)/12</f>
        <v>0</v>
      </c>
      <c r="AI59" s="96">
        <f t="shared" ref="AI59:AS59" si="46">AH59</f>
        <v>0</v>
      </c>
      <c r="AJ59" s="96">
        <f t="shared" si="46"/>
        <v>0</v>
      </c>
      <c r="AK59" s="96">
        <f t="shared" si="46"/>
        <v>0</v>
      </c>
      <c r="AL59" s="96">
        <f t="shared" si="46"/>
        <v>0</v>
      </c>
      <c r="AM59" s="96">
        <f t="shared" si="46"/>
        <v>0</v>
      </c>
      <c r="AN59" s="96">
        <f t="shared" si="46"/>
        <v>0</v>
      </c>
      <c r="AO59" s="96">
        <f t="shared" si="46"/>
        <v>0</v>
      </c>
      <c r="AP59" s="96">
        <f t="shared" si="46"/>
        <v>0</v>
      </c>
      <c r="AQ59" s="96">
        <f t="shared" si="46"/>
        <v>0</v>
      </c>
      <c r="AR59" s="96">
        <f t="shared" si="46"/>
        <v>0</v>
      </c>
      <c r="AS59" s="96">
        <f t="shared" si="46"/>
        <v>0</v>
      </c>
      <c r="AT59" s="96"/>
      <c r="AU59" s="96"/>
      <c r="AV59" s="96"/>
      <c r="AW59" s="96"/>
      <c r="AX59" s="96"/>
      <c r="AY59" s="96"/>
      <c r="AZ59" s="96"/>
      <c r="BA59" s="96"/>
      <c r="BB59" s="96"/>
      <c r="BC59" s="96"/>
      <c r="BD59" s="96"/>
      <c r="BE59" s="96"/>
      <c r="BF59" s="96"/>
      <c r="BG59" s="96"/>
      <c r="BH59" s="96"/>
      <c r="BI59" s="96"/>
      <c r="BJ59" s="96"/>
      <c r="BK59" s="96"/>
    </row>
    <row r="60" ht="15.75" customHeight="1">
      <c r="A60" s="206">
        <f t="shared" si="17"/>
        <v>44593</v>
      </c>
      <c r="B60" s="96"/>
      <c r="C60" s="96"/>
      <c r="D60" s="96"/>
      <c r="E60" s="96"/>
      <c r="F60" s="96"/>
      <c r="G60" s="96"/>
      <c r="H60" s="96"/>
      <c r="I60" s="96"/>
      <c r="J60" s="96"/>
      <c r="K60" s="96"/>
      <c r="L60" s="96"/>
      <c r="M60" s="96"/>
      <c r="N60" s="96"/>
      <c r="O60" s="96"/>
      <c r="P60" s="96"/>
      <c r="Q60" s="96"/>
      <c r="R60" s="96"/>
      <c r="S60" s="96"/>
      <c r="T60" s="96"/>
      <c r="U60" s="96"/>
      <c r="V60" s="96"/>
      <c r="W60" s="96"/>
      <c r="X60" s="96"/>
      <c r="Y60" s="96"/>
      <c r="Z60" s="96"/>
      <c r="AA60" s="96"/>
      <c r="AB60" s="96"/>
      <c r="AC60" s="96"/>
      <c r="AD60" s="96"/>
      <c r="AE60" s="96"/>
      <c r="AF60" s="96"/>
      <c r="AG60" s="96"/>
      <c r="AH60" s="96"/>
      <c r="AI60" s="96">
        <f>SUM(AI$17)/12</f>
        <v>0</v>
      </c>
      <c r="AJ60" s="96">
        <f t="shared" ref="AJ60:AT60" si="47">AI60</f>
        <v>0</v>
      </c>
      <c r="AK60" s="96">
        <f t="shared" si="47"/>
        <v>0</v>
      </c>
      <c r="AL60" s="96">
        <f t="shared" si="47"/>
        <v>0</v>
      </c>
      <c r="AM60" s="96">
        <f t="shared" si="47"/>
        <v>0</v>
      </c>
      <c r="AN60" s="96">
        <f t="shared" si="47"/>
        <v>0</v>
      </c>
      <c r="AO60" s="96">
        <f t="shared" si="47"/>
        <v>0</v>
      </c>
      <c r="AP60" s="96">
        <f t="shared" si="47"/>
        <v>0</v>
      </c>
      <c r="AQ60" s="96">
        <f t="shared" si="47"/>
        <v>0</v>
      </c>
      <c r="AR60" s="96">
        <f t="shared" si="47"/>
        <v>0</v>
      </c>
      <c r="AS60" s="96">
        <f t="shared" si="47"/>
        <v>0</v>
      </c>
      <c r="AT60" s="96">
        <f t="shared" si="47"/>
        <v>0</v>
      </c>
      <c r="AU60" s="96"/>
      <c r="AV60" s="96"/>
      <c r="AW60" s="96"/>
      <c r="AX60" s="96"/>
      <c r="AY60" s="96"/>
      <c r="AZ60" s="96"/>
      <c r="BA60" s="96"/>
      <c r="BB60" s="96"/>
      <c r="BC60" s="96"/>
      <c r="BD60" s="96"/>
      <c r="BE60" s="96"/>
      <c r="BF60" s="96"/>
      <c r="BG60" s="96"/>
      <c r="BH60" s="96"/>
      <c r="BI60" s="96"/>
      <c r="BJ60" s="96"/>
      <c r="BK60" s="96"/>
    </row>
    <row r="61" ht="15.75" customHeight="1">
      <c r="A61" s="206">
        <f t="shared" si="17"/>
        <v>44621</v>
      </c>
      <c r="B61" s="96"/>
      <c r="C61" s="96"/>
      <c r="D61" s="96"/>
      <c r="E61" s="96"/>
      <c r="F61" s="96"/>
      <c r="G61" s="96"/>
      <c r="H61" s="96"/>
      <c r="I61" s="96"/>
      <c r="J61" s="96"/>
      <c r="K61" s="96"/>
      <c r="L61" s="96"/>
      <c r="M61" s="96"/>
      <c r="N61" s="96"/>
      <c r="O61" s="96"/>
      <c r="P61" s="96"/>
      <c r="Q61" s="96"/>
      <c r="R61" s="96"/>
      <c r="S61" s="96"/>
      <c r="T61" s="96"/>
      <c r="U61" s="96"/>
      <c r="V61" s="96"/>
      <c r="W61" s="96"/>
      <c r="X61" s="96"/>
      <c r="Y61" s="96"/>
      <c r="Z61" s="96"/>
      <c r="AA61" s="96"/>
      <c r="AB61" s="96"/>
      <c r="AC61" s="96"/>
      <c r="AD61" s="96"/>
      <c r="AE61" s="96"/>
      <c r="AF61" s="96"/>
      <c r="AG61" s="96"/>
      <c r="AH61" s="96"/>
      <c r="AI61" s="96"/>
      <c r="AJ61" s="96">
        <f>SUM(AJ$17)/12</f>
        <v>0</v>
      </c>
      <c r="AK61" s="96">
        <f t="shared" ref="AK61:AU61" si="48">AJ61</f>
        <v>0</v>
      </c>
      <c r="AL61" s="96">
        <f t="shared" si="48"/>
        <v>0</v>
      </c>
      <c r="AM61" s="96">
        <f t="shared" si="48"/>
        <v>0</v>
      </c>
      <c r="AN61" s="96">
        <f t="shared" si="48"/>
        <v>0</v>
      </c>
      <c r="AO61" s="96">
        <f t="shared" si="48"/>
        <v>0</v>
      </c>
      <c r="AP61" s="96">
        <f t="shared" si="48"/>
        <v>0</v>
      </c>
      <c r="AQ61" s="96">
        <f t="shared" si="48"/>
        <v>0</v>
      </c>
      <c r="AR61" s="96">
        <f t="shared" si="48"/>
        <v>0</v>
      </c>
      <c r="AS61" s="96">
        <f t="shared" si="48"/>
        <v>0</v>
      </c>
      <c r="AT61" s="96">
        <f t="shared" si="48"/>
        <v>0</v>
      </c>
      <c r="AU61" s="96">
        <f t="shared" si="48"/>
        <v>0</v>
      </c>
      <c r="AV61" s="96"/>
      <c r="AW61" s="96"/>
      <c r="AX61" s="96"/>
      <c r="AY61" s="96"/>
      <c r="AZ61" s="96"/>
      <c r="BA61" s="96"/>
      <c r="BB61" s="96"/>
      <c r="BC61" s="96"/>
      <c r="BD61" s="96"/>
      <c r="BE61" s="96"/>
      <c r="BF61" s="96"/>
      <c r="BG61" s="96"/>
      <c r="BH61" s="96"/>
      <c r="BI61" s="96"/>
      <c r="BJ61" s="96"/>
      <c r="BK61" s="96"/>
    </row>
    <row r="62" ht="15.75" customHeight="1">
      <c r="A62" s="206">
        <f t="shared" si="17"/>
        <v>44652</v>
      </c>
      <c r="B62" s="96"/>
      <c r="C62" s="96"/>
      <c r="D62" s="96"/>
      <c r="E62" s="96"/>
      <c r="F62" s="96"/>
      <c r="G62" s="96"/>
      <c r="H62" s="96"/>
      <c r="I62" s="96"/>
      <c r="J62" s="96"/>
      <c r="K62" s="96"/>
      <c r="L62" s="96"/>
      <c r="M62" s="96"/>
      <c r="N62" s="96"/>
      <c r="O62" s="96"/>
      <c r="P62" s="96"/>
      <c r="Q62" s="96"/>
      <c r="R62" s="96"/>
      <c r="S62" s="96"/>
      <c r="T62" s="96"/>
      <c r="U62" s="96"/>
      <c r="V62" s="96"/>
      <c r="W62" s="96"/>
      <c r="X62" s="96"/>
      <c r="Y62" s="96"/>
      <c r="Z62" s="96"/>
      <c r="AA62" s="96"/>
      <c r="AB62" s="96"/>
      <c r="AC62" s="96"/>
      <c r="AD62" s="96"/>
      <c r="AE62" s="96"/>
      <c r="AF62" s="96"/>
      <c r="AG62" s="96"/>
      <c r="AH62" s="96"/>
      <c r="AI62" s="96"/>
      <c r="AJ62" s="96"/>
      <c r="AK62" s="96">
        <f>SUM(AK$17)/12</f>
        <v>0</v>
      </c>
      <c r="AL62" s="96">
        <f t="shared" ref="AL62:AV62" si="49">AK62</f>
        <v>0</v>
      </c>
      <c r="AM62" s="96">
        <f t="shared" si="49"/>
        <v>0</v>
      </c>
      <c r="AN62" s="96">
        <f t="shared" si="49"/>
        <v>0</v>
      </c>
      <c r="AO62" s="96">
        <f t="shared" si="49"/>
        <v>0</v>
      </c>
      <c r="AP62" s="96">
        <f t="shared" si="49"/>
        <v>0</v>
      </c>
      <c r="AQ62" s="96">
        <f t="shared" si="49"/>
        <v>0</v>
      </c>
      <c r="AR62" s="96">
        <f t="shared" si="49"/>
        <v>0</v>
      </c>
      <c r="AS62" s="96">
        <f t="shared" si="49"/>
        <v>0</v>
      </c>
      <c r="AT62" s="96">
        <f t="shared" si="49"/>
        <v>0</v>
      </c>
      <c r="AU62" s="96">
        <f t="shared" si="49"/>
        <v>0</v>
      </c>
      <c r="AV62" s="96">
        <f t="shared" si="49"/>
        <v>0</v>
      </c>
      <c r="AW62" s="96"/>
      <c r="AX62" s="96"/>
      <c r="AY62" s="96"/>
      <c r="AZ62" s="96"/>
      <c r="BA62" s="96"/>
      <c r="BB62" s="96"/>
      <c r="BC62" s="96"/>
      <c r="BD62" s="96"/>
      <c r="BE62" s="96"/>
      <c r="BF62" s="96"/>
      <c r="BG62" s="96"/>
      <c r="BH62" s="96"/>
      <c r="BI62" s="96"/>
      <c r="BJ62" s="96"/>
      <c r="BK62" s="96"/>
    </row>
    <row r="63" ht="15.75" customHeight="1">
      <c r="A63" s="206">
        <f t="shared" si="17"/>
        <v>44682</v>
      </c>
      <c r="B63" s="96"/>
      <c r="C63" s="96"/>
      <c r="D63" s="96"/>
      <c r="E63" s="96"/>
      <c r="F63" s="96"/>
      <c r="G63" s="96"/>
      <c r="H63" s="96"/>
      <c r="I63" s="96"/>
      <c r="J63" s="96"/>
      <c r="K63" s="96"/>
      <c r="L63" s="96"/>
      <c r="M63" s="96"/>
      <c r="N63" s="96"/>
      <c r="O63" s="96"/>
      <c r="P63" s="96"/>
      <c r="Q63" s="96"/>
      <c r="R63" s="96"/>
      <c r="S63" s="96"/>
      <c r="T63" s="96"/>
      <c r="U63" s="96"/>
      <c r="V63" s="96"/>
      <c r="W63" s="96"/>
      <c r="X63" s="96"/>
      <c r="Y63" s="96"/>
      <c r="Z63" s="96"/>
      <c r="AA63" s="96"/>
      <c r="AB63" s="96"/>
      <c r="AC63" s="96"/>
      <c r="AD63" s="96"/>
      <c r="AE63" s="96"/>
      <c r="AF63" s="96"/>
      <c r="AG63" s="96"/>
      <c r="AH63" s="96"/>
      <c r="AI63" s="96"/>
      <c r="AJ63" s="96"/>
      <c r="AK63" s="96"/>
      <c r="AL63" s="96">
        <f>SUM(AL$17)/12</f>
        <v>0</v>
      </c>
      <c r="AM63" s="96">
        <f t="shared" ref="AM63:AW63" si="50">AL63</f>
        <v>0</v>
      </c>
      <c r="AN63" s="96">
        <f t="shared" si="50"/>
        <v>0</v>
      </c>
      <c r="AO63" s="96">
        <f t="shared" si="50"/>
        <v>0</v>
      </c>
      <c r="AP63" s="96">
        <f t="shared" si="50"/>
        <v>0</v>
      </c>
      <c r="AQ63" s="96">
        <f t="shared" si="50"/>
        <v>0</v>
      </c>
      <c r="AR63" s="96">
        <f t="shared" si="50"/>
        <v>0</v>
      </c>
      <c r="AS63" s="96">
        <f t="shared" si="50"/>
        <v>0</v>
      </c>
      <c r="AT63" s="96">
        <f t="shared" si="50"/>
        <v>0</v>
      </c>
      <c r="AU63" s="96">
        <f t="shared" si="50"/>
        <v>0</v>
      </c>
      <c r="AV63" s="96">
        <f t="shared" si="50"/>
        <v>0</v>
      </c>
      <c r="AW63" s="96">
        <f t="shared" si="50"/>
        <v>0</v>
      </c>
      <c r="AX63" s="96"/>
      <c r="AY63" s="96"/>
      <c r="AZ63" s="96"/>
      <c r="BA63" s="96"/>
      <c r="BB63" s="96"/>
      <c r="BC63" s="96"/>
      <c r="BD63" s="96"/>
      <c r="BE63" s="96"/>
      <c r="BF63" s="96"/>
      <c r="BG63" s="96"/>
      <c r="BH63" s="96"/>
      <c r="BI63" s="96"/>
      <c r="BJ63" s="96"/>
      <c r="BK63" s="96"/>
    </row>
    <row r="64" ht="15.75" customHeight="1">
      <c r="A64" s="206">
        <f t="shared" si="17"/>
        <v>44713</v>
      </c>
      <c r="B64" s="96"/>
      <c r="C64" s="96"/>
      <c r="D64" s="96"/>
      <c r="E64" s="96"/>
      <c r="F64" s="96"/>
      <c r="G64" s="96"/>
      <c r="H64" s="96"/>
      <c r="I64" s="96"/>
      <c r="J64" s="96"/>
      <c r="K64" s="96"/>
      <c r="L64" s="96"/>
      <c r="M64" s="96"/>
      <c r="N64" s="96"/>
      <c r="O64" s="96"/>
      <c r="P64" s="96"/>
      <c r="Q64" s="96"/>
      <c r="R64" s="96"/>
      <c r="S64" s="96"/>
      <c r="T64" s="96"/>
      <c r="U64" s="96"/>
      <c r="V64" s="96"/>
      <c r="W64" s="96"/>
      <c r="X64" s="96"/>
      <c r="Y64" s="96"/>
      <c r="Z64" s="96"/>
      <c r="AA64" s="96"/>
      <c r="AB64" s="96"/>
      <c r="AC64" s="96"/>
      <c r="AD64" s="96"/>
      <c r="AE64" s="96"/>
      <c r="AF64" s="96"/>
      <c r="AG64" s="96"/>
      <c r="AH64" s="96"/>
      <c r="AI64" s="96"/>
      <c r="AJ64" s="96"/>
      <c r="AK64" s="96"/>
      <c r="AL64" s="96"/>
      <c r="AM64" s="96">
        <f>SUM(AM$17)/12</f>
        <v>0</v>
      </c>
      <c r="AN64" s="96">
        <f t="shared" ref="AN64:AX64" si="51">AM64</f>
        <v>0</v>
      </c>
      <c r="AO64" s="96">
        <f t="shared" si="51"/>
        <v>0</v>
      </c>
      <c r="AP64" s="96">
        <f t="shared" si="51"/>
        <v>0</v>
      </c>
      <c r="AQ64" s="96">
        <f t="shared" si="51"/>
        <v>0</v>
      </c>
      <c r="AR64" s="96">
        <f t="shared" si="51"/>
        <v>0</v>
      </c>
      <c r="AS64" s="96">
        <f t="shared" si="51"/>
        <v>0</v>
      </c>
      <c r="AT64" s="96">
        <f t="shared" si="51"/>
        <v>0</v>
      </c>
      <c r="AU64" s="96">
        <f t="shared" si="51"/>
        <v>0</v>
      </c>
      <c r="AV64" s="96">
        <f t="shared" si="51"/>
        <v>0</v>
      </c>
      <c r="AW64" s="96">
        <f t="shared" si="51"/>
        <v>0</v>
      </c>
      <c r="AX64" s="96">
        <f t="shared" si="51"/>
        <v>0</v>
      </c>
      <c r="AY64" s="96"/>
      <c r="AZ64" s="96"/>
      <c r="BA64" s="96"/>
      <c r="BB64" s="96"/>
      <c r="BC64" s="96"/>
      <c r="BD64" s="96"/>
      <c r="BE64" s="96"/>
      <c r="BF64" s="96"/>
      <c r="BG64" s="96"/>
      <c r="BH64" s="96"/>
      <c r="BI64" s="96"/>
      <c r="BJ64" s="96"/>
      <c r="BK64" s="96"/>
    </row>
    <row r="65" ht="15.75" customHeight="1">
      <c r="A65" s="206">
        <f t="shared" si="17"/>
        <v>44743</v>
      </c>
      <c r="B65" s="96"/>
      <c r="C65" s="96"/>
      <c r="D65" s="96"/>
      <c r="E65" s="96"/>
      <c r="F65" s="96"/>
      <c r="G65" s="96"/>
      <c r="H65" s="96"/>
      <c r="I65" s="96"/>
      <c r="J65" s="96"/>
      <c r="K65" s="96"/>
      <c r="L65" s="96"/>
      <c r="M65" s="96"/>
      <c r="N65" s="96"/>
      <c r="O65" s="96"/>
      <c r="P65" s="96"/>
      <c r="Q65" s="96"/>
      <c r="R65" s="96"/>
      <c r="S65" s="96"/>
      <c r="T65" s="96"/>
      <c r="U65" s="96"/>
      <c r="V65" s="96"/>
      <c r="W65" s="96"/>
      <c r="X65" s="96"/>
      <c r="Y65" s="96"/>
      <c r="Z65" s="96"/>
      <c r="AA65" s="96"/>
      <c r="AB65" s="96"/>
      <c r="AC65" s="96"/>
      <c r="AD65" s="96"/>
      <c r="AE65" s="96"/>
      <c r="AF65" s="96"/>
      <c r="AG65" s="96"/>
      <c r="AH65" s="96"/>
      <c r="AI65" s="96"/>
      <c r="AJ65" s="96"/>
      <c r="AK65" s="96"/>
      <c r="AL65" s="96"/>
      <c r="AM65" s="96"/>
      <c r="AN65" s="96">
        <f>SUM(AN$17)/12</f>
        <v>0</v>
      </c>
      <c r="AO65" s="96">
        <f t="shared" ref="AO65:AY65" si="52">AN65</f>
        <v>0</v>
      </c>
      <c r="AP65" s="96">
        <f t="shared" si="52"/>
        <v>0</v>
      </c>
      <c r="AQ65" s="96">
        <f t="shared" si="52"/>
        <v>0</v>
      </c>
      <c r="AR65" s="96">
        <f t="shared" si="52"/>
        <v>0</v>
      </c>
      <c r="AS65" s="96">
        <f t="shared" si="52"/>
        <v>0</v>
      </c>
      <c r="AT65" s="96">
        <f t="shared" si="52"/>
        <v>0</v>
      </c>
      <c r="AU65" s="96">
        <f t="shared" si="52"/>
        <v>0</v>
      </c>
      <c r="AV65" s="96">
        <f t="shared" si="52"/>
        <v>0</v>
      </c>
      <c r="AW65" s="96">
        <f t="shared" si="52"/>
        <v>0</v>
      </c>
      <c r="AX65" s="96">
        <f t="shared" si="52"/>
        <v>0</v>
      </c>
      <c r="AY65" s="96">
        <f t="shared" si="52"/>
        <v>0</v>
      </c>
      <c r="AZ65" s="96"/>
      <c r="BA65" s="96"/>
      <c r="BB65" s="96"/>
      <c r="BC65" s="96"/>
      <c r="BD65" s="96"/>
      <c r="BE65" s="96"/>
      <c r="BF65" s="96"/>
      <c r="BG65" s="96"/>
      <c r="BH65" s="96"/>
      <c r="BI65" s="96"/>
      <c r="BJ65" s="96"/>
      <c r="BK65" s="96"/>
    </row>
    <row r="66" ht="15.75" customHeight="1">
      <c r="A66" s="206">
        <f t="shared" si="17"/>
        <v>44774</v>
      </c>
      <c r="B66" s="96"/>
      <c r="C66" s="96"/>
      <c r="D66" s="96"/>
      <c r="E66" s="96"/>
      <c r="F66" s="96"/>
      <c r="G66" s="96"/>
      <c r="H66" s="96"/>
      <c r="I66" s="96"/>
      <c r="J66" s="96"/>
      <c r="K66" s="96"/>
      <c r="L66" s="96"/>
      <c r="M66" s="96"/>
      <c r="N66" s="96"/>
      <c r="O66" s="96"/>
      <c r="P66" s="96"/>
      <c r="Q66" s="96"/>
      <c r="R66" s="96"/>
      <c r="S66" s="96"/>
      <c r="T66" s="96"/>
      <c r="U66" s="96"/>
      <c r="V66" s="96"/>
      <c r="W66" s="96"/>
      <c r="X66" s="96"/>
      <c r="Y66" s="96"/>
      <c r="Z66" s="96"/>
      <c r="AA66" s="96"/>
      <c r="AB66" s="96"/>
      <c r="AC66" s="96"/>
      <c r="AD66" s="96"/>
      <c r="AE66" s="96"/>
      <c r="AF66" s="96"/>
      <c r="AG66" s="96"/>
      <c r="AH66" s="96"/>
      <c r="AI66" s="96"/>
      <c r="AJ66" s="96"/>
      <c r="AK66" s="96"/>
      <c r="AL66" s="96"/>
      <c r="AM66" s="96"/>
      <c r="AN66" s="96"/>
      <c r="AO66" s="96">
        <f>SUM(AO$17)/12</f>
        <v>0</v>
      </c>
      <c r="AP66" s="96">
        <f t="shared" ref="AP66:AZ66" si="53">AO66</f>
        <v>0</v>
      </c>
      <c r="AQ66" s="96">
        <f t="shared" si="53"/>
        <v>0</v>
      </c>
      <c r="AR66" s="96">
        <f t="shared" si="53"/>
        <v>0</v>
      </c>
      <c r="AS66" s="96">
        <f t="shared" si="53"/>
        <v>0</v>
      </c>
      <c r="AT66" s="96">
        <f t="shared" si="53"/>
        <v>0</v>
      </c>
      <c r="AU66" s="96">
        <f t="shared" si="53"/>
        <v>0</v>
      </c>
      <c r="AV66" s="96">
        <f t="shared" si="53"/>
        <v>0</v>
      </c>
      <c r="AW66" s="96">
        <f t="shared" si="53"/>
        <v>0</v>
      </c>
      <c r="AX66" s="96">
        <f t="shared" si="53"/>
        <v>0</v>
      </c>
      <c r="AY66" s="96">
        <f t="shared" si="53"/>
        <v>0</v>
      </c>
      <c r="AZ66" s="96">
        <f t="shared" si="53"/>
        <v>0</v>
      </c>
      <c r="BA66" s="96"/>
      <c r="BB66" s="96"/>
      <c r="BC66" s="96"/>
      <c r="BD66" s="96"/>
      <c r="BE66" s="96"/>
      <c r="BF66" s="96"/>
      <c r="BG66" s="96"/>
      <c r="BH66" s="96"/>
      <c r="BI66" s="96"/>
      <c r="BJ66" s="96"/>
      <c r="BK66" s="96"/>
    </row>
    <row r="67" ht="15.75" customHeight="1">
      <c r="A67" s="206">
        <f t="shared" si="17"/>
        <v>44805</v>
      </c>
      <c r="B67" s="96"/>
      <c r="C67" s="96"/>
      <c r="D67" s="96"/>
      <c r="E67" s="96"/>
      <c r="F67" s="96"/>
      <c r="G67" s="96"/>
      <c r="H67" s="96"/>
      <c r="I67" s="96"/>
      <c r="J67" s="96"/>
      <c r="K67" s="96"/>
      <c r="L67" s="96"/>
      <c r="M67" s="96"/>
      <c r="N67" s="96"/>
      <c r="O67" s="96"/>
      <c r="P67" s="96"/>
      <c r="Q67" s="96"/>
      <c r="R67" s="96"/>
      <c r="S67" s="96"/>
      <c r="T67" s="96"/>
      <c r="U67" s="96"/>
      <c r="V67" s="96"/>
      <c r="W67" s="96"/>
      <c r="X67" s="96"/>
      <c r="Y67" s="96"/>
      <c r="Z67" s="96"/>
      <c r="AA67" s="96"/>
      <c r="AB67" s="96"/>
      <c r="AC67" s="96"/>
      <c r="AD67" s="96"/>
      <c r="AE67" s="96"/>
      <c r="AF67" s="96"/>
      <c r="AG67" s="96"/>
      <c r="AH67" s="96"/>
      <c r="AI67" s="96"/>
      <c r="AJ67" s="96"/>
      <c r="AK67" s="96"/>
      <c r="AL67" s="96"/>
      <c r="AM67" s="96"/>
      <c r="AN67" s="96"/>
      <c r="AO67" s="96"/>
      <c r="AP67" s="96">
        <f>SUM(AP$17)/12</f>
        <v>0</v>
      </c>
      <c r="AQ67" s="96">
        <f t="shared" ref="AQ67:BA67" si="54">AP67</f>
        <v>0</v>
      </c>
      <c r="AR67" s="96">
        <f t="shared" si="54"/>
        <v>0</v>
      </c>
      <c r="AS67" s="96">
        <f t="shared" si="54"/>
        <v>0</v>
      </c>
      <c r="AT67" s="96">
        <f t="shared" si="54"/>
        <v>0</v>
      </c>
      <c r="AU67" s="96">
        <f t="shared" si="54"/>
        <v>0</v>
      </c>
      <c r="AV67" s="96">
        <f t="shared" si="54"/>
        <v>0</v>
      </c>
      <c r="AW67" s="96">
        <f t="shared" si="54"/>
        <v>0</v>
      </c>
      <c r="AX67" s="96">
        <f t="shared" si="54"/>
        <v>0</v>
      </c>
      <c r="AY67" s="96">
        <f t="shared" si="54"/>
        <v>0</v>
      </c>
      <c r="AZ67" s="96">
        <f t="shared" si="54"/>
        <v>0</v>
      </c>
      <c r="BA67" s="96">
        <f t="shared" si="54"/>
        <v>0</v>
      </c>
      <c r="BB67" s="96"/>
      <c r="BC67" s="96"/>
      <c r="BD67" s="96"/>
      <c r="BE67" s="96"/>
      <c r="BF67" s="96"/>
      <c r="BG67" s="96"/>
      <c r="BH67" s="96"/>
      <c r="BI67" s="96"/>
      <c r="BJ67" s="96"/>
      <c r="BK67" s="96"/>
    </row>
    <row r="68" ht="15.75" customHeight="1">
      <c r="A68" s="206">
        <f t="shared" si="17"/>
        <v>44835</v>
      </c>
      <c r="B68" s="96"/>
      <c r="C68" s="96"/>
      <c r="D68" s="96"/>
      <c r="E68" s="96"/>
      <c r="F68" s="96"/>
      <c r="G68" s="96"/>
      <c r="H68" s="96"/>
      <c r="I68" s="96"/>
      <c r="J68" s="96"/>
      <c r="K68" s="96"/>
      <c r="L68" s="96"/>
      <c r="M68" s="96"/>
      <c r="N68" s="96"/>
      <c r="O68" s="96"/>
      <c r="P68" s="96"/>
      <c r="Q68" s="96"/>
      <c r="R68" s="96"/>
      <c r="S68" s="96"/>
      <c r="T68" s="96"/>
      <c r="U68" s="96"/>
      <c r="V68" s="96"/>
      <c r="W68" s="96"/>
      <c r="X68" s="96"/>
      <c r="Y68" s="96"/>
      <c r="Z68" s="96"/>
      <c r="AA68" s="96"/>
      <c r="AB68" s="96"/>
      <c r="AC68" s="96"/>
      <c r="AD68" s="96"/>
      <c r="AE68" s="96"/>
      <c r="AF68" s="96"/>
      <c r="AG68" s="96"/>
      <c r="AH68" s="96"/>
      <c r="AI68" s="96"/>
      <c r="AJ68" s="96"/>
      <c r="AK68" s="96"/>
      <c r="AL68" s="96"/>
      <c r="AM68" s="96"/>
      <c r="AN68" s="96"/>
      <c r="AO68" s="96"/>
      <c r="AP68" s="96"/>
      <c r="AQ68" s="96">
        <f>SUM(AQ$17)/12</f>
        <v>0</v>
      </c>
      <c r="AR68" s="96">
        <f t="shared" ref="AR68:BB68" si="55">AQ68</f>
        <v>0</v>
      </c>
      <c r="AS68" s="96">
        <f t="shared" si="55"/>
        <v>0</v>
      </c>
      <c r="AT68" s="96">
        <f t="shared" si="55"/>
        <v>0</v>
      </c>
      <c r="AU68" s="96">
        <f t="shared" si="55"/>
        <v>0</v>
      </c>
      <c r="AV68" s="96">
        <f t="shared" si="55"/>
        <v>0</v>
      </c>
      <c r="AW68" s="96">
        <f t="shared" si="55"/>
        <v>0</v>
      </c>
      <c r="AX68" s="96">
        <f t="shared" si="55"/>
        <v>0</v>
      </c>
      <c r="AY68" s="96">
        <f t="shared" si="55"/>
        <v>0</v>
      </c>
      <c r="AZ68" s="96">
        <f t="shared" si="55"/>
        <v>0</v>
      </c>
      <c r="BA68" s="96">
        <f t="shared" si="55"/>
        <v>0</v>
      </c>
      <c r="BB68" s="96">
        <f t="shared" si="55"/>
        <v>0</v>
      </c>
      <c r="BC68" s="96"/>
      <c r="BD68" s="96"/>
      <c r="BE68" s="96"/>
      <c r="BF68" s="96"/>
      <c r="BG68" s="96"/>
      <c r="BH68" s="96"/>
      <c r="BI68" s="96"/>
      <c r="BJ68" s="96"/>
      <c r="BK68" s="96"/>
    </row>
    <row r="69" ht="15.75" customHeight="1">
      <c r="A69" s="206">
        <f t="shared" si="17"/>
        <v>44866</v>
      </c>
      <c r="B69" s="96"/>
      <c r="C69" s="96"/>
      <c r="D69" s="96"/>
      <c r="E69" s="96"/>
      <c r="F69" s="96"/>
      <c r="G69" s="96"/>
      <c r="H69" s="96"/>
      <c r="I69" s="96"/>
      <c r="J69" s="96"/>
      <c r="K69" s="96"/>
      <c r="L69" s="96"/>
      <c r="M69" s="96"/>
      <c r="N69" s="96"/>
      <c r="O69" s="96"/>
      <c r="P69" s="96"/>
      <c r="Q69" s="96"/>
      <c r="R69" s="96"/>
      <c r="S69" s="96"/>
      <c r="T69" s="96"/>
      <c r="U69" s="96"/>
      <c r="V69" s="96"/>
      <c r="W69" s="96"/>
      <c r="X69" s="96"/>
      <c r="Y69" s="96"/>
      <c r="Z69" s="96"/>
      <c r="AA69" s="96"/>
      <c r="AB69" s="96"/>
      <c r="AC69" s="96"/>
      <c r="AD69" s="96"/>
      <c r="AE69" s="96"/>
      <c r="AF69" s="96"/>
      <c r="AG69" s="96"/>
      <c r="AH69" s="96"/>
      <c r="AI69" s="96"/>
      <c r="AJ69" s="96"/>
      <c r="AK69" s="96"/>
      <c r="AL69" s="96"/>
      <c r="AM69" s="96"/>
      <c r="AN69" s="96"/>
      <c r="AO69" s="96"/>
      <c r="AP69" s="96"/>
      <c r="AQ69" s="96"/>
      <c r="AR69" s="96">
        <f>SUM(AR$17)/12</f>
        <v>0</v>
      </c>
      <c r="AS69" s="96">
        <f t="shared" ref="AS69:BC69" si="56">AR69</f>
        <v>0</v>
      </c>
      <c r="AT69" s="96">
        <f t="shared" si="56"/>
        <v>0</v>
      </c>
      <c r="AU69" s="96">
        <f t="shared" si="56"/>
        <v>0</v>
      </c>
      <c r="AV69" s="96">
        <f t="shared" si="56"/>
        <v>0</v>
      </c>
      <c r="AW69" s="96">
        <f t="shared" si="56"/>
        <v>0</v>
      </c>
      <c r="AX69" s="96">
        <f t="shared" si="56"/>
        <v>0</v>
      </c>
      <c r="AY69" s="96">
        <f t="shared" si="56"/>
        <v>0</v>
      </c>
      <c r="AZ69" s="96">
        <f t="shared" si="56"/>
        <v>0</v>
      </c>
      <c r="BA69" s="96">
        <f t="shared" si="56"/>
        <v>0</v>
      </c>
      <c r="BB69" s="96">
        <f t="shared" si="56"/>
        <v>0</v>
      </c>
      <c r="BC69" s="96">
        <f t="shared" si="56"/>
        <v>0</v>
      </c>
      <c r="BD69" s="96"/>
      <c r="BE69" s="96"/>
      <c r="BF69" s="96"/>
      <c r="BG69" s="96"/>
      <c r="BH69" s="96"/>
      <c r="BI69" s="96"/>
      <c r="BJ69" s="96"/>
      <c r="BK69" s="96"/>
    </row>
    <row r="70" ht="15.75" customHeight="1">
      <c r="A70" s="206">
        <f t="shared" si="17"/>
        <v>44896</v>
      </c>
      <c r="B70" s="96"/>
      <c r="C70" s="96"/>
      <c r="D70" s="96"/>
      <c r="E70" s="96"/>
      <c r="F70" s="96"/>
      <c r="G70" s="96"/>
      <c r="H70" s="96"/>
      <c r="I70" s="96"/>
      <c r="J70" s="96"/>
      <c r="K70" s="96"/>
      <c r="L70" s="96"/>
      <c r="M70" s="96"/>
      <c r="N70" s="96"/>
      <c r="O70" s="96"/>
      <c r="P70" s="96"/>
      <c r="Q70" s="96"/>
      <c r="R70" s="96"/>
      <c r="S70" s="96"/>
      <c r="T70" s="96"/>
      <c r="U70" s="96"/>
      <c r="V70" s="96"/>
      <c r="W70" s="96"/>
      <c r="X70" s="96"/>
      <c r="Y70" s="96"/>
      <c r="Z70" s="96"/>
      <c r="AA70" s="96"/>
      <c r="AB70" s="96"/>
      <c r="AC70" s="96"/>
      <c r="AD70" s="96"/>
      <c r="AE70" s="96"/>
      <c r="AF70" s="96"/>
      <c r="AG70" s="96"/>
      <c r="AH70" s="96"/>
      <c r="AI70" s="96"/>
      <c r="AJ70" s="96"/>
      <c r="AK70" s="96"/>
      <c r="AL70" s="96"/>
      <c r="AM70" s="96"/>
      <c r="AN70" s="96"/>
      <c r="AO70" s="96"/>
      <c r="AP70" s="96"/>
      <c r="AQ70" s="96"/>
      <c r="AR70" s="96"/>
      <c r="AS70" s="96">
        <f>SUM(AS$17)/12</f>
        <v>0</v>
      </c>
      <c r="AT70" s="96">
        <f t="shared" ref="AT70:BD70" si="57">AS70</f>
        <v>0</v>
      </c>
      <c r="AU70" s="96">
        <f t="shared" si="57"/>
        <v>0</v>
      </c>
      <c r="AV70" s="96">
        <f t="shared" si="57"/>
        <v>0</v>
      </c>
      <c r="AW70" s="96">
        <f t="shared" si="57"/>
        <v>0</v>
      </c>
      <c r="AX70" s="96">
        <f t="shared" si="57"/>
        <v>0</v>
      </c>
      <c r="AY70" s="96">
        <f t="shared" si="57"/>
        <v>0</v>
      </c>
      <c r="AZ70" s="96">
        <f t="shared" si="57"/>
        <v>0</v>
      </c>
      <c r="BA70" s="96">
        <f t="shared" si="57"/>
        <v>0</v>
      </c>
      <c r="BB70" s="96">
        <f t="shared" si="57"/>
        <v>0</v>
      </c>
      <c r="BC70" s="96">
        <f t="shared" si="57"/>
        <v>0</v>
      </c>
      <c r="BD70" s="96">
        <f t="shared" si="57"/>
        <v>0</v>
      </c>
      <c r="BE70" s="96"/>
      <c r="BF70" s="96"/>
      <c r="BG70" s="96"/>
      <c r="BH70" s="96"/>
      <c r="BI70" s="96"/>
      <c r="BJ70" s="96"/>
      <c r="BK70" s="96"/>
    </row>
    <row r="71" ht="15.75" customHeight="1">
      <c r="A71" s="206">
        <f t="shared" si="17"/>
        <v>44927</v>
      </c>
      <c r="B71" s="96"/>
      <c r="C71" s="96"/>
      <c r="D71" s="96"/>
      <c r="E71" s="96"/>
      <c r="F71" s="96"/>
      <c r="G71" s="96"/>
      <c r="H71" s="96"/>
      <c r="I71" s="96"/>
      <c r="J71" s="96"/>
      <c r="K71" s="96"/>
      <c r="L71" s="96"/>
      <c r="M71" s="96"/>
      <c r="N71" s="96"/>
      <c r="O71" s="96"/>
      <c r="P71" s="96"/>
      <c r="Q71" s="96"/>
      <c r="R71" s="96"/>
      <c r="S71" s="96"/>
      <c r="T71" s="96"/>
      <c r="U71" s="96"/>
      <c r="V71" s="96"/>
      <c r="W71" s="96"/>
      <c r="X71" s="96"/>
      <c r="Y71" s="96"/>
      <c r="Z71" s="96"/>
      <c r="AA71" s="96"/>
      <c r="AB71" s="96"/>
      <c r="AC71" s="96"/>
      <c r="AD71" s="96"/>
      <c r="AE71" s="96"/>
      <c r="AF71" s="96"/>
      <c r="AG71" s="96"/>
      <c r="AH71" s="96"/>
      <c r="AI71" s="96"/>
      <c r="AJ71" s="96"/>
      <c r="AK71" s="96"/>
      <c r="AL71" s="96"/>
      <c r="AM71" s="96"/>
      <c r="AN71" s="96"/>
      <c r="AO71" s="96"/>
      <c r="AP71" s="96"/>
      <c r="AQ71" s="96"/>
      <c r="AR71" s="96"/>
      <c r="AS71" s="96"/>
      <c r="AT71" s="96">
        <f>SUM(AT$17)/12</f>
        <v>0</v>
      </c>
      <c r="AU71" s="96">
        <f t="shared" ref="AU71:BE71" si="58">AT71</f>
        <v>0</v>
      </c>
      <c r="AV71" s="96">
        <f t="shared" si="58"/>
        <v>0</v>
      </c>
      <c r="AW71" s="96">
        <f t="shared" si="58"/>
        <v>0</v>
      </c>
      <c r="AX71" s="96">
        <f t="shared" si="58"/>
        <v>0</v>
      </c>
      <c r="AY71" s="96">
        <f t="shared" si="58"/>
        <v>0</v>
      </c>
      <c r="AZ71" s="96">
        <f t="shared" si="58"/>
        <v>0</v>
      </c>
      <c r="BA71" s="96">
        <f t="shared" si="58"/>
        <v>0</v>
      </c>
      <c r="BB71" s="96">
        <f t="shared" si="58"/>
        <v>0</v>
      </c>
      <c r="BC71" s="96">
        <f t="shared" si="58"/>
        <v>0</v>
      </c>
      <c r="BD71" s="96">
        <f t="shared" si="58"/>
        <v>0</v>
      </c>
      <c r="BE71" s="96">
        <f t="shared" si="58"/>
        <v>0</v>
      </c>
      <c r="BF71" s="96"/>
      <c r="BG71" s="96"/>
      <c r="BH71" s="96"/>
      <c r="BI71" s="96"/>
      <c r="BJ71" s="96"/>
      <c r="BK71" s="96"/>
    </row>
    <row r="72" ht="15.75" customHeight="1">
      <c r="A72" s="206">
        <f t="shared" si="17"/>
        <v>44958</v>
      </c>
      <c r="B72" s="96"/>
      <c r="C72" s="96"/>
      <c r="D72" s="96"/>
      <c r="E72" s="96"/>
      <c r="F72" s="96"/>
      <c r="G72" s="96"/>
      <c r="H72" s="96"/>
      <c r="I72" s="96"/>
      <c r="J72" s="96"/>
      <c r="K72" s="96"/>
      <c r="L72" s="96"/>
      <c r="M72" s="96"/>
      <c r="N72" s="96"/>
      <c r="O72" s="96"/>
      <c r="P72" s="96"/>
      <c r="Q72" s="96"/>
      <c r="R72" s="96"/>
      <c r="S72" s="96"/>
      <c r="T72" s="96"/>
      <c r="U72" s="96"/>
      <c r="V72" s="96"/>
      <c r="W72" s="96"/>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f>SUM(AU$17)/12</f>
        <v>0</v>
      </c>
      <c r="AV72" s="96">
        <f t="shared" ref="AV72:BF72" si="59">AU72</f>
        <v>0</v>
      </c>
      <c r="AW72" s="96">
        <f t="shared" si="59"/>
        <v>0</v>
      </c>
      <c r="AX72" s="96">
        <f t="shared" si="59"/>
        <v>0</v>
      </c>
      <c r="AY72" s="96">
        <f t="shared" si="59"/>
        <v>0</v>
      </c>
      <c r="AZ72" s="96">
        <f t="shared" si="59"/>
        <v>0</v>
      </c>
      <c r="BA72" s="96">
        <f t="shared" si="59"/>
        <v>0</v>
      </c>
      <c r="BB72" s="96">
        <f t="shared" si="59"/>
        <v>0</v>
      </c>
      <c r="BC72" s="96">
        <f t="shared" si="59"/>
        <v>0</v>
      </c>
      <c r="BD72" s="96">
        <f t="shared" si="59"/>
        <v>0</v>
      </c>
      <c r="BE72" s="96">
        <f t="shared" si="59"/>
        <v>0</v>
      </c>
      <c r="BF72" s="96">
        <f t="shared" si="59"/>
        <v>0</v>
      </c>
      <c r="BG72" s="96"/>
      <c r="BH72" s="96"/>
      <c r="BI72" s="96"/>
      <c r="BJ72" s="96"/>
      <c r="BK72" s="96"/>
    </row>
    <row r="73" ht="15.75" customHeight="1">
      <c r="A73" s="206">
        <f t="shared" si="17"/>
        <v>44986</v>
      </c>
      <c r="B73" s="96"/>
      <c r="C73" s="96"/>
      <c r="D73" s="96"/>
      <c r="E73" s="96"/>
      <c r="F73" s="96"/>
      <c r="G73" s="96"/>
      <c r="H73" s="96"/>
      <c r="I73" s="96"/>
      <c r="J73" s="96"/>
      <c r="K73" s="96"/>
      <c r="L73" s="96"/>
      <c r="M73" s="96"/>
      <c r="N73" s="96"/>
      <c r="O73" s="96"/>
      <c r="P73" s="96"/>
      <c r="Q73" s="96"/>
      <c r="R73" s="96"/>
      <c r="S73" s="96"/>
      <c r="T73" s="96"/>
      <c r="U73" s="96"/>
      <c r="V73" s="96"/>
      <c r="W73" s="96"/>
      <c r="X73" s="96"/>
      <c r="Y73" s="96"/>
      <c r="Z73" s="96"/>
      <c r="AA73" s="96"/>
      <c r="AB73" s="96"/>
      <c r="AC73" s="96"/>
      <c r="AD73" s="96"/>
      <c r="AE73" s="96"/>
      <c r="AF73" s="96"/>
      <c r="AG73" s="96"/>
      <c r="AH73" s="96"/>
      <c r="AI73" s="96"/>
      <c r="AJ73" s="96"/>
      <c r="AK73" s="96"/>
      <c r="AL73" s="96"/>
      <c r="AM73" s="96"/>
      <c r="AN73" s="96"/>
      <c r="AO73" s="96"/>
      <c r="AP73" s="96"/>
      <c r="AQ73" s="96"/>
      <c r="AR73" s="96"/>
      <c r="AS73" s="96"/>
      <c r="AT73" s="96"/>
      <c r="AU73" s="96"/>
      <c r="AV73" s="165">
        <f>SUM(AV$17)/12</f>
        <v>0</v>
      </c>
      <c r="AW73" s="165">
        <f t="shared" ref="AW73:BG73" si="60">AV73</f>
        <v>0</v>
      </c>
      <c r="AX73" s="165">
        <f t="shared" si="60"/>
        <v>0</v>
      </c>
      <c r="AY73" s="165">
        <f t="shared" si="60"/>
        <v>0</v>
      </c>
      <c r="AZ73" s="165">
        <f t="shared" si="60"/>
        <v>0</v>
      </c>
      <c r="BA73" s="165">
        <f t="shared" si="60"/>
        <v>0</v>
      </c>
      <c r="BB73" s="165">
        <f t="shared" si="60"/>
        <v>0</v>
      </c>
      <c r="BC73" s="165">
        <f t="shared" si="60"/>
        <v>0</v>
      </c>
      <c r="BD73" s="165">
        <f t="shared" si="60"/>
        <v>0</v>
      </c>
      <c r="BE73" s="165">
        <f t="shared" si="60"/>
        <v>0</v>
      </c>
      <c r="BF73" s="165">
        <f t="shared" si="60"/>
        <v>0</v>
      </c>
      <c r="BG73" s="165">
        <f t="shared" si="60"/>
        <v>0</v>
      </c>
      <c r="BH73" s="165"/>
      <c r="BI73" s="165"/>
      <c r="BJ73" s="165"/>
      <c r="BK73" s="165"/>
    </row>
    <row r="74" ht="15.75" customHeight="1">
      <c r="A74" s="206">
        <f t="shared" si="17"/>
        <v>45017</v>
      </c>
      <c r="B74" s="96"/>
      <c r="C74" s="96"/>
      <c r="D74" s="96"/>
      <c r="E74" s="96"/>
      <c r="F74" s="96"/>
      <c r="G74" s="96"/>
      <c r="H74" s="96"/>
      <c r="I74" s="96"/>
      <c r="J74" s="96"/>
      <c r="K74" s="96"/>
      <c r="L74" s="96"/>
      <c r="M74" s="96"/>
      <c r="N74" s="96"/>
      <c r="O74" s="96"/>
      <c r="P74" s="96"/>
      <c r="Q74" s="96"/>
      <c r="R74" s="96"/>
      <c r="S74" s="96"/>
      <c r="T74" s="96"/>
      <c r="U74" s="96"/>
      <c r="V74" s="96"/>
      <c r="W74" s="96"/>
      <c r="X74" s="96"/>
      <c r="Y74" s="96"/>
      <c r="Z74" s="96"/>
      <c r="AA74" s="96"/>
      <c r="AB74" s="96"/>
      <c r="AC74" s="96"/>
      <c r="AD74" s="96"/>
      <c r="AE74" s="96"/>
      <c r="AF74" s="96"/>
      <c r="AG74" s="96"/>
      <c r="AH74" s="96"/>
      <c r="AI74" s="96"/>
      <c r="AJ74" s="96"/>
      <c r="AK74" s="96"/>
      <c r="AL74" s="96"/>
      <c r="AM74" s="96"/>
      <c r="AN74" s="96"/>
      <c r="AO74" s="96"/>
      <c r="AP74" s="96"/>
      <c r="AQ74" s="96"/>
      <c r="AR74" s="96"/>
      <c r="AS74" s="96"/>
      <c r="AT74" s="96"/>
      <c r="AU74" s="96"/>
      <c r="AV74" s="96"/>
      <c r="AW74" s="165">
        <f>SUM(AW$17)/12</f>
        <v>0</v>
      </c>
      <c r="AX74" s="165">
        <f t="shared" ref="AX74:BH74" si="61">AW74</f>
        <v>0</v>
      </c>
      <c r="AY74" s="165">
        <f t="shared" si="61"/>
        <v>0</v>
      </c>
      <c r="AZ74" s="165">
        <f t="shared" si="61"/>
        <v>0</v>
      </c>
      <c r="BA74" s="165">
        <f t="shared" si="61"/>
        <v>0</v>
      </c>
      <c r="BB74" s="165">
        <f t="shared" si="61"/>
        <v>0</v>
      </c>
      <c r="BC74" s="165">
        <f t="shared" si="61"/>
        <v>0</v>
      </c>
      <c r="BD74" s="165">
        <f t="shared" si="61"/>
        <v>0</v>
      </c>
      <c r="BE74" s="165">
        <f t="shared" si="61"/>
        <v>0</v>
      </c>
      <c r="BF74" s="165">
        <f t="shared" si="61"/>
        <v>0</v>
      </c>
      <c r="BG74" s="165">
        <f t="shared" si="61"/>
        <v>0</v>
      </c>
      <c r="BH74" s="165">
        <f t="shared" si="61"/>
        <v>0</v>
      </c>
      <c r="BI74" s="165"/>
      <c r="BJ74" s="165"/>
      <c r="BK74" s="165"/>
    </row>
    <row r="75" ht="15.75" customHeight="1">
      <c r="A75" s="206">
        <f t="shared" si="17"/>
        <v>45047</v>
      </c>
      <c r="B75" s="96"/>
      <c r="C75" s="96"/>
      <c r="D75" s="96"/>
      <c r="E75" s="96"/>
      <c r="F75" s="96"/>
      <c r="G75" s="96"/>
      <c r="H75" s="96"/>
      <c r="I75" s="96"/>
      <c r="J75" s="96"/>
      <c r="K75" s="96"/>
      <c r="L75" s="96"/>
      <c r="M75" s="96"/>
      <c r="N75" s="96"/>
      <c r="O75" s="96"/>
      <c r="P75" s="96"/>
      <c r="Q75" s="96"/>
      <c r="R75" s="96"/>
      <c r="S75" s="96"/>
      <c r="T75" s="96"/>
      <c r="U75" s="96"/>
      <c r="V75" s="96"/>
      <c r="W75" s="96"/>
      <c r="X75" s="96"/>
      <c r="Y75" s="96"/>
      <c r="Z75" s="96"/>
      <c r="AA75" s="96"/>
      <c r="AB75" s="96"/>
      <c r="AC75" s="96"/>
      <c r="AD75" s="96"/>
      <c r="AE75" s="96"/>
      <c r="AF75" s="96"/>
      <c r="AG75" s="96"/>
      <c r="AH75" s="96"/>
      <c r="AI75" s="96"/>
      <c r="AJ75" s="96"/>
      <c r="AK75" s="96"/>
      <c r="AL75" s="96"/>
      <c r="AM75" s="96"/>
      <c r="AN75" s="96"/>
      <c r="AO75" s="96"/>
      <c r="AP75" s="96"/>
      <c r="AQ75" s="96"/>
      <c r="AR75" s="96"/>
      <c r="AS75" s="96"/>
      <c r="AT75" s="96"/>
      <c r="AU75" s="96"/>
      <c r="AV75" s="96"/>
      <c r="AW75" s="96"/>
      <c r="AX75" s="165">
        <f>SUM(AX$17)/12</f>
        <v>0</v>
      </c>
      <c r="AY75" s="165">
        <f t="shared" ref="AY75:BI75" si="62">AX75</f>
        <v>0</v>
      </c>
      <c r="AZ75" s="165">
        <f t="shared" si="62"/>
        <v>0</v>
      </c>
      <c r="BA75" s="165">
        <f t="shared" si="62"/>
        <v>0</v>
      </c>
      <c r="BB75" s="165">
        <f t="shared" si="62"/>
        <v>0</v>
      </c>
      <c r="BC75" s="165">
        <f t="shared" si="62"/>
        <v>0</v>
      </c>
      <c r="BD75" s="165">
        <f t="shared" si="62"/>
        <v>0</v>
      </c>
      <c r="BE75" s="165">
        <f t="shared" si="62"/>
        <v>0</v>
      </c>
      <c r="BF75" s="165">
        <f t="shared" si="62"/>
        <v>0</v>
      </c>
      <c r="BG75" s="165">
        <f t="shared" si="62"/>
        <v>0</v>
      </c>
      <c r="BH75" s="165">
        <f t="shared" si="62"/>
        <v>0</v>
      </c>
      <c r="BI75" s="165">
        <f t="shared" si="62"/>
        <v>0</v>
      </c>
      <c r="BJ75" s="165"/>
      <c r="BK75" s="165"/>
    </row>
    <row r="76" ht="15.75" customHeight="1">
      <c r="A76" s="206">
        <f t="shared" si="17"/>
        <v>45078</v>
      </c>
      <c r="B76" s="96"/>
      <c r="C76" s="96"/>
      <c r="D76" s="96"/>
      <c r="E76" s="96"/>
      <c r="F76" s="96"/>
      <c r="G76" s="96"/>
      <c r="H76" s="96"/>
      <c r="I76" s="96"/>
      <c r="J76" s="96"/>
      <c r="K76" s="96"/>
      <c r="L76" s="96"/>
      <c r="M76" s="96"/>
      <c r="N76" s="96"/>
      <c r="O76" s="96"/>
      <c r="P76" s="96"/>
      <c r="Q76" s="96"/>
      <c r="R76" s="96"/>
      <c r="S76" s="96"/>
      <c r="T76" s="96"/>
      <c r="U76" s="96"/>
      <c r="V76" s="96"/>
      <c r="W76" s="96"/>
      <c r="X76" s="96"/>
      <c r="Y76" s="96"/>
      <c r="Z76" s="96"/>
      <c r="AA76" s="96"/>
      <c r="AB76" s="96"/>
      <c r="AC76" s="96"/>
      <c r="AD76" s="96"/>
      <c r="AE76" s="96"/>
      <c r="AF76" s="96"/>
      <c r="AG76" s="96"/>
      <c r="AH76" s="96"/>
      <c r="AI76" s="96"/>
      <c r="AJ76" s="96"/>
      <c r="AK76" s="96"/>
      <c r="AL76" s="96"/>
      <c r="AM76" s="96"/>
      <c r="AN76" s="96"/>
      <c r="AO76" s="96"/>
      <c r="AP76" s="96"/>
      <c r="AQ76" s="96"/>
      <c r="AR76" s="96"/>
      <c r="AS76" s="96"/>
      <c r="AT76" s="96"/>
      <c r="AU76" s="96"/>
      <c r="AV76" s="96"/>
      <c r="AW76" s="96"/>
      <c r="AX76" s="96"/>
      <c r="AY76" s="165">
        <f>SUM(AY$17)/12</f>
        <v>0</v>
      </c>
      <c r="AZ76" s="165">
        <f t="shared" ref="AZ76:BJ76" si="63">AY76</f>
        <v>0</v>
      </c>
      <c r="BA76" s="165">
        <f t="shared" si="63"/>
        <v>0</v>
      </c>
      <c r="BB76" s="165">
        <f t="shared" si="63"/>
        <v>0</v>
      </c>
      <c r="BC76" s="165">
        <f t="shared" si="63"/>
        <v>0</v>
      </c>
      <c r="BD76" s="165">
        <f t="shared" si="63"/>
        <v>0</v>
      </c>
      <c r="BE76" s="165">
        <f t="shared" si="63"/>
        <v>0</v>
      </c>
      <c r="BF76" s="165">
        <f t="shared" si="63"/>
        <v>0</v>
      </c>
      <c r="BG76" s="165">
        <f t="shared" si="63"/>
        <v>0</v>
      </c>
      <c r="BH76" s="165">
        <f t="shared" si="63"/>
        <v>0</v>
      </c>
      <c r="BI76" s="165">
        <f t="shared" si="63"/>
        <v>0</v>
      </c>
      <c r="BJ76" s="165">
        <f t="shared" si="63"/>
        <v>0</v>
      </c>
      <c r="BK76" s="165"/>
    </row>
    <row r="77" ht="15.75" customHeight="1">
      <c r="A77" s="206"/>
      <c r="B77" s="96"/>
      <c r="C77" s="96"/>
      <c r="D77" s="96"/>
      <c r="E77" s="96"/>
      <c r="F77" s="96"/>
      <c r="G77" s="96"/>
      <c r="H77" s="96"/>
      <c r="I77" s="96"/>
      <c r="J77" s="96"/>
      <c r="K77" s="96"/>
      <c r="L77" s="96"/>
      <c r="M77" s="96"/>
      <c r="N77" s="96"/>
      <c r="O77" s="96"/>
      <c r="P77" s="96"/>
      <c r="Q77" s="96"/>
      <c r="R77" s="96"/>
      <c r="S77" s="96"/>
      <c r="T77" s="96"/>
      <c r="U77" s="96"/>
      <c r="V77" s="96"/>
      <c r="W77" s="96"/>
      <c r="X77" s="96"/>
      <c r="Y77" s="96"/>
      <c r="Z77" s="96"/>
      <c r="AA77" s="96"/>
      <c r="AB77" s="96"/>
      <c r="AC77" s="96"/>
      <c r="AD77" s="96"/>
      <c r="AE77" s="96"/>
      <c r="AF77" s="96"/>
      <c r="AG77" s="96"/>
      <c r="AH77" s="96"/>
      <c r="AI77" s="96"/>
      <c r="AJ77" s="96"/>
      <c r="AK77" s="96"/>
      <c r="AL77" s="96"/>
      <c r="AM77" s="96"/>
      <c r="AN77" s="96"/>
      <c r="AO77" s="96"/>
      <c r="AP77" s="96"/>
      <c r="AQ77" s="96"/>
      <c r="AR77" s="96"/>
      <c r="AS77" s="96"/>
      <c r="AT77" s="96"/>
      <c r="AU77" s="96"/>
      <c r="AV77" s="96"/>
      <c r="AW77" s="96"/>
      <c r="AX77" s="96"/>
      <c r="AY77" s="96"/>
      <c r="AZ77" s="96"/>
      <c r="BA77" s="96"/>
      <c r="BB77" s="96"/>
      <c r="BC77" s="96"/>
      <c r="BD77" s="96"/>
      <c r="BE77" s="96"/>
      <c r="BF77" s="96"/>
      <c r="BG77" s="96"/>
      <c r="BH77" s="96"/>
      <c r="BI77" s="96"/>
      <c r="BJ77" s="96"/>
      <c r="BK77" s="96"/>
    </row>
    <row r="78" ht="15.75" customHeight="1">
      <c r="A78" s="187"/>
      <c r="B78" s="96"/>
      <c r="C78" s="96"/>
      <c r="D78" s="96"/>
      <c r="E78" s="96"/>
      <c r="F78" s="96"/>
      <c r="G78" s="96"/>
      <c r="H78" s="96"/>
      <c r="I78" s="96"/>
      <c r="J78" s="96"/>
      <c r="K78" s="96"/>
      <c r="L78" s="96"/>
      <c r="M78" s="96"/>
      <c r="N78" s="96"/>
      <c r="O78" s="96"/>
      <c r="P78" s="96"/>
      <c r="Q78" s="96"/>
      <c r="R78" s="96"/>
      <c r="S78" s="96"/>
      <c r="T78" s="96"/>
      <c r="U78" s="96"/>
      <c r="V78" s="96"/>
      <c r="W78" s="96"/>
      <c r="X78" s="96"/>
      <c r="Y78" s="96"/>
      <c r="Z78" s="96"/>
      <c r="AA78" s="96"/>
      <c r="AB78" s="96"/>
      <c r="AC78" s="96"/>
      <c r="AD78" s="96"/>
      <c r="AE78" s="96"/>
      <c r="AF78" s="96"/>
      <c r="AG78" s="96"/>
      <c r="AH78" s="96"/>
      <c r="AI78" s="96"/>
      <c r="AJ78" s="96"/>
      <c r="AK78" s="96"/>
      <c r="AL78" s="96"/>
      <c r="AM78" s="96"/>
      <c r="AN78" s="96"/>
      <c r="AO78" s="96"/>
      <c r="AP78" s="96"/>
      <c r="AQ78" s="96"/>
      <c r="AR78" s="96"/>
      <c r="AS78" s="96"/>
      <c r="AT78" s="96"/>
      <c r="AU78" s="96"/>
      <c r="AV78" s="96"/>
      <c r="AW78" s="96"/>
      <c r="AX78" s="96"/>
      <c r="AY78" s="96"/>
      <c r="AZ78" s="96"/>
      <c r="BA78" s="96"/>
      <c r="BB78" s="96"/>
      <c r="BC78" s="96"/>
      <c r="BD78" s="96"/>
      <c r="BE78" s="96"/>
      <c r="BF78" s="96"/>
      <c r="BG78" s="96"/>
      <c r="BH78" s="96"/>
      <c r="BI78" s="96"/>
      <c r="BJ78" s="96"/>
      <c r="BK78" s="96"/>
    </row>
    <row r="79" ht="15.75" customHeight="1">
      <c r="A79" s="188"/>
      <c r="B79" s="96"/>
      <c r="C79" s="96"/>
      <c r="D79" s="96"/>
      <c r="E79" s="96"/>
      <c r="F79" s="96"/>
      <c r="G79" s="96"/>
      <c r="H79" s="96"/>
      <c r="I79" s="96"/>
      <c r="J79" s="96"/>
      <c r="K79" s="96"/>
      <c r="L79" s="96"/>
      <c r="M79" s="96"/>
      <c r="N79" s="96"/>
      <c r="O79" s="96"/>
      <c r="P79" s="96"/>
      <c r="Q79" s="96"/>
      <c r="R79" s="96"/>
      <c r="S79" s="96"/>
      <c r="T79" s="96"/>
      <c r="U79" s="96"/>
      <c r="V79" s="96"/>
      <c r="W79" s="96"/>
      <c r="X79" s="96"/>
      <c r="Y79" s="96"/>
      <c r="Z79" s="96"/>
      <c r="AA79" s="96"/>
      <c r="AB79" s="96"/>
      <c r="AC79" s="96"/>
      <c r="AD79" s="96"/>
      <c r="AE79" s="96"/>
      <c r="AF79" s="96"/>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6"/>
      <c r="BG79" s="96"/>
      <c r="BH79" s="96"/>
      <c r="BI79" s="96"/>
      <c r="BJ79" s="96"/>
      <c r="BK79" s="96"/>
    </row>
    <row r="80" ht="15.75" customHeight="1">
      <c r="A80" s="204" t="s">
        <v>435</v>
      </c>
      <c r="B80" s="207">
        <f t="shared" ref="B80:AW80" si="64">SUM(B81:B128)</f>
        <v>0</v>
      </c>
      <c r="C80" s="207">
        <f t="shared" si="64"/>
        <v>0</v>
      </c>
      <c r="D80" s="207">
        <f t="shared" si="64"/>
        <v>0</v>
      </c>
      <c r="E80" s="207">
        <f t="shared" si="64"/>
        <v>0</v>
      </c>
      <c r="F80" s="207">
        <f t="shared" si="64"/>
        <v>0</v>
      </c>
      <c r="G80" s="207">
        <f t="shared" si="64"/>
        <v>0</v>
      </c>
      <c r="H80" s="207">
        <f t="shared" si="64"/>
        <v>0</v>
      </c>
      <c r="I80" s="207">
        <f t="shared" si="64"/>
        <v>0</v>
      </c>
      <c r="J80" s="207">
        <f t="shared" si="64"/>
        <v>0</v>
      </c>
      <c r="K80" s="207">
        <f t="shared" si="64"/>
        <v>0</v>
      </c>
      <c r="L80" s="207">
        <f t="shared" si="64"/>
        <v>0</v>
      </c>
      <c r="M80" s="207">
        <f t="shared" si="64"/>
        <v>0</v>
      </c>
      <c r="N80" s="207">
        <f t="shared" si="64"/>
        <v>0</v>
      </c>
      <c r="O80" s="207">
        <f t="shared" si="64"/>
        <v>0</v>
      </c>
      <c r="P80" s="207">
        <f t="shared" si="64"/>
        <v>0</v>
      </c>
      <c r="Q80" s="207">
        <f t="shared" si="64"/>
        <v>0</v>
      </c>
      <c r="R80" s="207">
        <f t="shared" si="64"/>
        <v>0</v>
      </c>
      <c r="S80" s="207">
        <f t="shared" si="64"/>
        <v>0</v>
      </c>
      <c r="T80" s="207">
        <f t="shared" si="64"/>
        <v>0</v>
      </c>
      <c r="U80" s="207">
        <f t="shared" si="64"/>
        <v>0</v>
      </c>
      <c r="V80" s="207">
        <f t="shared" si="64"/>
        <v>0</v>
      </c>
      <c r="W80" s="207">
        <f t="shared" si="64"/>
        <v>0</v>
      </c>
      <c r="X80" s="207">
        <f t="shared" si="64"/>
        <v>0</v>
      </c>
      <c r="Y80" s="207">
        <f t="shared" si="64"/>
        <v>0</v>
      </c>
      <c r="Z80" s="207">
        <f t="shared" si="64"/>
        <v>0</v>
      </c>
      <c r="AA80" s="207">
        <f t="shared" si="64"/>
        <v>0</v>
      </c>
      <c r="AB80" s="207">
        <f t="shared" si="64"/>
        <v>0</v>
      </c>
      <c r="AC80" s="207">
        <f t="shared" si="64"/>
        <v>0</v>
      </c>
      <c r="AD80" s="207">
        <f t="shared" si="64"/>
        <v>0</v>
      </c>
      <c r="AE80" s="207">
        <f t="shared" si="64"/>
        <v>0</v>
      </c>
      <c r="AF80" s="207">
        <f t="shared" si="64"/>
        <v>0</v>
      </c>
      <c r="AG80" s="207">
        <f t="shared" si="64"/>
        <v>0</v>
      </c>
      <c r="AH80" s="207">
        <f t="shared" si="64"/>
        <v>0</v>
      </c>
      <c r="AI80" s="207">
        <f t="shared" si="64"/>
        <v>0</v>
      </c>
      <c r="AJ80" s="207">
        <f t="shared" si="64"/>
        <v>0</v>
      </c>
      <c r="AK80" s="207">
        <f t="shared" si="64"/>
        <v>0</v>
      </c>
      <c r="AL80" s="207">
        <f t="shared" si="64"/>
        <v>0</v>
      </c>
      <c r="AM80" s="207">
        <f t="shared" si="64"/>
        <v>0</v>
      </c>
      <c r="AN80" s="207">
        <f t="shared" si="64"/>
        <v>0</v>
      </c>
      <c r="AO80" s="207">
        <f t="shared" si="64"/>
        <v>0</v>
      </c>
      <c r="AP80" s="207">
        <f t="shared" si="64"/>
        <v>0</v>
      </c>
      <c r="AQ80" s="207">
        <f t="shared" si="64"/>
        <v>0</v>
      </c>
      <c r="AR80" s="207">
        <f t="shared" si="64"/>
        <v>0</v>
      </c>
      <c r="AS80" s="207">
        <f t="shared" si="64"/>
        <v>0</v>
      </c>
      <c r="AT80" s="207">
        <f t="shared" si="64"/>
        <v>0</v>
      </c>
      <c r="AU80" s="207">
        <f t="shared" si="64"/>
        <v>0</v>
      </c>
      <c r="AV80" s="207">
        <f t="shared" si="64"/>
        <v>0</v>
      </c>
      <c r="AW80" s="207">
        <f t="shared" si="64"/>
        <v>0</v>
      </c>
      <c r="AX80" s="198"/>
      <c r="AY80" s="198"/>
      <c r="AZ80" s="198"/>
      <c r="BA80" s="198"/>
      <c r="BB80" s="198"/>
      <c r="BC80" s="198"/>
      <c r="BD80" s="198"/>
      <c r="BE80" s="198"/>
      <c r="BF80" s="198"/>
      <c r="BG80" s="198"/>
      <c r="BH80" s="198"/>
      <c r="BI80" s="198"/>
      <c r="BJ80" s="198"/>
      <c r="BK80" s="198"/>
    </row>
    <row r="81" ht="15.75" customHeight="1">
      <c r="A81" s="206">
        <f>A$29</f>
        <v>43647</v>
      </c>
      <c r="B81" s="96"/>
      <c r="C81" s="96"/>
      <c r="D81" s="96">
        <f>SUM(D$9:D$11)/12</f>
        <v>0</v>
      </c>
      <c r="E81" s="96">
        <f t="shared" ref="E81:O81" si="65">D81</f>
        <v>0</v>
      </c>
      <c r="F81" s="96">
        <f t="shared" si="65"/>
        <v>0</v>
      </c>
      <c r="G81" s="96">
        <f t="shared" si="65"/>
        <v>0</v>
      </c>
      <c r="H81" s="96">
        <f t="shared" si="65"/>
        <v>0</v>
      </c>
      <c r="I81" s="96">
        <f t="shared" si="65"/>
        <v>0</v>
      </c>
      <c r="J81" s="96">
        <f t="shared" si="65"/>
        <v>0</v>
      </c>
      <c r="K81" s="96">
        <f t="shared" si="65"/>
        <v>0</v>
      </c>
      <c r="L81" s="96">
        <f t="shared" si="65"/>
        <v>0</v>
      </c>
      <c r="M81" s="96">
        <f t="shared" si="65"/>
        <v>0</v>
      </c>
      <c r="N81" s="96">
        <f t="shared" si="65"/>
        <v>0</v>
      </c>
      <c r="O81" s="96">
        <f t="shared" si="65"/>
        <v>0</v>
      </c>
      <c r="P81" s="96"/>
      <c r="Q81" s="96"/>
      <c r="R81" s="96"/>
      <c r="S81" s="96"/>
      <c r="T81" s="96"/>
      <c r="U81" s="96"/>
      <c r="V81" s="96"/>
      <c r="W81" s="96"/>
      <c r="X81" s="96"/>
      <c r="Y81" s="96"/>
      <c r="Z81" s="96"/>
      <c r="AA81" s="96"/>
      <c r="AB81" s="96"/>
      <c r="AC81" s="96"/>
      <c r="AD81" s="96"/>
      <c r="AE81" s="96"/>
      <c r="AF81" s="96"/>
      <c r="AG81" s="96"/>
      <c r="AH81" s="96"/>
      <c r="AI81" s="96"/>
      <c r="AJ81" s="96"/>
      <c r="AK81" s="96"/>
      <c r="AL81" s="96"/>
      <c r="AM81" s="96"/>
      <c r="AN81" s="96"/>
      <c r="AO81" s="96"/>
      <c r="AP81" s="96"/>
      <c r="AQ81" s="96"/>
      <c r="AR81" s="96"/>
      <c r="AS81" s="96"/>
      <c r="AT81" s="96"/>
      <c r="AU81" s="96"/>
      <c r="AV81" s="96"/>
      <c r="AW81" s="96"/>
      <c r="AX81" s="96"/>
      <c r="AY81" s="96"/>
      <c r="AZ81" s="96"/>
      <c r="BA81" s="96"/>
      <c r="BB81" s="96"/>
      <c r="BC81" s="96"/>
      <c r="BD81" s="96"/>
      <c r="BE81" s="96"/>
      <c r="BF81" s="96"/>
      <c r="BG81" s="96"/>
      <c r="BH81" s="96"/>
      <c r="BI81" s="96"/>
      <c r="BJ81" s="96"/>
      <c r="BK81" s="96"/>
    </row>
    <row r="82" ht="15.75" customHeight="1">
      <c r="A82" s="206">
        <f t="shared" ref="A82:A128" si="67">EDATE(A81,1)</f>
        <v>43678</v>
      </c>
      <c r="B82" s="96"/>
      <c r="C82" s="96"/>
      <c r="D82" s="96"/>
      <c r="E82" s="96">
        <f>SUM(E$9:E$11)/12</f>
        <v>0</v>
      </c>
      <c r="F82" s="96">
        <f t="shared" ref="F82:P82" si="66">E82</f>
        <v>0</v>
      </c>
      <c r="G82" s="96">
        <f t="shared" si="66"/>
        <v>0</v>
      </c>
      <c r="H82" s="96">
        <f t="shared" si="66"/>
        <v>0</v>
      </c>
      <c r="I82" s="96">
        <f t="shared" si="66"/>
        <v>0</v>
      </c>
      <c r="J82" s="96">
        <f t="shared" si="66"/>
        <v>0</v>
      </c>
      <c r="K82" s="96">
        <f t="shared" si="66"/>
        <v>0</v>
      </c>
      <c r="L82" s="96">
        <f t="shared" si="66"/>
        <v>0</v>
      </c>
      <c r="M82" s="96">
        <f t="shared" si="66"/>
        <v>0</v>
      </c>
      <c r="N82" s="96">
        <f t="shared" si="66"/>
        <v>0</v>
      </c>
      <c r="O82" s="96">
        <f t="shared" si="66"/>
        <v>0</v>
      </c>
      <c r="P82" s="96">
        <f t="shared" si="66"/>
        <v>0</v>
      </c>
      <c r="Q82" s="96"/>
      <c r="R82" s="96"/>
      <c r="S82" s="96"/>
      <c r="T82" s="96"/>
      <c r="U82" s="96"/>
      <c r="V82" s="96"/>
      <c r="W82" s="96"/>
      <c r="X82" s="96"/>
      <c r="Y82" s="96"/>
      <c r="Z82" s="96"/>
      <c r="AA82" s="96"/>
      <c r="AB82" s="96"/>
      <c r="AC82" s="96"/>
      <c r="AD82" s="96"/>
      <c r="AE82" s="96"/>
      <c r="AF82" s="96"/>
      <c r="AG82" s="96"/>
      <c r="AH82" s="96"/>
      <c r="AI82" s="96"/>
      <c r="AJ82" s="96"/>
      <c r="AK82" s="96"/>
      <c r="AL82" s="96"/>
      <c r="AM82" s="96"/>
      <c r="AN82" s="96"/>
      <c r="AO82" s="96"/>
      <c r="AP82" s="96"/>
      <c r="AQ82" s="96"/>
      <c r="AR82" s="96"/>
      <c r="AS82" s="96"/>
      <c r="AT82" s="96"/>
      <c r="AU82" s="96"/>
      <c r="AV82" s="96"/>
      <c r="AW82" s="96"/>
      <c r="AX82" s="96"/>
      <c r="AY82" s="96"/>
      <c r="AZ82" s="96"/>
      <c r="BA82" s="96"/>
      <c r="BB82" s="96"/>
      <c r="BC82" s="96"/>
      <c r="BD82" s="96"/>
      <c r="BE82" s="96"/>
      <c r="BF82" s="96"/>
      <c r="BG82" s="96"/>
      <c r="BH82" s="96"/>
      <c r="BI82" s="96"/>
      <c r="BJ82" s="96"/>
      <c r="BK82" s="96"/>
    </row>
    <row r="83" ht="15.75" customHeight="1">
      <c r="A83" s="206">
        <f t="shared" si="67"/>
        <v>43709</v>
      </c>
      <c r="B83" s="96"/>
      <c r="C83" s="96"/>
      <c r="D83" s="96"/>
      <c r="E83" s="96"/>
      <c r="F83" s="96">
        <f>SUM(F$9:F$11)/12</f>
        <v>0</v>
      </c>
      <c r="G83" s="96">
        <f t="shared" ref="G83:Q83" si="68">F83</f>
        <v>0</v>
      </c>
      <c r="H83" s="96">
        <f t="shared" si="68"/>
        <v>0</v>
      </c>
      <c r="I83" s="96">
        <f t="shared" si="68"/>
        <v>0</v>
      </c>
      <c r="J83" s="96">
        <f t="shared" si="68"/>
        <v>0</v>
      </c>
      <c r="K83" s="96">
        <f t="shared" si="68"/>
        <v>0</v>
      </c>
      <c r="L83" s="96">
        <f t="shared" si="68"/>
        <v>0</v>
      </c>
      <c r="M83" s="96">
        <f t="shared" si="68"/>
        <v>0</v>
      </c>
      <c r="N83" s="96">
        <f t="shared" si="68"/>
        <v>0</v>
      </c>
      <c r="O83" s="96">
        <f t="shared" si="68"/>
        <v>0</v>
      </c>
      <c r="P83" s="96">
        <f t="shared" si="68"/>
        <v>0</v>
      </c>
      <c r="Q83" s="96">
        <f t="shared" si="68"/>
        <v>0</v>
      </c>
      <c r="R83" s="96"/>
      <c r="S83" s="96"/>
      <c r="T83" s="96"/>
      <c r="U83" s="96"/>
      <c r="V83" s="96"/>
      <c r="W83" s="96"/>
      <c r="X83" s="96"/>
      <c r="Y83" s="96"/>
      <c r="Z83" s="96"/>
      <c r="AA83" s="96"/>
      <c r="AB83" s="96"/>
      <c r="AC83" s="96"/>
      <c r="AD83" s="96"/>
      <c r="AE83" s="96"/>
      <c r="AF83" s="96"/>
      <c r="AG83" s="96"/>
      <c r="AH83" s="96"/>
      <c r="AI83" s="96"/>
      <c r="AJ83" s="96"/>
      <c r="AK83" s="96"/>
      <c r="AL83" s="96"/>
      <c r="AM83" s="96"/>
      <c r="AN83" s="96"/>
      <c r="AO83" s="96"/>
      <c r="AP83" s="96"/>
      <c r="AQ83" s="96"/>
      <c r="AR83" s="96"/>
      <c r="AS83" s="96"/>
      <c r="AT83" s="96"/>
      <c r="AU83" s="96"/>
      <c r="AV83" s="96"/>
      <c r="AW83" s="96"/>
      <c r="AX83" s="96"/>
      <c r="AY83" s="96"/>
      <c r="AZ83" s="96"/>
      <c r="BA83" s="96"/>
      <c r="BB83" s="96"/>
      <c r="BC83" s="96"/>
      <c r="BD83" s="96"/>
      <c r="BE83" s="96"/>
      <c r="BF83" s="96"/>
      <c r="BG83" s="96"/>
      <c r="BH83" s="96"/>
      <c r="BI83" s="96"/>
      <c r="BJ83" s="96"/>
      <c r="BK83" s="96"/>
    </row>
    <row r="84" ht="15.75" customHeight="1">
      <c r="A84" s="206">
        <f t="shared" si="67"/>
        <v>43739</v>
      </c>
      <c r="B84" s="96"/>
      <c r="C84" s="96"/>
      <c r="D84" s="96"/>
      <c r="E84" s="96"/>
      <c r="F84" s="96"/>
      <c r="G84" s="76">
        <f>SUM(G$9:G$11)/12</f>
        <v>0</v>
      </c>
      <c r="H84" s="76">
        <f t="shared" ref="H84:R84" si="69">G84</f>
        <v>0</v>
      </c>
      <c r="I84" s="76">
        <f t="shared" si="69"/>
        <v>0</v>
      </c>
      <c r="J84" s="76">
        <f t="shared" si="69"/>
        <v>0</v>
      </c>
      <c r="K84" s="76">
        <f t="shared" si="69"/>
        <v>0</v>
      </c>
      <c r="L84" s="76">
        <f t="shared" si="69"/>
        <v>0</v>
      </c>
      <c r="M84" s="76">
        <f t="shared" si="69"/>
        <v>0</v>
      </c>
      <c r="N84" s="76">
        <f t="shared" si="69"/>
        <v>0</v>
      </c>
      <c r="O84" s="76">
        <f t="shared" si="69"/>
        <v>0</v>
      </c>
      <c r="P84" s="76">
        <f t="shared" si="69"/>
        <v>0</v>
      </c>
      <c r="Q84" s="76">
        <f t="shared" si="69"/>
        <v>0</v>
      </c>
      <c r="R84" s="76">
        <f t="shared" si="69"/>
        <v>0</v>
      </c>
      <c r="S84" s="96"/>
      <c r="T84" s="96"/>
      <c r="U84" s="96"/>
      <c r="V84" s="96"/>
      <c r="W84" s="96"/>
      <c r="X84" s="96"/>
      <c r="Y84" s="96"/>
      <c r="Z84" s="96"/>
      <c r="AA84" s="96"/>
      <c r="AB84" s="96"/>
      <c r="AC84" s="96"/>
      <c r="AD84" s="96"/>
      <c r="AE84" s="96"/>
      <c r="AF84" s="96"/>
      <c r="AG84" s="96"/>
      <c r="AH84" s="96"/>
      <c r="AI84" s="96"/>
      <c r="AJ84" s="96"/>
      <c r="AK84" s="96"/>
      <c r="AL84" s="96"/>
      <c r="AM84" s="96"/>
      <c r="AN84" s="96"/>
      <c r="AO84" s="96"/>
      <c r="AP84" s="96"/>
      <c r="AQ84" s="96"/>
      <c r="AR84" s="96"/>
      <c r="AS84" s="96"/>
      <c r="AT84" s="96"/>
      <c r="AU84" s="96"/>
      <c r="AV84" s="96"/>
      <c r="AW84" s="96"/>
      <c r="AX84" s="96"/>
      <c r="AY84" s="96"/>
      <c r="AZ84" s="96"/>
      <c r="BA84" s="96"/>
      <c r="BB84" s="96"/>
      <c r="BC84" s="96"/>
      <c r="BD84" s="96"/>
      <c r="BE84" s="96"/>
      <c r="BF84" s="96"/>
      <c r="BG84" s="96"/>
      <c r="BH84" s="96"/>
      <c r="BI84" s="96"/>
      <c r="BJ84" s="96"/>
      <c r="BK84" s="96"/>
    </row>
    <row r="85" ht="15.75" customHeight="1">
      <c r="A85" s="206">
        <f t="shared" si="67"/>
        <v>43770</v>
      </c>
      <c r="B85" s="96"/>
      <c r="C85" s="96"/>
      <c r="D85" s="96"/>
      <c r="E85" s="96"/>
      <c r="F85" s="96"/>
      <c r="G85" s="96"/>
      <c r="H85" s="76">
        <f>SUM(H$9:H$11)/12</f>
        <v>0</v>
      </c>
      <c r="I85" s="76">
        <f t="shared" ref="I85:S85" si="70">H85</f>
        <v>0</v>
      </c>
      <c r="J85" s="76">
        <f t="shared" si="70"/>
        <v>0</v>
      </c>
      <c r="K85" s="76">
        <f t="shared" si="70"/>
        <v>0</v>
      </c>
      <c r="L85" s="76">
        <f t="shared" si="70"/>
        <v>0</v>
      </c>
      <c r="M85" s="76">
        <f t="shared" si="70"/>
        <v>0</v>
      </c>
      <c r="N85" s="76">
        <f t="shared" si="70"/>
        <v>0</v>
      </c>
      <c r="O85" s="76">
        <f t="shared" si="70"/>
        <v>0</v>
      </c>
      <c r="P85" s="76">
        <f t="shared" si="70"/>
        <v>0</v>
      </c>
      <c r="Q85" s="76">
        <f t="shared" si="70"/>
        <v>0</v>
      </c>
      <c r="R85" s="76">
        <f t="shared" si="70"/>
        <v>0</v>
      </c>
      <c r="S85" s="76">
        <f t="shared" si="70"/>
        <v>0</v>
      </c>
      <c r="T85" s="96"/>
      <c r="U85" s="96"/>
      <c r="V85" s="96"/>
      <c r="W85" s="96"/>
      <c r="X85" s="96"/>
      <c r="Y85" s="96"/>
      <c r="Z85" s="96"/>
      <c r="AA85" s="96"/>
      <c r="AB85" s="96"/>
      <c r="AC85" s="96"/>
      <c r="AD85" s="96"/>
      <c r="AE85" s="96"/>
      <c r="AF85" s="96"/>
      <c r="AG85" s="96"/>
      <c r="AH85" s="96"/>
      <c r="AI85" s="96"/>
      <c r="AJ85" s="96"/>
      <c r="AK85" s="96"/>
      <c r="AL85" s="96"/>
      <c r="AM85" s="96"/>
      <c r="AN85" s="96"/>
      <c r="AO85" s="96"/>
      <c r="AP85" s="96"/>
      <c r="AQ85" s="96"/>
      <c r="AR85" s="96"/>
      <c r="AS85" s="96"/>
      <c r="AT85" s="96"/>
      <c r="AU85" s="96"/>
      <c r="AV85" s="96"/>
      <c r="AW85" s="96"/>
      <c r="AX85" s="96"/>
      <c r="AY85" s="96"/>
      <c r="AZ85" s="96"/>
      <c r="BA85" s="96"/>
      <c r="BB85" s="96"/>
      <c r="BC85" s="96"/>
      <c r="BD85" s="96"/>
      <c r="BE85" s="96"/>
      <c r="BF85" s="96"/>
      <c r="BG85" s="96"/>
      <c r="BH85" s="96"/>
      <c r="BI85" s="96"/>
      <c r="BJ85" s="96"/>
      <c r="BK85" s="96"/>
    </row>
    <row r="86" ht="15.75" customHeight="1">
      <c r="A86" s="206">
        <f t="shared" si="67"/>
        <v>43800</v>
      </c>
      <c r="B86" s="96"/>
      <c r="C86" s="96"/>
      <c r="D86" s="96"/>
      <c r="E86" s="96"/>
      <c r="F86" s="96"/>
      <c r="G86" s="96"/>
      <c r="H86" s="96"/>
      <c r="I86" s="76">
        <f>SUM(I$9:I$11)/12</f>
        <v>0</v>
      </c>
      <c r="J86" s="76">
        <f t="shared" ref="J86:T86" si="71">I86</f>
        <v>0</v>
      </c>
      <c r="K86" s="76">
        <f t="shared" si="71"/>
        <v>0</v>
      </c>
      <c r="L86" s="76">
        <f t="shared" si="71"/>
        <v>0</v>
      </c>
      <c r="M86" s="76">
        <f t="shared" si="71"/>
        <v>0</v>
      </c>
      <c r="N86" s="76">
        <f t="shared" si="71"/>
        <v>0</v>
      </c>
      <c r="O86" s="76">
        <f t="shared" si="71"/>
        <v>0</v>
      </c>
      <c r="P86" s="76">
        <f t="shared" si="71"/>
        <v>0</v>
      </c>
      <c r="Q86" s="76">
        <f t="shared" si="71"/>
        <v>0</v>
      </c>
      <c r="R86" s="76">
        <f t="shared" si="71"/>
        <v>0</v>
      </c>
      <c r="S86" s="76">
        <f t="shared" si="71"/>
        <v>0</v>
      </c>
      <c r="T86" s="76">
        <f t="shared" si="71"/>
        <v>0</v>
      </c>
      <c r="U86" s="96"/>
      <c r="V86" s="96"/>
      <c r="W86" s="96"/>
      <c r="X86" s="96"/>
      <c r="Y86" s="96"/>
      <c r="Z86" s="96"/>
      <c r="AA86" s="96"/>
      <c r="AB86" s="96"/>
      <c r="AC86" s="96"/>
      <c r="AD86" s="96"/>
      <c r="AE86" s="96"/>
      <c r="AF86" s="96"/>
      <c r="AG86" s="96"/>
      <c r="AH86" s="96"/>
      <c r="AI86" s="96"/>
      <c r="AJ86" s="96"/>
      <c r="AK86" s="96"/>
      <c r="AL86" s="96"/>
      <c r="AM86" s="96"/>
      <c r="AN86" s="96"/>
      <c r="AO86" s="96"/>
      <c r="AP86" s="96"/>
      <c r="AQ86" s="96"/>
      <c r="AR86" s="96"/>
      <c r="AS86" s="96"/>
      <c r="AT86" s="96"/>
      <c r="AU86" s="96"/>
      <c r="AV86" s="96"/>
      <c r="AW86" s="96"/>
      <c r="AX86" s="96"/>
      <c r="AY86" s="96"/>
      <c r="AZ86" s="96"/>
      <c r="BA86" s="96"/>
      <c r="BB86" s="96"/>
      <c r="BC86" s="96"/>
      <c r="BD86" s="96"/>
      <c r="BE86" s="96"/>
      <c r="BF86" s="96"/>
      <c r="BG86" s="96"/>
      <c r="BH86" s="96"/>
      <c r="BI86" s="96"/>
      <c r="BJ86" s="96"/>
      <c r="BK86" s="96"/>
    </row>
    <row r="87" ht="15.75" customHeight="1">
      <c r="A87" s="206">
        <f t="shared" si="67"/>
        <v>43831</v>
      </c>
      <c r="B87" s="96"/>
      <c r="C87" s="96"/>
      <c r="D87" s="96"/>
      <c r="E87" s="96"/>
      <c r="F87" s="96"/>
      <c r="G87" s="96"/>
      <c r="H87" s="96"/>
      <c r="I87" s="96"/>
      <c r="J87" s="76">
        <f>SUM(J$9:J$11)/12</f>
        <v>0</v>
      </c>
      <c r="K87" s="76">
        <f t="shared" ref="K87:U87" si="72">J87</f>
        <v>0</v>
      </c>
      <c r="L87" s="76">
        <f t="shared" si="72"/>
        <v>0</v>
      </c>
      <c r="M87" s="76">
        <f t="shared" si="72"/>
        <v>0</v>
      </c>
      <c r="N87" s="76">
        <f t="shared" si="72"/>
        <v>0</v>
      </c>
      <c r="O87" s="76">
        <f t="shared" si="72"/>
        <v>0</v>
      </c>
      <c r="P87" s="76">
        <f t="shared" si="72"/>
        <v>0</v>
      </c>
      <c r="Q87" s="76">
        <f t="shared" si="72"/>
        <v>0</v>
      </c>
      <c r="R87" s="76">
        <f t="shared" si="72"/>
        <v>0</v>
      </c>
      <c r="S87" s="76">
        <f t="shared" si="72"/>
        <v>0</v>
      </c>
      <c r="T87" s="76">
        <f t="shared" si="72"/>
        <v>0</v>
      </c>
      <c r="U87" s="76">
        <f t="shared" si="72"/>
        <v>0</v>
      </c>
      <c r="V87" s="96"/>
      <c r="W87" s="96"/>
      <c r="X87" s="96"/>
      <c r="Y87" s="96"/>
      <c r="Z87" s="96"/>
      <c r="AA87" s="96"/>
      <c r="AB87" s="96"/>
      <c r="AC87" s="96"/>
      <c r="AD87" s="96"/>
      <c r="AE87" s="96"/>
      <c r="AF87" s="96"/>
      <c r="AG87" s="96"/>
      <c r="AH87" s="96"/>
      <c r="AI87" s="96"/>
      <c r="AJ87" s="96"/>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6"/>
      <c r="BI87" s="96"/>
      <c r="BJ87" s="96"/>
      <c r="BK87" s="96"/>
    </row>
    <row r="88" ht="15.75" customHeight="1">
      <c r="A88" s="206">
        <f t="shared" si="67"/>
        <v>43862</v>
      </c>
      <c r="B88" s="96"/>
      <c r="C88" s="96"/>
      <c r="D88" s="96"/>
      <c r="E88" s="96"/>
      <c r="F88" s="96"/>
      <c r="G88" s="96"/>
      <c r="H88" s="96"/>
      <c r="I88" s="96"/>
      <c r="J88" s="96"/>
      <c r="K88" s="76">
        <f>SUM(K$9:K$11)/12</f>
        <v>0</v>
      </c>
      <c r="L88" s="76">
        <f t="shared" ref="L88:V88" si="73">K88</f>
        <v>0</v>
      </c>
      <c r="M88" s="76">
        <f t="shared" si="73"/>
        <v>0</v>
      </c>
      <c r="N88" s="76">
        <f t="shared" si="73"/>
        <v>0</v>
      </c>
      <c r="O88" s="76">
        <f t="shared" si="73"/>
        <v>0</v>
      </c>
      <c r="P88" s="76">
        <f t="shared" si="73"/>
        <v>0</v>
      </c>
      <c r="Q88" s="76">
        <f t="shared" si="73"/>
        <v>0</v>
      </c>
      <c r="R88" s="76">
        <f t="shared" si="73"/>
        <v>0</v>
      </c>
      <c r="S88" s="76">
        <f t="shared" si="73"/>
        <v>0</v>
      </c>
      <c r="T88" s="76">
        <f t="shared" si="73"/>
        <v>0</v>
      </c>
      <c r="U88" s="76">
        <f t="shared" si="73"/>
        <v>0</v>
      </c>
      <c r="V88" s="76">
        <f t="shared" si="73"/>
        <v>0</v>
      </c>
      <c r="W88" s="96"/>
      <c r="X88" s="96"/>
      <c r="Y88" s="96"/>
      <c r="Z88" s="96"/>
      <c r="AA88" s="96"/>
      <c r="AB88" s="96"/>
      <c r="AC88" s="96"/>
      <c r="AD88" s="96"/>
      <c r="AE88" s="96"/>
      <c r="AF88" s="96"/>
      <c r="AG88" s="96"/>
      <c r="AH88" s="96"/>
      <c r="AI88" s="96"/>
      <c r="AJ88" s="96"/>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6"/>
      <c r="BI88" s="96"/>
      <c r="BJ88" s="96"/>
      <c r="BK88" s="96"/>
    </row>
    <row r="89" ht="15.75" customHeight="1">
      <c r="A89" s="206">
        <f t="shared" si="67"/>
        <v>43891</v>
      </c>
      <c r="B89" s="96"/>
      <c r="C89" s="96"/>
      <c r="D89" s="96"/>
      <c r="E89" s="96"/>
      <c r="F89" s="96"/>
      <c r="G89" s="96"/>
      <c r="H89" s="96"/>
      <c r="I89" s="96"/>
      <c r="J89" s="96"/>
      <c r="K89" s="96"/>
      <c r="L89" s="76">
        <f>SUM(L$9:L$11)/12</f>
        <v>0</v>
      </c>
      <c r="M89" s="76">
        <f t="shared" ref="M89:W89" si="74">L89</f>
        <v>0</v>
      </c>
      <c r="N89" s="76">
        <f t="shared" si="74"/>
        <v>0</v>
      </c>
      <c r="O89" s="76">
        <f t="shared" si="74"/>
        <v>0</v>
      </c>
      <c r="P89" s="76">
        <f t="shared" si="74"/>
        <v>0</v>
      </c>
      <c r="Q89" s="76">
        <f t="shared" si="74"/>
        <v>0</v>
      </c>
      <c r="R89" s="76">
        <f t="shared" si="74"/>
        <v>0</v>
      </c>
      <c r="S89" s="76">
        <f t="shared" si="74"/>
        <v>0</v>
      </c>
      <c r="T89" s="76">
        <f t="shared" si="74"/>
        <v>0</v>
      </c>
      <c r="U89" s="76">
        <f t="shared" si="74"/>
        <v>0</v>
      </c>
      <c r="V89" s="76">
        <f t="shared" si="74"/>
        <v>0</v>
      </c>
      <c r="W89" s="76">
        <f t="shared" si="74"/>
        <v>0</v>
      </c>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c r="AW89" s="96"/>
      <c r="AX89" s="96"/>
      <c r="AY89" s="96"/>
      <c r="AZ89" s="96"/>
      <c r="BA89" s="96"/>
      <c r="BB89" s="96"/>
      <c r="BC89" s="96"/>
      <c r="BD89" s="96"/>
      <c r="BE89" s="96"/>
      <c r="BF89" s="96"/>
      <c r="BG89" s="96"/>
      <c r="BH89" s="96"/>
      <c r="BI89" s="96"/>
      <c r="BJ89" s="96"/>
      <c r="BK89" s="96"/>
    </row>
    <row r="90" ht="15.75" customHeight="1">
      <c r="A90" s="206">
        <f t="shared" si="67"/>
        <v>43922</v>
      </c>
      <c r="B90" s="96"/>
      <c r="C90" s="96"/>
      <c r="D90" s="96"/>
      <c r="E90" s="96"/>
      <c r="F90" s="96"/>
      <c r="G90" s="96"/>
      <c r="H90" s="96"/>
      <c r="I90" s="96"/>
      <c r="J90" s="96"/>
      <c r="K90" s="96"/>
      <c r="L90" s="96"/>
      <c r="M90" s="76">
        <f>SUM(M$9:M$11)/12</f>
        <v>0</v>
      </c>
      <c r="N90" s="76">
        <f t="shared" ref="N90:X90" si="75">M90</f>
        <v>0</v>
      </c>
      <c r="O90" s="76">
        <f t="shared" si="75"/>
        <v>0</v>
      </c>
      <c r="P90" s="76">
        <f t="shared" si="75"/>
        <v>0</v>
      </c>
      <c r="Q90" s="76">
        <f t="shared" si="75"/>
        <v>0</v>
      </c>
      <c r="R90" s="76">
        <f t="shared" si="75"/>
        <v>0</v>
      </c>
      <c r="S90" s="76">
        <f t="shared" si="75"/>
        <v>0</v>
      </c>
      <c r="T90" s="76">
        <f t="shared" si="75"/>
        <v>0</v>
      </c>
      <c r="U90" s="76">
        <f t="shared" si="75"/>
        <v>0</v>
      </c>
      <c r="V90" s="76">
        <f t="shared" si="75"/>
        <v>0</v>
      </c>
      <c r="W90" s="76">
        <f t="shared" si="75"/>
        <v>0</v>
      </c>
      <c r="X90" s="76">
        <f t="shared" si="75"/>
        <v>0</v>
      </c>
      <c r="Y90" s="96"/>
      <c r="Z90" s="96"/>
      <c r="AA90" s="96"/>
      <c r="AB90" s="96"/>
      <c r="AC90" s="96"/>
      <c r="AD90" s="96"/>
      <c r="AE90" s="96"/>
      <c r="AF90" s="96"/>
      <c r="AG90" s="96"/>
      <c r="AH90" s="96"/>
      <c r="AI90" s="96"/>
      <c r="AJ90" s="96"/>
      <c r="AK90" s="96"/>
      <c r="AL90" s="96"/>
      <c r="AM90" s="96"/>
      <c r="AN90" s="96"/>
      <c r="AO90" s="96"/>
      <c r="AP90" s="96"/>
      <c r="AQ90" s="96"/>
      <c r="AR90" s="96"/>
      <c r="AS90" s="96"/>
      <c r="AT90" s="96"/>
      <c r="AU90" s="96"/>
      <c r="AV90" s="96"/>
      <c r="AW90" s="96"/>
      <c r="AX90" s="96"/>
      <c r="AY90" s="96"/>
      <c r="AZ90" s="96"/>
      <c r="BA90" s="96"/>
      <c r="BB90" s="96"/>
      <c r="BC90" s="96"/>
      <c r="BD90" s="96"/>
      <c r="BE90" s="96"/>
      <c r="BF90" s="96"/>
      <c r="BG90" s="96"/>
      <c r="BH90" s="96"/>
      <c r="BI90" s="96"/>
      <c r="BJ90" s="96"/>
      <c r="BK90" s="96"/>
    </row>
    <row r="91" ht="15.75" customHeight="1">
      <c r="A91" s="206">
        <f t="shared" si="67"/>
        <v>43952</v>
      </c>
      <c r="B91" s="96"/>
      <c r="C91" s="96"/>
      <c r="D91" s="96"/>
      <c r="E91" s="96"/>
      <c r="F91" s="96"/>
      <c r="G91" s="96"/>
      <c r="H91" s="96"/>
      <c r="I91" s="96"/>
      <c r="J91" s="96"/>
      <c r="K91" s="96"/>
      <c r="L91" s="96"/>
      <c r="M91" s="96"/>
      <c r="N91" s="76">
        <f>SUM(N$9:N$11)/12</f>
        <v>0</v>
      </c>
      <c r="O91" s="76">
        <f t="shared" ref="O91:Y91" si="76">N91</f>
        <v>0</v>
      </c>
      <c r="P91" s="76">
        <f t="shared" si="76"/>
        <v>0</v>
      </c>
      <c r="Q91" s="76">
        <f t="shared" si="76"/>
        <v>0</v>
      </c>
      <c r="R91" s="76">
        <f t="shared" si="76"/>
        <v>0</v>
      </c>
      <c r="S91" s="76">
        <f t="shared" si="76"/>
        <v>0</v>
      </c>
      <c r="T91" s="76">
        <f t="shared" si="76"/>
        <v>0</v>
      </c>
      <c r="U91" s="76">
        <f t="shared" si="76"/>
        <v>0</v>
      </c>
      <c r="V91" s="76">
        <f t="shared" si="76"/>
        <v>0</v>
      </c>
      <c r="W91" s="76">
        <f t="shared" si="76"/>
        <v>0</v>
      </c>
      <c r="X91" s="76">
        <f t="shared" si="76"/>
        <v>0</v>
      </c>
      <c r="Y91" s="76">
        <f t="shared" si="76"/>
        <v>0</v>
      </c>
      <c r="Z91" s="96"/>
      <c r="AA91" s="96"/>
      <c r="AB91" s="96"/>
      <c r="AC91" s="96"/>
      <c r="AD91" s="96"/>
      <c r="AE91" s="96"/>
      <c r="AF91" s="96"/>
      <c r="AG91" s="96"/>
      <c r="AH91" s="96"/>
      <c r="AI91" s="96"/>
      <c r="AJ91" s="96"/>
      <c r="AK91" s="96"/>
      <c r="AL91" s="96"/>
      <c r="AM91" s="96"/>
      <c r="AN91" s="96"/>
      <c r="AO91" s="96"/>
      <c r="AP91" s="96"/>
      <c r="AQ91" s="96"/>
      <c r="AR91" s="96"/>
      <c r="AS91" s="96"/>
      <c r="AT91" s="96"/>
      <c r="AU91" s="96"/>
      <c r="AV91" s="96"/>
      <c r="AW91" s="96"/>
      <c r="AX91" s="96"/>
      <c r="AY91" s="96"/>
      <c r="AZ91" s="96"/>
      <c r="BA91" s="96"/>
      <c r="BB91" s="96"/>
      <c r="BC91" s="96"/>
      <c r="BD91" s="96"/>
      <c r="BE91" s="96"/>
      <c r="BF91" s="96"/>
      <c r="BG91" s="96"/>
      <c r="BH91" s="96"/>
      <c r="BI91" s="96"/>
      <c r="BJ91" s="96"/>
      <c r="BK91" s="96"/>
    </row>
    <row r="92" ht="15.75" customHeight="1">
      <c r="A92" s="206">
        <f t="shared" si="67"/>
        <v>43983</v>
      </c>
      <c r="B92" s="96"/>
      <c r="C92" s="96"/>
      <c r="D92" s="96"/>
      <c r="E92" s="96"/>
      <c r="F92" s="96"/>
      <c r="G92" s="96"/>
      <c r="H92" s="96"/>
      <c r="I92" s="96"/>
      <c r="J92" s="96"/>
      <c r="K92" s="96"/>
      <c r="L92" s="96"/>
      <c r="M92" s="96"/>
      <c r="N92" s="96"/>
      <c r="O92" s="76">
        <f>SUM(O$9:O$11)/12</f>
        <v>0</v>
      </c>
      <c r="P92" s="76">
        <f t="shared" ref="P92:Z92" si="77">O92</f>
        <v>0</v>
      </c>
      <c r="Q92" s="76">
        <f t="shared" si="77"/>
        <v>0</v>
      </c>
      <c r="R92" s="76">
        <f t="shared" si="77"/>
        <v>0</v>
      </c>
      <c r="S92" s="76">
        <f t="shared" si="77"/>
        <v>0</v>
      </c>
      <c r="T92" s="76">
        <f t="shared" si="77"/>
        <v>0</v>
      </c>
      <c r="U92" s="76">
        <f t="shared" si="77"/>
        <v>0</v>
      </c>
      <c r="V92" s="76">
        <f t="shared" si="77"/>
        <v>0</v>
      </c>
      <c r="W92" s="76">
        <f t="shared" si="77"/>
        <v>0</v>
      </c>
      <c r="X92" s="76">
        <f t="shared" si="77"/>
        <v>0</v>
      </c>
      <c r="Y92" s="76">
        <f t="shared" si="77"/>
        <v>0</v>
      </c>
      <c r="Z92" s="76">
        <f t="shared" si="77"/>
        <v>0</v>
      </c>
      <c r="AA92" s="96"/>
      <c r="AB92" s="96"/>
      <c r="AC92" s="96"/>
      <c r="AD92" s="96"/>
      <c r="AE92" s="96"/>
      <c r="AF92" s="96"/>
      <c r="AG92" s="96"/>
      <c r="AH92" s="96"/>
      <c r="AI92" s="96"/>
      <c r="AJ92" s="96"/>
      <c r="AK92" s="96"/>
      <c r="AL92" s="96"/>
      <c r="AM92" s="96"/>
      <c r="AN92" s="96"/>
      <c r="AO92" s="96"/>
      <c r="AP92" s="96"/>
      <c r="AQ92" s="96"/>
      <c r="AR92" s="96"/>
      <c r="AS92" s="96"/>
      <c r="AT92" s="96"/>
      <c r="AU92" s="96"/>
      <c r="AV92" s="96"/>
      <c r="AW92" s="96"/>
      <c r="AX92" s="96"/>
      <c r="AY92" s="96"/>
      <c r="AZ92" s="96"/>
      <c r="BA92" s="96"/>
      <c r="BB92" s="96"/>
      <c r="BC92" s="96"/>
      <c r="BD92" s="96"/>
      <c r="BE92" s="96"/>
      <c r="BF92" s="96"/>
      <c r="BG92" s="96"/>
      <c r="BH92" s="96"/>
      <c r="BI92" s="96"/>
      <c r="BJ92" s="96"/>
      <c r="BK92" s="96"/>
    </row>
    <row r="93" ht="15.75" customHeight="1">
      <c r="A93" s="206">
        <f t="shared" si="67"/>
        <v>44013</v>
      </c>
      <c r="B93" s="96"/>
      <c r="C93" s="96"/>
      <c r="D93" s="96"/>
      <c r="E93" s="96"/>
      <c r="F93" s="96"/>
      <c r="G93" s="96"/>
      <c r="H93" s="96"/>
      <c r="I93" s="96"/>
      <c r="J93" s="96"/>
      <c r="K93" s="96"/>
      <c r="L93" s="96"/>
      <c r="M93" s="96"/>
      <c r="N93" s="96"/>
      <c r="O93" s="96"/>
      <c r="P93" s="76">
        <f>SUM(P$9:P$11)/12</f>
        <v>0</v>
      </c>
      <c r="Q93" s="76">
        <f t="shared" ref="Q93:AA93" si="78">P93</f>
        <v>0</v>
      </c>
      <c r="R93" s="76">
        <f t="shared" si="78"/>
        <v>0</v>
      </c>
      <c r="S93" s="76">
        <f t="shared" si="78"/>
        <v>0</v>
      </c>
      <c r="T93" s="76">
        <f t="shared" si="78"/>
        <v>0</v>
      </c>
      <c r="U93" s="76">
        <f t="shared" si="78"/>
        <v>0</v>
      </c>
      <c r="V93" s="76">
        <f t="shared" si="78"/>
        <v>0</v>
      </c>
      <c r="W93" s="76">
        <f t="shared" si="78"/>
        <v>0</v>
      </c>
      <c r="X93" s="76">
        <f t="shared" si="78"/>
        <v>0</v>
      </c>
      <c r="Y93" s="76">
        <f t="shared" si="78"/>
        <v>0</v>
      </c>
      <c r="Z93" s="76">
        <f t="shared" si="78"/>
        <v>0</v>
      </c>
      <c r="AA93" s="76">
        <f t="shared" si="78"/>
        <v>0</v>
      </c>
      <c r="AB93" s="96"/>
      <c r="AC93" s="96"/>
      <c r="AD93" s="96"/>
      <c r="AE93" s="96"/>
      <c r="AF93" s="96"/>
      <c r="AG93" s="96"/>
      <c r="AH93" s="96"/>
      <c r="AI93" s="96"/>
      <c r="AJ93" s="96"/>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6"/>
      <c r="BJ93" s="96"/>
      <c r="BK93" s="96"/>
    </row>
    <row r="94" ht="15.75" customHeight="1">
      <c r="A94" s="206">
        <f t="shared" si="67"/>
        <v>44044</v>
      </c>
      <c r="B94" s="96"/>
      <c r="C94" s="96"/>
      <c r="D94" s="96"/>
      <c r="E94" s="96"/>
      <c r="F94" s="96"/>
      <c r="G94" s="96"/>
      <c r="H94" s="96"/>
      <c r="I94" s="96"/>
      <c r="J94" s="96"/>
      <c r="K94" s="96"/>
      <c r="L94" s="96"/>
      <c r="M94" s="96"/>
      <c r="N94" s="96"/>
      <c r="O94" s="96"/>
      <c r="P94" s="96"/>
      <c r="Q94" s="76">
        <f>SUM(Q$9:Q$11)/12</f>
        <v>0</v>
      </c>
      <c r="R94" s="76">
        <f t="shared" ref="R94:AB94" si="79">Q94</f>
        <v>0</v>
      </c>
      <c r="S94" s="76">
        <f t="shared" si="79"/>
        <v>0</v>
      </c>
      <c r="T94" s="76">
        <f t="shared" si="79"/>
        <v>0</v>
      </c>
      <c r="U94" s="76">
        <f t="shared" si="79"/>
        <v>0</v>
      </c>
      <c r="V94" s="76">
        <f t="shared" si="79"/>
        <v>0</v>
      </c>
      <c r="W94" s="76">
        <f t="shared" si="79"/>
        <v>0</v>
      </c>
      <c r="X94" s="76">
        <f t="shared" si="79"/>
        <v>0</v>
      </c>
      <c r="Y94" s="76">
        <f t="shared" si="79"/>
        <v>0</v>
      </c>
      <c r="Z94" s="76">
        <f t="shared" si="79"/>
        <v>0</v>
      </c>
      <c r="AA94" s="76">
        <f t="shared" si="79"/>
        <v>0</v>
      </c>
      <c r="AB94" s="76">
        <f t="shared" si="79"/>
        <v>0</v>
      </c>
      <c r="AC94" s="96"/>
      <c r="AD94" s="96"/>
      <c r="AE94" s="96"/>
      <c r="AF94" s="96"/>
      <c r="AG94" s="96"/>
      <c r="AH94" s="96"/>
      <c r="AI94" s="96"/>
      <c r="AJ94" s="96"/>
      <c r="AK94" s="96"/>
      <c r="AL94" s="96"/>
      <c r="AM94" s="96"/>
      <c r="AN94" s="96"/>
      <c r="AO94" s="96"/>
      <c r="AP94" s="96"/>
      <c r="AQ94" s="96"/>
      <c r="AR94" s="96"/>
      <c r="AS94" s="96"/>
      <c r="AT94" s="96"/>
      <c r="AU94" s="96"/>
      <c r="AV94" s="96"/>
      <c r="AW94" s="96"/>
      <c r="AX94" s="96"/>
      <c r="AY94" s="96"/>
      <c r="AZ94" s="96"/>
      <c r="BA94" s="96"/>
      <c r="BB94" s="96"/>
      <c r="BC94" s="96"/>
      <c r="BD94" s="96"/>
      <c r="BE94" s="96"/>
      <c r="BF94" s="96"/>
      <c r="BG94" s="96"/>
      <c r="BH94" s="96"/>
      <c r="BI94" s="96"/>
      <c r="BJ94" s="96"/>
      <c r="BK94" s="96"/>
    </row>
    <row r="95" ht="15.75" customHeight="1">
      <c r="A95" s="206">
        <f t="shared" si="67"/>
        <v>44075</v>
      </c>
      <c r="B95" s="96"/>
      <c r="C95" s="96"/>
      <c r="D95" s="96"/>
      <c r="E95" s="96"/>
      <c r="F95" s="96"/>
      <c r="G95" s="96"/>
      <c r="H95" s="96"/>
      <c r="I95" s="96"/>
      <c r="J95" s="96"/>
      <c r="K95" s="96"/>
      <c r="L95" s="96"/>
      <c r="M95" s="96"/>
      <c r="N95" s="96"/>
      <c r="O95" s="96"/>
      <c r="P95" s="96"/>
      <c r="Q95" s="96"/>
      <c r="R95" s="76">
        <f>SUM(R$9:R$11)/12</f>
        <v>0</v>
      </c>
      <c r="S95" s="76">
        <f t="shared" ref="S95:AC95" si="80">R95</f>
        <v>0</v>
      </c>
      <c r="T95" s="76">
        <f t="shared" si="80"/>
        <v>0</v>
      </c>
      <c r="U95" s="76">
        <f t="shared" si="80"/>
        <v>0</v>
      </c>
      <c r="V95" s="76">
        <f t="shared" si="80"/>
        <v>0</v>
      </c>
      <c r="W95" s="76">
        <f t="shared" si="80"/>
        <v>0</v>
      </c>
      <c r="X95" s="76">
        <f t="shared" si="80"/>
        <v>0</v>
      </c>
      <c r="Y95" s="76">
        <f t="shared" si="80"/>
        <v>0</v>
      </c>
      <c r="Z95" s="76">
        <f t="shared" si="80"/>
        <v>0</v>
      </c>
      <c r="AA95" s="76">
        <f t="shared" si="80"/>
        <v>0</v>
      </c>
      <c r="AB95" s="76">
        <f t="shared" si="80"/>
        <v>0</v>
      </c>
      <c r="AC95" s="76">
        <f t="shared" si="80"/>
        <v>0</v>
      </c>
      <c r="AD95" s="96"/>
      <c r="AE95" s="96"/>
      <c r="AF95" s="96"/>
      <c r="AG95" s="96"/>
      <c r="AH95" s="96"/>
      <c r="AI95" s="96"/>
      <c r="AJ95" s="96"/>
      <c r="AK95" s="96"/>
      <c r="AL95" s="96"/>
      <c r="AM95" s="96"/>
      <c r="AN95" s="96"/>
      <c r="AO95" s="96"/>
      <c r="AP95" s="96"/>
      <c r="AQ95" s="96"/>
      <c r="AR95" s="96"/>
      <c r="AS95" s="96"/>
      <c r="AT95" s="96"/>
      <c r="AU95" s="96"/>
      <c r="AV95" s="96"/>
      <c r="AW95" s="96"/>
      <c r="AX95" s="96"/>
      <c r="AY95" s="96"/>
      <c r="AZ95" s="96"/>
      <c r="BA95" s="96"/>
      <c r="BB95" s="96"/>
      <c r="BC95" s="96"/>
      <c r="BD95" s="96"/>
      <c r="BE95" s="96"/>
      <c r="BF95" s="96"/>
      <c r="BG95" s="96"/>
      <c r="BH95" s="96"/>
      <c r="BI95" s="96"/>
      <c r="BJ95" s="96"/>
      <c r="BK95" s="96"/>
    </row>
    <row r="96" ht="15.75" customHeight="1">
      <c r="A96" s="206">
        <f t="shared" si="67"/>
        <v>44105</v>
      </c>
      <c r="B96" s="96"/>
      <c r="C96" s="96"/>
      <c r="D96" s="96"/>
      <c r="E96" s="96"/>
      <c r="F96" s="96"/>
      <c r="G96" s="96"/>
      <c r="H96" s="96"/>
      <c r="I96" s="96"/>
      <c r="J96" s="96"/>
      <c r="K96" s="96"/>
      <c r="L96" s="96"/>
      <c r="M96" s="96"/>
      <c r="N96" s="96"/>
      <c r="O96" s="96"/>
      <c r="P96" s="96"/>
      <c r="Q96" s="96"/>
      <c r="R96" s="96"/>
      <c r="S96" s="76">
        <f>SUM(S$9:S$11)/12</f>
        <v>0</v>
      </c>
      <c r="T96" s="76">
        <f t="shared" ref="T96:AD96" si="81">S96</f>
        <v>0</v>
      </c>
      <c r="U96" s="76">
        <f t="shared" si="81"/>
        <v>0</v>
      </c>
      <c r="V96" s="76">
        <f t="shared" si="81"/>
        <v>0</v>
      </c>
      <c r="W96" s="76">
        <f t="shared" si="81"/>
        <v>0</v>
      </c>
      <c r="X96" s="76">
        <f t="shared" si="81"/>
        <v>0</v>
      </c>
      <c r="Y96" s="76">
        <f t="shared" si="81"/>
        <v>0</v>
      </c>
      <c r="Z96" s="76">
        <f t="shared" si="81"/>
        <v>0</v>
      </c>
      <c r="AA96" s="76">
        <f t="shared" si="81"/>
        <v>0</v>
      </c>
      <c r="AB96" s="76">
        <f t="shared" si="81"/>
        <v>0</v>
      </c>
      <c r="AC96" s="76">
        <f t="shared" si="81"/>
        <v>0</v>
      </c>
      <c r="AD96" s="76">
        <f t="shared" si="81"/>
        <v>0</v>
      </c>
      <c r="AE96" s="96"/>
      <c r="AF96" s="96"/>
      <c r="AG96" s="96"/>
      <c r="AH96" s="96"/>
      <c r="AI96" s="96"/>
      <c r="AJ96" s="96"/>
      <c r="AK96" s="96"/>
      <c r="AL96" s="96"/>
      <c r="AM96" s="96"/>
      <c r="AN96" s="96"/>
      <c r="AO96" s="96"/>
      <c r="AP96" s="96"/>
      <c r="AQ96" s="96"/>
      <c r="AR96" s="96"/>
      <c r="AS96" s="96"/>
      <c r="AT96" s="96"/>
      <c r="AU96" s="96"/>
      <c r="AV96" s="96"/>
      <c r="AW96" s="96"/>
      <c r="AX96" s="96"/>
      <c r="AY96" s="96"/>
      <c r="AZ96" s="96"/>
      <c r="BA96" s="96"/>
      <c r="BB96" s="96"/>
      <c r="BC96" s="96"/>
      <c r="BD96" s="96"/>
      <c r="BE96" s="96"/>
      <c r="BF96" s="96"/>
      <c r="BG96" s="96"/>
      <c r="BH96" s="96"/>
      <c r="BI96" s="96"/>
      <c r="BJ96" s="96"/>
      <c r="BK96" s="96"/>
    </row>
    <row r="97" ht="15.75" customHeight="1">
      <c r="A97" s="206">
        <f t="shared" si="67"/>
        <v>44136</v>
      </c>
      <c r="B97" s="96"/>
      <c r="C97" s="96"/>
      <c r="D97" s="96"/>
      <c r="E97" s="96"/>
      <c r="F97" s="96"/>
      <c r="G97" s="96"/>
      <c r="H97" s="96"/>
      <c r="I97" s="96"/>
      <c r="J97" s="96"/>
      <c r="K97" s="96"/>
      <c r="L97" s="96"/>
      <c r="M97" s="96"/>
      <c r="N97" s="96"/>
      <c r="O97" s="96"/>
      <c r="P97" s="96"/>
      <c r="Q97" s="96"/>
      <c r="R97" s="96"/>
      <c r="S97" s="96"/>
      <c r="T97" s="76">
        <f>SUM(T$9:T$11)/12</f>
        <v>0</v>
      </c>
      <c r="U97" s="76">
        <f t="shared" ref="U97:AE97" si="82">T97</f>
        <v>0</v>
      </c>
      <c r="V97" s="76">
        <f t="shared" si="82"/>
        <v>0</v>
      </c>
      <c r="W97" s="76">
        <f t="shared" si="82"/>
        <v>0</v>
      </c>
      <c r="X97" s="76">
        <f t="shared" si="82"/>
        <v>0</v>
      </c>
      <c r="Y97" s="76">
        <f t="shared" si="82"/>
        <v>0</v>
      </c>
      <c r="Z97" s="76">
        <f t="shared" si="82"/>
        <v>0</v>
      </c>
      <c r="AA97" s="76">
        <f t="shared" si="82"/>
        <v>0</v>
      </c>
      <c r="AB97" s="76">
        <f t="shared" si="82"/>
        <v>0</v>
      </c>
      <c r="AC97" s="76">
        <f t="shared" si="82"/>
        <v>0</v>
      </c>
      <c r="AD97" s="76">
        <f t="shared" si="82"/>
        <v>0</v>
      </c>
      <c r="AE97" s="76">
        <f t="shared" si="82"/>
        <v>0</v>
      </c>
      <c r="AF97" s="96"/>
      <c r="AG97" s="96"/>
      <c r="AH97" s="96"/>
      <c r="AI97" s="96"/>
      <c r="AJ97" s="96"/>
      <c r="AK97" s="96"/>
      <c r="AL97" s="96"/>
      <c r="AM97" s="96"/>
      <c r="AN97" s="96"/>
      <c r="AO97" s="96"/>
      <c r="AP97" s="96"/>
      <c r="AQ97" s="96"/>
      <c r="AR97" s="96"/>
      <c r="AS97" s="96"/>
      <c r="AT97" s="96"/>
      <c r="AU97" s="96"/>
      <c r="AV97" s="96"/>
      <c r="AW97" s="96"/>
      <c r="AX97" s="96"/>
      <c r="AY97" s="96"/>
      <c r="AZ97" s="96"/>
      <c r="BA97" s="96"/>
      <c r="BB97" s="96"/>
      <c r="BC97" s="96"/>
      <c r="BD97" s="96"/>
      <c r="BE97" s="96"/>
      <c r="BF97" s="96"/>
      <c r="BG97" s="96"/>
      <c r="BH97" s="96"/>
      <c r="BI97" s="96"/>
      <c r="BJ97" s="96"/>
      <c r="BK97" s="96"/>
    </row>
    <row r="98" ht="15.75" customHeight="1">
      <c r="A98" s="206">
        <f t="shared" si="67"/>
        <v>44166</v>
      </c>
      <c r="B98" s="96"/>
      <c r="C98" s="96"/>
      <c r="D98" s="96"/>
      <c r="E98" s="96"/>
      <c r="F98" s="96"/>
      <c r="G98" s="96"/>
      <c r="H98" s="96"/>
      <c r="I98" s="96"/>
      <c r="J98" s="96"/>
      <c r="K98" s="96"/>
      <c r="L98" s="96"/>
      <c r="M98" s="96"/>
      <c r="N98" s="96"/>
      <c r="O98" s="96"/>
      <c r="P98" s="96"/>
      <c r="Q98" s="96"/>
      <c r="R98" s="96"/>
      <c r="S98" s="96"/>
      <c r="T98" s="96"/>
      <c r="U98" s="76">
        <f>SUM(U$9:U$11)/12</f>
        <v>0</v>
      </c>
      <c r="V98" s="76">
        <f t="shared" ref="V98:AF98" si="83">U98</f>
        <v>0</v>
      </c>
      <c r="W98" s="76">
        <f t="shared" si="83"/>
        <v>0</v>
      </c>
      <c r="X98" s="76">
        <f t="shared" si="83"/>
        <v>0</v>
      </c>
      <c r="Y98" s="76">
        <f t="shared" si="83"/>
        <v>0</v>
      </c>
      <c r="Z98" s="76">
        <f t="shared" si="83"/>
        <v>0</v>
      </c>
      <c r="AA98" s="76">
        <f t="shared" si="83"/>
        <v>0</v>
      </c>
      <c r="AB98" s="76">
        <f t="shared" si="83"/>
        <v>0</v>
      </c>
      <c r="AC98" s="76">
        <f t="shared" si="83"/>
        <v>0</v>
      </c>
      <c r="AD98" s="76">
        <f t="shared" si="83"/>
        <v>0</v>
      </c>
      <c r="AE98" s="76">
        <f t="shared" si="83"/>
        <v>0</v>
      </c>
      <c r="AF98" s="76">
        <f t="shared" si="83"/>
        <v>0</v>
      </c>
      <c r="AG98" s="96"/>
      <c r="AH98" s="96"/>
      <c r="AI98" s="96"/>
      <c r="AJ98" s="96"/>
      <c r="AK98" s="96"/>
      <c r="AL98" s="96"/>
      <c r="AM98" s="96"/>
      <c r="AN98" s="96"/>
      <c r="AO98" s="96"/>
      <c r="AP98" s="96"/>
      <c r="AQ98" s="96"/>
      <c r="AR98" s="96"/>
      <c r="AS98" s="96"/>
      <c r="AT98" s="96"/>
      <c r="AU98" s="96"/>
      <c r="AV98" s="96"/>
      <c r="AW98" s="96"/>
      <c r="AX98" s="96"/>
      <c r="AY98" s="96"/>
      <c r="AZ98" s="96"/>
      <c r="BA98" s="96"/>
      <c r="BB98" s="96"/>
      <c r="BC98" s="96"/>
      <c r="BD98" s="96"/>
      <c r="BE98" s="96"/>
      <c r="BF98" s="96"/>
      <c r="BG98" s="96"/>
      <c r="BH98" s="96"/>
      <c r="BI98" s="96"/>
      <c r="BJ98" s="96"/>
      <c r="BK98" s="96"/>
    </row>
    <row r="99" ht="15.75" customHeight="1">
      <c r="A99" s="206">
        <f t="shared" si="67"/>
        <v>44197</v>
      </c>
      <c r="B99" s="96"/>
      <c r="C99" s="96"/>
      <c r="D99" s="96"/>
      <c r="E99" s="96"/>
      <c r="F99" s="96"/>
      <c r="G99" s="96"/>
      <c r="H99" s="96"/>
      <c r="I99" s="96"/>
      <c r="J99" s="96"/>
      <c r="K99" s="96"/>
      <c r="L99" s="96"/>
      <c r="M99" s="96"/>
      <c r="N99" s="96"/>
      <c r="O99" s="96"/>
      <c r="P99" s="96"/>
      <c r="Q99" s="96"/>
      <c r="R99" s="96"/>
      <c r="S99" s="96"/>
      <c r="T99" s="96"/>
      <c r="U99" s="96"/>
      <c r="V99" s="76">
        <f>SUM(V$9:V$11)/12</f>
        <v>0</v>
      </c>
      <c r="W99" s="76">
        <f t="shared" ref="W99:AG99" si="84">V99</f>
        <v>0</v>
      </c>
      <c r="X99" s="76">
        <f t="shared" si="84"/>
        <v>0</v>
      </c>
      <c r="Y99" s="76">
        <f t="shared" si="84"/>
        <v>0</v>
      </c>
      <c r="Z99" s="76">
        <f t="shared" si="84"/>
        <v>0</v>
      </c>
      <c r="AA99" s="76">
        <f t="shared" si="84"/>
        <v>0</v>
      </c>
      <c r="AB99" s="76">
        <f t="shared" si="84"/>
        <v>0</v>
      </c>
      <c r="AC99" s="76">
        <f t="shared" si="84"/>
        <v>0</v>
      </c>
      <c r="AD99" s="76">
        <f t="shared" si="84"/>
        <v>0</v>
      </c>
      <c r="AE99" s="76">
        <f t="shared" si="84"/>
        <v>0</v>
      </c>
      <c r="AF99" s="76">
        <f t="shared" si="84"/>
        <v>0</v>
      </c>
      <c r="AG99" s="76">
        <f t="shared" si="84"/>
        <v>0</v>
      </c>
      <c r="AH99" s="96"/>
      <c r="AI99" s="96"/>
      <c r="AJ99" s="96"/>
      <c r="AK99" s="96"/>
      <c r="AL99" s="96"/>
      <c r="AM99" s="96"/>
      <c r="AN99" s="96"/>
      <c r="AO99" s="96"/>
      <c r="AP99" s="96"/>
      <c r="AQ99" s="96"/>
      <c r="AR99" s="96"/>
      <c r="AS99" s="96"/>
      <c r="AT99" s="96"/>
      <c r="AU99" s="96"/>
      <c r="AV99" s="96"/>
      <c r="AW99" s="96"/>
      <c r="AX99" s="96"/>
      <c r="AY99" s="96"/>
      <c r="AZ99" s="96"/>
      <c r="BA99" s="96"/>
      <c r="BB99" s="96"/>
      <c r="BC99" s="96"/>
      <c r="BD99" s="96"/>
      <c r="BE99" s="96"/>
      <c r="BF99" s="96"/>
      <c r="BG99" s="96"/>
      <c r="BH99" s="96"/>
      <c r="BI99" s="96"/>
      <c r="BJ99" s="96"/>
      <c r="BK99" s="96"/>
    </row>
    <row r="100" ht="15.75" customHeight="1">
      <c r="A100" s="206">
        <f t="shared" si="67"/>
        <v>44228</v>
      </c>
      <c r="B100" s="96"/>
      <c r="C100" s="96"/>
      <c r="D100" s="96"/>
      <c r="E100" s="96"/>
      <c r="F100" s="96"/>
      <c r="G100" s="96"/>
      <c r="H100" s="96"/>
      <c r="I100" s="96"/>
      <c r="J100" s="96"/>
      <c r="K100" s="96"/>
      <c r="L100" s="96"/>
      <c r="M100" s="96"/>
      <c r="N100" s="96"/>
      <c r="O100" s="96"/>
      <c r="P100" s="96"/>
      <c r="Q100" s="96"/>
      <c r="R100" s="96"/>
      <c r="S100" s="96"/>
      <c r="T100" s="96"/>
      <c r="U100" s="96"/>
      <c r="V100" s="96"/>
      <c r="W100" s="76">
        <f>SUM(W$9:W$11)/12</f>
        <v>0</v>
      </c>
      <c r="X100" s="76">
        <f t="shared" ref="X100:AH100" si="85">W100</f>
        <v>0</v>
      </c>
      <c r="Y100" s="76">
        <f t="shared" si="85"/>
        <v>0</v>
      </c>
      <c r="Z100" s="76">
        <f t="shared" si="85"/>
        <v>0</v>
      </c>
      <c r="AA100" s="76">
        <f t="shared" si="85"/>
        <v>0</v>
      </c>
      <c r="AB100" s="76">
        <f t="shared" si="85"/>
        <v>0</v>
      </c>
      <c r="AC100" s="76">
        <f t="shared" si="85"/>
        <v>0</v>
      </c>
      <c r="AD100" s="76">
        <f t="shared" si="85"/>
        <v>0</v>
      </c>
      <c r="AE100" s="76">
        <f t="shared" si="85"/>
        <v>0</v>
      </c>
      <c r="AF100" s="76">
        <f t="shared" si="85"/>
        <v>0</v>
      </c>
      <c r="AG100" s="76">
        <f t="shared" si="85"/>
        <v>0</v>
      </c>
      <c r="AH100" s="76">
        <f t="shared" si="85"/>
        <v>0</v>
      </c>
      <c r="AI100" s="96"/>
      <c r="AJ100" s="96"/>
      <c r="AK100" s="96"/>
      <c r="AL100" s="96"/>
      <c r="AM100" s="96"/>
      <c r="AN100" s="96"/>
      <c r="AO100" s="96"/>
      <c r="AP100" s="96"/>
      <c r="AQ100" s="96"/>
      <c r="AR100" s="96"/>
      <c r="AS100" s="96"/>
      <c r="AT100" s="96"/>
      <c r="AU100" s="96"/>
      <c r="AV100" s="96"/>
      <c r="AW100" s="96"/>
      <c r="AX100" s="96"/>
      <c r="AY100" s="96"/>
      <c r="AZ100" s="96"/>
      <c r="BA100" s="96"/>
      <c r="BB100" s="96"/>
      <c r="BC100" s="96"/>
      <c r="BD100" s="96"/>
      <c r="BE100" s="96"/>
      <c r="BF100" s="96"/>
      <c r="BG100" s="96"/>
      <c r="BH100" s="96"/>
      <c r="BI100" s="96"/>
      <c r="BJ100" s="96"/>
      <c r="BK100" s="96"/>
    </row>
    <row r="101" ht="15.75" customHeight="1">
      <c r="A101" s="206">
        <f t="shared" si="67"/>
        <v>44256</v>
      </c>
      <c r="B101" s="96"/>
      <c r="C101" s="96"/>
      <c r="D101" s="96"/>
      <c r="E101" s="96"/>
      <c r="F101" s="96"/>
      <c r="G101" s="96"/>
      <c r="H101" s="96"/>
      <c r="I101" s="96"/>
      <c r="J101" s="96"/>
      <c r="K101" s="96"/>
      <c r="L101" s="96"/>
      <c r="M101" s="96"/>
      <c r="N101" s="96"/>
      <c r="O101" s="96"/>
      <c r="P101" s="96"/>
      <c r="Q101" s="96"/>
      <c r="R101" s="96"/>
      <c r="S101" s="96"/>
      <c r="T101" s="96"/>
      <c r="U101" s="96"/>
      <c r="V101" s="96"/>
      <c r="W101" s="96"/>
      <c r="X101" s="76">
        <f>SUM(X$9:X$11)/12</f>
        <v>0</v>
      </c>
      <c r="Y101" s="76">
        <f t="shared" ref="Y101:AI101" si="86">X101</f>
        <v>0</v>
      </c>
      <c r="Z101" s="76">
        <f t="shared" si="86"/>
        <v>0</v>
      </c>
      <c r="AA101" s="76">
        <f t="shared" si="86"/>
        <v>0</v>
      </c>
      <c r="AB101" s="76">
        <f t="shared" si="86"/>
        <v>0</v>
      </c>
      <c r="AC101" s="76">
        <f t="shared" si="86"/>
        <v>0</v>
      </c>
      <c r="AD101" s="76">
        <f t="shared" si="86"/>
        <v>0</v>
      </c>
      <c r="AE101" s="76">
        <f t="shared" si="86"/>
        <v>0</v>
      </c>
      <c r="AF101" s="76">
        <f t="shared" si="86"/>
        <v>0</v>
      </c>
      <c r="AG101" s="76">
        <f t="shared" si="86"/>
        <v>0</v>
      </c>
      <c r="AH101" s="76">
        <f t="shared" si="86"/>
        <v>0</v>
      </c>
      <c r="AI101" s="76">
        <f t="shared" si="86"/>
        <v>0</v>
      </c>
      <c r="AJ101" s="96"/>
      <c r="AK101" s="96"/>
      <c r="AL101" s="96"/>
      <c r="AM101" s="96"/>
      <c r="AN101" s="96"/>
      <c r="AO101" s="96"/>
      <c r="AP101" s="96"/>
      <c r="AQ101" s="96"/>
      <c r="AR101" s="96"/>
      <c r="AS101" s="96"/>
      <c r="AT101" s="96"/>
      <c r="AU101" s="96"/>
      <c r="AV101" s="96"/>
      <c r="AW101" s="96"/>
      <c r="AX101" s="96"/>
      <c r="AY101" s="96"/>
      <c r="AZ101" s="96"/>
      <c r="BA101" s="96"/>
      <c r="BB101" s="96"/>
      <c r="BC101" s="96"/>
      <c r="BD101" s="96"/>
      <c r="BE101" s="96"/>
      <c r="BF101" s="96"/>
      <c r="BG101" s="96"/>
      <c r="BH101" s="96"/>
      <c r="BI101" s="96"/>
      <c r="BJ101" s="96"/>
      <c r="BK101" s="96"/>
    </row>
    <row r="102" ht="15.75" customHeight="1">
      <c r="A102" s="206">
        <f t="shared" si="67"/>
        <v>44287</v>
      </c>
      <c r="B102" s="96"/>
      <c r="C102" s="96"/>
      <c r="D102" s="96"/>
      <c r="E102" s="96"/>
      <c r="F102" s="96"/>
      <c r="G102" s="96"/>
      <c r="H102" s="96"/>
      <c r="I102" s="96"/>
      <c r="J102" s="96"/>
      <c r="K102" s="96"/>
      <c r="L102" s="96"/>
      <c r="M102" s="96"/>
      <c r="N102" s="96"/>
      <c r="O102" s="96"/>
      <c r="P102" s="96"/>
      <c r="Q102" s="96"/>
      <c r="R102" s="96"/>
      <c r="S102" s="96"/>
      <c r="T102" s="96"/>
      <c r="U102" s="96"/>
      <c r="V102" s="96"/>
      <c r="W102" s="96"/>
      <c r="X102" s="96"/>
      <c r="Y102" s="76">
        <f>SUM(Y$9:Y$11)/12</f>
        <v>0</v>
      </c>
      <c r="Z102" s="76">
        <f t="shared" ref="Z102:AJ102" si="87">Y102</f>
        <v>0</v>
      </c>
      <c r="AA102" s="76">
        <f t="shared" si="87"/>
        <v>0</v>
      </c>
      <c r="AB102" s="76">
        <f t="shared" si="87"/>
        <v>0</v>
      </c>
      <c r="AC102" s="76">
        <f t="shared" si="87"/>
        <v>0</v>
      </c>
      <c r="AD102" s="76">
        <f t="shared" si="87"/>
        <v>0</v>
      </c>
      <c r="AE102" s="76">
        <f t="shared" si="87"/>
        <v>0</v>
      </c>
      <c r="AF102" s="76">
        <f t="shared" si="87"/>
        <v>0</v>
      </c>
      <c r="AG102" s="76">
        <f t="shared" si="87"/>
        <v>0</v>
      </c>
      <c r="AH102" s="76">
        <f t="shared" si="87"/>
        <v>0</v>
      </c>
      <c r="AI102" s="76">
        <f t="shared" si="87"/>
        <v>0</v>
      </c>
      <c r="AJ102" s="76">
        <f t="shared" si="87"/>
        <v>0</v>
      </c>
      <c r="AK102" s="96"/>
      <c r="AL102" s="96"/>
      <c r="AM102" s="96"/>
      <c r="AN102" s="96"/>
      <c r="AO102" s="96"/>
      <c r="AP102" s="96"/>
      <c r="AQ102" s="96"/>
      <c r="AR102" s="96"/>
      <c r="AS102" s="96"/>
      <c r="AT102" s="96"/>
      <c r="AU102" s="96"/>
      <c r="AV102" s="96"/>
      <c r="AW102" s="96"/>
      <c r="AX102" s="96"/>
      <c r="AY102" s="96"/>
      <c r="AZ102" s="96"/>
      <c r="BA102" s="96"/>
      <c r="BB102" s="96"/>
      <c r="BC102" s="96"/>
      <c r="BD102" s="96"/>
      <c r="BE102" s="96"/>
      <c r="BF102" s="96"/>
      <c r="BG102" s="96"/>
      <c r="BH102" s="96"/>
      <c r="BI102" s="96"/>
      <c r="BJ102" s="96"/>
      <c r="BK102" s="96"/>
    </row>
    <row r="103" ht="15.75" customHeight="1">
      <c r="A103" s="206">
        <f t="shared" si="67"/>
        <v>44317</v>
      </c>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76">
        <f>SUM(Z$9:Z$11)/12</f>
        <v>0</v>
      </c>
      <c r="AA103" s="76">
        <f t="shared" ref="AA103:AK103" si="88">Z103</f>
        <v>0</v>
      </c>
      <c r="AB103" s="76">
        <f t="shared" si="88"/>
        <v>0</v>
      </c>
      <c r="AC103" s="76">
        <f t="shared" si="88"/>
        <v>0</v>
      </c>
      <c r="AD103" s="76">
        <f t="shared" si="88"/>
        <v>0</v>
      </c>
      <c r="AE103" s="76">
        <f t="shared" si="88"/>
        <v>0</v>
      </c>
      <c r="AF103" s="76">
        <f t="shared" si="88"/>
        <v>0</v>
      </c>
      <c r="AG103" s="76">
        <f t="shared" si="88"/>
        <v>0</v>
      </c>
      <c r="AH103" s="76">
        <f t="shared" si="88"/>
        <v>0</v>
      </c>
      <c r="AI103" s="76">
        <f t="shared" si="88"/>
        <v>0</v>
      </c>
      <c r="AJ103" s="76">
        <f t="shared" si="88"/>
        <v>0</v>
      </c>
      <c r="AK103" s="76">
        <f t="shared" si="88"/>
        <v>0</v>
      </c>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6"/>
      <c r="BI103" s="96"/>
      <c r="BJ103" s="96"/>
      <c r="BK103" s="96"/>
    </row>
    <row r="104" ht="15.75" customHeight="1">
      <c r="A104" s="206">
        <f t="shared" si="67"/>
        <v>44348</v>
      </c>
      <c r="B104" s="96"/>
      <c r="C104" s="96"/>
      <c r="D104" s="96"/>
      <c r="E104" s="96"/>
      <c r="F104" s="96"/>
      <c r="G104" s="96"/>
      <c r="H104" s="96"/>
      <c r="I104" s="96"/>
      <c r="J104" s="96"/>
      <c r="K104" s="96"/>
      <c r="L104" s="96"/>
      <c r="M104" s="96"/>
      <c r="N104" s="96"/>
      <c r="O104" s="96"/>
      <c r="P104" s="96"/>
      <c r="Q104" s="96"/>
      <c r="R104" s="96"/>
      <c r="S104" s="96"/>
      <c r="T104" s="96"/>
      <c r="U104" s="96"/>
      <c r="V104" s="96"/>
      <c r="W104" s="96"/>
      <c r="X104" s="96"/>
      <c r="Y104" s="96"/>
      <c r="Z104" s="96"/>
      <c r="AA104" s="76">
        <f>SUM(AA$9:AA$11)/12</f>
        <v>0</v>
      </c>
      <c r="AB104" s="76">
        <f t="shared" ref="AB104:AL104" si="89">AA104</f>
        <v>0</v>
      </c>
      <c r="AC104" s="76">
        <f t="shared" si="89"/>
        <v>0</v>
      </c>
      <c r="AD104" s="76">
        <f t="shared" si="89"/>
        <v>0</v>
      </c>
      <c r="AE104" s="76">
        <f t="shared" si="89"/>
        <v>0</v>
      </c>
      <c r="AF104" s="76">
        <f t="shared" si="89"/>
        <v>0</v>
      </c>
      <c r="AG104" s="76">
        <f t="shared" si="89"/>
        <v>0</v>
      </c>
      <c r="AH104" s="76">
        <f t="shared" si="89"/>
        <v>0</v>
      </c>
      <c r="AI104" s="76">
        <f t="shared" si="89"/>
        <v>0</v>
      </c>
      <c r="AJ104" s="76">
        <f t="shared" si="89"/>
        <v>0</v>
      </c>
      <c r="AK104" s="76">
        <f t="shared" si="89"/>
        <v>0</v>
      </c>
      <c r="AL104" s="76">
        <f t="shared" si="89"/>
        <v>0</v>
      </c>
      <c r="AM104" s="96"/>
      <c r="AN104" s="96"/>
      <c r="AO104" s="96"/>
      <c r="AP104" s="96"/>
      <c r="AQ104" s="96"/>
      <c r="AR104" s="96"/>
      <c r="AS104" s="96"/>
      <c r="AT104" s="96"/>
      <c r="AU104" s="96"/>
      <c r="AV104" s="96"/>
      <c r="AW104" s="96"/>
      <c r="AX104" s="96"/>
      <c r="AY104" s="96"/>
      <c r="AZ104" s="96"/>
      <c r="BA104" s="96"/>
      <c r="BB104" s="96"/>
      <c r="BC104" s="96"/>
      <c r="BD104" s="96"/>
      <c r="BE104" s="96"/>
      <c r="BF104" s="96"/>
      <c r="BG104" s="96"/>
      <c r="BH104" s="96"/>
      <c r="BI104" s="96"/>
      <c r="BJ104" s="96"/>
      <c r="BK104" s="96"/>
    </row>
    <row r="105" ht="15.75" customHeight="1">
      <c r="A105" s="206">
        <f t="shared" si="67"/>
        <v>44378</v>
      </c>
      <c r="B105" s="96"/>
      <c r="C105" s="96"/>
      <c r="D105" s="96"/>
      <c r="E105" s="96"/>
      <c r="F105" s="96"/>
      <c r="G105" s="96"/>
      <c r="H105" s="96"/>
      <c r="I105" s="96"/>
      <c r="J105" s="96"/>
      <c r="K105" s="96"/>
      <c r="L105" s="96"/>
      <c r="M105" s="96"/>
      <c r="N105" s="96"/>
      <c r="O105" s="96"/>
      <c r="P105" s="96"/>
      <c r="Q105" s="96"/>
      <c r="R105" s="96"/>
      <c r="S105" s="96"/>
      <c r="T105" s="96"/>
      <c r="U105" s="96"/>
      <c r="V105" s="96"/>
      <c r="W105" s="96"/>
      <c r="X105" s="96"/>
      <c r="Y105" s="96"/>
      <c r="Z105" s="96"/>
      <c r="AA105" s="96"/>
      <c r="AB105" s="76">
        <f>SUM(AB$9:AB$11)/12</f>
        <v>0</v>
      </c>
      <c r="AC105" s="76">
        <f t="shared" ref="AC105:AM105" si="90">AB105</f>
        <v>0</v>
      </c>
      <c r="AD105" s="76">
        <f t="shared" si="90"/>
        <v>0</v>
      </c>
      <c r="AE105" s="76">
        <f t="shared" si="90"/>
        <v>0</v>
      </c>
      <c r="AF105" s="76">
        <f t="shared" si="90"/>
        <v>0</v>
      </c>
      <c r="AG105" s="76">
        <f t="shared" si="90"/>
        <v>0</v>
      </c>
      <c r="AH105" s="76">
        <f t="shared" si="90"/>
        <v>0</v>
      </c>
      <c r="AI105" s="76">
        <f t="shared" si="90"/>
        <v>0</v>
      </c>
      <c r="AJ105" s="76">
        <f t="shared" si="90"/>
        <v>0</v>
      </c>
      <c r="AK105" s="76">
        <f t="shared" si="90"/>
        <v>0</v>
      </c>
      <c r="AL105" s="76">
        <f t="shared" si="90"/>
        <v>0</v>
      </c>
      <c r="AM105" s="76">
        <f t="shared" si="90"/>
        <v>0</v>
      </c>
      <c r="AN105" s="96"/>
      <c r="AO105" s="96"/>
      <c r="AP105" s="96"/>
      <c r="AQ105" s="96"/>
      <c r="AR105" s="96"/>
      <c r="AS105" s="96"/>
      <c r="AT105" s="96"/>
      <c r="AU105" s="96"/>
      <c r="AV105" s="96"/>
      <c r="AW105" s="96"/>
      <c r="AX105" s="96"/>
      <c r="AY105" s="96"/>
      <c r="AZ105" s="96"/>
      <c r="BA105" s="96"/>
      <c r="BB105" s="96"/>
      <c r="BC105" s="96"/>
      <c r="BD105" s="96"/>
      <c r="BE105" s="96"/>
      <c r="BF105" s="96"/>
      <c r="BG105" s="96"/>
      <c r="BH105" s="96"/>
      <c r="BI105" s="96"/>
      <c r="BJ105" s="96"/>
      <c r="BK105" s="96"/>
    </row>
    <row r="106" ht="15.75" customHeight="1">
      <c r="A106" s="206">
        <f t="shared" si="67"/>
        <v>44409</v>
      </c>
      <c r="B106" s="96"/>
      <c r="C106" s="96"/>
      <c r="D106" s="96"/>
      <c r="E106" s="96"/>
      <c r="F106" s="96"/>
      <c r="G106" s="96"/>
      <c r="H106" s="96"/>
      <c r="I106" s="96"/>
      <c r="J106" s="96"/>
      <c r="K106" s="96"/>
      <c r="L106" s="96"/>
      <c r="M106" s="96"/>
      <c r="N106" s="96"/>
      <c r="O106" s="96"/>
      <c r="P106" s="96"/>
      <c r="Q106" s="96"/>
      <c r="R106" s="96"/>
      <c r="S106" s="96"/>
      <c r="T106" s="96"/>
      <c r="U106" s="96"/>
      <c r="V106" s="96"/>
      <c r="W106" s="96"/>
      <c r="X106" s="96"/>
      <c r="Y106" s="96"/>
      <c r="Z106" s="96"/>
      <c r="AA106" s="96"/>
      <c r="AB106" s="96"/>
      <c r="AC106" s="76">
        <f>SUM(AC$9:AC$11)/12</f>
        <v>0</v>
      </c>
      <c r="AD106" s="76">
        <f t="shared" ref="AD106:AN106" si="91">AC106</f>
        <v>0</v>
      </c>
      <c r="AE106" s="76">
        <f t="shared" si="91"/>
        <v>0</v>
      </c>
      <c r="AF106" s="76">
        <f t="shared" si="91"/>
        <v>0</v>
      </c>
      <c r="AG106" s="76">
        <f t="shared" si="91"/>
        <v>0</v>
      </c>
      <c r="AH106" s="76">
        <f t="shared" si="91"/>
        <v>0</v>
      </c>
      <c r="AI106" s="76">
        <f t="shared" si="91"/>
        <v>0</v>
      </c>
      <c r="AJ106" s="76">
        <f t="shared" si="91"/>
        <v>0</v>
      </c>
      <c r="AK106" s="76">
        <f t="shared" si="91"/>
        <v>0</v>
      </c>
      <c r="AL106" s="76">
        <f t="shared" si="91"/>
        <v>0</v>
      </c>
      <c r="AM106" s="76">
        <f t="shared" si="91"/>
        <v>0</v>
      </c>
      <c r="AN106" s="76">
        <f t="shared" si="91"/>
        <v>0</v>
      </c>
      <c r="AO106" s="96"/>
      <c r="AP106" s="96"/>
      <c r="AQ106" s="96"/>
      <c r="AR106" s="96"/>
      <c r="AS106" s="96"/>
      <c r="AT106" s="96"/>
      <c r="AU106" s="96"/>
      <c r="AV106" s="96"/>
      <c r="AW106" s="96"/>
      <c r="AX106" s="96"/>
      <c r="AY106" s="96"/>
      <c r="AZ106" s="96"/>
      <c r="BA106" s="96"/>
      <c r="BB106" s="96"/>
      <c r="BC106" s="96"/>
      <c r="BD106" s="96"/>
      <c r="BE106" s="96"/>
      <c r="BF106" s="96"/>
      <c r="BG106" s="96"/>
      <c r="BH106" s="96"/>
      <c r="BI106" s="96"/>
      <c r="BJ106" s="96"/>
      <c r="BK106" s="96"/>
    </row>
    <row r="107" ht="15.75" customHeight="1">
      <c r="A107" s="206">
        <f t="shared" si="67"/>
        <v>44440</v>
      </c>
      <c r="B107" s="96"/>
      <c r="C107" s="96"/>
      <c r="D107" s="96"/>
      <c r="E107" s="96"/>
      <c r="F107" s="96"/>
      <c r="G107" s="96"/>
      <c r="H107" s="96"/>
      <c r="I107" s="96"/>
      <c r="J107" s="96"/>
      <c r="K107" s="96"/>
      <c r="L107" s="96"/>
      <c r="M107" s="96"/>
      <c r="N107" s="96"/>
      <c r="O107" s="96"/>
      <c r="P107" s="96"/>
      <c r="Q107" s="96"/>
      <c r="R107" s="96"/>
      <c r="S107" s="96"/>
      <c r="T107" s="96"/>
      <c r="U107" s="96"/>
      <c r="V107" s="96"/>
      <c r="W107" s="96"/>
      <c r="X107" s="96"/>
      <c r="Y107" s="96"/>
      <c r="Z107" s="96"/>
      <c r="AA107" s="96"/>
      <c r="AB107" s="96"/>
      <c r="AC107" s="96"/>
      <c r="AD107" s="76">
        <f>SUM(AD$9:AD$11)/12</f>
        <v>0</v>
      </c>
      <c r="AE107" s="76">
        <f t="shared" ref="AE107:AO107" si="92">AD107</f>
        <v>0</v>
      </c>
      <c r="AF107" s="76">
        <f t="shared" si="92"/>
        <v>0</v>
      </c>
      <c r="AG107" s="76">
        <f t="shared" si="92"/>
        <v>0</v>
      </c>
      <c r="AH107" s="76">
        <f t="shared" si="92"/>
        <v>0</v>
      </c>
      <c r="AI107" s="76">
        <f t="shared" si="92"/>
        <v>0</v>
      </c>
      <c r="AJ107" s="76">
        <f t="shared" si="92"/>
        <v>0</v>
      </c>
      <c r="AK107" s="76">
        <f t="shared" si="92"/>
        <v>0</v>
      </c>
      <c r="AL107" s="76">
        <f t="shared" si="92"/>
        <v>0</v>
      </c>
      <c r="AM107" s="76">
        <f t="shared" si="92"/>
        <v>0</v>
      </c>
      <c r="AN107" s="76">
        <f t="shared" si="92"/>
        <v>0</v>
      </c>
      <c r="AO107" s="76">
        <f t="shared" si="92"/>
        <v>0</v>
      </c>
      <c r="AP107" s="96"/>
      <c r="AQ107" s="96"/>
      <c r="AR107" s="96"/>
      <c r="AS107" s="96"/>
      <c r="AT107" s="96"/>
      <c r="AU107" s="96"/>
      <c r="AV107" s="96"/>
      <c r="AW107" s="96"/>
      <c r="AX107" s="96"/>
      <c r="AY107" s="96"/>
      <c r="AZ107" s="96"/>
      <c r="BA107" s="96"/>
      <c r="BB107" s="96"/>
      <c r="BC107" s="96"/>
      <c r="BD107" s="96"/>
      <c r="BE107" s="96"/>
      <c r="BF107" s="96"/>
      <c r="BG107" s="96"/>
      <c r="BH107" s="96"/>
      <c r="BI107" s="96"/>
      <c r="BJ107" s="96"/>
      <c r="BK107" s="96"/>
    </row>
    <row r="108" ht="15.75" customHeight="1">
      <c r="A108" s="206">
        <f t="shared" si="67"/>
        <v>44470</v>
      </c>
      <c r="B108" s="96"/>
      <c r="C108" s="96"/>
      <c r="D108" s="96"/>
      <c r="E108" s="96"/>
      <c r="F108" s="96"/>
      <c r="G108" s="96"/>
      <c r="H108" s="96"/>
      <c r="I108" s="96"/>
      <c r="J108" s="96"/>
      <c r="K108" s="96"/>
      <c r="L108" s="96"/>
      <c r="M108" s="96"/>
      <c r="N108" s="96"/>
      <c r="O108" s="96"/>
      <c r="P108" s="96"/>
      <c r="Q108" s="96"/>
      <c r="R108" s="96"/>
      <c r="S108" s="96"/>
      <c r="T108" s="96"/>
      <c r="U108" s="96"/>
      <c r="V108" s="96"/>
      <c r="W108" s="96"/>
      <c r="X108" s="96"/>
      <c r="Y108" s="96"/>
      <c r="Z108" s="96"/>
      <c r="AA108" s="96"/>
      <c r="AB108" s="96"/>
      <c r="AC108" s="96"/>
      <c r="AD108" s="96"/>
      <c r="AE108" s="76">
        <f>SUM(AE$9:AE$11)/12</f>
        <v>0</v>
      </c>
      <c r="AF108" s="76">
        <f t="shared" ref="AF108:AP108" si="93">AE108</f>
        <v>0</v>
      </c>
      <c r="AG108" s="76">
        <f t="shared" si="93"/>
        <v>0</v>
      </c>
      <c r="AH108" s="76">
        <f t="shared" si="93"/>
        <v>0</v>
      </c>
      <c r="AI108" s="76">
        <f t="shared" si="93"/>
        <v>0</v>
      </c>
      <c r="AJ108" s="76">
        <f t="shared" si="93"/>
        <v>0</v>
      </c>
      <c r="AK108" s="76">
        <f t="shared" si="93"/>
        <v>0</v>
      </c>
      <c r="AL108" s="76">
        <f t="shared" si="93"/>
        <v>0</v>
      </c>
      <c r="AM108" s="76">
        <f t="shared" si="93"/>
        <v>0</v>
      </c>
      <c r="AN108" s="76">
        <f t="shared" si="93"/>
        <v>0</v>
      </c>
      <c r="AO108" s="76">
        <f t="shared" si="93"/>
        <v>0</v>
      </c>
      <c r="AP108" s="76">
        <f t="shared" si="93"/>
        <v>0</v>
      </c>
      <c r="AQ108" s="96"/>
      <c r="AR108" s="96"/>
      <c r="AS108" s="96"/>
      <c r="AT108" s="96"/>
      <c r="AU108" s="96"/>
      <c r="AV108" s="96"/>
      <c r="AW108" s="96"/>
      <c r="AX108" s="96"/>
      <c r="AY108" s="96"/>
      <c r="AZ108" s="96"/>
      <c r="BA108" s="96"/>
      <c r="BB108" s="96"/>
      <c r="BC108" s="96"/>
      <c r="BD108" s="96"/>
      <c r="BE108" s="96"/>
      <c r="BF108" s="96"/>
      <c r="BG108" s="96"/>
      <c r="BH108" s="96"/>
      <c r="BI108" s="96"/>
      <c r="BJ108" s="96"/>
      <c r="BK108" s="96"/>
    </row>
    <row r="109" ht="15.75" customHeight="1">
      <c r="A109" s="206">
        <f t="shared" si="67"/>
        <v>44501</v>
      </c>
      <c r="B109" s="96"/>
      <c r="C109" s="96"/>
      <c r="D109" s="96"/>
      <c r="E109" s="96"/>
      <c r="F109" s="96"/>
      <c r="G109" s="96"/>
      <c r="H109" s="96"/>
      <c r="I109" s="96"/>
      <c r="J109" s="96"/>
      <c r="K109" s="96"/>
      <c r="L109" s="96"/>
      <c r="M109" s="96"/>
      <c r="N109" s="96"/>
      <c r="O109" s="96"/>
      <c r="P109" s="96"/>
      <c r="Q109" s="96"/>
      <c r="R109" s="96"/>
      <c r="S109" s="96"/>
      <c r="T109" s="96"/>
      <c r="U109" s="96"/>
      <c r="V109" s="96"/>
      <c r="W109" s="96"/>
      <c r="X109" s="96"/>
      <c r="Y109" s="96"/>
      <c r="Z109" s="96"/>
      <c r="AA109" s="96"/>
      <c r="AB109" s="96"/>
      <c r="AC109" s="96"/>
      <c r="AD109" s="96"/>
      <c r="AE109" s="96"/>
      <c r="AF109" s="76">
        <f>SUM(AF$9:AF$11)/12</f>
        <v>0</v>
      </c>
      <c r="AG109" s="76">
        <f t="shared" ref="AG109:AQ109" si="94">AF109</f>
        <v>0</v>
      </c>
      <c r="AH109" s="76">
        <f t="shared" si="94"/>
        <v>0</v>
      </c>
      <c r="AI109" s="76">
        <f t="shared" si="94"/>
        <v>0</v>
      </c>
      <c r="AJ109" s="76">
        <f t="shared" si="94"/>
        <v>0</v>
      </c>
      <c r="AK109" s="76">
        <f t="shared" si="94"/>
        <v>0</v>
      </c>
      <c r="AL109" s="76">
        <f t="shared" si="94"/>
        <v>0</v>
      </c>
      <c r="AM109" s="76">
        <f t="shared" si="94"/>
        <v>0</v>
      </c>
      <c r="AN109" s="76">
        <f t="shared" si="94"/>
        <v>0</v>
      </c>
      <c r="AO109" s="76">
        <f t="shared" si="94"/>
        <v>0</v>
      </c>
      <c r="AP109" s="76">
        <f t="shared" si="94"/>
        <v>0</v>
      </c>
      <c r="AQ109" s="76">
        <f t="shared" si="94"/>
        <v>0</v>
      </c>
      <c r="AR109" s="96"/>
      <c r="AS109" s="96"/>
      <c r="AT109" s="96"/>
      <c r="AU109" s="96"/>
      <c r="AV109" s="96"/>
      <c r="AW109" s="96"/>
      <c r="AX109" s="96"/>
      <c r="AY109" s="96"/>
      <c r="AZ109" s="96"/>
      <c r="BA109" s="96"/>
      <c r="BB109" s="96"/>
      <c r="BC109" s="96"/>
      <c r="BD109" s="96"/>
      <c r="BE109" s="96"/>
      <c r="BF109" s="96"/>
      <c r="BG109" s="96"/>
      <c r="BH109" s="96"/>
      <c r="BI109" s="96"/>
      <c r="BJ109" s="96"/>
      <c r="BK109" s="96"/>
    </row>
    <row r="110" ht="15.75" customHeight="1">
      <c r="A110" s="206">
        <f t="shared" si="67"/>
        <v>44531</v>
      </c>
      <c r="B110" s="96"/>
      <c r="C110" s="96"/>
      <c r="D110" s="96"/>
      <c r="E110" s="96"/>
      <c r="F110" s="96"/>
      <c r="G110" s="96"/>
      <c r="H110" s="96"/>
      <c r="I110" s="96"/>
      <c r="J110" s="96"/>
      <c r="K110" s="96"/>
      <c r="L110" s="96"/>
      <c r="M110" s="96"/>
      <c r="N110" s="96"/>
      <c r="O110" s="96"/>
      <c r="P110" s="96"/>
      <c r="Q110" s="96"/>
      <c r="R110" s="96"/>
      <c r="S110" s="96"/>
      <c r="T110" s="96"/>
      <c r="U110" s="96"/>
      <c r="V110" s="96"/>
      <c r="W110" s="96"/>
      <c r="X110" s="96"/>
      <c r="Y110" s="96"/>
      <c r="Z110" s="96"/>
      <c r="AA110" s="96"/>
      <c r="AB110" s="96"/>
      <c r="AC110" s="96"/>
      <c r="AD110" s="96"/>
      <c r="AE110" s="96"/>
      <c r="AF110" s="96"/>
      <c r="AG110" s="76">
        <f>SUM(AG$9:AG$11)/12</f>
        <v>0</v>
      </c>
      <c r="AH110" s="76">
        <f t="shared" ref="AH110:AR110" si="95">AG110</f>
        <v>0</v>
      </c>
      <c r="AI110" s="76">
        <f t="shared" si="95"/>
        <v>0</v>
      </c>
      <c r="AJ110" s="76">
        <f t="shared" si="95"/>
        <v>0</v>
      </c>
      <c r="AK110" s="76">
        <f t="shared" si="95"/>
        <v>0</v>
      </c>
      <c r="AL110" s="76">
        <f t="shared" si="95"/>
        <v>0</v>
      </c>
      <c r="AM110" s="76">
        <f t="shared" si="95"/>
        <v>0</v>
      </c>
      <c r="AN110" s="76">
        <f t="shared" si="95"/>
        <v>0</v>
      </c>
      <c r="AO110" s="76">
        <f t="shared" si="95"/>
        <v>0</v>
      </c>
      <c r="AP110" s="76">
        <f t="shared" si="95"/>
        <v>0</v>
      </c>
      <c r="AQ110" s="76">
        <f t="shared" si="95"/>
        <v>0</v>
      </c>
      <c r="AR110" s="76">
        <f t="shared" si="95"/>
        <v>0</v>
      </c>
      <c r="AS110" s="96"/>
      <c r="AT110" s="96"/>
      <c r="AU110" s="96"/>
      <c r="AV110" s="96"/>
      <c r="AW110" s="96"/>
      <c r="AX110" s="96"/>
      <c r="AY110" s="96"/>
      <c r="AZ110" s="96"/>
      <c r="BA110" s="96"/>
      <c r="BB110" s="96"/>
      <c r="BC110" s="96"/>
      <c r="BD110" s="96"/>
      <c r="BE110" s="96"/>
      <c r="BF110" s="96"/>
      <c r="BG110" s="96"/>
      <c r="BH110" s="96"/>
      <c r="BI110" s="96"/>
      <c r="BJ110" s="96"/>
      <c r="BK110" s="96"/>
    </row>
    <row r="111" ht="15.75" customHeight="1">
      <c r="A111" s="206">
        <f t="shared" si="67"/>
        <v>44562</v>
      </c>
      <c r="B111" s="96"/>
      <c r="C111" s="96"/>
      <c r="D111" s="96"/>
      <c r="E111" s="96"/>
      <c r="F111" s="96"/>
      <c r="G111" s="96"/>
      <c r="H111" s="96"/>
      <c r="I111" s="96"/>
      <c r="J111" s="96"/>
      <c r="K111" s="96"/>
      <c r="L111" s="96"/>
      <c r="M111" s="96"/>
      <c r="N111" s="96"/>
      <c r="O111" s="96"/>
      <c r="P111" s="96"/>
      <c r="Q111" s="96"/>
      <c r="R111" s="96"/>
      <c r="S111" s="96"/>
      <c r="T111" s="96"/>
      <c r="U111" s="96"/>
      <c r="V111" s="96"/>
      <c r="W111" s="96"/>
      <c r="X111" s="96"/>
      <c r="Y111" s="96"/>
      <c r="Z111" s="96"/>
      <c r="AA111" s="96"/>
      <c r="AB111" s="96"/>
      <c r="AC111" s="96"/>
      <c r="AD111" s="96"/>
      <c r="AE111" s="96"/>
      <c r="AF111" s="96"/>
      <c r="AG111" s="96"/>
      <c r="AH111" s="76">
        <f>SUM(AH$9:AH$11)/12</f>
        <v>0</v>
      </c>
      <c r="AI111" s="76">
        <f t="shared" ref="AI111:AS111" si="96">AH111</f>
        <v>0</v>
      </c>
      <c r="AJ111" s="76">
        <f t="shared" si="96"/>
        <v>0</v>
      </c>
      <c r="AK111" s="76">
        <f t="shared" si="96"/>
        <v>0</v>
      </c>
      <c r="AL111" s="76">
        <f t="shared" si="96"/>
        <v>0</v>
      </c>
      <c r="AM111" s="76">
        <f t="shared" si="96"/>
        <v>0</v>
      </c>
      <c r="AN111" s="76">
        <f t="shared" si="96"/>
        <v>0</v>
      </c>
      <c r="AO111" s="76">
        <f t="shared" si="96"/>
        <v>0</v>
      </c>
      <c r="AP111" s="76">
        <f t="shared" si="96"/>
        <v>0</v>
      </c>
      <c r="AQ111" s="76">
        <f t="shared" si="96"/>
        <v>0</v>
      </c>
      <c r="AR111" s="76">
        <f t="shared" si="96"/>
        <v>0</v>
      </c>
      <c r="AS111" s="76">
        <f t="shared" si="96"/>
        <v>0</v>
      </c>
      <c r="AT111" s="96"/>
      <c r="AU111" s="96"/>
      <c r="AV111" s="96"/>
      <c r="AW111" s="96"/>
      <c r="AX111" s="96"/>
      <c r="AY111" s="96"/>
      <c r="AZ111" s="96"/>
      <c r="BA111" s="96"/>
      <c r="BB111" s="96"/>
      <c r="BC111" s="96"/>
      <c r="BD111" s="96"/>
      <c r="BE111" s="96"/>
      <c r="BF111" s="96"/>
      <c r="BG111" s="96"/>
      <c r="BH111" s="96"/>
      <c r="BI111" s="96"/>
      <c r="BJ111" s="96"/>
      <c r="BK111" s="96"/>
    </row>
    <row r="112" ht="15.75" customHeight="1">
      <c r="A112" s="206">
        <f t="shared" si="67"/>
        <v>44593</v>
      </c>
      <c r="B112" s="96"/>
      <c r="C112" s="96"/>
      <c r="D112" s="96"/>
      <c r="E112" s="96"/>
      <c r="F112" s="96"/>
      <c r="G112" s="96"/>
      <c r="H112" s="96"/>
      <c r="I112" s="96"/>
      <c r="J112" s="96"/>
      <c r="K112" s="96"/>
      <c r="L112" s="96"/>
      <c r="M112" s="96"/>
      <c r="N112" s="96"/>
      <c r="O112" s="96"/>
      <c r="P112" s="96"/>
      <c r="Q112" s="96"/>
      <c r="R112" s="96"/>
      <c r="S112" s="96"/>
      <c r="T112" s="96"/>
      <c r="U112" s="96"/>
      <c r="V112" s="96"/>
      <c r="W112" s="96"/>
      <c r="X112" s="96"/>
      <c r="Y112" s="96"/>
      <c r="Z112" s="96"/>
      <c r="AA112" s="96"/>
      <c r="AB112" s="96"/>
      <c r="AC112" s="96"/>
      <c r="AD112" s="96"/>
      <c r="AE112" s="96"/>
      <c r="AF112" s="96"/>
      <c r="AG112" s="96"/>
      <c r="AH112" s="96"/>
      <c r="AI112" s="76">
        <f>SUM(AI$9:AI$11)/12</f>
        <v>0</v>
      </c>
      <c r="AJ112" s="76">
        <f t="shared" ref="AJ112:AT112" si="97">AI112</f>
        <v>0</v>
      </c>
      <c r="AK112" s="76">
        <f t="shared" si="97"/>
        <v>0</v>
      </c>
      <c r="AL112" s="76">
        <f t="shared" si="97"/>
        <v>0</v>
      </c>
      <c r="AM112" s="76">
        <f t="shared" si="97"/>
        <v>0</v>
      </c>
      <c r="AN112" s="76">
        <f t="shared" si="97"/>
        <v>0</v>
      </c>
      <c r="AO112" s="76">
        <f t="shared" si="97"/>
        <v>0</v>
      </c>
      <c r="AP112" s="76">
        <f t="shared" si="97"/>
        <v>0</v>
      </c>
      <c r="AQ112" s="76">
        <f t="shared" si="97"/>
        <v>0</v>
      </c>
      <c r="AR112" s="76">
        <f t="shared" si="97"/>
        <v>0</v>
      </c>
      <c r="AS112" s="76">
        <f t="shared" si="97"/>
        <v>0</v>
      </c>
      <c r="AT112" s="76">
        <f t="shared" si="97"/>
        <v>0</v>
      </c>
      <c r="AU112" s="96"/>
      <c r="AV112" s="96"/>
      <c r="AW112" s="96"/>
      <c r="AX112" s="96"/>
      <c r="AY112" s="96"/>
      <c r="AZ112" s="96"/>
      <c r="BA112" s="96"/>
      <c r="BB112" s="96"/>
      <c r="BC112" s="96"/>
      <c r="BD112" s="96"/>
      <c r="BE112" s="96"/>
      <c r="BF112" s="96"/>
      <c r="BG112" s="96"/>
      <c r="BH112" s="96"/>
      <c r="BI112" s="96"/>
      <c r="BJ112" s="96"/>
      <c r="BK112" s="96"/>
    </row>
    <row r="113" ht="15.75" customHeight="1">
      <c r="A113" s="206">
        <f t="shared" si="67"/>
        <v>44621</v>
      </c>
      <c r="B113" s="96"/>
      <c r="C113" s="96"/>
      <c r="D113" s="96"/>
      <c r="E113" s="96"/>
      <c r="F113" s="96"/>
      <c r="G113" s="96"/>
      <c r="H113" s="96"/>
      <c r="I113" s="96"/>
      <c r="J113" s="96"/>
      <c r="K113" s="96"/>
      <c r="L113" s="96"/>
      <c r="M113" s="96"/>
      <c r="N113" s="96"/>
      <c r="O113" s="96"/>
      <c r="P113" s="96"/>
      <c r="Q113" s="96"/>
      <c r="R113" s="96"/>
      <c r="S113" s="96"/>
      <c r="T113" s="96"/>
      <c r="U113" s="96"/>
      <c r="V113" s="96"/>
      <c r="W113" s="96"/>
      <c r="X113" s="96"/>
      <c r="Y113" s="96"/>
      <c r="Z113" s="96"/>
      <c r="AA113" s="96"/>
      <c r="AB113" s="96"/>
      <c r="AC113" s="96"/>
      <c r="AD113" s="96"/>
      <c r="AE113" s="96"/>
      <c r="AF113" s="96"/>
      <c r="AG113" s="96"/>
      <c r="AH113" s="96"/>
      <c r="AI113" s="96"/>
      <c r="AJ113" s="76">
        <f>SUM(AJ$9:AJ$11)/12</f>
        <v>0</v>
      </c>
      <c r="AK113" s="76">
        <f t="shared" ref="AK113:AU113" si="98">AJ113</f>
        <v>0</v>
      </c>
      <c r="AL113" s="76">
        <f t="shared" si="98"/>
        <v>0</v>
      </c>
      <c r="AM113" s="76">
        <f t="shared" si="98"/>
        <v>0</v>
      </c>
      <c r="AN113" s="76">
        <f t="shared" si="98"/>
        <v>0</v>
      </c>
      <c r="AO113" s="76">
        <f t="shared" si="98"/>
        <v>0</v>
      </c>
      <c r="AP113" s="76">
        <f t="shared" si="98"/>
        <v>0</v>
      </c>
      <c r="AQ113" s="76">
        <f t="shared" si="98"/>
        <v>0</v>
      </c>
      <c r="AR113" s="76">
        <f t="shared" si="98"/>
        <v>0</v>
      </c>
      <c r="AS113" s="76">
        <f t="shared" si="98"/>
        <v>0</v>
      </c>
      <c r="AT113" s="76">
        <f t="shared" si="98"/>
        <v>0</v>
      </c>
      <c r="AU113" s="76">
        <f t="shared" si="98"/>
        <v>0</v>
      </c>
      <c r="AV113" s="96"/>
      <c r="AW113" s="96"/>
      <c r="AX113" s="96"/>
      <c r="AY113" s="96"/>
      <c r="AZ113" s="96"/>
      <c r="BA113" s="96"/>
      <c r="BB113" s="96"/>
      <c r="BC113" s="96"/>
      <c r="BD113" s="96"/>
      <c r="BE113" s="96"/>
      <c r="BF113" s="96"/>
      <c r="BG113" s="96"/>
      <c r="BH113" s="96"/>
      <c r="BI113" s="96"/>
      <c r="BJ113" s="96"/>
      <c r="BK113" s="96"/>
    </row>
    <row r="114" ht="15.75" customHeight="1">
      <c r="A114" s="206">
        <f t="shared" si="67"/>
        <v>44652</v>
      </c>
      <c r="B114" s="96"/>
      <c r="C114" s="96"/>
      <c r="D114" s="96"/>
      <c r="E114" s="96"/>
      <c r="F114" s="96"/>
      <c r="G114" s="96"/>
      <c r="H114" s="96"/>
      <c r="I114" s="96"/>
      <c r="J114" s="96"/>
      <c r="K114" s="96"/>
      <c r="L114" s="96"/>
      <c r="M114" s="96"/>
      <c r="N114" s="96"/>
      <c r="O114" s="96"/>
      <c r="P114" s="96"/>
      <c r="Q114" s="96"/>
      <c r="R114" s="96"/>
      <c r="S114" s="96"/>
      <c r="T114" s="96"/>
      <c r="U114" s="96"/>
      <c r="V114" s="96"/>
      <c r="W114" s="96"/>
      <c r="X114" s="96"/>
      <c r="Y114" s="96"/>
      <c r="Z114" s="96"/>
      <c r="AA114" s="96"/>
      <c r="AB114" s="96"/>
      <c r="AC114" s="96"/>
      <c r="AD114" s="96"/>
      <c r="AE114" s="96"/>
      <c r="AF114" s="96"/>
      <c r="AG114" s="96"/>
      <c r="AH114" s="96"/>
      <c r="AI114" s="96"/>
      <c r="AJ114" s="96"/>
      <c r="AK114" s="76">
        <f>SUM(AK$9:AK$11)/12</f>
        <v>0</v>
      </c>
      <c r="AL114" s="76">
        <f t="shared" ref="AL114:AV114" si="99">AK114</f>
        <v>0</v>
      </c>
      <c r="AM114" s="76">
        <f t="shared" si="99"/>
        <v>0</v>
      </c>
      <c r="AN114" s="76">
        <f t="shared" si="99"/>
        <v>0</v>
      </c>
      <c r="AO114" s="76">
        <f t="shared" si="99"/>
        <v>0</v>
      </c>
      <c r="AP114" s="76">
        <f t="shared" si="99"/>
        <v>0</v>
      </c>
      <c r="AQ114" s="76">
        <f t="shared" si="99"/>
        <v>0</v>
      </c>
      <c r="AR114" s="76">
        <f t="shared" si="99"/>
        <v>0</v>
      </c>
      <c r="AS114" s="76">
        <f t="shared" si="99"/>
        <v>0</v>
      </c>
      <c r="AT114" s="76">
        <f t="shared" si="99"/>
        <v>0</v>
      </c>
      <c r="AU114" s="76">
        <f t="shared" si="99"/>
        <v>0</v>
      </c>
      <c r="AV114" s="76">
        <f t="shared" si="99"/>
        <v>0</v>
      </c>
      <c r="AW114" s="96"/>
      <c r="AX114" s="96"/>
      <c r="AY114" s="96"/>
      <c r="AZ114" s="96"/>
      <c r="BA114" s="96"/>
      <c r="BB114" s="96"/>
      <c r="BC114" s="96"/>
      <c r="BD114" s="96"/>
      <c r="BE114" s="96"/>
      <c r="BF114" s="96"/>
      <c r="BG114" s="96"/>
      <c r="BH114" s="96"/>
      <c r="BI114" s="96"/>
      <c r="BJ114" s="96"/>
      <c r="BK114" s="96"/>
    </row>
    <row r="115" ht="15.75" customHeight="1">
      <c r="A115" s="206">
        <f t="shared" si="67"/>
        <v>44682</v>
      </c>
      <c r="B115" s="96"/>
      <c r="C115" s="96"/>
      <c r="D115" s="96"/>
      <c r="E115" s="96"/>
      <c r="F115" s="96"/>
      <c r="G115" s="96"/>
      <c r="H115" s="96"/>
      <c r="I115" s="96"/>
      <c r="J115" s="96"/>
      <c r="K115" s="96"/>
      <c r="L115" s="96"/>
      <c r="M115" s="96"/>
      <c r="N115" s="96"/>
      <c r="O115" s="96"/>
      <c r="P115" s="96"/>
      <c r="Q115" s="96"/>
      <c r="R115" s="96"/>
      <c r="S115" s="96"/>
      <c r="T115" s="96"/>
      <c r="U115" s="96"/>
      <c r="V115" s="96"/>
      <c r="W115" s="96"/>
      <c r="X115" s="96"/>
      <c r="Y115" s="96"/>
      <c r="Z115" s="96"/>
      <c r="AA115" s="96"/>
      <c r="AB115" s="96"/>
      <c r="AC115" s="96"/>
      <c r="AD115" s="96"/>
      <c r="AE115" s="96"/>
      <c r="AF115" s="96"/>
      <c r="AG115" s="96"/>
      <c r="AH115" s="96"/>
      <c r="AI115" s="96"/>
      <c r="AJ115" s="96"/>
      <c r="AK115" s="96"/>
      <c r="AL115" s="76">
        <f>SUM(AL$9:AL$11)/12</f>
        <v>0</v>
      </c>
      <c r="AM115" s="76">
        <f t="shared" ref="AM115:AW115" si="100">AL115</f>
        <v>0</v>
      </c>
      <c r="AN115" s="76">
        <f t="shared" si="100"/>
        <v>0</v>
      </c>
      <c r="AO115" s="76">
        <f t="shared" si="100"/>
        <v>0</v>
      </c>
      <c r="AP115" s="76">
        <f t="shared" si="100"/>
        <v>0</v>
      </c>
      <c r="AQ115" s="76">
        <f t="shared" si="100"/>
        <v>0</v>
      </c>
      <c r="AR115" s="76">
        <f t="shared" si="100"/>
        <v>0</v>
      </c>
      <c r="AS115" s="76">
        <f t="shared" si="100"/>
        <v>0</v>
      </c>
      <c r="AT115" s="76">
        <f t="shared" si="100"/>
        <v>0</v>
      </c>
      <c r="AU115" s="76">
        <f t="shared" si="100"/>
        <v>0</v>
      </c>
      <c r="AV115" s="76">
        <f t="shared" si="100"/>
        <v>0</v>
      </c>
      <c r="AW115" s="76">
        <f t="shared" si="100"/>
        <v>0</v>
      </c>
      <c r="AX115" s="96"/>
      <c r="AY115" s="96"/>
      <c r="AZ115" s="96"/>
      <c r="BA115" s="96"/>
      <c r="BB115" s="96"/>
      <c r="BC115" s="96"/>
      <c r="BD115" s="96"/>
      <c r="BE115" s="96"/>
      <c r="BF115" s="96"/>
      <c r="BG115" s="96"/>
      <c r="BH115" s="96"/>
      <c r="BI115" s="96"/>
      <c r="BJ115" s="96"/>
      <c r="BK115" s="96"/>
    </row>
    <row r="116" ht="15.75" customHeight="1">
      <c r="A116" s="206">
        <f t="shared" si="67"/>
        <v>44713</v>
      </c>
      <c r="B116" s="96"/>
      <c r="C116" s="96"/>
      <c r="D116" s="96"/>
      <c r="E116" s="96"/>
      <c r="F116" s="96"/>
      <c r="G116" s="96"/>
      <c r="H116" s="96"/>
      <c r="I116" s="96"/>
      <c r="J116" s="96"/>
      <c r="K116" s="96"/>
      <c r="L116" s="96"/>
      <c r="M116" s="96"/>
      <c r="N116" s="96"/>
      <c r="O116" s="96"/>
      <c r="P116" s="96"/>
      <c r="Q116" s="96"/>
      <c r="R116" s="96"/>
      <c r="S116" s="96"/>
      <c r="T116" s="96"/>
      <c r="U116" s="96"/>
      <c r="V116" s="96"/>
      <c r="W116" s="96"/>
      <c r="X116" s="96"/>
      <c r="Y116" s="96"/>
      <c r="Z116" s="96"/>
      <c r="AA116" s="96"/>
      <c r="AB116" s="96"/>
      <c r="AC116" s="96"/>
      <c r="AD116" s="96"/>
      <c r="AE116" s="96"/>
      <c r="AF116" s="96"/>
      <c r="AG116" s="96"/>
      <c r="AH116" s="96"/>
      <c r="AI116" s="96"/>
      <c r="AJ116" s="96"/>
      <c r="AK116" s="96"/>
      <c r="AL116" s="96"/>
      <c r="AM116" s="76">
        <f>SUM(AM$9:AM$11)/12</f>
        <v>0</v>
      </c>
      <c r="AN116" s="76">
        <f t="shared" ref="AN116:AX116" si="101">AM116</f>
        <v>0</v>
      </c>
      <c r="AO116" s="76">
        <f t="shared" si="101"/>
        <v>0</v>
      </c>
      <c r="AP116" s="76">
        <f t="shared" si="101"/>
        <v>0</v>
      </c>
      <c r="AQ116" s="76">
        <f t="shared" si="101"/>
        <v>0</v>
      </c>
      <c r="AR116" s="76">
        <f t="shared" si="101"/>
        <v>0</v>
      </c>
      <c r="AS116" s="76">
        <f t="shared" si="101"/>
        <v>0</v>
      </c>
      <c r="AT116" s="76">
        <f t="shared" si="101"/>
        <v>0</v>
      </c>
      <c r="AU116" s="76">
        <f t="shared" si="101"/>
        <v>0</v>
      </c>
      <c r="AV116" s="76">
        <f t="shared" si="101"/>
        <v>0</v>
      </c>
      <c r="AW116" s="76">
        <f t="shared" si="101"/>
        <v>0</v>
      </c>
      <c r="AX116" s="76">
        <f t="shared" si="101"/>
        <v>0</v>
      </c>
      <c r="AY116" s="96"/>
      <c r="AZ116" s="96"/>
      <c r="BA116" s="96"/>
      <c r="BB116" s="96"/>
      <c r="BC116" s="96"/>
      <c r="BD116" s="96"/>
      <c r="BE116" s="96"/>
      <c r="BF116" s="96"/>
      <c r="BG116" s="96"/>
      <c r="BH116" s="96"/>
      <c r="BI116" s="96"/>
      <c r="BJ116" s="96"/>
      <c r="BK116" s="96"/>
    </row>
    <row r="117" ht="15.75" customHeight="1">
      <c r="A117" s="206">
        <f t="shared" si="67"/>
        <v>44743</v>
      </c>
      <c r="B117" s="96"/>
      <c r="C117" s="96"/>
      <c r="D117" s="96"/>
      <c r="E117" s="96"/>
      <c r="F117" s="96"/>
      <c r="G117" s="96"/>
      <c r="H117" s="96"/>
      <c r="I117" s="96"/>
      <c r="J117" s="96"/>
      <c r="K117" s="96"/>
      <c r="L117" s="96"/>
      <c r="M117" s="96"/>
      <c r="N117" s="96"/>
      <c r="O117" s="96"/>
      <c r="P117" s="96"/>
      <c r="Q117" s="96"/>
      <c r="R117" s="96"/>
      <c r="S117" s="96"/>
      <c r="T117" s="96"/>
      <c r="U117" s="96"/>
      <c r="V117" s="96"/>
      <c r="W117" s="96"/>
      <c r="X117" s="96"/>
      <c r="Y117" s="96"/>
      <c r="Z117" s="96"/>
      <c r="AA117" s="96"/>
      <c r="AB117" s="96"/>
      <c r="AC117" s="96"/>
      <c r="AD117" s="96"/>
      <c r="AE117" s="96"/>
      <c r="AF117" s="96"/>
      <c r="AG117" s="96"/>
      <c r="AH117" s="96"/>
      <c r="AI117" s="96"/>
      <c r="AJ117" s="96"/>
      <c r="AK117" s="96"/>
      <c r="AL117" s="96"/>
      <c r="AM117" s="96"/>
      <c r="AN117" s="76">
        <f>SUM(AN$9:AN$11)/12</f>
        <v>0</v>
      </c>
      <c r="AO117" s="76">
        <f t="shared" ref="AO117:AY117" si="102">AN117</f>
        <v>0</v>
      </c>
      <c r="AP117" s="76">
        <f t="shared" si="102"/>
        <v>0</v>
      </c>
      <c r="AQ117" s="76">
        <f t="shared" si="102"/>
        <v>0</v>
      </c>
      <c r="AR117" s="76">
        <f t="shared" si="102"/>
        <v>0</v>
      </c>
      <c r="AS117" s="76">
        <f t="shared" si="102"/>
        <v>0</v>
      </c>
      <c r="AT117" s="76">
        <f t="shared" si="102"/>
        <v>0</v>
      </c>
      <c r="AU117" s="76">
        <f t="shared" si="102"/>
        <v>0</v>
      </c>
      <c r="AV117" s="76">
        <f t="shared" si="102"/>
        <v>0</v>
      </c>
      <c r="AW117" s="76">
        <f t="shared" si="102"/>
        <v>0</v>
      </c>
      <c r="AX117" s="76">
        <f t="shared" si="102"/>
        <v>0</v>
      </c>
      <c r="AY117" s="76">
        <f t="shared" si="102"/>
        <v>0</v>
      </c>
      <c r="AZ117" s="96"/>
      <c r="BA117" s="96"/>
      <c r="BB117" s="96"/>
      <c r="BC117" s="96"/>
      <c r="BD117" s="96"/>
      <c r="BE117" s="96"/>
      <c r="BF117" s="96"/>
      <c r="BG117" s="96"/>
      <c r="BH117" s="96"/>
      <c r="BI117" s="96"/>
      <c r="BJ117" s="96"/>
      <c r="BK117" s="96"/>
    </row>
    <row r="118" ht="15.75" customHeight="1">
      <c r="A118" s="206">
        <f t="shared" si="67"/>
        <v>44774</v>
      </c>
      <c r="B118" s="96"/>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c r="AG118" s="96"/>
      <c r="AH118" s="96"/>
      <c r="AI118" s="96"/>
      <c r="AJ118" s="96"/>
      <c r="AK118" s="96"/>
      <c r="AL118" s="96"/>
      <c r="AM118" s="96"/>
      <c r="AN118" s="96"/>
      <c r="AO118" s="76">
        <f>SUM(AO$9:AO$11)/12</f>
        <v>0</v>
      </c>
      <c r="AP118" s="76">
        <f t="shared" ref="AP118:AZ118" si="103">AO118</f>
        <v>0</v>
      </c>
      <c r="AQ118" s="76">
        <f t="shared" si="103"/>
        <v>0</v>
      </c>
      <c r="AR118" s="76">
        <f t="shared" si="103"/>
        <v>0</v>
      </c>
      <c r="AS118" s="76">
        <f t="shared" si="103"/>
        <v>0</v>
      </c>
      <c r="AT118" s="76">
        <f t="shared" si="103"/>
        <v>0</v>
      </c>
      <c r="AU118" s="76">
        <f t="shared" si="103"/>
        <v>0</v>
      </c>
      <c r="AV118" s="76">
        <f t="shared" si="103"/>
        <v>0</v>
      </c>
      <c r="AW118" s="76">
        <f t="shared" si="103"/>
        <v>0</v>
      </c>
      <c r="AX118" s="76">
        <f t="shared" si="103"/>
        <v>0</v>
      </c>
      <c r="AY118" s="76">
        <f t="shared" si="103"/>
        <v>0</v>
      </c>
      <c r="AZ118" s="76">
        <f t="shared" si="103"/>
        <v>0</v>
      </c>
      <c r="BA118" s="96"/>
      <c r="BB118" s="96"/>
      <c r="BC118" s="96"/>
      <c r="BD118" s="96"/>
      <c r="BE118" s="96"/>
      <c r="BF118" s="96"/>
      <c r="BG118" s="96"/>
      <c r="BH118" s="96"/>
      <c r="BI118" s="96"/>
      <c r="BJ118" s="96"/>
      <c r="BK118" s="96"/>
    </row>
    <row r="119" ht="15.75" customHeight="1">
      <c r="A119" s="206">
        <f t="shared" si="67"/>
        <v>44805</v>
      </c>
      <c r="B119" s="96"/>
      <c r="C119" s="96"/>
      <c r="D119" s="96"/>
      <c r="E119" s="96"/>
      <c r="F119" s="96"/>
      <c r="G119" s="96"/>
      <c r="H119" s="96"/>
      <c r="I119" s="96"/>
      <c r="J119" s="96"/>
      <c r="K119" s="96"/>
      <c r="L119" s="96"/>
      <c r="M119" s="96"/>
      <c r="N119" s="96"/>
      <c r="O119" s="96"/>
      <c r="P119" s="96"/>
      <c r="Q119" s="96"/>
      <c r="R119" s="96"/>
      <c r="S119" s="96"/>
      <c r="T119" s="96"/>
      <c r="U119" s="96"/>
      <c r="V119" s="96"/>
      <c r="W119" s="96"/>
      <c r="X119" s="96"/>
      <c r="Y119" s="96"/>
      <c r="Z119" s="96"/>
      <c r="AA119" s="96"/>
      <c r="AB119" s="96"/>
      <c r="AC119" s="96"/>
      <c r="AD119" s="96"/>
      <c r="AE119" s="96"/>
      <c r="AF119" s="96"/>
      <c r="AG119" s="96"/>
      <c r="AH119" s="96"/>
      <c r="AI119" s="96"/>
      <c r="AJ119" s="96"/>
      <c r="AK119" s="96"/>
      <c r="AL119" s="96"/>
      <c r="AM119" s="96"/>
      <c r="AN119" s="96"/>
      <c r="AO119" s="96"/>
      <c r="AP119" s="76">
        <f>SUM(AP$9:AP$11)/12</f>
        <v>0</v>
      </c>
      <c r="AQ119" s="76">
        <f t="shared" ref="AQ119:BA119" si="104">AP119</f>
        <v>0</v>
      </c>
      <c r="AR119" s="76">
        <f t="shared" si="104"/>
        <v>0</v>
      </c>
      <c r="AS119" s="76">
        <f t="shared" si="104"/>
        <v>0</v>
      </c>
      <c r="AT119" s="76">
        <f t="shared" si="104"/>
        <v>0</v>
      </c>
      <c r="AU119" s="76">
        <f t="shared" si="104"/>
        <v>0</v>
      </c>
      <c r="AV119" s="76">
        <f t="shared" si="104"/>
        <v>0</v>
      </c>
      <c r="AW119" s="76">
        <f t="shared" si="104"/>
        <v>0</v>
      </c>
      <c r="AX119" s="76">
        <f t="shared" si="104"/>
        <v>0</v>
      </c>
      <c r="AY119" s="76">
        <f t="shared" si="104"/>
        <v>0</v>
      </c>
      <c r="AZ119" s="76">
        <f t="shared" si="104"/>
        <v>0</v>
      </c>
      <c r="BA119" s="76">
        <f t="shared" si="104"/>
        <v>0</v>
      </c>
      <c r="BB119" s="96"/>
      <c r="BC119" s="96"/>
      <c r="BD119" s="96"/>
      <c r="BE119" s="96"/>
      <c r="BF119" s="96"/>
      <c r="BG119" s="96"/>
      <c r="BH119" s="96"/>
      <c r="BI119" s="96"/>
      <c r="BJ119" s="96"/>
      <c r="BK119" s="96"/>
    </row>
    <row r="120" ht="15.75" customHeight="1">
      <c r="A120" s="206">
        <f t="shared" si="67"/>
        <v>44835</v>
      </c>
      <c r="B120" s="96"/>
      <c r="C120" s="96"/>
      <c r="D120" s="96"/>
      <c r="E120" s="96"/>
      <c r="F120" s="96"/>
      <c r="G120" s="96"/>
      <c r="H120" s="96"/>
      <c r="I120" s="96"/>
      <c r="J120" s="96"/>
      <c r="K120" s="96"/>
      <c r="L120" s="96"/>
      <c r="M120" s="96"/>
      <c r="N120" s="96"/>
      <c r="O120" s="96"/>
      <c r="P120" s="96"/>
      <c r="Q120" s="96"/>
      <c r="R120" s="96"/>
      <c r="S120" s="96"/>
      <c r="T120" s="96"/>
      <c r="U120" s="96"/>
      <c r="V120" s="96"/>
      <c r="W120" s="96"/>
      <c r="X120" s="96"/>
      <c r="Y120" s="96"/>
      <c r="Z120" s="96"/>
      <c r="AA120" s="96"/>
      <c r="AB120" s="96"/>
      <c r="AC120" s="96"/>
      <c r="AD120" s="96"/>
      <c r="AE120" s="96"/>
      <c r="AF120" s="96"/>
      <c r="AG120" s="96"/>
      <c r="AH120" s="96"/>
      <c r="AI120" s="96"/>
      <c r="AJ120" s="96"/>
      <c r="AK120" s="96"/>
      <c r="AL120" s="96"/>
      <c r="AM120" s="96"/>
      <c r="AN120" s="96"/>
      <c r="AO120" s="96"/>
      <c r="AP120" s="96"/>
      <c r="AQ120" s="76">
        <f>SUM(AQ$9:AQ$11)/12</f>
        <v>0</v>
      </c>
      <c r="AR120" s="76">
        <f t="shared" ref="AR120:BB120" si="105">AQ120</f>
        <v>0</v>
      </c>
      <c r="AS120" s="76">
        <f t="shared" si="105"/>
        <v>0</v>
      </c>
      <c r="AT120" s="76">
        <f t="shared" si="105"/>
        <v>0</v>
      </c>
      <c r="AU120" s="76">
        <f t="shared" si="105"/>
        <v>0</v>
      </c>
      <c r="AV120" s="76">
        <f t="shared" si="105"/>
        <v>0</v>
      </c>
      <c r="AW120" s="76">
        <f t="shared" si="105"/>
        <v>0</v>
      </c>
      <c r="AX120" s="76">
        <f t="shared" si="105"/>
        <v>0</v>
      </c>
      <c r="AY120" s="76">
        <f t="shared" si="105"/>
        <v>0</v>
      </c>
      <c r="AZ120" s="76">
        <f t="shared" si="105"/>
        <v>0</v>
      </c>
      <c r="BA120" s="76">
        <f t="shared" si="105"/>
        <v>0</v>
      </c>
      <c r="BB120" s="76">
        <f t="shared" si="105"/>
        <v>0</v>
      </c>
      <c r="BC120" s="96"/>
      <c r="BD120" s="96"/>
      <c r="BE120" s="96"/>
      <c r="BF120" s="96"/>
      <c r="BG120" s="96"/>
      <c r="BH120" s="96"/>
      <c r="BI120" s="96"/>
      <c r="BJ120" s="96"/>
      <c r="BK120" s="96"/>
    </row>
    <row r="121" ht="15.75" customHeight="1">
      <c r="A121" s="206">
        <f t="shared" si="67"/>
        <v>44866</v>
      </c>
      <c r="B121" s="96"/>
      <c r="C121" s="96"/>
      <c r="D121" s="96"/>
      <c r="E121" s="96"/>
      <c r="F121" s="96"/>
      <c r="G121" s="96"/>
      <c r="H121" s="96"/>
      <c r="I121" s="96"/>
      <c r="J121" s="96"/>
      <c r="K121" s="96"/>
      <c r="L121" s="96"/>
      <c r="M121" s="96"/>
      <c r="N121" s="96"/>
      <c r="O121" s="96"/>
      <c r="P121" s="96"/>
      <c r="Q121" s="96"/>
      <c r="R121" s="96"/>
      <c r="S121" s="96"/>
      <c r="T121" s="96"/>
      <c r="U121" s="96"/>
      <c r="V121" s="96"/>
      <c r="W121" s="96"/>
      <c r="X121" s="96"/>
      <c r="Y121" s="96"/>
      <c r="Z121" s="96"/>
      <c r="AA121" s="96"/>
      <c r="AB121" s="96"/>
      <c r="AC121" s="96"/>
      <c r="AD121" s="96"/>
      <c r="AE121" s="96"/>
      <c r="AF121" s="96"/>
      <c r="AG121" s="96"/>
      <c r="AH121" s="96"/>
      <c r="AI121" s="96"/>
      <c r="AJ121" s="96"/>
      <c r="AK121" s="96"/>
      <c r="AL121" s="96"/>
      <c r="AM121" s="96"/>
      <c r="AN121" s="96"/>
      <c r="AO121" s="96"/>
      <c r="AP121" s="96"/>
      <c r="AQ121" s="96"/>
      <c r="AR121" s="76">
        <f>SUM(AR$9:AR$11)/12</f>
        <v>0</v>
      </c>
      <c r="AS121" s="76">
        <f t="shared" ref="AS121:BC121" si="106">AR121</f>
        <v>0</v>
      </c>
      <c r="AT121" s="76">
        <f t="shared" si="106"/>
        <v>0</v>
      </c>
      <c r="AU121" s="76">
        <f t="shared" si="106"/>
        <v>0</v>
      </c>
      <c r="AV121" s="76">
        <f t="shared" si="106"/>
        <v>0</v>
      </c>
      <c r="AW121" s="76">
        <f t="shared" si="106"/>
        <v>0</v>
      </c>
      <c r="AX121" s="76">
        <f t="shared" si="106"/>
        <v>0</v>
      </c>
      <c r="AY121" s="76">
        <f t="shared" si="106"/>
        <v>0</v>
      </c>
      <c r="AZ121" s="76">
        <f t="shared" si="106"/>
        <v>0</v>
      </c>
      <c r="BA121" s="76">
        <f t="shared" si="106"/>
        <v>0</v>
      </c>
      <c r="BB121" s="76">
        <f t="shared" si="106"/>
        <v>0</v>
      </c>
      <c r="BC121" s="76">
        <f t="shared" si="106"/>
        <v>0</v>
      </c>
      <c r="BD121" s="96"/>
      <c r="BE121" s="96"/>
      <c r="BF121" s="96"/>
      <c r="BG121" s="96"/>
      <c r="BH121" s="96"/>
      <c r="BI121" s="96"/>
      <c r="BJ121" s="96"/>
      <c r="BK121" s="96"/>
    </row>
    <row r="122" ht="15.75" customHeight="1">
      <c r="A122" s="206">
        <f t="shared" si="67"/>
        <v>44896</v>
      </c>
      <c r="B122" s="96"/>
      <c r="C122" s="96"/>
      <c r="D122" s="96"/>
      <c r="E122" s="96"/>
      <c r="F122" s="96"/>
      <c r="G122" s="96"/>
      <c r="H122" s="96"/>
      <c r="I122" s="96"/>
      <c r="J122" s="96"/>
      <c r="K122" s="96"/>
      <c r="L122" s="96"/>
      <c r="M122" s="96"/>
      <c r="N122" s="96"/>
      <c r="O122" s="96"/>
      <c r="P122" s="96"/>
      <c r="Q122" s="96"/>
      <c r="R122" s="96"/>
      <c r="S122" s="96"/>
      <c r="T122" s="96"/>
      <c r="U122" s="96"/>
      <c r="V122" s="96"/>
      <c r="W122" s="96"/>
      <c r="X122" s="96"/>
      <c r="Y122" s="96"/>
      <c r="Z122" s="96"/>
      <c r="AA122" s="96"/>
      <c r="AB122" s="96"/>
      <c r="AC122" s="96"/>
      <c r="AD122" s="96"/>
      <c r="AE122" s="96"/>
      <c r="AF122" s="96"/>
      <c r="AG122" s="96"/>
      <c r="AH122" s="96"/>
      <c r="AI122" s="96"/>
      <c r="AJ122" s="96"/>
      <c r="AK122" s="96"/>
      <c r="AL122" s="96"/>
      <c r="AM122" s="96"/>
      <c r="AN122" s="96"/>
      <c r="AO122" s="96"/>
      <c r="AP122" s="96"/>
      <c r="AQ122" s="96"/>
      <c r="AR122" s="96"/>
      <c r="AS122" s="76">
        <f>SUM(AS$9:AS$11)/12</f>
        <v>0</v>
      </c>
      <c r="AT122" s="76">
        <f t="shared" ref="AT122:BD122" si="107">AS122</f>
        <v>0</v>
      </c>
      <c r="AU122" s="76">
        <f t="shared" si="107"/>
        <v>0</v>
      </c>
      <c r="AV122" s="76">
        <f t="shared" si="107"/>
        <v>0</v>
      </c>
      <c r="AW122" s="76">
        <f t="shared" si="107"/>
        <v>0</v>
      </c>
      <c r="AX122" s="76">
        <f t="shared" si="107"/>
        <v>0</v>
      </c>
      <c r="AY122" s="76">
        <f t="shared" si="107"/>
        <v>0</v>
      </c>
      <c r="AZ122" s="76">
        <f t="shared" si="107"/>
        <v>0</v>
      </c>
      <c r="BA122" s="76">
        <f t="shared" si="107"/>
        <v>0</v>
      </c>
      <c r="BB122" s="76">
        <f t="shared" si="107"/>
        <v>0</v>
      </c>
      <c r="BC122" s="76">
        <f t="shared" si="107"/>
        <v>0</v>
      </c>
      <c r="BD122" s="76">
        <f t="shared" si="107"/>
        <v>0</v>
      </c>
      <c r="BE122" s="96"/>
      <c r="BF122" s="96"/>
      <c r="BG122" s="96"/>
      <c r="BH122" s="96"/>
      <c r="BI122" s="96"/>
      <c r="BJ122" s="96"/>
      <c r="BK122" s="96"/>
    </row>
    <row r="123" ht="15.75" customHeight="1">
      <c r="A123" s="206">
        <f t="shared" si="67"/>
        <v>44927</v>
      </c>
      <c r="B123" s="96"/>
      <c r="C123" s="96"/>
      <c r="D123" s="96"/>
      <c r="E123" s="96"/>
      <c r="F123" s="96"/>
      <c r="G123" s="96"/>
      <c r="H123" s="96"/>
      <c r="I123" s="96"/>
      <c r="J123" s="96"/>
      <c r="K123" s="96"/>
      <c r="L123" s="96"/>
      <c r="M123" s="96"/>
      <c r="N123" s="96"/>
      <c r="O123" s="96"/>
      <c r="P123" s="96"/>
      <c r="Q123" s="96"/>
      <c r="R123" s="96"/>
      <c r="S123" s="96"/>
      <c r="T123" s="96"/>
      <c r="U123" s="96"/>
      <c r="V123" s="96"/>
      <c r="W123" s="96"/>
      <c r="X123" s="96"/>
      <c r="Y123" s="96"/>
      <c r="Z123" s="96"/>
      <c r="AA123" s="96"/>
      <c r="AB123" s="96"/>
      <c r="AC123" s="96"/>
      <c r="AD123" s="96"/>
      <c r="AE123" s="96"/>
      <c r="AF123" s="96"/>
      <c r="AG123" s="96"/>
      <c r="AH123" s="96"/>
      <c r="AI123" s="96"/>
      <c r="AJ123" s="96"/>
      <c r="AK123" s="96"/>
      <c r="AL123" s="96"/>
      <c r="AM123" s="96"/>
      <c r="AN123" s="96"/>
      <c r="AO123" s="96"/>
      <c r="AP123" s="96"/>
      <c r="AQ123" s="96"/>
      <c r="AR123" s="96"/>
      <c r="AS123" s="96"/>
      <c r="AT123" s="76">
        <f>SUM(AT$9:AT$11)/12</f>
        <v>0</v>
      </c>
      <c r="AU123" s="76">
        <f t="shared" ref="AU123:BE123" si="108">AT123</f>
        <v>0</v>
      </c>
      <c r="AV123" s="76">
        <f t="shared" si="108"/>
        <v>0</v>
      </c>
      <c r="AW123" s="76">
        <f t="shared" si="108"/>
        <v>0</v>
      </c>
      <c r="AX123" s="76">
        <f t="shared" si="108"/>
        <v>0</v>
      </c>
      <c r="AY123" s="76">
        <f t="shared" si="108"/>
        <v>0</v>
      </c>
      <c r="AZ123" s="76">
        <f t="shared" si="108"/>
        <v>0</v>
      </c>
      <c r="BA123" s="76">
        <f t="shared" si="108"/>
        <v>0</v>
      </c>
      <c r="BB123" s="76">
        <f t="shared" si="108"/>
        <v>0</v>
      </c>
      <c r="BC123" s="76">
        <f t="shared" si="108"/>
        <v>0</v>
      </c>
      <c r="BD123" s="76">
        <f t="shared" si="108"/>
        <v>0</v>
      </c>
      <c r="BE123" s="76">
        <f t="shared" si="108"/>
        <v>0</v>
      </c>
      <c r="BF123" s="96"/>
      <c r="BG123" s="96"/>
      <c r="BH123" s="96"/>
      <c r="BI123" s="96"/>
      <c r="BJ123" s="96"/>
      <c r="BK123" s="96"/>
    </row>
    <row r="124" ht="15.75" customHeight="1">
      <c r="A124" s="206">
        <f t="shared" si="67"/>
        <v>44958</v>
      </c>
      <c r="B124" s="96"/>
      <c r="C124" s="96"/>
      <c r="D124" s="96"/>
      <c r="E124" s="96"/>
      <c r="F124" s="96"/>
      <c r="G124" s="96"/>
      <c r="H124" s="96"/>
      <c r="I124" s="96"/>
      <c r="J124" s="96"/>
      <c r="K124" s="96"/>
      <c r="L124" s="96"/>
      <c r="M124" s="96"/>
      <c r="N124" s="96"/>
      <c r="O124" s="96"/>
      <c r="P124" s="96"/>
      <c r="Q124" s="96"/>
      <c r="R124" s="96"/>
      <c r="S124" s="96"/>
      <c r="T124" s="96"/>
      <c r="U124" s="96"/>
      <c r="V124" s="96"/>
      <c r="W124" s="96"/>
      <c r="X124" s="96"/>
      <c r="Y124" s="96"/>
      <c r="Z124" s="96"/>
      <c r="AA124" s="96"/>
      <c r="AB124" s="96"/>
      <c r="AC124" s="96"/>
      <c r="AD124" s="96"/>
      <c r="AE124" s="96"/>
      <c r="AF124" s="96"/>
      <c r="AG124" s="96"/>
      <c r="AH124" s="96"/>
      <c r="AI124" s="96"/>
      <c r="AJ124" s="96"/>
      <c r="AK124" s="96"/>
      <c r="AL124" s="96"/>
      <c r="AM124" s="96"/>
      <c r="AN124" s="96"/>
      <c r="AO124" s="96"/>
      <c r="AP124" s="96"/>
      <c r="AQ124" s="96"/>
      <c r="AR124" s="96"/>
      <c r="AS124" s="96"/>
      <c r="AT124" s="96"/>
      <c r="AU124" s="76">
        <f>SUM(AU$9:AU$11)/12</f>
        <v>0</v>
      </c>
      <c r="AV124" s="76">
        <f t="shared" ref="AV124:BF124" si="109">AU124</f>
        <v>0</v>
      </c>
      <c r="AW124" s="76">
        <f t="shared" si="109"/>
        <v>0</v>
      </c>
      <c r="AX124" s="76">
        <f t="shared" si="109"/>
        <v>0</v>
      </c>
      <c r="AY124" s="76">
        <f t="shared" si="109"/>
        <v>0</v>
      </c>
      <c r="AZ124" s="76">
        <f t="shared" si="109"/>
        <v>0</v>
      </c>
      <c r="BA124" s="76">
        <f t="shared" si="109"/>
        <v>0</v>
      </c>
      <c r="BB124" s="76">
        <f t="shared" si="109"/>
        <v>0</v>
      </c>
      <c r="BC124" s="76">
        <f t="shared" si="109"/>
        <v>0</v>
      </c>
      <c r="BD124" s="76">
        <f t="shared" si="109"/>
        <v>0</v>
      </c>
      <c r="BE124" s="76">
        <f t="shared" si="109"/>
        <v>0</v>
      </c>
      <c r="BF124" s="76">
        <f t="shared" si="109"/>
        <v>0</v>
      </c>
      <c r="BG124" s="96"/>
      <c r="BH124" s="96"/>
      <c r="BI124" s="96"/>
      <c r="BJ124" s="96"/>
      <c r="BK124" s="96"/>
    </row>
    <row r="125" ht="15.75" customHeight="1">
      <c r="A125" s="206">
        <f t="shared" si="67"/>
        <v>44986</v>
      </c>
      <c r="B125" s="96"/>
      <c r="C125" s="96"/>
      <c r="D125" s="96"/>
      <c r="E125" s="96"/>
      <c r="F125" s="96"/>
      <c r="G125" s="96"/>
      <c r="H125" s="96"/>
      <c r="I125" s="96"/>
      <c r="J125" s="96"/>
      <c r="K125" s="96"/>
      <c r="L125" s="96"/>
      <c r="M125" s="96"/>
      <c r="N125" s="96"/>
      <c r="O125" s="96"/>
      <c r="P125" s="96"/>
      <c r="Q125" s="96"/>
      <c r="R125" s="96"/>
      <c r="S125" s="96"/>
      <c r="T125" s="96"/>
      <c r="U125" s="96"/>
      <c r="V125" s="96"/>
      <c r="W125" s="96"/>
      <c r="X125" s="96"/>
      <c r="Y125" s="96"/>
      <c r="Z125" s="96"/>
      <c r="AA125" s="96"/>
      <c r="AB125" s="96"/>
      <c r="AC125" s="96"/>
      <c r="AD125" s="96"/>
      <c r="AE125" s="96"/>
      <c r="AF125" s="96"/>
      <c r="AG125" s="96"/>
      <c r="AH125" s="96"/>
      <c r="AI125" s="96"/>
      <c r="AJ125" s="96"/>
      <c r="AK125" s="96"/>
      <c r="AL125" s="96"/>
      <c r="AM125" s="96"/>
      <c r="AN125" s="96"/>
      <c r="AO125" s="96"/>
      <c r="AP125" s="96"/>
      <c r="AQ125" s="96"/>
      <c r="AR125" s="96"/>
      <c r="AS125" s="96"/>
      <c r="AT125" s="96"/>
      <c r="AU125" s="96"/>
      <c r="AV125" s="76">
        <f>SUM(AV$9:AV$11)/12</f>
        <v>0</v>
      </c>
      <c r="AW125" s="76">
        <f t="shared" ref="AW125:BG125" si="110">AV125</f>
        <v>0</v>
      </c>
      <c r="AX125" s="76">
        <f t="shared" si="110"/>
        <v>0</v>
      </c>
      <c r="AY125" s="76">
        <f t="shared" si="110"/>
        <v>0</v>
      </c>
      <c r="AZ125" s="76">
        <f t="shared" si="110"/>
        <v>0</v>
      </c>
      <c r="BA125" s="76">
        <f t="shared" si="110"/>
        <v>0</v>
      </c>
      <c r="BB125" s="76">
        <f t="shared" si="110"/>
        <v>0</v>
      </c>
      <c r="BC125" s="76">
        <f t="shared" si="110"/>
        <v>0</v>
      </c>
      <c r="BD125" s="76">
        <f t="shared" si="110"/>
        <v>0</v>
      </c>
      <c r="BE125" s="76">
        <f t="shared" si="110"/>
        <v>0</v>
      </c>
      <c r="BF125" s="76">
        <f t="shared" si="110"/>
        <v>0</v>
      </c>
      <c r="BG125" s="76">
        <f t="shared" si="110"/>
        <v>0</v>
      </c>
      <c r="BH125" s="96"/>
      <c r="BI125" s="96"/>
      <c r="BJ125" s="96"/>
      <c r="BK125" s="96"/>
    </row>
    <row r="126" ht="15.75" customHeight="1">
      <c r="A126" s="206">
        <f t="shared" si="67"/>
        <v>45017</v>
      </c>
      <c r="B126" s="96"/>
      <c r="C126" s="96"/>
      <c r="D126" s="96"/>
      <c r="E126" s="96"/>
      <c r="F126" s="96"/>
      <c r="G126" s="96"/>
      <c r="H126" s="96"/>
      <c r="I126" s="96"/>
      <c r="J126" s="96"/>
      <c r="K126" s="96"/>
      <c r="L126" s="96"/>
      <c r="M126" s="96"/>
      <c r="N126" s="96"/>
      <c r="O126" s="96"/>
      <c r="P126" s="96"/>
      <c r="Q126" s="96"/>
      <c r="R126" s="96"/>
      <c r="S126" s="96"/>
      <c r="T126" s="96"/>
      <c r="U126" s="96"/>
      <c r="V126" s="96"/>
      <c r="W126" s="96"/>
      <c r="X126" s="96"/>
      <c r="Y126" s="96"/>
      <c r="Z126" s="96"/>
      <c r="AA126" s="96"/>
      <c r="AB126" s="96"/>
      <c r="AC126" s="96"/>
      <c r="AD126" s="96"/>
      <c r="AE126" s="96"/>
      <c r="AF126" s="96"/>
      <c r="AG126" s="96"/>
      <c r="AH126" s="96"/>
      <c r="AI126" s="96"/>
      <c r="AJ126" s="96"/>
      <c r="AK126" s="96"/>
      <c r="AL126" s="96"/>
      <c r="AM126" s="96"/>
      <c r="AN126" s="96"/>
      <c r="AO126" s="96"/>
      <c r="AP126" s="96"/>
      <c r="AQ126" s="96"/>
      <c r="AR126" s="96"/>
      <c r="AS126" s="96"/>
      <c r="AT126" s="96"/>
      <c r="AU126" s="96"/>
      <c r="AV126" s="96"/>
      <c r="AW126" s="76">
        <f>SUM(AW$9:AW$11)/12</f>
        <v>0</v>
      </c>
      <c r="AX126" s="76">
        <f t="shared" ref="AX126:BH126" si="111">AW126</f>
        <v>0</v>
      </c>
      <c r="AY126" s="76">
        <f t="shared" si="111"/>
        <v>0</v>
      </c>
      <c r="AZ126" s="76">
        <f t="shared" si="111"/>
        <v>0</v>
      </c>
      <c r="BA126" s="76">
        <f t="shared" si="111"/>
        <v>0</v>
      </c>
      <c r="BB126" s="76">
        <f t="shared" si="111"/>
        <v>0</v>
      </c>
      <c r="BC126" s="76">
        <f t="shared" si="111"/>
        <v>0</v>
      </c>
      <c r="BD126" s="76">
        <f t="shared" si="111"/>
        <v>0</v>
      </c>
      <c r="BE126" s="76">
        <f t="shared" si="111"/>
        <v>0</v>
      </c>
      <c r="BF126" s="76">
        <f t="shared" si="111"/>
        <v>0</v>
      </c>
      <c r="BG126" s="76">
        <f t="shared" si="111"/>
        <v>0</v>
      </c>
      <c r="BH126" s="76">
        <f t="shared" si="111"/>
        <v>0</v>
      </c>
      <c r="BI126" s="96"/>
      <c r="BJ126" s="96"/>
      <c r="BK126" s="96"/>
    </row>
    <row r="127" ht="15.75" customHeight="1">
      <c r="A127" s="206">
        <f t="shared" si="67"/>
        <v>45047</v>
      </c>
      <c r="B127" s="96"/>
      <c r="C127" s="96"/>
      <c r="D127" s="96"/>
      <c r="E127" s="96"/>
      <c r="F127" s="96"/>
      <c r="G127" s="96"/>
      <c r="H127" s="96"/>
      <c r="I127" s="96"/>
      <c r="J127" s="96"/>
      <c r="K127" s="96"/>
      <c r="L127" s="96"/>
      <c r="M127" s="96"/>
      <c r="N127" s="96"/>
      <c r="O127" s="96"/>
      <c r="P127" s="96"/>
      <c r="Q127" s="96"/>
      <c r="R127" s="96"/>
      <c r="S127" s="96"/>
      <c r="T127" s="96"/>
      <c r="U127" s="96"/>
      <c r="V127" s="96"/>
      <c r="W127" s="96"/>
      <c r="X127" s="96"/>
      <c r="Y127" s="96"/>
      <c r="Z127" s="96"/>
      <c r="AA127" s="96"/>
      <c r="AB127" s="96"/>
      <c r="AC127" s="96"/>
      <c r="AD127" s="96"/>
      <c r="AE127" s="96"/>
      <c r="AF127" s="96"/>
      <c r="AG127" s="96"/>
      <c r="AH127" s="96"/>
      <c r="AI127" s="96"/>
      <c r="AJ127" s="96"/>
      <c r="AK127" s="96"/>
      <c r="AL127" s="96"/>
      <c r="AM127" s="96"/>
      <c r="AN127" s="96"/>
      <c r="AO127" s="96"/>
      <c r="AP127" s="96"/>
      <c r="AQ127" s="96"/>
      <c r="AR127" s="96"/>
      <c r="AS127" s="96"/>
      <c r="AT127" s="96"/>
      <c r="AU127" s="96"/>
      <c r="AV127" s="96"/>
      <c r="AW127" s="96"/>
      <c r="AX127" s="76">
        <f>SUM(AX$9:AX$11)/12</f>
        <v>0</v>
      </c>
      <c r="AY127" s="76">
        <f t="shared" ref="AY127:BI127" si="112">AX127</f>
        <v>0</v>
      </c>
      <c r="AZ127" s="76">
        <f t="shared" si="112"/>
        <v>0</v>
      </c>
      <c r="BA127" s="76">
        <f t="shared" si="112"/>
        <v>0</v>
      </c>
      <c r="BB127" s="76">
        <f t="shared" si="112"/>
        <v>0</v>
      </c>
      <c r="BC127" s="76">
        <f t="shared" si="112"/>
        <v>0</v>
      </c>
      <c r="BD127" s="76">
        <f t="shared" si="112"/>
        <v>0</v>
      </c>
      <c r="BE127" s="76">
        <f t="shared" si="112"/>
        <v>0</v>
      </c>
      <c r="BF127" s="76">
        <f t="shared" si="112"/>
        <v>0</v>
      </c>
      <c r="BG127" s="76">
        <f t="shared" si="112"/>
        <v>0</v>
      </c>
      <c r="BH127" s="76">
        <f t="shared" si="112"/>
        <v>0</v>
      </c>
      <c r="BI127" s="76">
        <f t="shared" si="112"/>
        <v>0</v>
      </c>
      <c r="BJ127" s="96"/>
      <c r="BK127" s="96"/>
    </row>
    <row r="128" ht="15.75" customHeight="1">
      <c r="A128" s="206">
        <f t="shared" si="67"/>
        <v>45078</v>
      </c>
      <c r="B128" s="96"/>
      <c r="C128" s="96"/>
      <c r="D128" s="96"/>
      <c r="E128" s="96"/>
      <c r="F128" s="96"/>
      <c r="G128" s="96"/>
      <c r="H128" s="96"/>
      <c r="I128" s="96"/>
      <c r="J128" s="96"/>
      <c r="K128" s="96"/>
      <c r="L128" s="96"/>
      <c r="M128" s="96"/>
      <c r="N128" s="96"/>
      <c r="O128" s="96"/>
      <c r="P128" s="96"/>
      <c r="Q128" s="96"/>
      <c r="R128" s="96"/>
      <c r="S128" s="96"/>
      <c r="T128" s="96"/>
      <c r="U128" s="96"/>
      <c r="V128" s="96"/>
      <c r="W128" s="96"/>
      <c r="X128" s="96"/>
      <c r="Y128" s="96"/>
      <c r="Z128" s="96"/>
      <c r="AA128" s="96"/>
      <c r="AB128" s="96"/>
      <c r="AC128" s="96"/>
      <c r="AD128" s="96"/>
      <c r="AE128" s="96"/>
      <c r="AF128" s="96"/>
      <c r="AG128" s="96"/>
      <c r="AH128" s="96"/>
      <c r="AI128" s="96"/>
      <c r="AJ128" s="96"/>
      <c r="AK128" s="96"/>
      <c r="AL128" s="96"/>
      <c r="AM128" s="96"/>
      <c r="AN128" s="96"/>
      <c r="AO128" s="96"/>
      <c r="AP128" s="96"/>
      <c r="AQ128" s="96"/>
      <c r="AR128" s="96"/>
      <c r="AS128" s="96"/>
      <c r="AT128" s="96"/>
      <c r="AU128" s="96"/>
      <c r="AV128" s="96"/>
      <c r="AW128" s="96"/>
      <c r="AX128" s="96"/>
      <c r="AY128" s="76">
        <f>SUM(AY$9:AY$11)/12</f>
        <v>0</v>
      </c>
      <c r="AZ128" s="76">
        <f t="shared" ref="AZ128:BJ128" si="113">AY128</f>
        <v>0</v>
      </c>
      <c r="BA128" s="76">
        <f t="shared" si="113"/>
        <v>0</v>
      </c>
      <c r="BB128" s="76">
        <f t="shared" si="113"/>
        <v>0</v>
      </c>
      <c r="BC128" s="76">
        <f t="shared" si="113"/>
        <v>0</v>
      </c>
      <c r="BD128" s="76">
        <f t="shared" si="113"/>
        <v>0</v>
      </c>
      <c r="BE128" s="76">
        <f t="shared" si="113"/>
        <v>0</v>
      </c>
      <c r="BF128" s="76">
        <f t="shared" si="113"/>
        <v>0</v>
      </c>
      <c r="BG128" s="76">
        <f t="shared" si="113"/>
        <v>0</v>
      </c>
      <c r="BH128" s="76">
        <f t="shared" si="113"/>
        <v>0</v>
      </c>
      <c r="BI128" s="76">
        <f t="shared" si="113"/>
        <v>0</v>
      </c>
      <c r="BJ128" s="76">
        <f t="shared" si="113"/>
        <v>0</v>
      </c>
      <c r="BK128" s="76"/>
    </row>
    <row r="129" ht="15.75" customHeight="1">
      <c r="A129" s="206"/>
      <c r="B129" s="96"/>
      <c r="C129" s="96"/>
      <c r="D129" s="96"/>
      <c r="E129" s="96"/>
      <c r="F129" s="96"/>
      <c r="G129" s="96"/>
      <c r="H129" s="96"/>
      <c r="I129" s="96"/>
      <c r="J129" s="96"/>
      <c r="K129" s="96"/>
      <c r="L129" s="96"/>
      <c r="M129" s="96"/>
      <c r="N129" s="96"/>
      <c r="O129" s="96"/>
      <c r="P129" s="96"/>
      <c r="Q129" s="96"/>
      <c r="R129" s="96"/>
      <c r="S129" s="96"/>
      <c r="T129" s="96"/>
      <c r="U129" s="96"/>
      <c r="V129" s="96"/>
      <c r="W129" s="96"/>
      <c r="X129" s="96"/>
      <c r="Y129" s="96"/>
      <c r="Z129" s="96"/>
      <c r="AA129" s="96"/>
      <c r="AB129" s="96"/>
      <c r="AC129" s="96"/>
      <c r="AD129" s="96"/>
      <c r="AE129" s="96"/>
      <c r="AF129" s="96"/>
      <c r="AG129" s="96"/>
      <c r="AH129" s="96"/>
      <c r="AI129" s="96"/>
      <c r="AJ129" s="96"/>
      <c r="AK129" s="96"/>
      <c r="AL129" s="96"/>
      <c r="AM129" s="96"/>
      <c r="AN129" s="96"/>
      <c r="AO129" s="96"/>
      <c r="AP129" s="96"/>
      <c r="AQ129" s="96"/>
      <c r="AR129" s="96"/>
      <c r="AS129" s="96"/>
      <c r="AT129" s="96"/>
      <c r="AU129" s="96"/>
      <c r="AV129" s="96"/>
      <c r="AW129" s="96"/>
      <c r="AX129" s="96"/>
      <c r="AY129" s="96"/>
      <c r="AZ129" s="76"/>
      <c r="BA129" s="76"/>
      <c r="BB129" s="76"/>
      <c r="BC129" s="76"/>
      <c r="BD129" s="76"/>
      <c r="BE129" s="76"/>
      <c r="BF129" s="76"/>
      <c r="BG129" s="76"/>
      <c r="BH129" s="76"/>
      <c r="BI129" s="76"/>
      <c r="BJ129" s="76"/>
      <c r="BK129" s="76"/>
    </row>
    <row r="130" ht="15.75" customHeight="1">
      <c r="A130" s="188"/>
      <c r="B130" s="96"/>
      <c r="C130" s="96"/>
      <c r="D130" s="96"/>
      <c r="E130" s="96"/>
      <c r="F130" s="96"/>
      <c r="G130" s="96"/>
      <c r="H130" s="96"/>
      <c r="I130" s="96"/>
      <c r="J130" s="96"/>
      <c r="K130" s="96"/>
      <c r="L130" s="96"/>
      <c r="M130" s="96"/>
      <c r="N130" s="96"/>
      <c r="O130" s="96"/>
      <c r="P130" s="96"/>
      <c r="Q130" s="96"/>
      <c r="R130" s="96"/>
      <c r="S130" s="96"/>
      <c r="T130" s="96"/>
      <c r="U130" s="96"/>
      <c r="V130" s="96"/>
      <c r="W130" s="96"/>
      <c r="X130" s="96"/>
      <c r="Y130" s="96"/>
      <c r="Z130" s="96"/>
      <c r="AA130" s="96"/>
      <c r="AB130" s="96"/>
      <c r="AC130" s="96"/>
      <c r="AD130" s="96"/>
      <c r="AE130" s="96"/>
      <c r="AF130" s="96"/>
      <c r="AG130" s="96"/>
      <c r="AH130" s="96"/>
      <c r="AI130" s="96"/>
      <c r="AJ130" s="96"/>
      <c r="AK130" s="96"/>
      <c r="AL130" s="96"/>
      <c r="AM130" s="96"/>
      <c r="AN130" s="96"/>
      <c r="AO130" s="96"/>
      <c r="AP130" s="96"/>
      <c r="AQ130" s="96"/>
      <c r="AR130" s="96"/>
      <c r="AS130" s="96"/>
      <c r="AT130" s="96"/>
      <c r="AU130" s="96"/>
      <c r="AV130" s="96"/>
      <c r="AW130" s="96"/>
      <c r="AX130" s="96"/>
      <c r="AY130" s="96"/>
      <c r="AZ130" s="96"/>
      <c r="BA130" s="96"/>
      <c r="BB130" s="96"/>
      <c r="BC130" s="96"/>
      <c r="BD130" s="96"/>
      <c r="BE130" s="96"/>
      <c r="BF130" s="96"/>
      <c r="BG130" s="96"/>
      <c r="BH130" s="96"/>
      <c r="BI130" s="96"/>
      <c r="BJ130" s="96"/>
      <c r="BK130" s="96"/>
    </row>
    <row r="131" ht="15.75" customHeight="1">
      <c r="A131" s="188"/>
      <c r="B131" s="96"/>
      <c r="C131" s="96"/>
      <c r="D131" s="96"/>
      <c r="E131" s="96"/>
      <c r="F131" s="96"/>
      <c r="G131" s="96"/>
      <c r="H131" s="96"/>
      <c r="I131" s="96"/>
      <c r="J131" s="96"/>
      <c r="K131" s="96"/>
      <c r="L131" s="96"/>
      <c r="M131" s="96"/>
      <c r="N131" s="96"/>
      <c r="O131" s="96"/>
      <c r="P131" s="96"/>
      <c r="Q131" s="96"/>
      <c r="R131" s="96"/>
      <c r="S131" s="96"/>
      <c r="T131" s="96"/>
      <c r="U131" s="96"/>
      <c r="V131" s="96"/>
      <c r="W131" s="96"/>
      <c r="X131" s="96"/>
      <c r="Y131" s="96"/>
      <c r="Z131" s="96"/>
      <c r="AA131" s="96"/>
      <c r="AB131" s="96"/>
      <c r="AC131" s="96"/>
      <c r="AD131" s="96"/>
      <c r="AE131" s="96"/>
      <c r="AF131" s="96"/>
      <c r="AG131" s="96"/>
      <c r="AH131" s="96"/>
      <c r="AI131" s="96"/>
      <c r="AJ131" s="96"/>
      <c r="AK131" s="96"/>
      <c r="AL131" s="96"/>
      <c r="AM131" s="96"/>
      <c r="AN131" s="96"/>
      <c r="AO131" s="96"/>
      <c r="AP131" s="96"/>
      <c r="AQ131" s="96"/>
      <c r="AR131" s="96"/>
      <c r="AS131" s="96"/>
      <c r="AT131" s="96"/>
      <c r="AU131" s="96"/>
      <c r="AV131" s="96"/>
      <c r="AW131" s="96"/>
      <c r="AX131" s="96"/>
      <c r="AY131" s="96"/>
      <c r="AZ131" s="96"/>
      <c r="BA131" s="96"/>
      <c r="BB131" s="96"/>
      <c r="BC131" s="96"/>
      <c r="BD131" s="96"/>
      <c r="BE131" s="96"/>
      <c r="BF131" s="96"/>
      <c r="BG131" s="96"/>
      <c r="BH131" s="96"/>
      <c r="BI131" s="96"/>
      <c r="BJ131" s="96"/>
      <c r="BK131" s="96"/>
    </row>
    <row r="132" ht="15.75" customHeight="1">
      <c r="A132" s="188"/>
      <c r="B132" s="96"/>
      <c r="C132" s="96"/>
      <c r="D132" s="96"/>
      <c r="E132" s="96"/>
      <c r="F132" s="96"/>
      <c r="G132" s="96"/>
      <c r="H132" s="96"/>
      <c r="I132" s="96"/>
      <c r="J132" s="96"/>
      <c r="K132" s="96"/>
      <c r="L132" s="96"/>
      <c r="M132" s="96"/>
      <c r="N132" s="96"/>
      <c r="O132" s="96"/>
      <c r="P132" s="96"/>
      <c r="Q132" s="96"/>
      <c r="R132" s="96"/>
      <c r="S132" s="96"/>
      <c r="T132" s="96"/>
      <c r="U132" s="96"/>
      <c r="V132" s="96"/>
      <c r="W132" s="96"/>
      <c r="X132" s="96"/>
      <c r="Y132" s="96"/>
      <c r="Z132" s="96"/>
      <c r="AA132" s="96"/>
      <c r="AB132" s="96"/>
      <c r="AC132" s="96"/>
      <c r="AD132" s="96"/>
      <c r="AE132" s="96"/>
      <c r="AF132" s="96"/>
      <c r="AG132" s="96"/>
      <c r="AH132" s="96"/>
      <c r="AI132" s="96"/>
      <c r="AJ132" s="96"/>
      <c r="AK132" s="96"/>
      <c r="AL132" s="96"/>
      <c r="AM132" s="96"/>
      <c r="AN132" s="96"/>
      <c r="AO132" s="96"/>
      <c r="AP132" s="96"/>
      <c r="AQ132" s="96"/>
      <c r="AR132" s="96"/>
      <c r="AS132" s="96"/>
      <c r="AT132" s="96"/>
      <c r="AU132" s="96"/>
      <c r="AV132" s="96"/>
      <c r="AW132" s="96"/>
      <c r="AX132" s="96"/>
      <c r="AY132" s="96"/>
      <c r="AZ132" s="96"/>
      <c r="BA132" s="96"/>
      <c r="BB132" s="96"/>
      <c r="BC132" s="96"/>
      <c r="BD132" s="96"/>
      <c r="BE132" s="96"/>
      <c r="BF132" s="96"/>
      <c r="BG132" s="96"/>
      <c r="BH132" s="96"/>
      <c r="BI132" s="96"/>
      <c r="BJ132" s="96"/>
      <c r="BK132" s="96"/>
    </row>
    <row r="133" ht="15.75" customHeight="1">
      <c r="A133" s="188"/>
      <c r="B133" s="96"/>
      <c r="C133" s="96"/>
      <c r="D133" s="96"/>
      <c r="E133" s="96"/>
      <c r="F133" s="96"/>
      <c r="G133" s="96"/>
      <c r="H133" s="96"/>
      <c r="I133" s="96"/>
      <c r="J133" s="96"/>
      <c r="K133" s="96"/>
      <c r="L133" s="96"/>
      <c r="M133" s="96"/>
      <c r="N133" s="96"/>
      <c r="O133" s="96"/>
      <c r="P133" s="96"/>
      <c r="Q133" s="96"/>
      <c r="R133" s="96"/>
      <c r="S133" s="96"/>
      <c r="T133" s="96"/>
      <c r="U133" s="96"/>
      <c r="V133" s="96"/>
      <c r="W133" s="96"/>
      <c r="X133" s="96"/>
      <c r="Y133" s="96"/>
      <c r="Z133" s="96"/>
      <c r="AA133" s="96"/>
      <c r="AB133" s="96"/>
      <c r="AC133" s="96"/>
      <c r="AD133" s="96"/>
      <c r="AE133" s="96"/>
      <c r="AF133" s="96"/>
      <c r="AG133" s="96"/>
      <c r="AH133" s="96"/>
      <c r="AI133" s="96"/>
      <c r="AJ133" s="96"/>
      <c r="AK133" s="96"/>
      <c r="AL133" s="96"/>
      <c r="AM133" s="96"/>
      <c r="AN133" s="96"/>
      <c r="AO133" s="96"/>
      <c r="AP133" s="96"/>
      <c r="AQ133" s="96"/>
      <c r="AR133" s="96"/>
      <c r="AS133" s="96"/>
      <c r="AT133" s="96"/>
      <c r="AU133" s="96"/>
      <c r="AV133" s="96"/>
      <c r="AW133" s="96"/>
      <c r="AX133" s="96"/>
      <c r="AY133" s="96"/>
      <c r="AZ133" s="96"/>
      <c r="BA133" s="96"/>
      <c r="BB133" s="96"/>
      <c r="BC133" s="96"/>
      <c r="BD133" s="96"/>
      <c r="BE133" s="96"/>
      <c r="BF133" s="96"/>
      <c r="BG133" s="96"/>
      <c r="BH133" s="96"/>
      <c r="BI133" s="96"/>
      <c r="BJ133" s="96"/>
      <c r="BK133" s="96"/>
    </row>
    <row r="134" ht="15.75" customHeight="1">
      <c r="A134" s="188"/>
      <c r="B134" s="96"/>
      <c r="C134" s="96"/>
      <c r="D134" s="96"/>
      <c r="E134" s="96"/>
      <c r="F134" s="96"/>
      <c r="G134" s="96"/>
      <c r="H134" s="96"/>
      <c r="I134" s="96"/>
      <c r="J134" s="96"/>
      <c r="K134" s="96"/>
      <c r="L134" s="96"/>
      <c r="M134" s="96"/>
      <c r="N134" s="96"/>
      <c r="O134" s="96"/>
      <c r="P134" s="96"/>
      <c r="Q134" s="96"/>
      <c r="R134" s="96"/>
      <c r="S134" s="96"/>
      <c r="T134" s="96"/>
      <c r="U134" s="96"/>
      <c r="V134" s="96"/>
      <c r="W134" s="96"/>
      <c r="X134" s="96"/>
      <c r="Y134" s="96"/>
      <c r="Z134" s="96"/>
      <c r="AA134" s="96"/>
      <c r="AB134" s="96"/>
      <c r="AC134" s="96"/>
      <c r="AD134" s="96"/>
      <c r="AE134" s="96"/>
      <c r="AF134" s="96"/>
      <c r="AG134" s="96"/>
      <c r="AH134" s="96"/>
      <c r="AI134" s="96"/>
      <c r="AJ134" s="96"/>
      <c r="AK134" s="96"/>
      <c r="AL134" s="96"/>
      <c r="AM134" s="96"/>
      <c r="AN134" s="96"/>
      <c r="AO134" s="96"/>
      <c r="AP134" s="96"/>
      <c r="AQ134" s="96"/>
      <c r="AR134" s="96"/>
      <c r="AS134" s="96"/>
      <c r="AT134" s="96"/>
      <c r="AU134" s="96"/>
      <c r="AV134" s="96"/>
      <c r="AW134" s="96"/>
      <c r="AX134" s="96"/>
      <c r="AY134" s="96"/>
      <c r="AZ134" s="96"/>
      <c r="BA134" s="96"/>
      <c r="BB134" s="96"/>
      <c r="BC134" s="96"/>
      <c r="BD134" s="96"/>
      <c r="BE134" s="96"/>
      <c r="BF134" s="96"/>
      <c r="BG134" s="96"/>
      <c r="BH134" s="96"/>
      <c r="BI134" s="96"/>
      <c r="BJ134" s="96"/>
      <c r="BK134" s="96"/>
    </row>
    <row r="135" ht="15.75" customHeight="1">
      <c r="A135" s="188"/>
      <c r="B135" s="96"/>
      <c r="C135" s="96"/>
      <c r="D135" s="96"/>
      <c r="E135" s="96"/>
      <c r="F135" s="96"/>
      <c r="G135" s="96"/>
      <c r="H135" s="96"/>
      <c r="I135" s="96"/>
      <c r="J135" s="96"/>
      <c r="K135" s="96"/>
      <c r="L135" s="96"/>
      <c r="M135" s="96"/>
      <c r="N135" s="96"/>
      <c r="O135" s="96"/>
      <c r="P135" s="96"/>
      <c r="Q135" s="96"/>
      <c r="R135" s="96"/>
      <c r="S135" s="96"/>
      <c r="T135" s="96"/>
      <c r="U135" s="96"/>
      <c r="V135" s="96"/>
      <c r="W135" s="96"/>
      <c r="X135" s="96"/>
      <c r="Y135" s="96"/>
      <c r="Z135" s="96"/>
      <c r="AA135" s="96"/>
      <c r="AB135" s="96"/>
      <c r="AC135" s="96"/>
      <c r="AD135" s="96"/>
      <c r="AE135" s="96"/>
      <c r="AF135" s="96"/>
      <c r="AG135" s="96"/>
      <c r="AH135" s="96"/>
      <c r="AI135" s="96"/>
      <c r="AJ135" s="96"/>
      <c r="AK135" s="96"/>
      <c r="AL135" s="96"/>
      <c r="AM135" s="96"/>
      <c r="AN135" s="96"/>
      <c r="AO135" s="96"/>
      <c r="AP135" s="96"/>
      <c r="AQ135" s="96"/>
      <c r="AR135" s="96"/>
      <c r="AS135" s="96"/>
      <c r="AT135" s="96"/>
      <c r="AU135" s="96"/>
      <c r="AV135" s="96"/>
      <c r="AW135" s="96"/>
      <c r="AX135" s="96"/>
      <c r="AY135" s="96"/>
      <c r="AZ135" s="96"/>
      <c r="BA135" s="96"/>
      <c r="BB135" s="96"/>
      <c r="BC135" s="96"/>
      <c r="BD135" s="96"/>
      <c r="BE135" s="96"/>
      <c r="BF135" s="96"/>
      <c r="BG135" s="96"/>
      <c r="BH135" s="96"/>
      <c r="BI135" s="96"/>
      <c r="BJ135" s="96"/>
      <c r="BK135" s="96"/>
    </row>
    <row r="136" ht="15.75" customHeight="1">
      <c r="A136" s="188"/>
      <c r="B136" s="96"/>
      <c r="C136" s="96"/>
      <c r="D136" s="96"/>
      <c r="E136" s="96"/>
      <c r="F136" s="96"/>
      <c r="G136" s="96"/>
      <c r="H136" s="96"/>
      <c r="I136" s="96"/>
      <c r="J136" s="96"/>
      <c r="K136" s="96"/>
      <c r="L136" s="96"/>
      <c r="M136" s="96"/>
      <c r="N136" s="96"/>
      <c r="O136" s="96"/>
      <c r="P136" s="96"/>
      <c r="Q136" s="96"/>
      <c r="R136" s="96"/>
      <c r="S136" s="96"/>
      <c r="T136" s="96"/>
      <c r="U136" s="96"/>
      <c r="V136" s="96"/>
      <c r="W136" s="96"/>
      <c r="X136" s="96"/>
      <c r="Y136" s="96"/>
      <c r="Z136" s="96"/>
      <c r="AA136" s="96"/>
      <c r="AB136" s="96"/>
      <c r="AC136" s="96"/>
      <c r="AD136" s="96"/>
      <c r="AE136" s="96"/>
      <c r="AF136" s="96"/>
      <c r="AG136" s="96"/>
      <c r="AH136" s="96"/>
      <c r="AI136" s="96"/>
      <c r="AJ136" s="96"/>
      <c r="AK136" s="96"/>
      <c r="AL136" s="96"/>
      <c r="AM136" s="96"/>
      <c r="AN136" s="96"/>
      <c r="AO136" s="96"/>
      <c r="AP136" s="96"/>
      <c r="AQ136" s="96"/>
      <c r="AR136" s="96"/>
      <c r="AS136" s="96"/>
      <c r="AT136" s="96"/>
      <c r="AU136" s="96"/>
      <c r="AV136" s="96"/>
      <c r="AW136" s="96"/>
      <c r="AX136" s="96"/>
      <c r="AY136" s="96"/>
      <c r="AZ136" s="96"/>
      <c r="BA136" s="96"/>
      <c r="BB136" s="96"/>
      <c r="BC136" s="96"/>
      <c r="BD136" s="96"/>
      <c r="BE136" s="96"/>
      <c r="BF136" s="96"/>
      <c r="BG136" s="96"/>
      <c r="BH136" s="96"/>
      <c r="BI136" s="96"/>
      <c r="BJ136" s="96"/>
      <c r="BK136" s="96"/>
    </row>
    <row r="137" ht="15.75" customHeight="1">
      <c r="A137" s="188"/>
      <c r="B137" s="96"/>
      <c r="C137" s="96"/>
      <c r="D137" s="96"/>
      <c r="E137" s="96"/>
      <c r="F137" s="96"/>
      <c r="G137" s="96"/>
      <c r="H137" s="96"/>
      <c r="I137" s="96"/>
      <c r="J137" s="96"/>
      <c r="K137" s="96"/>
      <c r="L137" s="96"/>
      <c r="M137" s="96"/>
      <c r="N137" s="96"/>
      <c r="O137" s="96"/>
      <c r="P137" s="96"/>
      <c r="Q137" s="96"/>
      <c r="R137" s="96"/>
      <c r="S137" s="96"/>
      <c r="T137" s="96"/>
      <c r="U137" s="96"/>
      <c r="V137" s="96"/>
      <c r="W137" s="96"/>
      <c r="X137" s="96"/>
      <c r="Y137" s="96"/>
      <c r="Z137" s="96"/>
      <c r="AA137" s="96"/>
      <c r="AB137" s="96"/>
      <c r="AC137" s="96"/>
      <c r="AD137" s="96"/>
      <c r="AE137" s="96"/>
      <c r="AF137" s="96"/>
      <c r="AG137" s="96"/>
      <c r="AH137" s="96"/>
      <c r="AI137" s="96"/>
      <c r="AJ137" s="96"/>
      <c r="AK137" s="96"/>
      <c r="AL137" s="96"/>
      <c r="AM137" s="96"/>
      <c r="AN137" s="96"/>
      <c r="AO137" s="96"/>
      <c r="AP137" s="96"/>
      <c r="AQ137" s="96"/>
      <c r="AR137" s="96"/>
      <c r="AS137" s="96"/>
      <c r="AT137" s="96"/>
      <c r="AU137" s="96"/>
      <c r="AV137" s="96"/>
      <c r="AW137" s="96"/>
      <c r="AX137" s="96"/>
      <c r="AY137" s="96"/>
      <c r="AZ137" s="96"/>
      <c r="BA137" s="96"/>
      <c r="BB137" s="96"/>
      <c r="BC137" s="96"/>
      <c r="BD137" s="96"/>
      <c r="BE137" s="96"/>
      <c r="BF137" s="96"/>
      <c r="BG137" s="96"/>
      <c r="BH137" s="96"/>
      <c r="BI137" s="96"/>
      <c r="BJ137" s="96"/>
      <c r="BK137" s="96"/>
    </row>
    <row r="138" ht="15.75" customHeight="1">
      <c r="A138" s="188"/>
      <c r="B138" s="96"/>
      <c r="C138" s="96"/>
      <c r="D138" s="96"/>
      <c r="E138" s="96"/>
      <c r="F138" s="96"/>
      <c r="G138" s="96"/>
      <c r="H138" s="96"/>
      <c r="I138" s="96"/>
      <c r="J138" s="96"/>
      <c r="K138" s="96"/>
      <c r="L138" s="96"/>
      <c r="M138" s="96"/>
      <c r="N138" s="96"/>
      <c r="O138" s="96"/>
      <c r="P138" s="96"/>
      <c r="Q138" s="96"/>
      <c r="R138" s="96"/>
      <c r="S138" s="96"/>
      <c r="T138" s="96"/>
      <c r="U138" s="96"/>
      <c r="V138" s="96"/>
      <c r="W138" s="96"/>
      <c r="X138" s="96"/>
      <c r="Y138" s="96"/>
      <c r="Z138" s="96"/>
      <c r="AA138" s="96"/>
      <c r="AB138" s="96"/>
      <c r="AC138" s="96"/>
      <c r="AD138" s="96"/>
      <c r="AE138" s="96"/>
      <c r="AF138" s="96"/>
      <c r="AG138" s="96"/>
      <c r="AH138" s="96"/>
      <c r="AI138" s="96"/>
      <c r="AJ138" s="96"/>
      <c r="AK138" s="96"/>
      <c r="AL138" s="96"/>
      <c r="AM138" s="96"/>
      <c r="AN138" s="96"/>
      <c r="AO138" s="96"/>
      <c r="AP138" s="96"/>
      <c r="AQ138" s="96"/>
      <c r="AR138" s="96"/>
      <c r="AS138" s="96"/>
      <c r="AT138" s="96"/>
      <c r="AU138" s="96"/>
      <c r="AV138" s="96"/>
      <c r="AW138" s="96"/>
      <c r="AX138" s="96"/>
      <c r="AY138" s="96"/>
      <c r="AZ138" s="96"/>
      <c r="BA138" s="96"/>
      <c r="BB138" s="96"/>
      <c r="BC138" s="96"/>
      <c r="BD138" s="96"/>
      <c r="BE138" s="96"/>
      <c r="BF138" s="96"/>
      <c r="BG138" s="96"/>
      <c r="BH138" s="96"/>
      <c r="BI138" s="96"/>
      <c r="BJ138" s="96"/>
      <c r="BK138" s="96"/>
    </row>
    <row r="139" ht="15.75" customHeight="1">
      <c r="A139" s="188"/>
      <c r="B139" s="96"/>
      <c r="C139" s="96"/>
      <c r="D139" s="96"/>
      <c r="E139" s="96"/>
      <c r="F139" s="96"/>
      <c r="G139" s="96"/>
      <c r="H139" s="96"/>
      <c r="I139" s="96"/>
      <c r="J139" s="96"/>
      <c r="K139" s="96"/>
      <c r="L139" s="96"/>
      <c r="M139" s="96"/>
      <c r="N139" s="96"/>
      <c r="O139" s="96"/>
      <c r="P139" s="96"/>
      <c r="Q139" s="96"/>
      <c r="R139" s="96"/>
      <c r="S139" s="96"/>
      <c r="T139" s="96"/>
      <c r="U139" s="96"/>
      <c r="V139" s="96"/>
      <c r="W139" s="96"/>
      <c r="X139" s="96"/>
      <c r="Y139" s="96"/>
      <c r="Z139" s="96"/>
      <c r="AA139" s="96"/>
      <c r="AB139" s="96"/>
      <c r="AC139" s="96"/>
      <c r="AD139" s="96"/>
      <c r="AE139" s="96"/>
      <c r="AF139" s="96"/>
      <c r="AG139" s="96"/>
      <c r="AH139" s="96"/>
      <c r="AI139" s="96"/>
      <c r="AJ139" s="96"/>
      <c r="AK139" s="96"/>
      <c r="AL139" s="96"/>
      <c r="AM139" s="96"/>
      <c r="AN139" s="96"/>
      <c r="AO139" s="96"/>
      <c r="AP139" s="96"/>
      <c r="AQ139" s="96"/>
      <c r="AR139" s="96"/>
      <c r="AS139" s="96"/>
      <c r="AT139" s="96"/>
      <c r="AU139" s="96"/>
      <c r="AV139" s="96"/>
      <c r="AW139" s="96"/>
      <c r="AX139" s="96"/>
      <c r="AY139" s="96"/>
      <c r="AZ139" s="96"/>
      <c r="BA139" s="96"/>
      <c r="BB139" s="96"/>
      <c r="BC139" s="96"/>
      <c r="BD139" s="96"/>
      <c r="BE139" s="96"/>
      <c r="BF139" s="96"/>
      <c r="BG139" s="96"/>
      <c r="BH139" s="96"/>
      <c r="BI139" s="96"/>
      <c r="BJ139" s="96"/>
      <c r="BK139" s="96"/>
    </row>
    <row r="140" ht="15.75" customHeight="1">
      <c r="A140" s="188"/>
      <c r="B140" s="96"/>
      <c r="C140" s="96"/>
      <c r="D140" s="96"/>
      <c r="E140" s="96"/>
      <c r="F140" s="96"/>
      <c r="G140" s="96"/>
      <c r="H140" s="96"/>
      <c r="I140" s="96"/>
      <c r="J140" s="96"/>
      <c r="K140" s="96"/>
      <c r="L140" s="96"/>
      <c r="M140" s="96"/>
      <c r="N140" s="96"/>
      <c r="O140" s="96"/>
      <c r="P140" s="96"/>
      <c r="Q140" s="96"/>
      <c r="R140" s="96"/>
      <c r="S140" s="96"/>
      <c r="T140" s="96"/>
      <c r="U140" s="96"/>
      <c r="V140" s="96"/>
      <c r="W140" s="96"/>
      <c r="X140" s="96"/>
      <c r="Y140" s="96"/>
      <c r="Z140" s="96"/>
      <c r="AA140" s="96"/>
      <c r="AB140" s="96"/>
      <c r="AC140" s="96"/>
      <c r="AD140" s="96"/>
      <c r="AE140" s="96"/>
      <c r="AF140" s="96"/>
      <c r="AG140" s="96"/>
      <c r="AH140" s="96"/>
      <c r="AI140" s="96"/>
      <c r="AJ140" s="96"/>
      <c r="AK140" s="96"/>
      <c r="AL140" s="96"/>
      <c r="AM140" s="96"/>
      <c r="AN140" s="96"/>
      <c r="AO140" s="96"/>
      <c r="AP140" s="96"/>
      <c r="AQ140" s="96"/>
      <c r="AR140" s="96"/>
      <c r="AS140" s="96"/>
      <c r="AT140" s="96"/>
      <c r="AU140" s="96"/>
      <c r="AV140" s="96"/>
      <c r="AW140" s="96"/>
      <c r="AX140" s="96"/>
      <c r="AY140" s="96"/>
      <c r="AZ140" s="96"/>
      <c r="BA140" s="96"/>
      <c r="BB140" s="96"/>
      <c r="BC140" s="96"/>
      <c r="BD140" s="96"/>
      <c r="BE140" s="96"/>
      <c r="BF140" s="96"/>
      <c r="BG140" s="96"/>
      <c r="BH140" s="96"/>
      <c r="BI140" s="96"/>
      <c r="BJ140" s="96"/>
      <c r="BK140" s="96"/>
    </row>
    <row r="141" ht="15.75" customHeight="1">
      <c r="A141" s="188"/>
      <c r="B141" s="96"/>
      <c r="C141" s="96"/>
      <c r="D141" s="96"/>
      <c r="E141" s="96"/>
      <c r="F141" s="96"/>
      <c r="G141" s="96"/>
      <c r="H141" s="96"/>
      <c r="I141" s="96"/>
      <c r="J141" s="96"/>
      <c r="K141" s="96"/>
      <c r="L141" s="96"/>
      <c r="M141" s="96"/>
      <c r="N141" s="96"/>
      <c r="O141" s="96"/>
      <c r="P141" s="96"/>
      <c r="Q141" s="96"/>
      <c r="R141" s="96"/>
      <c r="S141" s="96"/>
      <c r="T141" s="96"/>
      <c r="U141" s="96"/>
      <c r="V141" s="96"/>
      <c r="W141" s="96"/>
      <c r="X141" s="96"/>
      <c r="Y141" s="96"/>
      <c r="Z141" s="96"/>
      <c r="AA141" s="96"/>
      <c r="AB141" s="96"/>
      <c r="AC141" s="96"/>
      <c r="AD141" s="96"/>
      <c r="AE141" s="96"/>
      <c r="AF141" s="96"/>
      <c r="AG141" s="96"/>
      <c r="AH141" s="96"/>
      <c r="AI141" s="96"/>
      <c r="AJ141" s="96"/>
      <c r="AK141" s="96"/>
      <c r="AL141" s="96"/>
      <c r="AM141" s="96"/>
      <c r="AN141" s="96"/>
      <c r="AO141" s="96"/>
      <c r="AP141" s="96"/>
      <c r="AQ141" s="96"/>
      <c r="AR141" s="96"/>
      <c r="AS141" s="96"/>
      <c r="AT141" s="96"/>
      <c r="AU141" s="96"/>
      <c r="AV141" s="96"/>
      <c r="AW141" s="96"/>
      <c r="AX141" s="96"/>
      <c r="AY141" s="96"/>
      <c r="AZ141" s="96"/>
      <c r="BA141" s="96"/>
      <c r="BB141" s="96"/>
      <c r="BC141" s="96"/>
      <c r="BD141" s="96"/>
      <c r="BE141" s="96"/>
      <c r="BF141" s="96"/>
      <c r="BG141" s="96"/>
      <c r="BH141" s="96"/>
      <c r="BI141" s="96"/>
      <c r="BJ141" s="96"/>
      <c r="BK141" s="96"/>
    </row>
    <row r="142" ht="15.75" customHeight="1">
      <c r="A142" s="188"/>
      <c r="B142" s="96"/>
      <c r="C142" s="96"/>
      <c r="D142" s="96"/>
      <c r="E142" s="96"/>
      <c r="F142" s="96"/>
      <c r="G142" s="96"/>
      <c r="H142" s="96"/>
      <c r="I142" s="96"/>
      <c r="J142" s="96"/>
      <c r="K142" s="96"/>
      <c r="L142" s="96"/>
      <c r="M142" s="96"/>
      <c r="N142" s="96"/>
      <c r="O142" s="96"/>
      <c r="P142" s="96"/>
      <c r="Q142" s="96"/>
      <c r="R142" s="96"/>
      <c r="S142" s="96"/>
      <c r="T142" s="96"/>
      <c r="U142" s="96"/>
      <c r="V142" s="96"/>
      <c r="W142" s="96"/>
      <c r="X142" s="96"/>
      <c r="Y142" s="96"/>
      <c r="Z142" s="96"/>
      <c r="AA142" s="96"/>
      <c r="AB142" s="96"/>
      <c r="AC142" s="96"/>
      <c r="AD142" s="96"/>
      <c r="AE142" s="96"/>
      <c r="AF142" s="96"/>
      <c r="AG142" s="96"/>
      <c r="AH142" s="96"/>
      <c r="AI142" s="96"/>
      <c r="AJ142" s="96"/>
      <c r="AK142" s="96"/>
      <c r="AL142" s="96"/>
      <c r="AM142" s="96"/>
      <c r="AN142" s="96"/>
      <c r="AO142" s="96"/>
      <c r="AP142" s="96"/>
      <c r="AQ142" s="96"/>
      <c r="AR142" s="96"/>
      <c r="AS142" s="96"/>
      <c r="AT142" s="96"/>
      <c r="AU142" s="96"/>
      <c r="AV142" s="96"/>
      <c r="AW142" s="96"/>
      <c r="AX142" s="96"/>
      <c r="AY142" s="96"/>
      <c r="AZ142" s="96"/>
      <c r="BA142" s="96"/>
      <c r="BB142" s="96"/>
      <c r="BC142" s="96"/>
      <c r="BD142" s="96"/>
      <c r="BE142" s="96"/>
      <c r="BF142" s="96"/>
      <c r="BG142" s="96"/>
      <c r="BH142" s="96"/>
      <c r="BI142" s="96"/>
      <c r="BJ142" s="96"/>
      <c r="BK142" s="96"/>
    </row>
    <row r="143" ht="15.75" customHeight="1">
      <c r="A143" s="188"/>
      <c r="B143" s="96"/>
      <c r="C143" s="96"/>
      <c r="D143" s="96"/>
      <c r="E143" s="96"/>
      <c r="F143" s="96"/>
      <c r="G143" s="96"/>
      <c r="H143" s="96"/>
      <c r="I143" s="96"/>
      <c r="J143" s="96"/>
      <c r="K143" s="96"/>
      <c r="L143" s="96"/>
      <c r="M143" s="96"/>
      <c r="N143" s="96"/>
      <c r="O143" s="96"/>
      <c r="P143" s="96"/>
      <c r="Q143" s="96"/>
      <c r="R143" s="96"/>
      <c r="S143" s="96"/>
      <c r="T143" s="96"/>
      <c r="U143" s="96"/>
      <c r="V143" s="96"/>
      <c r="W143" s="96"/>
      <c r="X143" s="96"/>
      <c r="Y143" s="96"/>
      <c r="Z143" s="96"/>
      <c r="AA143" s="96"/>
      <c r="AB143" s="96"/>
      <c r="AC143" s="96"/>
      <c r="AD143" s="96"/>
      <c r="AE143" s="96"/>
      <c r="AF143" s="96"/>
      <c r="AG143" s="96"/>
      <c r="AH143" s="96"/>
      <c r="AI143" s="96"/>
      <c r="AJ143" s="96"/>
      <c r="AK143" s="96"/>
      <c r="AL143" s="96"/>
      <c r="AM143" s="96"/>
      <c r="AN143" s="96"/>
      <c r="AO143" s="96"/>
      <c r="AP143" s="96"/>
      <c r="AQ143" s="96"/>
      <c r="AR143" s="96"/>
      <c r="AS143" s="96"/>
      <c r="AT143" s="96"/>
      <c r="AU143" s="96"/>
      <c r="AV143" s="96"/>
      <c r="AW143" s="96"/>
      <c r="AX143" s="96"/>
      <c r="AY143" s="96"/>
      <c r="AZ143" s="96"/>
      <c r="BA143" s="96"/>
      <c r="BB143" s="96"/>
      <c r="BC143" s="96"/>
      <c r="BD143" s="96"/>
      <c r="BE143" s="96"/>
      <c r="BF143" s="96"/>
      <c r="BG143" s="96"/>
      <c r="BH143" s="96"/>
      <c r="BI143" s="96"/>
      <c r="BJ143" s="96"/>
      <c r="BK143" s="96"/>
    </row>
    <row r="144" ht="15.75" customHeight="1">
      <c r="A144" s="188"/>
      <c r="B144" s="96"/>
      <c r="C144" s="96"/>
      <c r="D144" s="96"/>
      <c r="E144" s="96"/>
      <c r="F144" s="96"/>
      <c r="G144" s="96"/>
      <c r="H144" s="96"/>
      <c r="I144" s="96"/>
      <c r="J144" s="96"/>
      <c r="K144" s="96"/>
      <c r="L144" s="96"/>
      <c r="M144" s="96"/>
      <c r="N144" s="96"/>
      <c r="O144" s="96"/>
      <c r="P144" s="96"/>
      <c r="Q144" s="96"/>
      <c r="R144" s="96"/>
      <c r="S144" s="96"/>
      <c r="T144" s="96"/>
      <c r="U144" s="96"/>
      <c r="V144" s="96"/>
      <c r="W144" s="96"/>
      <c r="X144" s="96"/>
      <c r="Y144" s="96"/>
      <c r="Z144" s="96"/>
      <c r="AA144" s="96"/>
      <c r="AB144" s="96"/>
      <c r="AC144" s="96"/>
      <c r="AD144" s="96"/>
      <c r="AE144" s="96"/>
      <c r="AF144" s="96"/>
      <c r="AG144" s="96"/>
      <c r="AH144" s="96"/>
      <c r="AI144" s="96"/>
      <c r="AJ144" s="96"/>
      <c r="AK144" s="96"/>
      <c r="AL144" s="96"/>
      <c r="AM144" s="96"/>
      <c r="AN144" s="96"/>
      <c r="AO144" s="96"/>
      <c r="AP144" s="96"/>
      <c r="AQ144" s="96"/>
      <c r="AR144" s="96"/>
      <c r="AS144" s="96"/>
      <c r="AT144" s="96"/>
      <c r="AU144" s="96"/>
      <c r="AV144" s="96"/>
      <c r="AW144" s="96"/>
      <c r="AX144" s="96"/>
      <c r="AY144" s="96"/>
      <c r="AZ144" s="96"/>
      <c r="BA144" s="96"/>
      <c r="BB144" s="96"/>
      <c r="BC144" s="96"/>
      <c r="BD144" s="96"/>
      <c r="BE144" s="96"/>
      <c r="BF144" s="96"/>
      <c r="BG144" s="96"/>
      <c r="BH144" s="96"/>
      <c r="BI144" s="96"/>
      <c r="BJ144" s="96"/>
      <c r="BK144" s="96"/>
    </row>
    <row r="145" ht="15.75" customHeight="1">
      <c r="A145" s="188"/>
      <c r="B145" s="96"/>
      <c r="C145" s="96"/>
      <c r="D145" s="96"/>
      <c r="E145" s="96"/>
      <c r="F145" s="96"/>
      <c r="G145" s="96"/>
      <c r="H145" s="96"/>
      <c r="I145" s="96"/>
      <c r="J145" s="96"/>
      <c r="K145" s="96"/>
      <c r="L145" s="96"/>
      <c r="M145" s="96"/>
      <c r="N145" s="96"/>
      <c r="O145" s="96"/>
      <c r="P145" s="96"/>
      <c r="Q145" s="96"/>
      <c r="R145" s="96"/>
      <c r="S145" s="96"/>
      <c r="T145" s="96"/>
      <c r="U145" s="96"/>
      <c r="V145" s="96"/>
      <c r="W145" s="96"/>
      <c r="X145" s="96"/>
      <c r="Y145" s="96"/>
      <c r="Z145" s="96"/>
      <c r="AA145" s="96"/>
      <c r="AB145" s="96"/>
      <c r="AC145" s="96"/>
      <c r="AD145" s="96"/>
      <c r="AE145" s="96"/>
      <c r="AF145" s="96"/>
      <c r="AG145" s="96"/>
      <c r="AH145" s="96"/>
      <c r="AI145" s="96"/>
      <c r="AJ145" s="96"/>
      <c r="AK145" s="96"/>
      <c r="AL145" s="96"/>
      <c r="AM145" s="96"/>
      <c r="AN145" s="96"/>
      <c r="AO145" s="96"/>
      <c r="AP145" s="96"/>
      <c r="AQ145" s="96"/>
      <c r="AR145" s="96"/>
      <c r="AS145" s="96"/>
      <c r="AT145" s="96"/>
      <c r="AU145" s="96"/>
      <c r="AV145" s="96"/>
      <c r="AW145" s="96"/>
      <c r="AX145" s="96"/>
      <c r="AY145" s="96"/>
      <c r="AZ145" s="96"/>
      <c r="BA145" s="96"/>
      <c r="BB145" s="96"/>
      <c r="BC145" s="96"/>
      <c r="BD145" s="96"/>
      <c r="BE145" s="96"/>
      <c r="BF145" s="96"/>
      <c r="BG145" s="96"/>
      <c r="BH145" s="96"/>
      <c r="BI145" s="96"/>
      <c r="BJ145" s="96"/>
      <c r="BK145" s="96"/>
    </row>
    <row r="146" ht="15.75" customHeight="1">
      <c r="A146" s="188"/>
      <c r="B146" s="96"/>
      <c r="C146" s="96"/>
      <c r="D146" s="96"/>
      <c r="E146" s="96"/>
      <c r="F146" s="96"/>
      <c r="G146" s="96"/>
      <c r="H146" s="96"/>
      <c r="I146" s="96"/>
      <c r="J146" s="96"/>
      <c r="K146" s="96"/>
      <c r="L146" s="96"/>
      <c r="M146" s="96"/>
      <c r="N146" s="96"/>
      <c r="O146" s="96"/>
      <c r="P146" s="96"/>
      <c r="Q146" s="96"/>
      <c r="R146" s="96"/>
      <c r="S146" s="96"/>
      <c r="T146" s="96"/>
      <c r="U146" s="96"/>
      <c r="V146" s="96"/>
      <c r="W146" s="96"/>
      <c r="X146" s="96"/>
      <c r="Y146" s="96"/>
      <c r="Z146" s="96"/>
      <c r="AA146" s="96"/>
      <c r="AB146" s="96"/>
      <c r="AC146" s="96"/>
      <c r="AD146" s="96"/>
      <c r="AE146" s="96"/>
      <c r="AF146" s="96"/>
      <c r="AG146" s="96"/>
      <c r="AH146" s="96"/>
      <c r="AI146" s="96"/>
      <c r="AJ146" s="96"/>
      <c r="AK146" s="96"/>
      <c r="AL146" s="96"/>
      <c r="AM146" s="96"/>
      <c r="AN146" s="96"/>
      <c r="AO146" s="96"/>
      <c r="AP146" s="96"/>
      <c r="AQ146" s="96"/>
      <c r="AR146" s="96"/>
      <c r="AS146" s="96"/>
      <c r="AT146" s="96"/>
      <c r="AU146" s="96"/>
      <c r="AV146" s="96"/>
      <c r="AW146" s="96"/>
      <c r="AX146" s="96"/>
      <c r="AY146" s="96"/>
      <c r="AZ146" s="96"/>
      <c r="BA146" s="96"/>
      <c r="BB146" s="96"/>
      <c r="BC146" s="96"/>
      <c r="BD146" s="96"/>
      <c r="BE146" s="96"/>
      <c r="BF146" s="96"/>
      <c r="BG146" s="96"/>
      <c r="BH146" s="96"/>
      <c r="BI146" s="96"/>
      <c r="BJ146" s="96"/>
      <c r="BK146" s="96"/>
    </row>
    <row r="147" ht="15.75" customHeight="1">
      <c r="A147" s="188"/>
      <c r="B147" s="96"/>
      <c r="C147" s="96"/>
      <c r="D147" s="96"/>
      <c r="E147" s="96"/>
      <c r="F147" s="96"/>
      <c r="G147" s="96"/>
      <c r="H147" s="96"/>
      <c r="I147" s="96"/>
      <c r="J147" s="96"/>
      <c r="K147" s="96"/>
      <c r="L147" s="96"/>
      <c r="M147" s="96"/>
      <c r="N147" s="96"/>
      <c r="O147" s="96"/>
      <c r="P147" s="96"/>
      <c r="Q147" s="96"/>
      <c r="R147" s="96"/>
      <c r="S147" s="96"/>
      <c r="T147" s="96"/>
      <c r="U147" s="96"/>
      <c r="V147" s="96"/>
      <c r="W147" s="96"/>
      <c r="X147" s="96"/>
      <c r="Y147" s="96"/>
      <c r="Z147" s="96"/>
      <c r="AA147" s="96"/>
      <c r="AB147" s="96"/>
      <c r="AC147" s="96"/>
      <c r="AD147" s="96"/>
      <c r="AE147" s="96"/>
      <c r="AF147" s="96"/>
      <c r="AG147" s="96"/>
      <c r="AH147" s="96"/>
      <c r="AI147" s="96"/>
      <c r="AJ147" s="96"/>
      <c r="AK147" s="96"/>
      <c r="AL147" s="96"/>
      <c r="AM147" s="96"/>
      <c r="AN147" s="96"/>
      <c r="AO147" s="96"/>
      <c r="AP147" s="96"/>
      <c r="AQ147" s="96"/>
      <c r="AR147" s="96"/>
      <c r="AS147" s="96"/>
      <c r="AT147" s="96"/>
      <c r="AU147" s="96"/>
      <c r="AV147" s="96"/>
      <c r="AW147" s="96"/>
      <c r="AX147" s="96"/>
      <c r="AY147" s="96"/>
      <c r="AZ147" s="96"/>
      <c r="BA147" s="96"/>
      <c r="BB147" s="96"/>
      <c r="BC147" s="96"/>
      <c r="BD147" s="96"/>
      <c r="BE147" s="96"/>
      <c r="BF147" s="96"/>
      <c r="BG147" s="96"/>
      <c r="BH147" s="96"/>
      <c r="BI147" s="96"/>
      <c r="BJ147" s="96"/>
      <c r="BK147" s="96"/>
    </row>
    <row r="148" ht="15.75" customHeight="1">
      <c r="A148" s="188"/>
      <c r="B148" s="96"/>
      <c r="C148" s="96"/>
      <c r="D148" s="96"/>
      <c r="E148" s="96"/>
      <c r="F148" s="96"/>
      <c r="G148" s="96"/>
      <c r="H148" s="96"/>
      <c r="I148" s="96"/>
      <c r="J148" s="96"/>
      <c r="K148" s="96"/>
      <c r="L148" s="96"/>
      <c r="M148" s="96"/>
      <c r="N148" s="96"/>
      <c r="O148" s="96"/>
      <c r="P148" s="96"/>
      <c r="Q148" s="96"/>
      <c r="R148" s="96"/>
      <c r="S148" s="96"/>
      <c r="T148" s="96"/>
      <c r="U148" s="96"/>
      <c r="V148" s="96"/>
      <c r="W148" s="96"/>
      <c r="X148" s="96"/>
      <c r="Y148" s="96"/>
      <c r="Z148" s="96"/>
      <c r="AA148" s="96"/>
      <c r="AB148" s="96"/>
      <c r="AC148" s="96"/>
      <c r="AD148" s="96"/>
      <c r="AE148" s="96"/>
      <c r="AF148" s="96"/>
      <c r="AG148" s="96"/>
      <c r="AH148" s="96"/>
      <c r="AI148" s="96"/>
      <c r="AJ148" s="96"/>
      <c r="AK148" s="96"/>
      <c r="AL148" s="96"/>
      <c r="AM148" s="96"/>
      <c r="AN148" s="96"/>
      <c r="AO148" s="96"/>
      <c r="AP148" s="96"/>
      <c r="AQ148" s="96"/>
      <c r="AR148" s="96"/>
      <c r="AS148" s="96"/>
      <c r="AT148" s="96"/>
      <c r="AU148" s="96"/>
      <c r="AV148" s="96"/>
      <c r="AW148" s="96"/>
      <c r="AX148" s="96"/>
      <c r="AY148" s="96"/>
      <c r="AZ148" s="96"/>
      <c r="BA148" s="96"/>
      <c r="BB148" s="96"/>
      <c r="BC148" s="96"/>
      <c r="BD148" s="96"/>
      <c r="BE148" s="96"/>
      <c r="BF148" s="96"/>
      <c r="BG148" s="96"/>
      <c r="BH148" s="96"/>
      <c r="BI148" s="96"/>
      <c r="BJ148" s="96"/>
      <c r="BK148" s="96"/>
    </row>
    <row r="149" ht="15.75" customHeight="1">
      <c r="A149" s="188"/>
      <c r="B149" s="96"/>
      <c r="C149" s="96"/>
      <c r="D149" s="96"/>
      <c r="E149" s="96"/>
      <c r="F149" s="96"/>
      <c r="G149" s="96"/>
      <c r="H149" s="96"/>
      <c r="I149" s="96"/>
      <c r="J149" s="96"/>
      <c r="K149" s="96"/>
      <c r="L149" s="96"/>
      <c r="M149" s="96"/>
      <c r="N149" s="96"/>
      <c r="O149" s="96"/>
      <c r="P149" s="96"/>
      <c r="Q149" s="96"/>
      <c r="R149" s="96"/>
      <c r="S149" s="96"/>
      <c r="T149" s="96"/>
      <c r="U149" s="96"/>
      <c r="V149" s="96"/>
      <c r="W149" s="96"/>
      <c r="X149" s="96"/>
      <c r="Y149" s="96"/>
      <c r="Z149" s="96"/>
      <c r="AA149" s="96"/>
      <c r="AB149" s="96"/>
      <c r="AC149" s="96"/>
      <c r="AD149" s="96"/>
      <c r="AE149" s="96"/>
      <c r="AF149" s="96"/>
      <c r="AG149" s="96"/>
      <c r="AH149" s="96"/>
      <c r="AI149" s="96"/>
      <c r="AJ149" s="96"/>
      <c r="AK149" s="96"/>
      <c r="AL149" s="96"/>
      <c r="AM149" s="96"/>
      <c r="AN149" s="96"/>
      <c r="AO149" s="96"/>
      <c r="AP149" s="96"/>
      <c r="AQ149" s="96"/>
      <c r="AR149" s="96"/>
      <c r="AS149" s="96"/>
      <c r="AT149" s="96"/>
      <c r="AU149" s="96"/>
      <c r="AV149" s="96"/>
      <c r="AW149" s="96"/>
      <c r="AX149" s="96"/>
      <c r="AY149" s="96"/>
      <c r="AZ149" s="96"/>
      <c r="BA149" s="96"/>
      <c r="BB149" s="96"/>
      <c r="BC149" s="96"/>
      <c r="BD149" s="96"/>
      <c r="BE149" s="96"/>
      <c r="BF149" s="96"/>
      <c r="BG149" s="96"/>
      <c r="BH149" s="96"/>
      <c r="BI149" s="96"/>
      <c r="BJ149" s="96"/>
      <c r="BK149" s="96"/>
    </row>
    <row r="150" ht="15.75" customHeight="1">
      <c r="A150" s="188"/>
      <c r="B150" s="96"/>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c r="AA150" s="96"/>
      <c r="AB150" s="96"/>
      <c r="AC150" s="96"/>
      <c r="AD150" s="96"/>
      <c r="AE150" s="96"/>
      <c r="AF150" s="96"/>
      <c r="AG150" s="96"/>
      <c r="AH150" s="96"/>
      <c r="AI150" s="96"/>
      <c r="AJ150" s="96"/>
      <c r="AK150" s="96"/>
      <c r="AL150" s="96"/>
      <c r="AM150" s="96"/>
      <c r="AN150" s="96"/>
      <c r="AO150" s="96"/>
      <c r="AP150" s="96"/>
      <c r="AQ150" s="96"/>
      <c r="AR150" s="96"/>
      <c r="AS150" s="96"/>
      <c r="AT150" s="96"/>
      <c r="AU150" s="96"/>
      <c r="AV150" s="96"/>
      <c r="AW150" s="96"/>
      <c r="AX150" s="96"/>
      <c r="AY150" s="96"/>
      <c r="AZ150" s="96"/>
      <c r="BA150" s="96"/>
      <c r="BB150" s="96"/>
      <c r="BC150" s="96"/>
      <c r="BD150" s="96"/>
      <c r="BE150" s="96"/>
      <c r="BF150" s="96"/>
      <c r="BG150" s="96"/>
      <c r="BH150" s="96"/>
      <c r="BI150" s="96"/>
      <c r="BJ150" s="96"/>
      <c r="BK150" s="96"/>
    </row>
    <row r="151" ht="15.75" customHeight="1">
      <c r="A151" s="188"/>
      <c r="B151" s="96"/>
      <c r="C151" s="96"/>
      <c r="D151" s="96"/>
      <c r="E151" s="96"/>
      <c r="F151" s="96"/>
      <c r="G151" s="96"/>
      <c r="H151" s="96"/>
      <c r="I151" s="96"/>
      <c r="J151" s="96"/>
      <c r="K151" s="96"/>
      <c r="L151" s="96"/>
      <c r="M151" s="96"/>
      <c r="N151" s="96"/>
      <c r="O151" s="96"/>
      <c r="P151" s="96"/>
      <c r="Q151" s="96"/>
      <c r="R151" s="96"/>
      <c r="S151" s="96"/>
      <c r="T151" s="96"/>
      <c r="U151" s="96"/>
      <c r="V151" s="96"/>
      <c r="W151" s="96"/>
      <c r="X151" s="96"/>
      <c r="Y151" s="96"/>
      <c r="Z151" s="96"/>
      <c r="AA151" s="96"/>
      <c r="AB151" s="96"/>
      <c r="AC151" s="96"/>
      <c r="AD151" s="96"/>
      <c r="AE151" s="96"/>
      <c r="AF151" s="96"/>
      <c r="AG151" s="96"/>
      <c r="AH151" s="96"/>
      <c r="AI151" s="96"/>
      <c r="AJ151" s="96"/>
      <c r="AK151" s="96"/>
      <c r="AL151" s="96"/>
      <c r="AM151" s="96"/>
      <c r="AN151" s="96"/>
      <c r="AO151" s="96"/>
      <c r="AP151" s="96"/>
      <c r="AQ151" s="96"/>
      <c r="AR151" s="96"/>
      <c r="AS151" s="96"/>
      <c r="AT151" s="96"/>
      <c r="AU151" s="96"/>
      <c r="AV151" s="96"/>
      <c r="AW151" s="96"/>
      <c r="AX151" s="96"/>
      <c r="AY151" s="96"/>
      <c r="AZ151" s="96"/>
      <c r="BA151" s="96"/>
      <c r="BB151" s="96"/>
      <c r="BC151" s="96"/>
      <c r="BD151" s="96"/>
      <c r="BE151" s="96"/>
      <c r="BF151" s="96"/>
      <c r="BG151" s="96"/>
      <c r="BH151" s="96"/>
      <c r="BI151" s="96"/>
      <c r="BJ151" s="96"/>
      <c r="BK151" s="96"/>
    </row>
    <row r="152" ht="15.75" customHeight="1">
      <c r="A152" s="188"/>
      <c r="B152" s="96"/>
      <c r="C152" s="96"/>
      <c r="D152" s="96"/>
      <c r="E152" s="96"/>
      <c r="F152" s="96"/>
      <c r="G152" s="96"/>
      <c r="H152" s="96"/>
      <c r="I152" s="96"/>
      <c r="J152" s="96"/>
      <c r="K152" s="96"/>
      <c r="L152" s="96"/>
      <c r="M152" s="96"/>
      <c r="N152" s="96"/>
      <c r="O152" s="96"/>
      <c r="P152" s="96"/>
      <c r="Q152" s="96"/>
      <c r="R152" s="96"/>
      <c r="S152" s="96"/>
      <c r="T152" s="96"/>
      <c r="U152" s="96"/>
      <c r="V152" s="96"/>
      <c r="W152" s="96"/>
      <c r="X152" s="96"/>
      <c r="Y152" s="96"/>
      <c r="Z152" s="96"/>
      <c r="AA152" s="96"/>
      <c r="AB152" s="96"/>
      <c r="AC152" s="96"/>
      <c r="AD152" s="96"/>
      <c r="AE152" s="96"/>
      <c r="AF152" s="96"/>
      <c r="AG152" s="96"/>
      <c r="AH152" s="96"/>
      <c r="AI152" s="96"/>
      <c r="AJ152" s="96"/>
      <c r="AK152" s="96"/>
      <c r="AL152" s="96"/>
      <c r="AM152" s="96"/>
      <c r="AN152" s="96"/>
      <c r="AO152" s="96"/>
      <c r="AP152" s="96"/>
      <c r="AQ152" s="96"/>
      <c r="AR152" s="96"/>
      <c r="AS152" s="96"/>
      <c r="AT152" s="96"/>
      <c r="AU152" s="96"/>
      <c r="AV152" s="96"/>
      <c r="AW152" s="96"/>
      <c r="AX152" s="96"/>
      <c r="AY152" s="96"/>
      <c r="AZ152" s="96"/>
      <c r="BA152" s="96"/>
      <c r="BB152" s="96"/>
      <c r="BC152" s="96"/>
      <c r="BD152" s="96"/>
      <c r="BE152" s="96"/>
      <c r="BF152" s="96"/>
      <c r="BG152" s="96"/>
      <c r="BH152" s="96"/>
      <c r="BI152" s="96"/>
      <c r="BJ152" s="96"/>
      <c r="BK152" s="96"/>
    </row>
    <row r="153" ht="15.75" customHeight="1">
      <c r="A153" s="188"/>
      <c r="B153" s="96"/>
      <c r="C153" s="96"/>
      <c r="D153" s="96"/>
      <c r="E153" s="96"/>
      <c r="F153" s="96"/>
      <c r="G153" s="96"/>
      <c r="H153" s="96"/>
      <c r="I153" s="96"/>
      <c r="J153" s="96"/>
      <c r="K153" s="96"/>
      <c r="L153" s="96"/>
      <c r="M153" s="96"/>
      <c r="N153" s="96"/>
      <c r="O153" s="96"/>
      <c r="P153" s="96"/>
      <c r="Q153" s="96"/>
      <c r="R153" s="96"/>
      <c r="S153" s="96"/>
      <c r="T153" s="96"/>
      <c r="U153" s="96"/>
      <c r="V153" s="96"/>
      <c r="W153" s="96"/>
      <c r="X153" s="96"/>
      <c r="Y153" s="96"/>
      <c r="Z153" s="96"/>
      <c r="AA153" s="96"/>
      <c r="AB153" s="96"/>
      <c r="AC153" s="96"/>
      <c r="AD153" s="96"/>
      <c r="AE153" s="96"/>
      <c r="AF153" s="96"/>
      <c r="AG153" s="96"/>
      <c r="AH153" s="96"/>
      <c r="AI153" s="96"/>
      <c r="AJ153" s="96"/>
      <c r="AK153" s="96"/>
      <c r="AL153" s="96"/>
      <c r="AM153" s="96"/>
      <c r="AN153" s="96"/>
      <c r="AO153" s="96"/>
      <c r="AP153" s="96"/>
      <c r="AQ153" s="96"/>
      <c r="AR153" s="96"/>
      <c r="AS153" s="96"/>
      <c r="AT153" s="96"/>
      <c r="AU153" s="96"/>
      <c r="AV153" s="96"/>
      <c r="AW153" s="96"/>
      <c r="AX153" s="96"/>
      <c r="AY153" s="96"/>
      <c r="AZ153" s="96"/>
      <c r="BA153" s="96"/>
      <c r="BB153" s="96"/>
      <c r="BC153" s="96"/>
      <c r="BD153" s="96"/>
      <c r="BE153" s="96"/>
      <c r="BF153" s="96"/>
      <c r="BG153" s="96"/>
      <c r="BH153" s="96"/>
      <c r="BI153" s="96"/>
      <c r="BJ153" s="96"/>
      <c r="BK153" s="96"/>
    </row>
    <row r="154" ht="15.75" customHeight="1">
      <c r="A154" s="188"/>
      <c r="B154" s="96"/>
      <c r="C154" s="96"/>
      <c r="D154" s="96"/>
      <c r="E154" s="96"/>
      <c r="F154" s="96"/>
      <c r="G154" s="96"/>
      <c r="H154" s="96"/>
      <c r="I154" s="96"/>
      <c r="J154" s="96"/>
      <c r="K154" s="96"/>
      <c r="L154" s="96"/>
      <c r="M154" s="96"/>
      <c r="N154" s="96"/>
      <c r="O154" s="96"/>
      <c r="P154" s="96"/>
      <c r="Q154" s="96"/>
      <c r="R154" s="96"/>
      <c r="S154" s="96"/>
      <c r="T154" s="96"/>
      <c r="U154" s="96"/>
      <c r="V154" s="96"/>
      <c r="W154" s="96"/>
      <c r="X154" s="96"/>
      <c r="Y154" s="96"/>
      <c r="Z154" s="96"/>
      <c r="AA154" s="96"/>
      <c r="AB154" s="96"/>
      <c r="AC154" s="96"/>
      <c r="AD154" s="96"/>
      <c r="AE154" s="96"/>
      <c r="AF154" s="96"/>
      <c r="AG154" s="96"/>
      <c r="AH154" s="96"/>
      <c r="AI154" s="96"/>
      <c r="AJ154" s="96"/>
      <c r="AK154" s="96"/>
      <c r="AL154" s="96"/>
      <c r="AM154" s="96"/>
      <c r="AN154" s="96"/>
      <c r="AO154" s="96"/>
      <c r="AP154" s="96"/>
      <c r="AQ154" s="96"/>
      <c r="AR154" s="96"/>
      <c r="AS154" s="96"/>
      <c r="AT154" s="96"/>
      <c r="AU154" s="96"/>
      <c r="AV154" s="96"/>
      <c r="AW154" s="96"/>
      <c r="AX154" s="96"/>
      <c r="AY154" s="96"/>
      <c r="AZ154" s="96"/>
      <c r="BA154" s="96"/>
      <c r="BB154" s="96"/>
      <c r="BC154" s="96"/>
      <c r="BD154" s="96"/>
      <c r="BE154" s="96"/>
      <c r="BF154" s="96"/>
      <c r="BG154" s="96"/>
      <c r="BH154" s="96"/>
      <c r="BI154" s="96"/>
      <c r="BJ154" s="96"/>
      <c r="BK154" s="96"/>
    </row>
    <row r="155" ht="15.75" customHeight="1">
      <c r="A155" s="188"/>
      <c r="B155" s="96"/>
      <c r="C155" s="96"/>
      <c r="D155" s="96"/>
      <c r="E155" s="96"/>
      <c r="F155" s="96"/>
      <c r="G155" s="96"/>
      <c r="H155" s="96"/>
      <c r="I155" s="96"/>
      <c r="J155" s="96"/>
      <c r="K155" s="96"/>
      <c r="L155" s="96"/>
      <c r="M155" s="96"/>
      <c r="N155" s="96"/>
      <c r="O155" s="96"/>
      <c r="P155" s="96"/>
      <c r="Q155" s="96"/>
      <c r="R155" s="96"/>
      <c r="S155" s="96"/>
      <c r="T155" s="96"/>
      <c r="U155" s="96"/>
      <c r="V155" s="96"/>
      <c r="W155" s="96"/>
      <c r="X155" s="96"/>
      <c r="Y155" s="96"/>
      <c r="Z155" s="96"/>
      <c r="AA155" s="96"/>
      <c r="AB155" s="96"/>
      <c r="AC155" s="96"/>
      <c r="AD155" s="96"/>
      <c r="AE155" s="96"/>
      <c r="AF155" s="96"/>
      <c r="AG155" s="96"/>
      <c r="AH155" s="96"/>
      <c r="AI155" s="96"/>
      <c r="AJ155" s="96"/>
      <c r="AK155" s="96"/>
      <c r="AL155" s="96"/>
      <c r="AM155" s="96"/>
      <c r="AN155" s="96"/>
      <c r="AO155" s="96"/>
      <c r="AP155" s="96"/>
      <c r="AQ155" s="96"/>
      <c r="AR155" s="96"/>
      <c r="AS155" s="96"/>
      <c r="AT155" s="96"/>
      <c r="AU155" s="96"/>
      <c r="AV155" s="96"/>
      <c r="AW155" s="96"/>
      <c r="AX155" s="96"/>
      <c r="AY155" s="96"/>
      <c r="AZ155" s="96"/>
      <c r="BA155" s="96"/>
      <c r="BB155" s="96"/>
      <c r="BC155" s="96"/>
      <c r="BD155" s="96"/>
      <c r="BE155" s="96"/>
      <c r="BF155" s="96"/>
      <c r="BG155" s="96"/>
      <c r="BH155" s="96"/>
      <c r="BI155" s="96"/>
      <c r="BJ155" s="96"/>
      <c r="BK155" s="96"/>
    </row>
    <row r="156" ht="15.75" customHeight="1">
      <c r="A156" s="188"/>
      <c r="B156" s="96"/>
      <c r="C156" s="96"/>
      <c r="D156" s="96"/>
      <c r="E156" s="96"/>
      <c r="F156" s="96"/>
      <c r="G156" s="96"/>
      <c r="H156" s="96"/>
      <c r="I156" s="96"/>
      <c r="J156" s="96"/>
      <c r="K156" s="96"/>
      <c r="L156" s="96"/>
      <c r="M156" s="96"/>
      <c r="N156" s="96"/>
      <c r="O156" s="96"/>
      <c r="P156" s="96"/>
      <c r="Q156" s="96"/>
      <c r="R156" s="96"/>
      <c r="S156" s="96"/>
      <c r="T156" s="96"/>
      <c r="U156" s="96"/>
      <c r="V156" s="96"/>
      <c r="W156" s="96"/>
      <c r="X156" s="96"/>
      <c r="Y156" s="96"/>
      <c r="Z156" s="96"/>
      <c r="AA156" s="96"/>
      <c r="AB156" s="96"/>
      <c r="AC156" s="96"/>
      <c r="AD156" s="96"/>
      <c r="AE156" s="96"/>
      <c r="AF156" s="96"/>
      <c r="AG156" s="96"/>
      <c r="AH156" s="96"/>
      <c r="AI156" s="96"/>
      <c r="AJ156" s="96"/>
      <c r="AK156" s="96"/>
      <c r="AL156" s="96"/>
      <c r="AM156" s="96"/>
      <c r="AN156" s="96"/>
      <c r="AO156" s="96"/>
      <c r="AP156" s="96"/>
      <c r="AQ156" s="96"/>
      <c r="AR156" s="96"/>
      <c r="AS156" s="96"/>
      <c r="AT156" s="96"/>
      <c r="AU156" s="96"/>
      <c r="AV156" s="96"/>
      <c r="AW156" s="96"/>
      <c r="AX156" s="96"/>
      <c r="AY156" s="96"/>
      <c r="AZ156" s="96"/>
      <c r="BA156" s="96"/>
      <c r="BB156" s="96"/>
      <c r="BC156" s="96"/>
      <c r="BD156" s="96"/>
      <c r="BE156" s="96"/>
      <c r="BF156" s="96"/>
      <c r="BG156" s="96"/>
      <c r="BH156" s="96"/>
      <c r="BI156" s="96"/>
      <c r="BJ156" s="96"/>
      <c r="BK156" s="96"/>
    </row>
    <row r="157" ht="15.75" customHeight="1">
      <c r="A157" s="188"/>
      <c r="B157" s="96"/>
      <c r="C157" s="96"/>
      <c r="D157" s="96"/>
      <c r="E157" s="96"/>
      <c r="F157" s="96"/>
      <c r="G157" s="96"/>
      <c r="H157" s="96"/>
      <c r="I157" s="96"/>
      <c r="J157" s="96"/>
      <c r="K157" s="96"/>
      <c r="L157" s="96"/>
      <c r="M157" s="96"/>
      <c r="N157" s="96"/>
      <c r="O157" s="96"/>
      <c r="P157" s="96"/>
      <c r="Q157" s="96"/>
      <c r="R157" s="96"/>
      <c r="S157" s="96"/>
      <c r="T157" s="96"/>
      <c r="U157" s="96"/>
      <c r="V157" s="96"/>
      <c r="W157" s="96"/>
      <c r="X157" s="96"/>
      <c r="Y157" s="96"/>
      <c r="Z157" s="96"/>
      <c r="AA157" s="96"/>
      <c r="AB157" s="96"/>
      <c r="AC157" s="96"/>
      <c r="AD157" s="96"/>
      <c r="AE157" s="96"/>
      <c r="AF157" s="96"/>
      <c r="AG157" s="96"/>
      <c r="AH157" s="96"/>
      <c r="AI157" s="96"/>
      <c r="AJ157" s="96"/>
      <c r="AK157" s="96"/>
      <c r="AL157" s="96"/>
      <c r="AM157" s="96"/>
      <c r="AN157" s="96"/>
      <c r="AO157" s="96"/>
      <c r="AP157" s="96"/>
      <c r="AQ157" s="96"/>
      <c r="AR157" s="96"/>
      <c r="AS157" s="96"/>
      <c r="AT157" s="96"/>
      <c r="AU157" s="96"/>
      <c r="AV157" s="96"/>
      <c r="AW157" s="96"/>
      <c r="AX157" s="96"/>
      <c r="AY157" s="96"/>
      <c r="AZ157" s="96"/>
      <c r="BA157" s="96"/>
      <c r="BB157" s="96"/>
      <c r="BC157" s="96"/>
      <c r="BD157" s="96"/>
      <c r="BE157" s="96"/>
      <c r="BF157" s="96"/>
      <c r="BG157" s="96"/>
      <c r="BH157" s="96"/>
      <c r="BI157" s="96"/>
      <c r="BJ157" s="96"/>
      <c r="BK157" s="96"/>
    </row>
    <row r="158" ht="15.75" customHeight="1">
      <c r="A158" s="188"/>
      <c r="B158" s="96"/>
      <c r="C158" s="96"/>
      <c r="D158" s="96"/>
      <c r="E158" s="96"/>
      <c r="F158" s="96"/>
      <c r="G158" s="96"/>
      <c r="H158" s="96"/>
      <c r="I158" s="96"/>
      <c r="J158" s="96"/>
      <c r="K158" s="96"/>
      <c r="L158" s="96"/>
      <c r="M158" s="96"/>
      <c r="N158" s="96"/>
      <c r="O158" s="96"/>
      <c r="P158" s="96"/>
      <c r="Q158" s="96"/>
      <c r="R158" s="96"/>
      <c r="S158" s="96"/>
      <c r="T158" s="96"/>
      <c r="U158" s="96"/>
      <c r="V158" s="96"/>
      <c r="W158" s="96"/>
      <c r="X158" s="96"/>
      <c r="Y158" s="96"/>
      <c r="Z158" s="96"/>
      <c r="AA158" s="96"/>
      <c r="AB158" s="96"/>
      <c r="AC158" s="96"/>
      <c r="AD158" s="96"/>
      <c r="AE158" s="96"/>
      <c r="AF158" s="96"/>
      <c r="AG158" s="96"/>
      <c r="AH158" s="96"/>
      <c r="AI158" s="96"/>
      <c r="AJ158" s="96"/>
      <c r="AK158" s="96"/>
      <c r="AL158" s="96"/>
      <c r="AM158" s="96"/>
      <c r="AN158" s="96"/>
      <c r="AO158" s="96"/>
      <c r="AP158" s="96"/>
      <c r="AQ158" s="96"/>
      <c r="AR158" s="96"/>
      <c r="AS158" s="96"/>
      <c r="AT158" s="96"/>
      <c r="AU158" s="96"/>
      <c r="AV158" s="96"/>
      <c r="AW158" s="96"/>
      <c r="AX158" s="96"/>
      <c r="AY158" s="96"/>
      <c r="AZ158" s="96"/>
      <c r="BA158" s="96"/>
      <c r="BB158" s="96"/>
      <c r="BC158" s="96"/>
      <c r="BD158" s="96"/>
      <c r="BE158" s="96"/>
      <c r="BF158" s="96"/>
      <c r="BG158" s="96"/>
      <c r="BH158" s="96"/>
      <c r="BI158" s="96"/>
      <c r="BJ158" s="96"/>
      <c r="BK158" s="96"/>
    </row>
    <row r="159" ht="15.75" customHeight="1">
      <c r="A159" s="188"/>
      <c r="B159" s="96"/>
      <c r="C159" s="96"/>
      <c r="D159" s="96"/>
      <c r="E159" s="96"/>
      <c r="F159" s="96"/>
      <c r="G159" s="96"/>
      <c r="H159" s="96"/>
      <c r="I159" s="96"/>
      <c r="J159" s="96"/>
      <c r="K159" s="96"/>
      <c r="L159" s="96"/>
      <c r="M159" s="96"/>
      <c r="N159" s="96"/>
      <c r="O159" s="96"/>
      <c r="P159" s="96"/>
      <c r="Q159" s="96"/>
      <c r="R159" s="96"/>
      <c r="S159" s="96"/>
      <c r="T159" s="96"/>
      <c r="U159" s="96"/>
      <c r="V159" s="96"/>
      <c r="W159" s="96"/>
      <c r="X159" s="96"/>
      <c r="Y159" s="96"/>
      <c r="Z159" s="96"/>
      <c r="AA159" s="96"/>
      <c r="AB159" s="96"/>
      <c r="AC159" s="96"/>
      <c r="AD159" s="96"/>
      <c r="AE159" s="96"/>
      <c r="AF159" s="96"/>
      <c r="AG159" s="96"/>
      <c r="AH159" s="96"/>
      <c r="AI159" s="96"/>
      <c r="AJ159" s="96"/>
      <c r="AK159" s="96"/>
      <c r="AL159" s="96"/>
      <c r="AM159" s="96"/>
      <c r="AN159" s="96"/>
      <c r="AO159" s="96"/>
      <c r="AP159" s="96"/>
      <c r="AQ159" s="96"/>
      <c r="AR159" s="96"/>
      <c r="AS159" s="96"/>
      <c r="AT159" s="96"/>
      <c r="AU159" s="96"/>
      <c r="AV159" s="96"/>
      <c r="AW159" s="96"/>
      <c r="AX159" s="96"/>
      <c r="AY159" s="96"/>
      <c r="AZ159" s="96"/>
      <c r="BA159" s="96"/>
      <c r="BB159" s="96"/>
      <c r="BC159" s="96"/>
      <c r="BD159" s="96"/>
      <c r="BE159" s="96"/>
      <c r="BF159" s="96"/>
      <c r="BG159" s="96"/>
      <c r="BH159" s="96"/>
      <c r="BI159" s="96"/>
      <c r="BJ159" s="96"/>
      <c r="BK159" s="96"/>
    </row>
    <row r="160" ht="15.75" customHeight="1">
      <c r="A160" s="188"/>
      <c r="B160" s="96"/>
      <c r="C160" s="96"/>
      <c r="D160" s="96"/>
      <c r="E160" s="96"/>
      <c r="F160" s="96"/>
      <c r="G160" s="96"/>
      <c r="H160" s="96"/>
      <c r="I160" s="96"/>
      <c r="J160" s="96"/>
      <c r="K160" s="96"/>
      <c r="L160" s="96"/>
      <c r="M160" s="96"/>
      <c r="N160" s="96"/>
      <c r="O160" s="96"/>
      <c r="P160" s="96"/>
      <c r="Q160" s="96"/>
      <c r="R160" s="96"/>
      <c r="S160" s="96"/>
      <c r="T160" s="96"/>
      <c r="U160" s="96"/>
      <c r="V160" s="96"/>
      <c r="W160" s="96"/>
      <c r="X160" s="96"/>
      <c r="Y160" s="96"/>
      <c r="Z160" s="96"/>
      <c r="AA160" s="96"/>
      <c r="AB160" s="96"/>
      <c r="AC160" s="96"/>
      <c r="AD160" s="96"/>
      <c r="AE160" s="96"/>
      <c r="AF160" s="96"/>
      <c r="AG160" s="96"/>
      <c r="AH160" s="96"/>
      <c r="AI160" s="96"/>
      <c r="AJ160" s="96"/>
      <c r="AK160" s="96"/>
      <c r="AL160" s="96"/>
      <c r="AM160" s="96"/>
      <c r="AN160" s="96"/>
      <c r="AO160" s="96"/>
      <c r="AP160" s="96"/>
      <c r="AQ160" s="96"/>
      <c r="AR160" s="96"/>
      <c r="AS160" s="96"/>
      <c r="AT160" s="96"/>
      <c r="AU160" s="96"/>
      <c r="AV160" s="96"/>
      <c r="AW160" s="96"/>
      <c r="AX160" s="96"/>
      <c r="AY160" s="96"/>
      <c r="AZ160" s="96"/>
      <c r="BA160" s="96"/>
      <c r="BB160" s="96"/>
      <c r="BC160" s="96"/>
      <c r="BD160" s="96"/>
      <c r="BE160" s="96"/>
      <c r="BF160" s="96"/>
      <c r="BG160" s="96"/>
      <c r="BH160" s="96"/>
      <c r="BI160" s="96"/>
      <c r="BJ160" s="96"/>
      <c r="BK160" s="96"/>
    </row>
    <row r="161" ht="15.75" customHeight="1">
      <c r="A161" s="188"/>
      <c r="B161" s="96"/>
      <c r="C161" s="96"/>
      <c r="D161" s="96"/>
      <c r="E161" s="96"/>
      <c r="F161" s="96"/>
      <c r="G161" s="96"/>
      <c r="H161" s="96"/>
      <c r="I161" s="96"/>
      <c r="J161" s="96"/>
      <c r="K161" s="96"/>
      <c r="L161" s="96"/>
      <c r="M161" s="96"/>
      <c r="N161" s="96"/>
      <c r="O161" s="96"/>
      <c r="P161" s="96"/>
      <c r="Q161" s="96"/>
      <c r="R161" s="96"/>
      <c r="S161" s="96"/>
      <c r="T161" s="96"/>
      <c r="U161" s="96"/>
      <c r="V161" s="96"/>
      <c r="W161" s="96"/>
      <c r="X161" s="96"/>
      <c r="Y161" s="96"/>
      <c r="Z161" s="96"/>
      <c r="AA161" s="96"/>
      <c r="AB161" s="96"/>
      <c r="AC161" s="96"/>
      <c r="AD161" s="96"/>
      <c r="AE161" s="96"/>
      <c r="AF161" s="96"/>
      <c r="AG161" s="96"/>
      <c r="AH161" s="96"/>
      <c r="AI161" s="96"/>
      <c r="AJ161" s="96"/>
      <c r="AK161" s="96"/>
      <c r="AL161" s="96"/>
      <c r="AM161" s="96"/>
      <c r="AN161" s="96"/>
      <c r="AO161" s="96"/>
      <c r="AP161" s="96"/>
      <c r="AQ161" s="96"/>
      <c r="AR161" s="96"/>
      <c r="AS161" s="96"/>
      <c r="AT161" s="96"/>
      <c r="AU161" s="96"/>
      <c r="AV161" s="96"/>
      <c r="AW161" s="96"/>
      <c r="AX161" s="96"/>
      <c r="AY161" s="96"/>
      <c r="AZ161" s="96"/>
      <c r="BA161" s="96"/>
      <c r="BB161" s="96"/>
      <c r="BC161" s="96"/>
      <c r="BD161" s="96"/>
      <c r="BE161" s="96"/>
      <c r="BF161" s="96"/>
      <c r="BG161" s="96"/>
      <c r="BH161" s="96"/>
      <c r="BI161" s="96"/>
      <c r="BJ161" s="96"/>
      <c r="BK161" s="96"/>
    </row>
    <row r="162" ht="15.75" customHeight="1">
      <c r="A162" s="188"/>
      <c r="B162" s="96"/>
      <c r="C162" s="96"/>
      <c r="D162" s="96"/>
      <c r="E162" s="96"/>
      <c r="F162" s="96"/>
      <c r="G162" s="96"/>
      <c r="H162" s="96"/>
      <c r="I162" s="96"/>
      <c r="J162" s="96"/>
      <c r="K162" s="96"/>
      <c r="L162" s="96"/>
      <c r="M162" s="96"/>
      <c r="N162" s="96"/>
      <c r="O162" s="96"/>
      <c r="P162" s="96"/>
      <c r="Q162" s="96"/>
      <c r="R162" s="96"/>
      <c r="S162" s="96"/>
      <c r="T162" s="96"/>
      <c r="U162" s="96"/>
      <c r="V162" s="96"/>
      <c r="W162" s="96"/>
      <c r="X162" s="96"/>
      <c r="Y162" s="96"/>
      <c r="Z162" s="96"/>
      <c r="AA162" s="96"/>
      <c r="AB162" s="96"/>
      <c r="AC162" s="96"/>
      <c r="AD162" s="96"/>
      <c r="AE162" s="96"/>
      <c r="AF162" s="96"/>
      <c r="AG162" s="96"/>
      <c r="AH162" s="96"/>
      <c r="AI162" s="96"/>
      <c r="AJ162" s="96"/>
      <c r="AK162" s="96"/>
      <c r="AL162" s="96"/>
      <c r="AM162" s="96"/>
      <c r="AN162" s="96"/>
      <c r="AO162" s="96"/>
      <c r="AP162" s="96"/>
      <c r="AQ162" s="96"/>
      <c r="AR162" s="96"/>
      <c r="AS162" s="96"/>
      <c r="AT162" s="96"/>
      <c r="AU162" s="96"/>
      <c r="AV162" s="96"/>
      <c r="AW162" s="96"/>
      <c r="AX162" s="96"/>
      <c r="AY162" s="96"/>
      <c r="AZ162" s="96"/>
      <c r="BA162" s="96"/>
      <c r="BB162" s="96"/>
      <c r="BC162" s="96"/>
      <c r="BD162" s="96"/>
      <c r="BE162" s="96"/>
      <c r="BF162" s="96"/>
      <c r="BG162" s="96"/>
      <c r="BH162" s="96"/>
      <c r="BI162" s="96"/>
      <c r="BJ162" s="96"/>
      <c r="BK162" s="96"/>
    </row>
    <row r="163" ht="15.75" customHeight="1">
      <c r="A163" s="188"/>
      <c r="B163" s="96"/>
      <c r="C163" s="96"/>
      <c r="D163" s="96"/>
      <c r="E163" s="96"/>
      <c r="F163" s="96"/>
      <c r="G163" s="96"/>
      <c r="H163" s="96"/>
      <c r="I163" s="96"/>
      <c r="J163" s="96"/>
      <c r="K163" s="96"/>
      <c r="L163" s="96"/>
      <c r="M163" s="96"/>
      <c r="N163" s="96"/>
      <c r="O163" s="96"/>
      <c r="P163" s="96"/>
      <c r="Q163" s="96"/>
      <c r="R163" s="96"/>
      <c r="S163" s="96"/>
      <c r="T163" s="96"/>
      <c r="U163" s="96"/>
      <c r="V163" s="96"/>
      <c r="W163" s="96"/>
      <c r="X163" s="96"/>
      <c r="Y163" s="96"/>
      <c r="Z163" s="96"/>
      <c r="AA163" s="96"/>
      <c r="AB163" s="96"/>
      <c r="AC163" s="96"/>
      <c r="AD163" s="96"/>
      <c r="AE163" s="96"/>
      <c r="AF163" s="96"/>
      <c r="AG163" s="96"/>
      <c r="AH163" s="96"/>
      <c r="AI163" s="96"/>
      <c r="AJ163" s="96"/>
      <c r="AK163" s="96"/>
      <c r="AL163" s="96"/>
      <c r="AM163" s="96"/>
      <c r="AN163" s="96"/>
      <c r="AO163" s="96"/>
      <c r="AP163" s="96"/>
      <c r="AQ163" s="96"/>
      <c r="AR163" s="96"/>
      <c r="AS163" s="96"/>
      <c r="AT163" s="96"/>
      <c r="AU163" s="96"/>
      <c r="AV163" s="96"/>
      <c r="AW163" s="96"/>
      <c r="AX163" s="96"/>
      <c r="AY163" s="96"/>
      <c r="AZ163" s="96"/>
      <c r="BA163" s="96"/>
      <c r="BB163" s="96"/>
      <c r="BC163" s="96"/>
      <c r="BD163" s="96"/>
      <c r="BE163" s="96"/>
      <c r="BF163" s="96"/>
      <c r="BG163" s="96"/>
      <c r="BH163" s="96"/>
      <c r="BI163" s="96"/>
      <c r="BJ163" s="96"/>
      <c r="BK163" s="96"/>
    </row>
    <row r="164" ht="15.75" customHeight="1">
      <c r="A164" s="188"/>
      <c r="B164" s="96"/>
      <c r="C164" s="96"/>
      <c r="D164" s="96"/>
      <c r="E164" s="96"/>
      <c r="F164" s="96"/>
      <c r="G164" s="96"/>
      <c r="H164" s="96"/>
      <c r="I164" s="96"/>
      <c r="J164" s="96"/>
      <c r="K164" s="96"/>
      <c r="L164" s="96"/>
      <c r="M164" s="96"/>
      <c r="N164" s="96"/>
      <c r="O164" s="96"/>
      <c r="P164" s="96"/>
      <c r="Q164" s="96"/>
      <c r="R164" s="96"/>
      <c r="S164" s="96"/>
      <c r="T164" s="96"/>
      <c r="U164" s="96"/>
      <c r="V164" s="96"/>
      <c r="W164" s="96"/>
      <c r="X164" s="96"/>
      <c r="Y164" s="96"/>
      <c r="Z164" s="96"/>
      <c r="AA164" s="96"/>
      <c r="AB164" s="96"/>
      <c r="AC164" s="96"/>
      <c r="AD164" s="96"/>
      <c r="AE164" s="96"/>
      <c r="AF164" s="96"/>
      <c r="AG164" s="96"/>
      <c r="AH164" s="96"/>
      <c r="AI164" s="96"/>
      <c r="AJ164" s="96"/>
      <c r="AK164" s="96"/>
      <c r="AL164" s="96"/>
      <c r="AM164" s="96"/>
      <c r="AN164" s="96"/>
      <c r="AO164" s="96"/>
      <c r="AP164" s="96"/>
      <c r="AQ164" s="96"/>
      <c r="AR164" s="96"/>
      <c r="AS164" s="96"/>
      <c r="AT164" s="96"/>
      <c r="AU164" s="96"/>
      <c r="AV164" s="96"/>
      <c r="AW164" s="96"/>
      <c r="AX164" s="96"/>
      <c r="AY164" s="96"/>
      <c r="AZ164" s="96"/>
      <c r="BA164" s="96"/>
      <c r="BB164" s="96"/>
      <c r="BC164" s="96"/>
      <c r="BD164" s="96"/>
      <c r="BE164" s="96"/>
      <c r="BF164" s="96"/>
      <c r="BG164" s="96"/>
      <c r="BH164" s="96"/>
      <c r="BI164" s="96"/>
      <c r="BJ164" s="96"/>
      <c r="BK164" s="96"/>
    </row>
    <row r="165" ht="15.75" customHeight="1">
      <c r="A165" s="188"/>
      <c r="B165" s="96"/>
      <c r="C165" s="96"/>
      <c r="D165" s="96"/>
      <c r="E165" s="96"/>
      <c r="F165" s="96"/>
      <c r="G165" s="96"/>
      <c r="H165" s="96"/>
      <c r="I165" s="96"/>
      <c r="J165" s="96"/>
      <c r="K165" s="96"/>
      <c r="L165" s="96"/>
      <c r="M165" s="96"/>
      <c r="N165" s="96"/>
      <c r="O165" s="96"/>
      <c r="P165" s="96"/>
      <c r="Q165" s="96"/>
      <c r="R165" s="96"/>
      <c r="S165" s="96"/>
      <c r="T165" s="96"/>
      <c r="U165" s="96"/>
      <c r="V165" s="96"/>
      <c r="W165" s="96"/>
      <c r="X165" s="96"/>
      <c r="Y165" s="96"/>
      <c r="Z165" s="96"/>
      <c r="AA165" s="96"/>
      <c r="AB165" s="96"/>
      <c r="AC165" s="96"/>
      <c r="AD165" s="96"/>
      <c r="AE165" s="96"/>
      <c r="AF165" s="96"/>
      <c r="AG165" s="96"/>
      <c r="AH165" s="96"/>
      <c r="AI165" s="96"/>
      <c r="AJ165" s="96"/>
      <c r="AK165" s="96"/>
      <c r="AL165" s="96"/>
      <c r="AM165" s="96"/>
      <c r="AN165" s="96"/>
      <c r="AO165" s="96"/>
      <c r="AP165" s="96"/>
      <c r="AQ165" s="96"/>
      <c r="AR165" s="96"/>
      <c r="AS165" s="96"/>
      <c r="AT165" s="96"/>
      <c r="AU165" s="96"/>
      <c r="AV165" s="96"/>
      <c r="AW165" s="96"/>
      <c r="AX165" s="96"/>
      <c r="AY165" s="96"/>
      <c r="AZ165" s="96"/>
      <c r="BA165" s="96"/>
      <c r="BB165" s="96"/>
      <c r="BC165" s="96"/>
      <c r="BD165" s="96"/>
      <c r="BE165" s="96"/>
      <c r="BF165" s="96"/>
      <c r="BG165" s="96"/>
      <c r="BH165" s="96"/>
      <c r="BI165" s="96"/>
      <c r="BJ165" s="96"/>
      <c r="BK165" s="96"/>
    </row>
    <row r="166" ht="15.75" customHeight="1">
      <c r="A166" s="188"/>
      <c r="B166" s="96"/>
      <c r="C166" s="96"/>
      <c r="D166" s="96"/>
      <c r="E166" s="96"/>
      <c r="F166" s="96"/>
      <c r="G166" s="96"/>
      <c r="H166" s="96"/>
      <c r="I166" s="96"/>
      <c r="J166" s="96"/>
      <c r="K166" s="96"/>
      <c r="L166" s="96"/>
      <c r="M166" s="96"/>
      <c r="N166" s="96"/>
      <c r="O166" s="96"/>
      <c r="P166" s="96"/>
      <c r="Q166" s="96"/>
      <c r="R166" s="96"/>
      <c r="S166" s="96"/>
      <c r="T166" s="96"/>
      <c r="U166" s="96"/>
      <c r="V166" s="96"/>
      <c r="W166" s="96"/>
      <c r="X166" s="96"/>
      <c r="Y166" s="96"/>
      <c r="Z166" s="96"/>
      <c r="AA166" s="96"/>
      <c r="AB166" s="96"/>
      <c r="AC166" s="96"/>
      <c r="AD166" s="96"/>
      <c r="AE166" s="96"/>
      <c r="AF166" s="96"/>
      <c r="AG166" s="96"/>
      <c r="AH166" s="96"/>
      <c r="AI166" s="96"/>
      <c r="AJ166" s="96"/>
      <c r="AK166" s="96"/>
      <c r="AL166" s="96"/>
      <c r="AM166" s="96"/>
      <c r="AN166" s="96"/>
      <c r="AO166" s="96"/>
      <c r="AP166" s="96"/>
      <c r="AQ166" s="96"/>
      <c r="AR166" s="96"/>
      <c r="AS166" s="96"/>
      <c r="AT166" s="96"/>
      <c r="AU166" s="96"/>
      <c r="AV166" s="96"/>
      <c r="AW166" s="96"/>
      <c r="AX166" s="96"/>
      <c r="AY166" s="96"/>
      <c r="AZ166" s="96"/>
      <c r="BA166" s="96"/>
      <c r="BB166" s="96"/>
      <c r="BC166" s="96"/>
      <c r="BD166" s="96"/>
      <c r="BE166" s="96"/>
      <c r="BF166" s="96"/>
      <c r="BG166" s="96"/>
      <c r="BH166" s="96"/>
      <c r="BI166" s="96"/>
      <c r="BJ166" s="96"/>
      <c r="BK166" s="96"/>
    </row>
    <row r="167" ht="15.75" customHeight="1">
      <c r="A167" s="188"/>
      <c r="B167" s="96"/>
      <c r="C167" s="96"/>
      <c r="D167" s="96"/>
      <c r="E167" s="96"/>
      <c r="F167" s="96"/>
      <c r="G167" s="96"/>
      <c r="H167" s="96"/>
      <c r="I167" s="96"/>
      <c r="J167" s="96"/>
      <c r="K167" s="96"/>
      <c r="L167" s="96"/>
      <c r="M167" s="96"/>
      <c r="N167" s="96"/>
      <c r="O167" s="96"/>
      <c r="P167" s="96"/>
      <c r="Q167" s="96"/>
      <c r="R167" s="96"/>
      <c r="S167" s="96"/>
      <c r="T167" s="96"/>
      <c r="U167" s="96"/>
      <c r="V167" s="96"/>
      <c r="W167" s="96"/>
      <c r="X167" s="96"/>
      <c r="Y167" s="96"/>
      <c r="Z167" s="96"/>
      <c r="AA167" s="96"/>
      <c r="AB167" s="96"/>
      <c r="AC167" s="96"/>
      <c r="AD167" s="96"/>
      <c r="AE167" s="96"/>
      <c r="AF167" s="96"/>
      <c r="AG167" s="96"/>
      <c r="AH167" s="96"/>
      <c r="AI167" s="96"/>
      <c r="AJ167" s="96"/>
      <c r="AK167" s="96"/>
      <c r="AL167" s="96"/>
      <c r="AM167" s="96"/>
      <c r="AN167" s="96"/>
      <c r="AO167" s="96"/>
      <c r="AP167" s="96"/>
      <c r="AQ167" s="96"/>
      <c r="AR167" s="96"/>
      <c r="AS167" s="96"/>
      <c r="AT167" s="96"/>
      <c r="AU167" s="96"/>
      <c r="AV167" s="96"/>
      <c r="AW167" s="96"/>
      <c r="AX167" s="96"/>
      <c r="AY167" s="96"/>
      <c r="AZ167" s="96"/>
      <c r="BA167" s="96"/>
      <c r="BB167" s="96"/>
      <c r="BC167" s="96"/>
      <c r="BD167" s="96"/>
      <c r="BE167" s="96"/>
      <c r="BF167" s="96"/>
      <c r="BG167" s="96"/>
      <c r="BH167" s="96"/>
      <c r="BI167" s="96"/>
      <c r="BJ167" s="96"/>
      <c r="BK167" s="96"/>
    </row>
    <row r="168" ht="15.75" customHeight="1">
      <c r="A168" s="188"/>
      <c r="B168" s="96"/>
      <c r="C168" s="96"/>
      <c r="D168" s="96"/>
      <c r="E168" s="96"/>
      <c r="F168" s="96"/>
      <c r="G168" s="96"/>
      <c r="H168" s="96"/>
      <c r="I168" s="96"/>
      <c r="J168" s="96"/>
      <c r="K168" s="96"/>
      <c r="L168" s="96"/>
      <c r="M168" s="96"/>
      <c r="N168" s="96"/>
      <c r="O168" s="96"/>
      <c r="P168" s="96"/>
      <c r="Q168" s="96"/>
      <c r="R168" s="96"/>
      <c r="S168" s="96"/>
      <c r="T168" s="96"/>
      <c r="U168" s="96"/>
      <c r="V168" s="96"/>
      <c r="W168" s="96"/>
      <c r="X168" s="96"/>
      <c r="Y168" s="96"/>
      <c r="Z168" s="96"/>
      <c r="AA168" s="96"/>
      <c r="AB168" s="96"/>
      <c r="AC168" s="96"/>
      <c r="AD168" s="96"/>
      <c r="AE168" s="96"/>
      <c r="AF168" s="96"/>
      <c r="AG168" s="96"/>
      <c r="AH168" s="96"/>
      <c r="AI168" s="96"/>
      <c r="AJ168" s="96"/>
      <c r="AK168" s="96"/>
      <c r="AL168" s="96"/>
      <c r="AM168" s="96"/>
      <c r="AN168" s="96"/>
      <c r="AO168" s="96"/>
      <c r="AP168" s="96"/>
      <c r="AQ168" s="96"/>
      <c r="AR168" s="96"/>
      <c r="AS168" s="96"/>
      <c r="AT168" s="96"/>
      <c r="AU168" s="96"/>
      <c r="AV168" s="96"/>
      <c r="AW168" s="96"/>
      <c r="AX168" s="96"/>
      <c r="AY168" s="96"/>
      <c r="AZ168" s="96"/>
      <c r="BA168" s="96"/>
      <c r="BB168" s="96"/>
      <c r="BC168" s="96"/>
      <c r="BD168" s="96"/>
      <c r="BE168" s="96"/>
      <c r="BF168" s="96"/>
      <c r="BG168" s="96"/>
      <c r="BH168" s="96"/>
      <c r="BI168" s="96"/>
      <c r="BJ168" s="96"/>
      <c r="BK168" s="96"/>
    </row>
    <row r="169" ht="15.75" customHeight="1">
      <c r="A169" s="188"/>
      <c r="B169" s="96"/>
      <c r="C169" s="96"/>
      <c r="D169" s="96"/>
      <c r="E169" s="96"/>
      <c r="F169" s="96"/>
      <c r="G169" s="96"/>
      <c r="H169" s="96"/>
      <c r="I169" s="96"/>
      <c r="J169" s="96"/>
      <c r="K169" s="96"/>
      <c r="L169" s="96"/>
      <c r="M169" s="96"/>
      <c r="N169" s="96"/>
      <c r="O169" s="96"/>
      <c r="P169" s="96"/>
      <c r="Q169" s="96"/>
      <c r="R169" s="96"/>
      <c r="S169" s="96"/>
      <c r="T169" s="96"/>
      <c r="U169" s="96"/>
      <c r="V169" s="96"/>
      <c r="W169" s="96"/>
      <c r="X169" s="96"/>
      <c r="Y169" s="96"/>
      <c r="Z169" s="96"/>
      <c r="AA169" s="96"/>
      <c r="AB169" s="96"/>
      <c r="AC169" s="96"/>
      <c r="AD169" s="96"/>
      <c r="AE169" s="96"/>
      <c r="AF169" s="96"/>
      <c r="AG169" s="96"/>
      <c r="AH169" s="96"/>
      <c r="AI169" s="96"/>
      <c r="AJ169" s="96"/>
      <c r="AK169" s="96"/>
      <c r="AL169" s="96"/>
      <c r="AM169" s="96"/>
      <c r="AN169" s="96"/>
      <c r="AO169" s="96"/>
      <c r="AP169" s="96"/>
      <c r="AQ169" s="96"/>
      <c r="AR169" s="96"/>
      <c r="AS169" s="96"/>
      <c r="AT169" s="96"/>
      <c r="AU169" s="96"/>
      <c r="AV169" s="96"/>
      <c r="AW169" s="96"/>
      <c r="AX169" s="96"/>
      <c r="AY169" s="96"/>
      <c r="AZ169" s="96"/>
      <c r="BA169" s="96"/>
      <c r="BB169" s="96"/>
      <c r="BC169" s="96"/>
      <c r="BD169" s="96"/>
      <c r="BE169" s="96"/>
      <c r="BF169" s="96"/>
      <c r="BG169" s="96"/>
      <c r="BH169" s="96"/>
      <c r="BI169" s="96"/>
      <c r="BJ169" s="96"/>
      <c r="BK169" s="96"/>
    </row>
    <row r="170" ht="15.75" customHeight="1">
      <c r="A170" s="188"/>
      <c r="B170" s="96"/>
      <c r="C170" s="96"/>
      <c r="D170" s="96"/>
      <c r="E170" s="96"/>
      <c r="F170" s="96"/>
      <c r="G170" s="96"/>
      <c r="H170" s="96"/>
      <c r="I170" s="96"/>
      <c r="J170" s="96"/>
      <c r="K170" s="96"/>
      <c r="L170" s="96"/>
      <c r="M170" s="96"/>
      <c r="N170" s="96"/>
      <c r="O170" s="96"/>
      <c r="P170" s="96"/>
      <c r="Q170" s="96"/>
      <c r="R170" s="96"/>
      <c r="S170" s="96"/>
      <c r="T170" s="96"/>
      <c r="U170" s="96"/>
      <c r="V170" s="96"/>
      <c r="W170" s="96"/>
      <c r="X170" s="96"/>
      <c r="Y170" s="96"/>
      <c r="Z170" s="96"/>
      <c r="AA170" s="96"/>
      <c r="AB170" s="96"/>
      <c r="AC170" s="96"/>
      <c r="AD170" s="96"/>
      <c r="AE170" s="96"/>
      <c r="AF170" s="96"/>
      <c r="AG170" s="96"/>
      <c r="AH170" s="96"/>
      <c r="AI170" s="96"/>
      <c r="AJ170" s="96"/>
      <c r="AK170" s="96"/>
      <c r="AL170" s="96"/>
      <c r="AM170" s="96"/>
      <c r="AN170" s="96"/>
      <c r="AO170" s="96"/>
      <c r="AP170" s="96"/>
      <c r="AQ170" s="96"/>
      <c r="AR170" s="96"/>
      <c r="AS170" s="96"/>
      <c r="AT170" s="96"/>
      <c r="AU170" s="96"/>
      <c r="AV170" s="96"/>
      <c r="AW170" s="96"/>
      <c r="AX170" s="96"/>
      <c r="AY170" s="96"/>
      <c r="AZ170" s="96"/>
      <c r="BA170" s="96"/>
      <c r="BB170" s="96"/>
      <c r="BC170" s="96"/>
      <c r="BD170" s="96"/>
      <c r="BE170" s="96"/>
      <c r="BF170" s="96"/>
      <c r="BG170" s="96"/>
      <c r="BH170" s="96"/>
      <c r="BI170" s="96"/>
      <c r="BJ170" s="96"/>
      <c r="BK170" s="96"/>
    </row>
    <row r="171" ht="15.75" customHeight="1">
      <c r="A171" s="188"/>
      <c r="B171" s="96"/>
      <c r="C171" s="96"/>
      <c r="D171" s="96"/>
      <c r="E171" s="96"/>
      <c r="F171" s="96"/>
      <c r="G171" s="96"/>
      <c r="H171" s="96"/>
      <c r="I171" s="96"/>
      <c r="J171" s="96"/>
      <c r="K171" s="96"/>
      <c r="L171" s="96"/>
      <c r="M171" s="96"/>
      <c r="N171" s="96"/>
      <c r="O171" s="96"/>
      <c r="P171" s="96"/>
      <c r="Q171" s="96"/>
      <c r="R171" s="96"/>
      <c r="S171" s="96"/>
      <c r="T171" s="96"/>
      <c r="U171" s="96"/>
      <c r="V171" s="96"/>
      <c r="W171" s="96"/>
      <c r="X171" s="96"/>
      <c r="Y171" s="96"/>
      <c r="Z171" s="96"/>
      <c r="AA171" s="96"/>
      <c r="AB171" s="96"/>
      <c r="AC171" s="96"/>
      <c r="AD171" s="96"/>
      <c r="AE171" s="96"/>
      <c r="AF171" s="96"/>
      <c r="AG171" s="96"/>
      <c r="AH171" s="96"/>
      <c r="AI171" s="96"/>
      <c r="AJ171" s="96"/>
      <c r="AK171" s="96"/>
      <c r="AL171" s="96"/>
      <c r="AM171" s="96"/>
      <c r="AN171" s="96"/>
      <c r="AO171" s="96"/>
      <c r="AP171" s="96"/>
      <c r="AQ171" s="96"/>
      <c r="AR171" s="96"/>
      <c r="AS171" s="96"/>
      <c r="AT171" s="96"/>
      <c r="AU171" s="96"/>
      <c r="AV171" s="96"/>
      <c r="AW171" s="96"/>
      <c r="AX171" s="96"/>
      <c r="AY171" s="96"/>
      <c r="AZ171" s="96"/>
      <c r="BA171" s="96"/>
      <c r="BB171" s="96"/>
      <c r="BC171" s="96"/>
      <c r="BD171" s="96"/>
      <c r="BE171" s="96"/>
      <c r="BF171" s="96"/>
      <c r="BG171" s="96"/>
      <c r="BH171" s="96"/>
      <c r="BI171" s="96"/>
      <c r="BJ171" s="96"/>
      <c r="BK171" s="96"/>
    </row>
    <row r="172" ht="15.75" customHeight="1">
      <c r="A172" s="188"/>
      <c r="B172" s="96"/>
      <c r="C172" s="96"/>
      <c r="D172" s="96"/>
      <c r="E172" s="96"/>
      <c r="F172" s="96"/>
      <c r="G172" s="96"/>
      <c r="H172" s="96"/>
      <c r="I172" s="96"/>
      <c r="J172" s="96"/>
      <c r="K172" s="96"/>
      <c r="L172" s="96"/>
      <c r="M172" s="96"/>
      <c r="N172" s="96"/>
      <c r="O172" s="96"/>
      <c r="P172" s="96"/>
      <c r="Q172" s="96"/>
      <c r="R172" s="96"/>
      <c r="S172" s="96"/>
      <c r="T172" s="96"/>
      <c r="U172" s="96"/>
      <c r="V172" s="96"/>
      <c r="W172" s="96"/>
      <c r="X172" s="96"/>
      <c r="Y172" s="96"/>
      <c r="Z172" s="96"/>
      <c r="AA172" s="96"/>
      <c r="AB172" s="96"/>
      <c r="AC172" s="96"/>
      <c r="AD172" s="96"/>
      <c r="AE172" s="96"/>
      <c r="AF172" s="96"/>
      <c r="AG172" s="96"/>
      <c r="AH172" s="96"/>
      <c r="AI172" s="96"/>
      <c r="AJ172" s="96"/>
      <c r="AK172" s="96"/>
      <c r="AL172" s="96"/>
      <c r="AM172" s="96"/>
      <c r="AN172" s="96"/>
      <c r="AO172" s="96"/>
      <c r="AP172" s="96"/>
      <c r="AQ172" s="96"/>
      <c r="AR172" s="96"/>
      <c r="AS172" s="96"/>
      <c r="AT172" s="96"/>
      <c r="AU172" s="96"/>
      <c r="AV172" s="96"/>
      <c r="AW172" s="96"/>
      <c r="AX172" s="96"/>
      <c r="AY172" s="96"/>
      <c r="AZ172" s="96"/>
      <c r="BA172" s="96"/>
      <c r="BB172" s="96"/>
      <c r="BC172" s="96"/>
      <c r="BD172" s="96"/>
      <c r="BE172" s="96"/>
      <c r="BF172" s="96"/>
      <c r="BG172" s="96"/>
      <c r="BH172" s="96"/>
      <c r="BI172" s="96"/>
      <c r="BJ172" s="96"/>
      <c r="BK172" s="96"/>
    </row>
    <row r="173" ht="15.75" customHeight="1">
      <c r="A173" s="188"/>
      <c r="B173" s="96"/>
      <c r="C173" s="96"/>
      <c r="D173" s="96"/>
      <c r="E173" s="96"/>
      <c r="F173" s="96"/>
      <c r="G173" s="96"/>
      <c r="H173" s="96"/>
      <c r="I173" s="96"/>
      <c r="J173" s="96"/>
      <c r="K173" s="96"/>
      <c r="L173" s="96"/>
      <c r="M173" s="96"/>
      <c r="N173" s="96"/>
      <c r="O173" s="96"/>
      <c r="P173" s="96"/>
      <c r="Q173" s="96"/>
      <c r="R173" s="96"/>
      <c r="S173" s="96"/>
      <c r="T173" s="96"/>
      <c r="U173" s="96"/>
      <c r="V173" s="96"/>
      <c r="W173" s="96"/>
      <c r="X173" s="96"/>
      <c r="Y173" s="96"/>
      <c r="Z173" s="96"/>
      <c r="AA173" s="96"/>
      <c r="AB173" s="96"/>
      <c r="AC173" s="96"/>
      <c r="AD173" s="96"/>
      <c r="AE173" s="96"/>
      <c r="AF173" s="96"/>
      <c r="AG173" s="96"/>
      <c r="AH173" s="96"/>
      <c r="AI173" s="96"/>
      <c r="AJ173" s="96"/>
      <c r="AK173" s="96"/>
      <c r="AL173" s="96"/>
      <c r="AM173" s="96"/>
      <c r="AN173" s="96"/>
      <c r="AO173" s="96"/>
      <c r="AP173" s="96"/>
      <c r="AQ173" s="96"/>
      <c r="AR173" s="96"/>
      <c r="AS173" s="96"/>
      <c r="AT173" s="96"/>
      <c r="AU173" s="96"/>
      <c r="AV173" s="96"/>
      <c r="AW173" s="96"/>
      <c r="AX173" s="96"/>
      <c r="AY173" s="96"/>
      <c r="AZ173" s="96"/>
      <c r="BA173" s="96"/>
      <c r="BB173" s="96"/>
      <c r="BC173" s="96"/>
      <c r="BD173" s="96"/>
      <c r="BE173" s="96"/>
      <c r="BF173" s="96"/>
      <c r="BG173" s="96"/>
      <c r="BH173" s="96"/>
      <c r="BI173" s="96"/>
      <c r="BJ173" s="96"/>
      <c r="BK173" s="96"/>
    </row>
    <row r="174" ht="15.75" customHeight="1">
      <c r="A174" s="188"/>
      <c r="B174" s="96"/>
      <c r="C174" s="96"/>
      <c r="D174" s="96"/>
      <c r="E174" s="96"/>
      <c r="F174" s="96"/>
      <c r="G174" s="96"/>
      <c r="H174" s="96"/>
      <c r="I174" s="96"/>
      <c r="J174" s="96"/>
      <c r="K174" s="96"/>
      <c r="L174" s="96"/>
      <c r="M174" s="96"/>
      <c r="N174" s="96"/>
      <c r="O174" s="96"/>
      <c r="P174" s="96"/>
      <c r="Q174" s="96"/>
      <c r="R174" s="96"/>
      <c r="S174" s="96"/>
      <c r="T174" s="96"/>
      <c r="U174" s="96"/>
      <c r="V174" s="96"/>
      <c r="W174" s="96"/>
      <c r="X174" s="96"/>
      <c r="Y174" s="96"/>
      <c r="Z174" s="96"/>
      <c r="AA174" s="96"/>
      <c r="AB174" s="96"/>
      <c r="AC174" s="96"/>
      <c r="AD174" s="96"/>
      <c r="AE174" s="96"/>
      <c r="AF174" s="96"/>
      <c r="AG174" s="96"/>
      <c r="AH174" s="96"/>
      <c r="AI174" s="96"/>
      <c r="AJ174" s="96"/>
      <c r="AK174" s="96"/>
      <c r="AL174" s="96"/>
      <c r="AM174" s="96"/>
      <c r="AN174" s="96"/>
      <c r="AO174" s="96"/>
      <c r="AP174" s="96"/>
      <c r="AQ174" s="96"/>
      <c r="AR174" s="96"/>
      <c r="AS174" s="96"/>
      <c r="AT174" s="96"/>
      <c r="AU174" s="96"/>
      <c r="AV174" s="96"/>
      <c r="AW174" s="96"/>
      <c r="AX174" s="96"/>
      <c r="AY174" s="96"/>
      <c r="AZ174" s="96"/>
      <c r="BA174" s="96"/>
      <c r="BB174" s="96"/>
      <c r="BC174" s="96"/>
      <c r="BD174" s="96"/>
      <c r="BE174" s="96"/>
      <c r="BF174" s="96"/>
      <c r="BG174" s="96"/>
      <c r="BH174" s="96"/>
      <c r="BI174" s="96"/>
      <c r="BJ174" s="96"/>
      <c r="BK174" s="96"/>
    </row>
    <row r="175" ht="15.75" customHeight="1">
      <c r="A175" s="188"/>
      <c r="B175" s="96"/>
      <c r="C175" s="96"/>
      <c r="D175" s="96"/>
      <c r="E175" s="96"/>
      <c r="F175" s="96"/>
      <c r="G175" s="96"/>
      <c r="H175" s="96"/>
      <c r="I175" s="96"/>
      <c r="J175" s="96"/>
      <c r="K175" s="96"/>
      <c r="L175" s="96"/>
      <c r="M175" s="96"/>
      <c r="N175" s="96"/>
      <c r="O175" s="96"/>
      <c r="P175" s="96"/>
      <c r="Q175" s="96"/>
      <c r="R175" s="96"/>
      <c r="S175" s="96"/>
      <c r="T175" s="96"/>
      <c r="U175" s="96"/>
      <c r="V175" s="96"/>
      <c r="W175" s="96"/>
      <c r="X175" s="96"/>
      <c r="Y175" s="96"/>
      <c r="Z175" s="96"/>
      <c r="AA175" s="96"/>
      <c r="AB175" s="96"/>
      <c r="AC175" s="96"/>
      <c r="AD175" s="96"/>
      <c r="AE175" s="96"/>
      <c r="AF175" s="96"/>
      <c r="AG175" s="96"/>
      <c r="AH175" s="96"/>
      <c r="AI175" s="96"/>
      <c r="AJ175" s="96"/>
      <c r="AK175" s="96"/>
      <c r="AL175" s="96"/>
      <c r="AM175" s="96"/>
      <c r="AN175" s="96"/>
      <c r="AO175" s="96"/>
      <c r="AP175" s="96"/>
      <c r="AQ175" s="96"/>
      <c r="AR175" s="96"/>
      <c r="AS175" s="96"/>
      <c r="AT175" s="96"/>
      <c r="AU175" s="96"/>
      <c r="AV175" s="96"/>
      <c r="AW175" s="96"/>
      <c r="AX175" s="96"/>
      <c r="AY175" s="96"/>
      <c r="AZ175" s="96"/>
      <c r="BA175" s="96"/>
      <c r="BB175" s="96"/>
      <c r="BC175" s="96"/>
      <c r="BD175" s="96"/>
      <c r="BE175" s="96"/>
      <c r="BF175" s="96"/>
      <c r="BG175" s="96"/>
      <c r="BH175" s="96"/>
      <c r="BI175" s="96"/>
      <c r="BJ175" s="96"/>
      <c r="BK175" s="96"/>
    </row>
    <row r="176" ht="15.75" customHeight="1">
      <c r="A176" s="188"/>
      <c r="B176" s="96"/>
      <c r="C176" s="96"/>
      <c r="D176" s="96"/>
      <c r="E176" s="96"/>
      <c r="F176" s="96"/>
      <c r="G176" s="96"/>
      <c r="H176" s="96"/>
      <c r="I176" s="96"/>
      <c r="J176" s="96"/>
      <c r="K176" s="96"/>
      <c r="L176" s="96"/>
      <c r="M176" s="96"/>
      <c r="N176" s="96"/>
      <c r="O176" s="96"/>
      <c r="P176" s="96"/>
      <c r="Q176" s="96"/>
      <c r="R176" s="96"/>
      <c r="S176" s="96"/>
      <c r="T176" s="96"/>
      <c r="U176" s="96"/>
      <c r="V176" s="96"/>
      <c r="W176" s="96"/>
      <c r="X176" s="96"/>
      <c r="Y176" s="96"/>
      <c r="Z176" s="96"/>
      <c r="AA176" s="96"/>
      <c r="AB176" s="96"/>
      <c r="AC176" s="96"/>
      <c r="AD176" s="96"/>
      <c r="AE176" s="96"/>
      <c r="AF176" s="96"/>
      <c r="AG176" s="96"/>
      <c r="AH176" s="96"/>
      <c r="AI176" s="96"/>
      <c r="AJ176" s="96"/>
      <c r="AK176" s="96"/>
      <c r="AL176" s="96"/>
      <c r="AM176" s="96"/>
      <c r="AN176" s="96"/>
      <c r="AO176" s="96"/>
      <c r="AP176" s="96"/>
      <c r="AQ176" s="96"/>
      <c r="AR176" s="96"/>
      <c r="AS176" s="96"/>
      <c r="AT176" s="96"/>
      <c r="AU176" s="96"/>
      <c r="AV176" s="96"/>
      <c r="AW176" s="96"/>
      <c r="AX176" s="96"/>
      <c r="AY176" s="96"/>
      <c r="AZ176" s="96"/>
      <c r="BA176" s="96"/>
      <c r="BB176" s="96"/>
      <c r="BC176" s="96"/>
      <c r="BD176" s="96"/>
      <c r="BE176" s="96"/>
      <c r="BF176" s="96"/>
      <c r="BG176" s="96"/>
      <c r="BH176" s="96"/>
      <c r="BI176" s="96"/>
      <c r="BJ176" s="96"/>
      <c r="BK176" s="96"/>
    </row>
    <row r="177" ht="15.75" customHeight="1">
      <c r="A177" s="188"/>
      <c r="B177" s="96"/>
      <c r="C177" s="96"/>
      <c r="D177" s="96"/>
      <c r="E177" s="96"/>
      <c r="F177" s="96"/>
      <c r="G177" s="96"/>
      <c r="H177" s="96"/>
      <c r="I177" s="96"/>
      <c r="J177" s="96"/>
      <c r="K177" s="96"/>
      <c r="L177" s="96"/>
      <c r="M177" s="96"/>
      <c r="N177" s="96"/>
      <c r="O177" s="96"/>
      <c r="P177" s="96"/>
      <c r="Q177" s="96"/>
      <c r="R177" s="96"/>
      <c r="S177" s="96"/>
      <c r="T177" s="96"/>
      <c r="U177" s="96"/>
      <c r="V177" s="96"/>
      <c r="W177" s="96"/>
      <c r="X177" s="96"/>
      <c r="Y177" s="96"/>
      <c r="Z177" s="96"/>
      <c r="AA177" s="96"/>
      <c r="AB177" s="96"/>
      <c r="AC177" s="96"/>
      <c r="AD177" s="96"/>
      <c r="AE177" s="96"/>
      <c r="AF177" s="96"/>
      <c r="AG177" s="96"/>
      <c r="AH177" s="96"/>
      <c r="AI177" s="96"/>
      <c r="AJ177" s="96"/>
      <c r="AK177" s="96"/>
      <c r="AL177" s="96"/>
      <c r="AM177" s="96"/>
      <c r="AN177" s="96"/>
      <c r="AO177" s="96"/>
      <c r="AP177" s="96"/>
      <c r="AQ177" s="96"/>
      <c r="AR177" s="96"/>
      <c r="AS177" s="96"/>
      <c r="AT177" s="96"/>
      <c r="AU177" s="96"/>
      <c r="AV177" s="96"/>
      <c r="AW177" s="96"/>
      <c r="AX177" s="96"/>
      <c r="AY177" s="96"/>
      <c r="AZ177" s="96"/>
      <c r="BA177" s="96"/>
      <c r="BB177" s="96"/>
      <c r="BC177" s="96"/>
      <c r="BD177" s="96"/>
      <c r="BE177" s="96"/>
      <c r="BF177" s="96"/>
      <c r="BG177" s="96"/>
      <c r="BH177" s="96"/>
      <c r="BI177" s="96"/>
      <c r="BJ177" s="96"/>
      <c r="BK177" s="96"/>
    </row>
    <row r="178" ht="15.75" customHeight="1">
      <c r="A178" s="188"/>
      <c r="B178" s="96"/>
      <c r="C178" s="96"/>
      <c r="D178" s="96"/>
      <c r="E178" s="96"/>
      <c r="F178" s="96"/>
      <c r="G178" s="96"/>
      <c r="H178" s="96"/>
      <c r="I178" s="96"/>
      <c r="J178" s="96"/>
      <c r="K178" s="96"/>
      <c r="L178" s="96"/>
      <c r="M178" s="96"/>
      <c r="N178" s="96"/>
      <c r="O178" s="96"/>
      <c r="P178" s="96"/>
      <c r="Q178" s="96"/>
      <c r="R178" s="96"/>
      <c r="S178" s="96"/>
      <c r="T178" s="96"/>
      <c r="U178" s="96"/>
      <c r="V178" s="96"/>
      <c r="W178" s="96"/>
      <c r="X178" s="96"/>
      <c r="Y178" s="96"/>
      <c r="Z178" s="96"/>
      <c r="AA178" s="96"/>
      <c r="AB178" s="96"/>
      <c r="AC178" s="96"/>
      <c r="AD178" s="96"/>
      <c r="AE178" s="96"/>
      <c r="AF178" s="96"/>
      <c r="AG178" s="96"/>
      <c r="AH178" s="96"/>
      <c r="AI178" s="96"/>
      <c r="AJ178" s="96"/>
      <c r="AK178" s="96"/>
      <c r="AL178" s="96"/>
      <c r="AM178" s="96"/>
      <c r="AN178" s="96"/>
      <c r="AO178" s="96"/>
      <c r="AP178" s="96"/>
      <c r="AQ178" s="96"/>
      <c r="AR178" s="96"/>
      <c r="AS178" s="96"/>
      <c r="AT178" s="96"/>
      <c r="AU178" s="96"/>
      <c r="AV178" s="96"/>
      <c r="AW178" s="96"/>
      <c r="AX178" s="96"/>
      <c r="AY178" s="96"/>
      <c r="AZ178" s="96"/>
      <c r="BA178" s="96"/>
      <c r="BB178" s="96"/>
      <c r="BC178" s="96"/>
      <c r="BD178" s="96"/>
      <c r="BE178" s="96"/>
      <c r="BF178" s="96"/>
      <c r="BG178" s="96"/>
      <c r="BH178" s="96"/>
      <c r="BI178" s="96"/>
      <c r="BJ178" s="96"/>
      <c r="BK178" s="96"/>
    </row>
    <row r="179" ht="15.75" customHeight="1">
      <c r="A179" s="188"/>
      <c r="B179" s="96"/>
      <c r="C179" s="96"/>
      <c r="D179" s="96"/>
      <c r="E179" s="96"/>
      <c r="F179" s="96"/>
      <c r="G179" s="96"/>
      <c r="H179" s="96"/>
      <c r="I179" s="96"/>
      <c r="J179" s="96"/>
      <c r="K179" s="96"/>
      <c r="L179" s="96"/>
      <c r="M179" s="96"/>
      <c r="N179" s="96"/>
      <c r="O179" s="96"/>
      <c r="P179" s="96"/>
      <c r="Q179" s="96"/>
      <c r="R179" s="96"/>
      <c r="S179" s="96"/>
      <c r="T179" s="96"/>
      <c r="U179" s="96"/>
      <c r="V179" s="96"/>
      <c r="W179" s="96"/>
      <c r="X179" s="96"/>
      <c r="Y179" s="96"/>
      <c r="Z179" s="96"/>
      <c r="AA179" s="96"/>
      <c r="AB179" s="96"/>
      <c r="AC179" s="96"/>
      <c r="AD179" s="96"/>
      <c r="AE179" s="96"/>
      <c r="AF179" s="96"/>
      <c r="AG179" s="96"/>
      <c r="AH179" s="96"/>
      <c r="AI179" s="96"/>
      <c r="AJ179" s="96"/>
      <c r="AK179" s="96"/>
      <c r="AL179" s="96"/>
      <c r="AM179" s="96"/>
      <c r="AN179" s="96"/>
      <c r="AO179" s="96"/>
      <c r="AP179" s="96"/>
      <c r="AQ179" s="96"/>
      <c r="AR179" s="96"/>
      <c r="AS179" s="96"/>
      <c r="AT179" s="96"/>
      <c r="AU179" s="96"/>
      <c r="AV179" s="96"/>
      <c r="AW179" s="96"/>
      <c r="AX179" s="96"/>
      <c r="AY179" s="96"/>
      <c r="AZ179" s="96"/>
      <c r="BA179" s="96"/>
      <c r="BB179" s="96"/>
      <c r="BC179" s="96"/>
      <c r="BD179" s="96"/>
      <c r="BE179" s="96"/>
      <c r="BF179" s="96"/>
      <c r="BG179" s="96"/>
      <c r="BH179" s="96"/>
      <c r="BI179" s="96"/>
      <c r="BJ179" s="96"/>
      <c r="BK179" s="96"/>
    </row>
    <row r="180" ht="15.75" customHeight="1">
      <c r="A180" s="188"/>
      <c r="B180" s="96"/>
      <c r="C180" s="96"/>
      <c r="D180" s="96"/>
      <c r="E180" s="96"/>
      <c r="F180" s="96"/>
      <c r="G180" s="96"/>
      <c r="H180" s="96"/>
      <c r="I180" s="96"/>
      <c r="J180" s="96"/>
      <c r="K180" s="96"/>
      <c r="L180" s="96"/>
      <c r="M180" s="96"/>
      <c r="N180" s="96"/>
      <c r="O180" s="96"/>
      <c r="P180" s="96"/>
      <c r="Q180" s="96"/>
      <c r="R180" s="96"/>
      <c r="S180" s="96"/>
      <c r="T180" s="96"/>
      <c r="U180" s="96"/>
      <c r="V180" s="96"/>
      <c r="W180" s="96"/>
      <c r="X180" s="96"/>
      <c r="Y180" s="96"/>
      <c r="Z180" s="96"/>
      <c r="AA180" s="96"/>
      <c r="AB180" s="96"/>
      <c r="AC180" s="96"/>
      <c r="AD180" s="96"/>
      <c r="AE180" s="96"/>
      <c r="AF180" s="96"/>
      <c r="AG180" s="96"/>
      <c r="AH180" s="96"/>
      <c r="AI180" s="96"/>
      <c r="AJ180" s="96"/>
      <c r="AK180" s="96"/>
      <c r="AL180" s="96"/>
      <c r="AM180" s="96"/>
      <c r="AN180" s="96"/>
      <c r="AO180" s="96"/>
      <c r="AP180" s="96"/>
      <c r="AQ180" s="96"/>
      <c r="AR180" s="96"/>
      <c r="AS180" s="96"/>
      <c r="AT180" s="96"/>
      <c r="AU180" s="96"/>
      <c r="AV180" s="96"/>
      <c r="AW180" s="96"/>
      <c r="AX180" s="96"/>
      <c r="AY180" s="96"/>
      <c r="AZ180" s="96"/>
      <c r="BA180" s="96"/>
      <c r="BB180" s="96"/>
      <c r="BC180" s="96"/>
      <c r="BD180" s="96"/>
      <c r="BE180" s="96"/>
      <c r="BF180" s="96"/>
      <c r="BG180" s="96"/>
      <c r="BH180" s="96"/>
      <c r="BI180" s="96"/>
      <c r="BJ180" s="96"/>
      <c r="BK180" s="96"/>
    </row>
    <row r="181" ht="15.75" customHeight="1">
      <c r="A181" s="188"/>
      <c r="B181" s="96"/>
      <c r="C181" s="96"/>
      <c r="D181" s="96"/>
      <c r="E181" s="96"/>
      <c r="F181" s="96"/>
      <c r="G181" s="96"/>
      <c r="H181" s="96"/>
      <c r="I181" s="96"/>
      <c r="J181" s="96"/>
      <c r="K181" s="96"/>
      <c r="L181" s="96"/>
      <c r="M181" s="96"/>
      <c r="N181" s="96"/>
      <c r="O181" s="96"/>
      <c r="P181" s="96"/>
      <c r="Q181" s="96"/>
      <c r="R181" s="96"/>
      <c r="S181" s="96"/>
      <c r="T181" s="96"/>
      <c r="U181" s="96"/>
      <c r="V181" s="96"/>
      <c r="W181" s="96"/>
      <c r="X181" s="96"/>
      <c r="Y181" s="96"/>
      <c r="Z181" s="96"/>
      <c r="AA181" s="96"/>
      <c r="AB181" s="96"/>
      <c r="AC181" s="96"/>
      <c r="AD181" s="96"/>
      <c r="AE181" s="96"/>
      <c r="AF181" s="96"/>
      <c r="AG181" s="96"/>
      <c r="AH181" s="96"/>
      <c r="AI181" s="96"/>
      <c r="AJ181" s="96"/>
      <c r="AK181" s="96"/>
      <c r="AL181" s="96"/>
      <c r="AM181" s="96"/>
      <c r="AN181" s="96"/>
      <c r="AO181" s="96"/>
      <c r="AP181" s="96"/>
      <c r="AQ181" s="96"/>
      <c r="AR181" s="96"/>
      <c r="AS181" s="96"/>
      <c r="AT181" s="96"/>
      <c r="AU181" s="96"/>
      <c r="AV181" s="96"/>
      <c r="AW181" s="96"/>
      <c r="AX181" s="96"/>
      <c r="AY181" s="96"/>
      <c r="AZ181" s="96"/>
      <c r="BA181" s="96"/>
      <c r="BB181" s="96"/>
      <c r="BC181" s="96"/>
      <c r="BD181" s="96"/>
      <c r="BE181" s="96"/>
      <c r="BF181" s="96"/>
      <c r="BG181" s="96"/>
      <c r="BH181" s="96"/>
      <c r="BI181" s="96"/>
      <c r="BJ181" s="96"/>
      <c r="BK181" s="96"/>
    </row>
    <row r="182" ht="15.75" customHeight="1">
      <c r="A182" s="188"/>
      <c r="B182" s="96"/>
      <c r="C182" s="96"/>
      <c r="D182" s="96"/>
      <c r="E182" s="96"/>
      <c r="F182" s="96"/>
      <c r="G182" s="96"/>
      <c r="H182" s="96"/>
      <c r="I182" s="96"/>
      <c r="J182" s="96"/>
      <c r="K182" s="96"/>
      <c r="L182" s="96"/>
      <c r="M182" s="96"/>
      <c r="N182" s="96"/>
      <c r="O182" s="96"/>
      <c r="P182" s="96"/>
      <c r="Q182" s="96"/>
      <c r="R182" s="96"/>
      <c r="S182" s="96"/>
      <c r="T182" s="96"/>
      <c r="U182" s="96"/>
      <c r="V182" s="96"/>
      <c r="W182" s="96"/>
      <c r="X182" s="96"/>
      <c r="Y182" s="96"/>
      <c r="Z182" s="96"/>
      <c r="AA182" s="96"/>
      <c r="AB182" s="96"/>
      <c r="AC182" s="96"/>
      <c r="AD182" s="96"/>
      <c r="AE182" s="96"/>
      <c r="AF182" s="96"/>
      <c r="AG182" s="96"/>
      <c r="AH182" s="96"/>
      <c r="AI182" s="96"/>
      <c r="AJ182" s="96"/>
      <c r="AK182" s="96"/>
      <c r="AL182" s="96"/>
      <c r="AM182" s="96"/>
      <c r="AN182" s="96"/>
      <c r="AO182" s="96"/>
      <c r="AP182" s="96"/>
      <c r="AQ182" s="96"/>
      <c r="AR182" s="96"/>
      <c r="AS182" s="96"/>
      <c r="AT182" s="96"/>
      <c r="AU182" s="96"/>
      <c r="AV182" s="96"/>
      <c r="AW182" s="96"/>
      <c r="AX182" s="96"/>
      <c r="AY182" s="96"/>
      <c r="AZ182" s="96"/>
      <c r="BA182" s="96"/>
      <c r="BB182" s="96"/>
      <c r="BC182" s="96"/>
      <c r="BD182" s="96"/>
      <c r="BE182" s="96"/>
      <c r="BF182" s="96"/>
      <c r="BG182" s="96"/>
      <c r="BH182" s="96"/>
      <c r="BI182" s="96"/>
      <c r="BJ182" s="96"/>
      <c r="BK182" s="96"/>
    </row>
    <row r="183" ht="15.75" customHeight="1">
      <c r="A183" s="188"/>
      <c r="B183" s="96"/>
      <c r="C183" s="96"/>
      <c r="D183" s="96"/>
      <c r="E183" s="96"/>
      <c r="F183" s="96"/>
      <c r="G183" s="96"/>
      <c r="H183" s="96"/>
      <c r="I183" s="96"/>
      <c r="J183" s="96"/>
      <c r="K183" s="96"/>
      <c r="L183" s="96"/>
      <c r="M183" s="96"/>
      <c r="N183" s="96"/>
      <c r="O183" s="96"/>
      <c r="P183" s="96"/>
      <c r="Q183" s="96"/>
      <c r="R183" s="96"/>
      <c r="S183" s="96"/>
      <c r="T183" s="96"/>
      <c r="U183" s="96"/>
      <c r="V183" s="96"/>
      <c r="W183" s="96"/>
      <c r="X183" s="96"/>
      <c r="Y183" s="96"/>
      <c r="Z183" s="96"/>
      <c r="AA183" s="96"/>
      <c r="AB183" s="96"/>
      <c r="AC183" s="96"/>
      <c r="AD183" s="96"/>
      <c r="AE183" s="96"/>
      <c r="AF183" s="96"/>
      <c r="AG183" s="96"/>
      <c r="AH183" s="96"/>
      <c r="AI183" s="96"/>
      <c r="AJ183" s="96"/>
      <c r="AK183" s="96"/>
      <c r="AL183" s="96"/>
      <c r="AM183" s="96"/>
      <c r="AN183" s="96"/>
      <c r="AO183" s="96"/>
      <c r="AP183" s="96"/>
      <c r="AQ183" s="96"/>
      <c r="AR183" s="96"/>
      <c r="AS183" s="96"/>
      <c r="AT183" s="96"/>
      <c r="AU183" s="96"/>
      <c r="AV183" s="96"/>
      <c r="AW183" s="96"/>
      <c r="AX183" s="96"/>
      <c r="AY183" s="96"/>
      <c r="AZ183" s="96"/>
      <c r="BA183" s="96"/>
      <c r="BB183" s="96"/>
      <c r="BC183" s="96"/>
      <c r="BD183" s="96"/>
      <c r="BE183" s="96"/>
      <c r="BF183" s="96"/>
      <c r="BG183" s="96"/>
      <c r="BH183" s="96"/>
      <c r="BI183" s="96"/>
      <c r="BJ183" s="96"/>
      <c r="BK183" s="96"/>
    </row>
    <row r="184" ht="15.75" customHeight="1">
      <c r="A184" s="188"/>
      <c r="B184" s="96"/>
      <c r="C184" s="96"/>
      <c r="D184" s="96"/>
      <c r="E184" s="96"/>
      <c r="F184" s="96"/>
      <c r="G184" s="96"/>
      <c r="H184" s="96"/>
      <c r="I184" s="96"/>
      <c r="J184" s="96"/>
      <c r="K184" s="96"/>
      <c r="L184" s="96"/>
      <c r="M184" s="96"/>
      <c r="N184" s="96"/>
      <c r="O184" s="96"/>
      <c r="P184" s="96"/>
      <c r="Q184" s="96"/>
      <c r="R184" s="96"/>
      <c r="S184" s="96"/>
      <c r="T184" s="96"/>
      <c r="U184" s="96"/>
      <c r="V184" s="96"/>
      <c r="W184" s="96"/>
      <c r="X184" s="96"/>
      <c r="Y184" s="96"/>
      <c r="Z184" s="96"/>
      <c r="AA184" s="96"/>
      <c r="AB184" s="96"/>
      <c r="AC184" s="96"/>
      <c r="AD184" s="96"/>
      <c r="AE184" s="96"/>
      <c r="AF184" s="96"/>
      <c r="AG184" s="96"/>
      <c r="AH184" s="96"/>
      <c r="AI184" s="96"/>
      <c r="AJ184" s="96"/>
      <c r="AK184" s="96"/>
      <c r="AL184" s="96"/>
      <c r="AM184" s="96"/>
      <c r="AN184" s="96"/>
      <c r="AO184" s="96"/>
      <c r="AP184" s="96"/>
      <c r="AQ184" s="96"/>
      <c r="AR184" s="96"/>
      <c r="AS184" s="96"/>
      <c r="AT184" s="96"/>
      <c r="AU184" s="96"/>
      <c r="AV184" s="96"/>
      <c r="AW184" s="96"/>
      <c r="AX184" s="96"/>
      <c r="AY184" s="96"/>
      <c r="AZ184" s="96"/>
      <c r="BA184" s="96"/>
      <c r="BB184" s="96"/>
      <c r="BC184" s="96"/>
      <c r="BD184" s="96"/>
      <c r="BE184" s="96"/>
      <c r="BF184" s="96"/>
      <c r="BG184" s="96"/>
      <c r="BH184" s="96"/>
      <c r="BI184" s="96"/>
      <c r="BJ184" s="96"/>
      <c r="BK184" s="96"/>
    </row>
    <row r="185" ht="15.75" customHeight="1">
      <c r="A185" s="188"/>
      <c r="B185" s="96"/>
      <c r="C185" s="96"/>
      <c r="D185" s="96"/>
      <c r="E185" s="96"/>
      <c r="F185" s="96"/>
      <c r="G185" s="96"/>
      <c r="H185" s="96"/>
      <c r="I185" s="96"/>
      <c r="J185" s="96"/>
      <c r="K185" s="96"/>
      <c r="L185" s="96"/>
      <c r="M185" s="96"/>
      <c r="N185" s="96"/>
      <c r="O185" s="96"/>
      <c r="P185" s="96"/>
      <c r="Q185" s="96"/>
      <c r="R185" s="96"/>
      <c r="S185" s="96"/>
      <c r="T185" s="96"/>
      <c r="U185" s="96"/>
      <c r="V185" s="96"/>
      <c r="W185" s="96"/>
      <c r="X185" s="96"/>
      <c r="Y185" s="96"/>
      <c r="Z185" s="96"/>
      <c r="AA185" s="96"/>
      <c r="AB185" s="96"/>
      <c r="AC185" s="96"/>
      <c r="AD185" s="96"/>
      <c r="AE185" s="96"/>
      <c r="AF185" s="96"/>
      <c r="AG185" s="96"/>
      <c r="AH185" s="96"/>
      <c r="AI185" s="96"/>
      <c r="AJ185" s="96"/>
      <c r="AK185" s="96"/>
      <c r="AL185" s="96"/>
      <c r="AM185" s="96"/>
      <c r="AN185" s="96"/>
      <c r="AO185" s="96"/>
      <c r="AP185" s="96"/>
      <c r="AQ185" s="96"/>
      <c r="AR185" s="96"/>
      <c r="AS185" s="96"/>
      <c r="AT185" s="96"/>
      <c r="AU185" s="96"/>
      <c r="AV185" s="96"/>
      <c r="AW185" s="96"/>
      <c r="AX185" s="96"/>
      <c r="AY185" s="96"/>
      <c r="AZ185" s="96"/>
      <c r="BA185" s="96"/>
      <c r="BB185" s="96"/>
      <c r="BC185" s="96"/>
      <c r="BD185" s="96"/>
      <c r="BE185" s="96"/>
      <c r="BF185" s="96"/>
      <c r="BG185" s="96"/>
      <c r="BH185" s="96"/>
      <c r="BI185" s="96"/>
      <c r="BJ185" s="96"/>
      <c r="BK185" s="96"/>
    </row>
    <row r="186" ht="15.75" customHeight="1">
      <c r="A186" s="188"/>
      <c r="B186" s="96"/>
      <c r="C186" s="96"/>
      <c r="D186" s="96"/>
      <c r="E186" s="96"/>
      <c r="F186" s="96"/>
      <c r="G186" s="96"/>
      <c r="H186" s="96"/>
      <c r="I186" s="96"/>
      <c r="J186" s="96"/>
      <c r="K186" s="96"/>
      <c r="L186" s="96"/>
      <c r="M186" s="96"/>
      <c r="N186" s="96"/>
      <c r="O186" s="96"/>
      <c r="P186" s="96"/>
      <c r="Q186" s="96"/>
      <c r="R186" s="96"/>
      <c r="S186" s="96"/>
      <c r="T186" s="96"/>
      <c r="U186" s="96"/>
      <c r="V186" s="96"/>
      <c r="W186" s="96"/>
      <c r="X186" s="96"/>
      <c r="Y186" s="96"/>
      <c r="Z186" s="96"/>
      <c r="AA186" s="96"/>
      <c r="AB186" s="96"/>
      <c r="AC186" s="96"/>
      <c r="AD186" s="96"/>
      <c r="AE186" s="96"/>
      <c r="AF186" s="96"/>
      <c r="AG186" s="96"/>
      <c r="AH186" s="96"/>
      <c r="AI186" s="96"/>
      <c r="AJ186" s="96"/>
      <c r="AK186" s="96"/>
      <c r="AL186" s="96"/>
      <c r="AM186" s="96"/>
      <c r="AN186" s="96"/>
      <c r="AO186" s="96"/>
      <c r="AP186" s="96"/>
      <c r="AQ186" s="96"/>
      <c r="AR186" s="96"/>
      <c r="AS186" s="96"/>
      <c r="AT186" s="96"/>
      <c r="AU186" s="96"/>
      <c r="AV186" s="96"/>
      <c r="AW186" s="96"/>
      <c r="AX186" s="96"/>
      <c r="AY186" s="96"/>
      <c r="AZ186" s="96"/>
      <c r="BA186" s="96"/>
      <c r="BB186" s="96"/>
      <c r="BC186" s="96"/>
      <c r="BD186" s="96"/>
      <c r="BE186" s="96"/>
      <c r="BF186" s="96"/>
      <c r="BG186" s="96"/>
      <c r="BH186" s="96"/>
      <c r="BI186" s="96"/>
      <c r="BJ186" s="96"/>
      <c r="BK186" s="96"/>
    </row>
    <row r="187" ht="15.75" customHeight="1">
      <c r="A187" s="188"/>
      <c r="B187" s="96"/>
      <c r="C187" s="96"/>
      <c r="D187" s="96"/>
      <c r="E187" s="96"/>
      <c r="F187" s="96"/>
      <c r="G187" s="96"/>
      <c r="H187" s="96"/>
      <c r="I187" s="96"/>
      <c r="J187" s="96"/>
      <c r="K187" s="96"/>
      <c r="L187" s="96"/>
      <c r="M187" s="96"/>
      <c r="N187" s="96"/>
      <c r="O187" s="96"/>
      <c r="P187" s="96"/>
      <c r="Q187" s="96"/>
      <c r="R187" s="96"/>
      <c r="S187" s="96"/>
      <c r="T187" s="96"/>
      <c r="U187" s="96"/>
      <c r="V187" s="96"/>
      <c r="W187" s="96"/>
      <c r="X187" s="96"/>
      <c r="Y187" s="96"/>
      <c r="Z187" s="96"/>
      <c r="AA187" s="96"/>
      <c r="AB187" s="96"/>
      <c r="AC187" s="96"/>
      <c r="AD187" s="96"/>
      <c r="AE187" s="96"/>
      <c r="AF187" s="96"/>
      <c r="AG187" s="96"/>
      <c r="AH187" s="96"/>
      <c r="AI187" s="96"/>
      <c r="AJ187" s="96"/>
      <c r="AK187" s="96"/>
      <c r="AL187" s="96"/>
      <c r="AM187" s="96"/>
      <c r="AN187" s="96"/>
      <c r="AO187" s="96"/>
      <c r="AP187" s="96"/>
      <c r="AQ187" s="96"/>
      <c r="AR187" s="96"/>
      <c r="AS187" s="96"/>
      <c r="AT187" s="96"/>
      <c r="AU187" s="96"/>
      <c r="AV187" s="96"/>
      <c r="AW187" s="96"/>
      <c r="AX187" s="96"/>
      <c r="AY187" s="96"/>
      <c r="AZ187" s="96"/>
      <c r="BA187" s="96"/>
      <c r="BB187" s="96"/>
      <c r="BC187" s="96"/>
      <c r="BD187" s="96"/>
      <c r="BE187" s="96"/>
      <c r="BF187" s="96"/>
      <c r="BG187" s="96"/>
      <c r="BH187" s="96"/>
      <c r="BI187" s="96"/>
      <c r="BJ187" s="96"/>
      <c r="BK187" s="96"/>
    </row>
    <row r="188" ht="15.75" customHeight="1">
      <c r="A188" s="188"/>
      <c r="B188" s="96"/>
      <c r="C188" s="96"/>
      <c r="D188" s="96"/>
      <c r="E188" s="96"/>
      <c r="F188" s="96"/>
      <c r="G188" s="96"/>
      <c r="H188" s="96"/>
      <c r="I188" s="96"/>
      <c r="J188" s="96"/>
      <c r="K188" s="96"/>
      <c r="L188" s="96"/>
      <c r="M188" s="96"/>
      <c r="N188" s="96"/>
      <c r="O188" s="96"/>
      <c r="P188" s="96"/>
      <c r="Q188" s="96"/>
      <c r="R188" s="96"/>
      <c r="S188" s="96"/>
      <c r="T188" s="96"/>
      <c r="U188" s="96"/>
      <c r="V188" s="96"/>
      <c r="W188" s="96"/>
      <c r="X188" s="96"/>
      <c r="Y188" s="96"/>
      <c r="Z188" s="96"/>
      <c r="AA188" s="96"/>
      <c r="AB188" s="96"/>
      <c r="AC188" s="96"/>
      <c r="AD188" s="96"/>
      <c r="AE188" s="96"/>
      <c r="AF188" s="96"/>
      <c r="AG188" s="96"/>
      <c r="AH188" s="96"/>
      <c r="AI188" s="96"/>
      <c r="AJ188" s="96"/>
      <c r="AK188" s="96"/>
      <c r="AL188" s="96"/>
      <c r="AM188" s="96"/>
      <c r="AN188" s="96"/>
      <c r="AO188" s="96"/>
      <c r="AP188" s="96"/>
      <c r="AQ188" s="96"/>
      <c r="AR188" s="96"/>
      <c r="AS188" s="96"/>
      <c r="AT188" s="96"/>
      <c r="AU188" s="96"/>
      <c r="AV188" s="96"/>
      <c r="AW188" s="96"/>
      <c r="AX188" s="96"/>
      <c r="AY188" s="96"/>
      <c r="AZ188" s="96"/>
      <c r="BA188" s="96"/>
      <c r="BB188" s="96"/>
      <c r="BC188" s="96"/>
      <c r="BD188" s="96"/>
      <c r="BE188" s="96"/>
      <c r="BF188" s="96"/>
      <c r="BG188" s="96"/>
      <c r="BH188" s="96"/>
      <c r="BI188" s="96"/>
      <c r="BJ188" s="96"/>
      <c r="BK188" s="96"/>
    </row>
    <row r="189" ht="15.75" customHeight="1">
      <c r="A189" s="188"/>
      <c r="B189" s="96"/>
      <c r="C189" s="96"/>
      <c r="D189" s="96"/>
      <c r="E189" s="96"/>
      <c r="F189" s="96"/>
      <c r="G189" s="96"/>
      <c r="H189" s="96"/>
      <c r="I189" s="96"/>
      <c r="J189" s="96"/>
      <c r="K189" s="96"/>
      <c r="L189" s="96"/>
      <c r="M189" s="96"/>
      <c r="N189" s="96"/>
      <c r="O189" s="96"/>
      <c r="P189" s="96"/>
      <c r="Q189" s="96"/>
      <c r="R189" s="96"/>
      <c r="S189" s="96"/>
      <c r="T189" s="96"/>
      <c r="U189" s="96"/>
      <c r="V189" s="96"/>
      <c r="W189" s="96"/>
      <c r="X189" s="96"/>
      <c r="Y189" s="96"/>
      <c r="Z189" s="96"/>
      <c r="AA189" s="96"/>
      <c r="AB189" s="96"/>
      <c r="AC189" s="96"/>
      <c r="AD189" s="96"/>
      <c r="AE189" s="96"/>
      <c r="AF189" s="96"/>
      <c r="AG189" s="96"/>
      <c r="AH189" s="96"/>
      <c r="AI189" s="96"/>
      <c r="AJ189" s="96"/>
      <c r="AK189" s="96"/>
      <c r="AL189" s="96"/>
      <c r="AM189" s="96"/>
      <c r="AN189" s="96"/>
      <c r="AO189" s="96"/>
      <c r="AP189" s="96"/>
      <c r="AQ189" s="96"/>
      <c r="AR189" s="96"/>
      <c r="AS189" s="96"/>
      <c r="AT189" s="96"/>
      <c r="AU189" s="96"/>
      <c r="AV189" s="96"/>
      <c r="AW189" s="96"/>
      <c r="AX189" s="96"/>
      <c r="AY189" s="96"/>
      <c r="AZ189" s="96"/>
      <c r="BA189" s="96"/>
      <c r="BB189" s="96"/>
      <c r="BC189" s="96"/>
      <c r="BD189" s="96"/>
      <c r="BE189" s="96"/>
      <c r="BF189" s="96"/>
      <c r="BG189" s="96"/>
      <c r="BH189" s="96"/>
      <c r="BI189" s="96"/>
      <c r="BJ189" s="96"/>
      <c r="BK189" s="96"/>
    </row>
    <row r="190" ht="15.75" customHeight="1">
      <c r="A190" s="188"/>
      <c r="B190" s="96"/>
      <c r="C190" s="96"/>
      <c r="D190" s="96"/>
      <c r="E190" s="96"/>
      <c r="F190" s="96"/>
      <c r="G190" s="96"/>
      <c r="H190" s="96"/>
      <c r="I190" s="96"/>
      <c r="J190" s="96"/>
      <c r="K190" s="96"/>
      <c r="L190" s="96"/>
      <c r="M190" s="96"/>
      <c r="N190" s="96"/>
      <c r="O190" s="96"/>
      <c r="P190" s="96"/>
      <c r="Q190" s="96"/>
      <c r="R190" s="96"/>
      <c r="S190" s="96"/>
      <c r="T190" s="96"/>
      <c r="U190" s="96"/>
      <c r="V190" s="96"/>
      <c r="W190" s="96"/>
      <c r="X190" s="96"/>
      <c r="Y190" s="96"/>
      <c r="Z190" s="96"/>
      <c r="AA190" s="96"/>
      <c r="AB190" s="96"/>
      <c r="AC190" s="96"/>
      <c r="AD190" s="96"/>
      <c r="AE190" s="96"/>
      <c r="AF190" s="96"/>
      <c r="AG190" s="96"/>
      <c r="AH190" s="96"/>
      <c r="AI190" s="96"/>
      <c r="AJ190" s="96"/>
      <c r="AK190" s="96"/>
      <c r="AL190" s="96"/>
      <c r="AM190" s="96"/>
      <c r="AN190" s="96"/>
      <c r="AO190" s="96"/>
      <c r="AP190" s="96"/>
      <c r="AQ190" s="96"/>
      <c r="AR190" s="96"/>
      <c r="AS190" s="96"/>
      <c r="AT190" s="96"/>
      <c r="AU190" s="96"/>
      <c r="AV190" s="96"/>
      <c r="AW190" s="96"/>
      <c r="AX190" s="96"/>
      <c r="AY190" s="96"/>
      <c r="AZ190" s="96"/>
      <c r="BA190" s="96"/>
      <c r="BB190" s="96"/>
      <c r="BC190" s="96"/>
      <c r="BD190" s="96"/>
      <c r="BE190" s="96"/>
      <c r="BF190" s="96"/>
      <c r="BG190" s="96"/>
      <c r="BH190" s="96"/>
      <c r="BI190" s="96"/>
      <c r="BJ190" s="96"/>
      <c r="BK190" s="96"/>
    </row>
    <row r="191" ht="15.75" customHeight="1">
      <c r="A191" s="188"/>
      <c r="B191" s="96"/>
      <c r="C191" s="96"/>
      <c r="D191" s="96"/>
      <c r="E191" s="96"/>
      <c r="F191" s="96"/>
      <c r="G191" s="96"/>
      <c r="H191" s="96"/>
      <c r="I191" s="96"/>
      <c r="J191" s="96"/>
      <c r="K191" s="96"/>
      <c r="L191" s="96"/>
      <c r="M191" s="96"/>
      <c r="N191" s="96"/>
      <c r="O191" s="96"/>
      <c r="P191" s="96"/>
      <c r="Q191" s="96"/>
      <c r="R191" s="96"/>
      <c r="S191" s="96"/>
      <c r="T191" s="96"/>
      <c r="U191" s="96"/>
      <c r="V191" s="96"/>
      <c r="W191" s="96"/>
      <c r="X191" s="96"/>
      <c r="Y191" s="96"/>
      <c r="Z191" s="96"/>
      <c r="AA191" s="96"/>
      <c r="AB191" s="96"/>
      <c r="AC191" s="96"/>
      <c r="AD191" s="96"/>
      <c r="AE191" s="96"/>
      <c r="AF191" s="96"/>
      <c r="AG191" s="96"/>
      <c r="AH191" s="96"/>
      <c r="AI191" s="96"/>
      <c r="AJ191" s="96"/>
      <c r="AK191" s="96"/>
      <c r="AL191" s="96"/>
      <c r="AM191" s="96"/>
      <c r="AN191" s="96"/>
      <c r="AO191" s="96"/>
      <c r="AP191" s="96"/>
      <c r="AQ191" s="96"/>
      <c r="AR191" s="96"/>
      <c r="AS191" s="96"/>
      <c r="AT191" s="96"/>
      <c r="AU191" s="96"/>
      <c r="AV191" s="96"/>
      <c r="AW191" s="96"/>
      <c r="AX191" s="96"/>
      <c r="AY191" s="96"/>
      <c r="AZ191" s="96"/>
      <c r="BA191" s="96"/>
      <c r="BB191" s="96"/>
      <c r="BC191" s="96"/>
      <c r="BD191" s="96"/>
      <c r="BE191" s="96"/>
      <c r="BF191" s="96"/>
      <c r="BG191" s="96"/>
      <c r="BH191" s="96"/>
      <c r="BI191" s="96"/>
      <c r="BJ191" s="96"/>
      <c r="BK191" s="96"/>
    </row>
    <row r="192" ht="15.75" customHeight="1">
      <c r="A192" s="188"/>
      <c r="B192" s="96"/>
      <c r="C192" s="96"/>
      <c r="D192" s="96"/>
      <c r="E192" s="96"/>
      <c r="F192" s="96"/>
      <c r="G192" s="96"/>
      <c r="H192" s="96"/>
      <c r="I192" s="96"/>
      <c r="J192" s="96"/>
      <c r="K192" s="96"/>
      <c r="L192" s="96"/>
      <c r="M192" s="96"/>
      <c r="N192" s="96"/>
      <c r="O192" s="96"/>
      <c r="P192" s="96"/>
      <c r="Q192" s="96"/>
      <c r="R192" s="96"/>
      <c r="S192" s="96"/>
      <c r="T192" s="96"/>
      <c r="U192" s="96"/>
      <c r="V192" s="96"/>
      <c r="W192" s="96"/>
      <c r="X192" s="96"/>
      <c r="Y192" s="96"/>
      <c r="Z192" s="96"/>
      <c r="AA192" s="96"/>
      <c r="AB192" s="96"/>
      <c r="AC192" s="96"/>
      <c r="AD192" s="96"/>
      <c r="AE192" s="96"/>
      <c r="AF192" s="96"/>
      <c r="AG192" s="96"/>
      <c r="AH192" s="96"/>
      <c r="AI192" s="96"/>
      <c r="AJ192" s="96"/>
      <c r="AK192" s="96"/>
      <c r="AL192" s="96"/>
      <c r="AM192" s="96"/>
      <c r="AN192" s="96"/>
      <c r="AO192" s="96"/>
      <c r="AP192" s="96"/>
      <c r="AQ192" s="96"/>
      <c r="AR192" s="96"/>
      <c r="AS192" s="96"/>
      <c r="AT192" s="96"/>
      <c r="AU192" s="96"/>
      <c r="AV192" s="96"/>
      <c r="AW192" s="96"/>
      <c r="AX192" s="96"/>
      <c r="AY192" s="96"/>
      <c r="AZ192" s="96"/>
      <c r="BA192" s="96"/>
      <c r="BB192" s="96"/>
      <c r="BC192" s="96"/>
      <c r="BD192" s="96"/>
      <c r="BE192" s="96"/>
      <c r="BF192" s="96"/>
      <c r="BG192" s="96"/>
      <c r="BH192" s="96"/>
      <c r="BI192" s="96"/>
      <c r="BJ192" s="96"/>
      <c r="BK192" s="96"/>
    </row>
    <row r="193" ht="15.75" customHeight="1">
      <c r="A193" s="188"/>
      <c r="B193" s="96"/>
      <c r="C193" s="96"/>
      <c r="D193" s="96"/>
      <c r="E193" s="96"/>
      <c r="F193" s="96"/>
      <c r="G193" s="96"/>
      <c r="H193" s="96"/>
      <c r="I193" s="96"/>
      <c r="J193" s="96"/>
      <c r="K193" s="96"/>
      <c r="L193" s="96"/>
      <c r="M193" s="96"/>
      <c r="N193" s="96"/>
      <c r="O193" s="96"/>
      <c r="P193" s="96"/>
      <c r="Q193" s="96"/>
      <c r="R193" s="96"/>
      <c r="S193" s="96"/>
      <c r="T193" s="96"/>
      <c r="U193" s="96"/>
      <c r="V193" s="96"/>
      <c r="W193" s="96"/>
      <c r="X193" s="96"/>
      <c r="Y193" s="96"/>
      <c r="Z193" s="96"/>
      <c r="AA193" s="96"/>
      <c r="AB193" s="96"/>
      <c r="AC193" s="96"/>
      <c r="AD193" s="96"/>
      <c r="AE193" s="96"/>
      <c r="AF193" s="96"/>
      <c r="AG193" s="96"/>
      <c r="AH193" s="96"/>
      <c r="AI193" s="96"/>
      <c r="AJ193" s="96"/>
      <c r="AK193" s="96"/>
      <c r="AL193" s="96"/>
      <c r="AM193" s="96"/>
      <c r="AN193" s="96"/>
      <c r="AO193" s="96"/>
      <c r="AP193" s="96"/>
      <c r="AQ193" s="96"/>
      <c r="AR193" s="96"/>
      <c r="AS193" s="96"/>
      <c r="AT193" s="96"/>
      <c r="AU193" s="96"/>
      <c r="AV193" s="96"/>
      <c r="AW193" s="96"/>
      <c r="AX193" s="96"/>
      <c r="AY193" s="96"/>
      <c r="AZ193" s="96"/>
      <c r="BA193" s="96"/>
      <c r="BB193" s="96"/>
      <c r="BC193" s="96"/>
      <c r="BD193" s="96"/>
      <c r="BE193" s="96"/>
      <c r="BF193" s="96"/>
      <c r="BG193" s="96"/>
      <c r="BH193" s="96"/>
      <c r="BI193" s="96"/>
      <c r="BJ193" s="96"/>
      <c r="BK193" s="96"/>
    </row>
    <row r="194" ht="15.75" customHeight="1">
      <c r="A194" s="188"/>
      <c r="B194" s="96"/>
      <c r="C194" s="96"/>
      <c r="D194" s="96"/>
      <c r="E194" s="96"/>
      <c r="F194" s="96"/>
      <c r="G194" s="96"/>
      <c r="H194" s="96"/>
      <c r="I194" s="96"/>
      <c r="J194" s="96"/>
      <c r="K194" s="96"/>
      <c r="L194" s="96"/>
      <c r="M194" s="96"/>
      <c r="N194" s="96"/>
      <c r="O194" s="96"/>
      <c r="P194" s="96"/>
      <c r="Q194" s="96"/>
      <c r="R194" s="96"/>
      <c r="S194" s="96"/>
      <c r="T194" s="96"/>
      <c r="U194" s="96"/>
      <c r="V194" s="96"/>
      <c r="W194" s="96"/>
      <c r="X194" s="96"/>
      <c r="Y194" s="96"/>
      <c r="Z194" s="96"/>
      <c r="AA194" s="96"/>
      <c r="AB194" s="96"/>
      <c r="AC194" s="96"/>
      <c r="AD194" s="96"/>
      <c r="AE194" s="96"/>
      <c r="AF194" s="96"/>
      <c r="AG194" s="96"/>
      <c r="AH194" s="96"/>
      <c r="AI194" s="96"/>
      <c r="AJ194" s="96"/>
      <c r="AK194" s="96"/>
      <c r="AL194" s="96"/>
      <c r="AM194" s="96"/>
      <c r="AN194" s="96"/>
      <c r="AO194" s="96"/>
      <c r="AP194" s="96"/>
      <c r="AQ194" s="96"/>
      <c r="AR194" s="96"/>
      <c r="AS194" s="96"/>
      <c r="AT194" s="96"/>
      <c r="AU194" s="96"/>
      <c r="AV194" s="96"/>
      <c r="AW194" s="96"/>
      <c r="AX194" s="96"/>
      <c r="AY194" s="96"/>
      <c r="AZ194" s="96"/>
      <c r="BA194" s="96"/>
      <c r="BB194" s="96"/>
      <c r="BC194" s="96"/>
      <c r="BD194" s="96"/>
      <c r="BE194" s="96"/>
      <c r="BF194" s="96"/>
      <c r="BG194" s="96"/>
      <c r="BH194" s="96"/>
      <c r="BI194" s="96"/>
      <c r="BJ194" s="96"/>
      <c r="BK194" s="96"/>
    </row>
    <row r="195" ht="15.75" customHeight="1">
      <c r="A195" s="188"/>
      <c r="B195" s="96"/>
      <c r="C195" s="96"/>
      <c r="D195" s="96"/>
      <c r="E195" s="96"/>
      <c r="F195" s="96"/>
      <c r="G195" s="96"/>
      <c r="H195" s="96"/>
      <c r="I195" s="96"/>
      <c r="J195" s="96"/>
      <c r="K195" s="96"/>
      <c r="L195" s="96"/>
      <c r="M195" s="96"/>
      <c r="N195" s="96"/>
      <c r="O195" s="96"/>
      <c r="P195" s="96"/>
      <c r="Q195" s="96"/>
      <c r="R195" s="96"/>
      <c r="S195" s="96"/>
      <c r="T195" s="96"/>
      <c r="U195" s="96"/>
      <c r="V195" s="96"/>
      <c r="W195" s="96"/>
      <c r="X195" s="96"/>
      <c r="Y195" s="96"/>
      <c r="Z195" s="96"/>
      <c r="AA195" s="96"/>
      <c r="AB195" s="96"/>
      <c r="AC195" s="96"/>
      <c r="AD195" s="96"/>
      <c r="AE195" s="96"/>
      <c r="AF195" s="96"/>
      <c r="AG195" s="96"/>
      <c r="AH195" s="96"/>
      <c r="AI195" s="96"/>
      <c r="AJ195" s="96"/>
      <c r="AK195" s="96"/>
      <c r="AL195" s="96"/>
      <c r="AM195" s="96"/>
      <c r="AN195" s="96"/>
      <c r="AO195" s="96"/>
      <c r="AP195" s="96"/>
      <c r="AQ195" s="96"/>
      <c r="AR195" s="96"/>
      <c r="AS195" s="96"/>
      <c r="AT195" s="96"/>
      <c r="AU195" s="96"/>
      <c r="AV195" s="96"/>
      <c r="AW195" s="96"/>
      <c r="AX195" s="96"/>
      <c r="AY195" s="96"/>
      <c r="AZ195" s="96"/>
      <c r="BA195" s="96"/>
      <c r="BB195" s="96"/>
      <c r="BC195" s="96"/>
      <c r="BD195" s="96"/>
      <c r="BE195" s="96"/>
      <c r="BF195" s="96"/>
      <c r="BG195" s="96"/>
      <c r="BH195" s="96"/>
      <c r="BI195" s="96"/>
      <c r="BJ195" s="96"/>
      <c r="BK195" s="96"/>
    </row>
    <row r="196" ht="15.75" customHeight="1">
      <c r="A196" s="188"/>
      <c r="B196" s="96"/>
      <c r="C196" s="96"/>
      <c r="D196" s="96"/>
      <c r="E196" s="96"/>
      <c r="F196" s="96"/>
      <c r="G196" s="96"/>
      <c r="H196" s="96"/>
      <c r="I196" s="96"/>
      <c r="J196" s="96"/>
      <c r="K196" s="96"/>
      <c r="L196" s="96"/>
      <c r="M196" s="96"/>
      <c r="N196" s="96"/>
      <c r="O196" s="96"/>
      <c r="P196" s="96"/>
      <c r="Q196" s="96"/>
      <c r="R196" s="96"/>
      <c r="S196" s="96"/>
      <c r="T196" s="96"/>
      <c r="U196" s="96"/>
      <c r="V196" s="96"/>
      <c r="W196" s="96"/>
      <c r="X196" s="96"/>
      <c r="Y196" s="96"/>
      <c r="Z196" s="96"/>
      <c r="AA196" s="96"/>
      <c r="AB196" s="96"/>
      <c r="AC196" s="96"/>
      <c r="AD196" s="96"/>
      <c r="AE196" s="96"/>
      <c r="AF196" s="96"/>
      <c r="AG196" s="96"/>
      <c r="AH196" s="96"/>
      <c r="AI196" s="96"/>
      <c r="AJ196" s="96"/>
      <c r="AK196" s="96"/>
      <c r="AL196" s="96"/>
      <c r="AM196" s="96"/>
      <c r="AN196" s="96"/>
      <c r="AO196" s="96"/>
      <c r="AP196" s="96"/>
      <c r="AQ196" s="96"/>
      <c r="AR196" s="96"/>
      <c r="AS196" s="96"/>
      <c r="AT196" s="96"/>
      <c r="AU196" s="96"/>
      <c r="AV196" s="96"/>
      <c r="AW196" s="96"/>
      <c r="AX196" s="96"/>
      <c r="AY196" s="96"/>
      <c r="AZ196" s="96"/>
      <c r="BA196" s="96"/>
      <c r="BB196" s="96"/>
      <c r="BC196" s="96"/>
      <c r="BD196" s="96"/>
      <c r="BE196" s="96"/>
      <c r="BF196" s="96"/>
      <c r="BG196" s="96"/>
      <c r="BH196" s="96"/>
      <c r="BI196" s="96"/>
      <c r="BJ196" s="96"/>
      <c r="BK196" s="96"/>
    </row>
    <row r="197" ht="15.75" customHeight="1">
      <c r="A197" s="188"/>
      <c r="B197" s="96"/>
      <c r="C197" s="96"/>
      <c r="D197" s="96"/>
      <c r="E197" s="96"/>
      <c r="F197" s="96"/>
      <c r="G197" s="96"/>
      <c r="H197" s="96"/>
      <c r="I197" s="96"/>
      <c r="J197" s="96"/>
      <c r="K197" s="96"/>
      <c r="L197" s="96"/>
      <c r="M197" s="96"/>
      <c r="N197" s="96"/>
      <c r="O197" s="96"/>
      <c r="P197" s="96"/>
      <c r="Q197" s="96"/>
      <c r="R197" s="96"/>
      <c r="S197" s="96"/>
      <c r="T197" s="96"/>
      <c r="U197" s="96"/>
      <c r="V197" s="96"/>
      <c r="W197" s="96"/>
      <c r="X197" s="96"/>
      <c r="Y197" s="96"/>
      <c r="Z197" s="96"/>
      <c r="AA197" s="96"/>
      <c r="AB197" s="96"/>
      <c r="AC197" s="96"/>
      <c r="AD197" s="96"/>
      <c r="AE197" s="96"/>
      <c r="AF197" s="96"/>
      <c r="AG197" s="96"/>
      <c r="AH197" s="96"/>
      <c r="AI197" s="96"/>
      <c r="AJ197" s="96"/>
      <c r="AK197" s="96"/>
      <c r="AL197" s="96"/>
      <c r="AM197" s="96"/>
      <c r="AN197" s="96"/>
      <c r="AO197" s="96"/>
      <c r="AP197" s="96"/>
      <c r="AQ197" s="96"/>
      <c r="AR197" s="96"/>
      <c r="AS197" s="96"/>
      <c r="AT197" s="96"/>
      <c r="AU197" s="96"/>
      <c r="AV197" s="96"/>
      <c r="AW197" s="96"/>
      <c r="AX197" s="96"/>
      <c r="AY197" s="96"/>
      <c r="AZ197" s="96"/>
      <c r="BA197" s="96"/>
      <c r="BB197" s="96"/>
      <c r="BC197" s="96"/>
      <c r="BD197" s="96"/>
      <c r="BE197" s="96"/>
      <c r="BF197" s="96"/>
      <c r="BG197" s="96"/>
      <c r="BH197" s="96"/>
      <c r="BI197" s="96"/>
      <c r="BJ197" s="96"/>
      <c r="BK197" s="96"/>
    </row>
    <row r="198" ht="15.75" customHeight="1">
      <c r="A198" s="188"/>
      <c r="B198" s="96"/>
      <c r="C198" s="96"/>
      <c r="D198" s="96"/>
      <c r="E198" s="96"/>
      <c r="F198" s="96"/>
      <c r="G198" s="96"/>
      <c r="H198" s="96"/>
      <c r="I198" s="96"/>
      <c r="J198" s="96"/>
      <c r="K198" s="96"/>
      <c r="L198" s="96"/>
      <c r="M198" s="96"/>
      <c r="N198" s="96"/>
      <c r="O198" s="96"/>
      <c r="P198" s="96"/>
      <c r="Q198" s="96"/>
      <c r="R198" s="96"/>
      <c r="S198" s="96"/>
      <c r="T198" s="96"/>
      <c r="U198" s="96"/>
      <c r="V198" s="96"/>
      <c r="W198" s="96"/>
      <c r="X198" s="96"/>
      <c r="Y198" s="96"/>
      <c r="Z198" s="96"/>
      <c r="AA198" s="96"/>
      <c r="AB198" s="96"/>
      <c r="AC198" s="96"/>
      <c r="AD198" s="96"/>
      <c r="AE198" s="96"/>
      <c r="AF198" s="96"/>
      <c r="AG198" s="96"/>
      <c r="AH198" s="96"/>
      <c r="AI198" s="96"/>
      <c r="AJ198" s="96"/>
      <c r="AK198" s="96"/>
      <c r="AL198" s="96"/>
      <c r="AM198" s="96"/>
      <c r="AN198" s="96"/>
      <c r="AO198" s="96"/>
      <c r="AP198" s="96"/>
      <c r="AQ198" s="96"/>
      <c r="AR198" s="96"/>
      <c r="AS198" s="96"/>
      <c r="AT198" s="96"/>
      <c r="AU198" s="96"/>
      <c r="AV198" s="96"/>
      <c r="AW198" s="96"/>
      <c r="AX198" s="96"/>
      <c r="AY198" s="96"/>
      <c r="AZ198" s="96"/>
      <c r="BA198" s="96"/>
      <c r="BB198" s="96"/>
      <c r="BC198" s="96"/>
      <c r="BD198" s="96"/>
      <c r="BE198" s="96"/>
      <c r="BF198" s="96"/>
      <c r="BG198" s="96"/>
      <c r="BH198" s="96"/>
      <c r="BI198" s="96"/>
      <c r="BJ198" s="96"/>
      <c r="BK198" s="96"/>
    </row>
    <row r="199" ht="15.75" customHeight="1">
      <c r="A199" s="188"/>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c r="AA199" s="96"/>
      <c r="AB199" s="96"/>
      <c r="AC199" s="96"/>
      <c r="AD199" s="96"/>
      <c r="AE199" s="96"/>
      <c r="AF199" s="96"/>
      <c r="AG199" s="96"/>
      <c r="AH199" s="96"/>
      <c r="AI199" s="96"/>
      <c r="AJ199" s="96"/>
      <c r="AK199" s="96"/>
      <c r="AL199" s="96"/>
      <c r="AM199" s="96"/>
      <c r="AN199" s="96"/>
      <c r="AO199" s="96"/>
      <c r="AP199" s="96"/>
      <c r="AQ199" s="96"/>
      <c r="AR199" s="96"/>
      <c r="AS199" s="96"/>
      <c r="AT199" s="96"/>
      <c r="AU199" s="96"/>
      <c r="AV199" s="96"/>
      <c r="AW199" s="96"/>
      <c r="AX199" s="96"/>
      <c r="AY199" s="96"/>
      <c r="AZ199" s="96"/>
      <c r="BA199" s="96"/>
      <c r="BB199" s="96"/>
      <c r="BC199" s="96"/>
      <c r="BD199" s="96"/>
      <c r="BE199" s="96"/>
      <c r="BF199" s="96"/>
      <c r="BG199" s="96"/>
      <c r="BH199" s="96"/>
      <c r="BI199" s="96"/>
      <c r="BJ199" s="96"/>
      <c r="BK199" s="96"/>
    </row>
    <row r="200" ht="15.75" customHeight="1">
      <c r="A200" s="188"/>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c r="AA200" s="96"/>
      <c r="AB200" s="96"/>
      <c r="AC200" s="96"/>
      <c r="AD200" s="96"/>
      <c r="AE200" s="96"/>
      <c r="AF200" s="96"/>
      <c r="AG200" s="96"/>
      <c r="AH200" s="96"/>
      <c r="AI200" s="96"/>
      <c r="AJ200" s="96"/>
      <c r="AK200" s="96"/>
      <c r="AL200" s="96"/>
      <c r="AM200" s="96"/>
      <c r="AN200" s="96"/>
      <c r="AO200" s="96"/>
      <c r="AP200" s="96"/>
      <c r="AQ200" s="96"/>
      <c r="AR200" s="96"/>
      <c r="AS200" s="96"/>
      <c r="AT200" s="96"/>
      <c r="AU200" s="96"/>
      <c r="AV200" s="96"/>
      <c r="AW200" s="96"/>
      <c r="AX200" s="96"/>
      <c r="AY200" s="96"/>
      <c r="AZ200" s="96"/>
      <c r="BA200" s="96"/>
      <c r="BB200" s="96"/>
      <c r="BC200" s="96"/>
      <c r="BD200" s="96"/>
      <c r="BE200" s="96"/>
      <c r="BF200" s="96"/>
      <c r="BG200" s="96"/>
      <c r="BH200" s="96"/>
      <c r="BI200" s="96"/>
      <c r="BJ200" s="96"/>
      <c r="BK200" s="96"/>
    </row>
    <row r="201" ht="15.75" customHeight="1">
      <c r="A201" s="188"/>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c r="AA201" s="96"/>
      <c r="AB201" s="96"/>
      <c r="AC201" s="96"/>
      <c r="AD201" s="96"/>
      <c r="AE201" s="96"/>
      <c r="AF201" s="96"/>
      <c r="AG201" s="96"/>
      <c r="AH201" s="96"/>
      <c r="AI201" s="96"/>
      <c r="AJ201" s="96"/>
      <c r="AK201" s="96"/>
      <c r="AL201" s="96"/>
      <c r="AM201" s="96"/>
      <c r="AN201" s="96"/>
      <c r="AO201" s="96"/>
      <c r="AP201" s="96"/>
      <c r="AQ201" s="96"/>
      <c r="AR201" s="96"/>
      <c r="AS201" s="96"/>
      <c r="AT201" s="96"/>
      <c r="AU201" s="96"/>
      <c r="AV201" s="96"/>
      <c r="AW201" s="96"/>
      <c r="AX201" s="96"/>
      <c r="AY201" s="96"/>
      <c r="AZ201" s="96"/>
      <c r="BA201" s="96"/>
      <c r="BB201" s="96"/>
      <c r="BC201" s="96"/>
      <c r="BD201" s="96"/>
      <c r="BE201" s="96"/>
      <c r="BF201" s="96"/>
      <c r="BG201" s="96"/>
      <c r="BH201" s="96"/>
      <c r="BI201" s="96"/>
      <c r="BJ201" s="96"/>
      <c r="BK201" s="96"/>
    </row>
    <row r="202" ht="15.75" customHeight="1">
      <c r="A202" s="188"/>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c r="AA202" s="96"/>
      <c r="AB202" s="96"/>
      <c r="AC202" s="96"/>
      <c r="AD202" s="96"/>
      <c r="AE202" s="96"/>
      <c r="AF202" s="96"/>
      <c r="AG202" s="96"/>
      <c r="AH202" s="96"/>
      <c r="AI202" s="96"/>
      <c r="AJ202" s="96"/>
      <c r="AK202" s="96"/>
      <c r="AL202" s="96"/>
      <c r="AM202" s="96"/>
      <c r="AN202" s="96"/>
      <c r="AO202" s="96"/>
      <c r="AP202" s="96"/>
      <c r="AQ202" s="96"/>
      <c r="AR202" s="96"/>
      <c r="AS202" s="96"/>
      <c r="AT202" s="96"/>
      <c r="AU202" s="96"/>
      <c r="AV202" s="96"/>
      <c r="AW202" s="96"/>
      <c r="AX202" s="96"/>
      <c r="AY202" s="96"/>
      <c r="AZ202" s="96"/>
      <c r="BA202" s="96"/>
      <c r="BB202" s="96"/>
      <c r="BC202" s="96"/>
      <c r="BD202" s="96"/>
      <c r="BE202" s="96"/>
      <c r="BF202" s="96"/>
      <c r="BG202" s="96"/>
      <c r="BH202" s="96"/>
      <c r="BI202" s="96"/>
      <c r="BJ202" s="96"/>
      <c r="BK202" s="96"/>
    </row>
    <row r="203" ht="15.75" customHeight="1">
      <c r="A203" s="188"/>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c r="AA203" s="96"/>
      <c r="AB203" s="96"/>
      <c r="AC203" s="96"/>
      <c r="AD203" s="96"/>
      <c r="AE203" s="96"/>
      <c r="AF203" s="96"/>
      <c r="AG203" s="96"/>
      <c r="AH203" s="96"/>
      <c r="AI203" s="96"/>
      <c r="AJ203" s="96"/>
      <c r="AK203" s="96"/>
      <c r="AL203" s="96"/>
      <c r="AM203" s="96"/>
      <c r="AN203" s="96"/>
      <c r="AO203" s="96"/>
      <c r="AP203" s="96"/>
      <c r="AQ203" s="96"/>
      <c r="AR203" s="96"/>
      <c r="AS203" s="96"/>
      <c r="AT203" s="96"/>
      <c r="AU203" s="96"/>
      <c r="AV203" s="96"/>
      <c r="AW203" s="96"/>
      <c r="AX203" s="96"/>
      <c r="AY203" s="96"/>
      <c r="AZ203" s="96"/>
      <c r="BA203" s="96"/>
      <c r="BB203" s="96"/>
      <c r="BC203" s="96"/>
      <c r="BD203" s="96"/>
      <c r="BE203" s="96"/>
      <c r="BF203" s="96"/>
      <c r="BG203" s="96"/>
      <c r="BH203" s="96"/>
      <c r="BI203" s="96"/>
      <c r="BJ203" s="96"/>
      <c r="BK203" s="96"/>
    </row>
    <row r="204" ht="15.75" customHeight="1">
      <c r="A204" s="188"/>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c r="AA204" s="96"/>
      <c r="AB204" s="96"/>
      <c r="AC204" s="96"/>
      <c r="AD204" s="96"/>
      <c r="AE204" s="96"/>
      <c r="AF204" s="96"/>
      <c r="AG204" s="96"/>
      <c r="AH204" s="96"/>
      <c r="AI204" s="96"/>
      <c r="AJ204" s="96"/>
      <c r="AK204" s="96"/>
      <c r="AL204" s="96"/>
      <c r="AM204" s="96"/>
      <c r="AN204" s="96"/>
      <c r="AO204" s="96"/>
      <c r="AP204" s="96"/>
      <c r="AQ204" s="96"/>
      <c r="AR204" s="96"/>
      <c r="AS204" s="96"/>
      <c r="AT204" s="96"/>
      <c r="AU204" s="96"/>
      <c r="AV204" s="96"/>
      <c r="AW204" s="96"/>
      <c r="AX204" s="96"/>
      <c r="AY204" s="96"/>
      <c r="AZ204" s="96"/>
      <c r="BA204" s="96"/>
      <c r="BB204" s="96"/>
      <c r="BC204" s="96"/>
      <c r="BD204" s="96"/>
      <c r="BE204" s="96"/>
      <c r="BF204" s="96"/>
      <c r="BG204" s="96"/>
      <c r="BH204" s="96"/>
      <c r="BI204" s="96"/>
      <c r="BJ204" s="96"/>
      <c r="BK204" s="96"/>
    </row>
    <row r="205" ht="15.75" customHeight="1">
      <c r="A205" s="188"/>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c r="AA205" s="96"/>
      <c r="AB205" s="96"/>
      <c r="AC205" s="96"/>
      <c r="AD205" s="96"/>
      <c r="AE205" s="96"/>
      <c r="AF205" s="96"/>
      <c r="AG205" s="96"/>
      <c r="AH205" s="96"/>
      <c r="AI205" s="96"/>
      <c r="AJ205" s="96"/>
      <c r="AK205" s="96"/>
      <c r="AL205" s="96"/>
      <c r="AM205" s="96"/>
      <c r="AN205" s="96"/>
      <c r="AO205" s="96"/>
      <c r="AP205" s="96"/>
      <c r="AQ205" s="96"/>
      <c r="AR205" s="96"/>
      <c r="AS205" s="96"/>
      <c r="AT205" s="96"/>
      <c r="AU205" s="96"/>
      <c r="AV205" s="96"/>
      <c r="AW205" s="96"/>
      <c r="AX205" s="96"/>
      <c r="AY205" s="96"/>
      <c r="AZ205" s="96"/>
      <c r="BA205" s="96"/>
      <c r="BB205" s="96"/>
      <c r="BC205" s="96"/>
      <c r="BD205" s="96"/>
      <c r="BE205" s="96"/>
      <c r="BF205" s="96"/>
      <c r="BG205" s="96"/>
      <c r="BH205" s="96"/>
      <c r="BI205" s="96"/>
      <c r="BJ205" s="96"/>
      <c r="BK205" s="96"/>
    </row>
    <row r="206" ht="15.75" customHeight="1">
      <c r="A206" s="188"/>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c r="AA206" s="96"/>
      <c r="AB206" s="96"/>
      <c r="AC206" s="96"/>
      <c r="AD206" s="96"/>
      <c r="AE206" s="96"/>
      <c r="AF206" s="96"/>
      <c r="AG206" s="96"/>
      <c r="AH206" s="96"/>
      <c r="AI206" s="96"/>
      <c r="AJ206" s="96"/>
      <c r="AK206" s="96"/>
      <c r="AL206" s="96"/>
      <c r="AM206" s="96"/>
      <c r="AN206" s="96"/>
      <c r="AO206" s="96"/>
      <c r="AP206" s="96"/>
      <c r="AQ206" s="96"/>
      <c r="AR206" s="96"/>
      <c r="AS206" s="96"/>
      <c r="AT206" s="96"/>
      <c r="AU206" s="96"/>
      <c r="AV206" s="96"/>
      <c r="AW206" s="96"/>
      <c r="AX206" s="96"/>
      <c r="AY206" s="96"/>
      <c r="AZ206" s="96"/>
      <c r="BA206" s="96"/>
      <c r="BB206" s="96"/>
      <c r="BC206" s="96"/>
      <c r="BD206" s="96"/>
      <c r="BE206" s="96"/>
      <c r="BF206" s="96"/>
      <c r="BG206" s="96"/>
      <c r="BH206" s="96"/>
      <c r="BI206" s="96"/>
      <c r="BJ206" s="96"/>
      <c r="BK206" s="96"/>
    </row>
    <row r="207" ht="15.75" customHeight="1">
      <c r="A207" s="188"/>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c r="AA207" s="96"/>
      <c r="AB207" s="96"/>
      <c r="AC207" s="96"/>
      <c r="AD207" s="96"/>
      <c r="AE207" s="96"/>
      <c r="AF207" s="96"/>
      <c r="AG207" s="96"/>
      <c r="AH207" s="96"/>
      <c r="AI207" s="96"/>
      <c r="AJ207" s="96"/>
      <c r="AK207" s="96"/>
      <c r="AL207" s="96"/>
      <c r="AM207" s="96"/>
      <c r="AN207" s="96"/>
      <c r="AO207" s="96"/>
      <c r="AP207" s="96"/>
      <c r="AQ207" s="96"/>
      <c r="AR207" s="96"/>
      <c r="AS207" s="96"/>
      <c r="AT207" s="96"/>
      <c r="AU207" s="96"/>
      <c r="AV207" s="96"/>
      <c r="AW207" s="96"/>
      <c r="AX207" s="96"/>
      <c r="AY207" s="96"/>
      <c r="AZ207" s="96"/>
      <c r="BA207" s="96"/>
      <c r="BB207" s="96"/>
      <c r="BC207" s="96"/>
      <c r="BD207" s="96"/>
      <c r="BE207" s="96"/>
      <c r="BF207" s="96"/>
      <c r="BG207" s="96"/>
      <c r="BH207" s="96"/>
      <c r="BI207" s="96"/>
      <c r="BJ207" s="96"/>
      <c r="BK207" s="96"/>
    </row>
    <row r="208" ht="15.75" customHeight="1">
      <c r="A208" s="188"/>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c r="AA208" s="96"/>
      <c r="AB208" s="96"/>
      <c r="AC208" s="96"/>
      <c r="AD208" s="96"/>
      <c r="AE208" s="96"/>
      <c r="AF208" s="96"/>
      <c r="AG208" s="96"/>
      <c r="AH208" s="96"/>
      <c r="AI208" s="96"/>
      <c r="AJ208" s="96"/>
      <c r="AK208" s="96"/>
      <c r="AL208" s="96"/>
      <c r="AM208" s="96"/>
      <c r="AN208" s="96"/>
      <c r="AO208" s="96"/>
      <c r="AP208" s="96"/>
      <c r="AQ208" s="96"/>
      <c r="AR208" s="96"/>
      <c r="AS208" s="96"/>
      <c r="AT208" s="96"/>
      <c r="AU208" s="96"/>
      <c r="AV208" s="96"/>
      <c r="AW208" s="96"/>
      <c r="AX208" s="96"/>
      <c r="AY208" s="96"/>
      <c r="AZ208" s="96"/>
      <c r="BA208" s="96"/>
      <c r="BB208" s="96"/>
      <c r="BC208" s="96"/>
      <c r="BD208" s="96"/>
      <c r="BE208" s="96"/>
      <c r="BF208" s="96"/>
      <c r="BG208" s="96"/>
      <c r="BH208" s="96"/>
      <c r="BI208" s="96"/>
      <c r="BJ208" s="96"/>
      <c r="BK208" s="96"/>
    </row>
    <row r="209" ht="15.75" customHeight="1">
      <c r="A209" s="188"/>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c r="AA209" s="96"/>
      <c r="AB209" s="96"/>
      <c r="AC209" s="96"/>
      <c r="AD209" s="96"/>
      <c r="AE209" s="96"/>
      <c r="AF209" s="96"/>
      <c r="AG209" s="96"/>
      <c r="AH209" s="96"/>
      <c r="AI209" s="96"/>
      <c r="AJ209" s="96"/>
      <c r="AK209" s="96"/>
      <c r="AL209" s="96"/>
      <c r="AM209" s="96"/>
      <c r="AN209" s="96"/>
      <c r="AO209" s="96"/>
      <c r="AP209" s="96"/>
      <c r="AQ209" s="96"/>
      <c r="AR209" s="96"/>
      <c r="AS209" s="96"/>
      <c r="AT209" s="96"/>
      <c r="AU209" s="96"/>
      <c r="AV209" s="96"/>
      <c r="AW209" s="96"/>
      <c r="AX209" s="96"/>
      <c r="AY209" s="96"/>
      <c r="AZ209" s="96"/>
      <c r="BA209" s="96"/>
      <c r="BB209" s="96"/>
      <c r="BC209" s="96"/>
      <c r="BD209" s="96"/>
      <c r="BE209" s="96"/>
      <c r="BF209" s="96"/>
      <c r="BG209" s="96"/>
      <c r="BH209" s="96"/>
      <c r="BI209" s="96"/>
      <c r="BJ209" s="96"/>
      <c r="BK209" s="96"/>
    </row>
    <row r="210" ht="15.75" customHeight="1">
      <c r="A210" s="188"/>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c r="AA210" s="96"/>
      <c r="AB210" s="96"/>
      <c r="AC210" s="96"/>
      <c r="AD210" s="96"/>
      <c r="AE210" s="96"/>
      <c r="AF210" s="96"/>
      <c r="AG210" s="96"/>
      <c r="AH210" s="96"/>
      <c r="AI210" s="96"/>
      <c r="AJ210" s="96"/>
      <c r="AK210" s="96"/>
      <c r="AL210" s="96"/>
      <c r="AM210" s="96"/>
      <c r="AN210" s="96"/>
      <c r="AO210" s="96"/>
      <c r="AP210" s="96"/>
      <c r="AQ210" s="96"/>
      <c r="AR210" s="96"/>
      <c r="AS210" s="96"/>
      <c r="AT210" s="96"/>
      <c r="AU210" s="96"/>
      <c r="AV210" s="96"/>
      <c r="AW210" s="96"/>
      <c r="AX210" s="96"/>
      <c r="AY210" s="96"/>
      <c r="AZ210" s="96"/>
      <c r="BA210" s="96"/>
      <c r="BB210" s="96"/>
      <c r="BC210" s="96"/>
      <c r="BD210" s="96"/>
      <c r="BE210" s="96"/>
      <c r="BF210" s="96"/>
      <c r="BG210" s="96"/>
      <c r="BH210" s="96"/>
      <c r="BI210" s="96"/>
      <c r="BJ210" s="96"/>
      <c r="BK210" s="96"/>
    </row>
    <row r="211" ht="15.75" customHeight="1">
      <c r="A211" s="188"/>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c r="AA211" s="96"/>
      <c r="AB211" s="96"/>
      <c r="AC211" s="96"/>
      <c r="AD211" s="96"/>
      <c r="AE211" s="96"/>
      <c r="AF211" s="96"/>
      <c r="AG211" s="96"/>
      <c r="AH211" s="96"/>
      <c r="AI211" s="96"/>
      <c r="AJ211" s="96"/>
      <c r="AK211" s="96"/>
      <c r="AL211" s="96"/>
      <c r="AM211" s="96"/>
      <c r="AN211" s="96"/>
      <c r="AO211" s="96"/>
      <c r="AP211" s="96"/>
      <c r="AQ211" s="96"/>
      <c r="AR211" s="96"/>
      <c r="AS211" s="96"/>
      <c r="AT211" s="96"/>
      <c r="AU211" s="96"/>
      <c r="AV211" s="96"/>
      <c r="AW211" s="96"/>
      <c r="AX211" s="96"/>
      <c r="AY211" s="96"/>
      <c r="AZ211" s="96"/>
      <c r="BA211" s="96"/>
      <c r="BB211" s="96"/>
      <c r="BC211" s="96"/>
      <c r="BD211" s="96"/>
      <c r="BE211" s="96"/>
      <c r="BF211" s="96"/>
      <c r="BG211" s="96"/>
      <c r="BH211" s="96"/>
      <c r="BI211" s="96"/>
      <c r="BJ211" s="96"/>
      <c r="BK211" s="96"/>
    </row>
    <row r="212" ht="15.75" customHeight="1">
      <c r="A212" s="188"/>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c r="AA212" s="96"/>
      <c r="AB212" s="96"/>
      <c r="AC212" s="96"/>
      <c r="AD212" s="96"/>
      <c r="AE212" s="96"/>
      <c r="AF212" s="96"/>
      <c r="AG212" s="96"/>
      <c r="AH212" s="96"/>
      <c r="AI212" s="96"/>
      <c r="AJ212" s="96"/>
      <c r="AK212" s="96"/>
      <c r="AL212" s="96"/>
      <c r="AM212" s="96"/>
      <c r="AN212" s="96"/>
      <c r="AO212" s="96"/>
      <c r="AP212" s="96"/>
      <c r="AQ212" s="96"/>
      <c r="AR212" s="96"/>
      <c r="AS212" s="96"/>
      <c r="AT212" s="96"/>
      <c r="AU212" s="96"/>
      <c r="AV212" s="96"/>
      <c r="AW212" s="96"/>
      <c r="AX212" s="96"/>
      <c r="AY212" s="96"/>
      <c r="AZ212" s="96"/>
      <c r="BA212" s="96"/>
      <c r="BB212" s="96"/>
      <c r="BC212" s="96"/>
      <c r="BD212" s="96"/>
      <c r="BE212" s="96"/>
      <c r="BF212" s="96"/>
      <c r="BG212" s="96"/>
      <c r="BH212" s="96"/>
      <c r="BI212" s="96"/>
      <c r="BJ212" s="96"/>
      <c r="BK212" s="96"/>
    </row>
    <row r="213" ht="15.75" customHeight="1">
      <c r="A213" s="188"/>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c r="AA213" s="96"/>
      <c r="AB213" s="96"/>
      <c r="AC213" s="96"/>
      <c r="AD213" s="96"/>
      <c r="AE213" s="96"/>
      <c r="AF213" s="96"/>
      <c r="AG213" s="96"/>
      <c r="AH213" s="96"/>
      <c r="AI213" s="96"/>
      <c r="AJ213" s="96"/>
      <c r="AK213" s="96"/>
      <c r="AL213" s="96"/>
      <c r="AM213" s="96"/>
      <c r="AN213" s="96"/>
      <c r="AO213" s="96"/>
      <c r="AP213" s="96"/>
      <c r="AQ213" s="96"/>
      <c r="AR213" s="96"/>
      <c r="AS213" s="96"/>
      <c r="AT213" s="96"/>
      <c r="AU213" s="96"/>
      <c r="AV213" s="96"/>
      <c r="AW213" s="96"/>
      <c r="AX213" s="96"/>
      <c r="AY213" s="96"/>
      <c r="AZ213" s="96"/>
      <c r="BA213" s="96"/>
      <c r="BB213" s="96"/>
      <c r="BC213" s="96"/>
      <c r="BD213" s="96"/>
      <c r="BE213" s="96"/>
      <c r="BF213" s="96"/>
      <c r="BG213" s="96"/>
      <c r="BH213" s="96"/>
      <c r="BI213" s="96"/>
      <c r="BJ213" s="96"/>
      <c r="BK213" s="96"/>
    </row>
    <row r="214" ht="15.75" customHeight="1">
      <c r="A214" s="188"/>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c r="AA214" s="96"/>
      <c r="AB214" s="96"/>
      <c r="AC214" s="96"/>
      <c r="AD214" s="96"/>
      <c r="AE214" s="96"/>
      <c r="AF214" s="96"/>
      <c r="AG214" s="96"/>
      <c r="AH214" s="96"/>
      <c r="AI214" s="96"/>
      <c r="AJ214" s="96"/>
      <c r="AK214" s="96"/>
      <c r="AL214" s="96"/>
      <c r="AM214" s="96"/>
      <c r="AN214" s="96"/>
      <c r="AO214" s="96"/>
      <c r="AP214" s="96"/>
      <c r="AQ214" s="96"/>
      <c r="AR214" s="96"/>
      <c r="AS214" s="96"/>
      <c r="AT214" s="96"/>
      <c r="AU214" s="96"/>
      <c r="AV214" s="96"/>
      <c r="AW214" s="96"/>
      <c r="AX214" s="96"/>
      <c r="AY214" s="96"/>
      <c r="AZ214" s="96"/>
      <c r="BA214" s="96"/>
      <c r="BB214" s="96"/>
      <c r="BC214" s="96"/>
      <c r="BD214" s="96"/>
      <c r="BE214" s="96"/>
      <c r="BF214" s="96"/>
      <c r="BG214" s="96"/>
      <c r="BH214" s="96"/>
      <c r="BI214" s="96"/>
      <c r="BJ214" s="96"/>
      <c r="BK214" s="96"/>
    </row>
    <row r="215" ht="15.75" customHeight="1">
      <c r="A215" s="188"/>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c r="AA215" s="96"/>
      <c r="AB215" s="96"/>
      <c r="AC215" s="96"/>
      <c r="AD215" s="96"/>
      <c r="AE215" s="96"/>
      <c r="AF215" s="96"/>
      <c r="AG215" s="96"/>
      <c r="AH215" s="96"/>
      <c r="AI215" s="96"/>
      <c r="AJ215" s="96"/>
      <c r="AK215" s="96"/>
      <c r="AL215" s="96"/>
      <c r="AM215" s="96"/>
      <c r="AN215" s="96"/>
      <c r="AO215" s="96"/>
      <c r="AP215" s="96"/>
      <c r="AQ215" s="96"/>
      <c r="AR215" s="96"/>
      <c r="AS215" s="96"/>
      <c r="AT215" s="96"/>
      <c r="AU215" s="96"/>
      <c r="AV215" s="96"/>
      <c r="AW215" s="96"/>
      <c r="AX215" s="96"/>
      <c r="AY215" s="96"/>
      <c r="AZ215" s="96"/>
      <c r="BA215" s="96"/>
      <c r="BB215" s="96"/>
      <c r="BC215" s="96"/>
      <c r="BD215" s="96"/>
      <c r="BE215" s="96"/>
      <c r="BF215" s="96"/>
      <c r="BG215" s="96"/>
      <c r="BH215" s="96"/>
      <c r="BI215" s="96"/>
      <c r="BJ215" s="96"/>
      <c r="BK215" s="96"/>
    </row>
    <row r="216" ht="15.75" customHeight="1">
      <c r="A216" s="188"/>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c r="AA216" s="96"/>
      <c r="AB216" s="96"/>
      <c r="AC216" s="96"/>
      <c r="AD216" s="96"/>
      <c r="AE216" s="96"/>
      <c r="AF216" s="96"/>
      <c r="AG216" s="96"/>
      <c r="AH216" s="96"/>
      <c r="AI216" s="96"/>
      <c r="AJ216" s="96"/>
      <c r="AK216" s="96"/>
      <c r="AL216" s="96"/>
      <c r="AM216" s="96"/>
      <c r="AN216" s="96"/>
      <c r="AO216" s="96"/>
      <c r="AP216" s="96"/>
      <c r="AQ216" s="96"/>
      <c r="AR216" s="96"/>
      <c r="AS216" s="96"/>
      <c r="AT216" s="96"/>
      <c r="AU216" s="96"/>
      <c r="AV216" s="96"/>
      <c r="AW216" s="96"/>
      <c r="AX216" s="96"/>
      <c r="AY216" s="96"/>
      <c r="AZ216" s="96"/>
      <c r="BA216" s="96"/>
      <c r="BB216" s="96"/>
      <c r="BC216" s="96"/>
      <c r="BD216" s="96"/>
      <c r="BE216" s="96"/>
      <c r="BF216" s="96"/>
      <c r="BG216" s="96"/>
      <c r="BH216" s="96"/>
      <c r="BI216" s="96"/>
      <c r="BJ216" s="96"/>
      <c r="BK216" s="96"/>
    </row>
    <row r="217" ht="15.75" customHeight="1">
      <c r="A217" s="188"/>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c r="AA217" s="96"/>
      <c r="AB217" s="96"/>
      <c r="AC217" s="96"/>
      <c r="AD217" s="96"/>
      <c r="AE217" s="96"/>
      <c r="AF217" s="96"/>
      <c r="AG217" s="96"/>
      <c r="AH217" s="96"/>
      <c r="AI217" s="96"/>
      <c r="AJ217" s="96"/>
      <c r="AK217" s="96"/>
      <c r="AL217" s="96"/>
      <c r="AM217" s="96"/>
      <c r="AN217" s="96"/>
      <c r="AO217" s="96"/>
      <c r="AP217" s="96"/>
      <c r="AQ217" s="96"/>
      <c r="AR217" s="96"/>
      <c r="AS217" s="96"/>
      <c r="AT217" s="96"/>
      <c r="AU217" s="96"/>
      <c r="AV217" s="96"/>
      <c r="AW217" s="96"/>
      <c r="AX217" s="96"/>
      <c r="AY217" s="96"/>
      <c r="AZ217" s="96"/>
      <c r="BA217" s="96"/>
      <c r="BB217" s="96"/>
      <c r="BC217" s="96"/>
      <c r="BD217" s="96"/>
      <c r="BE217" s="96"/>
      <c r="BF217" s="96"/>
      <c r="BG217" s="96"/>
      <c r="BH217" s="96"/>
      <c r="BI217" s="96"/>
      <c r="BJ217" s="96"/>
      <c r="BK217" s="96"/>
    </row>
    <row r="218" ht="15.75" customHeight="1">
      <c r="A218" s="188"/>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c r="AB218" s="96"/>
      <c r="AC218" s="96"/>
      <c r="AD218" s="96"/>
      <c r="AE218" s="96"/>
      <c r="AF218" s="96"/>
      <c r="AG218" s="96"/>
      <c r="AH218" s="96"/>
      <c r="AI218" s="96"/>
      <c r="AJ218" s="96"/>
      <c r="AK218" s="96"/>
      <c r="AL218" s="96"/>
      <c r="AM218" s="96"/>
      <c r="AN218" s="96"/>
      <c r="AO218" s="96"/>
      <c r="AP218" s="96"/>
      <c r="AQ218" s="96"/>
      <c r="AR218" s="96"/>
      <c r="AS218" s="96"/>
      <c r="AT218" s="96"/>
      <c r="AU218" s="96"/>
      <c r="AV218" s="96"/>
      <c r="AW218" s="96"/>
      <c r="AX218" s="96"/>
      <c r="AY218" s="96"/>
      <c r="AZ218" s="96"/>
      <c r="BA218" s="96"/>
      <c r="BB218" s="96"/>
      <c r="BC218" s="96"/>
      <c r="BD218" s="96"/>
      <c r="BE218" s="96"/>
      <c r="BF218" s="96"/>
      <c r="BG218" s="96"/>
      <c r="BH218" s="96"/>
      <c r="BI218" s="96"/>
      <c r="BJ218" s="96"/>
      <c r="BK218" s="96"/>
    </row>
    <row r="219" ht="15.75" customHeight="1">
      <c r="A219" s="188"/>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c r="AA219" s="96"/>
      <c r="AB219" s="96"/>
      <c r="AC219" s="96"/>
      <c r="AD219" s="96"/>
      <c r="AE219" s="96"/>
      <c r="AF219" s="96"/>
      <c r="AG219" s="96"/>
      <c r="AH219" s="96"/>
      <c r="AI219" s="96"/>
      <c r="AJ219" s="96"/>
      <c r="AK219" s="96"/>
      <c r="AL219" s="96"/>
      <c r="AM219" s="96"/>
      <c r="AN219" s="96"/>
      <c r="AO219" s="96"/>
      <c r="AP219" s="96"/>
      <c r="AQ219" s="96"/>
      <c r="AR219" s="96"/>
      <c r="AS219" s="96"/>
      <c r="AT219" s="96"/>
      <c r="AU219" s="96"/>
      <c r="AV219" s="96"/>
      <c r="AW219" s="96"/>
      <c r="AX219" s="96"/>
      <c r="AY219" s="96"/>
      <c r="AZ219" s="96"/>
      <c r="BA219" s="96"/>
      <c r="BB219" s="96"/>
      <c r="BC219" s="96"/>
      <c r="BD219" s="96"/>
      <c r="BE219" s="96"/>
      <c r="BF219" s="96"/>
      <c r="BG219" s="96"/>
      <c r="BH219" s="96"/>
      <c r="BI219" s="96"/>
      <c r="BJ219" s="96"/>
      <c r="BK219" s="96"/>
    </row>
    <row r="220" ht="15.75" customHeight="1">
      <c r="A220" s="188"/>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c r="AA220" s="96"/>
      <c r="AB220" s="96"/>
      <c r="AC220" s="96"/>
      <c r="AD220" s="96"/>
      <c r="AE220" s="96"/>
      <c r="AF220" s="96"/>
      <c r="AG220" s="96"/>
      <c r="AH220" s="96"/>
      <c r="AI220" s="96"/>
      <c r="AJ220" s="96"/>
      <c r="AK220" s="96"/>
      <c r="AL220" s="96"/>
      <c r="AM220" s="96"/>
      <c r="AN220" s="96"/>
      <c r="AO220" s="96"/>
      <c r="AP220" s="96"/>
      <c r="AQ220" s="96"/>
      <c r="AR220" s="96"/>
      <c r="AS220" s="96"/>
      <c r="AT220" s="96"/>
      <c r="AU220" s="96"/>
      <c r="AV220" s="96"/>
      <c r="AW220" s="96"/>
      <c r="AX220" s="96"/>
      <c r="AY220" s="96"/>
      <c r="AZ220" s="96"/>
      <c r="BA220" s="96"/>
      <c r="BB220" s="96"/>
      <c r="BC220" s="96"/>
      <c r="BD220" s="96"/>
      <c r="BE220" s="96"/>
      <c r="BF220" s="96"/>
      <c r="BG220" s="96"/>
      <c r="BH220" s="96"/>
      <c r="BI220" s="96"/>
      <c r="BJ220" s="96"/>
      <c r="BK220" s="96"/>
    </row>
    <row r="221" ht="15.75" customHeight="1">
      <c r="A221" s="188"/>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c r="AA221" s="96"/>
      <c r="AB221" s="96"/>
      <c r="AC221" s="96"/>
      <c r="AD221" s="96"/>
      <c r="AE221" s="96"/>
      <c r="AF221" s="96"/>
      <c r="AG221" s="96"/>
      <c r="AH221" s="96"/>
      <c r="AI221" s="96"/>
      <c r="AJ221" s="96"/>
      <c r="AK221" s="96"/>
      <c r="AL221" s="96"/>
      <c r="AM221" s="96"/>
      <c r="AN221" s="96"/>
      <c r="AO221" s="96"/>
      <c r="AP221" s="96"/>
      <c r="AQ221" s="96"/>
      <c r="AR221" s="96"/>
      <c r="AS221" s="96"/>
      <c r="AT221" s="96"/>
      <c r="AU221" s="96"/>
      <c r="AV221" s="96"/>
      <c r="AW221" s="96"/>
      <c r="AX221" s="96"/>
      <c r="AY221" s="96"/>
      <c r="AZ221" s="96"/>
      <c r="BA221" s="96"/>
      <c r="BB221" s="96"/>
      <c r="BC221" s="96"/>
      <c r="BD221" s="96"/>
      <c r="BE221" s="96"/>
      <c r="BF221" s="96"/>
      <c r="BG221" s="96"/>
      <c r="BH221" s="96"/>
      <c r="BI221" s="96"/>
      <c r="BJ221" s="96"/>
      <c r="BK221" s="96"/>
    </row>
    <row r="222" ht="15.75" customHeight="1">
      <c r="A222" s="188"/>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c r="AA222" s="96"/>
      <c r="AB222" s="96"/>
      <c r="AC222" s="96"/>
      <c r="AD222" s="96"/>
      <c r="AE222" s="96"/>
      <c r="AF222" s="96"/>
      <c r="AG222" s="96"/>
      <c r="AH222" s="96"/>
      <c r="AI222" s="96"/>
      <c r="AJ222" s="96"/>
      <c r="AK222" s="96"/>
      <c r="AL222" s="96"/>
      <c r="AM222" s="96"/>
      <c r="AN222" s="96"/>
      <c r="AO222" s="96"/>
      <c r="AP222" s="96"/>
      <c r="AQ222" s="96"/>
      <c r="AR222" s="96"/>
      <c r="AS222" s="96"/>
      <c r="AT222" s="96"/>
      <c r="AU222" s="96"/>
      <c r="AV222" s="96"/>
      <c r="AW222" s="96"/>
      <c r="AX222" s="96"/>
      <c r="AY222" s="96"/>
      <c r="AZ222" s="96"/>
      <c r="BA222" s="96"/>
      <c r="BB222" s="96"/>
      <c r="BC222" s="96"/>
      <c r="BD222" s="96"/>
      <c r="BE222" s="96"/>
      <c r="BF222" s="96"/>
      <c r="BG222" s="96"/>
      <c r="BH222" s="96"/>
      <c r="BI222" s="96"/>
      <c r="BJ222" s="96"/>
      <c r="BK222" s="96"/>
    </row>
    <row r="223" ht="15.75" customHeight="1">
      <c r="A223" s="188"/>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c r="AA223" s="96"/>
      <c r="AB223" s="96"/>
      <c r="AC223" s="96"/>
      <c r="AD223" s="96"/>
      <c r="AE223" s="96"/>
      <c r="AF223" s="96"/>
      <c r="AG223" s="96"/>
      <c r="AH223" s="96"/>
      <c r="AI223" s="96"/>
      <c r="AJ223" s="96"/>
      <c r="AK223" s="96"/>
      <c r="AL223" s="96"/>
      <c r="AM223" s="96"/>
      <c r="AN223" s="96"/>
      <c r="AO223" s="96"/>
      <c r="AP223" s="96"/>
      <c r="AQ223" s="96"/>
      <c r="AR223" s="96"/>
      <c r="AS223" s="96"/>
      <c r="AT223" s="96"/>
      <c r="AU223" s="96"/>
      <c r="AV223" s="96"/>
      <c r="AW223" s="96"/>
      <c r="AX223" s="96"/>
      <c r="AY223" s="96"/>
      <c r="AZ223" s="96"/>
      <c r="BA223" s="96"/>
      <c r="BB223" s="96"/>
      <c r="BC223" s="96"/>
      <c r="BD223" s="96"/>
      <c r="BE223" s="96"/>
      <c r="BF223" s="96"/>
      <c r="BG223" s="96"/>
      <c r="BH223" s="96"/>
      <c r="BI223" s="96"/>
      <c r="BJ223" s="96"/>
      <c r="BK223" s="96"/>
    </row>
    <row r="224" ht="15.75" customHeight="1">
      <c r="A224" s="188"/>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c r="AA224" s="96"/>
      <c r="AB224" s="96"/>
      <c r="AC224" s="96"/>
      <c r="AD224" s="96"/>
      <c r="AE224" s="96"/>
      <c r="AF224" s="96"/>
      <c r="AG224" s="96"/>
      <c r="AH224" s="96"/>
      <c r="AI224" s="96"/>
      <c r="AJ224" s="96"/>
      <c r="AK224" s="96"/>
      <c r="AL224" s="96"/>
      <c r="AM224" s="96"/>
      <c r="AN224" s="96"/>
      <c r="AO224" s="96"/>
      <c r="AP224" s="96"/>
      <c r="AQ224" s="96"/>
      <c r="AR224" s="96"/>
      <c r="AS224" s="96"/>
      <c r="AT224" s="96"/>
      <c r="AU224" s="96"/>
      <c r="AV224" s="96"/>
      <c r="AW224" s="96"/>
      <c r="AX224" s="96"/>
      <c r="AY224" s="96"/>
      <c r="AZ224" s="96"/>
      <c r="BA224" s="96"/>
      <c r="BB224" s="96"/>
      <c r="BC224" s="96"/>
      <c r="BD224" s="96"/>
      <c r="BE224" s="96"/>
      <c r="BF224" s="96"/>
      <c r="BG224" s="96"/>
      <c r="BH224" s="96"/>
      <c r="BI224" s="96"/>
      <c r="BJ224" s="96"/>
      <c r="BK224" s="96"/>
    </row>
    <row r="225" ht="15.75" customHeight="1">
      <c r="A225" s="188"/>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c r="AA225" s="96"/>
      <c r="AB225" s="96"/>
      <c r="AC225" s="96"/>
      <c r="AD225" s="96"/>
      <c r="AE225" s="96"/>
      <c r="AF225" s="96"/>
      <c r="AG225" s="96"/>
      <c r="AH225" s="96"/>
      <c r="AI225" s="96"/>
      <c r="AJ225" s="96"/>
      <c r="AK225" s="96"/>
      <c r="AL225" s="96"/>
      <c r="AM225" s="96"/>
      <c r="AN225" s="96"/>
      <c r="AO225" s="96"/>
      <c r="AP225" s="96"/>
      <c r="AQ225" s="96"/>
      <c r="AR225" s="96"/>
      <c r="AS225" s="96"/>
      <c r="AT225" s="96"/>
      <c r="AU225" s="96"/>
      <c r="AV225" s="96"/>
      <c r="AW225" s="96"/>
      <c r="AX225" s="96"/>
      <c r="AY225" s="96"/>
      <c r="AZ225" s="96"/>
      <c r="BA225" s="96"/>
      <c r="BB225" s="96"/>
      <c r="BC225" s="96"/>
      <c r="BD225" s="96"/>
      <c r="BE225" s="96"/>
      <c r="BF225" s="96"/>
      <c r="BG225" s="96"/>
      <c r="BH225" s="96"/>
      <c r="BI225" s="96"/>
      <c r="BJ225" s="96"/>
      <c r="BK225" s="96"/>
    </row>
    <row r="226" ht="15.75" customHeight="1">
      <c r="A226" s="188"/>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c r="AA226" s="96"/>
      <c r="AB226" s="96"/>
      <c r="AC226" s="96"/>
      <c r="AD226" s="96"/>
      <c r="AE226" s="96"/>
      <c r="AF226" s="96"/>
      <c r="AG226" s="96"/>
      <c r="AH226" s="96"/>
      <c r="AI226" s="96"/>
      <c r="AJ226" s="96"/>
      <c r="AK226" s="96"/>
      <c r="AL226" s="96"/>
      <c r="AM226" s="96"/>
      <c r="AN226" s="96"/>
      <c r="AO226" s="96"/>
      <c r="AP226" s="96"/>
      <c r="AQ226" s="96"/>
      <c r="AR226" s="96"/>
      <c r="AS226" s="96"/>
      <c r="AT226" s="96"/>
      <c r="AU226" s="96"/>
      <c r="AV226" s="96"/>
      <c r="AW226" s="96"/>
      <c r="AX226" s="96"/>
      <c r="AY226" s="96"/>
      <c r="AZ226" s="96"/>
      <c r="BA226" s="96"/>
      <c r="BB226" s="96"/>
      <c r="BC226" s="96"/>
      <c r="BD226" s="96"/>
      <c r="BE226" s="96"/>
      <c r="BF226" s="96"/>
      <c r="BG226" s="96"/>
      <c r="BH226" s="96"/>
      <c r="BI226" s="96"/>
      <c r="BJ226" s="96"/>
      <c r="BK226" s="96"/>
    </row>
    <row r="227" ht="15.75" customHeight="1">
      <c r="A227" s="188"/>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c r="AA227" s="96"/>
      <c r="AB227" s="96"/>
      <c r="AC227" s="96"/>
      <c r="AD227" s="96"/>
      <c r="AE227" s="96"/>
      <c r="AF227" s="96"/>
      <c r="AG227" s="96"/>
      <c r="AH227" s="96"/>
      <c r="AI227" s="96"/>
      <c r="AJ227" s="96"/>
      <c r="AK227" s="96"/>
      <c r="AL227" s="96"/>
      <c r="AM227" s="96"/>
      <c r="AN227" s="96"/>
      <c r="AO227" s="96"/>
      <c r="AP227" s="96"/>
      <c r="AQ227" s="96"/>
      <c r="AR227" s="96"/>
      <c r="AS227" s="96"/>
      <c r="AT227" s="96"/>
      <c r="AU227" s="96"/>
      <c r="AV227" s="96"/>
      <c r="AW227" s="96"/>
      <c r="AX227" s="96"/>
      <c r="AY227" s="96"/>
      <c r="AZ227" s="96"/>
      <c r="BA227" s="96"/>
      <c r="BB227" s="96"/>
      <c r="BC227" s="96"/>
      <c r="BD227" s="96"/>
      <c r="BE227" s="96"/>
      <c r="BF227" s="96"/>
      <c r="BG227" s="96"/>
      <c r="BH227" s="96"/>
      <c r="BI227" s="96"/>
      <c r="BJ227" s="96"/>
      <c r="BK227" s="96"/>
    </row>
    <row r="228" ht="15.75" customHeight="1">
      <c r="A228" s="188"/>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c r="AA228" s="96"/>
      <c r="AB228" s="96"/>
      <c r="AC228" s="96"/>
      <c r="AD228" s="96"/>
      <c r="AE228" s="96"/>
      <c r="AF228" s="96"/>
      <c r="AG228" s="96"/>
      <c r="AH228" s="96"/>
      <c r="AI228" s="96"/>
      <c r="AJ228" s="96"/>
      <c r="AK228" s="96"/>
      <c r="AL228" s="96"/>
      <c r="AM228" s="96"/>
      <c r="AN228" s="96"/>
      <c r="AO228" s="96"/>
      <c r="AP228" s="96"/>
      <c r="AQ228" s="96"/>
      <c r="AR228" s="96"/>
      <c r="AS228" s="96"/>
      <c r="AT228" s="96"/>
      <c r="AU228" s="96"/>
      <c r="AV228" s="96"/>
      <c r="AW228" s="96"/>
      <c r="AX228" s="96"/>
      <c r="AY228" s="96"/>
      <c r="AZ228" s="96"/>
      <c r="BA228" s="96"/>
      <c r="BB228" s="96"/>
      <c r="BC228" s="96"/>
      <c r="BD228" s="96"/>
      <c r="BE228" s="96"/>
      <c r="BF228" s="96"/>
      <c r="BG228" s="96"/>
      <c r="BH228" s="96"/>
      <c r="BI228" s="96"/>
      <c r="BJ228" s="96"/>
      <c r="BK228" s="96"/>
    </row>
    <row r="229" ht="15.75" customHeight="1">
      <c r="A229" s="188"/>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c r="AA229" s="96"/>
      <c r="AB229" s="96"/>
      <c r="AC229" s="96"/>
      <c r="AD229" s="96"/>
      <c r="AE229" s="96"/>
      <c r="AF229" s="96"/>
      <c r="AG229" s="96"/>
      <c r="AH229" s="96"/>
      <c r="AI229" s="96"/>
      <c r="AJ229" s="96"/>
      <c r="AK229" s="96"/>
      <c r="AL229" s="96"/>
      <c r="AM229" s="96"/>
      <c r="AN229" s="96"/>
      <c r="AO229" s="96"/>
      <c r="AP229" s="96"/>
      <c r="AQ229" s="96"/>
      <c r="AR229" s="96"/>
      <c r="AS229" s="96"/>
      <c r="AT229" s="96"/>
      <c r="AU229" s="96"/>
      <c r="AV229" s="96"/>
      <c r="AW229" s="96"/>
      <c r="AX229" s="96"/>
      <c r="AY229" s="96"/>
      <c r="AZ229" s="96"/>
      <c r="BA229" s="96"/>
      <c r="BB229" s="96"/>
      <c r="BC229" s="96"/>
      <c r="BD229" s="96"/>
      <c r="BE229" s="96"/>
      <c r="BF229" s="96"/>
      <c r="BG229" s="96"/>
      <c r="BH229" s="96"/>
      <c r="BI229" s="96"/>
      <c r="BJ229" s="96"/>
      <c r="BK229" s="96"/>
    </row>
    <row r="230" ht="15.75" customHeight="1">
      <c r="A230" s="188"/>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c r="AA230" s="96"/>
      <c r="AB230" s="96"/>
      <c r="AC230" s="96"/>
      <c r="AD230" s="96"/>
      <c r="AE230" s="96"/>
      <c r="AF230" s="96"/>
      <c r="AG230" s="96"/>
      <c r="AH230" s="96"/>
      <c r="AI230" s="96"/>
      <c r="AJ230" s="96"/>
      <c r="AK230" s="96"/>
      <c r="AL230" s="96"/>
      <c r="AM230" s="96"/>
      <c r="AN230" s="96"/>
      <c r="AO230" s="96"/>
      <c r="AP230" s="96"/>
      <c r="AQ230" s="96"/>
      <c r="AR230" s="96"/>
      <c r="AS230" s="96"/>
      <c r="AT230" s="96"/>
      <c r="AU230" s="96"/>
      <c r="AV230" s="96"/>
      <c r="AW230" s="96"/>
      <c r="AX230" s="96"/>
      <c r="AY230" s="96"/>
      <c r="AZ230" s="96"/>
      <c r="BA230" s="96"/>
      <c r="BB230" s="96"/>
      <c r="BC230" s="96"/>
      <c r="BD230" s="96"/>
      <c r="BE230" s="96"/>
      <c r="BF230" s="96"/>
      <c r="BG230" s="96"/>
      <c r="BH230" s="96"/>
      <c r="BI230" s="96"/>
      <c r="BJ230" s="96"/>
      <c r="BK230" s="96"/>
    </row>
    <row r="231" ht="15.75" customHeight="1">
      <c r="A231" s="188"/>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c r="AA231" s="96"/>
      <c r="AB231" s="96"/>
      <c r="AC231" s="96"/>
      <c r="AD231" s="96"/>
      <c r="AE231" s="96"/>
      <c r="AF231" s="96"/>
      <c r="AG231" s="96"/>
      <c r="AH231" s="96"/>
      <c r="AI231" s="96"/>
      <c r="AJ231" s="96"/>
      <c r="AK231" s="96"/>
      <c r="AL231" s="96"/>
      <c r="AM231" s="96"/>
      <c r="AN231" s="96"/>
      <c r="AO231" s="96"/>
      <c r="AP231" s="96"/>
      <c r="AQ231" s="96"/>
      <c r="AR231" s="96"/>
      <c r="AS231" s="96"/>
      <c r="AT231" s="96"/>
      <c r="AU231" s="96"/>
      <c r="AV231" s="96"/>
      <c r="AW231" s="96"/>
      <c r="AX231" s="96"/>
      <c r="AY231" s="96"/>
      <c r="AZ231" s="96"/>
      <c r="BA231" s="96"/>
      <c r="BB231" s="96"/>
      <c r="BC231" s="96"/>
      <c r="BD231" s="96"/>
      <c r="BE231" s="96"/>
      <c r="BF231" s="96"/>
      <c r="BG231" s="96"/>
      <c r="BH231" s="96"/>
      <c r="BI231" s="96"/>
      <c r="BJ231" s="96"/>
      <c r="BK231" s="96"/>
    </row>
    <row r="232" ht="15.75" customHeight="1">
      <c r="A232" s="188"/>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c r="AA232" s="96"/>
      <c r="AB232" s="96"/>
      <c r="AC232" s="96"/>
      <c r="AD232" s="96"/>
      <c r="AE232" s="96"/>
      <c r="AF232" s="96"/>
      <c r="AG232" s="96"/>
      <c r="AH232" s="96"/>
      <c r="AI232" s="96"/>
      <c r="AJ232" s="96"/>
      <c r="AK232" s="96"/>
      <c r="AL232" s="96"/>
      <c r="AM232" s="96"/>
      <c r="AN232" s="96"/>
      <c r="AO232" s="96"/>
      <c r="AP232" s="96"/>
      <c r="AQ232" s="96"/>
      <c r="AR232" s="96"/>
      <c r="AS232" s="96"/>
      <c r="AT232" s="96"/>
      <c r="AU232" s="96"/>
      <c r="AV232" s="96"/>
      <c r="AW232" s="96"/>
      <c r="AX232" s="96"/>
      <c r="AY232" s="96"/>
      <c r="AZ232" s="96"/>
      <c r="BA232" s="96"/>
      <c r="BB232" s="96"/>
      <c r="BC232" s="96"/>
      <c r="BD232" s="96"/>
      <c r="BE232" s="96"/>
      <c r="BF232" s="96"/>
      <c r="BG232" s="96"/>
      <c r="BH232" s="96"/>
      <c r="BI232" s="96"/>
      <c r="BJ232" s="96"/>
      <c r="BK232" s="96"/>
    </row>
    <row r="233" ht="15.75" customHeight="1">
      <c r="A233" s="188"/>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c r="AA233" s="96"/>
      <c r="AB233" s="96"/>
      <c r="AC233" s="96"/>
      <c r="AD233" s="96"/>
      <c r="AE233" s="96"/>
      <c r="AF233" s="96"/>
      <c r="AG233" s="96"/>
      <c r="AH233" s="96"/>
      <c r="AI233" s="96"/>
      <c r="AJ233" s="96"/>
      <c r="AK233" s="96"/>
      <c r="AL233" s="96"/>
      <c r="AM233" s="96"/>
      <c r="AN233" s="96"/>
      <c r="AO233" s="96"/>
      <c r="AP233" s="96"/>
      <c r="AQ233" s="96"/>
      <c r="AR233" s="96"/>
      <c r="AS233" s="96"/>
      <c r="AT233" s="96"/>
      <c r="AU233" s="96"/>
      <c r="AV233" s="96"/>
      <c r="AW233" s="96"/>
      <c r="AX233" s="96"/>
      <c r="AY233" s="96"/>
      <c r="AZ233" s="96"/>
      <c r="BA233" s="96"/>
      <c r="BB233" s="96"/>
      <c r="BC233" s="96"/>
      <c r="BD233" s="96"/>
      <c r="BE233" s="96"/>
      <c r="BF233" s="96"/>
      <c r="BG233" s="96"/>
      <c r="BH233" s="96"/>
      <c r="BI233" s="96"/>
      <c r="BJ233" s="96"/>
      <c r="BK233" s="96"/>
    </row>
    <row r="234" ht="15.75" customHeight="1">
      <c r="A234" s="188"/>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c r="AA234" s="96"/>
      <c r="AB234" s="96"/>
      <c r="AC234" s="96"/>
      <c r="AD234" s="96"/>
      <c r="AE234" s="96"/>
      <c r="AF234" s="96"/>
      <c r="AG234" s="96"/>
      <c r="AH234" s="96"/>
      <c r="AI234" s="96"/>
      <c r="AJ234" s="96"/>
      <c r="AK234" s="96"/>
      <c r="AL234" s="96"/>
      <c r="AM234" s="96"/>
      <c r="AN234" s="96"/>
      <c r="AO234" s="96"/>
      <c r="AP234" s="96"/>
      <c r="AQ234" s="96"/>
      <c r="AR234" s="96"/>
      <c r="AS234" s="96"/>
      <c r="AT234" s="96"/>
      <c r="AU234" s="96"/>
      <c r="AV234" s="96"/>
      <c r="AW234" s="96"/>
      <c r="AX234" s="96"/>
      <c r="AY234" s="96"/>
      <c r="AZ234" s="96"/>
      <c r="BA234" s="96"/>
      <c r="BB234" s="96"/>
      <c r="BC234" s="96"/>
      <c r="BD234" s="96"/>
      <c r="BE234" s="96"/>
      <c r="BF234" s="96"/>
      <c r="BG234" s="96"/>
      <c r="BH234" s="96"/>
      <c r="BI234" s="96"/>
      <c r="BJ234" s="96"/>
      <c r="BK234" s="96"/>
    </row>
    <row r="235" ht="15.75" customHeight="1">
      <c r="A235" s="188"/>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c r="AA235" s="96"/>
      <c r="AB235" s="96"/>
      <c r="AC235" s="96"/>
      <c r="AD235" s="96"/>
      <c r="AE235" s="96"/>
      <c r="AF235" s="96"/>
      <c r="AG235" s="96"/>
      <c r="AH235" s="96"/>
      <c r="AI235" s="96"/>
      <c r="AJ235" s="96"/>
      <c r="AK235" s="96"/>
      <c r="AL235" s="96"/>
      <c r="AM235" s="96"/>
      <c r="AN235" s="96"/>
      <c r="AO235" s="96"/>
      <c r="AP235" s="96"/>
      <c r="AQ235" s="96"/>
      <c r="AR235" s="96"/>
      <c r="AS235" s="96"/>
      <c r="AT235" s="96"/>
      <c r="AU235" s="96"/>
      <c r="AV235" s="96"/>
      <c r="AW235" s="96"/>
      <c r="AX235" s="96"/>
      <c r="AY235" s="96"/>
      <c r="AZ235" s="96"/>
      <c r="BA235" s="96"/>
      <c r="BB235" s="96"/>
      <c r="BC235" s="96"/>
      <c r="BD235" s="96"/>
      <c r="BE235" s="96"/>
      <c r="BF235" s="96"/>
      <c r="BG235" s="96"/>
      <c r="BH235" s="96"/>
      <c r="BI235" s="96"/>
      <c r="BJ235" s="96"/>
      <c r="BK235" s="96"/>
    </row>
    <row r="236" ht="15.75" customHeight="1">
      <c r="A236" s="188"/>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c r="AA236" s="96"/>
      <c r="AB236" s="96"/>
      <c r="AC236" s="96"/>
      <c r="AD236" s="96"/>
      <c r="AE236" s="96"/>
      <c r="AF236" s="96"/>
      <c r="AG236" s="96"/>
      <c r="AH236" s="96"/>
      <c r="AI236" s="96"/>
      <c r="AJ236" s="96"/>
      <c r="AK236" s="96"/>
      <c r="AL236" s="96"/>
      <c r="AM236" s="96"/>
      <c r="AN236" s="96"/>
      <c r="AO236" s="96"/>
      <c r="AP236" s="96"/>
      <c r="AQ236" s="96"/>
      <c r="AR236" s="96"/>
      <c r="AS236" s="96"/>
      <c r="AT236" s="96"/>
      <c r="AU236" s="96"/>
      <c r="AV236" s="96"/>
      <c r="AW236" s="96"/>
      <c r="AX236" s="96"/>
      <c r="AY236" s="96"/>
      <c r="AZ236" s="96"/>
      <c r="BA236" s="96"/>
      <c r="BB236" s="96"/>
      <c r="BC236" s="96"/>
      <c r="BD236" s="96"/>
      <c r="BE236" s="96"/>
      <c r="BF236" s="96"/>
      <c r="BG236" s="96"/>
      <c r="BH236" s="96"/>
      <c r="BI236" s="96"/>
      <c r="BJ236" s="96"/>
      <c r="BK236" s="96"/>
    </row>
    <row r="237" ht="15.75" customHeight="1">
      <c r="A237" s="188"/>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c r="AA237" s="96"/>
      <c r="AB237" s="96"/>
      <c r="AC237" s="96"/>
      <c r="AD237" s="96"/>
      <c r="AE237" s="96"/>
      <c r="AF237" s="96"/>
      <c r="AG237" s="96"/>
      <c r="AH237" s="96"/>
      <c r="AI237" s="96"/>
      <c r="AJ237" s="96"/>
      <c r="AK237" s="96"/>
      <c r="AL237" s="96"/>
      <c r="AM237" s="96"/>
      <c r="AN237" s="96"/>
      <c r="AO237" s="96"/>
      <c r="AP237" s="96"/>
      <c r="AQ237" s="96"/>
      <c r="AR237" s="96"/>
      <c r="AS237" s="96"/>
      <c r="AT237" s="96"/>
      <c r="AU237" s="96"/>
      <c r="AV237" s="96"/>
      <c r="AW237" s="96"/>
      <c r="AX237" s="96"/>
      <c r="AY237" s="96"/>
      <c r="AZ237" s="96"/>
      <c r="BA237" s="96"/>
      <c r="BB237" s="96"/>
      <c r="BC237" s="96"/>
      <c r="BD237" s="96"/>
      <c r="BE237" s="96"/>
      <c r="BF237" s="96"/>
      <c r="BG237" s="96"/>
      <c r="BH237" s="96"/>
      <c r="BI237" s="96"/>
      <c r="BJ237" s="96"/>
      <c r="BK237" s="96"/>
    </row>
    <row r="238" ht="15.75" customHeight="1">
      <c r="A238" s="188"/>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c r="AA238" s="96"/>
      <c r="AB238" s="96"/>
      <c r="AC238" s="96"/>
      <c r="AD238" s="96"/>
      <c r="AE238" s="96"/>
      <c r="AF238" s="96"/>
      <c r="AG238" s="96"/>
      <c r="AH238" s="96"/>
      <c r="AI238" s="96"/>
      <c r="AJ238" s="96"/>
      <c r="AK238" s="96"/>
      <c r="AL238" s="96"/>
      <c r="AM238" s="96"/>
      <c r="AN238" s="96"/>
      <c r="AO238" s="96"/>
      <c r="AP238" s="96"/>
      <c r="AQ238" s="96"/>
      <c r="AR238" s="96"/>
      <c r="AS238" s="96"/>
      <c r="AT238" s="96"/>
      <c r="AU238" s="96"/>
      <c r="AV238" s="96"/>
      <c r="AW238" s="96"/>
      <c r="AX238" s="96"/>
      <c r="AY238" s="96"/>
      <c r="AZ238" s="96"/>
      <c r="BA238" s="96"/>
      <c r="BB238" s="96"/>
      <c r="BC238" s="96"/>
      <c r="BD238" s="96"/>
      <c r="BE238" s="96"/>
      <c r="BF238" s="96"/>
      <c r="BG238" s="96"/>
      <c r="BH238" s="96"/>
      <c r="BI238" s="96"/>
      <c r="BJ238" s="96"/>
      <c r="BK238" s="96"/>
    </row>
    <row r="239" ht="15.75" customHeight="1">
      <c r="A239" s="188"/>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c r="AA239" s="96"/>
      <c r="AB239" s="96"/>
      <c r="AC239" s="96"/>
      <c r="AD239" s="96"/>
      <c r="AE239" s="96"/>
      <c r="AF239" s="96"/>
      <c r="AG239" s="96"/>
      <c r="AH239" s="96"/>
      <c r="AI239" s="96"/>
      <c r="AJ239" s="96"/>
      <c r="AK239" s="96"/>
      <c r="AL239" s="96"/>
      <c r="AM239" s="96"/>
      <c r="AN239" s="96"/>
      <c r="AO239" s="96"/>
      <c r="AP239" s="96"/>
      <c r="AQ239" s="96"/>
      <c r="AR239" s="96"/>
      <c r="AS239" s="96"/>
      <c r="AT239" s="96"/>
      <c r="AU239" s="96"/>
      <c r="AV239" s="96"/>
      <c r="AW239" s="96"/>
      <c r="AX239" s="96"/>
      <c r="AY239" s="96"/>
      <c r="AZ239" s="96"/>
      <c r="BA239" s="96"/>
      <c r="BB239" s="96"/>
      <c r="BC239" s="96"/>
      <c r="BD239" s="96"/>
      <c r="BE239" s="96"/>
      <c r="BF239" s="96"/>
      <c r="BG239" s="96"/>
      <c r="BH239" s="96"/>
      <c r="BI239" s="96"/>
      <c r="BJ239" s="96"/>
      <c r="BK239" s="96"/>
    </row>
    <row r="240" ht="15.75" customHeight="1">
      <c r="A240" s="188"/>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c r="AA240" s="96"/>
      <c r="AB240" s="96"/>
      <c r="AC240" s="96"/>
      <c r="AD240" s="96"/>
      <c r="AE240" s="96"/>
      <c r="AF240" s="96"/>
      <c r="AG240" s="96"/>
      <c r="AH240" s="96"/>
      <c r="AI240" s="96"/>
      <c r="AJ240" s="96"/>
      <c r="AK240" s="96"/>
      <c r="AL240" s="96"/>
      <c r="AM240" s="96"/>
      <c r="AN240" s="96"/>
      <c r="AO240" s="96"/>
      <c r="AP240" s="96"/>
      <c r="AQ240" s="96"/>
      <c r="AR240" s="96"/>
      <c r="AS240" s="96"/>
      <c r="AT240" s="96"/>
      <c r="AU240" s="96"/>
      <c r="AV240" s="96"/>
      <c r="AW240" s="96"/>
      <c r="AX240" s="96"/>
      <c r="AY240" s="96"/>
      <c r="AZ240" s="96"/>
      <c r="BA240" s="96"/>
      <c r="BB240" s="96"/>
      <c r="BC240" s="96"/>
      <c r="BD240" s="96"/>
      <c r="BE240" s="96"/>
      <c r="BF240" s="96"/>
      <c r="BG240" s="96"/>
      <c r="BH240" s="96"/>
      <c r="BI240" s="96"/>
      <c r="BJ240" s="96"/>
      <c r="BK240" s="96"/>
    </row>
    <row r="241" ht="15.75" customHeight="1">
      <c r="A241" s="188"/>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c r="AA241" s="96"/>
      <c r="AB241" s="96"/>
      <c r="AC241" s="96"/>
      <c r="AD241" s="96"/>
      <c r="AE241" s="96"/>
      <c r="AF241" s="96"/>
      <c r="AG241" s="96"/>
      <c r="AH241" s="96"/>
      <c r="AI241" s="96"/>
      <c r="AJ241" s="96"/>
      <c r="AK241" s="96"/>
      <c r="AL241" s="96"/>
      <c r="AM241" s="96"/>
      <c r="AN241" s="96"/>
      <c r="AO241" s="96"/>
      <c r="AP241" s="96"/>
      <c r="AQ241" s="96"/>
      <c r="AR241" s="96"/>
      <c r="AS241" s="96"/>
      <c r="AT241" s="96"/>
      <c r="AU241" s="96"/>
      <c r="AV241" s="96"/>
      <c r="AW241" s="96"/>
      <c r="AX241" s="96"/>
      <c r="AY241" s="96"/>
      <c r="AZ241" s="96"/>
      <c r="BA241" s="96"/>
      <c r="BB241" s="96"/>
      <c r="BC241" s="96"/>
      <c r="BD241" s="96"/>
      <c r="BE241" s="96"/>
      <c r="BF241" s="96"/>
      <c r="BG241" s="96"/>
      <c r="BH241" s="96"/>
      <c r="BI241" s="96"/>
      <c r="BJ241" s="96"/>
      <c r="BK241" s="96"/>
    </row>
    <row r="242" ht="15.75" customHeight="1">
      <c r="A242" s="188"/>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c r="AA242" s="96"/>
      <c r="AB242" s="96"/>
      <c r="AC242" s="96"/>
      <c r="AD242" s="96"/>
      <c r="AE242" s="96"/>
      <c r="AF242" s="96"/>
      <c r="AG242" s="96"/>
      <c r="AH242" s="96"/>
      <c r="AI242" s="96"/>
      <c r="AJ242" s="96"/>
      <c r="AK242" s="96"/>
      <c r="AL242" s="96"/>
      <c r="AM242" s="96"/>
      <c r="AN242" s="96"/>
      <c r="AO242" s="96"/>
      <c r="AP242" s="96"/>
      <c r="AQ242" s="96"/>
      <c r="AR242" s="96"/>
      <c r="AS242" s="96"/>
      <c r="AT242" s="96"/>
      <c r="AU242" s="96"/>
      <c r="AV242" s="96"/>
      <c r="AW242" s="96"/>
      <c r="AX242" s="96"/>
      <c r="AY242" s="96"/>
      <c r="AZ242" s="96"/>
      <c r="BA242" s="96"/>
      <c r="BB242" s="96"/>
      <c r="BC242" s="96"/>
      <c r="BD242" s="96"/>
      <c r="BE242" s="96"/>
      <c r="BF242" s="96"/>
      <c r="BG242" s="96"/>
      <c r="BH242" s="96"/>
      <c r="BI242" s="96"/>
      <c r="BJ242" s="96"/>
      <c r="BK242" s="96"/>
    </row>
    <row r="243" ht="15.75" customHeight="1">
      <c r="A243" s="188"/>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c r="AA243" s="96"/>
      <c r="AB243" s="96"/>
      <c r="AC243" s="96"/>
      <c r="AD243" s="96"/>
      <c r="AE243" s="96"/>
      <c r="AF243" s="96"/>
      <c r="AG243" s="96"/>
      <c r="AH243" s="96"/>
      <c r="AI243" s="96"/>
      <c r="AJ243" s="96"/>
      <c r="AK243" s="96"/>
      <c r="AL243" s="96"/>
      <c r="AM243" s="96"/>
      <c r="AN243" s="96"/>
      <c r="AO243" s="96"/>
      <c r="AP243" s="96"/>
      <c r="AQ243" s="96"/>
      <c r="AR243" s="96"/>
      <c r="AS243" s="96"/>
      <c r="AT243" s="96"/>
      <c r="AU243" s="96"/>
      <c r="AV243" s="96"/>
      <c r="AW243" s="96"/>
      <c r="AX243" s="96"/>
      <c r="AY243" s="96"/>
      <c r="AZ243" s="96"/>
      <c r="BA243" s="96"/>
      <c r="BB243" s="96"/>
      <c r="BC243" s="96"/>
      <c r="BD243" s="96"/>
      <c r="BE243" s="96"/>
      <c r="BF243" s="96"/>
      <c r="BG243" s="96"/>
      <c r="BH243" s="96"/>
      <c r="BI243" s="96"/>
      <c r="BJ243" s="96"/>
      <c r="BK243" s="96"/>
    </row>
    <row r="244" ht="15.75" customHeight="1">
      <c r="A244" s="188"/>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c r="AA244" s="96"/>
      <c r="AB244" s="96"/>
      <c r="AC244" s="96"/>
      <c r="AD244" s="96"/>
      <c r="AE244" s="96"/>
      <c r="AF244" s="96"/>
      <c r="AG244" s="96"/>
      <c r="AH244" s="96"/>
      <c r="AI244" s="96"/>
      <c r="AJ244" s="96"/>
      <c r="AK244" s="96"/>
      <c r="AL244" s="96"/>
      <c r="AM244" s="96"/>
      <c r="AN244" s="96"/>
      <c r="AO244" s="96"/>
      <c r="AP244" s="96"/>
      <c r="AQ244" s="96"/>
      <c r="AR244" s="96"/>
      <c r="AS244" s="96"/>
      <c r="AT244" s="96"/>
      <c r="AU244" s="96"/>
      <c r="AV244" s="96"/>
      <c r="AW244" s="96"/>
      <c r="AX244" s="96"/>
      <c r="AY244" s="96"/>
      <c r="AZ244" s="96"/>
      <c r="BA244" s="96"/>
      <c r="BB244" s="96"/>
      <c r="BC244" s="96"/>
      <c r="BD244" s="96"/>
      <c r="BE244" s="96"/>
      <c r="BF244" s="96"/>
      <c r="BG244" s="96"/>
      <c r="BH244" s="96"/>
      <c r="BI244" s="96"/>
      <c r="BJ244" s="96"/>
      <c r="BK244" s="96"/>
    </row>
    <row r="245" ht="15.75" customHeight="1">
      <c r="A245" s="188"/>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c r="AA245" s="96"/>
      <c r="AB245" s="96"/>
      <c r="AC245" s="96"/>
      <c r="AD245" s="96"/>
      <c r="AE245" s="96"/>
      <c r="AF245" s="96"/>
      <c r="AG245" s="96"/>
      <c r="AH245" s="96"/>
      <c r="AI245" s="96"/>
      <c r="AJ245" s="96"/>
      <c r="AK245" s="96"/>
      <c r="AL245" s="96"/>
      <c r="AM245" s="96"/>
      <c r="AN245" s="96"/>
      <c r="AO245" s="96"/>
      <c r="AP245" s="96"/>
      <c r="AQ245" s="96"/>
      <c r="AR245" s="96"/>
      <c r="AS245" s="96"/>
      <c r="AT245" s="96"/>
      <c r="AU245" s="96"/>
      <c r="AV245" s="96"/>
      <c r="AW245" s="96"/>
      <c r="AX245" s="96"/>
      <c r="AY245" s="96"/>
      <c r="AZ245" s="96"/>
      <c r="BA245" s="96"/>
      <c r="BB245" s="96"/>
      <c r="BC245" s="96"/>
      <c r="BD245" s="96"/>
      <c r="BE245" s="96"/>
      <c r="BF245" s="96"/>
      <c r="BG245" s="96"/>
      <c r="BH245" s="96"/>
      <c r="BI245" s="96"/>
      <c r="BJ245" s="96"/>
      <c r="BK245" s="96"/>
    </row>
    <row r="246" ht="15.75" customHeight="1">
      <c r="A246" s="188"/>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c r="AA246" s="96"/>
      <c r="AB246" s="96"/>
      <c r="AC246" s="96"/>
      <c r="AD246" s="96"/>
      <c r="AE246" s="96"/>
      <c r="AF246" s="96"/>
      <c r="AG246" s="96"/>
      <c r="AH246" s="96"/>
      <c r="AI246" s="96"/>
      <c r="AJ246" s="96"/>
      <c r="AK246" s="96"/>
      <c r="AL246" s="96"/>
      <c r="AM246" s="96"/>
      <c r="AN246" s="96"/>
      <c r="AO246" s="96"/>
      <c r="AP246" s="96"/>
      <c r="AQ246" s="96"/>
      <c r="AR246" s="96"/>
      <c r="AS246" s="96"/>
      <c r="AT246" s="96"/>
      <c r="AU246" s="96"/>
      <c r="AV246" s="96"/>
      <c r="AW246" s="96"/>
      <c r="AX246" s="96"/>
      <c r="AY246" s="96"/>
      <c r="AZ246" s="96"/>
      <c r="BA246" s="96"/>
      <c r="BB246" s="96"/>
      <c r="BC246" s="96"/>
      <c r="BD246" s="96"/>
      <c r="BE246" s="96"/>
      <c r="BF246" s="96"/>
      <c r="BG246" s="96"/>
      <c r="BH246" s="96"/>
      <c r="BI246" s="96"/>
      <c r="BJ246" s="96"/>
      <c r="BK246" s="96"/>
    </row>
    <row r="247" ht="15.75" customHeight="1">
      <c r="A247" s="188"/>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c r="AA247" s="96"/>
      <c r="AB247" s="96"/>
      <c r="AC247" s="96"/>
      <c r="AD247" s="96"/>
      <c r="AE247" s="96"/>
      <c r="AF247" s="96"/>
      <c r="AG247" s="96"/>
      <c r="AH247" s="96"/>
      <c r="AI247" s="96"/>
      <c r="AJ247" s="96"/>
      <c r="AK247" s="96"/>
      <c r="AL247" s="96"/>
      <c r="AM247" s="96"/>
      <c r="AN247" s="96"/>
      <c r="AO247" s="96"/>
      <c r="AP247" s="96"/>
      <c r="AQ247" s="96"/>
      <c r="AR247" s="96"/>
      <c r="AS247" s="96"/>
      <c r="AT247" s="96"/>
      <c r="AU247" s="96"/>
      <c r="AV247" s="96"/>
      <c r="AW247" s="96"/>
      <c r="AX247" s="96"/>
      <c r="AY247" s="96"/>
      <c r="AZ247" s="96"/>
      <c r="BA247" s="96"/>
      <c r="BB247" s="96"/>
      <c r="BC247" s="96"/>
      <c r="BD247" s="96"/>
      <c r="BE247" s="96"/>
      <c r="BF247" s="96"/>
      <c r="BG247" s="96"/>
      <c r="BH247" s="96"/>
      <c r="BI247" s="96"/>
      <c r="BJ247" s="96"/>
      <c r="BK247" s="96"/>
    </row>
    <row r="248" ht="15.75" customHeight="1">
      <c r="A248" s="188"/>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c r="AA248" s="96"/>
      <c r="AB248" s="96"/>
      <c r="AC248" s="96"/>
      <c r="AD248" s="96"/>
      <c r="AE248" s="96"/>
      <c r="AF248" s="96"/>
      <c r="AG248" s="96"/>
      <c r="AH248" s="96"/>
      <c r="AI248" s="96"/>
      <c r="AJ248" s="96"/>
      <c r="AK248" s="96"/>
      <c r="AL248" s="96"/>
      <c r="AM248" s="96"/>
      <c r="AN248" s="96"/>
      <c r="AO248" s="96"/>
      <c r="AP248" s="96"/>
      <c r="AQ248" s="96"/>
      <c r="AR248" s="96"/>
      <c r="AS248" s="96"/>
      <c r="AT248" s="96"/>
      <c r="AU248" s="96"/>
      <c r="AV248" s="96"/>
      <c r="AW248" s="96"/>
      <c r="AX248" s="96"/>
      <c r="AY248" s="96"/>
      <c r="AZ248" s="96"/>
      <c r="BA248" s="96"/>
      <c r="BB248" s="96"/>
      <c r="BC248" s="96"/>
      <c r="BD248" s="96"/>
      <c r="BE248" s="96"/>
      <c r="BF248" s="96"/>
      <c r="BG248" s="96"/>
      <c r="BH248" s="96"/>
      <c r="BI248" s="96"/>
      <c r="BJ248" s="96"/>
      <c r="BK248" s="96"/>
    </row>
    <row r="249" ht="15.75" customHeight="1">
      <c r="A249" s="188"/>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c r="AA249" s="96"/>
      <c r="AB249" s="96"/>
      <c r="AC249" s="96"/>
      <c r="AD249" s="96"/>
      <c r="AE249" s="96"/>
      <c r="AF249" s="96"/>
      <c r="AG249" s="96"/>
      <c r="AH249" s="96"/>
      <c r="AI249" s="96"/>
      <c r="AJ249" s="96"/>
      <c r="AK249" s="96"/>
      <c r="AL249" s="96"/>
      <c r="AM249" s="96"/>
      <c r="AN249" s="96"/>
      <c r="AO249" s="96"/>
      <c r="AP249" s="96"/>
      <c r="AQ249" s="96"/>
      <c r="AR249" s="96"/>
      <c r="AS249" s="96"/>
      <c r="AT249" s="96"/>
      <c r="AU249" s="96"/>
      <c r="AV249" s="96"/>
      <c r="AW249" s="96"/>
      <c r="AX249" s="96"/>
      <c r="AY249" s="96"/>
      <c r="AZ249" s="96"/>
      <c r="BA249" s="96"/>
      <c r="BB249" s="96"/>
      <c r="BC249" s="96"/>
      <c r="BD249" s="96"/>
      <c r="BE249" s="96"/>
      <c r="BF249" s="96"/>
      <c r="BG249" s="96"/>
      <c r="BH249" s="96"/>
      <c r="BI249" s="96"/>
      <c r="BJ249" s="96"/>
      <c r="BK249" s="96"/>
    </row>
    <row r="250" ht="15.75" customHeight="1">
      <c r="A250" s="188"/>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c r="AA250" s="96"/>
      <c r="AB250" s="96"/>
      <c r="AC250" s="96"/>
      <c r="AD250" s="96"/>
      <c r="AE250" s="96"/>
      <c r="AF250" s="96"/>
      <c r="AG250" s="96"/>
      <c r="AH250" s="96"/>
      <c r="AI250" s="96"/>
      <c r="AJ250" s="96"/>
      <c r="AK250" s="96"/>
      <c r="AL250" s="96"/>
      <c r="AM250" s="96"/>
      <c r="AN250" s="96"/>
      <c r="AO250" s="96"/>
      <c r="AP250" s="96"/>
      <c r="AQ250" s="96"/>
      <c r="AR250" s="96"/>
      <c r="AS250" s="96"/>
      <c r="AT250" s="96"/>
      <c r="AU250" s="96"/>
      <c r="AV250" s="96"/>
      <c r="AW250" s="96"/>
      <c r="AX250" s="96"/>
      <c r="AY250" s="96"/>
      <c r="AZ250" s="96"/>
      <c r="BA250" s="96"/>
      <c r="BB250" s="96"/>
      <c r="BC250" s="96"/>
      <c r="BD250" s="96"/>
      <c r="BE250" s="96"/>
      <c r="BF250" s="96"/>
      <c r="BG250" s="96"/>
      <c r="BH250" s="96"/>
      <c r="BI250" s="96"/>
      <c r="BJ250" s="96"/>
      <c r="BK250" s="96"/>
    </row>
    <row r="251" ht="15.75" customHeight="1">
      <c r="A251" s="188"/>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c r="AA251" s="96"/>
      <c r="AB251" s="96"/>
      <c r="AC251" s="96"/>
      <c r="AD251" s="96"/>
      <c r="AE251" s="96"/>
      <c r="AF251" s="96"/>
      <c r="AG251" s="96"/>
      <c r="AH251" s="96"/>
      <c r="AI251" s="96"/>
      <c r="AJ251" s="96"/>
      <c r="AK251" s="96"/>
      <c r="AL251" s="96"/>
      <c r="AM251" s="96"/>
      <c r="AN251" s="96"/>
      <c r="AO251" s="96"/>
      <c r="AP251" s="96"/>
      <c r="AQ251" s="96"/>
      <c r="AR251" s="96"/>
      <c r="AS251" s="96"/>
      <c r="AT251" s="96"/>
      <c r="AU251" s="96"/>
      <c r="AV251" s="96"/>
      <c r="AW251" s="96"/>
      <c r="AX251" s="96"/>
      <c r="AY251" s="96"/>
      <c r="AZ251" s="96"/>
      <c r="BA251" s="96"/>
      <c r="BB251" s="96"/>
      <c r="BC251" s="96"/>
      <c r="BD251" s="96"/>
      <c r="BE251" s="96"/>
      <c r="BF251" s="96"/>
      <c r="BG251" s="96"/>
      <c r="BH251" s="96"/>
      <c r="BI251" s="96"/>
      <c r="BJ251" s="96"/>
      <c r="BK251" s="96"/>
    </row>
    <row r="252" ht="15.75" customHeight="1">
      <c r="A252" s="188"/>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c r="AA252" s="96"/>
      <c r="AB252" s="96"/>
      <c r="AC252" s="96"/>
      <c r="AD252" s="96"/>
      <c r="AE252" s="96"/>
      <c r="AF252" s="96"/>
      <c r="AG252" s="96"/>
      <c r="AH252" s="96"/>
      <c r="AI252" s="96"/>
      <c r="AJ252" s="96"/>
      <c r="AK252" s="96"/>
      <c r="AL252" s="96"/>
      <c r="AM252" s="96"/>
      <c r="AN252" s="96"/>
      <c r="AO252" s="96"/>
      <c r="AP252" s="96"/>
      <c r="AQ252" s="96"/>
      <c r="AR252" s="96"/>
      <c r="AS252" s="96"/>
      <c r="AT252" s="96"/>
      <c r="AU252" s="96"/>
      <c r="AV252" s="96"/>
      <c r="AW252" s="96"/>
      <c r="AX252" s="96"/>
      <c r="AY252" s="96"/>
      <c r="AZ252" s="96"/>
      <c r="BA252" s="96"/>
      <c r="BB252" s="96"/>
      <c r="BC252" s="96"/>
      <c r="BD252" s="96"/>
      <c r="BE252" s="96"/>
      <c r="BF252" s="96"/>
      <c r="BG252" s="96"/>
      <c r="BH252" s="96"/>
      <c r="BI252" s="96"/>
      <c r="BJ252" s="96"/>
      <c r="BK252" s="96"/>
    </row>
    <row r="253" ht="15.75" customHeight="1">
      <c r="A253" s="188"/>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c r="AA253" s="96"/>
      <c r="AB253" s="96"/>
      <c r="AC253" s="96"/>
      <c r="AD253" s="96"/>
      <c r="AE253" s="96"/>
      <c r="AF253" s="96"/>
      <c r="AG253" s="96"/>
      <c r="AH253" s="96"/>
      <c r="AI253" s="96"/>
      <c r="AJ253" s="96"/>
      <c r="AK253" s="96"/>
      <c r="AL253" s="96"/>
      <c r="AM253" s="96"/>
      <c r="AN253" s="96"/>
      <c r="AO253" s="96"/>
      <c r="AP253" s="96"/>
      <c r="AQ253" s="96"/>
      <c r="AR253" s="96"/>
      <c r="AS253" s="96"/>
      <c r="AT253" s="96"/>
      <c r="AU253" s="96"/>
      <c r="AV253" s="96"/>
      <c r="AW253" s="96"/>
      <c r="AX253" s="96"/>
      <c r="AY253" s="96"/>
      <c r="AZ253" s="96"/>
      <c r="BA253" s="96"/>
      <c r="BB253" s="96"/>
      <c r="BC253" s="96"/>
      <c r="BD253" s="96"/>
      <c r="BE253" s="96"/>
      <c r="BF253" s="96"/>
      <c r="BG253" s="96"/>
      <c r="BH253" s="96"/>
      <c r="BI253" s="96"/>
      <c r="BJ253" s="96"/>
      <c r="BK253" s="96"/>
    </row>
    <row r="254" ht="15.75" customHeight="1">
      <c r="A254" s="188"/>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c r="AA254" s="96"/>
      <c r="AB254" s="96"/>
      <c r="AC254" s="96"/>
      <c r="AD254" s="96"/>
      <c r="AE254" s="96"/>
      <c r="AF254" s="96"/>
      <c r="AG254" s="96"/>
      <c r="AH254" s="96"/>
      <c r="AI254" s="96"/>
      <c r="AJ254" s="96"/>
      <c r="AK254" s="96"/>
      <c r="AL254" s="96"/>
      <c r="AM254" s="96"/>
      <c r="AN254" s="96"/>
      <c r="AO254" s="96"/>
      <c r="AP254" s="96"/>
      <c r="AQ254" s="96"/>
      <c r="AR254" s="96"/>
      <c r="AS254" s="96"/>
      <c r="AT254" s="96"/>
      <c r="AU254" s="96"/>
      <c r="AV254" s="96"/>
      <c r="AW254" s="96"/>
      <c r="AX254" s="96"/>
      <c r="AY254" s="96"/>
      <c r="AZ254" s="96"/>
      <c r="BA254" s="96"/>
      <c r="BB254" s="96"/>
      <c r="BC254" s="96"/>
      <c r="BD254" s="96"/>
      <c r="BE254" s="96"/>
      <c r="BF254" s="96"/>
      <c r="BG254" s="96"/>
      <c r="BH254" s="96"/>
      <c r="BI254" s="96"/>
      <c r="BJ254" s="96"/>
      <c r="BK254" s="96"/>
    </row>
    <row r="255" ht="15.75" customHeight="1">
      <c r="A255" s="188"/>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c r="AA255" s="96"/>
      <c r="AB255" s="96"/>
      <c r="AC255" s="96"/>
      <c r="AD255" s="96"/>
      <c r="AE255" s="96"/>
      <c r="AF255" s="96"/>
      <c r="AG255" s="96"/>
      <c r="AH255" s="96"/>
      <c r="AI255" s="96"/>
      <c r="AJ255" s="96"/>
      <c r="AK255" s="96"/>
      <c r="AL255" s="96"/>
      <c r="AM255" s="96"/>
      <c r="AN255" s="96"/>
      <c r="AO255" s="96"/>
      <c r="AP255" s="96"/>
      <c r="AQ255" s="96"/>
      <c r="AR255" s="96"/>
      <c r="AS255" s="96"/>
      <c r="AT255" s="96"/>
      <c r="AU255" s="96"/>
      <c r="AV255" s="96"/>
      <c r="AW255" s="96"/>
      <c r="AX255" s="96"/>
      <c r="AY255" s="96"/>
      <c r="AZ255" s="96"/>
      <c r="BA255" s="96"/>
      <c r="BB255" s="96"/>
      <c r="BC255" s="96"/>
      <c r="BD255" s="96"/>
      <c r="BE255" s="96"/>
      <c r="BF255" s="96"/>
      <c r="BG255" s="96"/>
      <c r="BH255" s="96"/>
      <c r="BI255" s="96"/>
      <c r="BJ255" s="96"/>
      <c r="BK255" s="96"/>
    </row>
    <row r="256" ht="15.75" customHeight="1">
      <c r="A256" s="188"/>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c r="AA256" s="96"/>
      <c r="AB256" s="96"/>
      <c r="AC256" s="96"/>
      <c r="AD256" s="96"/>
      <c r="AE256" s="96"/>
      <c r="AF256" s="96"/>
      <c r="AG256" s="96"/>
      <c r="AH256" s="96"/>
      <c r="AI256" s="96"/>
      <c r="AJ256" s="96"/>
      <c r="AK256" s="96"/>
      <c r="AL256" s="96"/>
      <c r="AM256" s="96"/>
      <c r="AN256" s="96"/>
      <c r="AO256" s="96"/>
      <c r="AP256" s="96"/>
      <c r="AQ256" s="96"/>
      <c r="AR256" s="96"/>
      <c r="AS256" s="96"/>
      <c r="AT256" s="96"/>
      <c r="AU256" s="96"/>
      <c r="AV256" s="96"/>
      <c r="AW256" s="96"/>
      <c r="AX256" s="96"/>
      <c r="AY256" s="96"/>
      <c r="AZ256" s="96"/>
      <c r="BA256" s="96"/>
      <c r="BB256" s="96"/>
      <c r="BC256" s="96"/>
      <c r="BD256" s="96"/>
      <c r="BE256" s="96"/>
      <c r="BF256" s="96"/>
      <c r="BG256" s="96"/>
      <c r="BH256" s="96"/>
      <c r="BI256" s="96"/>
      <c r="BJ256" s="96"/>
      <c r="BK256" s="96"/>
    </row>
    <row r="257" ht="15.75" customHeight="1">
      <c r="A257" s="188"/>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c r="AA257" s="96"/>
      <c r="AB257" s="96"/>
      <c r="AC257" s="96"/>
      <c r="AD257" s="96"/>
      <c r="AE257" s="96"/>
      <c r="AF257" s="96"/>
      <c r="AG257" s="96"/>
      <c r="AH257" s="96"/>
      <c r="AI257" s="96"/>
      <c r="AJ257" s="96"/>
      <c r="AK257" s="96"/>
      <c r="AL257" s="96"/>
      <c r="AM257" s="96"/>
      <c r="AN257" s="96"/>
      <c r="AO257" s="96"/>
      <c r="AP257" s="96"/>
      <c r="AQ257" s="96"/>
      <c r="AR257" s="96"/>
      <c r="AS257" s="96"/>
      <c r="AT257" s="96"/>
      <c r="AU257" s="96"/>
      <c r="AV257" s="96"/>
      <c r="AW257" s="96"/>
      <c r="AX257" s="96"/>
      <c r="AY257" s="96"/>
      <c r="AZ257" s="96"/>
      <c r="BA257" s="96"/>
      <c r="BB257" s="96"/>
      <c r="BC257" s="96"/>
      <c r="BD257" s="96"/>
      <c r="BE257" s="96"/>
      <c r="BF257" s="96"/>
      <c r="BG257" s="96"/>
      <c r="BH257" s="96"/>
      <c r="BI257" s="96"/>
      <c r="BJ257" s="96"/>
      <c r="BK257" s="96"/>
    </row>
    <row r="258" ht="15.75" customHeight="1">
      <c r="A258" s="188"/>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c r="AA258" s="96"/>
      <c r="AB258" s="96"/>
      <c r="AC258" s="96"/>
      <c r="AD258" s="96"/>
      <c r="AE258" s="96"/>
      <c r="AF258" s="96"/>
      <c r="AG258" s="96"/>
      <c r="AH258" s="96"/>
      <c r="AI258" s="96"/>
      <c r="AJ258" s="96"/>
      <c r="AK258" s="96"/>
      <c r="AL258" s="96"/>
      <c r="AM258" s="96"/>
      <c r="AN258" s="96"/>
      <c r="AO258" s="96"/>
      <c r="AP258" s="96"/>
      <c r="AQ258" s="96"/>
      <c r="AR258" s="96"/>
      <c r="AS258" s="96"/>
      <c r="AT258" s="96"/>
      <c r="AU258" s="96"/>
      <c r="AV258" s="96"/>
      <c r="AW258" s="96"/>
      <c r="AX258" s="96"/>
      <c r="AY258" s="96"/>
      <c r="AZ258" s="96"/>
      <c r="BA258" s="96"/>
      <c r="BB258" s="96"/>
      <c r="BC258" s="96"/>
      <c r="BD258" s="96"/>
      <c r="BE258" s="96"/>
      <c r="BF258" s="96"/>
      <c r="BG258" s="96"/>
      <c r="BH258" s="96"/>
      <c r="BI258" s="96"/>
      <c r="BJ258" s="96"/>
      <c r="BK258" s="96"/>
    </row>
    <row r="259" ht="15.75" customHeight="1">
      <c r="A259" s="188"/>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c r="AA259" s="96"/>
      <c r="AB259" s="96"/>
      <c r="AC259" s="96"/>
      <c r="AD259" s="96"/>
      <c r="AE259" s="96"/>
      <c r="AF259" s="96"/>
      <c r="AG259" s="96"/>
      <c r="AH259" s="96"/>
      <c r="AI259" s="96"/>
      <c r="AJ259" s="96"/>
      <c r="AK259" s="96"/>
      <c r="AL259" s="96"/>
      <c r="AM259" s="96"/>
      <c r="AN259" s="96"/>
      <c r="AO259" s="96"/>
      <c r="AP259" s="96"/>
      <c r="AQ259" s="96"/>
      <c r="AR259" s="96"/>
      <c r="AS259" s="96"/>
      <c r="AT259" s="96"/>
      <c r="AU259" s="96"/>
      <c r="AV259" s="96"/>
      <c r="AW259" s="96"/>
      <c r="AX259" s="96"/>
      <c r="AY259" s="96"/>
      <c r="AZ259" s="96"/>
      <c r="BA259" s="96"/>
      <c r="BB259" s="96"/>
      <c r="BC259" s="96"/>
      <c r="BD259" s="96"/>
      <c r="BE259" s="96"/>
      <c r="BF259" s="96"/>
      <c r="BG259" s="96"/>
      <c r="BH259" s="96"/>
      <c r="BI259" s="96"/>
      <c r="BJ259" s="96"/>
      <c r="BK259" s="96"/>
    </row>
    <row r="260" ht="15.75" customHeight="1">
      <c r="A260" s="188"/>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c r="AA260" s="96"/>
      <c r="AB260" s="96"/>
      <c r="AC260" s="96"/>
      <c r="AD260" s="96"/>
      <c r="AE260" s="96"/>
      <c r="AF260" s="96"/>
      <c r="AG260" s="96"/>
      <c r="AH260" s="96"/>
      <c r="AI260" s="96"/>
      <c r="AJ260" s="96"/>
      <c r="AK260" s="96"/>
      <c r="AL260" s="96"/>
      <c r="AM260" s="96"/>
      <c r="AN260" s="96"/>
      <c r="AO260" s="96"/>
      <c r="AP260" s="96"/>
      <c r="AQ260" s="96"/>
      <c r="AR260" s="96"/>
      <c r="AS260" s="96"/>
      <c r="AT260" s="96"/>
      <c r="AU260" s="96"/>
      <c r="AV260" s="96"/>
      <c r="AW260" s="96"/>
      <c r="AX260" s="96"/>
      <c r="AY260" s="96"/>
      <c r="AZ260" s="96"/>
      <c r="BA260" s="96"/>
      <c r="BB260" s="96"/>
      <c r="BC260" s="96"/>
      <c r="BD260" s="96"/>
      <c r="BE260" s="96"/>
      <c r="BF260" s="96"/>
      <c r="BG260" s="96"/>
      <c r="BH260" s="96"/>
      <c r="BI260" s="96"/>
      <c r="BJ260" s="96"/>
      <c r="BK260" s="96"/>
    </row>
    <row r="261" ht="15.75" customHeight="1">
      <c r="A261" s="188"/>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c r="AA261" s="96"/>
      <c r="AB261" s="96"/>
      <c r="AC261" s="96"/>
      <c r="AD261" s="96"/>
      <c r="AE261" s="96"/>
      <c r="AF261" s="96"/>
      <c r="AG261" s="96"/>
      <c r="AH261" s="96"/>
      <c r="AI261" s="96"/>
      <c r="AJ261" s="96"/>
      <c r="AK261" s="96"/>
      <c r="AL261" s="96"/>
      <c r="AM261" s="96"/>
      <c r="AN261" s="96"/>
      <c r="AO261" s="96"/>
      <c r="AP261" s="96"/>
      <c r="AQ261" s="96"/>
      <c r="AR261" s="96"/>
      <c r="AS261" s="96"/>
      <c r="AT261" s="96"/>
      <c r="AU261" s="96"/>
      <c r="AV261" s="96"/>
      <c r="AW261" s="96"/>
      <c r="AX261" s="96"/>
      <c r="AY261" s="96"/>
      <c r="AZ261" s="96"/>
      <c r="BA261" s="96"/>
      <c r="BB261" s="96"/>
      <c r="BC261" s="96"/>
      <c r="BD261" s="96"/>
      <c r="BE261" s="96"/>
      <c r="BF261" s="96"/>
      <c r="BG261" s="96"/>
      <c r="BH261" s="96"/>
      <c r="BI261" s="96"/>
      <c r="BJ261" s="96"/>
      <c r="BK261" s="96"/>
    </row>
    <row r="262" ht="15.75" customHeight="1">
      <c r="A262" s="188"/>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c r="AA262" s="96"/>
      <c r="AB262" s="96"/>
      <c r="AC262" s="96"/>
      <c r="AD262" s="96"/>
      <c r="AE262" s="96"/>
      <c r="AF262" s="96"/>
      <c r="AG262" s="96"/>
      <c r="AH262" s="96"/>
      <c r="AI262" s="96"/>
      <c r="AJ262" s="96"/>
      <c r="AK262" s="96"/>
      <c r="AL262" s="96"/>
      <c r="AM262" s="96"/>
      <c r="AN262" s="96"/>
      <c r="AO262" s="96"/>
      <c r="AP262" s="96"/>
      <c r="AQ262" s="96"/>
      <c r="AR262" s="96"/>
      <c r="AS262" s="96"/>
      <c r="AT262" s="96"/>
      <c r="AU262" s="96"/>
      <c r="AV262" s="96"/>
      <c r="AW262" s="96"/>
      <c r="AX262" s="96"/>
      <c r="AY262" s="96"/>
      <c r="AZ262" s="96"/>
      <c r="BA262" s="96"/>
      <c r="BB262" s="96"/>
      <c r="BC262" s="96"/>
      <c r="BD262" s="96"/>
      <c r="BE262" s="96"/>
      <c r="BF262" s="96"/>
      <c r="BG262" s="96"/>
      <c r="BH262" s="96"/>
      <c r="BI262" s="96"/>
      <c r="BJ262" s="96"/>
      <c r="BK262" s="96"/>
    </row>
    <row r="263" ht="15.75" customHeight="1">
      <c r="A263" s="188"/>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c r="AA263" s="96"/>
      <c r="AB263" s="96"/>
      <c r="AC263" s="96"/>
      <c r="AD263" s="96"/>
      <c r="AE263" s="96"/>
      <c r="AF263" s="96"/>
      <c r="AG263" s="96"/>
      <c r="AH263" s="96"/>
      <c r="AI263" s="96"/>
      <c r="AJ263" s="96"/>
      <c r="AK263" s="96"/>
      <c r="AL263" s="96"/>
      <c r="AM263" s="96"/>
      <c r="AN263" s="96"/>
      <c r="AO263" s="96"/>
      <c r="AP263" s="96"/>
      <c r="AQ263" s="96"/>
      <c r="AR263" s="96"/>
      <c r="AS263" s="96"/>
      <c r="AT263" s="96"/>
      <c r="AU263" s="96"/>
      <c r="AV263" s="96"/>
      <c r="AW263" s="96"/>
      <c r="AX263" s="96"/>
      <c r="AY263" s="96"/>
      <c r="AZ263" s="96"/>
      <c r="BA263" s="96"/>
      <c r="BB263" s="96"/>
      <c r="BC263" s="96"/>
      <c r="BD263" s="96"/>
      <c r="BE263" s="96"/>
      <c r="BF263" s="96"/>
      <c r="BG263" s="96"/>
      <c r="BH263" s="96"/>
      <c r="BI263" s="96"/>
      <c r="BJ263" s="96"/>
      <c r="BK263" s="96"/>
    </row>
    <row r="264" ht="15.75" customHeight="1">
      <c r="A264" s="188"/>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c r="AA264" s="96"/>
      <c r="AB264" s="96"/>
      <c r="AC264" s="96"/>
      <c r="AD264" s="96"/>
      <c r="AE264" s="96"/>
      <c r="AF264" s="96"/>
      <c r="AG264" s="96"/>
      <c r="AH264" s="96"/>
      <c r="AI264" s="96"/>
      <c r="AJ264" s="96"/>
      <c r="AK264" s="96"/>
      <c r="AL264" s="96"/>
      <c r="AM264" s="96"/>
      <c r="AN264" s="96"/>
      <c r="AO264" s="96"/>
      <c r="AP264" s="96"/>
      <c r="AQ264" s="96"/>
      <c r="AR264" s="96"/>
      <c r="AS264" s="96"/>
      <c r="AT264" s="96"/>
      <c r="AU264" s="96"/>
      <c r="AV264" s="96"/>
      <c r="AW264" s="96"/>
      <c r="AX264" s="96"/>
      <c r="AY264" s="96"/>
      <c r="AZ264" s="96"/>
      <c r="BA264" s="96"/>
      <c r="BB264" s="96"/>
      <c r="BC264" s="96"/>
      <c r="BD264" s="96"/>
      <c r="BE264" s="96"/>
      <c r="BF264" s="96"/>
      <c r="BG264" s="96"/>
      <c r="BH264" s="96"/>
      <c r="BI264" s="96"/>
      <c r="BJ264" s="96"/>
      <c r="BK264" s="96"/>
    </row>
    <row r="265" ht="15.75" customHeight="1">
      <c r="A265" s="188"/>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c r="AA265" s="96"/>
      <c r="AB265" s="96"/>
      <c r="AC265" s="96"/>
      <c r="AD265" s="96"/>
      <c r="AE265" s="96"/>
      <c r="AF265" s="96"/>
      <c r="AG265" s="96"/>
      <c r="AH265" s="96"/>
      <c r="AI265" s="96"/>
      <c r="AJ265" s="96"/>
      <c r="AK265" s="96"/>
      <c r="AL265" s="96"/>
      <c r="AM265" s="96"/>
      <c r="AN265" s="96"/>
      <c r="AO265" s="96"/>
      <c r="AP265" s="96"/>
      <c r="AQ265" s="96"/>
      <c r="AR265" s="96"/>
      <c r="AS265" s="96"/>
      <c r="AT265" s="96"/>
      <c r="AU265" s="96"/>
      <c r="AV265" s="96"/>
      <c r="AW265" s="96"/>
      <c r="AX265" s="96"/>
      <c r="AY265" s="96"/>
      <c r="AZ265" s="96"/>
      <c r="BA265" s="96"/>
      <c r="BB265" s="96"/>
      <c r="BC265" s="96"/>
      <c r="BD265" s="96"/>
      <c r="BE265" s="96"/>
      <c r="BF265" s="96"/>
      <c r="BG265" s="96"/>
      <c r="BH265" s="96"/>
      <c r="BI265" s="96"/>
      <c r="BJ265" s="96"/>
      <c r="BK265" s="96"/>
    </row>
    <row r="266" ht="15.75" customHeight="1">
      <c r="A266" s="188"/>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c r="AA266" s="96"/>
      <c r="AB266" s="96"/>
      <c r="AC266" s="96"/>
      <c r="AD266" s="96"/>
      <c r="AE266" s="96"/>
      <c r="AF266" s="96"/>
      <c r="AG266" s="96"/>
      <c r="AH266" s="96"/>
      <c r="AI266" s="96"/>
      <c r="AJ266" s="96"/>
      <c r="AK266" s="96"/>
      <c r="AL266" s="96"/>
      <c r="AM266" s="96"/>
      <c r="AN266" s="96"/>
      <c r="AO266" s="96"/>
      <c r="AP266" s="96"/>
      <c r="AQ266" s="96"/>
      <c r="AR266" s="96"/>
      <c r="AS266" s="96"/>
      <c r="AT266" s="96"/>
      <c r="AU266" s="96"/>
      <c r="AV266" s="96"/>
      <c r="AW266" s="96"/>
      <c r="AX266" s="96"/>
      <c r="AY266" s="96"/>
      <c r="AZ266" s="96"/>
      <c r="BA266" s="96"/>
      <c r="BB266" s="96"/>
      <c r="BC266" s="96"/>
      <c r="BD266" s="96"/>
      <c r="BE266" s="96"/>
      <c r="BF266" s="96"/>
      <c r="BG266" s="96"/>
      <c r="BH266" s="96"/>
      <c r="BI266" s="96"/>
      <c r="BJ266" s="96"/>
      <c r="BK266" s="96"/>
    </row>
    <row r="267" ht="15.75" customHeight="1">
      <c r="A267" s="188"/>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c r="AA267" s="96"/>
      <c r="AB267" s="96"/>
      <c r="AC267" s="96"/>
      <c r="AD267" s="96"/>
      <c r="AE267" s="96"/>
      <c r="AF267" s="96"/>
      <c r="AG267" s="96"/>
      <c r="AH267" s="96"/>
      <c r="AI267" s="96"/>
      <c r="AJ267" s="96"/>
      <c r="AK267" s="96"/>
      <c r="AL267" s="96"/>
      <c r="AM267" s="96"/>
      <c r="AN267" s="96"/>
      <c r="AO267" s="96"/>
      <c r="AP267" s="96"/>
      <c r="AQ267" s="96"/>
      <c r="AR267" s="96"/>
      <c r="AS267" s="96"/>
      <c r="AT267" s="96"/>
      <c r="AU267" s="96"/>
      <c r="AV267" s="96"/>
      <c r="AW267" s="96"/>
      <c r="AX267" s="96"/>
      <c r="AY267" s="96"/>
      <c r="AZ267" s="96"/>
      <c r="BA267" s="96"/>
      <c r="BB267" s="96"/>
      <c r="BC267" s="96"/>
      <c r="BD267" s="96"/>
      <c r="BE267" s="96"/>
      <c r="BF267" s="96"/>
      <c r="BG267" s="96"/>
      <c r="BH267" s="96"/>
      <c r="BI267" s="96"/>
      <c r="BJ267" s="96"/>
      <c r="BK267" s="96"/>
    </row>
    <row r="268" ht="15.75" customHeight="1">
      <c r="A268" s="188"/>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c r="AA268" s="96"/>
      <c r="AB268" s="96"/>
      <c r="AC268" s="96"/>
      <c r="AD268" s="96"/>
      <c r="AE268" s="96"/>
      <c r="AF268" s="96"/>
      <c r="AG268" s="96"/>
      <c r="AH268" s="96"/>
      <c r="AI268" s="96"/>
      <c r="AJ268" s="96"/>
      <c r="AK268" s="96"/>
      <c r="AL268" s="96"/>
      <c r="AM268" s="96"/>
      <c r="AN268" s="96"/>
      <c r="AO268" s="96"/>
      <c r="AP268" s="96"/>
      <c r="AQ268" s="96"/>
      <c r="AR268" s="96"/>
      <c r="AS268" s="96"/>
      <c r="AT268" s="96"/>
      <c r="AU268" s="96"/>
      <c r="AV268" s="96"/>
      <c r="AW268" s="96"/>
      <c r="AX268" s="96"/>
      <c r="AY268" s="96"/>
      <c r="AZ268" s="96"/>
      <c r="BA268" s="96"/>
      <c r="BB268" s="96"/>
      <c r="BC268" s="96"/>
      <c r="BD268" s="96"/>
      <c r="BE268" s="96"/>
      <c r="BF268" s="96"/>
      <c r="BG268" s="96"/>
      <c r="BH268" s="96"/>
      <c r="BI268" s="96"/>
      <c r="BJ268" s="96"/>
      <c r="BK268" s="96"/>
    </row>
    <row r="269" ht="15.75" customHeight="1">
      <c r="A269" s="188"/>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c r="AA269" s="96"/>
      <c r="AB269" s="96"/>
      <c r="AC269" s="96"/>
      <c r="AD269" s="96"/>
      <c r="AE269" s="96"/>
      <c r="AF269" s="96"/>
      <c r="AG269" s="96"/>
      <c r="AH269" s="96"/>
      <c r="AI269" s="96"/>
      <c r="AJ269" s="96"/>
      <c r="AK269" s="96"/>
      <c r="AL269" s="96"/>
      <c r="AM269" s="96"/>
      <c r="AN269" s="96"/>
      <c r="AO269" s="96"/>
      <c r="AP269" s="96"/>
      <c r="AQ269" s="96"/>
      <c r="AR269" s="96"/>
      <c r="AS269" s="96"/>
      <c r="AT269" s="96"/>
      <c r="AU269" s="96"/>
      <c r="AV269" s="96"/>
      <c r="AW269" s="96"/>
      <c r="AX269" s="96"/>
      <c r="AY269" s="96"/>
      <c r="AZ269" s="96"/>
      <c r="BA269" s="96"/>
      <c r="BB269" s="96"/>
      <c r="BC269" s="96"/>
      <c r="BD269" s="96"/>
      <c r="BE269" s="96"/>
      <c r="BF269" s="96"/>
      <c r="BG269" s="96"/>
      <c r="BH269" s="96"/>
      <c r="BI269" s="96"/>
      <c r="BJ269" s="96"/>
      <c r="BK269" s="96"/>
    </row>
    <row r="270" ht="15.75" customHeight="1">
      <c r="A270" s="188"/>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c r="AA270" s="96"/>
      <c r="AB270" s="96"/>
      <c r="AC270" s="96"/>
      <c r="AD270" s="96"/>
      <c r="AE270" s="96"/>
      <c r="AF270" s="96"/>
      <c r="AG270" s="96"/>
      <c r="AH270" s="96"/>
      <c r="AI270" s="96"/>
      <c r="AJ270" s="96"/>
      <c r="AK270" s="96"/>
      <c r="AL270" s="96"/>
      <c r="AM270" s="96"/>
      <c r="AN270" s="96"/>
      <c r="AO270" s="96"/>
      <c r="AP270" s="96"/>
      <c r="AQ270" s="96"/>
      <c r="AR270" s="96"/>
      <c r="AS270" s="96"/>
      <c r="AT270" s="96"/>
      <c r="AU270" s="96"/>
      <c r="AV270" s="96"/>
      <c r="AW270" s="96"/>
      <c r="AX270" s="96"/>
      <c r="AY270" s="96"/>
      <c r="AZ270" s="96"/>
      <c r="BA270" s="96"/>
      <c r="BB270" s="96"/>
      <c r="BC270" s="96"/>
      <c r="BD270" s="96"/>
      <c r="BE270" s="96"/>
      <c r="BF270" s="96"/>
      <c r="BG270" s="96"/>
      <c r="BH270" s="96"/>
      <c r="BI270" s="96"/>
      <c r="BJ270" s="96"/>
      <c r="BK270" s="96"/>
    </row>
    <row r="271" ht="15.75" customHeight="1">
      <c r="A271" s="188"/>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c r="AA271" s="96"/>
      <c r="AB271" s="96"/>
      <c r="AC271" s="96"/>
      <c r="AD271" s="96"/>
      <c r="AE271" s="96"/>
      <c r="AF271" s="96"/>
      <c r="AG271" s="96"/>
      <c r="AH271" s="96"/>
      <c r="AI271" s="96"/>
      <c r="AJ271" s="96"/>
      <c r="AK271" s="96"/>
      <c r="AL271" s="96"/>
      <c r="AM271" s="96"/>
      <c r="AN271" s="96"/>
      <c r="AO271" s="96"/>
      <c r="AP271" s="96"/>
      <c r="AQ271" s="96"/>
      <c r="AR271" s="96"/>
      <c r="AS271" s="96"/>
      <c r="AT271" s="96"/>
      <c r="AU271" s="96"/>
      <c r="AV271" s="96"/>
      <c r="AW271" s="96"/>
      <c r="AX271" s="96"/>
      <c r="AY271" s="96"/>
      <c r="AZ271" s="96"/>
      <c r="BA271" s="96"/>
      <c r="BB271" s="96"/>
      <c r="BC271" s="96"/>
      <c r="BD271" s="96"/>
      <c r="BE271" s="96"/>
      <c r="BF271" s="96"/>
      <c r="BG271" s="96"/>
      <c r="BH271" s="96"/>
      <c r="BI271" s="96"/>
      <c r="BJ271" s="96"/>
      <c r="BK271" s="96"/>
    </row>
    <row r="272" ht="15.75" customHeight="1">
      <c r="A272" s="188"/>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c r="AA272" s="96"/>
      <c r="AB272" s="96"/>
      <c r="AC272" s="96"/>
      <c r="AD272" s="96"/>
      <c r="AE272" s="96"/>
      <c r="AF272" s="96"/>
      <c r="AG272" s="96"/>
      <c r="AH272" s="96"/>
      <c r="AI272" s="96"/>
      <c r="AJ272" s="96"/>
      <c r="AK272" s="96"/>
      <c r="AL272" s="96"/>
      <c r="AM272" s="96"/>
      <c r="AN272" s="96"/>
      <c r="AO272" s="96"/>
      <c r="AP272" s="96"/>
      <c r="AQ272" s="96"/>
      <c r="AR272" s="96"/>
      <c r="AS272" s="96"/>
      <c r="AT272" s="96"/>
      <c r="AU272" s="96"/>
      <c r="AV272" s="96"/>
      <c r="AW272" s="96"/>
      <c r="AX272" s="96"/>
      <c r="AY272" s="96"/>
      <c r="AZ272" s="96"/>
      <c r="BA272" s="96"/>
      <c r="BB272" s="96"/>
      <c r="BC272" s="96"/>
      <c r="BD272" s="96"/>
      <c r="BE272" s="96"/>
      <c r="BF272" s="96"/>
      <c r="BG272" s="96"/>
      <c r="BH272" s="96"/>
      <c r="BI272" s="96"/>
      <c r="BJ272" s="96"/>
      <c r="BK272" s="96"/>
    </row>
    <row r="273" ht="15.75" customHeight="1">
      <c r="A273" s="188"/>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c r="AA273" s="96"/>
      <c r="AB273" s="96"/>
      <c r="AC273" s="96"/>
      <c r="AD273" s="96"/>
      <c r="AE273" s="96"/>
      <c r="AF273" s="96"/>
      <c r="AG273" s="96"/>
      <c r="AH273" s="96"/>
      <c r="AI273" s="96"/>
      <c r="AJ273" s="96"/>
      <c r="AK273" s="96"/>
      <c r="AL273" s="96"/>
      <c r="AM273" s="96"/>
      <c r="AN273" s="96"/>
      <c r="AO273" s="96"/>
      <c r="AP273" s="96"/>
      <c r="AQ273" s="96"/>
      <c r="AR273" s="96"/>
      <c r="AS273" s="96"/>
      <c r="AT273" s="96"/>
      <c r="AU273" s="96"/>
      <c r="AV273" s="96"/>
      <c r="AW273" s="96"/>
      <c r="AX273" s="96"/>
      <c r="AY273" s="96"/>
      <c r="AZ273" s="96"/>
      <c r="BA273" s="96"/>
      <c r="BB273" s="96"/>
      <c r="BC273" s="96"/>
      <c r="BD273" s="96"/>
      <c r="BE273" s="96"/>
      <c r="BF273" s="96"/>
      <c r="BG273" s="96"/>
      <c r="BH273" s="96"/>
      <c r="BI273" s="96"/>
      <c r="BJ273" s="96"/>
      <c r="BK273" s="96"/>
    </row>
    <row r="274" ht="15.75" customHeight="1">
      <c r="A274" s="188"/>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c r="AA274" s="96"/>
      <c r="AB274" s="96"/>
      <c r="AC274" s="96"/>
      <c r="AD274" s="96"/>
      <c r="AE274" s="96"/>
      <c r="AF274" s="96"/>
      <c r="AG274" s="96"/>
      <c r="AH274" s="96"/>
      <c r="AI274" s="96"/>
      <c r="AJ274" s="96"/>
      <c r="AK274" s="96"/>
      <c r="AL274" s="96"/>
      <c r="AM274" s="96"/>
      <c r="AN274" s="96"/>
      <c r="AO274" s="96"/>
      <c r="AP274" s="96"/>
      <c r="AQ274" s="96"/>
      <c r="AR274" s="96"/>
      <c r="AS274" s="96"/>
      <c r="AT274" s="96"/>
      <c r="AU274" s="96"/>
      <c r="AV274" s="96"/>
      <c r="AW274" s="96"/>
      <c r="AX274" s="96"/>
      <c r="AY274" s="96"/>
      <c r="AZ274" s="96"/>
      <c r="BA274" s="96"/>
      <c r="BB274" s="96"/>
      <c r="BC274" s="96"/>
      <c r="BD274" s="96"/>
      <c r="BE274" s="96"/>
      <c r="BF274" s="96"/>
      <c r="BG274" s="96"/>
      <c r="BH274" s="96"/>
      <c r="BI274" s="96"/>
      <c r="BJ274" s="96"/>
      <c r="BK274" s="96"/>
    </row>
    <row r="275" ht="15.75" customHeight="1">
      <c r="A275" s="188"/>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c r="AA275" s="96"/>
      <c r="AB275" s="96"/>
      <c r="AC275" s="96"/>
      <c r="AD275" s="96"/>
      <c r="AE275" s="96"/>
      <c r="AF275" s="96"/>
      <c r="AG275" s="96"/>
      <c r="AH275" s="96"/>
      <c r="AI275" s="96"/>
      <c r="AJ275" s="96"/>
      <c r="AK275" s="96"/>
      <c r="AL275" s="96"/>
      <c r="AM275" s="96"/>
      <c r="AN275" s="96"/>
      <c r="AO275" s="96"/>
      <c r="AP275" s="96"/>
      <c r="AQ275" s="96"/>
      <c r="AR275" s="96"/>
      <c r="AS275" s="96"/>
      <c r="AT275" s="96"/>
      <c r="AU275" s="96"/>
      <c r="AV275" s="96"/>
      <c r="AW275" s="96"/>
      <c r="AX275" s="96"/>
      <c r="AY275" s="96"/>
      <c r="AZ275" s="96"/>
      <c r="BA275" s="96"/>
      <c r="BB275" s="96"/>
      <c r="BC275" s="96"/>
      <c r="BD275" s="96"/>
      <c r="BE275" s="96"/>
      <c r="BF275" s="96"/>
      <c r="BG275" s="96"/>
      <c r="BH275" s="96"/>
      <c r="BI275" s="96"/>
      <c r="BJ275" s="96"/>
      <c r="BK275" s="96"/>
    </row>
    <row r="276" ht="15.75" customHeight="1">
      <c r="A276" s="188"/>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c r="AA276" s="96"/>
      <c r="AB276" s="96"/>
      <c r="AC276" s="96"/>
      <c r="AD276" s="96"/>
      <c r="AE276" s="96"/>
      <c r="AF276" s="96"/>
      <c r="AG276" s="96"/>
      <c r="AH276" s="96"/>
      <c r="AI276" s="96"/>
      <c r="AJ276" s="96"/>
      <c r="AK276" s="96"/>
      <c r="AL276" s="96"/>
      <c r="AM276" s="96"/>
      <c r="AN276" s="96"/>
      <c r="AO276" s="96"/>
      <c r="AP276" s="96"/>
      <c r="AQ276" s="96"/>
      <c r="AR276" s="96"/>
      <c r="AS276" s="96"/>
      <c r="AT276" s="96"/>
      <c r="AU276" s="96"/>
      <c r="AV276" s="96"/>
      <c r="AW276" s="96"/>
      <c r="AX276" s="96"/>
      <c r="AY276" s="96"/>
      <c r="AZ276" s="96"/>
      <c r="BA276" s="96"/>
      <c r="BB276" s="96"/>
      <c r="BC276" s="96"/>
      <c r="BD276" s="96"/>
      <c r="BE276" s="96"/>
      <c r="BF276" s="96"/>
      <c r="BG276" s="96"/>
      <c r="BH276" s="96"/>
      <c r="BI276" s="96"/>
      <c r="BJ276" s="96"/>
      <c r="BK276" s="96"/>
    </row>
    <row r="277" ht="15.75" customHeight="1">
      <c r="A277" s="188"/>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c r="AA277" s="96"/>
      <c r="AB277" s="96"/>
      <c r="AC277" s="96"/>
      <c r="AD277" s="96"/>
      <c r="AE277" s="96"/>
      <c r="AF277" s="96"/>
      <c r="AG277" s="96"/>
      <c r="AH277" s="96"/>
      <c r="AI277" s="96"/>
      <c r="AJ277" s="96"/>
      <c r="AK277" s="96"/>
      <c r="AL277" s="96"/>
      <c r="AM277" s="96"/>
      <c r="AN277" s="96"/>
      <c r="AO277" s="96"/>
      <c r="AP277" s="96"/>
      <c r="AQ277" s="96"/>
      <c r="AR277" s="96"/>
      <c r="AS277" s="96"/>
      <c r="AT277" s="96"/>
      <c r="AU277" s="96"/>
      <c r="AV277" s="96"/>
      <c r="AW277" s="96"/>
      <c r="AX277" s="96"/>
      <c r="AY277" s="96"/>
      <c r="AZ277" s="96"/>
      <c r="BA277" s="96"/>
      <c r="BB277" s="96"/>
      <c r="BC277" s="96"/>
      <c r="BD277" s="96"/>
      <c r="BE277" s="96"/>
      <c r="BF277" s="96"/>
      <c r="BG277" s="96"/>
      <c r="BH277" s="96"/>
      <c r="BI277" s="96"/>
      <c r="BJ277" s="96"/>
      <c r="BK277" s="96"/>
    </row>
    <row r="278" ht="15.75" customHeight="1">
      <c r="A278" s="188"/>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c r="AA278" s="96"/>
      <c r="AB278" s="96"/>
      <c r="AC278" s="96"/>
      <c r="AD278" s="96"/>
      <c r="AE278" s="96"/>
      <c r="AF278" s="96"/>
      <c r="AG278" s="96"/>
      <c r="AH278" s="96"/>
      <c r="AI278" s="96"/>
      <c r="AJ278" s="96"/>
      <c r="AK278" s="96"/>
      <c r="AL278" s="96"/>
      <c r="AM278" s="96"/>
      <c r="AN278" s="96"/>
      <c r="AO278" s="96"/>
      <c r="AP278" s="96"/>
      <c r="AQ278" s="96"/>
      <c r="AR278" s="96"/>
      <c r="AS278" s="96"/>
      <c r="AT278" s="96"/>
      <c r="AU278" s="96"/>
      <c r="AV278" s="96"/>
      <c r="AW278" s="96"/>
      <c r="AX278" s="96"/>
      <c r="AY278" s="96"/>
      <c r="AZ278" s="96"/>
      <c r="BA278" s="96"/>
      <c r="BB278" s="96"/>
      <c r="BC278" s="96"/>
      <c r="BD278" s="96"/>
      <c r="BE278" s="96"/>
      <c r="BF278" s="96"/>
      <c r="BG278" s="96"/>
      <c r="BH278" s="96"/>
      <c r="BI278" s="96"/>
      <c r="BJ278" s="96"/>
      <c r="BK278" s="96"/>
    </row>
    <row r="279" ht="15.75" customHeight="1">
      <c r="A279" s="188"/>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c r="AB279" s="96"/>
      <c r="AC279" s="96"/>
      <c r="AD279" s="96"/>
      <c r="AE279" s="96"/>
      <c r="AF279" s="96"/>
      <c r="AG279" s="96"/>
      <c r="AH279" s="96"/>
      <c r="AI279" s="96"/>
      <c r="AJ279" s="96"/>
      <c r="AK279" s="96"/>
      <c r="AL279" s="96"/>
      <c r="AM279" s="96"/>
      <c r="AN279" s="96"/>
      <c r="AO279" s="96"/>
      <c r="AP279" s="96"/>
      <c r="AQ279" s="96"/>
      <c r="AR279" s="96"/>
      <c r="AS279" s="96"/>
      <c r="AT279" s="96"/>
      <c r="AU279" s="96"/>
      <c r="AV279" s="96"/>
      <c r="AW279" s="96"/>
      <c r="AX279" s="96"/>
      <c r="AY279" s="96"/>
      <c r="AZ279" s="96"/>
      <c r="BA279" s="96"/>
      <c r="BB279" s="96"/>
      <c r="BC279" s="96"/>
      <c r="BD279" s="96"/>
      <c r="BE279" s="96"/>
      <c r="BF279" s="96"/>
      <c r="BG279" s="96"/>
      <c r="BH279" s="96"/>
      <c r="BI279" s="96"/>
      <c r="BJ279" s="96"/>
      <c r="BK279" s="96"/>
    </row>
    <row r="280" ht="15.75" customHeight="1">
      <c r="A280" s="188"/>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c r="AA280" s="96"/>
      <c r="AB280" s="96"/>
      <c r="AC280" s="96"/>
      <c r="AD280" s="96"/>
      <c r="AE280" s="96"/>
      <c r="AF280" s="96"/>
      <c r="AG280" s="96"/>
      <c r="AH280" s="96"/>
      <c r="AI280" s="96"/>
      <c r="AJ280" s="96"/>
      <c r="AK280" s="96"/>
      <c r="AL280" s="96"/>
      <c r="AM280" s="96"/>
      <c r="AN280" s="96"/>
      <c r="AO280" s="96"/>
      <c r="AP280" s="96"/>
      <c r="AQ280" s="96"/>
      <c r="AR280" s="96"/>
      <c r="AS280" s="96"/>
      <c r="AT280" s="96"/>
      <c r="AU280" s="96"/>
      <c r="AV280" s="96"/>
      <c r="AW280" s="96"/>
      <c r="AX280" s="96"/>
      <c r="AY280" s="96"/>
      <c r="AZ280" s="96"/>
      <c r="BA280" s="96"/>
      <c r="BB280" s="96"/>
      <c r="BC280" s="96"/>
      <c r="BD280" s="96"/>
      <c r="BE280" s="96"/>
      <c r="BF280" s="96"/>
      <c r="BG280" s="96"/>
      <c r="BH280" s="96"/>
      <c r="BI280" s="96"/>
      <c r="BJ280" s="96"/>
      <c r="BK280" s="96"/>
    </row>
    <row r="281" ht="15.75" customHeight="1">
      <c r="A281" s="188"/>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c r="AA281" s="96"/>
      <c r="AB281" s="96"/>
      <c r="AC281" s="96"/>
      <c r="AD281" s="96"/>
      <c r="AE281" s="96"/>
      <c r="AF281" s="96"/>
      <c r="AG281" s="96"/>
      <c r="AH281" s="96"/>
      <c r="AI281" s="96"/>
      <c r="AJ281" s="96"/>
      <c r="AK281" s="96"/>
      <c r="AL281" s="96"/>
      <c r="AM281" s="96"/>
      <c r="AN281" s="96"/>
      <c r="AO281" s="96"/>
      <c r="AP281" s="96"/>
      <c r="AQ281" s="96"/>
      <c r="AR281" s="96"/>
      <c r="AS281" s="96"/>
      <c r="AT281" s="96"/>
      <c r="AU281" s="96"/>
      <c r="AV281" s="96"/>
      <c r="AW281" s="96"/>
      <c r="AX281" s="96"/>
      <c r="AY281" s="96"/>
      <c r="AZ281" s="96"/>
      <c r="BA281" s="96"/>
      <c r="BB281" s="96"/>
      <c r="BC281" s="96"/>
      <c r="BD281" s="96"/>
      <c r="BE281" s="96"/>
      <c r="BF281" s="96"/>
      <c r="BG281" s="96"/>
      <c r="BH281" s="96"/>
      <c r="BI281" s="96"/>
      <c r="BJ281" s="96"/>
      <c r="BK281" s="96"/>
    </row>
    <row r="282" ht="15.75" customHeight="1">
      <c r="A282" s="188"/>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c r="AA282" s="96"/>
      <c r="AB282" s="96"/>
      <c r="AC282" s="96"/>
      <c r="AD282" s="96"/>
      <c r="AE282" s="96"/>
      <c r="AF282" s="96"/>
      <c r="AG282" s="96"/>
      <c r="AH282" s="96"/>
      <c r="AI282" s="96"/>
      <c r="AJ282" s="96"/>
      <c r="AK282" s="96"/>
      <c r="AL282" s="96"/>
      <c r="AM282" s="96"/>
      <c r="AN282" s="96"/>
      <c r="AO282" s="96"/>
      <c r="AP282" s="96"/>
      <c r="AQ282" s="96"/>
      <c r="AR282" s="96"/>
      <c r="AS282" s="96"/>
      <c r="AT282" s="96"/>
      <c r="AU282" s="96"/>
      <c r="AV282" s="96"/>
      <c r="AW282" s="96"/>
      <c r="AX282" s="96"/>
      <c r="AY282" s="96"/>
      <c r="AZ282" s="96"/>
      <c r="BA282" s="96"/>
      <c r="BB282" s="96"/>
      <c r="BC282" s="96"/>
      <c r="BD282" s="96"/>
      <c r="BE282" s="96"/>
      <c r="BF282" s="96"/>
      <c r="BG282" s="96"/>
      <c r="BH282" s="96"/>
      <c r="BI282" s="96"/>
      <c r="BJ282" s="96"/>
      <c r="BK282" s="96"/>
    </row>
    <row r="283" ht="15.75" customHeight="1">
      <c r="A283" s="188"/>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c r="AA283" s="96"/>
      <c r="AB283" s="96"/>
      <c r="AC283" s="96"/>
      <c r="AD283" s="96"/>
      <c r="AE283" s="96"/>
      <c r="AF283" s="96"/>
      <c r="AG283" s="96"/>
      <c r="AH283" s="96"/>
      <c r="AI283" s="96"/>
      <c r="AJ283" s="96"/>
      <c r="AK283" s="96"/>
      <c r="AL283" s="96"/>
      <c r="AM283" s="96"/>
      <c r="AN283" s="96"/>
      <c r="AO283" s="96"/>
      <c r="AP283" s="96"/>
      <c r="AQ283" s="96"/>
      <c r="AR283" s="96"/>
      <c r="AS283" s="96"/>
      <c r="AT283" s="96"/>
      <c r="AU283" s="96"/>
      <c r="AV283" s="96"/>
      <c r="AW283" s="96"/>
      <c r="AX283" s="96"/>
      <c r="AY283" s="96"/>
      <c r="AZ283" s="96"/>
      <c r="BA283" s="96"/>
      <c r="BB283" s="96"/>
      <c r="BC283" s="96"/>
      <c r="BD283" s="96"/>
      <c r="BE283" s="96"/>
      <c r="BF283" s="96"/>
      <c r="BG283" s="96"/>
      <c r="BH283" s="96"/>
      <c r="BI283" s="96"/>
      <c r="BJ283" s="96"/>
      <c r="BK283" s="96"/>
    </row>
    <row r="284" ht="15.75" customHeight="1">
      <c r="A284" s="188"/>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c r="AA284" s="96"/>
      <c r="AB284" s="96"/>
      <c r="AC284" s="96"/>
      <c r="AD284" s="96"/>
      <c r="AE284" s="96"/>
      <c r="AF284" s="96"/>
      <c r="AG284" s="96"/>
      <c r="AH284" s="96"/>
      <c r="AI284" s="96"/>
      <c r="AJ284" s="96"/>
      <c r="AK284" s="96"/>
      <c r="AL284" s="96"/>
      <c r="AM284" s="96"/>
      <c r="AN284" s="96"/>
      <c r="AO284" s="96"/>
      <c r="AP284" s="96"/>
      <c r="AQ284" s="96"/>
      <c r="AR284" s="96"/>
      <c r="AS284" s="96"/>
      <c r="AT284" s="96"/>
      <c r="AU284" s="96"/>
      <c r="AV284" s="96"/>
      <c r="AW284" s="96"/>
      <c r="AX284" s="96"/>
      <c r="AY284" s="96"/>
      <c r="AZ284" s="96"/>
      <c r="BA284" s="96"/>
      <c r="BB284" s="96"/>
      <c r="BC284" s="96"/>
      <c r="BD284" s="96"/>
      <c r="BE284" s="96"/>
      <c r="BF284" s="96"/>
      <c r="BG284" s="96"/>
      <c r="BH284" s="96"/>
      <c r="BI284" s="96"/>
      <c r="BJ284" s="96"/>
      <c r="BK284" s="96"/>
    </row>
    <row r="285" ht="15.75" customHeight="1">
      <c r="A285" s="188"/>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c r="AA285" s="96"/>
      <c r="AB285" s="96"/>
      <c r="AC285" s="96"/>
      <c r="AD285" s="96"/>
      <c r="AE285" s="96"/>
      <c r="AF285" s="96"/>
      <c r="AG285" s="96"/>
      <c r="AH285" s="96"/>
      <c r="AI285" s="96"/>
      <c r="AJ285" s="96"/>
      <c r="AK285" s="96"/>
      <c r="AL285" s="96"/>
      <c r="AM285" s="96"/>
      <c r="AN285" s="96"/>
      <c r="AO285" s="96"/>
      <c r="AP285" s="96"/>
      <c r="AQ285" s="96"/>
      <c r="AR285" s="96"/>
      <c r="AS285" s="96"/>
      <c r="AT285" s="96"/>
      <c r="AU285" s="96"/>
      <c r="AV285" s="96"/>
      <c r="AW285" s="96"/>
      <c r="AX285" s="96"/>
      <c r="AY285" s="96"/>
      <c r="AZ285" s="96"/>
      <c r="BA285" s="96"/>
      <c r="BB285" s="96"/>
      <c r="BC285" s="96"/>
      <c r="BD285" s="96"/>
      <c r="BE285" s="96"/>
      <c r="BF285" s="96"/>
      <c r="BG285" s="96"/>
      <c r="BH285" s="96"/>
      <c r="BI285" s="96"/>
      <c r="BJ285" s="96"/>
      <c r="BK285" s="96"/>
    </row>
    <row r="286" ht="15.75" customHeight="1">
      <c r="A286" s="188"/>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c r="AA286" s="96"/>
      <c r="AB286" s="96"/>
      <c r="AC286" s="96"/>
      <c r="AD286" s="96"/>
      <c r="AE286" s="96"/>
      <c r="AF286" s="96"/>
      <c r="AG286" s="96"/>
      <c r="AH286" s="96"/>
      <c r="AI286" s="96"/>
      <c r="AJ286" s="96"/>
      <c r="AK286" s="96"/>
      <c r="AL286" s="96"/>
      <c r="AM286" s="96"/>
      <c r="AN286" s="96"/>
      <c r="AO286" s="96"/>
      <c r="AP286" s="96"/>
      <c r="AQ286" s="96"/>
      <c r="AR286" s="96"/>
      <c r="AS286" s="96"/>
      <c r="AT286" s="96"/>
      <c r="AU286" s="96"/>
      <c r="AV286" s="96"/>
      <c r="AW286" s="96"/>
      <c r="AX286" s="96"/>
      <c r="AY286" s="96"/>
      <c r="AZ286" s="96"/>
      <c r="BA286" s="96"/>
      <c r="BB286" s="96"/>
      <c r="BC286" s="96"/>
      <c r="BD286" s="96"/>
      <c r="BE286" s="96"/>
      <c r="BF286" s="96"/>
      <c r="BG286" s="96"/>
      <c r="BH286" s="96"/>
      <c r="BI286" s="96"/>
      <c r="BJ286" s="96"/>
      <c r="BK286" s="96"/>
    </row>
    <row r="287" ht="15.75" customHeight="1">
      <c r="A287" s="188"/>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c r="AA287" s="96"/>
      <c r="AB287" s="96"/>
      <c r="AC287" s="96"/>
      <c r="AD287" s="96"/>
      <c r="AE287" s="96"/>
      <c r="AF287" s="96"/>
      <c r="AG287" s="96"/>
      <c r="AH287" s="96"/>
      <c r="AI287" s="96"/>
      <c r="AJ287" s="96"/>
      <c r="AK287" s="96"/>
      <c r="AL287" s="96"/>
      <c r="AM287" s="96"/>
      <c r="AN287" s="96"/>
      <c r="AO287" s="96"/>
      <c r="AP287" s="96"/>
      <c r="AQ287" s="96"/>
      <c r="AR287" s="96"/>
      <c r="AS287" s="96"/>
      <c r="AT287" s="96"/>
      <c r="AU287" s="96"/>
      <c r="AV287" s="96"/>
      <c r="AW287" s="96"/>
      <c r="AX287" s="96"/>
      <c r="AY287" s="96"/>
      <c r="AZ287" s="96"/>
      <c r="BA287" s="96"/>
      <c r="BB287" s="96"/>
      <c r="BC287" s="96"/>
      <c r="BD287" s="96"/>
      <c r="BE287" s="96"/>
      <c r="BF287" s="96"/>
      <c r="BG287" s="96"/>
      <c r="BH287" s="96"/>
      <c r="BI287" s="96"/>
      <c r="BJ287" s="96"/>
      <c r="BK287" s="96"/>
    </row>
    <row r="288" ht="15.75" customHeight="1">
      <c r="A288" s="188"/>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c r="AA288" s="96"/>
      <c r="AB288" s="96"/>
      <c r="AC288" s="96"/>
      <c r="AD288" s="96"/>
      <c r="AE288" s="96"/>
      <c r="AF288" s="96"/>
      <c r="AG288" s="96"/>
      <c r="AH288" s="96"/>
      <c r="AI288" s="96"/>
      <c r="AJ288" s="96"/>
      <c r="AK288" s="96"/>
      <c r="AL288" s="96"/>
      <c r="AM288" s="96"/>
      <c r="AN288" s="96"/>
      <c r="AO288" s="96"/>
      <c r="AP288" s="96"/>
      <c r="AQ288" s="96"/>
      <c r="AR288" s="96"/>
      <c r="AS288" s="96"/>
      <c r="AT288" s="96"/>
      <c r="AU288" s="96"/>
      <c r="AV288" s="96"/>
      <c r="AW288" s="96"/>
      <c r="AX288" s="96"/>
      <c r="AY288" s="96"/>
      <c r="AZ288" s="96"/>
      <c r="BA288" s="96"/>
      <c r="BB288" s="96"/>
      <c r="BC288" s="96"/>
      <c r="BD288" s="96"/>
      <c r="BE288" s="96"/>
      <c r="BF288" s="96"/>
      <c r="BG288" s="96"/>
      <c r="BH288" s="96"/>
      <c r="BI288" s="96"/>
      <c r="BJ288" s="96"/>
      <c r="BK288" s="96"/>
    </row>
    <row r="289" ht="15.75" customHeight="1">
      <c r="A289" s="188"/>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c r="AA289" s="96"/>
      <c r="AB289" s="96"/>
      <c r="AC289" s="96"/>
      <c r="AD289" s="96"/>
      <c r="AE289" s="96"/>
      <c r="AF289" s="96"/>
      <c r="AG289" s="96"/>
      <c r="AH289" s="96"/>
      <c r="AI289" s="96"/>
      <c r="AJ289" s="96"/>
      <c r="AK289" s="96"/>
      <c r="AL289" s="96"/>
      <c r="AM289" s="96"/>
      <c r="AN289" s="96"/>
      <c r="AO289" s="96"/>
      <c r="AP289" s="96"/>
      <c r="AQ289" s="96"/>
      <c r="AR289" s="96"/>
      <c r="AS289" s="96"/>
      <c r="AT289" s="96"/>
      <c r="AU289" s="96"/>
      <c r="AV289" s="96"/>
      <c r="AW289" s="96"/>
      <c r="AX289" s="96"/>
      <c r="AY289" s="96"/>
      <c r="AZ289" s="96"/>
      <c r="BA289" s="96"/>
      <c r="BB289" s="96"/>
      <c r="BC289" s="96"/>
      <c r="BD289" s="96"/>
      <c r="BE289" s="96"/>
      <c r="BF289" s="96"/>
      <c r="BG289" s="96"/>
      <c r="BH289" s="96"/>
      <c r="BI289" s="96"/>
      <c r="BJ289" s="96"/>
      <c r="BK289" s="96"/>
    </row>
    <row r="290" ht="15.75" customHeight="1">
      <c r="A290" s="188"/>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c r="AA290" s="96"/>
      <c r="AB290" s="96"/>
      <c r="AC290" s="96"/>
      <c r="AD290" s="96"/>
      <c r="AE290" s="96"/>
      <c r="AF290" s="96"/>
      <c r="AG290" s="96"/>
      <c r="AH290" s="96"/>
      <c r="AI290" s="96"/>
      <c r="AJ290" s="96"/>
      <c r="AK290" s="96"/>
      <c r="AL290" s="96"/>
      <c r="AM290" s="96"/>
      <c r="AN290" s="96"/>
      <c r="AO290" s="96"/>
      <c r="AP290" s="96"/>
      <c r="AQ290" s="96"/>
      <c r="AR290" s="96"/>
      <c r="AS290" s="96"/>
      <c r="AT290" s="96"/>
      <c r="AU290" s="96"/>
      <c r="AV290" s="96"/>
      <c r="AW290" s="96"/>
      <c r="AX290" s="96"/>
      <c r="AY290" s="96"/>
      <c r="AZ290" s="96"/>
      <c r="BA290" s="96"/>
      <c r="BB290" s="96"/>
      <c r="BC290" s="96"/>
      <c r="BD290" s="96"/>
      <c r="BE290" s="96"/>
      <c r="BF290" s="96"/>
      <c r="BG290" s="96"/>
      <c r="BH290" s="96"/>
      <c r="BI290" s="96"/>
      <c r="BJ290" s="96"/>
      <c r="BK290" s="96"/>
    </row>
    <row r="291" ht="15.75" customHeight="1">
      <c r="A291" s="188"/>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c r="AA291" s="96"/>
      <c r="AB291" s="96"/>
      <c r="AC291" s="96"/>
      <c r="AD291" s="96"/>
      <c r="AE291" s="96"/>
      <c r="AF291" s="96"/>
      <c r="AG291" s="96"/>
      <c r="AH291" s="96"/>
      <c r="AI291" s="96"/>
      <c r="AJ291" s="96"/>
      <c r="AK291" s="96"/>
      <c r="AL291" s="96"/>
      <c r="AM291" s="96"/>
      <c r="AN291" s="96"/>
      <c r="AO291" s="96"/>
      <c r="AP291" s="96"/>
      <c r="AQ291" s="96"/>
      <c r="AR291" s="96"/>
      <c r="AS291" s="96"/>
      <c r="AT291" s="96"/>
      <c r="AU291" s="96"/>
      <c r="AV291" s="96"/>
      <c r="AW291" s="96"/>
      <c r="AX291" s="96"/>
      <c r="AY291" s="96"/>
      <c r="AZ291" s="96"/>
      <c r="BA291" s="96"/>
      <c r="BB291" s="96"/>
      <c r="BC291" s="96"/>
      <c r="BD291" s="96"/>
      <c r="BE291" s="96"/>
      <c r="BF291" s="96"/>
      <c r="BG291" s="96"/>
      <c r="BH291" s="96"/>
      <c r="BI291" s="96"/>
      <c r="BJ291" s="96"/>
      <c r="BK291" s="96"/>
    </row>
    <row r="292" ht="15.75" customHeight="1">
      <c r="A292" s="188"/>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c r="AA292" s="96"/>
      <c r="AB292" s="96"/>
      <c r="AC292" s="96"/>
      <c r="AD292" s="96"/>
      <c r="AE292" s="96"/>
      <c r="AF292" s="96"/>
      <c r="AG292" s="96"/>
      <c r="AH292" s="96"/>
      <c r="AI292" s="96"/>
      <c r="AJ292" s="96"/>
      <c r="AK292" s="96"/>
      <c r="AL292" s="96"/>
      <c r="AM292" s="96"/>
      <c r="AN292" s="96"/>
      <c r="AO292" s="96"/>
      <c r="AP292" s="96"/>
      <c r="AQ292" s="96"/>
      <c r="AR292" s="96"/>
      <c r="AS292" s="96"/>
      <c r="AT292" s="96"/>
      <c r="AU292" s="96"/>
      <c r="AV292" s="96"/>
      <c r="AW292" s="96"/>
      <c r="AX292" s="96"/>
      <c r="AY292" s="96"/>
      <c r="AZ292" s="96"/>
      <c r="BA292" s="96"/>
      <c r="BB292" s="96"/>
      <c r="BC292" s="96"/>
      <c r="BD292" s="96"/>
      <c r="BE292" s="96"/>
      <c r="BF292" s="96"/>
      <c r="BG292" s="96"/>
      <c r="BH292" s="96"/>
      <c r="BI292" s="96"/>
      <c r="BJ292" s="96"/>
      <c r="BK292" s="96"/>
    </row>
    <row r="293" ht="15.75" customHeight="1">
      <c r="A293" s="188"/>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c r="AA293" s="96"/>
      <c r="AB293" s="96"/>
      <c r="AC293" s="96"/>
      <c r="AD293" s="96"/>
      <c r="AE293" s="96"/>
      <c r="AF293" s="96"/>
      <c r="AG293" s="96"/>
      <c r="AH293" s="96"/>
      <c r="AI293" s="96"/>
      <c r="AJ293" s="96"/>
      <c r="AK293" s="96"/>
      <c r="AL293" s="96"/>
      <c r="AM293" s="96"/>
      <c r="AN293" s="96"/>
      <c r="AO293" s="96"/>
      <c r="AP293" s="96"/>
      <c r="AQ293" s="96"/>
      <c r="AR293" s="96"/>
      <c r="AS293" s="96"/>
      <c r="AT293" s="96"/>
      <c r="AU293" s="96"/>
      <c r="AV293" s="96"/>
      <c r="AW293" s="96"/>
      <c r="AX293" s="96"/>
      <c r="AY293" s="96"/>
      <c r="AZ293" s="96"/>
      <c r="BA293" s="96"/>
      <c r="BB293" s="96"/>
      <c r="BC293" s="96"/>
      <c r="BD293" s="96"/>
      <c r="BE293" s="96"/>
      <c r="BF293" s="96"/>
      <c r="BG293" s="96"/>
      <c r="BH293" s="96"/>
      <c r="BI293" s="96"/>
      <c r="BJ293" s="96"/>
      <c r="BK293" s="96"/>
    </row>
    <row r="294" ht="15.75" customHeight="1">
      <c r="A294" s="188"/>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c r="AA294" s="96"/>
      <c r="AB294" s="96"/>
      <c r="AC294" s="96"/>
      <c r="AD294" s="96"/>
      <c r="AE294" s="96"/>
      <c r="AF294" s="96"/>
      <c r="AG294" s="96"/>
      <c r="AH294" s="96"/>
      <c r="AI294" s="96"/>
      <c r="AJ294" s="96"/>
      <c r="AK294" s="96"/>
      <c r="AL294" s="96"/>
      <c r="AM294" s="96"/>
      <c r="AN294" s="96"/>
      <c r="AO294" s="96"/>
      <c r="AP294" s="96"/>
      <c r="AQ294" s="96"/>
      <c r="AR294" s="96"/>
      <c r="AS294" s="96"/>
      <c r="AT294" s="96"/>
      <c r="AU294" s="96"/>
      <c r="AV294" s="96"/>
      <c r="AW294" s="96"/>
      <c r="AX294" s="96"/>
      <c r="AY294" s="96"/>
      <c r="AZ294" s="96"/>
      <c r="BA294" s="96"/>
      <c r="BB294" s="96"/>
      <c r="BC294" s="96"/>
      <c r="BD294" s="96"/>
      <c r="BE294" s="96"/>
      <c r="BF294" s="96"/>
      <c r="BG294" s="96"/>
      <c r="BH294" s="96"/>
      <c r="BI294" s="96"/>
      <c r="BJ294" s="96"/>
      <c r="BK294" s="96"/>
    </row>
    <row r="295" ht="15.75" customHeight="1">
      <c r="A295" s="188"/>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c r="AA295" s="96"/>
      <c r="AB295" s="96"/>
      <c r="AC295" s="96"/>
      <c r="AD295" s="96"/>
      <c r="AE295" s="96"/>
      <c r="AF295" s="96"/>
      <c r="AG295" s="96"/>
      <c r="AH295" s="96"/>
      <c r="AI295" s="96"/>
      <c r="AJ295" s="96"/>
      <c r="AK295" s="96"/>
      <c r="AL295" s="96"/>
      <c r="AM295" s="96"/>
      <c r="AN295" s="96"/>
      <c r="AO295" s="96"/>
      <c r="AP295" s="96"/>
      <c r="AQ295" s="96"/>
      <c r="AR295" s="96"/>
      <c r="AS295" s="96"/>
      <c r="AT295" s="96"/>
      <c r="AU295" s="96"/>
      <c r="AV295" s="96"/>
      <c r="AW295" s="96"/>
      <c r="AX295" s="96"/>
      <c r="AY295" s="96"/>
      <c r="AZ295" s="96"/>
      <c r="BA295" s="96"/>
      <c r="BB295" s="96"/>
      <c r="BC295" s="96"/>
      <c r="BD295" s="96"/>
      <c r="BE295" s="96"/>
      <c r="BF295" s="96"/>
      <c r="BG295" s="96"/>
      <c r="BH295" s="96"/>
      <c r="BI295" s="96"/>
      <c r="BJ295" s="96"/>
      <c r="BK295" s="96"/>
    </row>
    <row r="296" ht="15.75" customHeight="1">
      <c r="A296" s="188"/>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c r="AA296" s="96"/>
      <c r="AB296" s="96"/>
      <c r="AC296" s="96"/>
      <c r="AD296" s="96"/>
      <c r="AE296" s="96"/>
      <c r="AF296" s="96"/>
      <c r="AG296" s="96"/>
      <c r="AH296" s="96"/>
      <c r="AI296" s="96"/>
      <c r="AJ296" s="96"/>
      <c r="AK296" s="96"/>
      <c r="AL296" s="96"/>
      <c r="AM296" s="96"/>
      <c r="AN296" s="96"/>
      <c r="AO296" s="96"/>
      <c r="AP296" s="96"/>
      <c r="AQ296" s="96"/>
      <c r="AR296" s="96"/>
      <c r="AS296" s="96"/>
      <c r="AT296" s="96"/>
      <c r="AU296" s="96"/>
      <c r="AV296" s="96"/>
      <c r="AW296" s="96"/>
      <c r="AX296" s="96"/>
      <c r="AY296" s="96"/>
      <c r="AZ296" s="96"/>
      <c r="BA296" s="96"/>
      <c r="BB296" s="96"/>
      <c r="BC296" s="96"/>
      <c r="BD296" s="96"/>
      <c r="BE296" s="96"/>
      <c r="BF296" s="96"/>
      <c r="BG296" s="96"/>
      <c r="BH296" s="96"/>
      <c r="BI296" s="96"/>
      <c r="BJ296" s="96"/>
      <c r="BK296" s="96"/>
    </row>
    <row r="297" ht="15.75" customHeight="1">
      <c r="A297" s="188"/>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c r="AA297" s="96"/>
      <c r="AB297" s="96"/>
      <c r="AC297" s="96"/>
      <c r="AD297" s="96"/>
      <c r="AE297" s="96"/>
      <c r="AF297" s="96"/>
      <c r="AG297" s="96"/>
      <c r="AH297" s="96"/>
      <c r="AI297" s="96"/>
      <c r="AJ297" s="96"/>
      <c r="AK297" s="96"/>
      <c r="AL297" s="96"/>
      <c r="AM297" s="96"/>
      <c r="AN297" s="96"/>
      <c r="AO297" s="96"/>
      <c r="AP297" s="96"/>
      <c r="AQ297" s="96"/>
      <c r="AR297" s="96"/>
      <c r="AS297" s="96"/>
      <c r="AT297" s="96"/>
      <c r="AU297" s="96"/>
      <c r="AV297" s="96"/>
      <c r="AW297" s="96"/>
      <c r="AX297" s="96"/>
      <c r="AY297" s="96"/>
      <c r="AZ297" s="96"/>
      <c r="BA297" s="96"/>
      <c r="BB297" s="96"/>
      <c r="BC297" s="96"/>
      <c r="BD297" s="96"/>
      <c r="BE297" s="96"/>
      <c r="BF297" s="96"/>
      <c r="BG297" s="96"/>
      <c r="BH297" s="96"/>
      <c r="BI297" s="96"/>
      <c r="BJ297" s="96"/>
      <c r="BK297" s="96"/>
    </row>
    <row r="298" ht="15.75" customHeight="1">
      <c r="A298" s="188"/>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c r="AA298" s="96"/>
      <c r="AB298" s="96"/>
      <c r="AC298" s="96"/>
      <c r="AD298" s="96"/>
      <c r="AE298" s="96"/>
      <c r="AF298" s="96"/>
      <c r="AG298" s="96"/>
      <c r="AH298" s="96"/>
      <c r="AI298" s="96"/>
      <c r="AJ298" s="96"/>
      <c r="AK298" s="96"/>
      <c r="AL298" s="96"/>
      <c r="AM298" s="96"/>
      <c r="AN298" s="96"/>
      <c r="AO298" s="96"/>
      <c r="AP298" s="96"/>
      <c r="AQ298" s="96"/>
      <c r="AR298" s="96"/>
      <c r="AS298" s="96"/>
      <c r="AT298" s="96"/>
      <c r="AU298" s="96"/>
      <c r="AV298" s="96"/>
      <c r="AW298" s="96"/>
      <c r="AX298" s="96"/>
      <c r="AY298" s="96"/>
      <c r="AZ298" s="96"/>
      <c r="BA298" s="96"/>
      <c r="BB298" s="96"/>
      <c r="BC298" s="96"/>
      <c r="BD298" s="96"/>
      <c r="BE298" s="96"/>
      <c r="BF298" s="96"/>
      <c r="BG298" s="96"/>
      <c r="BH298" s="96"/>
      <c r="BI298" s="96"/>
      <c r="BJ298" s="96"/>
      <c r="BK298" s="96"/>
    </row>
    <row r="299" ht="15.75" customHeight="1">
      <c r="A299" s="188"/>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c r="AA299" s="96"/>
      <c r="AB299" s="96"/>
      <c r="AC299" s="96"/>
      <c r="AD299" s="96"/>
      <c r="AE299" s="96"/>
      <c r="AF299" s="96"/>
      <c r="AG299" s="96"/>
      <c r="AH299" s="96"/>
      <c r="AI299" s="96"/>
      <c r="AJ299" s="96"/>
      <c r="AK299" s="96"/>
      <c r="AL299" s="96"/>
      <c r="AM299" s="96"/>
      <c r="AN299" s="96"/>
      <c r="AO299" s="96"/>
      <c r="AP299" s="96"/>
      <c r="AQ299" s="96"/>
      <c r="AR299" s="96"/>
      <c r="AS299" s="96"/>
      <c r="AT299" s="96"/>
      <c r="AU299" s="96"/>
      <c r="AV299" s="96"/>
      <c r="AW299" s="96"/>
      <c r="AX299" s="96"/>
      <c r="AY299" s="96"/>
      <c r="AZ299" s="96"/>
      <c r="BA299" s="96"/>
      <c r="BB299" s="96"/>
      <c r="BC299" s="96"/>
      <c r="BD299" s="96"/>
      <c r="BE299" s="96"/>
      <c r="BF299" s="96"/>
      <c r="BG299" s="96"/>
      <c r="BH299" s="96"/>
      <c r="BI299" s="96"/>
      <c r="BJ299" s="96"/>
      <c r="BK299" s="96"/>
    </row>
    <row r="300" ht="15.75" customHeight="1">
      <c r="A300" s="188"/>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c r="AA300" s="96"/>
      <c r="AB300" s="96"/>
      <c r="AC300" s="96"/>
      <c r="AD300" s="96"/>
      <c r="AE300" s="96"/>
      <c r="AF300" s="96"/>
      <c r="AG300" s="96"/>
      <c r="AH300" s="96"/>
      <c r="AI300" s="96"/>
      <c r="AJ300" s="96"/>
      <c r="AK300" s="96"/>
      <c r="AL300" s="96"/>
      <c r="AM300" s="96"/>
      <c r="AN300" s="96"/>
      <c r="AO300" s="96"/>
      <c r="AP300" s="96"/>
      <c r="AQ300" s="96"/>
      <c r="AR300" s="96"/>
      <c r="AS300" s="96"/>
      <c r="AT300" s="96"/>
      <c r="AU300" s="96"/>
      <c r="AV300" s="96"/>
      <c r="AW300" s="96"/>
      <c r="AX300" s="96"/>
      <c r="AY300" s="96"/>
      <c r="AZ300" s="96"/>
      <c r="BA300" s="96"/>
      <c r="BB300" s="96"/>
      <c r="BC300" s="96"/>
      <c r="BD300" s="96"/>
      <c r="BE300" s="96"/>
      <c r="BF300" s="96"/>
      <c r="BG300" s="96"/>
      <c r="BH300" s="96"/>
      <c r="BI300" s="96"/>
      <c r="BJ300" s="96"/>
      <c r="BK300" s="96"/>
    </row>
    <row r="301" ht="15.75" customHeight="1">
      <c r="A301" s="188"/>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c r="AA301" s="96"/>
      <c r="AB301" s="96"/>
      <c r="AC301" s="96"/>
      <c r="AD301" s="96"/>
      <c r="AE301" s="96"/>
      <c r="AF301" s="96"/>
      <c r="AG301" s="96"/>
      <c r="AH301" s="96"/>
      <c r="AI301" s="96"/>
      <c r="AJ301" s="96"/>
      <c r="AK301" s="96"/>
      <c r="AL301" s="96"/>
      <c r="AM301" s="96"/>
      <c r="AN301" s="96"/>
      <c r="AO301" s="96"/>
      <c r="AP301" s="96"/>
      <c r="AQ301" s="96"/>
      <c r="AR301" s="96"/>
      <c r="AS301" s="96"/>
      <c r="AT301" s="96"/>
      <c r="AU301" s="96"/>
      <c r="AV301" s="96"/>
      <c r="AW301" s="96"/>
      <c r="AX301" s="96"/>
      <c r="AY301" s="96"/>
      <c r="AZ301" s="96"/>
      <c r="BA301" s="96"/>
      <c r="BB301" s="96"/>
      <c r="BC301" s="96"/>
      <c r="BD301" s="96"/>
      <c r="BE301" s="96"/>
      <c r="BF301" s="96"/>
      <c r="BG301" s="96"/>
      <c r="BH301" s="96"/>
      <c r="BI301" s="96"/>
      <c r="BJ301" s="96"/>
      <c r="BK301" s="96"/>
    </row>
    <row r="302" ht="15.75" customHeight="1">
      <c r="A302" s="188"/>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c r="AA302" s="96"/>
      <c r="AB302" s="96"/>
      <c r="AC302" s="96"/>
      <c r="AD302" s="96"/>
      <c r="AE302" s="96"/>
      <c r="AF302" s="96"/>
      <c r="AG302" s="96"/>
      <c r="AH302" s="96"/>
      <c r="AI302" s="96"/>
      <c r="AJ302" s="96"/>
      <c r="AK302" s="96"/>
      <c r="AL302" s="96"/>
      <c r="AM302" s="96"/>
      <c r="AN302" s="96"/>
      <c r="AO302" s="96"/>
      <c r="AP302" s="96"/>
      <c r="AQ302" s="96"/>
      <c r="AR302" s="96"/>
      <c r="AS302" s="96"/>
      <c r="AT302" s="96"/>
      <c r="AU302" s="96"/>
      <c r="AV302" s="96"/>
      <c r="AW302" s="96"/>
      <c r="AX302" s="96"/>
      <c r="AY302" s="96"/>
      <c r="AZ302" s="96"/>
      <c r="BA302" s="96"/>
      <c r="BB302" s="96"/>
      <c r="BC302" s="96"/>
      <c r="BD302" s="96"/>
      <c r="BE302" s="96"/>
      <c r="BF302" s="96"/>
      <c r="BG302" s="96"/>
      <c r="BH302" s="96"/>
      <c r="BI302" s="96"/>
      <c r="BJ302" s="96"/>
      <c r="BK302" s="96"/>
    </row>
    <row r="303" ht="15.75" customHeight="1">
      <c r="A303" s="188"/>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c r="AA303" s="96"/>
      <c r="AB303" s="96"/>
      <c r="AC303" s="96"/>
      <c r="AD303" s="96"/>
      <c r="AE303" s="96"/>
      <c r="AF303" s="96"/>
      <c r="AG303" s="96"/>
      <c r="AH303" s="96"/>
      <c r="AI303" s="96"/>
      <c r="AJ303" s="96"/>
      <c r="AK303" s="96"/>
      <c r="AL303" s="96"/>
      <c r="AM303" s="96"/>
      <c r="AN303" s="96"/>
      <c r="AO303" s="96"/>
      <c r="AP303" s="96"/>
      <c r="AQ303" s="96"/>
      <c r="AR303" s="96"/>
      <c r="AS303" s="96"/>
      <c r="AT303" s="96"/>
      <c r="AU303" s="96"/>
      <c r="AV303" s="96"/>
      <c r="AW303" s="96"/>
      <c r="AX303" s="96"/>
      <c r="AY303" s="96"/>
      <c r="AZ303" s="96"/>
      <c r="BA303" s="96"/>
      <c r="BB303" s="96"/>
      <c r="BC303" s="96"/>
      <c r="BD303" s="96"/>
      <c r="BE303" s="96"/>
      <c r="BF303" s="96"/>
      <c r="BG303" s="96"/>
      <c r="BH303" s="96"/>
      <c r="BI303" s="96"/>
      <c r="BJ303" s="96"/>
      <c r="BK303" s="96"/>
    </row>
    <row r="304" ht="15.75" customHeight="1">
      <c r="A304" s="188"/>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c r="AA304" s="96"/>
      <c r="AB304" s="96"/>
      <c r="AC304" s="96"/>
      <c r="AD304" s="96"/>
      <c r="AE304" s="96"/>
      <c r="AF304" s="96"/>
      <c r="AG304" s="96"/>
      <c r="AH304" s="96"/>
      <c r="AI304" s="96"/>
      <c r="AJ304" s="96"/>
      <c r="AK304" s="96"/>
      <c r="AL304" s="96"/>
      <c r="AM304" s="96"/>
      <c r="AN304" s="96"/>
      <c r="AO304" s="96"/>
      <c r="AP304" s="96"/>
      <c r="AQ304" s="96"/>
      <c r="AR304" s="96"/>
      <c r="AS304" s="96"/>
      <c r="AT304" s="96"/>
      <c r="AU304" s="96"/>
      <c r="AV304" s="96"/>
      <c r="AW304" s="96"/>
      <c r="AX304" s="96"/>
      <c r="AY304" s="96"/>
      <c r="AZ304" s="96"/>
      <c r="BA304" s="96"/>
      <c r="BB304" s="96"/>
      <c r="BC304" s="96"/>
      <c r="BD304" s="96"/>
      <c r="BE304" s="96"/>
      <c r="BF304" s="96"/>
      <c r="BG304" s="96"/>
      <c r="BH304" s="96"/>
      <c r="BI304" s="96"/>
      <c r="BJ304" s="96"/>
      <c r="BK304" s="96"/>
    </row>
    <row r="305" ht="15.75" customHeight="1">
      <c r="A305" s="188"/>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c r="AA305" s="96"/>
      <c r="AB305" s="96"/>
      <c r="AC305" s="96"/>
      <c r="AD305" s="96"/>
      <c r="AE305" s="96"/>
      <c r="AF305" s="96"/>
      <c r="AG305" s="96"/>
      <c r="AH305" s="96"/>
      <c r="AI305" s="96"/>
      <c r="AJ305" s="96"/>
      <c r="AK305" s="96"/>
      <c r="AL305" s="96"/>
      <c r="AM305" s="96"/>
      <c r="AN305" s="96"/>
      <c r="AO305" s="96"/>
      <c r="AP305" s="96"/>
      <c r="AQ305" s="96"/>
      <c r="AR305" s="96"/>
      <c r="AS305" s="96"/>
      <c r="AT305" s="96"/>
      <c r="AU305" s="96"/>
      <c r="AV305" s="96"/>
      <c r="AW305" s="96"/>
      <c r="AX305" s="96"/>
      <c r="AY305" s="96"/>
      <c r="AZ305" s="96"/>
      <c r="BA305" s="96"/>
      <c r="BB305" s="96"/>
      <c r="BC305" s="96"/>
      <c r="BD305" s="96"/>
      <c r="BE305" s="96"/>
      <c r="BF305" s="96"/>
      <c r="BG305" s="96"/>
      <c r="BH305" s="96"/>
      <c r="BI305" s="96"/>
      <c r="BJ305" s="96"/>
      <c r="BK305" s="96"/>
    </row>
    <row r="306" ht="15.75" customHeight="1">
      <c r="A306" s="188"/>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c r="AA306" s="96"/>
      <c r="AB306" s="96"/>
      <c r="AC306" s="96"/>
      <c r="AD306" s="96"/>
      <c r="AE306" s="96"/>
      <c r="AF306" s="96"/>
      <c r="AG306" s="96"/>
      <c r="AH306" s="96"/>
      <c r="AI306" s="96"/>
      <c r="AJ306" s="96"/>
      <c r="AK306" s="96"/>
      <c r="AL306" s="96"/>
      <c r="AM306" s="96"/>
      <c r="AN306" s="96"/>
      <c r="AO306" s="96"/>
      <c r="AP306" s="96"/>
      <c r="AQ306" s="96"/>
      <c r="AR306" s="96"/>
      <c r="AS306" s="96"/>
      <c r="AT306" s="96"/>
      <c r="AU306" s="96"/>
      <c r="AV306" s="96"/>
      <c r="AW306" s="96"/>
      <c r="AX306" s="96"/>
      <c r="AY306" s="96"/>
      <c r="AZ306" s="96"/>
      <c r="BA306" s="96"/>
      <c r="BB306" s="96"/>
      <c r="BC306" s="96"/>
      <c r="BD306" s="96"/>
      <c r="BE306" s="96"/>
      <c r="BF306" s="96"/>
      <c r="BG306" s="96"/>
      <c r="BH306" s="96"/>
      <c r="BI306" s="96"/>
      <c r="BJ306" s="96"/>
      <c r="BK306" s="96"/>
    </row>
    <row r="307" ht="15.75" customHeight="1">
      <c r="A307" s="188"/>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c r="AA307" s="96"/>
      <c r="AB307" s="96"/>
      <c r="AC307" s="96"/>
      <c r="AD307" s="96"/>
      <c r="AE307" s="96"/>
      <c r="AF307" s="96"/>
      <c r="AG307" s="96"/>
      <c r="AH307" s="96"/>
      <c r="AI307" s="96"/>
      <c r="AJ307" s="96"/>
      <c r="AK307" s="96"/>
      <c r="AL307" s="96"/>
      <c r="AM307" s="96"/>
      <c r="AN307" s="96"/>
      <c r="AO307" s="96"/>
      <c r="AP307" s="96"/>
      <c r="AQ307" s="96"/>
      <c r="AR307" s="96"/>
      <c r="AS307" s="96"/>
      <c r="AT307" s="96"/>
      <c r="AU307" s="96"/>
      <c r="AV307" s="96"/>
      <c r="AW307" s="96"/>
      <c r="AX307" s="96"/>
      <c r="AY307" s="96"/>
      <c r="AZ307" s="96"/>
      <c r="BA307" s="96"/>
      <c r="BB307" s="96"/>
      <c r="BC307" s="96"/>
      <c r="BD307" s="96"/>
      <c r="BE307" s="96"/>
      <c r="BF307" s="96"/>
      <c r="BG307" s="96"/>
      <c r="BH307" s="96"/>
      <c r="BI307" s="96"/>
      <c r="BJ307" s="96"/>
      <c r="BK307" s="96"/>
    </row>
    <row r="308" ht="15.75" customHeight="1">
      <c r="A308" s="188"/>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c r="AA308" s="96"/>
      <c r="AB308" s="96"/>
      <c r="AC308" s="96"/>
      <c r="AD308" s="96"/>
      <c r="AE308" s="96"/>
      <c r="AF308" s="96"/>
      <c r="AG308" s="96"/>
      <c r="AH308" s="96"/>
      <c r="AI308" s="96"/>
      <c r="AJ308" s="96"/>
      <c r="AK308" s="96"/>
      <c r="AL308" s="96"/>
      <c r="AM308" s="96"/>
      <c r="AN308" s="96"/>
      <c r="AO308" s="96"/>
      <c r="AP308" s="96"/>
      <c r="AQ308" s="96"/>
      <c r="AR308" s="96"/>
      <c r="AS308" s="96"/>
      <c r="AT308" s="96"/>
      <c r="AU308" s="96"/>
      <c r="AV308" s="96"/>
      <c r="AW308" s="96"/>
      <c r="AX308" s="96"/>
      <c r="AY308" s="96"/>
      <c r="AZ308" s="96"/>
      <c r="BA308" s="96"/>
      <c r="BB308" s="96"/>
      <c r="BC308" s="96"/>
      <c r="BD308" s="96"/>
      <c r="BE308" s="96"/>
      <c r="BF308" s="96"/>
      <c r="BG308" s="96"/>
      <c r="BH308" s="96"/>
      <c r="BI308" s="96"/>
      <c r="BJ308" s="96"/>
      <c r="BK308" s="96"/>
    </row>
    <row r="309" ht="15.75" customHeight="1">
      <c r="A309" s="188"/>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c r="AA309" s="96"/>
      <c r="AB309" s="96"/>
      <c r="AC309" s="96"/>
      <c r="AD309" s="96"/>
      <c r="AE309" s="96"/>
      <c r="AF309" s="96"/>
      <c r="AG309" s="96"/>
      <c r="AH309" s="96"/>
      <c r="AI309" s="96"/>
      <c r="AJ309" s="96"/>
      <c r="AK309" s="96"/>
      <c r="AL309" s="96"/>
      <c r="AM309" s="96"/>
      <c r="AN309" s="96"/>
      <c r="AO309" s="96"/>
      <c r="AP309" s="96"/>
      <c r="AQ309" s="96"/>
      <c r="AR309" s="96"/>
      <c r="AS309" s="96"/>
      <c r="AT309" s="96"/>
      <c r="AU309" s="96"/>
      <c r="AV309" s="96"/>
      <c r="AW309" s="96"/>
      <c r="AX309" s="96"/>
      <c r="AY309" s="96"/>
      <c r="AZ309" s="96"/>
      <c r="BA309" s="96"/>
      <c r="BB309" s="96"/>
      <c r="BC309" s="96"/>
      <c r="BD309" s="96"/>
      <c r="BE309" s="96"/>
      <c r="BF309" s="96"/>
      <c r="BG309" s="96"/>
      <c r="BH309" s="96"/>
      <c r="BI309" s="96"/>
      <c r="BJ309" s="96"/>
      <c r="BK309" s="96"/>
    </row>
    <row r="310" ht="15.75" customHeight="1">
      <c r="A310" s="188"/>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c r="AA310" s="96"/>
      <c r="AB310" s="96"/>
      <c r="AC310" s="96"/>
      <c r="AD310" s="96"/>
      <c r="AE310" s="96"/>
      <c r="AF310" s="96"/>
      <c r="AG310" s="96"/>
      <c r="AH310" s="96"/>
      <c r="AI310" s="96"/>
      <c r="AJ310" s="96"/>
      <c r="AK310" s="96"/>
      <c r="AL310" s="96"/>
      <c r="AM310" s="96"/>
      <c r="AN310" s="96"/>
      <c r="AO310" s="96"/>
      <c r="AP310" s="96"/>
      <c r="AQ310" s="96"/>
      <c r="AR310" s="96"/>
      <c r="AS310" s="96"/>
      <c r="AT310" s="96"/>
      <c r="AU310" s="96"/>
      <c r="AV310" s="96"/>
      <c r="AW310" s="96"/>
      <c r="AX310" s="96"/>
      <c r="AY310" s="96"/>
      <c r="AZ310" s="96"/>
      <c r="BA310" s="96"/>
      <c r="BB310" s="96"/>
      <c r="BC310" s="96"/>
      <c r="BD310" s="96"/>
      <c r="BE310" s="96"/>
      <c r="BF310" s="96"/>
      <c r="BG310" s="96"/>
      <c r="BH310" s="96"/>
      <c r="BI310" s="96"/>
      <c r="BJ310" s="96"/>
      <c r="BK310" s="96"/>
    </row>
    <row r="311" ht="15.75" customHeight="1">
      <c r="A311" s="188"/>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c r="AA311" s="96"/>
      <c r="AB311" s="96"/>
      <c r="AC311" s="96"/>
      <c r="AD311" s="96"/>
      <c r="AE311" s="96"/>
      <c r="AF311" s="96"/>
      <c r="AG311" s="96"/>
      <c r="AH311" s="96"/>
      <c r="AI311" s="96"/>
      <c r="AJ311" s="96"/>
      <c r="AK311" s="96"/>
      <c r="AL311" s="96"/>
      <c r="AM311" s="96"/>
      <c r="AN311" s="96"/>
      <c r="AO311" s="96"/>
      <c r="AP311" s="96"/>
      <c r="AQ311" s="96"/>
      <c r="AR311" s="96"/>
      <c r="AS311" s="96"/>
      <c r="AT311" s="96"/>
      <c r="AU311" s="96"/>
      <c r="AV311" s="96"/>
      <c r="AW311" s="96"/>
      <c r="AX311" s="96"/>
      <c r="AY311" s="96"/>
      <c r="AZ311" s="96"/>
      <c r="BA311" s="96"/>
      <c r="BB311" s="96"/>
      <c r="BC311" s="96"/>
      <c r="BD311" s="96"/>
      <c r="BE311" s="96"/>
      <c r="BF311" s="96"/>
      <c r="BG311" s="96"/>
      <c r="BH311" s="96"/>
      <c r="BI311" s="96"/>
      <c r="BJ311" s="96"/>
      <c r="BK311" s="96"/>
    </row>
    <row r="312" ht="15.75" customHeight="1">
      <c r="A312" s="188"/>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c r="AA312" s="96"/>
      <c r="AB312" s="96"/>
      <c r="AC312" s="96"/>
      <c r="AD312" s="96"/>
      <c r="AE312" s="96"/>
      <c r="AF312" s="96"/>
      <c r="AG312" s="96"/>
      <c r="AH312" s="96"/>
      <c r="AI312" s="96"/>
      <c r="AJ312" s="96"/>
      <c r="AK312" s="96"/>
      <c r="AL312" s="96"/>
      <c r="AM312" s="96"/>
      <c r="AN312" s="96"/>
      <c r="AO312" s="96"/>
      <c r="AP312" s="96"/>
      <c r="AQ312" s="96"/>
      <c r="AR312" s="96"/>
      <c r="AS312" s="96"/>
      <c r="AT312" s="96"/>
      <c r="AU312" s="96"/>
      <c r="AV312" s="96"/>
      <c r="AW312" s="96"/>
      <c r="AX312" s="96"/>
      <c r="AY312" s="96"/>
      <c r="AZ312" s="96"/>
      <c r="BA312" s="96"/>
      <c r="BB312" s="96"/>
      <c r="BC312" s="96"/>
      <c r="BD312" s="96"/>
      <c r="BE312" s="96"/>
      <c r="BF312" s="96"/>
      <c r="BG312" s="96"/>
      <c r="BH312" s="96"/>
      <c r="BI312" s="96"/>
      <c r="BJ312" s="96"/>
      <c r="BK312" s="96"/>
    </row>
    <row r="313" ht="15.75" customHeight="1">
      <c r="A313" s="188"/>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c r="AA313" s="96"/>
      <c r="AB313" s="96"/>
      <c r="AC313" s="96"/>
      <c r="AD313" s="96"/>
      <c r="AE313" s="96"/>
      <c r="AF313" s="96"/>
      <c r="AG313" s="96"/>
      <c r="AH313" s="96"/>
      <c r="AI313" s="96"/>
      <c r="AJ313" s="96"/>
      <c r="AK313" s="96"/>
      <c r="AL313" s="96"/>
      <c r="AM313" s="96"/>
      <c r="AN313" s="96"/>
      <c r="AO313" s="96"/>
      <c r="AP313" s="96"/>
      <c r="AQ313" s="96"/>
      <c r="AR313" s="96"/>
      <c r="AS313" s="96"/>
      <c r="AT313" s="96"/>
      <c r="AU313" s="96"/>
      <c r="AV313" s="96"/>
      <c r="AW313" s="96"/>
      <c r="AX313" s="96"/>
      <c r="AY313" s="96"/>
      <c r="AZ313" s="96"/>
      <c r="BA313" s="96"/>
      <c r="BB313" s="96"/>
      <c r="BC313" s="96"/>
      <c r="BD313" s="96"/>
      <c r="BE313" s="96"/>
      <c r="BF313" s="96"/>
      <c r="BG313" s="96"/>
      <c r="BH313" s="96"/>
      <c r="BI313" s="96"/>
      <c r="BJ313" s="96"/>
      <c r="BK313" s="96"/>
    </row>
    <row r="314" ht="15.75" customHeight="1">
      <c r="A314" s="188"/>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c r="AA314" s="96"/>
      <c r="AB314" s="96"/>
      <c r="AC314" s="96"/>
      <c r="AD314" s="96"/>
      <c r="AE314" s="96"/>
      <c r="AF314" s="96"/>
      <c r="AG314" s="96"/>
      <c r="AH314" s="96"/>
      <c r="AI314" s="96"/>
      <c r="AJ314" s="96"/>
      <c r="AK314" s="96"/>
      <c r="AL314" s="96"/>
      <c r="AM314" s="96"/>
      <c r="AN314" s="96"/>
      <c r="AO314" s="96"/>
      <c r="AP314" s="96"/>
      <c r="AQ314" s="96"/>
      <c r="AR314" s="96"/>
      <c r="AS314" s="96"/>
      <c r="AT314" s="96"/>
      <c r="AU314" s="96"/>
      <c r="AV314" s="96"/>
      <c r="AW314" s="96"/>
      <c r="AX314" s="96"/>
      <c r="AY314" s="96"/>
      <c r="AZ314" s="96"/>
      <c r="BA314" s="96"/>
      <c r="BB314" s="96"/>
      <c r="BC314" s="96"/>
      <c r="BD314" s="96"/>
      <c r="BE314" s="96"/>
      <c r="BF314" s="96"/>
      <c r="BG314" s="96"/>
      <c r="BH314" s="96"/>
      <c r="BI314" s="96"/>
      <c r="BJ314" s="96"/>
      <c r="BK314" s="96"/>
    </row>
    <row r="315" ht="15.75" customHeight="1">
      <c r="A315" s="188"/>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c r="AA315" s="96"/>
      <c r="AB315" s="96"/>
      <c r="AC315" s="96"/>
      <c r="AD315" s="96"/>
      <c r="AE315" s="96"/>
      <c r="AF315" s="96"/>
      <c r="AG315" s="96"/>
      <c r="AH315" s="96"/>
      <c r="AI315" s="96"/>
      <c r="AJ315" s="96"/>
      <c r="AK315" s="96"/>
      <c r="AL315" s="96"/>
      <c r="AM315" s="96"/>
      <c r="AN315" s="96"/>
      <c r="AO315" s="96"/>
      <c r="AP315" s="96"/>
      <c r="AQ315" s="96"/>
      <c r="AR315" s="96"/>
      <c r="AS315" s="96"/>
      <c r="AT315" s="96"/>
      <c r="AU315" s="96"/>
      <c r="AV315" s="96"/>
      <c r="AW315" s="96"/>
      <c r="AX315" s="96"/>
      <c r="AY315" s="96"/>
      <c r="AZ315" s="96"/>
      <c r="BA315" s="96"/>
      <c r="BB315" s="96"/>
      <c r="BC315" s="96"/>
      <c r="BD315" s="96"/>
      <c r="BE315" s="96"/>
      <c r="BF315" s="96"/>
      <c r="BG315" s="96"/>
      <c r="BH315" s="96"/>
      <c r="BI315" s="96"/>
      <c r="BJ315" s="96"/>
      <c r="BK315" s="96"/>
    </row>
    <row r="316" ht="15.75" customHeight="1">
      <c r="A316" s="188"/>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c r="AA316" s="96"/>
      <c r="AB316" s="96"/>
      <c r="AC316" s="96"/>
      <c r="AD316" s="96"/>
      <c r="AE316" s="96"/>
      <c r="AF316" s="96"/>
      <c r="AG316" s="96"/>
      <c r="AH316" s="96"/>
      <c r="AI316" s="96"/>
      <c r="AJ316" s="96"/>
      <c r="AK316" s="96"/>
      <c r="AL316" s="96"/>
      <c r="AM316" s="96"/>
      <c r="AN316" s="96"/>
      <c r="AO316" s="96"/>
      <c r="AP316" s="96"/>
      <c r="AQ316" s="96"/>
      <c r="AR316" s="96"/>
      <c r="AS316" s="96"/>
      <c r="AT316" s="96"/>
      <c r="AU316" s="96"/>
      <c r="AV316" s="96"/>
      <c r="AW316" s="96"/>
      <c r="AX316" s="96"/>
      <c r="AY316" s="96"/>
      <c r="AZ316" s="96"/>
      <c r="BA316" s="96"/>
      <c r="BB316" s="96"/>
      <c r="BC316" s="96"/>
      <c r="BD316" s="96"/>
      <c r="BE316" s="96"/>
      <c r="BF316" s="96"/>
      <c r="BG316" s="96"/>
      <c r="BH316" s="96"/>
      <c r="BI316" s="96"/>
      <c r="BJ316" s="96"/>
      <c r="BK316" s="96"/>
    </row>
    <row r="317" ht="15.75" customHeight="1">
      <c r="A317" s="188"/>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c r="AA317" s="96"/>
      <c r="AB317" s="96"/>
      <c r="AC317" s="96"/>
      <c r="AD317" s="96"/>
      <c r="AE317" s="96"/>
      <c r="AF317" s="96"/>
      <c r="AG317" s="96"/>
      <c r="AH317" s="96"/>
      <c r="AI317" s="96"/>
      <c r="AJ317" s="96"/>
      <c r="AK317" s="96"/>
      <c r="AL317" s="96"/>
      <c r="AM317" s="96"/>
      <c r="AN317" s="96"/>
      <c r="AO317" s="96"/>
      <c r="AP317" s="96"/>
      <c r="AQ317" s="96"/>
      <c r="AR317" s="96"/>
      <c r="AS317" s="96"/>
      <c r="AT317" s="96"/>
      <c r="AU317" s="96"/>
      <c r="AV317" s="96"/>
      <c r="AW317" s="96"/>
      <c r="AX317" s="96"/>
      <c r="AY317" s="96"/>
      <c r="AZ317" s="96"/>
      <c r="BA317" s="96"/>
      <c r="BB317" s="96"/>
      <c r="BC317" s="96"/>
      <c r="BD317" s="96"/>
      <c r="BE317" s="96"/>
      <c r="BF317" s="96"/>
      <c r="BG317" s="96"/>
      <c r="BH317" s="96"/>
      <c r="BI317" s="96"/>
      <c r="BJ317" s="96"/>
      <c r="BK317" s="96"/>
    </row>
    <row r="318" ht="15.75" customHeight="1">
      <c r="A318" s="188"/>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c r="AA318" s="96"/>
      <c r="AB318" s="96"/>
      <c r="AC318" s="96"/>
      <c r="AD318" s="96"/>
      <c r="AE318" s="96"/>
      <c r="AF318" s="96"/>
      <c r="AG318" s="96"/>
      <c r="AH318" s="96"/>
      <c r="AI318" s="96"/>
      <c r="AJ318" s="96"/>
      <c r="AK318" s="96"/>
      <c r="AL318" s="96"/>
      <c r="AM318" s="96"/>
      <c r="AN318" s="96"/>
      <c r="AO318" s="96"/>
      <c r="AP318" s="96"/>
      <c r="AQ318" s="96"/>
      <c r="AR318" s="96"/>
      <c r="AS318" s="96"/>
      <c r="AT318" s="96"/>
      <c r="AU318" s="96"/>
      <c r="AV318" s="96"/>
      <c r="AW318" s="96"/>
      <c r="AX318" s="96"/>
      <c r="AY318" s="96"/>
      <c r="AZ318" s="96"/>
      <c r="BA318" s="96"/>
      <c r="BB318" s="96"/>
      <c r="BC318" s="96"/>
      <c r="BD318" s="96"/>
      <c r="BE318" s="96"/>
      <c r="BF318" s="96"/>
      <c r="BG318" s="96"/>
      <c r="BH318" s="96"/>
      <c r="BI318" s="96"/>
      <c r="BJ318" s="96"/>
      <c r="BK318" s="96"/>
    </row>
    <row r="319" ht="15.75" customHeight="1">
      <c r="A319" s="188"/>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c r="AA319" s="96"/>
      <c r="AB319" s="96"/>
      <c r="AC319" s="96"/>
      <c r="AD319" s="96"/>
      <c r="AE319" s="96"/>
      <c r="AF319" s="96"/>
      <c r="AG319" s="96"/>
      <c r="AH319" s="96"/>
      <c r="AI319" s="96"/>
      <c r="AJ319" s="96"/>
      <c r="AK319" s="96"/>
      <c r="AL319" s="96"/>
      <c r="AM319" s="96"/>
      <c r="AN319" s="96"/>
      <c r="AO319" s="96"/>
      <c r="AP319" s="96"/>
      <c r="AQ319" s="96"/>
      <c r="AR319" s="96"/>
      <c r="AS319" s="96"/>
      <c r="AT319" s="96"/>
      <c r="AU319" s="96"/>
      <c r="AV319" s="96"/>
      <c r="AW319" s="96"/>
      <c r="AX319" s="96"/>
      <c r="AY319" s="96"/>
      <c r="AZ319" s="96"/>
      <c r="BA319" s="96"/>
      <c r="BB319" s="96"/>
      <c r="BC319" s="96"/>
      <c r="BD319" s="96"/>
      <c r="BE319" s="96"/>
      <c r="BF319" s="96"/>
      <c r="BG319" s="96"/>
      <c r="BH319" s="96"/>
      <c r="BI319" s="96"/>
      <c r="BJ319" s="96"/>
      <c r="BK319" s="96"/>
    </row>
    <row r="320" ht="15.75" customHeight="1">
      <c r="A320" s="188"/>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c r="AA320" s="96"/>
      <c r="AB320" s="96"/>
      <c r="AC320" s="96"/>
      <c r="AD320" s="96"/>
      <c r="AE320" s="96"/>
      <c r="AF320" s="96"/>
      <c r="AG320" s="96"/>
      <c r="AH320" s="96"/>
      <c r="AI320" s="96"/>
      <c r="AJ320" s="96"/>
      <c r="AK320" s="96"/>
      <c r="AL320" s="96"/>
      <c r="AM320" s="96"/>
      <c r="AN320" s="96"/>
      <c r="AO320" s="96"/>
      <c r="AP320" s="96"/>
      <c r="AQ320" s="96"/>
      <c r="AR320" s="96"/>
      <c r="AS320" s="96"/>
      <c r="AT320" s="96"/>
      <c r="AU320" s="96"/>
      <c r="AV320" s="96"/>
      <c r="AW320" s="96"/>
      <c r="AX320" s="96"/>
      <c r="AY320" s="96"/>
      <c r="AZ320" s="96"/>
      <c r="BA320" s="96"/>
      <c r="BB320" s="96"/>
      <c r="BC320" s="96"/>
      <c r="BD320" s="96"/>
      <c r="BE320" s="96"/>
      <c r="BF320" s="96"/>
      <c r="BG320" s="96"/>
      <c r="BH320" s="96"/>
      <c r="BI320" s="96"/>
      <c r="BJ320" s="96"/>
      <c r="BK320" s="96"/>
    </row>
    <row r="321" ht="15.75" customHeight="1">
      <c r="A321" s="188"/>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c r="AA321" s="96"/>
      <c r="AB321" s="96"/>
      <c r="AC321" s="96"/>
      <c r="AD321" s="96"/>
      <c r="AE321" s="96"/>
      <c r="AF321" s="96"/>
      <c r="AG321" s="96"/>
      <c r="AH321" s="96"/>
      <c r="AI321" s="96"/>
      <c r="AJ321" s="96"/>
      <c r="AK321" s="96"/>
      <c r="AL321" s="96"/>
      <c r="AM321" s="96"/>
      <c r="AN321" s="96"/>
      <c r="AO321" s="96"/>
      <c r="AP321" s="96"/>
      <c r="AQ321" s="96"/>
      <c r="AR321" s="96"/>
      <c r="AS321" s="96"/>
      <c r="AT321" s="96"/>
      <c r="AU321" s="96"/>
      <c r="AV321" s="96"/>
      <c r="AW321" s="96"/>
      <c r="AX321" s="96"/>
      <c r="AY321" s="96"/>
      <c r="AZ321" s="96"/>
      <c r="BA321" s="96"/>
      <c r="BB321" s="96"/>
      <c r="BC321" s="96"/>
      <c r="BD321" s="96"/>
      <c r="BE321" s="96"/>
      <c r="BF321" s="96"/>
      <c r="BG321" s="96"/>
      <c r="BH321" s="96"/>
      <c r="BI321" s="96"/>
      <c r="BJ321" s="96"/>
      <c r="BK321" s="96"/>
    </row>
    <row r="322" ht="15.75" customHeight="1">
      <c r="A322" s="188"/>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c r="AA322" s="96"/>
      <c r="AB322" s="96"/>
      <c r="AC322" s="96"/>
      <c r="AD322" s="96"/>
      <c r="AE322" s="96"/>
      <c r="AF322" s="96"/>
      <c r="AG322" s="96"/>
      <c r="AH322" s="96"/>
      <c r="AI322" s="96"/>
      <c r="AJ322" s="96"/>
      <c r="AK322" s="96"/>
      <c r="AL322" s="96"/>
      <c r="AM322" s="96"/>
      <c r="AN322" s="96"/>
      <c r="AO322" s="96"/>
      <c r="AP322" s="96"/>
      <c r="AQ322" s="96"/>
      <c r="AR322" s="96"/>
      <c r="AS322" s="96"/>
      <c r="AT322" s="96"/>
      <c r="AU322" s="96"/>
      <c r="AV322" s="96"/>
      <c r="AW322" s="96"/>
      <c r="AX322" s="96"/>
      <c r="AY322" s="96"/>
      <c r="AZ322" s="96"/>
      <c r="BA322" s="96"/>
      <c r="BB322" s="96"/>
      <c r="BC322" s="96"/>
      <c r="BD322" s="96"/>
      <c r="BE322" s="96"/>
      <c r="BF322" s="96"/>
      <c r="BG322" s="96"/>
      <c r="BH322" s="96"/>
      <c r="BI322" s="96"/>
      <c r="BJ322" s="96"/>
      <c r="BK322" s="96"/>
    </row>
    <row r="323" ht="15.75" customHeight="1">
      <c r="A323" s="188"/>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c r="AA323" s="93"/>
      <c r="AB323" s="93"/>
      <c r="AC323" s="93"/>
      <c r="AD323" s="93"/>
      <c r="AE323" s="93"/>
      <c r="AF323" s="93"/>
      <c r="AG323" s="93"/>
      <c r="AH323" s="93"/>
      <c r="AI323" s="93"/>
      <c r="AJ323" s="93"/>
      <c r="AK323" s="93"/>
      <c r="AL323" s="93"/>
      <c r="AM323" s="93"/>
      <c r="AN323" s="93"/>
      <c r="AO323" s="93"/>
      <c r="AP323" s="93"/>
      <c r="AQ323" s="93"/>
      <c r="AR323" s="93"/>
      <c r="AS323" s="93"/>
      <c r="AT323" s="93"/>
      <c r="AU323" s="93"/>
      <c r="AV323" s="93"/>
      <c r="AW323" s="93"/>
      <c r="AX323" s="93"/>
      <c r="AY323" s="93"/>
      <c r="AZ323" s="93"/>
      <c r="BA323" s="93"/>
      <c r="BB323" s="93"/>
      <c r="BC323" s="93"/>
      <c r="BD323" s="93"/>
      <c r="BE323" s="93"/>
      <c r="BF323" s="93"/>
      <c r="BG323" s="93"/>
      <c r="BH323" s="93"/>
      <c r="BI323" s="93"/>
      <c r="BJ323" s="93"/>
      <c r="BK323" s="93"/>
    </row>
    <row r="324" ht="15.75" customHeight="1">
      <c r="A324" s="188"/>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c r="AA324" s="93"/>
      <c r="AB324" s="93"/>
      <c r="AC324" s="93"/>
      <c r="AD324" s="93"/>
      <c r="AE324" s="93"/>
      <c r="AF324" s="93"/>
      <c r="AG324" s="93"/>
      <c r="AH324" s="93"/>
      <c r="AI324" s="93"/>
      <c r="AJ324" s="93"/>
      <c r="AK324" s="93"/>
      <c r="AL324" s="93"/>
      <c r="AM324" s="93"/>
      <c r="AN324" s="93"/>
      <c r="AO324" s="93"/>
      <c r="AP324" s="93"/>
      <c r="AQ324" s="93"/>
      <c r="AR324" s="93"/>
      <c r="AS324" s="93"/>
      <c r="AT324" s="93"/>
      <c r="AU324" s="93"/>
      <c r="AV324" s="93"/>
      <c r="AW324" s="93"/>
      <c r="AX324" s="93"/>
      <c r="AY324" s="93"/>
      <c r="AZ324" s="93"/>
      <c r="BA324" s="93"/>
      <c r="BB324" s="93"/>
      <c r="BC324" s="93"/>
      <c r="BD324" s="93"/>
      <c r="BE324" s="93"/>
      <c r="BF324" s="93"/>
      <c r="BG324" s="93"/>
      <c r="BH324" s="93"/>
      <c r="BI324" s="93"/>
      <c r="BJ324" s="93"/>
      <c r="BK324" s="93"/>
    </row>
    <row r="325" ht="15.75" customHeight="1">
      <c r="A325" s="188"/>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c r="AA325" s="93"/>
      <c r="AB325" s="93"/>
      <c r="AC325" s="93"/>
      <c r="AD325" s="93"/>
      <c r="AE325" s="93"/>
      <c r="AF325" s="93"/>
      <c r="AG325" s="93"/>
      <c r="AH325" s="93"/>
      <c r="AI325" s="93"/>
      <c r="AJ325" s="93"/>
      <c r="AK325" s="93"/>
      <c r="AL325" s="93"/>
      <c r="AM325" s="93"/>
      <c r="AN325" s="93"/>
      <c r="AO325" s="93"/>
      <c r="AP325" s="93"/>
      <c r="AQ325" s="93"/>
      <c r="AR325" s="93"/>
      <c r="AS325" s="93"/>
      <c r="AT325" s="93"/>
      <c r="AU325" s="93"/>
      <c r="AV325" s="93"/>
      <c r="AW325" s="93"/>
      <c r="AX325" s="93"/>
      <c r="AY325" s="93"/>
      <c r="AZ325" s="93"/>
      <c r="BA325" s="93"/>
      <c r="BB325" s="93"/>
      <c r="BC325" s="93"/>
      <c r="BD325" s="93"/>
      <c r="BE325" s="93"/>
      <c r="BF325" s="93"/>
      <c r="BG325" s="93"/>
      <c r="BH325" s="93"/>
      <c r="BI325" s="93"/>
      <c r="BJ325" s="93"/>
      <c r="BK325" s="93"/>
    </row>
    <row r="326" ht="15.75" customHeight="1">
      <c r="A326" s="188"/>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c r="AA326" s="93"/>
      <c r="AB326" s="93"/>
      <c r="AC326" s="93"/>
      <c r="AD326" s="93"/>
      <c r="AE326" s="93"/>
      <c r="AF326" s="93"/>
      <c r="AG326" s="93"/>
      <c r="AH326" s="93"/>
      <c r="AI326" s="93"/>
      <c r="AJ326" s="93"/>
      <c r="AK326" s="93"/>
      <c r="AL326" s="93"/>
      <c r="AM326" s="93"/>
      <c r="AN326" s="93"/>
      <c r="AO326" s="93"/>
      <c r="AP326" s="93"/>
      <c r="AQ326" s="93"/>
      <c r="AR326" s="93"/>
      <c r="AS326" s="93"/>
      <c r="AT326" s="93"/>
      <c r="AU326" s="93"/>
      <c r="AV326" s="93"/>
      <c r="AW326" s="93"/>
      <c r="AX326" s="93"/>
      <c r="AY326" s="93"/>
      <c r="AZ326" s="93"/>
      <c r="BA326" s="93"/>
      <c r="BB326" s="93"/>
      <c r="BC326" s="93"/>
      <c r="BD326" s="93"/>
      <c r="BE326" s="93"/>
      <c r="BF326" s="93"/>
      <c r="BG326" s="93"/>
      <c r="BH326" s="93"/>
      <c r="BI326" s="93"/>
      <c r="BJ326" s="93"/>
      <c r="BK326" s="93"/>
    </row>
    <row r="327" ht="15.75" customHeight="1">
      <c r="A327" s="188"/>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c r="AA327" s="93"/>
      <c r="AB327" s="93"/>
      <c r="AC327" s="93"/>
      <c r="AD327" s="93"/>
      <c r="AE327" s="93"/>
      <c r="AF327" s="93"/>
      <c r="AG327" s="93"/>
      <c r="AH327" s="93"/>
      <c r="AI327" s="93"/>
      <c r="AJ327" s="93"/>
      <c r="AK327" s="93"/>
      <c r="AL327" s="93"/>
      <c r="AM327" s="93"/>
      <c r="AN327" s="93"/>
      <c r="AO327" s="93"/>
      <c r="AP327" s="93"/>
      <c r="AQ327" s="93"/>
      <c r="AR327" s="93"/>
      <c r="AS327" s="93"/>
      <c r="AT327" s="93"/>
      <c r="AU327" s="93"/>
      <c r="AV327" s="93"/>
      <c r="AW327" s="93"/>
      <c r="AX327" s="93"/>
      <c r="AY327" s="93"/>
      <c r="AZ327" s="93"/>
      <c r="BA327" s="93"/>
      <c r="BB327" s="93"/>
      <c r="BC327" s="93"/>
      <c r="BD327" s="93"/>
      <c r="BE327" s="93"/>
      <c r="BF327" s="93"/>
      <c r="BG327" s="93"/>
      <c r="BH327" s="93"/>
      <c r="BI327" s="93"/>
      <c r="BJ327" s="93"/>
      <c r="BK327" s="93"/>
    </row>
    <row r="328" ht="15.75" customHeight="1">
      <c r="A328" s="188"/>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c r="AA328" s="93"/>
      <c r="AB328" s="93"/>
      <c r="AC328" s="93"/>
      <c r="AD328" s="93"/>
      <c r="AE328" s="93"/>
      <c r="AF328" s="93"/>
      <c r="AG328" s="93"/>
      <c r="AH328" s="93"/>
      <c r="AI328" s="93"/>
      <c r="AJ328" s="93"/>
      <c r="AK328" s="93"/>
      <c r="AL328" s="93"/>
      <c r="AM328" s="93"/>
      <c r="AN328" s="93"/>
      <c r="AO328" s="93"/>
      <c r="AP328" s="93"/>
      <c r="AQ328" s="93"/>
      <c r="AR328" s="93"/>
      <c r="AS328" s="93"/>
      <c r="AT328" s="93"/>
      <c r="AU328" s="93"/>
      <c r="AV328" s="93"/>
      <c r="AW328" s="93"/>
      <c r="AX328" s="93"/>
      <c r="AY328" s="93"/>
      <c r="AZ328" s="93"/>
      <c r="BA328" s="93"/>
      <c r="BB328" s="93"/>
      <c r="BC328" s="93"/>
      <c r="BD328" s="93"/>
      <c r="BE328" s="93"/>
      <c r="BF328" s="93"/>
      <c r="BG328" s="93"/>
      <c r="BH328" s="93"/>
      <c r="BI328" s="93"/>
      <c r="BJ328" s="93"/>
      <c r="BK328" s="93"/>
    </row>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pageSetUpPr/>
  </sheetPr>
  <sheetViews>
    <sheetView showGridLines="0" workbookViewId="0"/>
  </sheetViews>
  <sheetFormatPr customHeight="1" defaultColWidth="12.63" defaultRowHeight="15.0"/>
  <cols>
    <col customWidth="1" min="1" max="1" width="43.38"/>
    <col customWidth="1" min="2" max="37" width="14.38"/>
  </cols>
  <sheetData>
    <row r="1" ht="15.75" customHeight="1">
      <c r="A1" s="208" t="s">
        <v>436</v>
      </c>
      <c r="B1" s="209" t="str">
        <f t="shared" ref="B1:AC1" si="1">"PnL_"&amp;TEXT(B5,"mmm")&amp;"_"&amp;TEXT(B5,"yyyy")</f>
        <v>PnL_Jan_2018</v>
      </c>
      <c r="C1" s="209" t="str">
        <f t="shared" si="1"/>
        <v>PnL_Feb_2018</v>
      </c>
      <c r="D1" s="209" t="str">
        <f t="shared" si="1"/>
        <v>PnL_Mar_2018</v>
      </c>
      <c r="E1" s="209" t="str">
        <f t="shared" si="1"/>
        <v>PnL_Apr_2018</v>
      </c>
      <c r="F1" s="209" t="str">
        <f t="shared" si="1"/>
        <v>PnL_May_2018</v>
      </c>
      <c r="G1" s="209" t="str">
        <f t="shared" si="1"/>
        <v>PnL_Jun_2018</v>
      </c>
      <c r="H1" s="209" t="str">
        <f t="shared" si="1"/>
        <v>PnL_Jul_2018</v>
      </c>
      <c r="I1" s="209" t="str">
        <f t="shared" si="1"/>
        <v>PnL_Aug_2018</v>
      </c>
      <c r="J1" s="209" t="str">
        <f t="shared" si="1"/>
        <v>PnL_Sep_2018</v>
      </c>
      <c r="K1" s="209" t="str">
        <f t="shared" si="1"/>
        <v>PnL_Oct_2018</v>
      </c>
      <c r="L1" s="209" t="str">
        <f t="shared" si="1"/>
        <v>PnL_Nov_2018</v>
      </c>
      <c r="M1" s="209" t="str">
        <f t="shared" si="1"/>
        <v>PnL_Dec_2018</v>
      </c>
      <c r="N1" s="209" t="str">
        <f t="shared" si="1"/>
        <v>PnL_Jan_2019</v>
      </c>
      <c r="O1" s="209" t="str">
        <f t="shared" si="1"/>
        <v>PnL_Feb_2019</v>
      </c>
      <c r="P1" s="209" t="str">
        <f t="shared" si="1"/>
        <v>PnL_Mar_2019</v>
      </c>
      <c r="Q1" s="209" t="str">
        <f t="shared" si="1"/>
        <v>PnL_Apr_2019</v>
      </c>
      <c r="R1" s="209" t="str">
        <f t="shared" si="1"/>
        <v>PnL_May_2019</v>
      </c>
      <c r="S1" s="209" t="str">
        <f t="shared" si="1"/>
        <v>PnL_Jun_2019</v>
      </c>
      <c r="T1" s="209" t="str">
        <f t="shared" si="1"/>
        <v>PnL_Jul_2019</v>
      </c>
      <c r="U1" s="209" t="str">
        <f t="shared" si="1"/>
        <v>PnL_Aug_2019</v>
      </c>
      <c r="V1" s="209" t="str">
        <f t="shared" si="1"/>
        <v>PnL_Sep_2019</v>
      </c>
      <c r="W1" s="209" t="str">
        <f t="shared" si="1"/>
        <v>PnL_Oct_2019</v>
      </c>
      <c r="X1" s="209" t="str">
        <f t="shared" si="1"/>
        <v>PnL_Nov_2019</v>
      </c>
      <c r="Y1" s="209" t="str">
        <f t="shared" si="1"/>
        <v>PnL_Dec_2019</v>
      </c>
      <c r="Z1" s="209" t="str">
        <f t="shared" si="1"/>
        <v>PnL_Jan_2020</v>
      </c>
      <c r="AA1" s="209" t="str">
        <f t="shared" si="1"/>
        <v>PnL_Feb_2020</v>
      </c>
      <c r="AB1" s="209" t="str">
        <f t="shared" si="1"/>
        <v>PnL_Mar_2020</v>
      </c>
      <c r="AC1" s="209" t="str">
        <f t="shared" si="1"/>
        <v>PnL_Apr_2020</v>
      </c>
      <c r="AD1" s="209"/>
      <c r="AE1" s="209"/>
      <c r="AF1" s="209"/>
      <c r="AG1" s="209"/>
      <c r="AH1" s="209"/>
      <c r="AI1" s="209"/>
      <c r="AJ1" s="209"/>
      <c r="AK1" s="209"/>
    </row>
    <row r="2" ht="15.75" customHeight="1">
      <c r="A2" s="208" t="s">
        <v>437</v>
      </c>
      <c r="B2" s="210"/>
      <c r="C2" s="210"/>
      <c r="D2" s="210"/>
      <c r="E2" s="210"/>
      <c r="F2" s="210"/>
      <c r="G2" s="210"/>
      <c r="H2" s="210"/>
      <c r="I2" s="210"/>
      <c r="J2" s="210"/>
      <c r="K2" s="210"/>
      <c r="L2" s="210"/>
      <c r="M2" s="210"/>
      <c r="N2" s="210"/>
      <c r="O2" s="210"/>
      <c r="P2" s="210"/>
      <c r="Q2" s="210"/>
      <c r="R2" s="210"/>
      <c r="S2" s="210"/>
      <c r="T2" s="210"/>
      <c r="U2" s="210"/>
      <c r="V2" s="210"/>
      <c r="W2" s="210"/>
    </row>
    <row r="3" ht="15.75" customHeight="1">
      <c r="A3" s="211" t="s">
        <v>438</v>
      </c>
      <c r="B3" s="212"/>
      <c r="C3" s="212"/>
      <c r="D3" s="212"/>
      <c r="E3" s="212"/>
      <c r="F3" s="212"/>
      <c r="G3" s="212"/>
      <c r="H3" s="212"/>
      <c r="I3" s="212"/>
      <c r="J3" s="212"/>
      <c r="K3" s="212"/>
      <c r="L3" s="212"/>
      <c r="M3" s="212"/>
      <c r="N3" s="212"/>
      <c r="O3" s="212"/>
      <c r="P3" s="212"/>
      <c r="Q3" s="212"/>
      <c r="R3" s="212"/>
      <c r="S3" s="212"/>
      <c r="T3" s="212"/>
      <c r="U3" s="212"/>
      <c r="V3" s="212"/>
      <c r="W3" s="212"/>
    </row>
    <row r="4" ht="15.75" customHeight="1">
      <c r="A4" s="213"/>
      <c r="B4" s="213"/>
      <c r="C4" s="213"/>
      <c r="D4" s="213"/>
      <c r="E4" s="213"/>
      <c r="F4" s="213"/>
      <c r="G4" s="213"/>
      <c r="H4" s="213"/>
      <c r="I4" s="213"/>
      <c r="J4" s="213"/>
      <c r="K4" s="213"/>
      <c r="L4" s="213"/>
      <c r="M4" s="213"/>
      <c r="N4" s="213"/>
      <c r="O4" s="213"/>
      <c r="P4" s="213"/>
      <c r="Q4" s="213"/>
      <c r="R4" s="213"/>
      <c r="S4" s="213"/>
      <c r="T4" s="213"/>
      <c r="U4" s="213"/>
      <c r="V4" s="213"/>
      <c r="W4" s="213"/>
    </row>
    <row r="5" ht="15.75" customHeight="1">
      <c r="A5" s="213"/>
      <c r="B5" s="214">
        <v>43101.0</v>
      </c>
      <c r="C5" s="214">
        <v>43132.0</v>
      </c>
      <c r="D5" s="214">
        <v>43160.0</v>
      </c>
      <c r="E5" s="214">
        <v>43191.0</v>
      </c>
      <c r="F5" s="215">
        <v>43221.0</v>
      </c>
      <c r="G5" s="214">
        <v>43252.0</v>
      </c>
      <c r="H5" s="214">
        <v>43282.0</v>
      </c>
      <c r="I5" s="214">
        <v>43313.0</v>
      </c>
      <c r="J5" s="214">
        <v>43344.0</v>
      </c>
      <c r="K5" s="214">
        <v>43374.0</v>
      </c>
      <c r="L5" s="214">
        <v>43405.0</v>
      </c>
      <c r="M5" s="214">
        <v>43435.0</v>
      </c>
      <c r="N5" s="214">
        <v>43466.0</v>
      </c>
      <c r="O5" s="214">
        <v>43497.0</v>
      </c>
      <c r="P5" s="214">
        <v>43525.0</v>
      </c>
      <c r="Q5" s="214">
        <v>43556.0</v>
      </c>
      <c r="R5" s="215">
        <v>43586.0</v>
      </c>
      <c r="S5" s="214">
        <v>43617.0</v>
      </c>
      <c r="T5" s="214">
        <v>43647.0</v>
      </c>
      <c r="U5" s="214">
        <v>43678.0</v>
      </c>
      <c r="V5" s="214">
        <v>43709.0</v>
      </c>
      <c r="W5" s="214">
        <v>43739.0</v>
      </c>
      <c r="X5" s="214">
        <v>43770.0</v>
      </c>
      <c r="Y5" s="214">
        <v>43800.0</v>
      </c>
      <c r="Z5" s="214">
        <v>43831.0</v>
      </c>
      <c r="AA5" s="214">
        <v>43862.0</v>
      </c>
      <c r="AB5" s="214">
        <v>43891.0</v>
      </c>
      <c r="AC5" s="214">
        <v>43922.0</v>
      </c>
    </row>
    <row r="6" ht="15.75" customHeight="1">
      <c r="A6" s="216" t="s">
        <v>241</v>
      </c>
      <c r="B6" s="217"/>
      <c r="C6" s="217"/>
      <c r="D6" s="217"/>
      <c r="E6" s="217"/>
      <c r="F6" s="217"/>
      <c r="G6" s="217"/>
      <c r="H6" s="217"/>
      <c r="I6" s="217"/>
      <c r="J6" s="217"/>
      <c r="K6" s="217"/>
      <c r="L6" s="217"/>
      <c r="M6" s="217"/>
      <c r="N6" s="217"/>
      <c r="O6" s="217"/>
      <c r="P6" s="217"/>
      <c r="Q6" s="217"/>
      <c r="R6" s="217"/>
      <c r="S6" s="217"/>
      <c r="T6" s="217"/>
      <c r="U6" s="217"/>
      <c r="V6" s="217"/>
      <c r="W6" s="217"/>
      <c r="X6" s="217"/>
      <c r="Y6" s="217"/>
      <c r="Z6" s="217"/>
      <c r="AA6" s="217"/>
      <c r="AB6" s="217"/>
      <c r="AC6" s="217"/>
    </row>
    <row r="7" ht="15.75" customHeight="1">
      <c r="A7" s="216" t="s">
        <v>439</v>
      </c>
      <c r="B7" s="218">
        <v>303373.0</v>
      </c>
      <c r="C7" s="218">
        <v>321057.0</v>
      </c>
      <c r="D7" s="218">
        <v>340521.0</v>
      </c>
      <c r="E7" s="218">
        <v>360770.0</v>
      </c>
      <c r="F7" s="218">
        <v>386024.0</v>
      </c>
      <c r="G7" s="218">
        <v>401465.0</v>
      </c>
      <c r="H7" s="218">
        <v>424939.0</v>
      </c>
      <c r="I7" s="218">
        <v>438925.0</v>
      </c>
      <c r="J7" s="218">
        <v>452768.0</v>
      </c>
      <c r="K7" s="218">
        <v>465957.0</v>
      </c>
      <c r="L7" s="218">
        <v>479118.0</v>
      </c>
      <c r="M7" s="218">
        <v>491501.0</v>
      </c>
      <c r="N7" s="218">
        <v>505058.0</v>
      </c>
      <c r="O7" s="218">
        <v>525437.0</v>
      </c>
      <c r="P7" s="218">
        <v>542733.0</v>
      </c>
      <c r="Q7" s="218">
        <v>598887.0</v>
      </c>
      <c r="R7" s="218">
        <v>614053.0</v>
      </c>
      <c r="S7" s="218">
        <v>637488.0</v>
      </c>
      <c r="T7" s="218">
        <v>657516.0</v>
      </c>
      <c r="U7" s="218">
        <v>685483.0</v>
      </c>
      <c r="V7" s="218">
        <v>718774.0</v>
      </c>
      <c r="W7" s="218">
        <v>754542.0</v>
      </c>
      <c r="X7" s="218">
        <v>787554.0</v>
      </c>
      <c r="Y7" s="218">
        <v>808046.0</v>
      </c>
      <c r="Z7" s="218">
        <v>824529.0</v>
      </c>
      <c r="AA7" s="218">
        <v>844626.0</v>
      </c>
      <c r="AB7" s="218">
        <v>819162.19</v>
      </c>
      <c r="AC7" s="218">
        <v>796507.0</v>
      </c>
    </row>
    <row r="8" ht="15.75" customHeight="1">
      <c r="A8" s="216" t="s">
        <v>243</v>
      </c>
      <c r="B8" s="219">
        <v>303373.0</v>
      </c>
      <c r="C8" s="219">
        <v>321057.0</v>
      </c>
      <c r="D8" s="219">
        <v>340521.0</v>
      </c>
      <c r="E8" s="219">
        <v>360770.0</v>
      </c>
      <c r="F8" s="219">
        <v>386024.0</v>
      </c>
      <c r="G8" s="219">
        <v>401465.0</v>
      </c>
      <c r="H8" s="219">
        <v>424939.0</v>
      </c>
      <c r="I8" s="219">
        <v>438925.0</v>
      </c>
      <c r="J8" s="219">
        <v>452768.0</v>
      </c>
      <c r="K8" s="219">
        <v>465957.0</v>
      </c>
      <c r="L8" s="219">
        <v>479118.0</v>
      </c>
      <c r="M8" s="219">
        <v>491501.0</v>
      </c>
      <c r="N8" s="219">
        <v>505058.0</v>
      </c>
      <c r="O8" s="219">
        <v>525437.0</v>
      </c>
      <c r="P8" s="219">
        <v>542733.0</v>
      </c>
      <c r="Q8" s="219">
        <v>598887.0</v>
      </c>
      <c r="R8" s="219">
        <v>614053.0</v>
      </c>
      <c r="S8" s="219">
        <v>637488.0</v>
      </c>
      <c r="T8" s="219">
        <v>657516.0</v>
      </c>
      <c r="U8" s="219">
        <v>685483.0</v>
      </c>
      <c r="V8" s="219">
        <v>718774.0</v>
      </c>
      <c r="W8" s="219">
        <v>754542.0</v>
      </c>
      <c r="X8" s="219">
        <v>787554.0</v>
      </c>
      <c r="Y8" s="219">
        <v>808046.0</v>
      </c>
      <c r="Z8" s="219">
        <v>824529.0</v>
      </c>
      <c r="AA8" s="219">
        <v>844626.0</v>
      </c>
      <c r="AB8" s="219">
        <v>819162.19</v>
      </c>
      <c r="AC8" s="219">
        <v>796507.0</v>
      </c>
    </row>
    <row r="9" ht="15.75" customHeight="1">
      <c r="A9" s="216" t="s">
        <v>440</v>
      </c>
      <c r="B9" s="217"/>
      <c r="C9" s="217"/>
      <c r="D9" s="217"/>
      <c r="E9" s="217"/>
      <c r="F9" s="217"/>
      <c r="G9" s="217"/>
      <c r="H9" s="217"/>
      <c r="I9" s="217"/>
      <c r="J9" s="217"/>
      <c r="K9" s="217"/>
      <c r="L9" s="217"/>
      <c r="M9" s="217"/>
      <c r="N9" s="217"/>
      <c r="O9" s="217"/>
      <c r="P9" s="217"/>
      <c r="Q9" s="217"/>
      <c r="R9" s="217"/>
      <c r="S9" s="217"/>
      <c r="T9" s="217"/>
      <c r="U9" s="217"/>
      <c r="V9" s="217"/>
      <c r="W9" s="217"/>
      <c r="X9" s="217"/>
      <c r="Y9" s="217"/>
      <c r="Z9" s="217"/>
      <c r="AA9" s="217"/>
      <c r="AB9" s="217"/>
      <c r="AC9" s="217"/>
    </row>
    <row r="10" ht="15.75" customHeight="1">
      <c r="A10" s="216" t="s">
        <v>441</v>
      </c>
      <c r="B10" s="217"/>
      <c r="C10" s="217"/>
      <c r="D10" s="217"/>
      <c r="E10" s="217"/>
      <c r="F10" s="217"/>
      <c r="G10" s="217"/>
      <c r="H10" s="217"/>
      <c r="I10" s="217"/>
      <c r="J10" s="217"/>
      <c r="K10" s="217"/>
      <c r="L10" s="217"/>
      <c r="M10" s="217"/>
      <c r="N10" s="217"/>
      <c r="O10" s="217"/>
      <c r="P10" s="217"/>
      <c r="Q10" s="217"/>
      <c r="R10" s="217"/>
      <c r="S10" s="217"/>
      <c r="T10" s="217"/>
      <c r="U10" s="217"/>
      <c r="V10" s="217"/>
      <c r="W10" s="217"/>
      <c r="X10" s="217"/>
      <c r="Y10" s="217"/>
      <c r="Z10" s="217"/>
      <c r="AA10" s="217"/>
      <c r="AB10" s="217"/>
      <c r="AC10" s="217"/>
    </row>
    <row r="11" ht="15.75" customHeight="1">
      <c r="A11" s="216" t="s">
        <v>442</v>
      </c>
      <c r="B11" s="217"/>
      <c r="C11" s="217"/>
      <c r="D11" s="217"/>
      <c r="E11" s="217"/>
      <c r="F11" s="217"/>
      <c r="G11" s="217"/>
      <c r="H11" s="217"/>
      <c r="I11" s="217"/>
      <c r="J11" s="217"/>
      <c r="K11" s="217"/>
      <c r="L11" s="217"/>
      <c r="M11" s="217"/>
      <c r="N11" s="217"/>
      <c r="O11" s="217"/>
      <c r="P11" s="217"/>
      <c r="Q11" s="217"/>
      <c r="R11" s="217"/>
      <c r="S11" s="217"/>
      <c r="T11" s="217"/>
      <c r="U11" s="217"/>
      <c r="V11" s="217"/>
      <c r="W11" s="217"/>
      <c r="X11" s="217"/>
      <c r="Y11" s="217"/>
      <c r="Z11" s="217"/>
      <c r="AA11" s="217"/>
      <c r="AB11" s="217"/>
      <c r="AC11" s="217"/>
    </row>
    <row r="12" ht="15.75" customHeight="1">
      <c r="A12" s="216" t="s">
        <v>443</v>
      </c>
      <c r="B12" s="220">
        <v>985.0</v>
      </c>
      <c r="C12" s="220">
        <v>985.0</v>
      </c>
      <c r="D12" s="220">
        <v>985.0</v>
      </c>
      <c r="E12" s="218">
        <v>1182.0</v>
      </c>
      <c r="F12" s="218">
        <v>1182.0</v>
      </c>
      <c r="G12" s="218">
        <v>1182.0</v>
      </c>
      <c r="H12" s="218">
        <v>1379.0</v>
      </c>
      <c r="I12" s="218">
        <v>1379.0</v>
      </c>
      <c r="J12" s="218">
        <v>1576.0</v>
      </c>
      <c r="K12" s="218">
        <v>1576.0</v>
      </c>
      <c r="L12" s="218">
        <v>1576.0</v>
      </c>
      <c r="M12" s="218">
        <v>1773.0</v>
      </c>
      <c r="N12" s="218">
        <v>1773.0</v>
      </c>
      <c r="O12" s="218">
        <v>1773.0</v>
      </c>
      <c r="P12" s="218">
        <v>1773.0</v>
      </c>
      <c r="Q12" s="218">
        <v>2773.0</v>
      </c>
      <c r="R12" s="218">
        <v>2973.0</v>
      </c>
      <c r="S12" s="218">
        <v>2973.0</v>
      </c>
      <c r="T12" s="218">
        <v>2973.0</v>
      </c>
      <c r="U12" s="218">
        <v>2973.0</v>
      </c>
      <c r="V12" s="218">
        <v>2973.0</v>
      </c>
      <c r="W12" s="218">
        <v>2973.0</v>
      </c>
      <c r="X12" s="218">
        <v>2973.0</v>
      </c>
      <c r="Y12" s="218">
        <v>2973.0</v>
      </c>
      <c r="Z12" s="218">
        <v>2973.0</v>
      </c>
      <c r="AA12" s="218">
        <v>2973.0</v>
      </c>
      <c r="AB12" s="218">
        <v>2973.0</v>
      </c>
      <c r="AC12" s="218">
        <v>2973.0</v>
      </c>
    </row>
    <row r="13" ht="15.75" customHeight="1">
      <c r="A13" s="216" t="s">
        <v>444</v>
      </c>
      <c r="B13" s="218">
        <v>2340.0</v>
      </c>
      <c r="C13" s="218">
        <v>2340.0</v>
      </c>
      <c r="D13" s="218">
        <v>2340.0</v>
      </c>
      <c r="E13" s="218">
        <v>2808.0</v>
      </c>
      <c r="F13" s="218">
        <v>2808.0</v>
      </c>
      <c r="G13" s="218">
        <v>2808.0</v>
      </c>
      <c r="H13" s="218">
        <v>3258.0</v>
      </c>
      <c r="I13" s="218">
        <v>3258.0</v>
      </c>
      <c r="J13" s="218">
        <v>3699.0</v>
      </c>
      <c r="K13" s="218">
        <v>3699.0</v>
      </c>
      <c r="L13" s="218">
        <v>3699.0</v>
      </c>
      <c r="M13" s="218">
        <v>5067.0</v>
      </c>
      <c r="N13" s="218">
        <v>5067.0</v>
      </c>
      <c r="O13" s="218">
        <v>5067.0</v>
      </c>
      <c r="P13" s="218">
        <v>5067.0</v>
      </c>
      <c r="Q13" s="218">
        <v>5067.0</v>
      </c>
      <c r="R13" s="218">
        <v>5567.0</v>
      </c>
      <c r="S13" s="218">
        <v>5567.0</v>
      </c>
      <c r="T13" s="218">
        <v>5567.0</v>
      </c>
      <c r="U13" s="218">
        <v>5567.0</v>
      </c>
      <c r="V13" s="218">
        <v>5567.0</v>
      </c>
      <c r="W13" s="218">
        <v>5567.0</v>
      </c>
      <c r="X13" s="218">
        <v>5567.0</v>
      </c>
      <c r="Y13" s="218">
        <v>5567.0</v>
      </c>
      <c r="Z13" s="218">
        <v>5567.0</v>
      </c>
      <c r="AA13" s="218">
        <v>5567.0</v>
      </c>
      <c r="AB13" s="218">
        <v>5567.0</v>
      </c>
      <c r="AC13" s="218">
        <v>5567.0</v>
      </c>
    </row>
    <row r="14" ht="15.75" customHeight="1">
      <c r="A14" s="216" t="s">
        <v>445</v>
      </c>
      <c r="B14" s="218">
        <v>26000.0</v>
      </c>
      <c r="C14" s="218">
        <v>26000.0</v>
      </c>
      <c r="D14" s="218">
        <v>26000.0</v>
      </c>
      <c r="E14" s="218">
        <v>31200.0</v>
      </c>
      <c r="F14" s="218">
        <v>31200.0</v>
      </c>
      <c r="G14" s="218">
        <v>31200.0</v>
      </c>
      <c r="H14" s="218">
        <v>36200.0</v>
      </c>
      <c r="I14" s="218">
        <v>36200.0</v>
      </c>
      <c r="J14" s="218">
        <v>41100.0</v>
      </c>
      <c r="K14" s="218">
        <v>41100.0</v>
      </c>
      <c r="L14" s="218">
        <v>41100.0</v>
      </c>
      <c r="M14" s="218">
        <v>56300.0</v>
      </c>
      <c r="N14" s="218">
        <v>56300.0</v>
      </c>
      <c r="O14" s="218">
        <v>56500.0</v>
      </c>
      <c r="P14" s="218">
        <v>56500.0</v>
      </c>
      <c r="Q14" s="218">
        <v>56500.0</v>
      </c>
      <c r="R14" s="218">
        <v>59501.0</v>
      </c>
      <c r="S14" s="218">
        <v>59501.0</v>
      </c>
      <c r="T14" s="218">
        <v>59501.0</v>
      </c>
      <c r="U14" s="218">
        <v>59501.0</v>
      </c>
      <c r="V14" s="218">
        <v>59501.0</v>
      </c>
      <c r="W14" s="218">
        <v>59501.0</v>
      </c>
      <c r="X14" s="218">
        <v>59501.0</v>
      </c>
      <c r="Y14" s="218">
        <v>59501.0</v>
      </c>
      <c r="Z14" s="218">
        <v>59501.0</v>
      </c>
      <c r="AA14" s="218">
        <v>59501.0</v>
      </c>
      <c r="AB14" s="218">
        <v>59501.0</v>
      </c>
      <c r="AC14" s="218">
        <v>59501.0</v>
      </c>
    </row>
    <row r="15" ht="15.75" customHeight="1">
      <c r="A15" s="216" t="s">
        <v>446</v>
      </c>
      <c r="B15" s="219">
        <v>29325.0</v>
      </c>
      <c r="C15" s="219">
        <v>29325.0</v>
      </c>
      <c r="D15" s="219">
        <v>29325.0</v>
      </c>
      <c r="E15" s="219">
        <v>35190.0</v>
      </c>
      <c r="F15" s="219">
        <v>35190.0</v>
      </c>
      <c r="G15" s="219">
        <v>35190.0</v>
      </c>
      <c r="H15" s="219">
        <v>40837.0</v>
      </c>
      <c r="I15" s="219">
        <v>40837.0</v>
      </c>
      <c r="J15" s="219">
        <v>46375.0</v>
      </c>
      <c r="K15" s="219">
        <v>46375.0</v>
      </c>
      <c r="L15" s="219">
        <v>46375.0</v>
      </c>
      <c r="M15" s="219">
        <v>63140.0</v>
      </c>
      <c r="N15" s="219">
        <v>63140.0</v>
      </c>
      <c r="O15" s="219">
        <v>63340.0</v>
      </c>
      <c r="P15" s="219">
        <v>63340.0</v>
      </c>
      <c r="Q15" s="219">
        <v>64340.0</v>
      </c>
      <c r="R15" s="219">
        <v>68041.0</v>
      </c>
      <c r="S15" s="219">
        <v>68041.0</v>
      </c>
      <c r="T15" s="219">
        <v>68041.0</v>
      </c>
      <c r="U15" s="219">
        <v>68041.0</v>
      </c>
      <c r="V15" s="219">
        <v>68041.0</v>
      </c>
      <c r="W15" s="219">
        <v>68041.0</v>
      </c>
      <c r="X15" s="219">
        <v>68041.0</v>
      </c>
      <c r="Y15" s="219">
        <v>68041.0</v>
      </c>
      <c r="Z15" s="219">
        <v>68041.0</v>
      </c>
      <c r="AA15" s="219">
        <v>68041.0</v>
      </c>
      <c r="AB15" s="219">
        <v>68041.0</v>
      </c>
      <c r="AC15" s="219">
        <v>68041.0</v>
      </c>
    </row>
    <row r="16" ht="15.75" customHeight="1">
      <c r="A16" s="216" t="s">
        <v>447</v>
      </c>
      <c r="B16" s="221">
        <v>4958.0</v>
      </c>
      <c r="C16" s="221">
        <v>5068.0</v>
      </c>
      <c r="D16" s="221">
        <v>5152.0</v>
      </c>
      <c r="E16" s="221">
        <v>5195.0</v>
      </c>
      <c r="F16" s="221">
        <v>5317.0</v>
      </c>
      <c r="G16" s="221">
        <v>5443.0</v>
      </c>
      <c r="H16" s="221">
        <v>5525.0</v>
      </c>
      <c r="I16" s="221">
        <v>5460.0</v>
      </c>
      <c r="J16" s="221">
        <v>5320.0</v>
      </c>
      <c r="K16" s="221">
        <v>5497.0</v>
      </c>
      <c r="L16" s="221">
        <v>5687.0</v>
      </c>
      <c r="M16" s="221">
        <v>5824.0</v>
      </c>
      <c r="N16" s="221">
        <v>4830.0</v>
      </c>
      <c r="O16" s="221">
        <v>6476.0</v>
      </c>
      <c r="P16" s="221">
        <v>6788.0</v>
      </c>
      <c r="Q16" s="221">
        <v>6788.0</v>
      </c>
      <c r="R16" s="221">
        <v>7214.0</v>
      </c>
      <c r="S16" s="221">
        <v>7433.0</v>
      </c>
      <c r="T16" s="221">
        <v>7296.0</v>
      </c>
      <c r="U16" s="221">
        <v>7521.0</v>
      </c>
      <c r="V16" s="221">
        <v>7521.0</v>
      </c>
      <c r="W16" s="221">
        <v>7521.0</v>
      </c>
      <c r="X16" s="221">
        <v>7599.0</v>
      </c>
      <c r="Y16" s="221">
        <v>8976.0</v>
      </c>
      <c r="Z16" s="221">
        <v>8976.0</v>
      </c>
      <c r="AA16" s="221">
        <v>8155.0</v>
      </c>
      <c r="AB16" s="221">
        <v>7155.0</v>
      </c>
      <c r="AC16" s="221">
        <v>6974.0</v>
      </c>
    </row>
    <row r="17" ht="15.75" customHeight="1">
      <c r="A17" s="216" t="s">
        <v>448</v>
      </c>
      <c r="B17" s="219">
        <v>34283.0</v>
      </c>
      <c r="C17" s="219">
        <v>34393.0</v>
      </c>
      <c r="D17" s="219">
        <v>34477.0</v>
      </c>
      <c r="E17" s="219">
        <v>40385.0</v>
      </c>
      <c r="F17" s="219">
        <v>40507.0</v>
      </c>
      <c r="G17" s="219">
        <v>40633.0</v>
      </c>
      <c r="H17" s="219">
        <v>46362.0</v>
      </c>
      <c r="I17" s="219">
        <v>46297.0</v>
      </c>
      <c r="J17" s="219">
        <v>51695.0</v>
      </c>
      <c r="K17" s="219">
        <v>51872.0</v>
      </c>
      <c r="L17" s="219">
        <v>52062.0</v>
      </c>
      <c r="M17" s="219">
        <v>68964.0</v>
      </c>
      <c r="N17" s="219">
        <v>67970.0</v>
      </c>
      <c r="O17" s="219">
        <v>69816.0</v>
      </c>
      <c r="P17" s="219">
        <v>70128.0</v>
      </c>
      <c r="Q17" s="219">
        <v>71128.0</v>
      </c>
      <c r="R17" s="219">
        <v>75255.0</v>
      </c>
      <c r="S17" s="219">
        <v>75474.0</v>
      </c>
      <c r="T17" s="219">
        <v>75337.0</v>
      </c>
      <c r="U17" s="219">
        <v>75562.0</v>
      </c>
      <c r="V17" s="219">
        <v>75562.0</v>
      </c>
      <c r="W17" s="219">
        <v>75562.0</v>
      </c>
      <c r="X17" s="219">
        <v>75640.0</v>
      </c>
      <c r="Y17" s="219">
        <v>77017.0</v>
      </c>
      <c r="Z17" s="219">
        <v>77017.0</v>
      </c>
      <c r="AA17" s="219">
        <v>76196.0</v>
      </c>
      <c r="AB17" s="219">
        <v>75196.0</v>
      </c>
      <c r="AC17" s="219">
        <v>75015.0</v>
      </c>
    </row>
    <row r="18" ht="15.75" customHeight="1">
      <c r="A18" s="216" t="s">
        <v>449</v>
      </c>
      <c r="B18" s="222"/>
      <c r="C18" s="222"/>
      <c r="D18" s="222"/>
      <c r="E18" s="222"/>
      <c r="F18" s="222"/>
      <c r="G18" s="222"/>
      <c r="H18" s="222"/>
      <c r="I18" s="222"/>
      <c r="J18" s="222"/>
      <c r="K18" s="222"/>
      <c r="L18" s="222"/>
      <c r="M18" s="222"/>
      <c r="N18" s="222"/>
      <c r="O18" s="222"/>
      <c r="P18" s="222"/>
      <c r="Q18" s="222"/>
      <c r="R18" s="222"/>
      <c r="S18" s="222"/>
      <c r="T18" s="222"/>
      <c r="U18" s="222"/>
      <c r="V18" s="222"/>
      <c r="W18" s="222"/>
      <c r="X18" s="222"/>
      <c r="Y18" s="222"/>
      <c r="Z18" s="222"/>
      <c r="AA18" s="222"/>
      <c r="AB18" s="222"/>
      <c r="AC18" s="222"/>
    </row>
    <row r="19" ht="15.75" customHeight="1">
      <c r="A19" s="216" t="s">
        <v>450</v>
      </c>
      <c r="B19" s="221">
        <v>30517.0</v>
      </c>
      <c r="C19" s="221">
        <v>32284.0</v>
      </c>
      <c r="D19" s="221">
        <v>35963.0</v>
      </c>
      <c r="E19" s="221">
        <v>36287.0</v>
      </c>
      <c r="F19" s="221">
        <v>38013.0</v>
      </c>
      <c r="G19" s="221">
        <v>38336.0</v>
      </c>
      <c r="H19" s="221">
        <v>39177.0</v>
      </c>
      <c r="I19" s="221">
        <v>40408.0</v>
      </c>
      <c r="J19" s="221">
        <v>38739.0</v>
      </c>
      <c r="K19" s="221">
        <v>44005.0</v>
      </c>
      <c r="L19" s="221">
        <v>44227.0</v>
      </c>
      <c r="M19" s="221">
        <v>44405.0</v>
      </c>
      <c r="N19" s="221">
        <v>43894.0</v>
      </c>
      <c r="O19" s="221">
        <v>41517.0</v>
      </c>
      <c r="P19" s="221">
        <v>44678.0</v>
      </c>
      <c r="Q19" s="221">
        <v>44685.0</v>
      </c>
      <c r="R19" s="221">
        <v>48061.0</v>
      </c>
      <c r="S19" s="221">
        <v>46218.0</v>
      </c>
      <c r="T19" s="221">
        <v>47477.0</v>
      </c>
      <c r="U19" s="221">
        <v>49233.0</v>
      </c>
      <c r="V19" s="221">
        <v>51225.0</v>
      </c>
      <c r="W19" s="221">
        <v>57243.0</v>
      </c>
      <c r="X19" s="221">
        <v>62451.0</v>
      </c>
      <c r="Y19" s="221">
        <v>65739.0</v>
      </c>
      <c r="Z19" s="221">
        <v>67542.0</v>
      </c>
      <c r="AA19" s="221">
        <v>71275.0</v>
      </c>
      <c r="AB19" s="221">
        <v>71648.0</v>
      </c>
      <c r="AC19" s="221">
        <v>70756.0</v>
      </c>
    </row>
    <row r="20" ht="15.75" customHeight="1">
      <c r="A20" s="216" t="s">
        <v>451</v>
      </c>
      <c r="B20" s="219">
        <v>30517.0</v>
      </c>
      <c r="C20" s="219">
        <v>32284.0</v>
      </c>
      <c r="D20" s="219">
        <v>35963.0</v>
      </c>
      <c r="E20" s="219">
        <v>36287.0</v>
      </c>
      <c r="F20" s="219">
        <v>38013.0</v>
      </c>
      <c r="G20" s="219">
        <v>38336.0</v>
      </c>
      <c r="H20" s="219">
        <v>39177.0</v>
      </c>
      <c r="I20" s="219">
        <v>40408.0</v>
      </c>
      <c r="J20" s="219">
        <v>38739.0</v>
      </c>
      <c r="K20" s="219">
        <v>44005.0</v>
      </c>
      <c r="L20" s="219">
        <v>44227.0</v>
      </c>
      <c r="M20" s="219">
        <v>44405.0</v>
      </c>
      <c r="N20" s="219">
        <v>43894.0</v>
      </c>
      <c r="O20" s="219">
        <v>41517.0</v>
      </c>
      <c r="P20" s="219">
        <v>44678.0</v>
      </c>
      <c r="Q20" s="219">
        <v>44685.0</v>
      </c>
      <c r="R20" s="219">
        <v>48061.0</v>
      </c>
      <c r="S20" s="219">
        <v>46218.0</v>
      </c>
      <c r="T20" s="219">
        <v>47477.0</v>
      </c>
      <c r="U20" s="219">
        <v>49233.0</v>
      </c>
      <c r="V20" s="219">
        <v>51225.0</v>
      </c>
      <c r="W20" s="219">
        <v>57243.0</v>
      </c>
      <c r="X20" s="219">
        <v>62451.0</v>
      </c>
      <c r="Y20" s="219">
        <v>65739.0</v>
      </c>
      <c r="Z20" s="219">
        <v>67542.0</v>
      </c>
      <c r="AA20" s="219">
        <v>71275.0</v>
      </c>
      <c r="AB20" s="219">
        <v>71648.0</v>
      </c>
      <c r="AC20" s="219">
        <v>70756.0</v>
      </c>
    </row>
    <row r="21" ht="15.75" customHeight="1">
      <c r="A21" s="216" t="s">
        <v>452</v>
      </c>
      <c r="B21" s="219">
        <v>64800.0</v>
      </c>
      <c r="C21" s="219">
        <v>66677.0</v>
      </c>
      <c r="D21" s="219">
        <v>70440.0</v>
      </c>
      <c r="E21" s="219">
        <v>76672.0</v>
      </c>
      <c r="F21" s="219">
        <v>78520.0</v>
      </c>
      <c r="G21" s="219">
        <v>78969.0</v>
      </c>
      <c r="H21" s="219">
        <v>85539.0</v>
      </c>
      <c r="I21" s="219">
        <v>86705.0</v>
      </c>
      <c r="J21" s="219">
        <v>90434.0</v>
      </c>
      <c r="K21" s="219">
        <v>95877.0</v>
      </c>
      <c r="L21" s="219">
        <v>96289.0</v>
      </c>
      <c r="M21" s="219">
        <v>113369.0</v>
      </c>
      <c r="N21" s="219">
        <v>111864.0</v>
      </c>
      <c r="O21" s="219">
        <v>111333.0</v>
      </c>
      <c r="P21" s="219">
        <v>114806.0</v>
      </c>
      <c r="Q21" s="219">
        <v>115813.0</v>
      </c>
      <c r="R21" s="219">
        <v>123316.0</v>
      </c>
      <c r="S21" s="219">
        <v>121692.0</v>
      </c>
      <c r="T21" s="219">
        <v>122814.0</v>
      </c>
      <c r="U21" s="219">
        <v>124795.0</v>
      </c>
      <c r="V21" s="219">
        <v>126787.0</v>
      </c>
      <c r="W21" s="219">
        <v>132805.0</v>
      </c>
      <c r="X21" s="219">
        <v>138091.0</v>
      </c>
      <c r="Y21" s="219">
        <v>142756.0</v>
      </c>
      <c r="Z21" s="219">
        <v>144559.0</v>
      </c>
      <c r="AA21" s="219">
        <v>147471.0</v>
      </c>
      <c r="AB21" s="219">
        <v>146844.0</v>
      </c>
      <c r="AC21" s="219">
        <v>145771.0</v>
      </c>
    </row>
    <row r="22" ht="15.75" customHeight="1">
      <c r="A22" s="216" t="s">
        <v>12</v>
      </c>
      <c r="B22" s="219">
        <v>238573.0</v>
      </c>
      <c r="C22" s="219">
        <v>254380.0</v>
      </c>
      <c r="D22" s="219">
        <v>270081.0</v>
      </c>
      <c r="E22" s="219">
        <v>284098.0</v>
      </c>
      <c r="F22" s="219">
        <v>307504.0</v>
      </c>
      <c r="G22" s="219">
        <v>322496.0</v>
      </c>
      <c r="H22" s="219">
        <v>339400.0</v>
      </c>
      <c r="I22" s="219">
        <v>352220.0</v>
      </c>
      <c r="J22" s="219">
        <v>362334.0</v>
      </c>
      <c r="K22" s="219">
        <v>370080.0</v>
      </c>
      <c r="L22" s="219">
        <v>382829.0</v>
      </c>
      <c r="M22" s="219">
        <v>378132.0</v>
      </c>
      <c r="N22" s="219">
        <v>393194.0</v>
      </c>
      <c r="O22" s="219">
        <v>414104.0</v>
      </c>
      <c r="P22" s="219">
        <v>427927.0</v>
      </c>
      <c r="Q22" s="219">
        <v>483074.0</v>
      </c>
      <c r="R22" s="219">
        <v>490737.0</v>
      </c>
      <c r="S22" s="219">
        <v>515796.0</v>
      </c>
      <c r="T22" s="219">
        <v>534702.0</v>
      </c>
      <c r="U22" s="219">
        <v>560688.0</v>
      </c>
      <c r="V22" s="219">
        <v>591987.0</v>
      </c>
      <c r="W22" s="219">
        <v>621737.0</v>
      </c>
      <c r="X22" s="219">
        <v>649463.0</v>
      </c>
      <c r="Y22" s="219">
        <v>665290.0</v>
      </c>
      <c r="Z22" s="219">
        <v>679970.0</v>
      </c>
      <c r="AA22" s="219">
        <v>697155.0</v>
      </c>
      <c r="AB22" s="219">
        <v>672318.19</v>
      </c>
      <c r="AC22" s="219">
        <v>650736.0</v>
      </c>
    </row>
    <row r="23" ht="15.75" customHeight="1">
      <c r="A23" s="216" t="s">
        <v>14</v>
      </c>
      <c r="B23" s="217"/>
      <c r="C23" s="217"/>
      <c r="D23" s="217"/>
      <c r="E23" s="217"/>
      <c r="F23" s="217"/>
      <c r="G23" s="217"/>
      <c r="H23" s="217"/>
      <c r="I23" s="217"/>
      <c r="J23" s="217"/>
      <c r="K23" s="217"/>
      <c r="L23" s="217"/>
      <c r="M23" s="217"/>
      <c r="N23" s="217"/>
      <c r="O23" s="217"/>
      <c r="P23" s="217"/>
      <c r="Q23" s="217"/>
      <c r="R23" s="217"/>
      <c r="S23" s="217"/>
      <c r="T23" s="217"/>
      <c r="U23" s="217"/>
      <c r="V23" s="217"/>
      <c r="W23" s="217"/>
      <c r="X23" s="217"/>
      <c r="Y23" s="217"/>
      <c r="Z23" s="217"/>
      <c r="AA23" s="217"/>
      <c r="AB23" s="217"/>
      <c r="AC23" s="217"/>
    </row>
    <row r="24" ht="15.75" customHeight="1">
      <c r="A24" s="216" t="s">
        <v>77</v>
      </c>
      <c r="B24" s="217"/>
      <c r="C24" s="217"/>
      <c r="D24" s="217"/>
      <c r="E24" s="217"/>
      <c r="F24" s="217"/>
      <c r="G24" s="217"/>
      <c r="H24" s="217"/>
      <c r="I24" s="217"/>
      <c r="J24" s="217"/>
      <c r="K24" s="217"/>
      <c r="L24" s="217"/>
      <c r="M24" s="217"/>
      <c r="N24" s="217"/>
      <c r="O24" s="217"/>
      <c r="P24" s="217"/>
      <c r="Q24" s="217"/>
      <c r="R24" s="217"/>
      <c r="S24" s="217"/>
      <c r="T24" s="217"/>
      <c r="U24" s="217"/>
      <c r="V24" s="217"/>
      <c r="W24" s="217"/>
      <c r="X24" s="217"/>
      <c r="Y24" s="217"/>
      <c r="Z24" s="217"/>
      <c r="AA24" s="217"/>
      <c r="AB24" s="217"/>
      <c r="AC24" s="217"/>
    </row>
    <row r="25" ht="15.75" customHeight="1">
      <c r="A25" s="216" t="s">
        <v>453</v>
      </c>
      <c r="B25" s="223"/>
      <c r="C25" s="223"/>
      <c r="D25" s="223"/>
      <c r="E25" s="223"/>
      <c r="F25" s="223"/>
      <c r="G25" s="223"/>
      <c r="H25" s="223"/>
      <c r="I25" s="223"/>
      <c r="J25" s="223"/>
      <c r="K25" s="223"/>
      <c r="L25" s="223"/>
      <c r="M25" s="223"/>
      <c r="N25" s="223"/>
      <c r="O25" s="223"/>
      <c r="P25" s="223"/>
      <c r="Q25" s="223"/>
      <c r="R25" s="223"/>
      <c r="S25" s="223"/>
      <c r="T25" s="218">
        <v>154.0</v>
      </c>
      <c r="U25" s="218">
        <v>143.0</v>
      </c>
      <c r="V25" s="218">
        <v>195.0</v>
      </c>
      <c r="W25" s="218">
        <v>123.0</v>
      </c>
      <c r="X25" s="220">
        <v>164.0</v>
      </c>
      <c r="Y25" s="220">
        <v>153.0</v>
      </c>
      <c r="Z25" s="220">
        <v>149.0</v>
      </c>
      <c r="AA25" s="220">
        <v>124.0</v>
      </c>
      <c r="AB25" s="220">
        <v>124.0</v>
      </c>
      <c r="AC25" s="220">
        <v>111.0</v>
      </c>
    </row>
    <row r="26" ht="15.75" customHeight="1">
      <c r="A26" s="216" t="s">
        <v>454</v>
      </c>
      <c r="B26" s="220">
        <v>770.0</v>
      </c>
      <c r="C26" s="220">
        <v>947.0</v>
      </c>
      <c r="D26" s="220">
        <v>574.0</v>
      </c>
      <c r="E26" s="220">
        <v>761.0</v>
      </c>
      <c r="F26" s="220">
        <v>823.0</v>
      </c>
      <c r="G26" s="220">
        <v>712.0</v>
      </c>
      <c r="H26" s="220">
        <v>788.0</v>
      </c>
      <c r="I26" s="220">
        <v>830.0</v>
      </c>
      <c r="J26" s="220">
        <v>893.0</v>
      </c>
      <c r="K26" s="220">
        <v>840.0</v>
      </c>
      <c r="L26" s="220">
        <v>815.0</v>
      </c>
      <c r="M26" s="220">
        <v>924.0</v>
      </c>
      <c r="N26" s="220">
        <v>871.0</v>
      </c>
      <c r="O26" s="220">
        <v>445.0</v>
      </c>
      <c r="P26" s="220">
        <v>755.0</v>
      </c>
      <c r="Q26" s="220">
        <v>730.0</v>
      </c>
      <c r="R26" s="220">
        <v>655.0</v>
      </c>
      <c r="S26" s="220">
        <v>680.0</v>
      </c>
      <c r="T26" s="220">
        <v>709.0</v>
      </c>
      <c r="U26" s="220">
        <v>731.0</v>
      </c>
      <c r="V26" s="220">
        <v>755.0</v>
      </c>
      <c r="W26" s="218">
        <v>756.0</v>
      </c>
      <c r="X26" s="220">
        <v>842.0</v>
      </c>
      <c r="Y26" s="220">
        <v>764.0</v>
      </c>
      <c r="Z26" s="220">
        <v>877.0</v>
      </c>
      <c r="AA26" s="218">
        <v>9123.0</v>
      </c>
      <c r="AB26" s="218">
        <v>8700.0</v>
      </c>
      <c r="AC26" s="218">
        <v>8245.0</v>
      </c>
    </row>
    <row r="27" ht="15.75" customHeight="1">
      <c r="A27" s="216" t="s">
        <v>455</v>
      </c>
      <c r="B27" s="218">
        <v>1774.0</v>
      </c>
      <c r="C27" s="218">
        <v>1642.0</v>
      </c>
      <c r="D27" s="218">
        <v>1544.0</v>
      </c>
      <c r="E27" s="218">
        <v>1737.0</v>
      </c>
      <c r="F27" s="218">
        <v>1912.0</v>
      </c>
      <c r="G27" s="218">
        <v>1989.0</v>
      </c>
      <c r="H27" s="218">
        <v>2153.0</v>
      </c>
      <c r="I27" s="218">
        <v>1890.0</v>
      </c>
      <c r="J27" s="218">
        <v>2040.0</v>
      </c>
      <c r="K27" s="218">
        <v>2285.0</v>
      </c>
      <c r="L27" s="218">
        <v>2327.0</v>
      </c>
      <c r="M27" s="218">
        <v>2358.0</v>
      </c>
      <c r="N27" s="218">
        <v>2288.0</v>
      </c>
      <c r="O27" s="218">
        <v>3455.0</v>
      </c>
      <c r="P27" s="218">
        <v>3571.0</v>
      </c>
      <c r="Q27" s="218">
        <v>3571.0</v>
      </c>
      <c r="R27" s="218">
        <v>2910.0</v>
      </c>
      <c r="S27" s="218">
        <v>3387.0</v>
      </c>
      <c r="T27" s="218">
        <v>3266.0</v>
      </c>
      <c r="U27" s="218">
        <v>3197.0</v>
      </c>
      <c r="V27" s="218">
        <v>2907.0</v>
      </c>
      <c r="W27" s="218">
        <v>2467.0</v>
      </c>
      <c r="X27" s="218">
        <v>2463.0</v>
      </c>
      <c r="Y27" s="218">
        <v>3759.0</v>
      </c>
      <c r="Z27" s="218">
        <v>4212.0</v>
      </c>
      <c r="AA27" s="218">
        <v>3795.0</v>
      </c>
      <c r="AB27" s="218">
        <v>3674.0</v>
      </c>
      <c r="AC27" s="218">
        <v>3210.0</v>
      </c>
    </row>
    <row r="28" ht="15.75" customHeight="1">
      <c r="A28" s="216" t="s">
        <v>456</v>
      </c>
      <c r="B28" s="218">
        <v>663.0</v>
      </c>
      <c r="C28" s="218">
        <v>663.0</v>
      </c>
      <c r="D28" s="218">
        <v>663.0</v>
      </c>
      <c r="E28" s="218">
        <v>663.0</v>
      </c>
      <c r="F28" s="218">
        <v>663.0</v>
      </c>
      <c r="G28" s="218">
        <v>663.0</v>
      </c>
      <c r="H28" s="218">
        <v>663.0</v>
      </c>
      <c r="I28" s="218">
        <v>700.0</v>
      </c>
      <c r="J28" s="218">
        <v>700.0</v>
      </c>
      <c r="K28" s="218">
        <v>700.0</v>
      </c>
      <c r="L28" s="218">
        <v>700.0</v>
      </c>
      <c r="M28" s="218">
        <v>700.0</v>
      </c>
      <c r="N28" s="218">
        <v>750.0</v>
      </c>
      <c r="O28" s="218">
        <v>750.0</v>
      </c>
      <c r="P28" s="218">
        <v>750.0</v>
      </c>
      <c r="Q28" s="218">
        <v>750.0</v>
      </c>
      <c r="R28" s="218">
        <v>750.0</v>
      </c>
      <c r="S28" s="218">
        <v>750.0</v>
      </c>
      <c r="T28" s="218">
        <v>750.0</v>
      </c>
      <c r="U28" s="218">
        <v>800.0</v>
      </c>
      <c r="V28" s="218">
        <v>800.0</v>
      </c>
      <c r="W28" s="218">
        <v>800.0</v>
      </c>
      <c r="X28" s="220">
        <v>800.0</v>
      </c>
      <c r="Y28" s="220">
        <v>800.0</v>
      </c>
      <c r="Z28" s="220">
        <v>800.0</v>
      </c>
      <c r="AA28" s="220">
        <v>800.0</v>
      </c>
      <c r="AB28" s="220">
        <v>800.0</v>
      </c>
      <c r="AC28" s="220">
        <v>800.0</v>
      </c>
    </row>
    <row r="29" ht="15.75" customHeight="1">
      <c r="A29" s="216" t="s">
        <v>457</v>
      </c>
      <c r="B29" s="223"/>
      <c r="C29" s="223"/>
      <c r="D29" s="223"/>
      <c r="E29" s="223"/>
      <c r="F29" s="223"/>
      <c r="G29" s="223"/>
      <c r="H29" s="223"/>
      <c r="I29" s="223"/>
      <c r="J29" s="223"/>
      <c r="K29" s="223"/>
      <c r="L29" s="223"/>
      <c r="M29" s="223"/>
      <c r="N29" s="223"/>
      <c r="O29" s="223"/>
      <c r="P29" s="223"/>
      <c r="Q29" s="223"/>
      <c r="R29" s="223"/>
      <c r="S29" s="223"/>
      <c r="T29" s="223"/>
      <c r="U29" s="223"/>
      <c r="V29" s="223"/>
      <c r="W29" s="217"/>
      <c r="X29" s="217"/>
      <c r="Y29" s="217"/>
      <c r="Z29" s="217"/>
      <c r="AA29" s="217"/>
      <c r="AB29" s="217"/>
      <c r="AC29" s="217"/>
    </row>
    <row r="30" ht="15.75" customHeight="1">
      <c r="A30" s="216" t="s">
        <v>458</v>
      </c>
      <c r="B30" s="218">
        <v>2250.0</v>
      </c>
      <c r="C30" s="218">
        <v>2346.0</v>
      </c>
      <c r="D30" s="218">
        <v>2806.0</v>
      </c>
      <c r="E30" s="218">
        <v>3195.0</v>
      </c>
      <c r="F30" s="218">
        <v>3233.0</v>
      </c>
      <c r="G30" s="218">
        <v>3592.0</v>
      </c>
      <c r="H30" s="218">
        <v>3621.0</v>
      </c>
      <c r="I30" s="218">
        <v>3689.0</v>
      </c>
      <c r="J30" s="218">
        <v>3772.0</v>
      </c>
      <c r="K30" s="218">
        <v>4011.0</v>
      </c>
      <c r="L30" s="218">
        <v>3922.0</v>
      </c>
      <c r="M30" s="218">
        <v>4271.0</v>
      </c>
      <c r="N30" s="218">
        <v>4129.0</v>
      </c>
      <c r="O30" s="218">
        <v>4500.0</v>
      </c>
      <c r="P30" s="218">
        <v>5667.0</v>
      </c>
      <c r="Q30" s="218">
        <v>5667.0</v>
      </c>
      <c r="R30" s="218">
        <v>6500.0</v>
      </c>
      <c r="S30" s="218">
        <v>6738.0</v>
      </c>
      <c r="T30" s="218">
        <v>6481.0</v>
      </c>
      <c r="U30" s="218">
        <v>6576.0</v>
      </c>
      <c r="V30" s="218">
        <v>7577.0</v>
      </c>
      <c r="W30" s="218">
        <v>6754.0</v>
      </c>
      <c r="X30" s="218">
        <v>6978.0</v>
      </c>
      <c r="Y30" s="218">
        <v>7485.0</v>
      </c>
      <c r="Z30" s="218">
        <v>8400.0</v>
      </c>
      <c r="AA30" s="218">
        <v>8400.0</v>
      </c>
      <c r="AB30" s="218">
        <v>8400.0</v>
      </c>
      <c r="AC30" s="218">
        <v>7600.0</v>
      </c>
    </row>
    <row r="31" ht="15.75" customHeight="1">
      <c r="A31" s="216" t="s">
        <v>459</v>
      </c>
      <c r="B31" s="219">
        <v>2250.0</v>
      </c>
      <c r="C31" s="219">
        <v>2346.0</v>
      </c>
      <c r="D31" s="219">
        <v>2806.0</v>
      </c>
      <c r="E31" s="219">
        <v>3195.0</v>
      </c>
      <c r="F31" s="219">
        <v>3233.0</v>
      </c>
      <c r="G31" s="219">
        <v>3592.0</v>
      </c>
      <c r="H31" s="219">
        <v>3621.0</v>
      </c>
      <c r="I31" s="219">
        <v>3689.0</v>
      </c>
      <c r="J31" s="219">
        <v>3772.0</v>
      </c>
      <c r="K31" s="219">
        <v>4011.0</v>
      </c>
      <c r="L31" s="219">
        <v>3922.0</v>
      </c>
      <c r="M31" s="219">
        <v>4271.0</v>
      </c>
      <c r="N31" s="219">
        <v>4129.0</v>
      </c>
      <c r="O31" s="219">
        <v>4500.0</v>
      </c>
      <c r="P31" s="219">
        <v>5667.0</v>
      </c>
      <c r="Q31" s="219">
        <v>5667.0</v>
      </c>
      <c r="R31" s="219">
        <v>6500.0</v>
      </c>
      <c r="S31" s="219">
        <v>6738.0</v>
      </c>
      <c r="T31" s="219">
        <v>6481.0</v>
      </c>
      <c r="U31" s="219">
        <v>6576.0</v>
      </c>
      <c r="V31" s="219">
        <v>7577.0</v>
      </c>
      <c r="W31" s="219">
        <v>6754.0</v>
      </c>
      <c r="X31" s="219">
        <v>6978.0</v>
      </c>
      <c r="Y31" s="219">
        <v>7485.0</v>
      </c>
      <c r="Z31" s="219">
        <v>8400.0</v>
      </c>
      <c r="AA31" s="219">
        <v>8400.0</v>
      </c>
      <c r="AB31" s="219">
        <v>8400.0</v>
      </c>
      <c r="AC31" s="219">
        <v>7600.0</v>
      </c>
    </row>
    <row r="32" ht="15.75" customHeight="1">
      <c r="A32" s="216" t="s">
        <v>460</v>
      </c>
      <c r="B32" s="217"/>
      <c r="C32" s="217"/>
      <c r="D32" s="217"/>
      <c r="E32" s="217"/>
      <c r="F32" s="217"/>
      <c r="G32" s="217"/>
      <c r="H32" s="217"/>
      <c r="I32" s="217"/>
      <c r="J32" s="217"/>
      <c r="K32" s="217"/>
      <c r="L32" s="217"/>
      <c r="M32" s="217"/>
      <c r="N32" s="217"/>
      <c r="O32" s="217"/>
      <c r="P32" s="217"/>
      <c r="Q32" s="217"/>
      <c r="R32" s="217"/>
      <c r="S32" s="217"/>
      <c r="T32" s="217"/>
      <c r="U32" s="217"/>
      <c r="V32" s="217"/>
      <c r="W32" s="217"/>
      <c r="X32" s="217"/>
      <c r="Y32" s="217"/>
      <c r="Z32" s="217"/>
      <c r="AA32" s="217"/>
      <c r="AB32" s="217"/>
      <c r="AC32" s="217"/>
    </row>
    <row r="33" ht="15.75" customHeight="1">
      <c r="A33" s="216" t="s">
        <v>461</v>
      </c>
      <c r="B33" s="218">
        <v>5751.0</v>
      </c>
      <c r="C33" s="218">
        <v>6018.0</v>
      </c>
      <c r="D33" s="218">
        <v>6036.0</v>
      </c>
      <c r="E33" s="218">
        <v>5888.0</v>
      </c>
      <c r="F33" s="218">
        <v>6181.0</v>
      </c>
      <c r="G33" s="218">
        <v>6414.0</v>
      </c>
      <c r="H33" s="218">
        <v>6719.0</v>
      </c>
      <c r="I33" s="218">
        <v>6191.0</v>
      </c>
      <c r="J33" s="218">
        <v>6563.0</v>
      </c>
      <c r="K33" s="218">
        <v>6897.0</v>
      </c>
      <c r="L33" s="218">
        <v>6459.0</v>
      </c>
      <c r="M33" s="218">
        <v>6719.0</v>
      </c>
      <c r="N33" s="218">
        <v>6691.0</v>
      </c>
      <c r="O33" s="218">
        <v>4245.0</v>
      </c>
      <c r="P33" s="218">
        <v>5237.0</v>
      </c>
      <c r="Q33" s="218">
        <v>4988.0</v>
      </c>
      <c r="R33" s="218">
        <v>5237.0</v>
      </c>
      <c r="S33" s="218">
        <v>5471.0</v>
      </c>
      <c r="T33" s="218">
        <v>5388.0</v>
      </c>
      <c r="U33" s="218">
        <v>5477.0</v>
      </c>
      <c r="V33" s="218">
        <v>4699.0</v>
      </c>
      <c r="W33" s="218">
        <v>7456.0</v>
      </c>
      <c r="X33" s="218">
        <v>8127.0</v>
      </c>
      <c r="Y33" s="218">
        <v>5971.0</v>
      </c>
      <c r="Z33" s="218">
        <v>5400.0</v>
      </c>
      <c r="AA33" s="218">
        <v>4899.0</v>
      </c>
      <c r="AB33" s="218">
        <v>4899.0</v>
      </c>
      <c r="AC33" s="218">
        <v>2400.0</v>
      </c>
    </row>
    <row r="34" ht="15.75" customHeight="1">
      <c r="A34" s="216" t="s">
        <v>462</v>
      </c>
      <c r="B34" s="219">
        <v>5751.0</v>
      </c>
      <c r="C34" s="219">
        <v>6018.0</v>
      </c>
      <c r="D34" s="219">
        <v>6036.0</v>
      </c>
      <c r="E34" s="219">
        <v>5888.0</v>
      </c>
      <c r="F34" s="219">
        <v>6181.0</v>
      </c>
      <c r="G34" s="219">
        <v>6414.0</v>
      </c>
      <c r="H34" s="219">
        <v>6719.0</v>
      </c>
      <c r="I34" s="219">
        <v>6191.0</v>
      </c>
      <c r="J34" s="219">
        <v>6563.0</v>
      </c>
      <c r="K34" s="219">
        <v>6897.0</v>
      </c>
      <c r="L34" s="219">
        <v>6459.0</v>
      </c>
      <c r="M34" s="219">
        <v>6719.0</v>
      </c>
      <c r="N34" s="219">
        <v>6691.0</v>
      </c>
      <c r="O34" s="219">
        <v>4245.0</v>
      </c>
      <c r="P34" s="219">
        <v>5237.0</v>
      </c>
      <c r="Q34" s="219">
        <v>4988.0</v>
      </c>
      <c r="R34" s="219">
        <v>5237.0</v>
      </c>
      <c r="S34" s="219">
        <v>5471.0</v>
      </c>
      <c r="T34" s="219">
        <v>5388.0</v>
      </c>
      <c r="U34" s="219">
        <v>5477.0</v>
      </c>
      <c r="V34" s="219">
        <v>4699.0</v>
      </c>
      <c r="W34" s="219">
        <v>7456.0</v>
      </c>
      <c r="X34" s="219">
        <v>8127.0</v>
      </c>
      <c r="Y34" s="219">
        <v>5971.0</v>
      </c>
      <c r="Z34" s="219">
        <v>5400.0</v>
      </c>
      <c r="AA34" s="219">
        <v>4899.0</v>
      </c>
      <c r="AB34" s="219">
        <v>4899.0</v>
      </c>
      <c r="AC34" s="219">
        <v>2400.0</v>
      </c>
    </row>
    <row r="35" ht="15.75" customHeight="1">
      <c r="A35" s="216" t="s">
        <v>463</v>
      </c>
      <c r="B35" s="223"/>
      <c r="C35" s="223"/>
      <c r="D35" s="223"/>
      <c r="E35" s="223"/>
      <c r="F35" s="223"/>
      <c r="G35" s="223"/>
      <c r="H35" s="223"/>
      <c r="I35" s="223"/>
      <c r="J35" s="223"/>
      <c r="K35" s="223"/>
      <c r="L35" s="223"/>
      <c r="M35" s="223"/>
      <c r="N35" s="223"/>
      <c r="O35" s="223"/>
      <c r="P35" s="223"/>
      <c r="Q35" s="223"/>
      <c r="R35" s="223"/>
      <c r="S35" s="223"/>
      <c r="T35" s="223"/>
      <c r="U35" s="223"/>
      <c r="V35" s="223"/>
      <c r="W35" s="217"/>
      <c r="X35" s="217"/>
      <c r="Y35" s="217"/>
      <c r="Z35" s="217"/>
      <c r="AA35" s="217"/>
      <c r="AB35" s="217"/>
      <c r="AC35" s="217"/>
    </row>
    <row r="36" ht="15.75" customHeight="1">
      <c r="A36" s="216" t="s">
        <v>464</v>
      </c>
      <c r="B36" s="218">
        <v>2500.0</v>
      </c>
      <c r="C36" s="218">
        <v>2500.0</v>
      </c>
      <c r="D36" s="218">
        <v>2500.0</v>
      </c>
      <c r="E36" s="218">
        <v>2500.0</v>
      </c>
      <c r="F36" s="218">
        <v>3400.0</v>
      </c>
      <c r="G36" s="218">
        <v>5000.0</v>
      </c>
      <c r="H36" s="218">
        <v>6500.0</v>
      </c>
      <c r="I36" s="218">
        <v>6300.0</v>
      </c>
      <c r="J36" s="218">
        <v>6700.0</v>
      </c>
      <c r="K36" s="218">
        <v>6200.0</v>
      </c>
      <c r="L36" s="218">
        <v>6300.0</v>
      </c>
      <c r="M36" s="218">
        <v>6600.0</v>
      </c>
      <c r="N36" s="218">
        <v>6800.0</v>
      </c>
      <c r="O36" s="218">
        <v>4100.0</v>
      </c>
      <c r="P36" s="218">
        <v>5800.0</v>
      </c>
      <c r="Q36" s="218">
        <v>5376.0</v>
      </c>
      <c r="R36" s="218">
        <v>4831.0</v>
      </c>
      <c r="S36" s="218">
        <v>5229.0</v>
      </c>
      <c r="T36" s="218">
        <v>5462.0</v>
      </c>
      <c r="U36" s="218">
        <v>5519.0</v>
      </c>
      <c r="V36" s="218">
        <v>4575.0</v>
      </c>
      <c r="W36" s="218">
        <v>1023.0</v>
      </c>
      <c r="X36" s="218">
        <v>1597.0</v>
      </c>
      <c r="Y36" s="218">
        <v>1254.0</v>
      </c>
      <c r="Z36" s="218">
        <v>1999.0</v>
      </c>
      <c r="AA36" s="218">
        <v>2500.0</v>
      </c>
      <c r="AB36" s="218">
        <v>2500.0</v>
      </c>
      <c r="AC36" s="218">
        <v>12500.0</v>
      </c>
    </row>
    <row r="37" ht="15.75" customHeight="1">
      <c r="A37" s="216" t="s">
        <v>465</v>
      </c>
      <c r="B37" s="218">
        <v>1323.0</v>
      </c>
      <c r="C37" s="218">
        <v>1581.0</v>
      </c>
      <c r="D37" s="218">
        <v>1755.0</v>
      </c>
      <c r="E37" s="218">
        <v>1781.0</v>
      </c>
      <c r="F37" s="218">
        <v>1869.0</v>
      </c>
      <c r="G37" s="218">
        <v>2253.0</v>
      </c>
      <c r="H37" s="218">
        <v>2374.0</v>
      </c>
      <c r="I37" s="218">
        <v>2542.0</v>
      </c>
      <c r="J37" s="218">
        <v>2621.0</v>
      </c>
      <c r="K37" s="218">
        <v>2877.0</v>
      </c>
      <c r="L37" s="218">
        <v>2951.0</v>
      </c>
      <c r="M37" s="218">
        <v>3241.0</v>
      </c>
      <c r="N37" s="218">
        <v>3050.0</v>
      </c>
      <c r="O37" s="218">
        <v>3457.0</v>
      </c>
      <c r="P37" s="218">
        <v>3492.0</v>
      </c>
      <c r="Q37" s="218">
        <v>3781.0</v>
      </c>
      <c r="R37" s="218">
        <v>2492.0</v>
      </c>
      <c r="S37" s="218">
        <v>2632.0</v>
      </c>
      <c r="T37" s="218">
        <v>2717.0</v>
      </c>
      <c r="U37" s="218">
        <v>2782.0</v>
      </c>
      <c r="V37" s="218">
        <v>3780.0</v>
      </c>
      <c r="W37" s="218">
        <v>1247.0</v>
      </c>
      <c r="X37" s="218">
        <v>1673.0</v>
      </c>
      <c r="Y37" s="218">
        <v>1374.0</v>
      </c>
      <c r="Z37" s="218">
        <v>1736.0</v>
      </c>
      <c r="AA37" s="218">
        <v>1978.0</v>
      </c>
      <c r="AB37" s="218">
        <v>1978.0</v>
      </c>
      <c r="AC37" s="220">
        <v>200.0</v>
      </c>
    </row>
    <row r="38" ht="15.75" customHeight="1">
      <c r="A38" s="216" t="s">
        <v>466</v>
      </c>
      <c r="B38" s="219">
        <v>3823.0</v>
      </c>
      <c r="C38" s="219">
        <v>4081.0</v>
      </c>
      <c r="D38" s="219">
        <v>4255.0</v>
      </c>
      <c r="E38" s="219">
        <v>4281.0</v>
      </c>
      <c r="F38" s="219">
        <v>5269.0</v>
      </c>
      <c r="G38" s="219">
        <v>7253.0</v>
      </c>
      <c r="H38" s="219">
        <v>8874.0</v>
      </c>
      <c r="I38" s="219">
        <v>8842.0</v>
      </c>
      <c r="J38" s="219">
        <v>9321.0</v>
      </c>
      <c r="K38" s="219">
        <v>9077.0</v>
      </c>
      <c r="L38" s="219">
        <v>9251.0</v>
      </c>
      <c r="M38" s="219">
        <v>9841.0</v>
      </c>
      <c r="N38" s="219">
        <v>9850.0</v>
      </c>
      <c r="O38" s="219">
        <v>7557.0</v>
      </c>
      <c r="P38" s="219">
        <v>9292.0</v>
      </c>
      <c r="Q38" s="219">
        <v>9157.0</v>
      </c>
      <c r="R38" s="219">
        <v>7323.0</v>
      </c>
      <c r="S38" s="219">
        <v>7861.0</v>
      </c>
      <c r="T38" s="219">
        <v>8179.0</v>
      </c>
      <c r="U38" s="219">
        <v>8301.0</v>
      </c>
      <c r="V38" s="219">
        <v>8355.0</v>
      </c>
      <c r="W38" s="219">
        <v>2270.0</v>
      </c>
      <c r="X38" s="219">
        <v>3270.0</v>
      </c>
      <c r="Y38" s="219">
        <v>2628.0</v>
      </c>
      <c r="Z38" s="219">
        <v>3735.0</v>
      </c>
      <c r="AA38" s="219">
        <v>4478.0</v>
      </c>
      <c r="AB38" s="219">
        <v>4478.0</v>
      </c>
      <c r="AC38" s="219">
        <v>12700.0</v>
      </c>
    </row>
    <row r="39" ht="15.75" customHeight="1">
      <c r="A39" s="216" t="s">
        <v>467</v>
      </c>
      <c r="B39" s="224"/>
      <c r="C39" s="224"/>
      <c r="D39" s="224"/>
      <c r="E39" s="224"/>
      <c r="F39" s="224"/>
      <c r="G39" s="224"/>
      <c r="H39" s="224"/>
      <c r="I39" s="224"/>
      <c r="J39" s="224"/>
      <c r="K39" s="224"/>
      <c r="L39" s="224"/>
      <c r="M39" s="224"/>
      <c r="N39" s="224"/>
      <c r="O39" s="224"/>
      <c r="P39" s="224"/>
      <c r="Q39" s="224"/>
      <c r="R39" s="224"/>
      <c r="S39" s="224"/>
      <c r="T39" s="224"/>
      <c r="U39" s="224"/>
      <c r="V39" s="224"/>
      <c r="W39" s="217"/>
      <c r="X39" s="217"/>
      <c r="Y39" s="217"/>
      <c r="Z39" s="217"/>
      <c r="AA39" s="217"/>
      <c r="AB39" s="217"/>
      <c r="AC39" s="217"/>
    </row>
    <row r="40" ht="15.75" customHeight="1">
      <c r="A40" s="216" t="s">
        <v>468</v>
      </c>
      <c r="B40" s="220">
        <v>900.0</v>
      </c>
      <c r="C40" s="220">
        <v>900.0</v>
      </c>
      <c r="D40" s="220">
        <v>900.0</v>
      </c>
      <c r="E40" s="220">
        <v>900.0</v>
      </c>
      <c r="F40" s="220">
        <v>900.0</v>
      </c>
      <c r="G40" s="220">
        <v>900.0</v>
      </c>
      <c r="H40" s="220">
        <v>900.0</v>
      </c>
      <c r="I40" s="220">
        <v>900.0</v>
      </c>
      <c r="J40" s="218">
        <v>1097.0</v>
      </c>
      <c r="K40" s="218">
        <v>1097.0</v>
      </c>
      <c r="L40" s="218">
        <v>1097.0</v>
      </c>
      <c r="M40" s="218">
        <v>1097.0</v>
      </c>
      <c r="N40" s="218">
        <v>1097.0</v>
      </c>
      <c r="O40" s="218">
        <v>1294.0</v>
      </c>
      <c r="P40" s="218">
        <v>1294.0</v>
      </c>
      <c r="Q40" s="218">
        <v>1294.0</v>
      </c>
      <c r="R40" s="218">
        <v>1794.0</v>
      </c>
      <c r="S40" s="218">
        <v>1794.0</v>
      </c>
      <c r="T40" s="218">
        <v>1794.0</v>
      </c>
      <c r="U40" s="218">
        <v>1794.0</v>
      </c>
      <c r="V40" s="218">
        <v>1794.0</v>
      </c>
      <c r="W40" s="218">
        <v>1794.0</v>
      </c>
      <c r="X40" s="218">
        <v>1978.0</v>
      </c>
      <c r="Y40" s="218">
        <v>1994.0</v>
      </c>
      <c r="Z40" s="218">
        <v>1994.0</v>
      </c>
      <c r="AA40" s="218">
        <v>1994.0</v>
      </c>
      <c r="AB40" s="218">
        <v>1994.0</v>
      </c>
      <c r="AC40" s="218">
        <v>1994.0</v>
      </c>
    </row>
    <row r="41" ht="15.75" customHeight="1">
      <c r="A41" s="216" t="s">
        <v>469</v>
      </c>
      <c r="B41" s="218">
        <v>1500.0</v>
      </c>
      <c r="C41" s="218">
        <v>1500.0</v>
      </c>
      <c r="D41" s="218">
        <v>1500.0</v>
      </c>
      <c r="E41" s="218">
        <v>1500.0</v>
      </c>
      <c r="F41" s="218">
        <v>1500.0</v>
      </c>
      <c r="G41" s="218">
        <v>1500.0</v>
      </c>
      <c r="H41" s="218">
        <v>1500.0</v>
      </c>
      <c r="I41" s="218">
        <v>1500.0</v>
      </c>
      <c r="J41" s="218">
        <v>1908.0</v>
      </c>
      <c r="K41" s="218">
        <v>1908.0</v>
      </c>
      <c r="L41" s="218">
        <v>1908.0</v>
      </c>
      <c r="M41" s="218">
        <v>1908.0</v>
      </c>
      <c r="N41" s="218">
        <v>1908.0</v>
      </c>
      <c r="O41" s="218">
        <v>2313.0</v>
      </c>
      <c r="P41" s="218">
        <v>2313.0</v>
      </c>
      <c r="Q41" s="218">
        <v>2313.0</v>
      </c>
      <c r="R41" s="218">
        <v>2383.0</v>
      </c>
      <c r="S41" s="218">
        <v>2383.0</v>
      </c>
      <c r="T41" s="218">
        <v>2383.0</v>
      </c>
      <c r="U41" s="218">
        <v>2383.0</v>
      </c>
      <c r="V41" s="218">
        <v>2383.0</v>
      </c>
      <c r="W41" s="218">
        <v>2383.0</v>
      </c>
      <c r="X41" s="218">
        <v>2383.0</v>
      </c>
      <c r="Y41" s="218">
        <v>2383.0</v>
      </c>
      <c r="Z41" s="218">
        <v>2383.0</v>
      </c>
      <c r="AA41" s="218">
        <v>2383.0</v>
      </c>
      <c r="AB41" s="218">
        <v>2383.0</v>
      </c>
      <c r="AC41" s="218">
        <v>2383.0</v>
      </c>
    </row>
    <row r="42" ht="15.75" customHeight="1">
      <c r="A42" s="216" t="s">
        <v>470</v>
      </c>
      <c r="B42" s="218">
        <v>16666.0</v>
      </c>
      <c r="C42" s="218">
        <v>16666.0</v>
      </c>
      <c r="D42" s="218">
        <v>16666.0</v>
      </c>
      <c r="E42" s="218">
        <v>16666.0</v>
      </c>
      <c r="F42" s="218">
        <v>16666.0</v>
      </c>
      <c r="G42" s="218">
        <v>16666.0</v>
      </c>
      <c r="H42" s="218">
        <v>16666.0</v>
      </c>
      <c r="I42" s="218">
        <v>16666.0</v>
      </c>
      <c r="J42" s="218">
        <v>21200.0</v>
      </c>
      <c r="K42" s="218">
        <v>21200.0</v>
      </c>
      <c r="L42" s="218">
        <v>21200.0</v>
      </c>
      <c r="M42" s="218">
        <v>21200.0</v>
      </c>
      <c r="N42" s="218">
        <v>21200.0</v>
      </c>
      <c r="O42" s="218">
        <v>25700.0</v>
      </c>
      <c r="P42" s="218">
        <v>25700.0</v>
      </c>
      <c r="Q42" s="218">
        <v>25700.0</v>
      </c>
      <c r="R42" s="218">
        <v>28700.0</v>
      </c>
      <c r="S42" s="218">
        <v>28700.0</v>
      </c>
      <c r="T42" s="218">
        <v>28700.0</v>
      </c>
      <c r="U42" s="218">
        <v>28700.0</v>
      </c>
      <c r="V42" s="218">
        <v>28700.0</v>
      </c>
      <c r="W42" s="218">
        <v>28700.0</v>
      </c>
      <c r="X42" s="218">
        <v>28700.0</v>
      </c>
      <c r="Y42" s="218">
        <v>28700.0</v>
      </c>
      <c r="Z42" s="218">
        <v>28700.0</v>
      </c>
      <c r="AA42" s="218">
        <v>28700.0</v>
      </c>
      <c r="AB42" s="218">
        <v>28700.0</v>
      </c>
      <c r="AC42" s="218">
        <v>28700.0</v>
      </c>
    </row>
    <row r="43" ht="15.75" customHeight="1">
      <c r="A43" s="216" t="s">
        <v>471</v>
      </c>
      <c r="B43" s="219">
        <v>19066.0</v>
      </c>
      <c r="C43" s="219">
        <v>19066.0</v>
      </c>
      <c r="D43" s="219">
        <v>19066.0</v>
      </c>
      <c r="E43" s="219">
        <v>19066.0</v>
      </c>
      <c r="F43" s="219">
        <v>19066.0</v>
      </c>
      <c r="G43" s="219">
        <v>19066.0</v>
      </c>
      <c r="H43" s="219">
        <v>19066.0</v>
      </c>
      <c r="I43" s="219">
        <v>19066.0</v>
      </c>
      <c r="J43" s="219">
        <v>24205.0</v>
      </c>
      <c r="K43" s="219">
        <v>24205.0</v>
      </c>
      <c r="L43" s="219">
        <v>24205.0</v>
      </c>
      <c r="M43" s="219">
        <v>24205.0</v>
      </c>
      <c r="N43" s="219">
        <v>24205.0</v>
      </c>
      <c r="O43" s="219">
        <v>29307.0</v>
      </c>
      <c r="P43" s="219">
        <v>29307.0</v>
      </c>
      <c r="Q43" s="219">
        <v>29307.0</v>
      </c>
      <c r="R43" s="219">
        <v>32877.0</v>
      </c>
      <c r="S43" s="219">
        <v>32877.0</v>
      </c>
      <c r="T43" s="219">
        <v>32877.0</v>
      </c>
      <c r="U43" s="219">
        <v>32877.0</v>
      </c>
      <c r="V43" s="219">
        <v>32877.0</v>
      </c>
      <c r="W43" s="219">
        <v>32877.0</v>
      </c>
      <c r="X43" s="219">
        <v>33061.0</v>
      </c>
      <c r="Y43" s="219">
        <v>33077.0</v>
      </c>
      <c r="Z43" s="219">
        <v>33077.0</v>
      </c>
      <c r="AA43" s="219">
        <v>33077.0</v>
      </c>
      <c r="AB43" s="219">
        <v>33077.0</v>
      </c>
      <c r="AC43" s="219">
        <v>33077.0</v>
      </c>
    </row>
    <row r="44" ht="15.75" customHeight="1">
      <c r="A44" s="216" t="s">
        <v>472</v>
      </c>
      <c r="B44" s="218">
        <v>6790.0</v>
      </c>
      <c r="C44" s="218">
        <v>6790.0</v>
      </c>
      <c r="D44" s="218">
        <v>6790.0</v>
      </c>
      <c r="E44" s="218">
        <v>6790.0</v>
      </c>
      <c r="F44" s="218">
        <v>6790.0</v>
      </c>
      <c r="G44" s="218">
        <v>6790.0</v>
      </c>
      <c r="H44" s="218">
        <v>6790.0</v>
      </c>
      <c r="I44" s="218">
        <v>6930.0</v>
      </c>
      <c r="J44" s="218">
        <v>6930.0</v>
      </c>
      <c r="K44" s="218">
        <v>7380.0</v>
      </c>
      <c r="L44" s="218">
        <v>7236.0</v>
      </c>
      <c r="M44" s="218">
        <v>7563.0</v>
      </c>
      <c r="N44" s="218">
        <v>7255.0</v>
      </c>
      <c r="O44" s="218">
        <v>7188.0</v>
      </c>
      <c r="P44" s="218">
        <v>7188.0</v>
      </c>
      <c r="Q44" s="218">
        <v>7188.0</v>
      </c>
      <c r="R44" s="218">
        <v>6919.0</v>
      </c>
      <c r="S44" s="218">
        <v>7340.0</v>
      </c>
      <c r="T44" s="218">
        <v>7282.0</v>
      </c>
      <c r="U44" s="218">
        <v>7319.0</v>
      </c>
      <c r="V44" s="218">
        <v>7319.0</v>
      </c>
      <c r="W44" s="218">
        <v>7319.0</v>
      </c>
      <c r="X44" s="218">
        <v>7319.0</v>
      </c>
      <c r="Y44" s="218">
        <v>7319.0</v>
      </c>
      <c r="Z44" s="218">
        <v>7319.0</v>
      </c>
      <c r="AA44" s="218">
        <v>7319.0</v>
      </c>
      <c r="AB44" s="218">
        <v>7319.0</v>
      </c>
      <c r="AC44" s="218">
        <v>7319.0</v>
      </c>
    </row>
    <row r="45" ht="15.75" customHeight="1">
      <c r="A45" s="216" t="s">
        <v>473</v>
      </c>
      <c r="B45" s="218">
        <v>1158.0</v>
      </c>
      <c r="C45" s="223"/>
      <c r="D45" s="223"/>
      <c r="E45" s="223"/>
      <c r="F45" s="223"/>
      <c r="G45" s="223"/>
      <c r="H45" s="223"/>
      <c r="I45" s="223"/>
      <c r="J45" s="223"/>
      <c r="K45" s="223"/>
      <c r="L45" s="223"/>
      <c r="M45" s="223"/>
      <c r="N45" s="218">
        <v>3476.0</v>
      </c>
      <c r="O45" s="218">
        <v>3750.0</v>
      </c>
      <c r="P45" s="218">
        <v>3861.0</v>
      </c>
      <c r="Q45" s="218">
        <v>3996.0</v>
      </c>
      <c r="R45" s="218">
        <v>4147.0</v>
      </c>
      <c r="S45" s="218">
        <v>4334.0</v>
      </c>
      <c r="T45" s="218">
        <v>4567.0</v>
      </c>
      <c r="U45" s="218">
        <v>4720.0</v>
      </c>
      <c r="V45" s="218">
        <v>5007.0</v>
      </c>
      <c r="W45" s="218">
        <v>5118.0</v>
      </c>
      <c r="X45" s="218">
        <v>5666.0</v>
      </c>
      <c r="Y45" s="218">
        <v>5976.0</v>
      </c>
      <c r="Z45" s="218">
        <v>6225.0</v>
      </c>
      <c r="AA45" s="218">
        <v>7523.0</v>
      </c>
      <c r="AB45" s="218">
        <v>7536.0</v>
      </c>
      <c r="AC45" s="218">
        <v>8764.0</v>
      </c>
    </row>
    <row r="46" ht="15.75" customHeight="1">
      <c r="A46" s="216" t="s">
        <v>474</v>
      </c>
      <c r="B46" s="218">
        <v>0.0</v>
      </c>
      <c r="C46" s="218">
        <v>0.0</v>
      </c>
      <c r="D46" s="218">
        <v>0.0</v>
      </c>
      <c r="E46" s="218">
        <v>0.0</v>
      </c>
      <c r="F46" s="218">
        <v>0.0</v>
      </c>
      <c r="G46" s="218">
        <v>0.0</v>
      </c>
      <c r="H46" s="218">
        <v>0.0</v>
      </c>
      <c r="I46" s="218">
        <v>0.0</v>
      </c>
      <c r="J46" s="218">
        <v>0.0</v>
      </c>
      <c r="K46" s="218">
        <v>0.0</v>
      </c>
      <c r="L46" s="218">
        <v>0.0</v>
      </c>
      <c r="M46" s="218">
        <v>0.0</v>
      </c>
      <c r="N46" s="218">
        <v>0.0</v>
      </c>
      <c r="O46" s="218">
        <v>0.0</v>
      </c>
      <c r="P46" s="218">
        <v>0.0</v>
      </c>
      <c r="Q46" s="218">
        <v>0.0</v>
      </c>
      <c r="R46" s="218">
        <v>0.0</v>
      </c>
      <c r="S46" s="218">
        <v>0.0</v>
      </c>
      <c r="T46" s="218">
        <v>0.0</v>
      </c>
      <c r="U46" s="218">
        <v>0.0</v>
      </c>
      <c r="V46" s="218">
        <v>800.0</v>
      </c>
      <c r="W46" s="218">
        <v>800.0</v>
      </c>
      <c r="X46" s="220">
        <v>800.0</v>
      </c>
      <c r="Y46" s="220">
        <v>800.0</v>
      </c>
      <c r="Z46" s="220">
        <v>800.0</v>
      </c>
      <c r="AA46" s="220">
        <v>800.0</v>
      </c>
      <c r="AB46" s="220">
        <v>800.0</v>
      </c>
      <c r="AC46" s="220">
        <v>800.0</v>
      </c>
    </row>
    <row r="47" ht="15.75" customHeight="1">
      <c r="A47" s="216" t="s">
        <v>475</v>
      </c>
      <c r="B47" s="218">
        <v>1356.0</v>
      </c>
      <c r="C47" s="218">
        <v>1406.0</v>
      </c>
      <c r="D47" s="218">
        <v>1406.0</v>
      </c>
      <c r="E47" s="218">
        <v>1406.0</v>
      </c>
      <c r="F47" s="218">
        <v>1506.0</v>
      </c>
      <c r="G47" s="218">
        <v>1506.0</v>
      </c>
      <c r="H47" s="218">
        <v>1506.0</v>
      </c>
      <c r="I47" s="218">
        <v>1556.0</v>
      </c>
      <c r="J47" s="218">
        <v>1683.0</v>
      </c>
      <c r="K47" s="218">
        <v>1683.0</v>
      </c>
      <c r="L47" s="218">
        <v>1750.0</v>
      </c>
      <c r="M47" s="218">
        <v>1892.0</v>
      </c>
      <c r="N47" s="218">
        <v>1931.0</v>
      </c>
      <c r="O47" s="218">
        <v>1907.0</v>
      </c>
      <c r="P47" s="218">
        <v>2007.0</v>
      </c>
      <c r="Q47" s="218">
        <v>2276.0</v>
      </c>
      <c r="R47" s="218">
        <v>1983.0</v>
      </c>
      <c r="S47" s="218">
        <v>2451.0</v>
      </c>
      <c r="T47" s="218">
        <v>2550.0</v>
      </c>
      <c r="U47" s="218">
        <v>2621.0</v>
      </c>
      <c r="V47" s="218">
        <v>2621.0</v>
      </c>
      <c r="W47" s="218">
        <v>2437.0</v>
      </c>
      <c r="X47" s="218">
        <v>2973.0</v>
      </c>
      <c r="Y47" s="218">
        <v>2736.0</v>
      </c>
      <c r="Z47" s="218">
        <v>2978.0</v>
      </c>
      <c r="AA47" s="218">
        <v>3241.0</v>
      </c>
      <c r="AB47" s="218">
        <v>3111.0</v>
      </c>
      <c r="AC47" s="218">
        <v>2900.0</v>
      </c>
    </row>
    <row r="48" ht="15.75" customHeight="1">
      <c r="A48" s="216" t="s">
        <v>476</v>
      </c>
      <c r="B48" s="223"/>
      <c r="C48" s="223"/>
      <c r="D48" s="223"/>
      <c r="E48" s="223"/>
      <c r="F48" s="223"/>
      <c r="G48" s="223"/>
      <c r="H48" s="223"/>
      <c r="I48" s="223"/>
      <c r="J48" s="223"/>
      <c r="K48" s="223"/>
      <c r="L48" s="223"/>
      <c r="M48" s="223"/>
      <c r="N48" s="223"/>
      <c r="O48" s="223"/>
      <c r="P48" s="223"/>
      <c r="Q48" s="223"/>
      <c r="R48" s="223"/>
      <c r="S48" s="223"/>
      <c r="T48" s="223"/>
      <c r="U48" s="223"/>
      <c r="V48" s="223"/>
      <c r="W48" s="223"/>
      <c r="X48" s="217"/>
      <c r="Y48" s="217"/>
      <c r="Z48" s="217"/>
      <c r="AA48" s="217"/>
      <c r="AB48" s="217"/>
      <c r="AC48" s="217"/>
    </row>
    <row r="49" ht="15.75" customHeight="1">
      <c r="A49" s="216" t="s">
        <v>477</v>
      </c>
      <c r="B49" s="218">
        <v>3404.0</v>
      </c>
      <c r="C49" s="218">
        <v>3380.0</v>
      </c>
      <c r="D49" s="218">
        <v>3666.0</v>
      </c>
      <c r="E49" s="218">
        <v>3752.0</v>
      </c>
      <c r="F49" s="218">
        <v>3906.0</v>
      </c>
      <c r="G49" s="218">
        <v>4023.0</v>
      </c>
      <c r="H49" s="218">
        <v>4190.0</v>
      </c>
      <c r="I49" s="218">
        <v>4130.0</v>
      </c>
      <c r="J49" s="218">
        <v>4250.0</v>
      </c>
      <c r="K49" s="218">
        <v>3959.0</v>
      </c>
      <c r="L49" s="218">
        <v>4198.0</v>
      </c>
      <c r="M49" s="218">
        <v>4432.0</v>
      </c>
      <c r="N49" s="218">
        <v>4377.0</v>
      </c>
      <c r="O49" s="218">
        <v>4577.0</v>
      </c>
      <c r="P49" s="218">
        <v>5005.0</v>
      </c>
      <c r="Q49" s="218">
        <v>5233.0</v>
      </c>
      <c r="R49" s="218">
        <v>4572.0</v>
      </c>
      <c r="S49" s="218">
        <v>4871.0</v>
      </c>
      <c r="T49" s="218">
        <v>4938.0</v>
      </c>
      <c r="U49" s="218">
        <v>5121.0</v>
      </c>
      <c r="V49" s="218">
        <v>7552.0</v>
      </c>
      <c r="W49" s="218">
        <v>8503.0</v>
      </c>
      <c r="X49" s="218">
        <v>9078.0</v>
      </c>
      <c r="Y49" s="218">
        <v>9076.0</v>
      </c>
      <c r="Z49" s="218">
        <v>9257.0</v>
      </c>
      <c r="AA49" s="218">
        <v>8975.0</v>
      </c>
      <c r="AB49" s="218">
        <v>1100.0</v>
      </c>
      <c r="AC49" s="220">
        <v>0.0</v>
      </c>
    </row>
    <row r="50" ht="15.75" customHeight="1">
      <c r="A50" s="216" t="s">
        <v>478</v>
      </c>
      <c r="B50" s="218">
        <v>2487.0</v>
      </c>
      <c r="C50" s="218">
        <v>2849.0</v>
      </c>
      <c r="D50" s="218">
        <v>3138.0</v>
      </c>
      <c r="E50" s="218">
        <v>3532.0</v>
      </c>
      <c r="F50" s="218">
        <v>3337.0</v>
      </c>
      <c r="G50" s="218">
        <v>3267.0</v>
      </c>
      <c r="H50" s="218">
        <v>3451.0</v>
      </c>
      <c r="I50" s="218">
        <v>3510.0</v>
      </c>
      <c r="J50" s="218">
        <v>3714.0</v>
      </c>
      <c r="K50" s="218">
        <v>3628.0</v>
      </c>
      <c r="L50" s="218">
        <v>3766.0</v>
      </c>
      <c r="M50" s="218">
        <v>3916.0</v>
      </c>
      <c r="N50" s="218">
        <v>3839.0</v>
      </c>
      <c r="O50" s="218">
        <v>4341.0</v>
      </c>
      <c r="P50" s="218">
        <v>4557.0</v>
      </c>
      <c r="Q50" s="218">
        <v>4597.0</v>
      </c>
      <c r="R50" s="218">
        <v>6113.0</v>
      </c>
      <c r="S50" s="218">
        <v>5884.0</v>
      </c>
      <c r="T50" s="218">
        <v>6025.0</v>
      </c>
      <c r="U50" s="218">
        <v>5831.0</v>
      </c>
      <c r="V50" s="218">
        <v>3542.0</v>
      </c>
      <c r="W50" s="218">
        <v>7596.0</v>
      </c>
      <c r="X50" s="218">
        <v>6899.0</v>
      </c>
      <c r="Y50" s="218">
        <v>9727.0</v>
      </c>
      <c r="Z50" s="218">
        <v>10123.0</v>
      </c>
      <c r="AA50" s="218">
        <v>9781.0</v>
      </c>
      <c r="AB50" s="220">
        <v>299.0</v>
      </c>
      <c r="AC50" s="220">
        <v>0.0</v>
      </c>
    </row>
    <row r="51" ht="15.75" customHeight="1">
      <c r="A51" s="216" t="s">
        <v>479</v>
      </c>
      <c r="B51" s="221">
        <v>579.0</v>
      </c>
      <c r="C51" s="221">
        <v>498.0</v>
      </c>
      <c r="D51" s="221">
        <v>311.0</v>
      </c>
      <c r="E51" s="221">
        <v>706.0</v>
      </c>
      <c r="F51" s="221">
        <v>914.0</v>
      </c>
      <c r="G51" s="221">
        <v>855.0</v>
      </c>
      <c r="H51" s="221">
        <v>953.0</v>
      </c>
      <c r="I51" s="221">
        <v>985.0</v>
      </c>
      <c r="J51" s="221">
        <v>1730.0</v>
      </c>
      <c r="K51" s="221">
        <v>1073.0</v>
      </c>
      <c r="L51" s="221">
        <v>1205.0</v>
      </c>
      <c r="M51" s="221">
        <v>1436.0</v>
      </c>
      <c r="N51" s="221">
        <v>1489.0</v>
      </c>
      <c r="O51" s="221">
        <v>1642.0</v>
      </c>
      <c r="P51" s="221">
        <v>1479.0</v>
      </c>
      <c r="Q51" s="221">
        <v>1361.0</v>
      </c>
      <c r="R51" s="221">
        <v>1243.0</v>
      </c>
      <c r="S51" s="221">
        <v>1185.0</v>
      </c>
      <c r="T51" s="221">
        <v>1112.0</v>
      </c>
      <c r="U51" s="221">
        <v>1065.0</v>
      </c>
      <c r="V51" s="221">
        <v>1077.0</v>
      </c>
      <c r="W51" s="221">
        <v>3273.0</v>
      </c>
      <c r="X51" s="221">
        <v>2799.0</v>
      </c>
      <c r="Y51" s="221">
        <v>3794.0</v>
      </c>
      <c r="Z51" s="221">
        <v>4200.0</v>
      </c>
      <c r="AA51" s="221">
        <v>4997.0</v>
      </c>
      <c r="AB51" s="221">
        <v>2000.0</v>
      </c>
      <c r="AC51" s="221">
        <v>0.0</v>
      </c>
    </row>
    <row r="52" ht="15.75" customHeight="1">
      <c r="A52" s="216" t="s">
        <v>480</v>
      </c>
      <c r="B52" s="221">
        <v>671.0</v>
      </c>
      <c r="C52" s="221">
        <v>583.0</v>
      </c>
      <c r="D52" s="221">
        <v>888.0</v>
      </c>
      <c r="E52" s="221">
        <v>1219.0</v>
      </c>
      <c r="F52" s="221">
        <v>1474.0</v>
      </c>
      <c r="G52" s="221">
        <v>1322.0</v>
      </c>
      <c r="H52" s="221">
        <v>1588.0</v>
      </c>
      <c r="I52" s="221">
        <v>1625.0</v>
      </c>
      <c r="J52" s="221">
        <v>1730.0</v>
      </c>
      <c r="K52" s="221">
        <v>1633.0</v>
      </c>
      <c r="L52" s="221">
        <v>1781.0</v>
      </c>
      <c r="M52" s="221">
        <v>1826.0</v>
      </c>
      <c r="N52" s="221">
        <v>1750.0</v>
      </c>
      <c r="O52" s="221">
        <v>2098.0</v>
      </c>
      <c r="P52" s="221">
        <v>1175.0</v>
      </c>
      <c r="Q52" s="221">
        <v>1245.0</v>
      </c>
      <c r="R52" s="221">
        <v>4231.0</v>
      </c>
      <c r="S52" s="221">
        <v>1472.0</v>
      </c>
      <c r="T52" s="221">
        <v>1891.0</v>
      </c>
      <c r="U52" s="221">
        <v>1943.0</v>
      </c>
      <c r="V52" s="221">
        <v>2204.0</v>
      </c>
      <c r="W52" s="221">
        <v>4233.0</v>
      </c>
      <c r="X52" s="221">
        <v>3978.0</v>
      </c>
      <c r="Y52" s="221">
        <v>7986.0</v>
      </c>
      <c r="Z52" s="221">
        <v>4786.0</v>
      </c>
      <c r="AA52" s="221">
        <v>4371.0</v>
      </c>
      <c r="AB52" s="221">
        <v>0.0</v>
      </c>
      <c r="AC52" s="221">
        <v>0.0</v>
      </c>
    </row>
    <row r="53" ht="15.75" customHeight="1">
      <c r="A53" s="216" t="s">
        <v>481</v>
      </c>
      <c r="B53" s="219">
        <v>7141.0</v>
      </c>
      <c r="C53" s="219">
        <v>7310.0</v>
      </c>
      <c r="D53" s="219">
        <v>8003.0</v>
      </c>
      <c r="E53" s="219">
        <v>9209.0</v>
      </c>
      <c r="F53" s="219">
        <v>9631.0</v>
      </c>
      <c r="G53" s="219">
        <v>9467.0</v>
      </c>
      <c r="H53" s="219">
        <v>10182.0</v>
      </c>
      <c r="I53" s="219">
        <v>10250.0</v>
      </c>
      <c r="J53" s="219">
        <v>11424.0</v>
      </c>
      <c r="K53" s="219">
        <v>10293.0</v>
      </c>
      <c r="L53" s="219">
        <v>10950.0</v>
      </c>
      <c r="M53" s="219">
        <v>11610.0</v>
      </c>
      <c r="N53" s="219">
        <v>11455.0</v>
      </c>
      <c r="O53" s="219">
        <v>12658.0</v>
      </c>
      <c r="P53" s="219">
        <v>12216.0</v>
      </c>
      <c r="Q53" s="219">
        <v>12436.0</v>
      </c>
      <c r="R53" s="219">
        <v>16159.0</v>
      </c>
      <c r="S53" s="219">
        <v>13412.0</v>
      </c>
      <c r="T53" s="219">
        <v>13966.0</v>
      </c>
      <c r="U53" s="219">
        <v>13960.0</v>
      </c>
      <c r="V53" s="219">
        <v>14375.0</v>
      </c>
      <c r="W53" s="219">
        <v>23605.0</v>
      </c>
      <c r="X53" s="219">
        <v>22754.0</v>
      </c>
      <c r="Y53" s="219">
        <v>30583.0</v>
      </c>
      <c r="Z53" s="219">
        <v>28366.0</v>
      </c>
      <c r="AA53" s="219">
        <v>28124.0</v>
      </c>
      <c r="AB53" s="219">
        <v>3399.0</v>
      </c>
      <c r="AC53" s="219">
        <v>0.0</v>
      </c>
    </row>
    <row r="54" ht="15.75" customHeight="1">
      <c r="A54" s="216" t="s">
        <v>482</v>
      </c>
      <c r="B54" s="225">
        <v>50542.0</v>
      </c>
      <c r="C54" s="225">
        <v>50269.0</v>
      </c>
      <c r="D54" s="225">
        <v>51143.0</v>
      </c>
      <c r="E54" s="225">
        <v>52996.0</v>
      </c>
      <c r="F54" s="225">
        <v>55074.0</v>
      </c>
      <c r="G54" s="225">
        <v>57452.0</v>
      </c>
      <c r="H54" s="225">
        <v>60362.0</v>
      </c>
      <c r="I54" s="225">
        <v>59944.0</v>
      </c>
      <c r="J54" s="225">
        <v>67531.0</v>
      </c>
      <c r="K54" s="225">
        <v>67371.0</v>
      </c>
      <c r="L54" s="225">
        <v>67615.0</v>
      </c>
      <c r="M54" s="225">
        <v>70083.0</v>
      </c>
      <c r="N54" s="225">
        <v>72901.0</v>
      </c>
      <c r="O54" s="225">
        <v>75762.0</v>
      </c>
      <c r="P54" s="225">
        <v>79851.0</v>
      </c>
      <c r="Q54" s="225">
        <v>80066.0</v>
      </c>
      <c r="R54" s="225">
        <v>85460.0</v>
      </c>
      <c r="S54" s="225">
        <v>85301.0</v>
      </c>
      <c r="T54" s="225">
        <v>86169.0</v>
      </c>
      <c r="U54" s="225">
        <v>86722.0</v>
      </c>
      <c r="V54" s="225">
        <v>88287.0</v>
      </c>
      <c r="W54" s="226">
        <v>92782.0</v>
      </c>
      <c r="X54" s="226">
        <v>95217.0</v>
      </c>
      <c r="Y54" s="226">
        <v>102051.0</v>
      </c>
      <c r="Z54" s="226">
        <v>102338.0</v>
      </c>
      <c r="AA54" s="226">
        <v>111703.0</v>
      </c>
      <c r="AB54" s="226">
        <v>86317.0</v>
      </c>
      <c r="AC54" s="226">
        <v>87926.0</v>
      </c>
    </row>
    <row r="55" ht="15.75" customHeight="1">
      <c r="A55" s="216" t="s">
        <v>483</v>
      </c>
      <c r="B55" s="223"/>
      <c r="C55" s="223"/>
      <c r="D55" s="223"/>
      <c r="E55" s="223"/>
      <c r="F55" s="223"/>
      <c r="G55" s="223"/>
      <c r="H55" s="223"/>
      <c r="I55" s="223"/>
      <c r="J55" s="223"/>
      <c r="K55" s="223"/>
      <c r="L55" s="223"/>
      <c r="M55" s="223"/>
      <c r="N55" s="223"/>
      <c r="O55" s="223"/>
      <c r="P55" s="223"/>
      <c r="Q55" s="223"/>
      <c r="R55" s="223"/>
      <c r="S55" s="223"/>
      <c r="T55" s="223"/>
      <c r="U55" s="223"/>
      <c r="V55" s="223"/>
      <c r="W55" s="223"/>
      <c r="X55" s="217"/>
      <c r="Y55" s="217"/>
      <c r="Z55" s="217"/>
      <c r="AA55" s="217"/>
      <c r="AB55" s="217"/>
      <c r="AC55" s="217"/>
    </row>
    <row r="56" ht="15.75" customHeight="1">
      <c r="A56" s="216" t="s">
        <v>484</v>
      </c>
      <c r="B56" s="218">
        <v>20800.0</v>
      </c>
      <c r="C56" s="218">
        <v>21162.0</v>
      </c>
      <c r="D56" s="218">
        <v>24016.0</v>
      </c>
      <c r="E56" s="218">
        <v>24060.0</v>
      </c>
      <c r="F56" s="218">
        <v>23821.0</v>
      </c>
      <c r="G56" s="218">
        <v>23226.0</v>
      </c>
      <c r="H56" s="218">
        <v>24060.0</v>
      </c>
      <c r="I56" s="218">
        <v>26430.0</v>
      </c>
      <c r="J56" s="218">
        <v>23500.0</v>
      </c>
      <c r="K56" s="218">
        <v>27820.0</v>
      </c>
      <c r="L56" s="218">
        <v>29340.0</v>
      </c>
      <c r="M56" s="218">
        <v>27420.0</v>
      </c>
      <c r="N56" s="218">
        <v>26920.0</v>
      </c>
      <c r="O56" s="218">
        <v>27893.0</v>
      </c>
      <c r="P56" s="218">
        <v>27893.0</v>
      </c>
      <c r="Q56" s="218">
        <v>29881.0</v>
      </c>
      <c r="R56" s="218">
        <v>28893.0</v>
      </c>
      <c r="S56" s="218">
        <v>27658.0</v>
      </c>
      <c r="T56" s="218">
        <v>27287.0</v>
      </c>
      <c r="U56" s="218">
        <v>29822.0</v>
      </c>
      <c r="V56" s="218">
        <v>29822.0</v>
      </c>
      <c r="W56" s="218">
        <v>29822.0</v>
      </c>
      <c r="X56" s="218">
        <v>29822.0</v>
      </c>
      <c r="Y56" s="218">
        <v>29822.0</v>
      </c>
      <c r="Z56" s="218">
        <v>29822.0</v>
      </c>
      <c r="AA56" s="218">
        <v>35789.0</v>
      </c>
      <c r="AB56" s="218">
        <v>32000.0</v>
      </c>
      <c r="AC56" s="218">
        <v>29400.0</v>
      </c>
    </row>
    <row r="57" ht="15.75" customHeight="1">
      <c r="A57" s="216" t="s">
        <v>485</v>
      </c>
      <c r="B57" s="223"/>
      <c r="C57" s="223"/>
      <c r="D57" s="223"/>
      <c r="E57" s="223"/>
      <c r="F57" s="223"/>
      <c r="G57" s="223"/>
      <c r="H57" s="223"/>
      <c r="I57" s="223"/>
      <c r="J57" s="223"/>
      <c r="K57" s="223"/>
      <c r="L57" s="223"/>
      <c r="M57" s="223"/>
      <c r="N57" s="223"/>
      <c r="O57" s="223"/>
      <c r="P57" s="223"/>
      <c r="Q57" s="223"/>
      <c r="R57" s="223"/>
      <c r="S57" s="223"/>
      <c r="T57" s="223"/>
      <c r="U57" s="223"/>
      <c r="V57" s="223"/>
      <c r="W57" s="223"/>
      <c r="X57" s="217"/>
      <c r="Y57" s="217"/>
      <c r="Z57" s="217"/>
      <c r="AA57" s="217"/>
      <c r="AB57" s="217"/>
      <c r="AC57" s="217"/>
    </row>
    <row r="58" ht="15.75" customHeight="1">
      <c r="A58" s="216" t="s">
        <v>486</v>
      </c>
      <c r="B58" s="218">
        <v>2966.0</v>
      </c>
      <c r="C58" s="218">
        <v>3164.0</v>
      </c>
      <c r="D58" s="218">
        <v>3361.0</v>
      </c>
      <c r="E58" s="218">
        <v>3361.0</v>
      </c>
      <c r="F58" s="218">
        <v>3361.0</v>
      </c>
      <c r="G58" s="218">
        <v>3559.0</v>
      </c>
      <c r="H58" s="218">
        <v>3559.0</v>
      </c>
      <c r="I58" s="218">
        <v>3559.0</v>
      </c>
      <c r="J58" s="218">
        <v>3756.0</v>
      </c>
      <c r="K58" s="218">
        <v>3756.0</v>
      </c>
      <c r="L58" s="218">
        <v>3756.0</v>
      </c>
      <c r="M58" s="218">
        <v>4150.0</v>
      </c>
      <c r="N58" s="218">
        <v>4150.0</v>
      </c>
      <c r="O58" s="218">
        <v>4150.0</v>
      </c>
      <c r="P58" s="218">
        <v>4150.0</v>
      </c>
      <c r="Q58" s="218">
        <v>4150.0</v>
      </c>
      <c r="R58" s="218">
        <v>4450.0</v>
      </c>
      <c r="S58" s="218">
        <v>4450.0</v>
      </c>
      <c r="T58" s="218">
        <v>4450.0</v>
      </c>
      <c r="U58" s="218">
        <v>4450.0</v>
      </c>
      <c r="V58" s="218">
        <v>4450.0</v>
      </c>
      <c r="W58" s="218">
        <v>4450.0</v>
      </c>
      <c r="X58" s="218">
        <v>4450.0</v>
      </c>
      <c r="Y58" s="218">
        <v>4450.0</v>
      </c>
      <c r="Z58" s="218">
        <v>4450.0</v>
      </c>
      <c r="AA58" s="218">
        <v>4450.0</v>
      </c>
      <c r="AB58" s="218">
        <v>4450.0</v>
      </c>
      <c r="AC58" s="218">
        <v>4450.0</v>
      </c>
    </row>
    <row r="59" ht="15.75" customHeight="1">
      <c r="A59" s="216" t="s">
        <v>487</v>
      </c>
      <c r="B59" s="218">
        <v>14850.0</v>
      </c>
      <c r="C59" s="218">
        <v>15600.0</v>
      </c>
      <c r="D59" s="218">
        <v>16574.0</v>
      </c>
      <c r="E59" s="218">
        <v>16574.0</v>
      </c>
      <c r="F59" s="218">
        <v>16574.0</v>
      </c>
      <c r="G59" s="218">
        <v>17549.0</v>
      </c>
      <c r="H59" s="218">
        <v>17549.0</v>
      </c>
      <c r="I59" s="218">
        <v>17549.0</v>
      </c>
      <c r="J59" s="218">
        <v>18017.0</v>
      </c>
      <c r="K59" s="218">
        <v>18017.0</v>
      </c>
      <c r="L59" s="218">
        <v>18017.0</v>
      </c>
      <c r="M59" s="218">
        <v>18962.0</v>
      </c>
      <c r="N59" s="218">
        <v>18962.0</v>
      </c>
      <c r="O59" s="218">
        <v>18962.0</v>
      </c>
      <c r="P59" s="218">
        <v>18962.0</v>
      </c>
      <c r="Q59" s="218">
        <v>18962.0</v>
      </c>
      <c r="R59" s="218">
        <v>19450.0</v>
      </c>
      <c r="S59" s="218">
        <v>19450.0</v>
      </c>
      <c r="T59" s="218">
        <v>19450.0</v>
      </c>
      <c r="U59" s="218">
        <v>19450.0</v>
      </c>
      <c r="V59" s="218">
        <v>19450.0</v>
      </c>
      <c r="W59" s="218">
        <v>19450.0</v>
      </c>
      <c r="X59" s="218">
        <v>19450.0</v>
      </c>
      <c r="Y59" s="218">
        <v>19450.0</v>
      </c>
      <c r="Z59" s="218">
        <v>19450.0</v>
      </c>
      <c r="AA59" s="218">
        <v>19450.0</v>
      </c>
      <c r="AB59" s="218">
        <v>19450.0</v>
      </c>
      <c r="AC59" s="218">
        <v>19450.0</v>
      </c>
    </row>
    <row r="60" ht="15.75" customHeight="1">
      <c r="A60" s="216" t="s">
        <v>488</v>
      </c>
      <c r="B60" s="221">
        <v>165000.0</v>
      </c>
      <c r="C60" s="221">
        <v>173328.0</v>
      </c>
      <c r="D60" s="221">
        <v>184161.0</v>
      </c>
      <c r="E60" s="221">
        <v>184161.0</v>
      </c>
      <c r="F60" s="221">
        <v>184161.0</v>
      </c>
      <c r="G60" s="221">
        <v>194994.0</v>
      </c>
      <c r="H60" s="221">
        <v>194994.0</v>
      </c>
      <c r="I60" s="221">
        <v>194994.0</v>
      </c>
      <c r="J60" s="221">
        <v>200194.0</v>
      </c>
      <c r="K60" s="221">
        <v>200194.0</v>
      </c>
      <c r="L60" s="221">
        <v>200194.0</v>
      </c>
      <c r="M60" s="221">
        <v>210694.0</v>
      </c>
      <c r="N60" s="221">
        <v>210694.0</v>
      </c>
      <c r="O60" s="221">
        <v>210694.0</v>
      </c>
      <c r="P60" s="221">
        <v>210694.0</v>
      </c>
      <c r="Q60" s="221">
        <v>210694.0</v>
      </c>
      <c r="R60" s="221">
        <v>215694.0</v>
      </c>
      <c r="S60" s="221">
        <v>215694.0</v>
      </c>
      <c r="T60" s="221">
        <v>215694.0</v>
      </c>
      <c r="U60" s="221">
        <v>215694.0</v>
      </c>
      <c r="V60" s="221">
        <v>215694.0</v>
      </c>
      <c r="W60" s="221">
        <v>225052.0</v>
      </c>
      <c r="X60" s="221">
        <v>225052.0</v>
      </c>
      <c r="Y60" s="221">
        <v>225052.0</v>
      </c>
      <c r="Z60" s="221">
        <v>225052.0</v>
      </c>
      <c r="AA60" s="221">
        <v>225052.0</v>
      </c>
      <c r="AB60" s="221">
        <v>225052.0</v>
      </c>
      <c r="AC60" s="221">
        <v>225052.0</v>
      </c>
    </row>
    <row r="61" ht="15.75" customHeight="1">
      <c r="A61" s="216" t="s">
        <v>489</v>
      </c>
      <c r="B61" s="219">
        <v>182816.0</v>
      </c>
      <c r="C61" s="219">
        <v>192092.0</v>
      </c>
      <c r="D61" s="219">
        <v>204096.0</v>
      </c>
      <c r="E61" s="219">
        <v>204096.0</v>
      </c>
      <c r="F61" s="219">
        <v>204096.0</v>
      </c>
      <c r="G61" s="219">
        <v>216102.0</v>
      </c>
      <c r="H61" s="219">
        <v>216102.0</v>
      </c>
      <c r="I61" s="219">
        <v>216102.0</v>
      </c>
      <c r="J61" s="219">
        <v>221967.0</v>
      </c>
      <c r="K61" s="219">
        <v>221967.0</v>
      </c>
      <c r="L61" s="219">
        <v>221967.0</v>
      </c>
      <c r="M61" s="219">
        <v>233806.0</v>
      </c>
      <c r="N61" s="219">
        <v>233806.0</v>
      </c>
      <c r="O61" s="219">
        <v>233806.0</v>
      </c>
      <c r="P61" s="219">
        <v>233806.0</v>
      </c>
      <c r="Q61" s="219">
        <v>233806.0</v>
      </c>
      <c r="R61" s="219">
        <v>239594.0</v>
      </c>
      <c r="S61" s="219">
        <v>239594.0</v>
      </c>
      <c r="T61" s="219">
        <v>239594.0</v>
      </c>
      <c r="U61" s="219">
        <v>239594.0</v>
      </c>
      <c r="V61" s="219">
        <v>239594.0</v>
      </c>
      <c r="W61" s="219">
        <v>248952.0</v>
      </c>
      <c r="X61" s="219">
        <v>248952.0</v>
      </c>
      <c r="Y61" s="219">
        <v>248952.0</v>
      </c>
      <c r="Z61" s="219">
        <v>248952.0</v>
      </c>
      <c r="AA61" s="219">
        <v>248952.0</v>
      </c>
      <c r="AB61" s="219">
        <v>248952.0</v>
      </c>
      <c r="AC61" s="219">
        <v>248952.0</v>
      </c>
    </row>
    <row r="62" ht="15.75" customHeight="1">
      <c r="A62" s="216" t="s">
        <v>490</v>
      </c>
      <c r="B62" s="219">
        <v>203616.0</v>
      </c>
      <c r="C62" s="219">
        <v>213254.0</v>
      </c>
      <c r="D62" s="219">
        <v>228112.0</v>
      </c>
      <c r="E62" s="219">
        <v>228156.0</v>
      </c>
      <c r="F62" s="219">
        <v>227917.0</v>
      </c>
      <c r="G62" s="219">
        <v>239328.0</v>
      </c>
      <c r="H62" s="219">
        <v>240162.0</v>
      </c>
      <c r="I62" s="219">
        <v>242532.0</v>
      </c>
      <c r="J62" s="219">
        <v>245467.0</v>
      </c>
      <c r="K62" s="219">
        <v>249787.0</v>
      </c>
      <c r="L62" s="219">
        <v>251307.0</v>
      </c>
      <c r="M62" s="219">
        <v>261226.0</v>
      </c>
      <c r="N62" s="219">
        <v>260726.0</v>
      </c>
      <c r="O62" s="219">
        <v>261699.0</v>
      </c>
      <c r="P62" s="219">
        <v>261699.0</v>
      </c>
      <c r="Q62" s="219">
        <v>263687.0</v>
      </c>
      <c r="R62" s="219">
        <v>268487.0</v>
      </c>
      <c r="S62" s="219">
        <v>267252.0</v>
      </c>
      <c r="T62" s="219">
        <v>266881.0</v>
      </c>
      <c r="U62" s="219">
        <v>269416.0</v>
      </c>
      <c r="V62" s="219">
        <v>269416.0</v>
      </c>
      <c r="W62" s="219">
        <v>278774.0</v>
      </c>
      <c r="X62" s="219">
        <v>278774.0</v>
      </c>
      <c r="Y62" s="219">
        <v>278774.0</v>
      </c>
      <c r="Z62" s="219">
        <v>278774.0</v>
      </c>
      <c r="AA62" s="219">
        <v>284741.0</v>
      </c>
      <c r="AB62" s="219">
        <v>280952.0</v>
      </c>
      <c r="AC62" s="219">
        <v>278352.0</v>
      </c>
    </row>
    <row r="63" ht="15.75" customHeight="1">
      <c r="A63" s="216" t="s">
        <v>31</v>
      </c>
      <c r="B63" s="217"/>
      <c r="C63" s="217"/>
      <c r="D63" s="217"/>
      <c r="E63" s="217"/>
      <c r="F63" s="217"/>
      <c r="G63" s="217"/>
      <c r="H63" s="217"/>
      <c r="I63" s="217"/>
      <c r="J63" s="217"/>
      <c r="K63" s="217"/>
      <c r="L63" s="217"/>
      <c r="M63" s="217"/>
      <c r="N63" s="217"/>
      <c r="O63" s="217"/>
      <c r="P63" s="217"/>
      <c r="Q63" s="217"/>
      <c r="R63" s="217"/>
      <c r="S63" s="217"/>
      <c r="T63" s="217"/>
      <c r="U63" s="217"/>
      <c r="V63" s="217"/>
      <c r="W63" s="217"/>
      <c r="X63" s="217"/>
      <c r="Y63" s="217"/>
      <c r="Z63" s="217"/>
      <c r="AA63" s="217"/>
      <c r="AB63" s="217"/>
      <c r="AC63" s="217"/>
    </row>
    <row r="64" ht="15.75" customHeight="1">
      <c r="A64" s="216" t="s">
        <v>184</v>
      </c>
      <c r="B64" s="223"/>
      <c r="C64" s="223"/>
      <c r="D64" s="223"/>
      <c r="E64" s="223"/>
      <c r="F64" s="223"/>
      <c r="G64" s="223"/>
      <c r="H64" s="223"/>
      <c r="I64" s="223"/>
      <c r="J64" s="223"/>
      <c r="K64" s="223"/>
      <c r="L64" s="223"/>
      <c r="M64" s="223"/>
      <c r="N64" s="223"/>
      <c r="O64" s="223"/>
      <c r="P64" s="223"/>
      <c r="Q64" s="223"/>
      <c r="R64" s="223"/>
      <c r="S64" s="223"/>
      <c r="T64" s="223"/>
      <c r="U64" s="223"/>
      <c r="V64" s="223"/>
      <c r="W64" s="223"/>
      <c r="X64" s="217"/>
      <c r="Y64" s="217"/>
      <c r="Z64" s="217"/>
      <c r="AA64" s="217"/>
      <c r="AB64" s="217"/>
      <c r="AC64" s="217"/>
    </row>
    <row r="65" ht="15.75" customHeight="1">
      <c r="A65" s="216" t="s">
        <v>491</v>
      </c>
      <c r="B65" s="218">
        <v>43624.0</v>
      </c>
      <c r="C65" s="218">
        <v>46167.0</v>
      </c>
      <c r="D65" s="218">
        <v>48966.0</v>
      </c>
      <c r="E65" s="218">
        <v>51878.0</v>
      </c>
      <c r="F65" s="218">
        <v>55509.0</v>
      </c>
      <c r="G65" s="218">
        <v>57730.0</v>
      </c>
      <c r="H65" s="218">
        <v>66678.0</v>
      </c>
      <c r="I65" s="218">
        <v>72175.0</v>
      </c>
      <c r="J65" s="218">
        <v>95583.0</v>
      </c>
      <c r="K65" s="218">
        <v>100753.0</v>
      </c>
      <c r="L65" s="218">
        <v>121866.0</v>
      </c>
      <c r="M65" s="218">
        <v>132194.0</v>
      </c>
      <c r="N65" s="218">
        <v>135234.0</v>
      </c>
      <c r="O65" s="218">
        <v>156382.0</v>
      </c>
      <c r="P65" s="218">
        <v>158221.0</v>
      </c>
      <c r="Q65" s="218">
        <v>156382.0</v>
      </c>
      <c r="R65" s="218">
        <v>171134.0</v>
      </c>
      <c r="S65" s="218">
        <v>168772.0</v>
      </c>
      <c r="T65" s="218">
        <v>166219.0</v>
      </c>
      <c r="U65" s="218">
        <v>168021.0</v>
      </c>
      <c r="V65" s="218">
        <v>172114.0</v>
      </c>
      <c r="W65" s="218">
        <v>152043.0</v>
      </c>
      <c r="X65" s="218">
        <v>163012.0</v>
      </c>
      <c r="Y65" s="218">
        <v>175421.0</v>
      </c>
      <c r="Z65" s="218">
        <v>179427.0</v>
      </c>
      <c r="AA65" s="218">
        <v>185764.0</v>
      </c>
      <c r="AB65" s="218">
        <v>175764.0</v>
      </c>
      <c r="AC65" s="218">
        <v>167469.0</v>
      </c>
    </row>
    <row r="66" ht="15.75" customHeight="1">
      <c r="A66" s="216" t="s">
        <v>492</v>
      </c>
      <c r="B66" s="217"/>
      <c r="C66" s="217"/>
      <c r="D66" s="217"/>
      <c r="E66" s="217"/>
      <c r="F66" s="217"/>
      <c r="G66" s="217"/>
      <c r="H66" s="217"/>
      <c r="I66" s="217"/>
      <c r="J66" s="217"/>
      <c r="K66" s="223"/>
      <c r="L66" s="223"/>
      <c r="M66" s="223"/>
      <c r="N66" s="223"/>
      <c r="O66" s="223"/>
      <c r="P66" s="223"/>
      <c r="Q66" s="223"/>
      <c r="R66" s="223"/>
      <c r="S66" s="223"/>
      <c r="T66" s="223"/>
      <c r="U66" s="223"/>
      <c r="V66" s="223"/>
      <c r="W66" s="223"/>
      <c r="X66" s="217"/>
      <c r="Y66" s="217"/>
      <c r="Z66" s="217"/>
      <c r="AA66" s="217"/>
      <c r="AB66" s="217"/>
      <c r="AC66" s="217"/>
    </row>
    <row r="67" ht="15.75" customHeight="1">
      <c r="A67" s="216" t="s">
        <v>493</v>
      </c>
      <c r="B67" s="220">
        <v>450.0</v>
      </c>
      <c r="C67" s="220">
        <v>450.0</v>
      </c>
      <c r="D67" s="220">
        <v>450.0</v>
      </c>
      <c r="E67" s="220">
        <v>450.0</v>
      </c>
      <c r="F67" s="220">
        <v>450.0</v>
      </c>
      <c r="G67" s="220">
        <v>450.0</v>
      </c>
      <c r="H67" s="218">
        <v>900.0</v>
      </c>
      <c r="I67" s="218">
        <v>900.0</v>
      </c>
      <c r="J67" s="218">
        <v>900.0</v>
      </c>
      <c r="K67" s="218">
        <v>1350.0</v>
      </c>
      <c r="L67" s="218">
        <v>1350.0</v>
      </c>
      <c r="M67" s="218">
        <v>1350.0</v>
      </c>
      <c r="N67" s="218">
        <v>1800.0</v>
      </c>
      <c r="O67" s="218">
        <v>1800.0</v>
      </c>
      <c r="P67" s="218">
        <v>1800.0</v>
      </c>
      <c r="Q67" s="218">
        <v>1800.0</v>
      </c>
      <c r="R67" s="218">
        <v>1800.0</v>
      </c>
      <c r="S67" s="218">
        <v>1800.0</v>
      </c>
      <c r="T67" s="218">
        <v>1800.0</v>
      </c>
      <c r="U67" s="218">
        <v>1800.0</v>
      </c>
      <c r="V67" s="218">
        <v>1800.0</v>
      </c>
      <c r="W67" s="218">
        <v>1800.0</v>
      </c>
      <c r="X67" s="218">
        <v>1800.0</v>
      </c>
      <c r="Y67" s="218">
        <v>1800.0</v>
      </c>
      <c r="Z67" s="218">
        <v>1800.0</v>
      </c>
      <c r="AA67" s="218">
        <v>1800.0</v>
      </c>
      <c r="AB67" s="218">
        <v>1800.0</v>
      </c>
      <c r="AC67" s="218">
        <v>1800.0</v>
      </c>
    </row>
    <row r="68" ht="15.75" customHeight="1">
      <c r="A68" s="216" t="s">
        <v>494</v>
      </c>
      <c r="B68" s="218">
        <v>529.0</v>
      </c>
      <c r="C68" s="218">
        <v>529.0</v>
      </c>
      <c r="D68" s="218">
        <v>529.0</v>
      </c>
      <c r="E68" s="218">
        <v>529.0</v>
      </c>
      <c r="F68" s="218">
        <v>529.0</v>
      </c>
      <c r="G68" s="218">
        <v>529.0</v>
      </c>
      <c r="H68" s="218">
        <v>1058.0</v>
      </c>
      <c r="I68" s="218">
        <v>1058.0</v>
      </c>
      <c r="J68" s="218">
        <v>1058.0</v>
      </c>
      <c r="K68" s="218">
        <v>1586.0</v>
      </c>
      <c r="L68" s="218">
        <v>1586.0</v>
      </c>
      <c r="M68" s="218">
        <v>1586.0</v>
      </c>
      <c r="N68" s="218">
        <v>2115.0</v>
      </c>
      <c r="O68" s="218">
        <v>2115.0</v>
      </c>
      <c r="P68" s="218">
        <v>2115.0</v>
      </c>
      <c r="Q68" s="218">
        <v>2115.0</v>
      </c>
      <c r="R68" s="218">
        <v>2115.0</v>
      </c>
      <c r="S68" s="218">
        <v>2115.0</v>
      </c>
      <c r="T68" s="218">
        <v>2115.0</v>
      </c>
      <c r="U68" s="218">
        <v>2115.0</v>
      </c>
      <c r="V68" s="218">
        <v>2115.0</v>
      </c>
      <c r="W68" s="218">
        <v>2115.0</v>
      </c>
      <c r="X68" s="218">
        <v>2115.0</v>
      </c>
      <c r="Y68" s="218">
        <v>2115.0</v>
      </c>
      <c r="Z68" s="218">
        <v>2115.0</v>
      </c>
      <c r="AA68" s="218">
        <v>2115.0</v>
      </c>
      <c r="AB68" s="218">
        <v>2115.0</v>
      </c>
      <c r="AC68" s="218">
        <v>2115.0</v>
      </c>
    </row>
    <row r="69" ht="15.75" customHeight="1">
      <c r="A69" s="216" t="s">
        <v>495</v>
      </c>
      <c r="B69" s="221">
        <v>5875.0</v>
      </c>
      <c r="C69" s="221">
        <v>5875.0</v>
      </c>
      <c r="D69" s="221">
        <v>5875.0</v>
      </c>
      <c r="E69" s="221">
        <v>5875.0</v>
      </c>
      <c r="F69" s="221">
        <v>5875.0</v>
      </c>
      <c r="G69" s="221">
        <v>5875.0</v>
      </c>
      <c r="H69" s="221">
        <v>11750.0</v>
      </c>
      <c r="I69" s="221">
        <v>11750.0</v>
      </c>
      <c r="J69" s="221">
        <v>11750.0</v>
      </c>
      <c r="K69" s="221">
        <v>17625.0</v>
      </c>
      <c r="L69" s="221">
        <v>17625.0</v>
      </c>
      <c r="M69" s="221">
        <v>17625.0</v>
      </c>
      <c r="N69" s="221">
        <v>23500.0</v>
      </c>
      <c r="O69" s="221">
        <v>23500.0</v>
      </c>
      <c r="P69" s="221">
        <v>23500.0</v>
      </c>
      <c r="Q69" s="221">
        <v>23500.0</v>
      </c>
      <c r="R69" s="221">
        <v>23500.0</v>
      </c>
      <c r="S69" s="221">
        <v>23500.0</v>
      </c>
      <c r="T69" s="221">
        <v>23500.0</v>
      </c>
      <c r="U69" s="221">
        <v>23500.0</v>
      </c>
      <c r="V69" s="221">
        <v>23500.0</v>
      </c>
      <c r="W69" s="221">
        <v>23500.0</v>
      </c>
      <c r="X69" s="221">
        <v>23500.0</v>
      </c>
      <c r="Y69" s="221">
        <v>23500.0</v>
      </c>
      <c r="Z69" s="221">
        <v>23500.0</v>
      </c>
      <c r="AA69" s="221">
        <v>23500.0</v>
      </c>
      <c r="AB69" s="221">
        <v>23500.0</v>
      </c>
      <c r="AC69" s="221">
        <v>23500.0</v>
      </c>
    </row>
    <row r="70" ht="15.75" customHeight="1">
      <c r="A70" s="216" t="s">
        <v>496</v>
      </c>
      <c r="B70" s="219">
        <v>6854.0</v>
      </c>
      <c r="C70" s="219">
        <v>6854.0</v>
      </c>
      <c r="D70" s="219">
        <v>6854.0</v>
      </c>
      <c r="E70" s="219">
        <v>6854.0</v>
      </c>
      <c r="F70" s="219">
        <v>6854.0</v>
      </c>
      <c r="G70" s="219">
        <v>6854.0</v>
      </c>
      <c r="H70" s="219">
        <v>13708.0</v>
      </c>
      <c r="I70" s="219">
        <v>13708.0</v>
      </c>
      <c r="J70" s="219">
        <v>13708.0</v>
      </c>
      <c r="K70" s="219">
        <v>20561.0</v>
      </c>
      <c r="L70" s="219">
        <v>20561.0</v>
      </c>
      <c r="M70" s="219">
        <v>20561.0</v>
      </c>
      <c r="N70" s="219">
        <v>27415.0</v>
      </c>
      <c r="O70" s="219">
        <v>27415.0</v>
      </c>
      <c r="P70" s="219">
        <v>27415.0</v>
      </c>
      <c r="Q70" s="219">
        <v>27415.0</v>
      </c>
      <c r="R70" s="219">
        <v>27415.0</v>
      </c>
      <c r="S70" s="219">
        <v>27415.0</v>
      </c>
      <c r="T70" s="219">
        <v>27415.0</v>
      </c>
      <c r="U70" s="219">
        <v>27415.0</v>
      </c>
      <c r="V70" s="219">
        <v>27415.0</v>
      </c>
      <c r="W70" s="219">
        <v>27415.0</v>
      </c>
      <c r="X70" s="219">
        <v>27415.0</v>
      </c>
      <c r="Y70" s="219">
        <v>27415.0</v>
      </c>
      <c r="Z70" s="219">
        <v>27415.0</v>
      </c>
      <c r="AA70" s="219">
        <v>27415.0</v>
      </c>
      <c r="AB70" s="219">
        <v>27415.0</v>
      </c>
      <c r="AC70" s="219">
        <v>27415.0</v>
      </c>
    </row>
    <row r="71" ht="15.75" customHeight="1">
      <c r="A71" s="216" t="s">
        <v>497</v>
      </c>
      <c r="B71" s="221">
        <v>352.0</v>
      </c>
      <c r="C71" s="222"/>
      <c r="D71" s="222"/>
      <c r="E71" s="222"/>
      <c r="F71" s="222"/>
      <c r="G71" s="222"/>
      <c r="H71" s="222"/>
      <c r="I71" s="222"/>
      <c r="J71" s="222"/>
      <c r="K71" s="222"/>
      <c r="L71" s="222"/>
      <c r="M71" s="222"/>
      <c r="N71" s="221">
        <v>2596.0</v>
      </c>
      <c r="O71" s="221">
        <v>2743.0</v>
      </c>
      <c r="P71" s="221">
        <v>2942.0</v>
      </c>
      <c r="Q71" s="221">
        <v>3086.0</v>
      </c>
      <c r="R71" s="221">
        <v>3284.0</v>
      </c>
      <c r="S71" s="221">
        <v>3398.0</v>
      </c>
      <c r="T71" s="221">
        <v>3535.0</v>
      </c>
      <c r="U71" s="221">
        <v>3755.0</v>
      </c>
      <c r="V71" s="221">
        <v>3869.0</v>
      </c>
      <c r="W71" s="221">
        <v>3869.0</v>
      </c>
      <c r="X71" s="221">
        <v>4315.0</v>
      </c>
      <c r="Y71" s="221">
        <v>3869.0</v>
      </c>
      <c r="Z71" s="221">
        <v>3869.0</v>
      </c>
      <c r="AA71" s="221">
        <v>3869.0</v>
      </c>
      <c r="AB71" s="221">
        <v>3869.0</v>
      </c>
      <c r="AC71" s="221">
        <v>3869.0</v>
      </c>
    </row>
    <row r="72" ht="15.75" customHeight="1">
      <c r="A72" s="216" t="s">
        <v>498</v>
      </c>
      <c r="B72" s="219">
        <v>50830.0</v>
      </c>
      <c r="C72" s="219">
        <v>53021.0</v>
      </c>
      <c r="D72" s="219">
        <v>55820.0</v>
      </c>
      <c r="E72" s="219">
        <v>58732.0</v>
      </c>
      <c r="F72" s="219">
        <v>62363.0</v>
      </c>
      <c r="G72" s="219">
        <v>64584.0</v>
      </c>
      <c r="H72" s="219">
        <v>80386.0</v>
      </c>
      <c r="I72" s="219">
        <v>85883.0</v>
      </c>
      <c r="J72" s="219">
        <v>109291.0</v>
      </c>
      <c r="K72" s="219">
        <v>121314.0</v>
      </c>
      <c r="L72" s="219">
        <v>142427.0</v>
      </c>
      <c r="M72" s="219">
        <v>152755.0</v>
      </c>
      <c r="N72" s="219">
        <v>165245.0</v>
      </c>
      <c r="O72" s="219">
        <v>186540.0</v>
      </c>
      <c r="P72" s="219">
        <v>188578.0</v>
      </c>
      <c r="Q72" s="219">
        <v>186883.0</v>
      </c>
      <c r="R72" s="219">
        <v>201833.0</v>
      </c>
      <c r="S72" s="219">
        <v>199585.0</v>
      </c>
      <c r="T72" s="219">
        <v>197169.0</v>
      </c>
      <c r="U72" s="219">
        <v>199191.0</v>
      </c>
      <c r="V72" s="219">
        <v>203398.0</v>
      </c>
      <c r="W72" s="219">
        <v>183327.0</v>
      </c>
      <c r="X72" s="219">
        <v>194742.0</v>
      </c>
      <c r="Y72" s="219">
        <v>206705.0</v>
      </c>
      <c r="Z72" s="219">
        <v>210711.0</v>
      </c>
      <c r="AA72" s="219">
        <v>217048.0</v>
      </c>
      <c r="AB72" s="219">
        <v>207048.0</v>
      </c>
      <c r="AC72" s="219">
        <v>198753.0</v>
      </c>
    </row>
    <row r="73" ht="15.75" customHeight="1">
      <c r="A73" s="216" t="s">
        <v>499</v>
      </c>
      <c r="B73" s="220">
        <v>0.0</v>
      </c>
      <c r="C73" s="220">
        <v>500.0</v>
      </c>
      <c r="D73" s="220">
        <v>0.0</v>
      </c>
      <c r="E73" s="220">
        <v>0.0</v>
      </c>
      <c r="F73" s="220">
        <v>0.0</v>
      </c>
      <c r="G73" s="220">
        <v>0.0</v>
      </c>
      <c r="H73" s="220">
        <v>0.0</v>
      </c>
      <c r="I73" s="220">
        <v>0.0</v>
      </c>
      <c r="J73" s="220">
        <v>0.0</v>
      </c>
      <c r="K73" s="220">
        <v>0.0</v>
      </c>
      <c r="L73" s="220">
        <v>0.0</v>
      </c>
      <c r="M73" s="220">
        <v>0.0</v>
      </c>
      <c r="N73" s="220">
        <v>0.0</v>
      </c>
      <c r="O73" s="220">
        <v>0.0</v>
      </c>
      <c r="P73" s="220">
        <v>0.0</v>
      </c>
      <c r="Q73" s="220">
        <v>0.0</v>
      </c>
      <c r="R73" s="220">
        <v>0.0</v>
      </c>
      <c r="S73" s="220">
        <v>0.0</v>
      </c>
      <c r="T73" s="220">
        <v>0.0</v>
      </c>
      <c r="U73" s="220">
        <v>0.0</v>
      </c>
      <c r="V73" s="220">
        <v>0.0</v>
      </c>
      <c r="W73" s="220">
        <v>0.0</v>
      </c>
      <c r="X73" s="220">
        <v>0.0</v>
      </c>
      <c r="Y73" s="220">
        <v>0.0</v>
      </c>
      <c r="Z73" s="220">
        <v>0.0</v>
      </c>
      <c r="AA73" s="220">
        <v>0.0</v>
      </c>
      <c r="AB73" s="220">
        <v>0.0</v>
      </c>
      <c r="AC73" s="220">
        <v>0.0</v>
      </c>
    </row>
    <row r="74" ht="15.75" customHeight="1">
      <c r="A74" s="216" t="s">
        <v>193</v>
      </c>
      <c r="B74" s="217"/>
      <c r="C74" s="217"/>
      <c r="D74" s="217"/>
      <c r="E74" s="217"/>
      <c r="F74" s="217"/>
      <c r="G74" s="217"/>
      <c r="H74" s="217"/>
      <c r="I74" s="217"/>
      <c r="J74" s="217"/>
      <c r="K74" s="223"/>
      <c r="L74" s="223"/>
      <c r="M74" s="223"/>
      <c r="N74" s="223"/>
      <c r="O74" s="223"/>
      <c r="P74" s="223"/>
      <c r="Q74" s="223"/>
      <c r="R74" s="223"/>
      <c r="S74" s="223"/>
      <c r="T74" s="223"/>
      <c r="U74" s="223"/>
      <c r="V74" s="223"/>
      <c r="W74" s="223"/>
      <c r="X74" s="217"/>
      <c r="Y74" s="217"/>
      <c r="Z74" s="217"/>
      <c r="AA74" s="217"/>
      <c r="AB74" s="217"/>
      <c r="AC74" s="217"/>
    </row>
    <row r="75" ht="15.75" customHeight="1">
      <c r="A75" s="216" t="s">
        <v>500</v>
      </c>
      <c r="B75" s="217"/>
      <c r="C75" s="217"/>
      <c r="D75" s="223"/>
      <c r="E75" s="223"/>
      <c r="F75" s="223"/>
      <c r="G75" s="223"/>
      <c r="H75" s="223"/>
      <c r="I75" s="223"/>
      <c r="J75" s="223"/>
      <c r="K75" s="223"/>
      <c r="L75" s="223"/>
      <c r="M75" s="223"/>
      <c r="N75" s="223"/>
      <c r="O75" s="223"/>
      <c r="P75" s="223"/>
      <c r="Q75" s="223"/>
      <c r="R75" s="223"/>
      <c r="S75" s="223"/>
      <c r="T75" s="223"/>
      <c r="U75" s="223"/>
      <c r="V75" s="223"/>
      <c r="W75" s="223"/>
      <c r="X75" s="217"/>
      <c r="Y75" s="217"/>
      <c r="Z75" s="217"/>
      <c r="AA75" s="217"/>
      <c r="AB75" s="217"/>
      <c r="AC75" s="217"/>
    </row>
    <row r="76" ht="15.75" customHeight="1">
      <c r="A76" s="216" t="s">
        <v>501</v>
      </c>
      <c r="B76" s="218">
        <v>394.0</v>
      </c>
      <c r="C76" s="218">
        <v>394.0</v>
      </c>
      <c r="D76" s="218">
        <v>591.0</v>
      </c>
      <c r="E76" s="218">
        <v>591.0</v>
      </c>
      <c r="F76" s="218">
        <v>591.0</v>
      </c>
      <c r="G76" s="218">
        <v>788.0</v>
      </c>
      <c r="H76" s="218">
        <v>985.0</v>
      </c>
      <c r="I76" s="218">
        <v>985.0</v>
      </c>
      <c r="J76" s="218">
        <v>985.0</v>
      </c>
      <c r="K76" s="218">
        <v>1182.0</v>
      </c>
      <c r="L76" s="218">
        <v>1182.0</v>
      </c>
      <c r="M76" s="218">
        <v>1379.0</v>
      </c>
      <c r="N76" s="218">
        <v>1379.0</v>
      </c>
      <c r="O76" s="218">
        <v>1576.0</v>
      </c>
      <c r="P76" s="218">
        <v>1576.0</v>
      </c>
      <c r="Q76" s="218">
        <v>1576.0</v>
      </c>
      <c r="R76" s="218">
        <v>1576.0</v>
      </c>
      <c r="S76" s="218">
        <v>1576.0</v>
      </c>
      <c r="T76" s="218">
        <v>1576.0</v>
      </c>
      <c r="U76" s="218">
        <v>1576.0</v>
      </c>
      <c r="V76" s="218">
        <v>1576.0</v>
      </c>
      <c r="W76" s="218">
        <v>1576.0</v>
      </c>
      <c r="X76" s="218">
        <v>1576.0</v>
      </c>
      <c r="Y76" s="218">
        <v>1576.0</v>
      </c>
      <c r="Z76" s="218">
        <v>1576.0</v>
      </c>
      <c r="AA76" s="218">
        <v>1576.0</v>
      </c>
      <c r="AB76" s="218">
        <v>1576.0</v>
      </c>
      <c r="AC76" s="218">
        <v>1576.0</v>
      </c>
    </row>
    <row r="77" ht="15.75" customHeight="1">
      <c r="A77" s="216" t="s">
        <v>502</v>
      </c>
      <c r="B77" s="218">
        <v>900.0</v>
      </c>
      <c r="C77" s="218">
        <v>900.0</v>
      </c>
      <c r="D77" s="218">
        <v>1350.0</v>
      </c>
      <c r="E77" s="218">
        <v>1350.0</v>
      </c>
      <c r="F77" s="218">
        <v>1350.0</v>
      </c>
      <c r="G77" s="218">
        <v>1800.0</v>
      </c>
      <c r="H77" s="218">
        <v>2205.0</v>
      </c>
      <c r="I77" s="218">
        <v>2205.0</v>
      </c>
      <c r="J77" s="218">
        <v>2205.0</v>
      </c>
      <c r="K77" s="218">
        <v>2700.0</v>
      </c>
      <c r="L77" s="218">
        <v>2700.0</v>
      </c>
      <c r="M77" s="218">
        <v>3150.0</v>
      </c>
      <c r="N77" s="218">
        <v>3150.0</v>
      </c>
      <c r="O77" s="218">
        <v>3645.0</v>
      </c>
      <c r="P77" s="218">
        <v>3645.0</v>
      </c>
      <c r="Q77" s="218">
        <v>3645.0</v>
      </c>
      <c r="R77" s="218">
        <v>3645.0</v>
      </c>
      <c r="S77" s="218">
        <v>3645.0</v>
      </c>
      <c r="T77" s="218">
        <v>3645.0</v>
      </c>
      <c r="U77" s="218">
        <v>3645.0</v>
      </c>
      <c r="V77" s="218">
        <v>3645.0</v>
      </c>
      <c r="W77" s="218">
        <v>3645.0</v>
      </c>
      <c r="X77" s="218">
        <v>3645.0</v>
      </c>
      <c r="Y77" s="218">
        <v>3645.0</v>
      </c>
      <c r="Z77" s="218">
        <v>3645.0</v>
      </c>
      <c r="AA77" s="218">
        <v>3645.0</v>
      </c>
      <c r="AB77" s="218">
        <v>3645.0</v>
      </c>
      <c r="AC77" s="218">
        <v>3645.0</v>
      </c>
    </row>
    <row r="78" ht="15.75" customHeight="1">
      <c r="A78" s="216" t="s">
        <v>503</v>
      </c>
      <c r="B78" s="221">
        <v>10000.0</v>
      </c>
      <c r="C78" s="221">
        <v>10000.0</v>
      </c>
      <c r="D78" s="221">
        <v>15000.0</v>
      </c>
      <c r="E78" s="221">
        <v>15000.0</v>
      </c>
      <c r="F78" s="221">
        <v>15000.0</v>
      </c>
      <c r="G78" s="221">
        <v>20000.0</v>
      </c>
      <c r="H78" s="221">
        <v>24500.0</v>
      </c>
      <c r="I78" s="221">
        <v>24500.0</v>
      </c>
      <c r="J78" s="221">
        <v>24500.0</v>
      </c>
      <c r="K78" s="221">
        <v>30000.0</v>
      </c>
      <c r="L78" s="221">
        <v>30000.0</v>
      </c>
      <c r="M78" s="221">
        <v>35000.0</v>
      </c>
      <c r="N78" s="221">
        <v>35000.0</v>
      </c>
      <c r="O78" s="221">
        <v>40500.0</v>
      </c>
      <c r="P78" s="221">
        <v>40500.0</v>
      </c>
      <c r="Q78" s="221">
        <v>40500.0</v>
      </c>
      <c r="R78" s="221">
        <v>40500.0</v>
      </c>
      <c r="S78" s="221">
        <v>40500.0</v>
      </c>
      <c r="T78" s="221">
        <v>40500.0</v>
      </c>
      <c r="U78" s="221">
        <v>40500.0</v>
      </c>
      <c r="V78" s="221">
        <v>40500.0</v>
      </c>
      <c r="W78" s="221">
        <v>40500.0</v>
      </c>
      <c r="X78" s="221">
        <v>40500.0</v>
      </c>
      <c r="Y78" s="221">
        <v>40500.0</v>
      </c>
      <c r="Z78" s="221">
        <v>40500.0</v>
      </c>
      <c r="AA78" s="221">
        <v>40500.0</v>
      </c>
      <c r="AB78" s="221">
        <v>40500.0</v>
      </c>
      <c r="AC78" s="221">
        <v>40500.0</v>
      </c>
    </row>
    <row r="79" ht="15.75" customHeight="1">
      <c r="A79" s="216" t="s">
        <v>504</v>
      </c>
      <c r="B79" s="221">
        <v>11652.0</v>
      </c>
      <c r="C79" s="221">
        <v>14166.0</v>
      </c>
      <c r="D79" s="221">
        <v>21021.0</v>
      </c>
      <c r="E79" s="221">
        <v>21868.0</v>
      </c>
      <c r="F79" s="221">
        <v>27274.0</v>
      </c>
      <c r="G79" s="221">
        <v>16676.0</v>
      </c>
      <c r="H79" s="221">
        <v>24845.0</v>
      </c>
      <c r="I79" s="221">
        <v>25937.0</v>
      </c>
      <c r="J79" s="221">
        <v>26800.0</v>
      </c>
      <c r="K79" s="221">
        <v>29607.0</v>
      </c>
      <c r="L79" s="221">
        <v>28195.0</v>
      </c>
      <c r="M79" s="221">
        <v>31733.0</v>
      </c>
      <c r="N79" s="221">
        <v>29875.0</v>
      </c>
      <c r="O79" s="221">
        <v>31767.0</v>
      </c>
      <c r="P79" s="221">
        <v>33744.0</v>
      </c>
      <c r="Q79" s="221">
        <v>32911.0</v>
      </c>
      <c r="R79" s="221">
        <v>38116.0</v>
      </c>
      <c r="S79" s="221">
        <v>37096.0</v>
      </c>
      <c r="T79" s="221">
        <v>37962.0</v>
      </c>
      <c r="U79" s="221">
        <v>38719.0</v>
      </c>
      <c r="V79" s="221">
        <v>41789.0</v>
      </c>
      <c r="W79" s="221">
        <v>44555.0</v>
      </c>
      <c r="X79" s="221">
        <v>49785.0</v>
      </c>
      <c r="Y79" s="221">
        <v>52007.0</v>
      </c>
      <c r="Z79" s="221">
        <v>52007.0</v>
      </c>
      <c r="AA79" s="221">
        <v>59124.0</v>
      </c>
      <c r="AB79" s="221">
        <v>39117.0</v>
      </c>
      <c r="AC79" s="221">
        <v>35989.0</v>
      </c>
    </row>
    <row r="80" ht="15.75" customHeight="1">
      <c r="A80" s="216" t="s">
        <v>505</v>
      </c>
      <c r="B80" s="219">
        <v>22946.0</v>
      </c>
      <c r="C80" s="219">
        <v>25460.0</v>
      </c>
      <c r="D80" s="219">
        <v>37962.0</v>
      </c>
      <c r="E80" s="219">
        <v>38809.0</v>
      </c>
      <c r="F80" s="219">
        <v>44215.0</v>
      </c>
      <c r="G80" s="219">
        <v>39264.0</v>
      </c>
      <c r="H80" s="219">
        <v>52535.0</v>
      </c>
      <c r="I80" s="219">
        <v>53627.0</v>
      </c>
      <c r="J80" s="219">
        <v>54490.0</v>
      </c>
      <c r="K80" s="219">
        <v>63489.0</v>
      </c>
      <c r="L80" s="219">
        <v>62077.0</v>
      </c>
      <c r="M80" s="219">
        <v>71262.0</v>
      </c>
      <c r="N80" s="219">
        <v>69404.0</v>
      </c>
      <c r="O80" s="219">
        <v>77488.0</v>
      </c>
      <c r="P80" s="219">
        <v>79465.0</v>
      </c>
      <c r="Q80" s="219">
        <v>78632.0</v>
      </c>
      <c r="R80" s="219">
        <v>83837.0</v>
      </c>
      <c r="S80" s="219">
        <v>82817.0</v>
      </c>
      <c r="T80" s="219">
        <v>83683.0</v>
      </c>
      <c r="U80" s="219">
        <v>84440.0</v>
      </c>
      <c r="V80" s="219">
        <v>87510.0</v>
      </c>
      <c r="W80" s="219">
        <v>90276.0</v>
      </c>
      <c r="X80" s="219">
        <v>95506.0</v>
      </c>
      <c r="Y80" s="219">
        <v>97728.0</v>
      </c>
      <c r="Z80" s="219">
        <v>97728.0</v>
      </c>
      <c r="AA80" s="219">
        <v>104845.0</v>
      </c>
      <c r="AB80" s="219">
        <v>84838.0</v>
      </c>
      <c r="AC80" s="219">
        <v>81710.0</v>
      </c>
    </row>
    <row r="81" ht="15.75" customHeight="1">
      <c r="A81" s="216" t="s">
        <v>506</v>
      </c>
      <c r="B81" s="221">
        <v>77.0</v>
      </c>
      <c r="C81" s="222"/>
      <c r="D81" s="222"/>
      <c r="E81" s="222"/>
      <c r="F81" s="222"/>
      <c r="G81" s="222"/>
      <c r="H81" s="222"/>
      <c r="I81" s="222"/>
      <c r="J81" s="222"/>
      <c r="K81" s="222"/>
      <c r="L81" s="222"/>
      <c r="M81" s="222"/>
      <c r="N81" s="221">
        <v>2042.0</v>
      </c>
      <c r="O81" s="221">
        <v>2190.0</v>
      </c>
      <c r="P81" s="221">
        <v>2465.0</v>
      </c>
      <c r="Q81" s="221">
        <v>2747.0</v>
      </c>
      <c r="R81" s="221">
        <v>2874.0</v>
      </c>
      <c r="S81" s="221">
        <v>3124.0</v>
      </c>
      <c r="T81" s="221">
        <v>3274.0</v>
      </c>
      <c r="U81" s="221">
        <v>3414.0</v>
      </c>
      <c r="V81" s="221">
        <v>3414.0</v>
      </c>
      <c r="W81" s="221">
        <v>3898.0</v>
      </c>
      <c r="X81" s="221">
        <v>4129.0</v>
      </c>
      <c r="Y81" s="221">
        <v>4243.0</v>
      </c>
      <c r="Z81" s="221">
        <v>4243.0</v>
      </c>
      <c r="AA81" s="221">
        <v>4987.0</v>
      </c>
      <c r="AB81" s="221">
        <v>4756.0</v>
      </c>
      <c r="AC81" s="221">
        <v>4112.0</v>
      </c>
    </row>
    <row r="82" ht="15.75" customHeight="1">
      <c r="A82" s="216" t="s">
        <v>507</v>
      </c>
      <c r="B82" s="219">
        <v>23023.0</v>
      </c>
      <c r="C82" s="219">
        <v>25460.0</v>
      </c>
      <c r="D82" s="219">
        <v>37962.0</v>
      </c>
      <c r="E82" s="219">
        <v>38809.0</v>
      </c>
      <c r="F82" s="219">
        <v>44215.0</v>
      </c>
      <c r="G82" s="219">
        <v>39264.0</v>
      </c>
      <c r="H82" s="219">
        <v>52535.0</v>
      </c>
      <c r="I82" s="219">
        <v>53627.0</v>
      </c>
      <c r="J82" s="219">
        <v>54490.0</v>
      </c>
      <c r="K82" s="219">
        <v>63489.0</v>
      </c>
      <c r="L82" s="219">
        <v>62077.0</v>
      </c>
      <c r="M82" s="219">
        <v>71262.0</v>
      </c>
      <c r="N82" s="219">
        <v>71446.0</v>
      </c>
      <c r="O82" s="219">
        <v>79678.0</v>
      </c>
      <c r="P82" s="219">
        <v>81930.0</v>
      </c>
      <c r="Q82" s="219">
        <v>81379.0</v>
      </c>
      <c r="R82" s="219">
        <v>86711.0</v>
      </c>
      <c r="S82" s="219">
        <v>85941.0</v>
      </c>
      <c r="T82" s="219">
        <v>86957.0</v>
      </c>
      <c r="U82" s="219">
        <v>87854.0</v>
      </c>
      <c r="V82" s="219">
        <v>90924.0</v>
      </c>
      <c r="W82" s="219">
        <v>94174.0</v>
      </c>
      <c r="X82" s="219">
        <v>99635.0</v>
      </c>
      <c r="Y82" s="219">
        <v>101971.0</v>
      </c>
      <c r="Z82" s="219">
        <v>101971.0</v>
      </c>
      <c r="AA82" s="219">
        <v>109832.0</v>
      </c>
      <c r="AB82" s="219">
        <v>89594.0</v>
      </c>
      <c r="AC82" s="219">
        <v>85822.0</v>
      </c>
    </row>
    <row r="83" ht="15.75" customHeight="1">
      <c r="A83" s="216" t="s">
        <v>508</v>
      </c>
      <c r="B83" s="219">
        <v>73853.0</v>
      </c>
      <c r="C83" s="219">
        <v>78981.0</v>
      </c>
      <c r="D83" s="219">
        <v>93782.0</v>
      </c>
      <c r="E83" s="219">
        <v>97541.0</v>
      </c>
      <c r="F83" s="219">
        <v>106578.0</v>
      </c>
      <c r="G83" s="219">
        <v>103848.0</v>
      </c>
      <c r="H83" s="219">
        <v>132921.0</v>
      </c>
      <c r="I83" s="219">
        <v>139510.0</v>
      </c>
      <c r="J83" s="219">
        <v>163781.0</v>
      </c>
      <c r="K83" s="219">
        <v>184803.0</v>
      </c>
      <c r="L83" s="219">
        <v>204504.0</v>
      </c>
      <c r="M83" s="219">
        <v>224017.0</v>
      </c>
      <c r="N83" s="219">
        <v>236691.0</v>
      </c>
      <c r="O83" s="219">
        <v>266218.0</v>
      </c>
      <c r="P83" s="219">
        <v>270508.0</v>
      </c>
      <c r="Q83" s="219">
        <v>268262.0</v>
      </c>
      <c r="R83" s="219">
        <v>288544.0</v>
      </c>
      <c r="S83" s="219">
        <v>285526.0</v>
      </c>
      <c r="T83" s="219">
        <v>284126.0</v>
      </c>
      <c r="U83" s="219">
        <v>287045.0</v>
      </c>
      <c r="V83" s="219">
        <v>294322.0</v>
      </c>
      <c r="W83" s="219">
        <v>277501.0</v>
      </c>
      <c r="X83" s="219">
        <v>294377.0</v>
      </c>
      <c r="Y83" s="219">
        <v>308676.0</v>
      </c>
      <c r="Z83" s="219">
        <v>312682.0</v>
      </c>
      <c r="AA83" s="219">
        <v>326880.0</v>
      </c>
      <c r="AB83" s="219">
        <v>296642.0</v>
      </c>
      <c r="AC83" s="219">
        <v>284575.0</v>
      </c>
    </row>
    <row r="84" ht="15.75" customHeight="1">
      <c r="A84" s="216" t="s">
        <v>18</v>
      </c>
      <c r="B84" s="219">
        <v>328011.0</v>
      </c>
      <c r="C84" s="219">
        <v>342504.0</v>
      </c>
      <c r="D84" s="219">
        <v>373037.0</v>
      </c>
      <c r="E84" s="219">
        <v>378693.0</v>
      </c>
      <c r="F84" s="219">
        <v>389569.0</v>
      </c>
      <c r="G84" s="219">
        <v>400628.0</v>
      </c>
      <c r="H84" s="219">
        <v>433445.0</v>
      </c>
      <c r="I84" s="219">
        <v>441986.0</v>
      </c>
      <c r="J84" s="219">
        <v>476779.0</v>
      </c>
      <c r="K84" s="219">
        <v>501961.0</v>
      </c>
      <c r="L84" s="219">
        <v>523426.0</v>
      </c>
      <c r="M84" s="219">
        <v>555326.0</v>
      </c>
      <c r="N84" s="219">
        <v>570318.0</v>
      </c>
      <c r="O84" s="219">
        <v>603679.0</v>
      </c>
      <c r="P84" s="219">
        <v>612058.0</v>
      </c>
      <c r="Q84" s="219">
        <v>612015.0</v>
      </c>
      <c r="R84" s="219">
        <v>642491.0</v>
      </c>
      <c r="S84" s="219">
        <v>638079.0</v>
      </c>
      <c r="T84" s="219">
        <v>637176.0</v>
      </c>
      <c r="U84" s="219">
        <v>643183.0</v>
      </c>
      <c r="V84" s="219">
        <v>652025.0</v>
      </c>
      <c r="W84" s="219">
        <v>649057.0</v>
      </c>
      <c r="X84" s="219">
        <v>668368.0</v>
      </c>
      <c r="Y84" s="219">
        <v>689501.0</v>
      </c>
      <c r="Z84" s="219">
        <v>693794.0</v>
      </c>
      <c r="AA84" s="219">
        <v>723324.0</v>
      </c>
      <c r="AB84" s="219">
        <v>663911.0</v>
      </c>
      <c r="AC84" s="219">
        <v>650853.0</v>
      </c>
    </row>
    <row r="85" ht="15.75" customHeight="1">
      <c r="A85" s="216" t="s">
        <v>316</v>
      </c>
      <c r="B85" s="219">
        <v>-89438.0</v>
      </c>
      <c r="C85" s="219">
        <v>-88124.0</v>
      </c>
      <c r="D85" s="219">
        <v>-102956.0</v>
      </c>
      <c r="E85" s="219">
        <v>-94595.0</v>
      </c>
      <c r="F85" s="219">
        <v>-82065.0</v>
      </c>
      <c r="G85" s="219">
        <v>-78132.0</v>
      </c>
      <c r="H85" s="219">
        <v>-94045.0</v>
      </c>
      <c r="I85" s="219">
        <v>-89766.0</v>
      </c>
      <c r="J85" s="219">
        <v>-114445.0</v>
      </c>
      <c r="K85" s="219">
        <v>-131881.0</v>
      </c>
      <c r="L85" s="219">
        <v>-140597.0</v>
      </c>
      <c r="M85" s="219">
        <v>-177194.0</v>
      </c>
      <c r="N85" s="219">
        <v>-177124.0</v>
      </c>
      <c r="O85" s="219">
        <v>-189575.0</v>
      </c>
      <c r="P85" s="219">
        <v>-184131.0</v>
      </c>
      <c r="Q85" s="219">
        <v>-128941.0</v>
      </c>
      <c r="R85" s="219">
        <v>-151754.0</v>
      </c>
      <c r="S85" s="219">
        <v>-122283.0</v>
      </c>
      <c r="T85" s="219">
        <v>-102474.0</v>
      </c>
      <c r="U85" s="219">
        <v>-82495.0</v>
      </c>
      <c r="V85" s="219">
        <v>-60038.0</v>
      </c>
      <c r="W85" s="219">
        <v>-27320.0</v>
      </c>
      <c r="X85" s="219">
        <v>-18905.0</v>
      </c>
      <c r="Y85" s="219">
        <v>-24211.0</v>
      </c>
      <c r="Z85" s="219">
        <v>-13824.0</v>
      </c>
      <c r="AA85" s="219">
        <v>-26169.0</v>
      </c>
      <c r="AB85" s="219">
        <v>8407.19</v>
      </c>
      <c r="AC85" s="219">
        <v>-117.0</v>
      </c>
    </row>
    <row r="86" ht="15.75" customHeight="1">
      <c r="A86" s="216" t="s">
        <v>19</v>
      </c>
      <c r="B86" s="219">
        <v>-89438.0</v>
      </c>
      <c r="C86" s="219">
        <v>-88124.0</v>
      </c>
      <c r="D86" s="219">
        <v>-102956.0</v>
      </c>
      <c r="E86" s="219">
        <v>-94595.0</v>
      </c>
      <c r="F86" s="219">
        <v>-82065.0</v>
      </c>
      <c r="G86" s="219">
        <v>-78132.0</v>
      </c>
      <c r="H86" s="219">
        <v>-94045.0</v>
      </c>
      <c r="I86" s="219">
        <v>-89766.0</v>
      </c>
      <c r="J86" s="219">
        <v>-114445.0</v>
      </c>
      <c r="K86" s="219">
        <v>-131881.0</v>
      </c>
      <c r="L86" s="219">
        <v>-140597.0</v>
      </c>
      <c r="M86" s="219">
        <v>-177194.0</v>
      </c>
      <c r="N86" s="219">
        <v>-177124.0</v>
      </c>
      <c r="O86" s="219">
        <v>-189575.0</v>
      </c>
      <c r="P86" s="219">
        <v>-184131.0</v>
      </c>
      <c r="Q86" s="219">
        <v>-128941.0</v>
      </c>
      <c r="R86" s="219">
        <v>-151754.0</v>
      </c>
      <c r="S86" s="219">
        <v>-122283.0</v>
      </c>
      <c r="T86" s="219">
        <v>-102474.0</v>
      </c>
      <c r="U86" s="219">
        <v>-82495.0</v>
      </c>
      <c r="V86" s="219">
        <v>-60038.0</v>
      </c>
      <c r="W86" s="219">
        <v>-27320.0</v>
      </c>
      <c r="X86" s="219">
        <v>-18905.0</v>
      </c>
      <c r="Y86" s="219">
        <v>-24211.0</v>
      </c>
      <c r="Z86" s="219">
        <v>-13824.0</v>
      </c>
      <c r="AA86" s="219">
        <v>-26169.0</v>
      </c>
      <c r="AB86" s="219">
        <v>8407.19</v>
      </c>
      <c r="AC86" s="219">
        <v>-117.0</v>
      </c>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pageSetUpPr/>
  </sheetPr>
  <sheetViews>
    <sheetView showGridLines="0" workbookViewId="0">
      <pane xSplit="1.0" topLeftCell="B1" activePane="topRight" state="frozen"/>
      <selection activeCell="C2" sqref="C2" pane="topRight"/>
    </sheetView>
  </sheetViews>
  <sheetFormatPr customHeight="1" defaultColWidth="12.63" defaultRowHeight="15.0"/>
  <cols>
    <col customWidth="1" min="1" max="1" width="43.38"/>
    <col customWidth="1" min="2" max="29" width="14.38"/>
  </cols>
  <sheetData>
    <row r="1" ht="15.75" customHeight="1">
      <c r="A1" s="208" t="s">
        <v>436</v>
      </c>
      <c r="B1" s="209" t="str">
        <f t="shared" ref="B1:AC1" si="1">"BS_"&amp;TEXT(B5,"mmm")&amp;"_"&amp;TEXT(B5,"yyyy")</f>
        <v>BS_Jan_2018</v>
      </c>
      <c r="C1" s="209" t="str">
        <f t="shared" si="1"/>
        <v>BS_Feb_2018</v>
      </c>
      <c r="D1" s="209" t="str">
        <f t="shared" si="1"/>
        <v>BS_Mar_2018</v>
      </c>
      <c r="E1" s="209" t="str">
        <f t="shared" si="1"/>
        <v>BS_Apr_2018</v>
      </c>
      <c r="F1" s="209" t="str">
        <f t="shared" si="1"/>
        <v>BS_May_2018</v>
      </c>
      <c r="G1" s="209" t="str">
        <f t="shared" si="1"/>
        <v>BS_Jun_2018</v>
      </c>
      <c r="H1" s="209" t="str">
        <f t="shared" si="1"/>
        <v>BS_Jul_2018</v>
      </c>
      <c r="I1" s="209" t="str">
        <f t="shared" si="1"/>
        <v>BS_Aug_2018</v>
      </c>
      <c r="J1" s="209" t="str">
        <f t="shared" si="1"/>
        <v>BS_Sep_2018</v>
      </c>
      <c r="K1" s="209" t="str">
        <f t="shared" si="1"/>
        <v>BS_Oct_2018</v>
      </c>
      <c r="L1" s="209" t="str">
        <f t="shared" si="1"/>
        <v>BS_Nov_2018</v>
      </c>
      <c r="M1" s="209" t="str">
        <f t="shared" si="1"/>
        <v>BS_Dec_2018</v>
      </c>
      <c r="N1" s="209" t="str">
        <f t="shared" si="1"/>
        <v>BS_Jan_2019</v>
      </c>
      <c r="O1" s="209" t="str">
        <f t="shared" si="1"/>
        <v>BS_Feb_2019</v>
      </c>
      <c r="P1" s="209" t="str">
        <f t="shared" si="1"/>
        <v>BS_Mar_2019</v>
      </c>
      <c r="Q1" s="209" t="str">
        <f t="shared" si="1"/>
        <v>BS_Apr_2019</v>
      </c>
      <c r="R1" s="209" t="str">
        <f t="shared" si="1"/>
        <v>BS_May_2019</v>
      </c>
      <c r="S1" s="209" t="str">
        <f t="shared" si="1"/>
        <v>BS_Jun_2019</v>
      </c>
      <c r="T1" s="209" t="str">
        <f t="shared" si="1"/>
        <v>BS_Jul_2019</v>
      </c>
      <c r="U1" s="209" t="str">
        <f t="shared" si="1"/>
        <v>BS_Aug_2019</v>
      </c>
      <c r="V1" s="209" t="str">
        <f t="shared" si="1"/>
        <v>BS_Sep_2019</v>
      </c>
      <c r="W1" s="209" t="str">
        <f t="shared" si="1"/>
        <v>BS_Oct_2019</v>
      </c>
      <c r="X1" s="209" t="str">
        <f t="shared" si="1"/>
        <v>BS_Nov_2019</v>
      </c>
      <c r="Y1" s="209" t="str">
        <f t="shared" si="1"/>
        <v>BS_Dec_2019</v>
      </c>
      <c r="Z1" s="209" t="str">
        <f t="shared" si="1"/>
        <v>BS_Jan_2020</v>
      </c>
      <c r="AA1" s="209" t="str">
        <f t="shared" si="1"/>
        <v>BS_Feb_2020</v>
      </c>
      <c r="AB1" s="209" t="str">
        <f t="shared" si="1"/>
        <v>BS_Mar_2020</v>
      </c>
      <c r="AC1" s="209" t="str">
        <f t="shared" si="1"/>
        <v>BS_Apr_2020</v>
      </c>
    </row>
    <row r="2" ht="15.75" customHeight="1">
      <c r="A2" s="208" t="s">
        <v>509</v>
      </c>
      <c r="B2" s="213"/>
      <c r="C2" s="213"/>
      <c r="D2" s="213"/>
      <c r="E2" s="213"/>
      <c r="F2" s="213"/>
      <c r="G2" s="213"/>
      <c r="H2" s="213"/>
      <c r="I2" s="213"/>
      <c r="J2" s="213"/>
      <c r="K2" s="213"/>
      <c r="L2" s="213"/>
      <c r="M2" s="213"/>
      <c r="N2" s="213"/>
      <c r="O2" s="213"/>
      <c r="P2" s="213"/>
      <c r="Q2" s="213"/>
      <c r="R2" s="213"/>
      <c r="S2" s="213"/>
      <c r="T2" s="213"/>
      <c r="U2" s="213"/>
      <c r="V2" s="213"/>
    </row>
    <row r="3" ht="15.75" customHeight="1">
      <c r="A3" s="211" t="s">
        <v>438</v>
      </c>
      <c r="B3" s="213"/>
      <c r="C3" s="213"/>
      <c r="D3" s="213"/>
      <c r="E3" s="213"/>
      <c r="F3" s="213"/>
      <c r="G3" s="213"/>
      <c r="H3" s="213"/>
      <c r="I3" s="213"/>
      <c r="J3" s="213"/>
      <c r="K3" s="213"/>
      <c r="L3" s="213"/>
      <c r="M3" s="213"/>
      <c r="N3" s="213"/>
      <c r="O3" s="213"/>
      <c r="P3" s="213"/>
      <c r="Q3" s="213"/>
      <c r="R3" s="213"/>
      <c r="S3" s="213"/>
      <c r="T3" s="213"/>
      <c r="U3" s="213"/>
      <c r="V3" s="213"/>
    </row>
    <row r="4" ht="15.75" customHeight="1">
      <c r="A4" s="213"/>
      <c r="B4" s="213"/>
      <c r="C4" s="213"/>
      <c r="D4" s="213"/>
      <c r="E4" s="213"/>
      <c r="F4" s="213"/>
      <c r="G4" s="213"/>
      <c r="H4" s="213"/>
      <c r="I4" s="213"/>
      <c r="J4" s="213"/>
      <c r="K4" s="213"/>
      <c r="L4" s="213"/>
      <c r="M4" s="213"/>
      <c r="N4" s="213"/>
      <c r="O4" s="213"/>
      <c r="P4" s="213"/>
      <c r="Q4" s="213"/>
      <c r="R4" s="213"/>
      <c r="S4" s="213"/>
      <c r="T4" s="213"/>
      <c r="U4" s="213"/>
      <c r="V4" s="213"/>
    </row>
    <row r="5" ht="15.75" customHeight="1">
      <c r="A5" s="213"/>
      <c r="B5" s="214">
        <v>43101.0</v>
      </c>
      <c r="C5" s="214">
        <v>43132.0</v>
      </c>
      <c r="D5" s="214">
        <v>43160.0</v>
      </c>
      <c r="E5" s="214">
        <v>43191.0</v>
      </c>
      <c r="F5" s="215">
        <v>43221.0</v>
      </c>
      <c r="G5" s="214">
        <v>43252.0</v>
      </c>
      <c r="H5" s="214">
        <v>43282.0</v>
      </c>
      <c r="I5" s="214">
        <v>43313.0</v>
      </c>
      <c r="J5" s="214">
        <v>43344.0</v>
      </c>
      <c r="K5" s="214">
        <v>43374.0</v>
      </c>
      <c r="L5" s="214">
        <v>43405.0</v>
      </c>
      <c r="M5" s="214">
        <v>43435.0</v>
      </c>
      <c r="N5" s="214">
        <v>43466.0</v>
      </c>
      <c r="O5" s="214">
        <v>43497.0</v>
      </c>
      <c r="P5" s="214">
        <v>43525.0</v>
      </c>
      <c r="Q5" s="214">
        <v>43556.0</v>
      </c>
      <c r="R5" s="215">
        <v>43586.0</v>
      </c>
      <c r="S5" s="214">
        <v>43617.0</v>
      </c>
      <c r="T5" s="214">
        <v>43647.0</v>
      </c>
      <c r="U5" s="214">
        <v>43678.0</v>
      </c>
      <c r="V5" s="214">
        <v>43709.0</v>
      </c>
      <c r="W5" s="214">
        <v>43739.0</v>
      </c>
      <c r="X5" s="214">
        <v>43770.0</v>
      </c>
      <c r="Y5" s="214">
        <v>43800.0</v>
      </c>
      <c r="Z5" s="214">
        <v>43831.0</v>
      </c>
      <c r="AA5" s="214">
        <v>43862.0</v>
      </c>
      <c r="AB5" s="214">
        <v>43891.0</v>
      </c>
      <c r="AC5" s="214">
        <v>43922.0</v>
      </c>
    </row>
    <row r="6" ht="15.75" customHeight="1">
      <c r="A6" s="216" t="s">
        <v>510</v>
      </c>
      <c r="B6" s="217"/>
      <c r="C6" s="217"/>
      <c r="D6" s="217"/>
      <c r="E6" s="217"/>
      <c r="F6" s="217"/>
      <c r="G6" s="217"/>
      <c r="H6" s="217"/>
      <c r="I6" s="217"/>
      <c r="J6" s="217"/>
      <c r="K6" s="217"/>
      <c r="L6" s="217"/>
      <c r="M6" s="217"/>
      <c r="N6" s="217"/>
      <c r="O6" s="217"/>
      <c r="P6" s="217"/>
      <c r="Q6" s="217"/>
      <c r="R6" s="217"/>
      <c r="S6" s="217"/>
      <c r="T6" s="217"/>
      <c r="U6" s="217"/>
      <c r="V6" s="217"/>
      <c r="W6" s="217"/>
      <c r="X6" s="217"/>
      <c r="Y6" s="217"/>
      <c r="Z6" s="217"/>
      <c r="AA6" s="217"/>
      <c r="AB6" s="217"/>
      <c r="AC6" s="217"/>
    </row>
    <row r="7" ht="15.75" customHeight="1">
      <c r="A7" s="216" t="s">
        <v>511</v>
      </c>
      <c r="B7" s="217"/>
      <c r="C7" s="217"/>
      <c r="D7" s="217"/>
      <c r="E7" s="217"/>
      <c r="F7" s="217"/>
      <c r="G7" s="217"/>
      <c r="H7" s="217"/>
      <c r="I7" s="217"/>
      <c r="J7" s="217"/>
      <c r="K7" s="217"/>
      <c r="L7" s="217"/>
      <c r="M7" s="217"/>
      <c r="N7" s="217"/>
      <c r="O7" s="217"/>
      <c r="P7" s="217"/>
      <c r="Q7" s="217"/>
      <c r="R7" s="217"/>
      <c r="S7" s="217"/>
      <c r="T7" s="217"/>
      <c r="U7" s="217"/>
      <c r="V7" s="217"/>
      <c r="W7" s="217"/>
      <c r="X7" s="217"/>
      <c r="Y7" s="217"/>
      <c r="Z7" s="217"/>
      <c r="AA7" s="217"/>
      <c r="AB7" s="217"/>
      <c r="AC7" s="217"/>
    </row>
    <row r="8" ht="15.75" customHeight="1">
      <c r="A8" s="216" t="s">
        <v>512</v>
      </c>
      <c r="B8" s="217"/>
      <c r="C8" s="217"/>
      <c r="D8" s="217"/>
      <c r="E8" s="217"/>
      <c r="F8" s="217"/>
      <c r="G8" s="217"/>
      <c r="H8" s="217"/>
      <c r="I8" s="217"/>
      <c r="J8" s="217"/>
      <c r="K8" s="217"/>
      <c r="L8" s="217"/>
      <c r="M8" s="217"/>
      <c r="N8" s="217"/>
      <c r="O8" s="217"/>
      <c r="P8" s="217"/>
      <c r="Q8" s="217"/>
      <c r="R8" s="217"/>
      <c r="S8" s="217"/>
      <c r="T8" s="217"/>
      <c r="U8" s="217"/>
      <c r="V8" s="217"/>
      <c r="W8" s="217"/>
      <c r="X8" s="217"/>
      <c r="Y8" s="217"/>
      <c r="Z8" s="217"/>
      <c r="AA8" s="217"/>
      <c r="AB8" s="217"/>
      <c r="AC8" s="217"/>
    </row>
    <row r="9" ht="15.75" customHeight="1">
      <c r="A9" s="216" t="s">
        <v>513</v>
      </c>
      <c r="B9" s="218">
        <v>960680.0</v>
      </c>
      <c r="C9" s="218">
        <v>970330.0</v>
      </c>
      <c r="D9" s="218">
        <v>867374.0</v>
      </c>
      <c r="E9" s="218">
        <v>772779.0</v>
      </c>
      <c r="F9" s="218">
        <v>690714.0</v>
      </c>
      <c r="G9" s="218">
        <v>612582.0</v>
      </c>
      <c r="H9" s="218">
        <v>518537.0</v>
      </c>
      <c r="I9" s="218">
        <v>428771.0</v>
      </c>
      <c r="J9" s="218">
        <v>314326.0</v>
      </c>
      <c r="K9" s="218">
        <v>782445.0</v>
      </c>
      <c r="L9" s="218">
        <v>641848.0</v>
      </c>
      <c r="M9" s="218">
        <v>464654.0</v>
      </c>
      <c r="N9" s="218">
        <v>787530.0</v>
      </c>
      <c r="O9" s="218">
        <v>597955.0</v>
      </c>
      <c r="P9" s="218">
        <v>413824.0</v>
      </c>
      <c r="Q9" s="218">
        <v>284883.0</v>
      </c>
      <c r="R9" s="218">
        <v>433129.0</v>
      </c>
      <c r="S9" s="218">
        <v>310846.0</v>
      </c>
      <c r="T9" s="218">
        <v>208372.0</v>
      </c>
      <c r="U9" s="218">
        <v>125877.0</v>
      </c>
      <c r="V9" s="218">
        <v>65839.0</v>
      </c>
      <c r="W9" s="218">
        <v>338519.0</v>
      </c>
      <c r="X9" s="218">
        <v>319614.0</v>
      </c>
      <c r="Y9" s="218">
        <v>295403.0</v>
      </c>
      <c r="Z9" s="218">
        <v>281579.0</v>
      </c>
      <c r="AA9" s="218">
        <v>255410.0</v>
      </c>
      <c r="AB9" s="218">
        <v>263817.19</v>
      </c>
      <c r="AC9" s="218">
        <v>263700.19</v>
      </c>
    </row>
    <row r="10" ht="15.75" customHeight="1">
      <c r="A10" s="216" t="s">
        <v>514</v>
      </c>
      <c r="B10" s="219">
        <v>960680.0</v>
      </c>
      <c r="C10" s="219">
        <v>970330.0</v>
      </c>
      <c r="D10" s="219">
        <v>867374.0</v>
      </c>
      <c r="E10" s="219">
        <v>772779.0</v>
      </c>
      <c r="F10" s="219">
        <v>690714.0</v>
      </c>
      <c r="G10" s="219">
        <v>612582.0</v>
      </c>
      <c r="H10" s="219">
        <v>518537.0</v>
      </c>
      <c r="I10" s="219">
        <v>428771.0</v>
      </c>
      <c r="J10" s="219">
        <v>314326.0</v>
      </c>
      <c r="K10" s="219">
        <v>782445.0</v>
      </c>
      <c r="L10" s="219">
        <v>641848.0</v>
      </c>
      <c r="M10" s="219">
        <v>464654.0</v>
      </c>
      <c r="N10" s="219">
        <v>787530.0</v>
      </c>
      <c r="O10" s="219">
        <v>597955.0</v>
      </c>
      <c r="P10" s="219">
        <v>413824.0</v>
      </c>
      <c r="Q10" s="219">
        <v>284883.0</v>
      </c>
      <c r="R10" s="219">
        <v>433129.0</v>
      </c>
      <c r="S10" s="219">
        <v>310846.0</v>
      </c>
      <c r="T10" s="219">
        <v>208372.0</v>
      </c>
      <c r="U10" s="219">
        <v>125877.0</v>
      </c>
      <c r="V10" s="219">
        <v>65839.0</v>
      </c>
      <c r="W10" s="219">
        <v>338519.0</v>
      </c>
      <c r="X10" s="219">
        <v>319614.0</v>
      </c>
      <c r="Y10" s="219">
        <v>295403.0</v>
      </c>
      <c r="Z10" s="219">
        <v>281579.0</v>
      </c>
      <c r="AA10" s="219">
        <v>255410.0</v>
      </c>
      <c r="AB10" s="219">
        <v>263817.19</v>
      </c>
      <c r="AC10" s="219">
        <v>263700.19</v>
      </c>
    </row>
    <row r="11" ht="15.75" customHeight="1">
      <c r="A11" s="216" t="s">
        <v>515</v>
      </c>
      <c r="B11" s="219">
        <v>960680.0</v>
      </c>
      <c r="C11" s="219">
        <v>970330.0</v>
      </c>
      <c r="D11" s="219">
        <v>867374.0</v>
      </c>
      <c r="E11" s="219">
        <v>772779.0</v>
      </c>
      <c r="F11" s="219">
        <v>690714.0</v>
      </c>
      <c r="G11" s="219">
        <v>612582.0</v>
      </c>
      <c r="H11" s="219">
        <v>518537.0</v>
      </c>
      <c r="I11" s="219">
        <v>428771.0</v>
      </c>
      <c r="J11" s="219">
        <v>314326.0</v>
      </c>
      <c r="K11" s="219">
        <v>782445.0</v>
      </c>
      <c r="L11" s="219">
        <v>641848.0</v>
      </c>
      <c r="M11" s="219">
        <v>464654.0</v>
      </c>
      <c r="N11" s="219">
        <v>787530.0</v>
      </c>
      <c r="O11" s="219">
        <v>597955.0</v>
      </c>
      <c r="P11" s="219">
        <v>413824.0</v>
      </c>
      <c r="Q11" s="219">
        <v>284883.0</v>
      </c>
      <c r="R11" s="219">
        <v>433129.0</v>
      </c>
      <c r="S11" s="219">
        <v>310846.0</v>
      </c>
      <c r="T11" s="219">
        <v>208372.0</v>
      </c>
      <c r="U11" s="219">
        <v>125877.0</v>
      </c>
      <c r="V11" s="219">
        <v>65839.0</v>
      </c>
      <c r="W11" s="219">
        <v>338519.0</v>
      </c>
      <c r="X11" s="219">
        <v>319614.0</v>
      </c>
      <c r="Y11" s="219">
        <v>295403.0</v>
      </c>
      <c r="Z11" s="219">
        <v>281579.0</v>
      </c>
      <c r="AA11" s="219">
        <v>255410.0</v>
      </c>
      <c r="AB11" s="219">
        <v>263817.19</v>
      </c>
      <c r="AC11" s="219">
        <v>263700.19</v>
      </c>
    </row>
    <row r="12" ht="15.75" customHeight="1">
      <c r="A12" s="216" t="s">
        <v>516</v>
      </c>
      <c r="B12" s="217"/>
      <c r="C12" s="217"/>
      <c r="D12" s="217"/>
      <c r="E12" s="217"/>
      <c r="F12" s="217"/>
      <c r="G12" s="217"/>
      <c r="H12" s="217"/>
      <c r="I12" s="217"/>
      <c r="J12" s="217"/>
      <c r="K12" s="217"/>
      <c r="L12" s="217"/>
      <c r="M12" s="217"/>
      <c r="N12" s="217"/>
      <c r="O12" s="217"/>
      <c r="P12" s="217"/>
      <c r="Q12" s="217"/>
      <c r="R12" s="217"/>
      <c r="S12" s="217"/>
      <c r="T12" s="217"/>
      <c r="U12" s="217"/>
      <c r="V12" s="217"/>
      <c r="W12" s="217"/>
      <c r="X12" s="217"/>
      <c r="Y12" s="217"/>
      <c r="Z12" s="217"/>
      <c r="AA12" s="217"/>
      <c r="AB12" s="217"/>
      <c r="AC12" s="217"/>
    </row>
    <row r="13" ht="15.75" customHeight="1">
      <c r="A13" s="216" t="s">
        <v>517</v>
      </c>
      <c r="B13" s="220">
        <v>0.0</v>
      </c>
      <c r="C13" s="220">
        <v>0.0</v>
      </c>
      <c r="D13" s="220">
        <v>0.0</v>
      </c>
      <c r="E13" s="220">
        <v>0.0</v>
      </c>
      <c r="F13" s="220">
        <v>0.0</v>
      </c>
      <c r="G13" s="220">
        <v>0.0</v>
      </c>
      <c r="H13" s="220">
        <v>0.0</v>
      </c>
      <c r="I13" s="220">
        <v>0.0</v>
      </c>
      <c r="J13" s="220">
        <v>0.0</v>
      </c>
      <c r="K13" s="220">
        <v>0.0</v>
      </c>
      <c r="L13" s="220">
        <v>0.0</v>
      </c>
      <c r="M13" s="220">
        <v>0.0</v>
      </c>
      <c r="N13" s="220">
        <v>0.0</v>
      </c>
      <c r="O13" s="220">
        <v>0.0</v>
      </c>
      <c r="P13" s="220">
        <v>0.0</v>
      </c>
      <c r="Q13" s="220">
        <v>0.0</v>
      </c>
      <c r="R13" s="220">
        <v>0.0</v>
      </c>
      <c r="S13" s="220">
        <v>0.0</v>
      </c>
      <c r="T13" s="220">
        <v>0.0</v>
      </c>
      <c r="U13" s="220">
        <v>0.0</v>
      </c>
      <c r="V13" s="220">
        <v>0.0</v>
      </c>
      <c r="W13" s="220">
        <v>0.0</v>
      </c>
      <c r="X13" s="220">
        <v>0.0</v>
      </c>
      <c r="Y13" s="220">
        <v>0.0</v>
      </c>
      <c r="Z13" s="220">
        <v>0.0</v>
      </c>
      <c r="AA13" s="220">
        <v>0.0</v>
      </c>
      <c r="AB13" s="220">
        <v>0.0</v>
      </c>
      <c r="AC13" s="220">
        <v>0.0</v>
      </c>
    </row>
    <row r="14" ht="15.75" customHeight="1">
      <c r="A14" s="216" t="s">
        <v>518</v>
      </c>
      <c r="B14" s="220">
        <v>0.0</v>
      </c>
      <c r="C14" s="220">
        <v>0.0</v>
      </c>
      <c r="D14" s="220">
        <v>0.0</v>
      </c>
      <c r="E14" s="220">
        <v>0.0</v>
      </c>
      <c r="F14" s="220">
        <v>0.0</v>
      </c>
      <c r="G14" s="220">
        <v>0.0</v>
      </c>
      <c r="H14" s="220">
        <v>0.0</v>
      </c>
      <c r="I14" s="220">
        <v>0.0</v>
      </c>
      <c r="J14" s="220">
        <v>0.0</v>
      </c>
      <c r="K14" s="220">
        <v>0.0</v>
      </c>
      <c r="L14" s="220">
        <v>0.0</v>
      </c>
      <c r="M14" s="220">
        <v>0.0</v>
      </c>
      <c r="N14" s="220">
        <v>0.0</v>
      </c>
      <c r="O14" s="220">
        <v>0.0</v>
      </c>
      <c r="P14" s="220">
        <v>0.0</v>
      </c>
      <c r="Q14" s="220">
        <v>0.0</v>
      </c>
      <c r="R14" s="220">
        <v>0.0</v>
      </c>
      <c r="S14" s="220">
        <v>0.0</v>
      </c>
      <c r="T14" s="220">
        <v>0.0</v>
      </c>
      <c r="U14" s="220">
        <v>0.0</v>
      </c>
      <c r="V14" s="220">
        <v>0.0</v>
      </c>
      <c r="W14" s="220">
        <v>0.0</v>
      </c>
      <c r="X14" s="220">
        <v>0.0</v>
      </c>
      <c r="Y14" s="220">
        <v>0.0</v>
      </c>
      <c r="Z14" s="220">
        <v>0.0</v>
      </c>
      <c r="AA14" s="220">
        <v>0.0</v>
      </c>
      <c r="AB14" s="220">
        <v>0.0</v>
      </c>
      <c r="AC14" s="220">
        <v>0.0</v>
      </c>
    </row>
    <row r="15" ht="15.75" customHeight="1">
      <c r="A15" s="216" t="s">
        <v>519</v>
      </c>
      <c r="B15" s="219">
        <v>0.0</v>
      </c>
      <c r="C15" s="219">
        <v>0.0</v>
      </c>
      <c r="D15" s="219">
        <v>0.0</v>
      </c>
      <c r="E15" s="219">
        <v>0.0</v>
      </c>
      <c r="F15" s="219">
        <v>0.0</v>
      </c>
      <c r="G15" s="219">
        <v>0.0</v>
      </c>
      <c r="H15" s="219">
        <v>0.0</v>
      </c>
      <c r="I15" s="219">
        <v>0.0</v>
      </c>
      <c r="J15" s="219">
        <v>0.0</v>
      </c>
      <c r="K15" s="219">
        <v>0.0</v>
      </c>
      <c r="L15" s="219">
        <v>0.0</v>
      </c>
      <c r="M15" s="219">
        <v>0.0</v>
      </c>
      <c r="N15" s="219">
        <v>0.0</v>
      </c>
      <c r="O15" s="219">
        <v>0.0</v>
      </c>
      <c r="P15" s="219">
        <v>0.0</v>
      </c>
      <c r="Q15" s="219">
        <v>0.0</v>
      </c>
      <c r="R15" s="219">
        <v>0.0</v>
      </c>
      <c r="S15" s="219">
        <v>0.0</v>
      </c>
      <c r="T15" s="219">
        <v>0.0</v>
      </c>
      <c r="U15" s="219">
        <v>0.0</v>
      </c>
      <c r="V15" s="219">
        <v>0.0</v>
      </c>
      <c r="W15" s="219">
        <v>0.0</v>
      </c>
      <c r="X15" s="219">
        <v>0.0</v>
      </c>
      <c r="Y15" s="219">
        <v>0.0</v>
      </c>
      <c r="Z15" s="219">
        <v>0.0</v>
      </c>
      <c r="AA15" s="219">
        <v>0.0</v>
      </c>
      <c r="AB15" s="219">
        <v>0.0</v>
      </c>
      <c r="AC15" s="219">
        <v>0.0</v>
      </c>
    </row>
    <row r="16" ht="15.75" customHeight="1">
      <c r="A16" s="216" t="s">
        <v>520</v>
      </c>
      <c r="B16" s="217"/>
      <c r="C16" s="217"/>
      <c r="D16" s="217"/>
      <c r="E16" s="217"/>
      <c r="F16" s="217"/>
      <c r="G16" s="217"/>
      <c r="H16" s="217"/>
      <c r="I16" s="217"/>
      <c r="J16" s="217"/>
      <c r="K16" s="217"/>
      <c r="L16" s="217"/>
      <c r="M16" s="217"/>
      <c r="N16" s="217"/>
      <c r="O16" s="217"/>
      <c r="P16" s="217"/>
      <c r="Q16" s="217"/>
      <c r="R16" s="217"/>
      <c r="S16" s="217"/>
      <c r="T16" s="217"/>
      <c r="U16" s="217"/>
      <c r="V16" s="217"/>
      <c r="W16" s="217"/>
      <c r="X16" s="217"/>
      <c r="Y16" s="217"/>
      <c r="Z16" s="217"/>
      <c r="AA16" s="217"/>
      <c r="AB16" s="217"/>
      <c r="AC16" s="217"/>
    </row>
    <row r="17" ht="15.75" customHeight="1">
      <c r="A17" s="216" t="s">
        <v>521</v>
      </c>
      <c r="B17" s="220">
        <v>0.0</v>
      </c>
      <c r="C17" s="220">
        <v>0.0</v>
      </c>
      <c r="D17" s="220">
        <v>0.0</v>
      </c>
      <c r="E17" s="220">
        <v>0.0</v>
      </c>
      <c r="F17" s="220">
        <v>0.0</v>
      </c>
      <c r="G17" s="220">
        <v>0.0</v>
      </c>
      <c r="H17" s="220">
        <v>0.0</v>
      </c>
      <c r="I17" s="220">
        <v>0.0</v>
      </c>
      <c r="J17" s="220">
        <v>0.0</v>
      </c>
      <c r="K17" s="220">
        <v>0.0</v>
      </c>
      <c r="L17" s="220">
        <v>0.0</v>
      </c>
      <c r="M17" s="220">
        <v>0.0</v>
      </c>
      <c r="N17" s="220">
        <v>0.0</v>
      </c>
      <c r="O17" s="220">
        <v>0.0</v>
      </c>
      <c r="P17" s="220">
        <v>0.0</v>
      </c>
      <c r="Q17" s="220">
        <v>0.0</v>
      </c>
      <c r="R17" s="220">
        <v>0.0</v>
      </c>
      <c r="S17" s="220">
        <v>0.0</v>
      </c>
      <c r="T17" s="220">
        <v>0.0</v>
      </c>
      <c r="U17" s="220">
        <v>0.0</v>
      </c>
      <c r="V17" s="220">
        <v>0.0</v>
      </c>
      <c r="W17" s="220">
        <v>0.0</v>
      </c>
      <c r="X17" s="220">
        <v>0.0</v>
      </c>
      <c r="Y17" s="220">
        <v>0.0</v>
      </c>
      <c r="Z17" s="220">
        <v>0.0</v>
      </c>
      <c r="AA17" s="220">
        <v>0.0</v>
      </c>
      <c r="AB17" s="220">
        <v>0.0</v>
      </c>
      <c r="AC17" s="220">
        <v>0.0</v>
      </c>
    </row>
    <row r="18" ht="15.75" customHeight="1">
      <c r="A18" s="216" t="s">
        <v>522</v>
      </c>
      <c r="B18" s="220">
        <v>0.0</v>
      </c>
      <c r="C18" s="220">
        <v>0.0</v>
      </c>
      <c r="D18" s="220">
        <v>0.0</v>
      </c>
      <c r="E18" s="220">
        <v>0.0</v>
      </c>
      <c r="F18" s="220">
        <v>0.0</v>
      </c>
      <c r="G18" s="220">
        <v>0.0</v>
      </c>
      <c r="H18" s="220">
        <v>0.0</v>
      </c>
      <c r="I18" s="220">
        <v>0.0</v>
      </c>
      <c r="J18" s="220">
        <v>0.0</v>
      </c>
      <c r="K18" s="220">
        <v>0.0</v>
      </c>
      <c r="L18" s="220">
        <v>0.0</v>
      </c>
      <c r="M18" s="220">
        <v>0.0</v>
      </c>
      <c r="N18" s="220">
        <v>0.0</v>
      </c>
      <c r="O18" s="220">
        <v>0.0</v>
      </c>
      <c r="P18" s="220">
        <v>0.0</v>
      </c>
      <c r="Q18" s="220">
        <v>0.0</v>
      </c>
      <c r="R18" s="220">
        <v>0.0</v>
      </c>
      <c r="S18" s="220">
        <v>0.0</v>
      </c>
      <c r="T18" s="220">
        <v>0.0</v>
      </c>
      <c r="U18" s="220">
        <v>0.0</v>
      </c>
      <c r="V18" s="220">
        <v>0.0</v>
      </c>
      <c r="W18" s="220">
        <v>0.0</v>
      </c>
      <c r="X18" s="220">
        <v>0.0</v>
      </c>
      <c r="Y18" s="220">
        <v>0.0</v>
      </c>
      <c r="Z18" s="220">
        <v>0.0</v>
      </c>
      <c r="AA18" s="220">
        <v>0.0</v>
      </c>
      <c r="AB18" s="220">
        <v>0.0</v>
      </c>
      <c r="AC18" s="220">
        <v>0.0</v>
      </c>
    </row>
    <row r="19" ht="15.75" customHeight="1">
      <c r="A19" s="216" t="s">
        <v>523</v>
      </c>
      <c r="B19" s="220">
        <v>0.0</v>
      </c>
      <c r="C19" s="220">
        <v>0.0</v>
      </c>
      <c r="D19" s="220">
        <v>0.0</v>
      </c>
      <c r="E19" s="220">
        <v>0.0</v>
      </c>
      <c r="F19" s="220">
        <v>0.0</v>
      </c>
      <c r="G19" s="220">
        <v>0.0</v>
      </c>
      <c r="H19" s="220">
        <v>0.0</v>
      </c>
      <c r="I19" s="220">
        <v>0.0</v>
      </c>
      <c r="J19" s="220">
        <v>0.0</v>
      </c>
      <c r="K19" s="220">
        <v>0.0</v>
      </c>
      <c r="L19" s="220">
        <v>0.0</v>
      </c>
      <c r="M19" s="220">
        <v>0.0</v>
      </c>
      <c r="N19" s="220">
        <v>0.0</v>
      </c>
      <c r="O19" s="220">
        <v>0.0</v>
      </c>
      <c r="P19" s="220">
        <v>0.0</v>
      </c>
      <c r="Q19" s="220">
        <v>0.0</v>
      </c>
      <c r="R19" s="220">
        <v>0.0</v>
      </c>
      <c r="S19" s="220">
        <v>0.0</v>
      </c>
      <c r="T19" s="220">
        <v>0.0</v>
      </c>
      <c r="U19" s="220">
        <v>0.0</v>
      </c>
      <c r="V19" s="220">
        <v>0.0</v>
      </c>
      <c r="W19" s="220">
        <v>0.0</v>
      </c>
      <c r="X19" s="220">
        <v>0.0</v>
      </c>
      <c r="Y19" s="220">
        <v>0.0</v>
      </c>
      <c r="Z19" s="220">
        <v>0.0</v>
      </c>
      <c r="AA19" s="220">
        <v>0.0</v>
      </c>
      <c r="AB19" s="220">
        <v>0.0</v>
      </c>
      <c r="AC19" s="220">
        <v>0.0</v>
      </c>
    </row>
    <row r="20" ht="15.75" customHeight="1">
      <c r="A20" s="216" t="s">
        <v>524</v>
      </c>
      <c r="B20" s="219">
        <v>0.0</v>
      </c>
      <c r="C20" s="219">
        <v>0.0</v>
      </c>
      <c r="D20" s="219">
        <v>0.0</v>
      </c>
      <c r="E20" s="219">
        <v>0.0</v>
      </c>
      <c r="F20" s="219">
        <v>0.0</v>
      </c>
      <c r="G20" s="219">
        <v>0.0</v>
      </c>
      <c r="H20" s="219">
        <v>0.0</v>
      </c>
      <c r="I20" s="219">
        <v>0.0</v>
      </c>
      <c r="J20" s="219">
        <v>0.0</v>
      </c>
      <c r="K20" s="219">
        <v>0.0</v>
      </c>
      <c r="L20" s="219">
        <v>0.0</v>
      </c>
      <c r="M20" s="219">
        <v>0.0</v>
      </c>
      <c r="N20" s="219">
        <v>0.0</v>
      </c>
      <c r="O20" s="219">
        <v>0.0</v>
      </c>
      <c r="P20" s="219">
        <v>0.0</v>
      </c>
      <c r="Q20" s="219">
        <v>0.0</v>
      </c>
      <c r="R20" s="219">
        <v>0.0</v>
      </c>
      <c r="S20" s="219">
        <v>0.0</v>
      </c>
      <c r="T20" s="219">
        <v>0.0</v>
      </c>
      <c r="U20" s="219">
        <v>0.0</v>
      </c>
      <c r="V20" s="219">
        <v>0.0</v>
      </c>
      <c r="W20" s="219">
        <v>0.0</v>
      </c>
      <c r="X20" s="219">
        <v>0.0</v>
      </c>
      <c r="Y20" s="219">
        <v>0.0</v>
      </c>
      <c r="Z20" s="219">
        <v>0.0</v>
      </c>
      <c r="AA20" s="219">
        <v>0.0</v>
      </c>
      <c r="AB20" s="219">
        <v>0.0</v>
      </c>
      <c r="AC20" s="219">
        <v>0.0</v>
      </c>
    </row>
    <row r="21" ht="15.75" customHeight="1">
      <c r="A21" s="216" t="s">
        <v>525</v>
      </c>
      <c r="B21" s="219">
        <v>960680.0</v>
      </c>
      <c r="C21" s="219">
        <v>970330.0</v>
      </c>
      <c r="D21" s="219">
        <v>867374.0</v>
      </c>
      <c r="E21" s="219">
        <v>772779.0</v>
      </c>
      <c r="F21" s="219">
        <v>690714.0</v>
      </c>
      <c r="G21" s="219">
        <v>612582.0</v>
      </c>
      <c r="H21" s="219">
        <v>518537.0</v>
      </c>
      <c r="I21" s="219">
        <v>428771.0</v>
      </c>
      <c r="J21" s="219">
        <v>314326.0</v>
      </c>
      <c r="K21" s="219">
        <v>782445.0</v>
      </c>
      <c r="L21" s="219">
        <v>641848.0</v>
      </c>
      <c r="M21" s="219">
        <v>464654.0</v>
      </c>
      <c r="N21" s="219">
        <v>787530.0</v>
      </c>
      <c r="O21" s="219">
        <v>597955.0</v>
      </c>
      <c r="P21" s="219">
        <v>413824.0</v>
      </c>
      <c r="Q21" s="219">
        <v>284883.0</v>
      </c>
      <c r="R21" s="219">
        <v>433129.0</v>
      </c>
      <c r="S21" s="219">
        <v>310846.0</v>
      </c>
      <c r="T21" s="219">
        <v>208372.0</v>
      </c>
      <c r="U21" s="219">
        <v>125877.0</v>
      </c>
      <c r="V21" s="219">
        <v>65839.0</v>
      </c>
      <c r="W21" s="219">
        <v>338519.0</v>
      </c>
      <c r="X21" s="219">
        <v>319614.0</v>
      </c>
      <c r="Y21" s="219">
        <v>295403.0</v>
      </c>
      <c r="Z21" s="219">
        <v>281579.0</v>
      </c>
      <c r="AA21" s="219">
        <v>255410.0</v>
      </c>
      <c r="AB21" s="219">
        <v>263817.19</v>
      </c>
      <c r="AC21" s="219">
        <v>263700.19</v>
      </c>
    </row>
    <row r="22" ht="15.75" customHeight="1">
      <c r="A22" s="216" t="s">
        <v>526</v>
      </c>
      <c r="B22" s="217"/>
      <c r="C22" s="217"/>
      <c r="D22" s="217"/>
      <c r="E22" s="217"/>
      <c r="F22" s="217"/>
      <c r="G22" s="217"/>
      <c r="H22" s="217"/>
      <c r="I22" s="217"/>
      <c r="J22" s="217"/>
      <c r="K22" s="217"/>
      <c r="L22" s="217"/>
      <c r="M22" s="217"/>
      <c r="N22" s="217"/>
      <c r="O22" s="217"/>
      <c r="P22" s="217"/>
      <c r="Q22" s="217"/>
      <c r="R22" s="217"/>
      <c r="S22" s="217"/>
      <c r="T22" s="217"/>
      <c r="U22" s="217"/>
      <c r="V22" s="217"/>
      <c r="W22" s="217"/>
      <c r="X22" s="217"/>
      <c r="Y22" s="217"/>
      <c r="Z22" s="217"/>
      <c r="AA22" s="217"/>
      <c r="AB22" s="217"/>
      <c r="AC22" s="217"/>
    </row>
    <row r="23" ht="15.75" customHeight="1">
      <c r="A23" s="216" t="s">
        <v>527</v>
      </c>
      <c r="B23" s="217"/>
      <c r="C23" s="217"/>
      <c r="D23" s="217"/>
      <c r="E23" s="217"/>
      <c r="F23" s="217"/>
      <c r="G23" s="217"/>
      <c r="H23" s="217"/>
      <c r="I23" s="217"/>
      <c r="J23" s="217"/>
      <c r="K23" s="217"/>
      <c r="L23" s="217"/>
      <c r="M23" s="217"/>
      <c r="N23" s="217"/>
      <c r="O23" s="217"/>
      <c r="P23" s="217"/>
      <c r="Q23" s="217"/>
      <c r="R23" s="217"/>
      <c r="S23" s="217"/>
      <c r="T23" s="217"/>
      <c r="U23" s="217"/>
      <c r="V23" s="217"/>
      <c r="W23" s="217"/>
      <c r="X23" s="217"/>
      <c r="Y23" s="217"/>
      <c r="Z23" s="217"/>
      <c r="AA23" s="217"/>
      <c r="AB23" s="217"/>
      <c r="AC23" s="217"/>
    </row>
    <row r="24" ht="15.75" customHeight="1">
      <c r="A24" s="216" t="s">
        <v>528</v>
      </c>
      <c r="B24" s="217"/>
      <c r="C24" s="217"/>
      <c r="D24" s="217"/>
      <c r="E24" s="217"/>
      <c r="F24" s="217"/>
      <c r="G24" s="217"/>
      <c r="H24" s="217"/>
      <c r="I24" s="217"/>
      <c r="J24" s="217"/>
      <c r="K24" s="217"/>
      <c r="L24" s="217"/>
      <c r="M24" s="217"/>
      <c r="N24" s="217"/>
      <c r="O24" s="217"/>
      <c r="P24" s="217"/>
      <c r="Q24" s="217"/>
      <c r="R24" s="217"/>
      <c r="S24" s="217"/>
      <c r="T24" s="217"/>
      <c r="U24" s="217"/>
      <c r="V24" s="217"/>
      <c r="W24" s="217"/>
      <c r="X24" s="217"/>
      <c r="Y24" s="217"/>
      <c r="Z24" s="217"/>
      <c r="AA24" s="217"/>
      <c r="AB24" s="217"/>
      <c r="AC24" s="217"/>
    </row>
    <row r="25" ht="15.75" customHeight="1">
      <c r="A25" s="216" t="s">
        <v>529</v>
      </c>
      <c r="B25" s="217"/>
      <c r="C25" s="217"/>
      <c r="D25" s="217"/>
      <c r="E25" s="217"/>
      <c r="F25" s="217"/>
      <c r="G25" s="217"/>
      <c r="H25" s="217"/>
      <c r="I25" s="217"/>
      <c r="J25" s="217"/>
      <c r="K25" s="217"/>
      <c r="L25" s="217"/>
      <c r="M25" s="217"/>
      <c r="N25" s="217"/>
      <c r="O25" s="217"/>
      <c r="P25" s="217"/>
      <c r="Q25" s="217"/>
      <c r="R25" s="217"/>
      <c r="S25" s="217"/>
      <c r="T25" s="217"/>
      <c r="U25" s="217"/>
      <c r="V25" s="217"/>
      <c r="W25" s="217"/>
      <c r="X25" s="217"/>
      <c r="Y25" s="217"/>
      <c r="Z25" s="217"/>
      <c r="AA25" s="217"/>
      <c r="AB25" s="217"/>
      <c r="AC25" s="217"/>
    </row>
    <row r="26" ht="15.75" customHeight="1">
      <c r="A26" s="216" t="s">
        <v>530</v>
      </c>
      <c r="B26" s="220">
        <v>357.0</v>
      </c>
      <c r="C26" s="218">
        <v>-1756.0</v>
      </c>
      <c r="D26" s="218">
        <v>-1756.0</v>
      </c>
      <c r="E26" s="218">
        <v>-1756.0</v>
      </c>
      <c r="F26" s="218">
        <v>-1756.0</v>
      </c>
      <c r="G26" s="218">
        <v>-1756.0</v>
      </c>
      <c r="H26" s="218">
        <v>-1756.0</v>
      </c>
      <c r="I26" s="218">
        <v>-1756.0</v>
      </c>
      <c r="J26" s="218">
        <v>-1756.0</v>
      </c>
      <c r="K26" s="218">
        <v>-1756.0</v>
      </c>
      <c r="L26" s="218">
        <v>-1756.0</v>
      </c>
      <c r="M26" s="218">
        <v>-1756.0</v>
      </c>
      <c r="N26" s="218">
        <v>-1756.0</v>
      </c>
      <c r="O26" s="218">
        <v>-1756.0</v>
      </c>
      <c r="P26" s="218">
        <v>-1756.0</v>
      </c>
      <c r="Q26" s="218">
        <v>-1756.0</v>
      </c>
      <c r="R26" s="218">
        <v>-1756.0</v>
      </c>
      <c r="S26" s="218">
        <v>-1756.0</v>
      </c>
      <c r="T26" s="218">
        <v>-1756.0</v>
      </c>
      <c r="U26" s="218">
        <v>-1756.0</v>
      </c>
      <c r="V26" s="218">
        <v>-1756.0</v>
      </c>
      <c r="W26" s="218">
        <v>-1756.0</v>
      </c>
      <c r="X26" s="218">
        <v>-1756.0</v>
      </c>
      <c r="Y26" s="218">
        <v>-1756.0</v>
      </c>
      <c r="Z26" s="218">
        <v>-1756.0</v>
      </c>
      <c r="AA26" s="218">
        <v>-1756.0</v>
      </c>
      <c r="AB26" s="218">
        <v>-1756.0</v>
      </c>
      <c r="AC26" s="218">
        <v>-1756.0</v>
      </c>
    </row>
    <row r="27" ht="15.75" customHeight="1">
      <c r="A27" s="216" t="s">
        <v>531</v>
      </c>
      <c r="B27" s="219">
        <v>357.0</v>
      </c>
      <c r="C27" s="219">
        <v>-1756.0</v>
      </c>
      <c r="D27" s="219">
        <v>-1756.0</v>
      </c>
      <c r="E27" s="219">
        <v>-1756.0</v>
      </c>
      <c r="F27" s="219">
        <v>-1756.0</v>
      </c>
      <c r="G27" s="219">
        <v>-1756.0</v>
      </c>
      <c r="H27" s="219">
        <v>-1756.0</v>
      </c>
      <c r="I27" s="219">
        <v>-1756.0</v>
      </c>
      <c r="J27" s="219">
        <v>-1756.0</v>
      </c>
      <c r="K27" s="219">
        <v>-1756.0</v>
      </c>
      <c r="L27" s="219">
        <v>-1756.0</v>
      </c>
      <c r="M27" s="219">
        <v>-1756.0</v>
      </c>
      <c r="N27" s="219">
        <v>-1756.0</v>
      </c>
      <c r="O27" s="219">
        <v>-1756.0</v>
      </c>
      <c r="P27" s="219">
        <v>-1756.0</v>
      </c>
      <c r="Q27" s="219">
        <v>-1756.0</v>
      </c>
      <c r="R27" s="219">
        <v>-1756.0</v>
      </c>
      <c r="S27" s="219">
        <v>-1756.0</v>
      </c>
      <c r="T27" s="219">
        <v>-1756.0</v>
      </c>
      <c r="U27" s="219">
        <v>-1756.0</v>
      </c>
      <c r="V27" s="219">
        <v>-1756.0</v>
      </c>
      <c r="W27" s="219">
        <v>-1756.0</v>
      </c>
      <c r="X27" s="219">
        <v>-1756.0</v>
      </c>
      <c r="Y27" s="219">
        <v>-1756.0</v>
      </c>
      <c r="Z27" s="219">
        <v>-1756.0</v>
      </c>
      <c r="AA27" s="219">
        <v>-1756.0</v>
      </c>
      <c r="AB27" s="219">
        <v>-1756.0</v>
      </c>
      <c r="AC27" s="219">
        <v>-1756.0</v>
      </c>
    </row>
    <row r="28" ht="15.75" customHeight="1">
      <c r="A28" s="216" t="s">
        <v>532</v>
      </c>
      <c r="B28" s="217"/>
      <c r="C28" s="217"/>
      <c r="D28" s="217"/>
      <c r="E28" s="217"/>
      <c r="F28" s="217"/>
      <c r="G28" s="217"/>
      <c r="H28" s="217"/>
      <c r="I28" s="217"/>
      <c r="J28" s="217"/>
      <c r="K28" s="217"/>
      <c r="L28" s="217"/>
      <c r="M28" s="217"/>
      <c r="N28" s="217"/>
      <c r="O28" s="217"/>
      <c r="P28" s="217"/>
      <c r="Q28" s="217"/>
      <c r="R28" s="217"/>
      <c r="S28" s="217"/>
      <c r="T28" s="217"/>
      <c r="U28" s="217"/>
      <c r="V28" s="217"/>
      <c r="W28" s="217"/>
      <c r="X28" s="217"/>
      <c r="Y28" s="217"/>
      <c r="Z28" s="217"/>
      <c r="AA28" s="217"/>
      <c r="AB28" s="217"/>
      <c r="AC28" s="217"/>
    </row>
    <row r="29" ht="15.75" customHeight="1">
      <c r="A29" s="216" t="s">
        <v>533</v>
      </c>
      <c r="B29" s="220">
        <v>-239.0</v>
      </c>
      <c r="C29" s="220">
        <v>-352.0</v>
      </c>
      <c r="D29" s="220">
        <v>-352.0</v>
      </c>
      <c r="E29" s="220">
        <v>-352.0</v>
      </c>
      <c r="F29" s="220">
        <v>-352.0</v>
      </c>
      <c r="G29" s="220">
        <v>-352.0</v>
      </c>
      <c r="H29" s="220">
        <v>-352.0</v>
      </c>
      <c r="I29" s="220">
        <v>-352.0</v>
      </c>
      <c r="J29" s="220">
        <v>-352.0</v>
      </c>
      <c r="K29" s="220">
        <v>-352.0</v>
      </c>
      <c r="L29" s="220">
        <v>-352.0</v>
      </c>
      <c r="M29" s="220">
        <v>-352.0</v>
      </c>
      <c r="N29" s="220">
        <v>-352.0</v>
      </c>
      <c r="O29" s="220">
        <v>-352.0</v>
      </c>
      <c r="P29" s="220">
        <v>-352.0</v>
      </c>
      <c r="Q29" s="220">
        <v>-352.0</v>
      </c>
      <c r="R29" s="220">
        <v>-352.0</v>
      </c>
      <c r="S29" s="220">
        <v>-352.0</v>
      </c>
      <c r="T29" s="220">
        <v>-352.0</v>
      </c>
      <c r="U29" s="220">
        <v>-352.0</v>
      </c>
      <c r="V29" s="220">
        <v>-352.0</v>
      </c>
      <c r="W29" s="220">
        <v>-352.0</v>
      </c>
      <c r="X29" s="220">
        <v>-352.0</v>
      </c>
      <c r="Y29" s="220">
        <v>-352.0</v>
      </c>
      <c r="Z29" s="220">
        <v>-352.0</v>
      </c>
      <c r="AA29" s="220">
        <v>-352.0</v>
      </c>
      <c r="AB29" s="220">
        <v>-352.0</v>
      </c>
      <c r="AC29" s="220">
        <v>-352.0</v>
      </c>
    </row>
    <row r="30" ht="15.75" customHeight="1">
      <c r="A30" s="216" t="s">
        <v>534</v>
      </c>
      <c r="B30" s="219">
        <v>-239.0</v>
      </c>
      <c r="C30" s="219">
        <v>-352.0</v>
      </c>
      <c r="D30" s="219">
        <v>-352.0</v>
      </c>
      <c r="E30" s="219">
        <v>-352.0</v>
      </c>
      <c r="F30" s="219">
        <v>-352.0</v>
      </c>
      <c r="G30" s="219">
        <v>-352.0</v>
      </c>
      <c r="H30" s="219">
        <v>-352.0</v>
      </c>
      <c r="I30" s="219">
        <v>-352.0</v>
      </c>
      <c r="J30" s="219">
        <v>-352.0</v>
      </c>
      <c r="K30" s="219">
        <v>-352.0</v>
      </c>
      <c r="L30" s="219">
        <v>-352.0</v>
      </c>
      <c r="M30" s="219">
        <v>-352.0</v>
      </c>
      <c r="N30" s="219">
        <v>-352.0</v>
      </c>
      <c r="O30" s="219">
        <v>-352.0</v>
      </c>
      <c r="P30" s="219">
        <v>-352.0</v>
      </c>
      <c r="Q30" s="219">
        <v>-352.0</v>
      </c>
      <c r="R30" s="219">
        <v>-352.0</v>
      </c>
      <c r="S30" s="219">
        <v>-352.0</v>
      </c>
      <c r="T30" s="219">
        <v>-352.0</v>
      </c>
      <c r="U30" s="219">
        <v>-352.0</v>
      </c>
      <c r="V30" s="219">
        <v>-352.0</v>
      </c>
      <c r="W30" s="219">
        <v>-352.0</v>
      </c>
      <c r="X30" s="219">
        <v>-352.0</v>
      </c>
      <c r="Y30" s="219">
        <v>-352.0</v>
      </c>
      <c r="Z30" s="219">
        <v>-352.0</v>
      </c>
      <c r="AA30" s="219">
        <v>-352.0</v>
      </c>
      <c r="AB30" s="219">
        <v>-352.0</v>
      </c>
      <c r="AC30" s="219">
        <v>-352.0</v>
      </c>
    </row>
    <row r="31" ht="15.75" customHeight="1">
      <c r="A31" s="216" t="s">
        <v>535</v>
      </c>
      <c r="B31" s="219">
        <v>118.0</v>
      </c>
      <c r="C31" s="219">
        <v>-2108.0</v>
      </c>
      <c r="D31" s="219">
        <v>-2108.0</v>
      </c>
      <c r="E31" s="219">
        <v>-2108.0</v>
      </c>
      <c r="F31" s="219">
        <v>-2108.0</v>
      </c>
      <c r="G31" s="219">
        <v>-2108.0</v>
      </c>
      <c r="H31" s="219">
        <v>-2108.0</v>
      </c>
      <c r="I31" s="219">
        <v>-2108.0</v>
      </c>
      <c r="J31" s="219">
        <v>-2108.0</v>
      </c>
      <c r="K31" s="219">
        <v>-2108.0</v>
      </c>
      <c r="L31" s="219">
        <v>-2108.0</v>
      </c>
      <c r="M31" s="219">
        <v>-2108.0</v>
      </c>
      <c r="N31" s="219">
        <v>-2108.0</v>
      </c>
      <c r="O31" s="219">
        <v>-2108.0</v>
      </c>
      <c r="P31" s="219">
        <v>-2108.0</v>
      </c>
      <c r="Q31" s="219">
        <v>-2108.0</v>
      </c>
      <c r="R31" s="219">
        <v>-2108.0</v>
      </c>
      <c r="S31" s="219">
        <v>-2108.0</v>
      </c>
      <c r="T31" s="219">
        <v>-2108.0</v>
      </c>
      <c r="U31" s="219">
        <v>-2108.0</v>
      </c>
      <c r="V31" s="219">
        <v>-2108.0</v>
      </c>
      <c r="W31" s="219">
        <v>-2108.0</v>
      </c>
      <c r="X31" s="219">
        <v>-2108.0</v>
      </c>
      <c r="Y31" s="219">
        <v>-2108.0</v>
      </c>
      <c r="Z31" s="219">
        <v>-2108.0</v>
      </c>
      <c r="AA31" s="219">
        <v>-2108.0</v>
      </c>
      <c r="AB31" s="219">
        <v>-2108.0</v>
      </c>
      <c r="AC31" s="219">
        <v>-2108.0</v>
      </c>
    </row>
    <row r="32" ht="15.75" customHeight="1">
      <c r="A32" s="216" t="s">
        <v>536</v>
      </c>
      <c r="B32" s="217"/>
      <c r="C32" s="217"/>
      <c r="D32" s="217"/>
      <c r="E32" s="217"/>
      <c r="F32" s="217"/>
      <c r="G32" s="217"/>
      <c r="H32" s="217"/>
      <c r="I32" s="217"/>
      <c r="J32" s="217"/>
      <c r="K32" s="217"/>
      <c r="L32" s="217"/>
      <c r="M32" s="217"/>
      <c r="N32" s="217"/>
      <c r="O32" s="217"/>
      <c r="P32" s="217"/>
      <c r="Q32" s="217"/>
      <c r="R32" s="217"/>
      <c r="S32" s="217"/>
      <c r="T32" s="217"/>
      <c r="U32" s="217"/>
      <c r="V32" s="217"/>
      <c r="W32" s="217"/>
      <c r="X32" s="217"/>
      <c r="Y32" s="217"/>
      <c r="Z32" s="217"/>
      <c r="AA32" s="217"/>
      <c r="AB32" s="217"/>
      <c r="AC32" s="217"/>
    </row>
    <row r="33" ht="15.75" customHeight="1">
      <c r="A33" s="216" t="s">
        <v>537</v>
      </c>
      <c r="B33" s="218">
        <v>550000.0</v>
      </c>
      <c r="C33" s="218">
        <v>650000.0</v>
      </c>
      <c r="D33" s="218">
        <v>650000.0</v>
      </c>
      <c r="E33" s="218">
        <v>650000.0</v>
      </c>
      <c r="F33" s="218">
        <v>650000.0</v>
      </c>
      <c r="G33" s="218">
        <v>650000.0</v>
      </c>
      <c r="H33" s="218">
        <v>650000.0</v>
      </c>
      <c r="I33" s="218">
        <v>650000.0</v>
      </c>
      <c r="J33" s="218">
        <v>650000.0</v>
      </c>
      <c r="K33" s="218">
        <v>1250000.0</v>
      </c>
      <c r="L33" s="218">
        <v>1250000.0</v>
      </c>
      <c r="M33" s="218">
        <v>1250000.0</v>
      </c>
      <c r="N33" s="218">
        <v>1750000.0</v>
      </c>
      <c r="O33" s="218">
        <v>1750000.0</v>
      </c>
      <c r="P33" s="218">
        <v>1750000.0</v>
      </c>
      <c r="Q33" s="218">
        <v>1750000.0</v>
      </c>
      <c r="R33" s="218">
        <v>2050000.0</v>
      </c>
      <c r="S33" s="218">
        <v>2050000.0</v>
      </c>
      <c r="T33" s="218">
        <v>2050000.0</v>
      </c>
      <c r="U33" s="218">
        <v>2050000.0</v>
      </c>
      <c r="V33" s="218">
        <v>2050000.0</v>
      </c>
      <c r="W33" s="218">
        <v>2350000.0</v>
      </c>
      <c r="X33" s="218">
        <v>2350000.0</v>
      </c>
      <c r="Y33" s="218">
        <v>2350000.0</v>
      </c>
      <c r="Z33" s="218">
        <v>2350000.0</v>
      </c>
      <c r="AA33" s="218">
        <v>2350000.0</v>
      </c>
      <c r="AB33" s="218">
        <v>2350000.0</v>
      </c>
      <c r="AC33" s="218">
        <v>2350000.0</v>
      </c>
    </row>
    <row r="34" ht="15.75" customHeight="1">
      <c r="A34" s="216" t="s">
        <v>538</v>
      </c>
      <c r="B34" s="218">
        <v>500000.0</v>
      </c>
      <c r="C34" s="218">
        <v>500000.0</v>
      </c>
      <c r="D34" s="218">
        <v>500000.0</v>
      </c>
      <c r="E34" s="218">
        <v>500000.0</v>
      </c>
      <c r="F34" s="218">
        <v>500000.0</v>
      </c>
      <c r="G34" s="218">
        <v>500000.0</v>
      </c>
      <c r="H34" s="218">
        <v>500000.0</v>
      </c>
      <c r="I34" s="218">
        <v>500000.0</v>
      </c>
      <c r="J34" s="218">
        <v>500000.0</v>
      </c>
      <c r="K34" s="218">
        <v>500000.0</v>
      </c>
      <c r="L34" s="218">
        <v>500000.0</v>
      </c>
      <c r="M34" s="218">
        <v>500000.0</v>
      </c>
      <c r="N34" s="218">
        <v>500000.0</v>
      </c>
      <c r="O34" s="218">
        <v>500000.0</v>
      </c>
      <c r="P34" s="218">
        <v>500000.0</v>
      </c>
      <c r="Q34" s="218">
        <v>500000.0</v>
      </c>
      <c r="R34" s="218">
        <v>500000.0</v>
      </c>
      <c r="S34" s="218">
        <v>500000.0</v>
      </c>
      <c r="T34" s="218">
        <v>500000.0</v>
      </c>
      <c r="U34" s="218">
        <v>500000.0</v>
      </c>
      <c r="V34" s="218">
        <v>500000.0</v>
      </c>
      <c r="W34" s="218">
        <v>500000.0</v>
      </c>
      <c r="X34" s="218">
        <v>500000.0</v>
      </c>
      <c r="Y34" s="218">
        <v>500000.0</v>
      </c>
      <c r="Z34" s="218">
        <v>500000.0</v>
      </c>
      <c r="AA34" s="218">
        <v>500000.0</v>
      </c>
      <c r="AB34" s="218">
        <v>500000.0</v>
      </c>
      <c r="AC34" s="218">
        <v>500000.0</v>
      </c>
    </row>
    <row r="35" ht="15.75" customHeight="1">
      <c r="A35" s="216" t="s">
        <v>539</v>
      </c>
      <c r="B35" s="218">
        <v>0.0</v>
      </c>
      <c r="C35" s="218">
        <v>0.0</v>
      </c>
      <c r="D35" s="218">
        <v>0.0</v>
      </c>
      <c r="E35" s="218">
        <v>0.0</v>
      </c>
      <c r="F35" s="218">
        <v>0.0</v>
      </c>
      <c r="G35" s="218">
        <v>0.0</v>
      </c>
      <c r="H35" s="218">
        <v>0.0</v>
      </c>
      <c r="I35" s="218">
        <v>0.0</v>
      </c>
      <c r="J35" s="218">
        <v>0.0</v>
      </c>
      <c r="K35" s="218">
        <v>0.0</v>
      </c>
      <c r="L35" s="218">
        <v>0.0</v>
      </c>
      <c r="M35" s="218">
        <v>0.0</v>
      </c>
      <c r="N35" s="218">
        <v>0.0</v>
      </c>
      <c r="O35" s="218">
        <v>0.0</v>
      </c>
      <c r="P35" s="218">
        <v>0.0</v>
      </c>
      <c r="Q35" s="218">
        <v>0.0</v>
      </c>
      <c r="R35" s="218">
        <v>0.0</v>
      </c>
      <c r="S35" s="218">
        <v>0.0</v>
      </c>
      <c r="T35" s="218">
        <v>0.0</v>
      </c>
      <c r="U35" s="218">
        <v>0.0</v>
      </c>
      <c r="V35" s="218">
        <v>0.0</v>
      </c>
      <c r="W35" s="220">
        <v>0.0</v>
      </c>
      <c r="X35" s="220">
        <v>0.0</v>
      </c>
      <c r="Y35" s="220">
        <v>0.0</v>
      </c>
      <c r="Z35" s="220">
        <v>0.0</v>
      </c>
      <c r="AA35" s="220">
        <v>0.0</v>
      </c>
      <c r="AB35" s="220">
        <v>0.0</v>
      </c>
      <c r="AC35" s="220">
        <v>0.0</v>
      </c>
    </row>
    <row r="36" ht="15.75" customHeight="1">
      <c r="A36" s="216" t="s">
        <v>540</v>
      </c>
      <c r="B36" s="219">
        <v>1050000.0</v>
      </c>
      <c r="C36" s="219">
        <v>1150000.0</v>
      </c>
      <c r="D36" s="219">
        <v>1150000.0</v>
      </c>
      <c r="E36" s="219">
        <v>1150000.0</v>
      </c>
      <c r="F36" s="219">
        <v>1150000.0</v>
      </c>
      <c r="G36" s="219">
        <v>1150000.0</v>
      </c>
      <c r="H36" s="219">
        <v>1150000.0</v>
      </c>
      <c r="I36" s="219">
        <v>1150000.0</v>
      </c>
      <c r="J36" s="219">
        <v>1150000.0</v>
      </c>
      <c r="K36" s="219">
        <v>1750000.0</v>
      </c>
      <c r="L36" s="219">
        <v>1750000.0</v>
      </c>
      <c r="M36" s="219">
        <v>1750000.0</v>
      </c>
      <c r="N36" s="219">
        <v>2250000.0</v>
      </c>
      <c r="O36" s="219">
        <v>2250000.0</v>
      </c>
      <c r="P36" s="219">
        <v>2250000.0</v>
      </c>
      <c r="Q36" s="219">
        <v>2250000.0</v>
      </c>
      <c r="R36" s="219">
        <v>2550000.0</v>
      </c>
      <c r="S36" s="219">
        <v>2550000.0</v>
      </c>
      <c r="T36" s="219">
        <v>2550000.0</v>
      </c>
      <c r="U36" s="219">
        <v>2550000.0</v>
      </c>
      <c r="V36" s="219">
        <v>2550000.0</v>
      </c>
      <c r="W36" s="219">
        <v>2850000.0</v>
      </c>
      <c r="X36" s="219">
        <v>2850000.0</v>
      </c>
      <c r="Y36" s="219">
        <v>2850000.0</v>
      </c>
      <c r="Z36" s="219">
        <v>2850000.0</v>
      </c>
      <c r="AA36" s="219">
        <v>2850000.0</v>
      </c>
      <c r="AB36" s="219">
        <v>2850000.0</v>
      </c>
      <c r="AC36" s="219">
        <v>2850000.0</v>
      </c>
    </row>
    <row r="37" ht="15.75" customHeight="1">
      <c r="A37" s="216" t="s">
        <v>541</v>
      </c>
      <c r="B37" s="219">
        <v>1050118.0</v>
      </c>
      <c r="C37" s="219">
        <v>1147892.0</v>
      </c>
      <c r="D37" s="219">
        <v>1147892.0</v>
      </c>
      <c r="E37" s="219">
        <v>1147892.0</v>
      </c>
      <c r="F37" s="219">
        <v>1147892.0</v>
      </c>
      <c r="G37" s="219">
        <v>1147892.0</v>
      </c>
      <c r="H37" s="219">
        <v>1147892.0</v>
      </c>
      <c r="I37" s="219">
        <v>1147892.0</v>
      </c>
      <c r="J37" s="219">
        <v>1147892.0</v>
      </c>
      <c r="K37" s="219">
        <v>1747892.0</v>
      </c>
      <c r="L37" s="219">
        <v>1747892.0</v>
      </c>
      <c r="M37" s="219">
        <v>1747892.0</v>
      </c>
      <c r="N37" s="219">
        <v>2247892.0</v>
      </c>
      <c r="O37" s="219">
        <v>2247892.0</v>
      </c>
      <c r="P37" s="219">
        <v>2247892.0</v>
      </c>
      <c r="Q37" s="219">
        <v>2247892.0</v>
      </c>
      <c r="R37" s="219">
        <v>2547892.0</v>
      </c>
      <c r="S37" s="219">
        <v>2547892.0</v>
      </c>
      <c r="T37" s="219">
        <v>2547892.0</v>
      </c>
      <c r="U37" s="219">
        <v>2547892.0</v>
      </c>
      <c r="V37" s="219">
        <v>2547892.0</v>
      </c>
      <c r="W37" s="219">
        <v>2847892.0</v>
      </c>
      <c r="X37" s="219">
        <v>2847892.0</v>
      </c>
      <c r="Y37" s="219">
        <v>2847892.0</v>
      </c>
      <c r="Z37" s="219">
        <v>2847892.0</v>
      </c>
      <c r="AA37" s="219">
        <v>2847892.0</v>
      </c>
      <c r="AB37" s="219">
        <v>2847892.0</v>
      </c>
      <c r="AC37" s="219">
        <v>2847892.0</v>
      </c>
    </row>
    <row r="38" ht="15.75" customHeight="1">
      <c r="A38" s="216" t="s">
        <v>542</v>
      </c>
      <c r="B38" s="224"/>
      <c r="C38" s="224"/>
      <c r="D38" s="224"/>
      <c r="E38" s="224"/>
      <c r="F38" s="224"/>
      <c r="G38" s="224"/>
      <c r="H38" s="224"/>
      <c r="I38" s="224"/>
      <c r="J38" s="224"/>
      <c r="K38" s="224"/>
      <c r="L38" s="224"/>
      <c r="M38" s="224"/>
      <c r="N38" s="224"/>
      <c r="O38" s="224"/>
      <c r="P38" s="224"/>
      <c r="Q38" s="224"/>
      <c r="R38" s="224"/>
      <c r="S38" s="224"/>
      <c r="T38" s="224"/>
      <c r="U38" s="224"/>
      <c r="V38" s="224"/>
      <c r="W38" s="217"/>
      <c r="X38" s="217"/>
      <c r="Y38" s="217"/>
      <c r="Z38" s="217"/>
      <c r="AA38" s="217"/>
      <c r="AB38" s="217"/>
      <c r="AC38" s="217"/>
    </row>
    <row r="39" ht="15.75" customHeight="1">
      <c r="A39" s="216" t="s">
        <v>543</v>
      </c>
      <c r="B39" s="227">
        <v>0.0</v>
      </c>
      <c r="C39" s="227">
        <v>0.0</v>
      </c>
      <c r="D39" s="227">
        <v>0.0</v>
      </c>
      <c r="E39" s="227">
        <v>0.0</v>
      </c>
      <c r="F39" s="227">
        <v>0.0</v>
      </c>
      <c r="G39" s="227">
        <v>0.0</v>
      </c>
      <c r="H39" s="227">
        <v>0.0</v>
      </c>
      <c r="I39" s="227">
        <v>0.0</v>
      </c>
      <c r="J39" s="227">
        <v>0.0</v>
      </c>
      <c r="K39" s="227">
        <v>0.0</v>
      </c>
      <c r="L39" s="227">
        <v>0.0</v>
      </c>
      <c r="M39" s="227">
        <v>0.0</v>
      </c>
      <c r="N39" s="227">
        <v>0.0</v>
      </c>
      <c r="O39" s="227">
        <v>0.0</v>
      </c>
      <c r="P39" s="227">
        <v>0.0</v>
      </c>
      <c r="Q39" s="227">
        <v>0.0</v>
      </c>
      <c r="R39" s="227">
        <v>0.0</v>
      </c>
      <c r="S39" s="227">
        <v>0.0</v>
      </c>
      <c r="T39" s="227">
        <v>0.0</v>
      </c>
      <c r="U39" s="227">
        <v>0.0</v>
      </c>
      <c r="V39" s="227">
        <v>0.0</v>
      </c>
      <c r="W39" s="220">
        <v>0.0</v>
      </c>
      <c r="X39" s="220">
        <v>0.0</v>
      </c>
      <c r="Y39" s="220">
        <v>0.0</v>
      </c>
      <c r="Z39" s="220">
        <v>0.0</v>
      </c>
      <c r="AA39" s="220">
        <v>0.0</v>
      </c>
      <c r="AB39" s="220">
        <v>0.0</v>
      </c>
      <c r="AC39" s="220">
        <v>0.0</v>
      </c>
    </row>
    <row r="40" ht="15.75" customHeight="1">
      <c r="A40" s="216" t="s">
        <v>544</v>
      </c>
      <c r="B40" s="218">
        <v>332421.0</v>
      </c>
      <c r="C40" s="218">
        <v>332421.0</v>
      </c>
      <c r="D40" s="218">
        <v>332421.0</v>
      </c>
      <c r="E40" s="218">
        <v>332421.0</v>
      </c>
      <c r="F40" s="218">
        <v>332421.0</v>
      </c>
      <c r="G40" s="218">
        <v>332421.0</v>
      </c>
      <c r="H40" s="218">
        <v>332421.0</v>
      </c>
      <c r="I40" s="218">
        <v>332421.0</v>
      </c>
      <c r="J40" s="218">
        <v>332421.0</v>
      </c>
      <c r="K40" s="218">
        <v>332421.0</v>
      </c>
      <c r="L40" s="218">
        <v>332421.0</v>
      </c>
      <c r="M40" s="218">
        <v>332421.0</v>
      </c>
      <c r="N40" s="218">
        <v>332421.0</v>
      </c>
      <c r="O40" s="218">
        <v>332421.0</v>
      </c>
      <c r="P40" s="218">
        <v>332421.0</v>
      </c>
      <c r="Q40" s="218">
        <v>332421.0</v>
      </c>
      <c r="R40" s="218">
        <v>332421.0</v>
      </c>
      <c r="S40" s="218">
        <v>332421.0</v>
      </c>
      <c r="T40" s="218">
        <v>332421.0</v>
      </c>
      <c r="U40" s="218">
        <v>332421.0</v>
      </c>
      <c r="V40" s="218">
        <v>332421.0</v>
      </c>
      <c r="W40" s="218">
        <v>332421.0</v>
      </c>
      <c r="X40" s="218">
        <v>332421.0</v>
      </c>
      <c r="Y40" s="218">
        <v>332421.0</v>
      </c>
      <c r="Z40" s="218">
        <v>332421.0</v>
      </c>
      <c r="AA40" s="218">
        <v>332421.0</v>
      </c>
      <c r="AB40" s="218">
        <v>332421.0</v>
      </c>
      <c r="AC40" s="218">
        <v>332421.0</v>
      </c>
    </row>
    <row r="41" ht="15.75" customHeight="1">
      <c r="A41" s="216" t="s">
        <v>545</v>
      </c>
      <c r="B41" s="218">
        <v>-332421.0</v>
      </c>
      <c r="C41" s="218">
        <v>-332421.0</v>
      </c>
      <c r="D41" s="218">
        <v>-332421.0</v>
      </c>
      <c r="E41" s="218">
        <v>-332421.0</v>
      </c>
      <c r="F41" s="218">
        <v>-332421.0</v>
      </c>
      <c r="G41" s="218">
        <v>-332421.0</v>
      </c>
      <c r="H41" s="218">
        <v>-332421.0</v>
      </c>
      <c r="I41" s="218">
        <v>-332421.0</v>
      </c>
      <c r="J41" s="218">
        <v>-332421.0</v>
      </c>
      <c r="K41" s="218">
        <v>-332421.0</v>
      </c>
      <c r="L41" s="218">
        <v>-332421.0</v>
      </c>
      <c r="M41" s="218">
        <v>-332421.0</v>
      </c>
      <c r="N41" s="218">
        <v>-1615659.0</v>
      </c>
      <c r="O41" s="218">
        <v>-1615659.0</v>
      </c>
      <c r="P41" s="218">
        <v>-1615659.0</v>
      </c>
      <c r="Q41" s="218">
        <v>-1615659.0</v>
      </c>
      <c r="R41" s="218">
        <v>-1615659.0</v>
      </c>
      <c r="S41" s="218">
        <v>-1615659.0</v>
      </c>
      <c r="T41" s="218">
        <v>-1615659.0</v>
      </c>
      <c r="U41" s="218">
        <v>-1615659.0</v>
      </c>
      <c r="V41" s="218">
        <v>-1615659.0</v>
      </c>
      <c r="W41" s="218">
        <v>-1615659.0</v>
      </c>
      <c r="X41" s="218">
        <v>-1615659.0</v>
      </c>
      <c r="Y41" s="218">
        <v>-1615659.0</v>
      </c>
      <c r="Z41" s="218">
        <v>-2884910.0</v>
      </c>
      <c r="AA41" s="218">
        <v>-2884910.0</v>
      </c>
      <c r="AB41" s="218">
        <v>-2884910.0</v>
      </c>
      <c r="AC41" s="218">
        <v>-2884910.0</v>
      </c>
    </row>
    <row r="42" ht="15.75" customHeight="1">
      <c r="A42" s="216" t="s">
        <v>19</v>
      </c>
      <c r="B42" s="218">
        <v>-89438.0</v>
      </c>
      <c r="C42" s="218">
        <v>-177562.0</v>
      </c>
      <c r="D42" s="218">
        <v>-280518.0</v>
      </c>
      <c r="E42" s="218">
        <v>-375113.0</v>
      </c>
      <c r="F42" s="218">
        <v>-457178.0</v>
      </c>
      <c r="G42" s="218">
        <v>-535310.0</v>
      </c>
      <c r="H42" s="218">
        <v>-629355.0</v>
      </c>
      <c r="I42" s="218">
        <v>-719121.0</v>
      </c>
      <c r="J42" s="218">
        <v>-833566.0</v>
      </c>
      <c r="K42" s="218">
        <v>-965447.0</v>
      </c>
      <c r="L42" s="218">
        <v>-1106044.0</v>
      </c>
      <c r="M42" s="218">
        <v>-1283238.0</v>
      </c>
      <c r="N42" s="218">
        <v>-177124.0</v>
      </c>
      <c r="O42" s="218">
        <v>-366699.0</v>
      </c>
      <c r="P42" s="218">
        <v>-550830.0</v>
      </c>
      <c r="Q42" s="218">
        <v>-679771.0</v>
      </c>
      <c r="R42" s="218">
        <v>-831525.0</v>
      </c>
      <c r="S42" s="218">
        <v>-953808.0</v>
      </c>
      <c r="T42" s="218">
        <v>-1056282.0</v>
      </c>
      <c r="U42" s="218">
        <v>-1138777.0</v>
      </c>
      <c r="V42" s="218">
        <v>-1198815.0</v>
      </c>
      <c r="W42" s="218">
        <v>-1226135.0</v>
      </c>
      <c r="X42" s="218">
        <v>-1245040.0</v>
      </c>
      <c r="Y42" s="218">
        <v>-1269251.0</v>
      </c>
      <c r="Z42" s="218">
        <v>-13824.0</v>
      </c>
      <c r="AA42" s="218">
        <v>-39993.0</v>
      </c>
      <c r="AB42" s="218">
        <v>-31585.81</v>
      </c>
      <c r="AC42" s="218">
        <v>-31702.81</v>
      </c>
    </row>
    <row r="43" ht="15.75" customHeight="1">
      <c r="A43" s="216" t="s">
        <v>546</v>
      </c>
      <c r="B43" s="225">
        <v>-89438.0</v>
      </c>
      <c r="C43" s="225">
        <v>-177562.0</v>
      </c>
      <c r="D43" s="225">
        <v>-280518.0</v>
      </c>
      <c r="E43" s="225">
        <v>-375113.0</v>
      </c>
      <c r="F43" s="225">
        <v>-457178.0</v>
      </c>
      <c r="G43" s="225">
        <v>-535310.0</v>
      </c>
      <c r="H43" s="225">
        <v>-629355.0</v>
      </c>
      <c r="I43" s="225">
        <v>-719121.0</v>
      </c>
      <c r="J43" s="225">
        <v>-833566.0</v>
      </c>
      <c r="K43" s="225">
        <v>-965447.0</v>
      </c>
      <c r="L43" s="225">
        <v>-1106044.0</v>
      </c>
      <c r="M43" s="225">
        <v>-1283238.0</v>
      </c>
      <c r="N43" s="225">
        <v>-1460362.0</v>
      </c>
      <c r="O43" s="225">
        <v>-1649937.0</v>
      </c>
      <c r="P43" s="225">
        <v>-1834068.0</v>
      </c>
      <c r="Q43" s="225">
        <v>-1963009.0</v>
      </c>
      <c r="R43" s="225">
        <v>-2114763.0</v>
      </c>
      <c r="S43" s="225">
        <v>-2237046.0</v>
      </c>
      <c r="T43" s="225">
        <v>-2339520.0</v>
      </c>
      <c r="U43" s="225">
        <v>-2422015.0</v>
      </c>
      <c r="V43" s="225">
        <v>-2482053.0</v>
      </c>
      <c r="W43" s="226">
        <v>-2509373.0</v>
      </c>
      <c r="X43" s="226">
        <v>-2528278.0</v>
      </c>
      <c r="Y43" s="226">
        <v>-2552489.0</v>
      </c>
      <c r="Z43" s="226">
        <v>-2566313.0</v>
      </c>
      <c r="AA43" s="226">
        <v>-2592482.0</v>
      </c>
      <c r="AB43" s="226">
        <v>-2584074.81</v>
      </c>
      <c r="AC43" s="226">
        <v>-2584191.81</v>
      </c>
    </row>
    <row r="44" ht="15.75" customHeight="1">
      <c r="A44" s="216" t="s">
        <v>547</v>
      </c>
      <c r="B44" s="225">
        <v>960680.0</v>
      </c>
      <c r="C44" s="225">
        <v>970330.0</v>
      </c>
      <c r="D44" s="225">
        <v>867374.0</v>
      </c>
      <c r="E44" s="225">
        <v>772779.0</v>
      </c>
      <c r="F44" s="225">
        <v>690714.0</v>
      </c>
      <c r="G44" s="225">
        <v>612582.0</v>
      </c>
      <c r="H44" s="225">
        <v>518537.0</v>
      </c>
      <c r="I44" s="225">
        <v>428771.0</v>
      </c>
      <c r="J44" s="225">
        <v>314326.0</v>
      </c>
      <c r="K44" s="225">
        <v>782445.0</v>
      </c>
      <c r="L44" s="225">
        <v>641848.0</v>
      </c>
      <c r="M44" s="225">
        <v>464654.0</v>
      </c>
      <c r="N44" s="225">
        <v>787530.0</v>
      </c>
      <c r="O44" s="225">
        <v>597955.0</v>
      </c>
      <c r="P44" s="225">
        <v>413824.0</v>
      </c>
      <c r="Q44" s="225">
        <v>284883.0</v>
      </c>
      <c r="R44" s="225">
        <v>433129.0</v>
      </c>
      <c r="S44" s="225">
        <v>310846.0</v>
      </c>
      <c r="T44" s="225">
        <v>208372.0</v>
      </c>
      <c r="U44" s="225">
        <v>125877.0</v>
      </c>
      <c r="V44" s="225">
        <v>65839.0</v>
      </c>
      <c r="W44" s="226">
        <v>338519.0</v>
      </c>
      <c r="X44" s="226">
        <v>319614.0</v>
      </c>
      <c r="Y44" s="226">
        <v>295403.0</v>
      </c>
      <c r="Z44" s="226">
        <v>281579.0</v>
      </c>
      <c r="AA44" s="226">
        <v>255410.0</v>
      </c>
      <c r="AB44" s="226">
        <v>263817.19</v>
      </c>
      <c r="AC44" s="226">
        <v>263700.19</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pageSetUpPr/>
  </sheetPr>
  <sheetViews>
    <sheetView showGridLines="0" workbookViewId="0">
      <pane xSplit="1.0" topLeftCell="B1" activePane="topRight" state="frozen"/>
      <selection activeCell="C2" sqref="C2" pane="topRight"/>
    </sheetView>
  </sheetViews>
  <sheetFormatPr customHeight="1" defaultColWidth="12.63" defaultRowHeight="15.0"/>
  <cols>
    <col customWidth="1" min="1" max="1" width="57.13"/>
    <col customWidth="1" min="2" max="29" width="14.38"/>
  </cols>
  <sheetData>
    <row r="1" ht="15.75" customHeight="1">
      <c r="A1" s="228" t="s">
        <v>436</v>
      </c>
      <c r="B1" s="209" t="str">
        <f t="shared" ref="B1:AC1" si="1">"CFS_"&amp;TEXT(B5,"mmm")&amp;"_"&amp;TEXT(B5,"yyyy")</f>
        <v>CFS_Jan_2018</v>
      </c>
      <c r="C1" s="209" t="str">
        <f t="shared" si="1"/>
        <v>CFS_Feb_2018</v>
      </c>
      <c r="D1" s="209" t="str">
        <f t="shared" si="1"/>
        <v>CFS_Mar_2018</v>
      </c>
      <c r="E1" s="209" t="str">
        <f t="shared" si="1"/>
        <v>CFS_Apr_2018</v>
      </c>
      <c r="F1" s="209" t="str">
        <f t="shared" si="1"/>
        <v>CFS_May_2018</v>
      </c>
      <c r="G1" s="209" t="str">
        <f t="shared" si="1"/>
        <v>CFS_Jun_2018</v>
      </c>
      <c r="H1" s="209" t="str">
        <f t="shared" si="1"/>
        <v>CFS_Jul_2018</v>
      </c>
      <c r="I1" s="209" t="str">
        <f t="shared" si="1"/>
        <v>CFS_Aug_2018</v>
      </c>
      <c r="J1" s="209" t="str">
        <f t="shared" si="1"/>
        <v>CFS_Sep_2018</v>
      </c>
      <c r="K1" s="209" t="str">
        <f t="shared" si="1"/>
        <v>CFS_Oct_2018</v>
      </c>
      <c r="L1" s="209" t="str">
        <f t="shared" si="1"/>
        <v>CFS_Nov_2018</v>
      </c>
      <c r="M1" s="209" t="str">
        <f t="shared" si="1"/>
        <v>CFS_Dec_2018</v>
      </c>
      <c r="N1" s="209" t="str">
        <f t="shared" si="1"/>
        <v>CFS_Jan_2019</v>
      </c>
      <c r="O1" s="209" t="str">
        <f t="shared" si="1"/>
        <v>CFS_Feb_2019</v>
      </c>
      <c r="P1" s="209" t="str">
        <f t="shared" si="1"/>
        <v>CFS_Mar_2019</v>
      </c>
      <c r="Q1" s="209" t="str">
        <f t="shared" si="1"/>
        <v>CFS_Apr_2019</v>
      </c>
      <c r="R1" s="209" t="str">
        <f t="shared" si="1"/>
        <v>CFS_May_2019</v>
      </c>
      <c r="S1" s="209" t="str">
        <f t="shared" si="1"/>
        <v>CFS_Jun_2019</v>
      </c>
      <c r="T1" s="209" t="str">
        <f t="shared" si="1"/>
        <v>CFS_Jul_2019</v>
      </c>
      <c r="U1" s="209" t="str">
        <f t="shared" si="1"/>
        <v>CFS_Aug_2019</v>
      </c>
      <c r="V1" s="209" t="str">
        <f t="shared" si="1"/>
        <v>CFS_Sep_2019</v>
      </c>
      <c r="W1" s="209" t="str">
        <f t="shared" si="1"/>
        <v>CFS_Oct_2019</v>
      </c>
      <c r="X1" s="209" t="str">
        <f t="shared" si="1"/>
        <v>CFS_Nov_2019</v>
      </c>
      <c r="Y1" s="209" t="str">
        <f t="shared" si="1"/>
        <v>CFS_Dec_2019</v>
      </c>
      <c r="Z1" s="209" t="str">
        <f t="shared" si="1"/>
        <v>CFS_Jan_2020</v>
      </c>
      <c r="AA1" s="209" t="str">
        <f t="shared" si="1"/>
        <v>CFS_Feb_2020</v>
      </c>
      <c r="AB1" s="209" t="str">
        <f t="shared" si="1"/>
        <v>CFS_Mar_2020</v>
      </c>
      <c r="AC1" s="209" t="str">
        <f t="shared" si="1"/>
        <v>CFS_Apr_2020</v>
      </c>
    </row>
    <row r="2" ht="15.75" customHeight="1">
      <c r="A2" s="228" t="s">
        <v>548</v>
      </c>
      <c r="B2" s="213"/>
      <c r="C2" s="213"/>
      <c r="D2" s="213"/>
      <c r="E2" s="213"/>
      <c r="F2" s="213"/>
      <c r="G2" s="213"/>
      <c r="H2" s="213"/>
      <c r="I2" s="213"/>
      <c r="J2" s="213"/>
      <c r="K2" s="213"/>
      <c r="L2" s="213"/>
      <c r="M2" s="213"/>
      <c r="N2" s="213"/>
      <c r="O2" s="213"/>
      <c r="P2" s="213"/>
      <c r="Q2" s="213"/>
      <c r="R2" s="213"/>
      <c r="S2" s="213"/>
      <c r="T2" s="213"/>
      <c r="U2" s="213"/>
      <c r="V2" s="213"/>
    </row>
    <row r="3" ht="15.75" customHeight="1">
      <c r="A3" s="229" t="s">
        <v>438</v>
      </c>
      <c r="B3" s="213"/>
      <c r="C3" s="213"/>
      <c r="D3" s="213"/>
      <c r="E3" s="213"/>
      <c r="F3" s="213"/>
      <c r="G3" s="213"/>
      <c r="H3" s="213"/>
      <c r="I3" s="213"/>
      <c r="J3" s="213"/>
      <c r="K3" s="213"/>
      <c r="L3" s="213"/>
      <c r="M3" s="213"/>
      <c r="N3" s="213"/>
      <c r="O3" s="213"/>
      <c r="P3" s="213"/>
      <c r="Q3" s="213"/>
      <c r="R3" s="213"/>
      <c r="S3" s="213"/>
      <c r="T3" s="213"/>
      <c r="U3" s="213"/>
      <c r="V3" s="213"/>
    </row>
    <row r="4" ht="15.75" customHeight="1">
      <c r="A4" s="213"/>
      <c r="B4" s="213"/>
      <c r="C4" s="213"/>
      <c r="D4" s="213"/>
      <c r="E4" s="213"/>
      <c r="F4" s="213"/>
      <c r="G4" s="213"/>
      <c r="H4" s="213"/>
      <c r="I4" s="213"/>
      <c r="J4" s="213"/>
      <c r="K4" s="213"/>
      <c r="L4" s="213"/>
      <c r="M4" s="213"/>
      <c r="N4" s="213"/>
      <c r="O4" s="213"/>
      <c r="P4" s="213"/>
      <c r="Q4" s="213"/>
      <c r="R4" s="213"/>
      <c r="S4" s="213"/>
      <c r="T4" s="213"/>
      <c r="U4" s="213"/>
      <c r="V4" s="213"/>
    </row>
    <row r="5" ht="15.75" customHeight="1">
      <c r="A5" s="213"/>
      <c r="B5" s="214">
        <v>43101.0</v>
      </c>
      <c r="C5" s="214">
        <v>43132.0</v>
      </c>
      <c r="D5" s="214">
        <v>43160.0</v>
      </c>
      <c r="E5" s="214">
        <v>43191.0</v>
      </c>
      <c r="F5" s="215">
        <v>43221.0</v>
      </c>
      <c r="G5" s="214">
        <v>43252.0</v>
      </c>
      <c r="H5" s="214">
        <v>43282.0</v>
      </c>
      <c r="I5" s="214">
        <v>43313.0</v>
      </c>
      <c r="J5" s="214">
        <v>43344.0</v>
      </c>
      <c r="K5" s="214">
        <v>43374.0</v>
      </c>
      <c r="L5" s="214">
        <v>43405.0</v>
      </c>
      <c r="M5" s="214">
        <v>43435.0</v>
      </c>
      <c r="N5" s="214">
        <v>43466.0</v>
      </c>
      <c r="O5" s="214">
        <v>43497.0</v>
      </c>
      <c r="P5" s="214">
        <v>43525.0</v>
      </c>
      <c r="Q5" s="214">
        <v>43556.0</v>
      </c>
      <c r="R5" s="215">
        <v>43586.0</v>
      </c>
      <c r="S5" s="214">
        <v>43617.0</v>
      </c>
      <c r="T5" s="214">
        <v>43647.0</v>
      </c>
      <c r="U5" s="214">
        <v>43678.0</v>
      </c>
      <c r="V5" s="214">
        <v>43709.0</v>
      </c>
      <c r="W5" s="214">
        <v>43739.0</v>
      </c>
      <c r="X5" s="214">
        <v>43770.0</v>
      </c>
      <c r="Y5" s="214">
        <v>43800.0</v>
      </c>
      <c r="Z5" s="214">
        <v>43831.0</v>
      </c>
      <c r="AA5" s="214">
        <v>43862.0</v>
      </c>
      <c r="AB5" s="214">
        <v>43891.0</v>
      </c>
      <c r="AC5" s="214">
        <v>43922.0</v>
      </c>
    </row>
    <row r="6" ht="15.75" customHeight="1">
      <c r="A6" s="216" t="s">
        <v>369</v>
      </c>
      <c r="B6" s="217"/>
      <c r="C6" s="217"/>
      <c r="D6" s="217"/>
      <c r="E6" s="217"/>
      <c r="F6" s="217"/>
      <c r="G6" s="217"/>
      <c r="H6" s="217"/>
      <c r="I6" s="217"/>
      <c r="J6" s="217"/>
      <c r="K6" s="217"/>
      <c r="L6" s="217"/>
      <c r="M6" s="217"/>
      <c r="N6" s="217"/>
      <c r="O6" s="217"/>
      <c r="P6" s="217"/>
      <c r="Q6" s="217"/>
      <c r="R6" s="217"/>
      <c r="S6" s="217"/>
      <c r="T6" s="217"/>
      <c r="U6" s="217"/>
      <c r="V6" s="217"/>
      <c r="W6" s="217"/>
      <c r="X6" s="217"/>
      <c r="Y6" s="217"/>
      <c r="Z6" s="217"/>
      <c r="AA6" s="217"/>
      <c r="AB6" s="217"/>
      <c r="AC6" s="217"/>
    </row>
    <row r="7" ht="15.75" customHeight="1">
      <c r="A7" s="216" t="s">
        <v>19</v>
      </c>
      <c r="B7" s="218">
        <v>-89438.0</v>
      </c>
      <c r="C7" s="218">
        <v>-88124.0</v>
      </c>
      <c r="D7" s="218">
        <v>-102956.0</v>
      </c>
      <c r="E7" s="218">
        <v>-94595.0</v>
      </c>
      <c r="F7" s="218">
        <v>-82065.0</v>
      </c>
      <c r="G7" s="218">
        <v>-78132.0</v>
      </c>
      <c r="H7" s="218">
        <v>-94045.0</v>
      </c>
      <c r="I7" s="218">
        <v>-89766.0</v>
      </c>
      <c r="J7" s="218">
        <v>-114445.0</v>
      </c>
      <c r="K7" s="218">
        <v>-131881.0</v>
      </c>
      <c r="L7" s="218">
        <v>-140597.0</v>
      </c>
      <c r="M7" s="218">
        <v>-177194.0</v>
      </c>
      <c r="N7" s="218">
        <v>-177124.0</v>
      </c>
      <c r="O7" s="218">
        <v>-189575.0</v>
      </c>
      <c r="P7" s="218">
        <v>-184131.0</v>
      </c>
      <c r="Q7" s="218">
        <v>-128941.0</v>
      </c>
      <c r="R7" s="218">
        <v>-151754.0</v>
      </c>
      <c r="S7" s="218">
        <v>-122283.0</v>
      </c>
      <c r="T7" s="218">
        <v>-102474.0</v>
      </c>
      <c r="U7" s="218">
        <v>-82495.0</v>
      </c>
      <c r="V7" s="218">
        <v>-60038.0</v>
      </c>
      <c r="W7" s="218">
        <v>-27320.0</v>
      </c>
      <c r="X7" s="218">
        <v>-18905.0</v>
      </c>
      <c r="Y7" s="218">
        <v>-24211.0</v>
      </c>
      <c r="Z7" s="218">
        <v>-13824.0</v>
      </c>
      <c r="AA7" s="218">
        <v>-26169.0</v>
      </c>
      <c r="AB7" s="218">
        <v>8407.19</v>
      </c>
      <c r="AC7" s="220">
        <v>-117.0</v>
      </c>
    </row>
    <row r="8" ht="15.75" customHeight="1">
      <c r="A8" s="216" t="s">
        <v>549</v>
      </c>
      <c r="B8" s="217"/>
      <c r="C8" s="217"/>
      <c r="D8" s="217"/>
      <c r="E8" s="217"/>
      <c r="F8" s="217"/>
      <c r="G8" s="217"/>
      <c r="H8" s="217"/>
      <c r="I8" s="217"/>
      <c r="J8" s="217"/>
      <c r="K8" s="217"/>
      <c r="L8" s="217"/>
      <c r="M8" s="217"/>
      <c r="N8" s="217"/>
      <c r="O8" s="217"/>
      <c r="P8" s="217"/>
      <c r="Q8" s="217"/>
      <c r="R8" s="217"/>
      <c r="S8" s="217"/>
      <c r="T8" s="217"/>
      <c r="U8" s="217"/>
      <c r="V8" s="217"/>
      <c r="W8" s="217"/>
      <c r="X8" s="217"/>
      <c r="Y8" s="217"/>
      <c r="Z8" s="217"/>
      <c r="AA8" s="217"/>
      <c r="AB8" s="217"/>
      <c r="AC8" s="217"/>
    </row>
    <row r="9" ht="15.75" customHeight="1">
      <c r="A9" s="216" t="s">
        <v>517</v>
      </c>
      <c r="B9" s="220">
        <v>0.0</v>
      </c>
      <c r="C9" s="220">
        <v>0.0</v>
      </c>
      <c r="D9" s="217"/>
      <c r="E9" s="217"/>
      <c r="F9" s="217"/>
      <c r="G9" s="217"/>
      <c r="H9" s="217"/>
      <c r="I9" s="217"/>
      <c r="J9" s="217"/>
      <c r="K9" s="220">
        <v>0.0</v>
      </c>
      <c r="L9" s="217"/>
      <c r="M9" s="217"/>
      <c r="N9" s="220">
        <v>0.0</v>
      </c>
      <c r="O9" s="217"/>
      <c r="P9" s="217"/>
      <c r="Q9" s="217"/>
      <c r="R9" s="220">
        <v>0.0</v>
      </c>
      <c r="S9" s="217"/>
      <c r="T9" s="217"/>
      <c r="U9" s="217"/>
      <c r="V9" s="217"/>
      <c r="W9" s="220">
        <v>0.0</v>
      </c>
      <c r="X9" s="217"/>
      <c r="Y9" s="217"/>
      <c r="Z9" s="217"/>
      <c r="AA9" s="217"/>
      <c r="AB9" s="217"/>
      <c r="AC9" s="217"/>
    </row>
    <row r="10" ht="15.75" customHeight="1">
      <c r="A10" s="216" t="s">
        <v>521</v>
      </c>
      <c r="B10" s="220">
        <v>0.0</v>
      </c>
      <c r="C10" s="220">
        <v>0.0</v>
      </c>
      <c r="D10" s="217"/>
      <c r="E10" s="217"/>
      <c r="F10" s="217"/>
      <c r="G10" s="217"/>
      <c r="H10" s="217"/>
      <c r="I10" s="217"/>
      <c r="J10" s="217"/>
      <c r="K10" s="220">
        <v>0.0</v>
      </c>
      <c r="L10" s="217"/>
      <c r="M10" s="217"/>
      <c r="N10" s="220">
        <v>0.0</v>
      </c>
      <c r="O10" s="217"/>
      <c r="P10" s="217"/>
      <c r="Q10" s="217"/>
      <c r="R10" s="220">
        <v>0.0</v>
      </c>
      <c r="S10" s="217"/>
      <c r="T10" s="217"/>
      <c r="U10" s="217"/>
      <c r="V10" s="217"/>
      <c r="W10" s="220">
        <v>0.0</v>
      </c>
      <c r="X10" s="217"/>
      <c r="Y10" s="217"/>
      <c r="Z10" s="217"/>
      <c r="AA10" s="217"/>
      <c r="AB10" s="217"/>
      <c r="AC10" s="217"/>
    </row>
    <row r="11" ht="15.75" customHeight="1">
      <c r="A11" s="216" t="s">
        <v>530</v>
      </c>
      <c r="B11" s="220">
        <v>357.0</v>
      </c>
      <c r="C11" s="218">
        <v>-2113.0</v>
      </c>
      <c r="D11" s="217"/>
      <c r="E11" s="217"/>
      <c r="F11" s="217"/>
      <c r="G11" s="217"/>
      <c r="H11" s="217"/>
      <c r="I11" s="217"/>
      <c r="J11" s="217"/>
      <c r="K11" s="220">
        <v>0.0</v>
      </c>
      <c r="L11" s="217"/>
      <c r="M11" s="217"/>
      <c r="N11" s="220">
        <v>0.0</v>
      </c>
      <c r="O11" s="217"/>
      <c r="P11" s="217"/>
      <c r="Q11" s="217"/>
      <c r="R11" s="220">
        <v>0.0</v>
      </c>
      <c r="S11" s="217"/>
      <c r="T11" s="217"/>
      <c r="U11" s="217"/>
      <c r="V11" s="217"/>
      <c r="W11" s="220">
        <v>0.0</v>
      </c>
      <c r="X11" s="217"/>
      <c r="Y11" s="217"/>
      <c r="Z11" s="217"/>
      <c r="AA11" s="217"/>
      <c r="AB11" s="217"/>
      <c r="AC11" s="217"/>
    </row>
    <row r="12" ht="15.75" customHeight="1">
      <c r="A12" s="216" t="s">
        <v>533</v>
      </c>
      <c r="B12" s="220">
        <v>-239.0</v>
      </c>
      <c r="C12" s="220">
        <v>-113.0</v>
      </c>
      <c r="D12" s="217"/>
      <c r="E12" s="217"/>
      <c r="F12" s="217"/>
      <c r="G12" s="217"/>
      <c r="H12" s="217"/>
      <c r="I12" s="217"/>
      <c r="J12" s="217"/>
      <c r="K12" s="220">
        <v>0.0</v>
      </c>
      <c r="L12" s="217"/>
      <c r="M12" s="217"/>
      <c r="N12" s="220">
        <v>0.0</v>
      </c>
      <c r="O12" s="217"/>
      <c r="P12" s="217"/>
      <c r="Q12" s="217"/>
      <c r="R12" s="220">
        <v>0.0</v>
      </c>
      <c r="S12" s="217"/>
      <c r="T12" s="217"/>
      <c r="U12" s="217"/>
      <c r="V12" s="217"/>
      <c r="W12" s="220">
        <v>0.0</v>
      </c>
      <c r="X12" s="217"/>
      <c r="Y12" s="217"/>
      <c r="Z12" s="217"/>
      <c r="AA12" s="217"/>
      <c r="AB12" s="217"/>
      <c r="AC12" s="217"/>
    </row>
    <row r="13" ht="15.75" customHeight="1">
      <c r="A13" s="216" t="s">
        <v>550</v>
      </c>
      <c r="B13" s="219">
        <v>118.0</v>
      </c>
      <c r="C13" s="219">
        <v>-2226.0</v>
      </c>
      <c r="D13" s="219">
        <v>0.0</v>
      </c>
      <c r="E13" s="219">
        <v>0.0</v>
      </c>
      <c r="F13" s="219">
        <v>0.0</v>
      </c>
      <c r="G13" s="219">
        <v>0.0</v>
      </c>
      <c r="H13" s="219">
        <v>0.0</v>
      </c>
      <c r="I13" s="219">
        <v>0.0</v>
      </c>
      <c r="J13" s="219">
        <v>0.0</v>
      </c>
      <c r="K13" s="219">
        <v>0.0</v>
      </c>
      <c r="L13" s="219">
        <v>0.0</v>
      </c>
      <c r="M13" s="219">
        <v>0.0</v>
      </c>
      <c r="N13" s="219">
        <v>0.0</v>
      </c>
      <c r="O13" s="219">
        <v>0.0</v>
      </c>
      <c r="P13" s="219">
        <v>0.0</v>
      </c>
      <c r="Q13" s="219">
        <v>0.0</v>
      </c>
      <c r="R13" s="219">
        <v>0.0</v>
      </c>
      <c r="S13" s="219">
        <v>0.0</v>
      </c>
      <c r="T13" s="219">
        <v>0.0</v>
      </c>
      <c r="U13" s="219">
        <v>0.0</v>
      </c>
      <c r="V13" s="219">
        <v>0.0</v>
      </c>
      <c r="W13" s="219">
        <v>0.0</v>
      </c>
      <c r="X13" s="219">
        <v>0.0</v>
      </c>
      <c r="Y13" s="219">
        <v>0.0</v>
      </c>
      <c r="Z13" s="219">
        <v>0.0</v>
      </c>
      <c r="AA13" s="219">
        <v>0.0</v>
      </c>
      <c r="AB13" s="219">
        <v>0.0</v>
      </c>
      <c r="AC13" s="219">
        <v>0.0</v>
      </c>
    </row>
    <row r="14" ht="15.75" customHeight="1">
      <c r="A14" s="216" t="s">
        <v>376</v>
      </c>
      <c r="B14" s="219">
        <v>-89320.0</v>
      </c>
      <c r="C14" s="219">
        <v>-90350.0</v>
      </c>
      <c r="D14" s="219">
        <v>-102956.0</v>
      </c>
      <c r="E14" s="219">
        <v>-94595.0</v>
      </c>
      <c r="F14" s="219">
        <v>-82065.0</v>
      </c>
      <c r="G14" s="219">
        <v>-78132.0</v>
      </c>
      <c r="H14" s="219">
        <v>-94045.0</v>
      </c>
      <c r="I14" s="219">
        <v>-89766.0</v>
      </c>
      <c r="J14" s="219">
        <v>-114445.0</v>
      </c>
      <c r="K14" s="219">
        <v>-131881.0</v>
      </c>
      <c r="L14" s="219">
        <v>-140597.0</v>
      </c>
      <c r="M14" s="219">
        <v>-177194.0</v>
      </c>
      <c r="N14" s="219">
        <v>-177124.0</v>
      </c>
      <c r="O14" s="219">
        <v>-189575.0</v>
      </c>
      <c r="P14" s="219">
        <v>-184131.0</v>
      </c>
      <c r="Q14" s="219">
        <v>-128941.0</v>
      </c>
      <c r="R14" s="219">
        <v>-151754.0</v>
      </c>
      <c r="S14" s="219">
        <v>-122283.0</v>
      </c>
      <c r="T14" s="219">
        <v>-102474.0</v>
      </c>
      <c r="U14" s="219">
        <v>-82495.0</v>
      </c>
      <c r="V14" s="219">
        <v>-60038.0</v>
      </c>
      <c r="W14" s="219">
        <v>-27320.0</v>
      </c>
      <c r="X14" s="219">
        <v>-18905.0</v>
      </c>
      <c r="Y14" s="219">
        <v>-24211.0</v>
      </c>
      <c r="Z14" s="219">
        <v>-13824.0</v>
      </c>
      <c r="AA14" s="219">
        <v>-26169.0</v>
      </c>
      <c r="AB14" s="219">
        <v>8407.19</v>
      </c>
      <c r="AC14" s="219">
        <v>-117.0</v>
      </c>
    </row>
    <row r="15" ht="15.75" customHeight="1">
      <c r="A15" s="216" t="s">
        <v>377</v>
      </c>
      <c r="B15" s="217"/>
      <c r="C15" s="217"/>
      <c r="D15" s="217"/>
      <c r="E15" s="217"/>
      <c r="F15" s="217"/>
      <c r="G15" s="217"/>
      <c r="H15" s="217"/>
      <c r="I15" s="217"/>
      <c r="J15" s="217"/>
      <c r="K15" s="217"/>
      <c r="L15" s="217"/>
      <c r="M15" s="217"/>
      <c r="N15" s="217"/>
      <c r="O15" s="217"/>
      <c r="P15" s="217"/>
      <c r="Q15" s="217"/>
      <c r="R15" s="217"/>
      <c r="S15" s="217"/>
      <c r="T15" s="217"/>
      <c r="U15" s="217"/>
      <c r="V15" s="217"/>
      <c r="W15" s="217"/>
      <c r="X15" s="217"/>
      <c r="Y15" s="217"/>
      <c r="Z15" s="217"/>
      <c r="AA15" s="217"/>
      <c r="AB15" s="217"/>
      <c r="AC15" s="217"/>
    </row>
    <row r="16" ht="15.75" customHeight="1">
      <c r="A16" s="216" t="s">
        <v>518</v>
      </c>
      <c r="B16" s="220">
        <v>0.0</v>
      </c>
      <c r="C16" s="220">
        <v>0.0</v>
      </c>
      <c r="D16" s="217"/>
      <c r="E16" s="217"/>
      <c r="F16" s="217"/>
      <c r="G16" s="217"/>
      <c r="H16" s="217"/>
      <c r="I16" s="217"/>
      <c r="J16" s="217"/>
      <c r="K16" s="220">
        <v>0.0</v>
      </c>
      <c r="L16" s="217"/>
      <c r="M16" s="217"/>
      <c r="N16" s="220">
        <v>0.0</v>
      </c>
      <c r="O16" s="217"/>
      <c r="P16" s="217"/>
      <c r="Q16" s="217"/>
      <c r="R16" s="220">
        <v>0.0</v>
      </c>
      <c r="S16" s="217"/>
      <c r="T16" s="217"/>
      <c r="U16" s="217"/>
      <c r="V16" s="217"/>
      <c r="W16" s="220">
        <v>0.0</v>
      </c>
      <c r="X16" s="217"/>
      <c r="Y16" s="217"/>
      <c r="Z16" s="217"/>
      <c r="AA16" s="217"/>
      <c r="AB16" s="217"/>
      <c r="AC16" s="217"/>
    </row>
    <row r="17" ht="15.75" customHeight="1">
      <c r="A17" s="216" t="s">
        <v>522</v>
      </c>
      <c r="B17" s="220">
        <v>0.0</v>
      </c>
      <c r="C17" s="220">
        <v>0.0</v>
      </c>
      <c r="D17" s="217"/>
      <c r="E17" s="217"/>
      <c r="F17" s="217"/>
      <c r="G17" s="217"/>
      <c r="H17" s="217"/>
      <c r="I17" s="217"/>
      <c r="J17" s="217"/>
      <c r="K17" s="220">
        <v>0.0</v>
      </c>
      <c r="L17" s="217"/>
      <c r="M17" s="217"/>
      <c r="N17" s="220">
        <v>0.0</v>
      </c>
      <c r="O17" s="217"/>
      <c r="P17" s="217"/>
      <c r="Q17" s="217"/>
      <c r="R17" s="220">
        <v>0.0</v>
      </c>
      <c r="S17" s="217"/>
      <c r="T17" s="217"/>
      <c r="U17" s="217"/>
      <c r="V17" s="217"/>
      <c r="W17" s="220">
        <v>0.0</v>
      </c>
      <c r="X17" s="217"/>
      <c r="Y17" s="217"/>
      <c r="Z17" s="217"/>
      <c r="AA17" s="217"/>
      <c r="AB17" s="217"/>
      <c r="AC17" s="217"/>
    </row>
    <row r="18" ht="15.75" customHeight="1">
      <c r="A18" s="216" t="s">
        <v>523</v>
      </c>
      <c r="B18" s="220">
        <v>0.0</v>
      </c>
      <c r="C18" s="220">
        <v>0.0</v>
      </c>
      <c r="D18" s="217"/>
      <c r="E18" s="217"/>
      <c r="F18" s="217"/>
      <c r="G18" s="217"/>
      <c r="H18" s="217"/>
      <c r="I18" s="217"/>
      <c r="J18" s="217"/>
      <c r="K18" s="220">
        <v>0.0</v>
      </c>
      <c r="L18" s="217"/>
      <c r="M18" s="217"/>
      <c r="N18" s="220">
        <v>0.0</v>
      </c>
      <c r="O18" s="217"/>
      <c r="P18" s="217"/>
      <c r="Q18" s="217"/>
      <c r="R18" s="220">
        <v>0.0</v>
      </c>
      <c r="S18" s="217"/>
      <c r="T18" s="217"/>
      <c r="U18" s="217"/>
      <c r="V18" s="217"/>
      <c r="W18" s="220">
        <v>0.0</v>
      </c>
      <c r="X18" s="217"/>
      <c r="Y18" s="217"/>
      <c r="Z18" s="217"/>
      <c r="AA18" s="217"/>
      <c r="AB18" s="217"/>
      <c r="AC18" s="217"/>
    </row>
    <row r="19" ht="15.75" customHeight="1">
      <c r="A19" s="216" t="s">
        <v>381</v>
      </c>
      <c r="B19" s="219">
        <v>0.0</v>
      </c>
      <c r="C19" s="219">
        <v>0.0</v>
      </c>
      <c r="D19" s="219">
        <v>0.0</v>
      </c>
      <c r="E19" s="219">
        <v>0.0</v>
      </c>
      <c r="F19" s="219">
        <v>0.0</v>
      </c>
      <c r="G19" s="219">
        <v>0.0</v>
      </c>
      <c r="H19" s="219">
        <v>0.0</v>
      </c>
      <c r="I19" s="219">
        <v>0.0</v>
      </c>
      <c r="J19" s="219">
        <v>0.0</v>
      </c>
      <c r="K19" s="219">
        <v>0.0</v>
      </c>
      <c r="L19" s="219">
        <v>0.0</v>
      </c>
      <c r="M19" s="219">
        <v>0.0</v>
      </c>
      <c r="N19" s="219">
        <v>0.0</v>
      </c>
      <c r="O19" s="219">
        <v>0.0</v>
      </c>
      <c r="P19" s="219">
        <v>0.0</v>
      </c>
      <c r="Q19" s="219">
        <v>0.0</v>
      </c>
      <c r="R19" s="219">
        <v>0.0</v>
      </c>
      <c r="S19" s="219">
        <v>0.0</v>
      </c>
      <c r="T19" s="219">
        <v>0.0</v>
      </c>
      <c r="U19" s="219">
        <v>0.0</v>
      </c>
      <c r="V19" s="219">
        <v>0.0</v>
      </c>
      <c r="W19" s="219">
        <v>0.0</v>
      </c>
      <c r="X19" s="219">
        <v>0.0</v>
      </c>
      <c r="Y19" s="219">
        <v>0.0</v>
      </c>
      <c r="Z19" s="219">
        <v>0.0</v>
      </c>
      <c r="AA19" s="219">
        <v>0.0</v>
      </c>
      <c r="AB19" s="219">
        <v>0.0</v>
      </c>
      <c r="AC19" s="219">
        <v>0.0</v>
      </c>
    </row>
    <row r="20" ht="15.75" customHeight="1">
      <c r="A20" s="216" t="s">
        <v>382</v>
      </c>
      <c r="B20" s="217"/>
      <c r="C20" s="217"/>
      <c r="D20" s="217"/>
      <c r="E20" s="217"/>
      <c r="F20" s="217"/>
      <c r="G20" s="217"/>
      <c r="H20" s="217"/>
      <c r="I20" s="217"/>
      <c r="J20" s="217"/>
      <c r="K20" s="217"/>
      <c r="L20" s="217"/>
      <c r="M20" s="217"/>
      <c r="N20" s="217"/>
      <c r="O20" s="217"/>
      <c r="P20" s="217"/>
      <c r="Q20" s="217"/>
      <c r="R20" s="217"/>
      <c r="S20" s="217"/>
      <c r="T20" s="217"/>
      <c r="U20" s="217"/>
      <c r="V20" s="217"/>
      <c r="W20" s="217"/>
      <c r="X20" s="217"/>
      <c r="Y20" s="217"/>
      <c r="Z20" s="217"/>
      <c r="AA20" s="217"/>
      <c r="AB20" s="217"/>
      <c r="AC20" s="217"/>
    </row>
    <row r="21" ht="15.75" customHeight="1">
      <c r="A21" s="216" t="s">
        <v>537</v>
      </c>
      <c r="B21" s="218">
        <v>550000.0</v>
      </c>
      <c r="C21" s="218">
        <v>100000.0</v>
      </c>
      <c r="D21" s="217"/>
      <c r="E21" s="217"/>
      <c r="F21" s="217"/>
      <c r="G21" s="217"/>
      <c r="H21" s="217"/>
      <c r="I21" s="217"/>
      <c r="J21" s="217"/>
      <c r="K21" s="218">
        <v>600000.0</v>
      </c>
      <c r="L21" s="217"/>
      <c r="M21" s="217"/>
      <c r="N21" s="218">
        <v>500000.0</v>
      </c>
      <c r="O21" s="217"/>
      <c r="P21" s="217"/>
      <c r="Q21" s="217"/>
      <c r="R21" s="218">
        <v>300000.0</v>
      </c>
      <c r="S21" s="217"/>
      <c r="T21" s="217"/>
      <c r="U21" s="217"/>
      <c r="V21" s="217"/>
      <c r="W21" s="218">
        <v>300000.0</v>
      </c>
      <c r="X21" s="217"/>
      <c r="Y21" s="217"/>
      <c r="Z21" s="217"/>
      <c r="AA21" s="217"/>
      <c r="AB21" s="217"/>
      <c r="AC21" s="217"/>
    </row>
    <row r="22" ht="15.75" customHeight="1">
      <c r="A22" s="216" t="s">
        <v>538</v>
      </c>
      <c r="B22" s="218">
        <v>500000.0</v>
      </c>
      <c r="C22" s="220">
        <v>0.0</v>
      </c>
      <c r="D22" s="217"/>
      <c r="E22" s="217"/>
      <c r="F22" s="217"/>
      <c r="G22" s="217"/>
      <c r="H22" s="217"/>
      <c r="I22" s="217"/>
      <c r="J22" s="217"/>
      <c r="K22" s="220">
        <v>0.0</v>
      </c>
      <c r="L22" s="217"/>
      <c r="M22" s="217"/>
      <c r="N22" s="220">
        <v>0.0</v>
      </c>
      <c r="O22" s="217"/>
      <c r="P22" s="217"/>
      <c r="Q22" s="217"/>
      <c r="R22" s="220">
        <v>0.0</v>
      </c>
      <c r="S22" s="217"/>
      <c r="T22" s="217"/>
      <c r="U22" s="217"/>
      <c r="V22" s="217"/>
      <c r="W22" s="220">
        <v>0.0</v>
      </c>
      <c r="X22" s="217"/>
      <c r="Y22" s="217"/>
      <c r="Z22" s="217"/>
      <c r="AA22" s="217"/>
      <c r="AB22" s="217"/>
      <c r="AC22" s="217"/>
    </row>
    <row r="23" ht="15.75" customHeight="1">
      <c r="A23" s="216" t="s">
        <v>539</v>
      </c>
      <c r="B23" s="220">
        <v>0.0</v>
      </c>
      <c r="C23" s="220">
        <v>0.0</v>
      </c>
      <c r="D23" s="217"/>
      <c r="E23" s="217"/>
      <c r="F23" s="217"/>
      <c r="G23" s="217"/>
      <c r="H23" s="217"/>
      <c r="I23" s="217"/>
      <c r="J23" s="217"/>
      <c r="K23" s="220">
        <v>0.0</v>
      </c>
      <c r="L23" s="217"/>
      <c r="M23" s="217"/>
      <c r="N23" s="220">
        <v>0.0</v>
      </c>
      <c r="O23" s="217"/>
      <c r="P23" s="217"/>
      <c r="Q23" s="217"/>
      <c r="R23" s="220">
        <v>0.0</v>
      </c>
      <c r="S23" s="217"/>
      <c r="T23" s="217"/>
      <c r="U23" s="217"/>
      <c r="V23" s="217"/>
      <c r="W23" s="220">
        <v>0.0</v>
      </c>
      <c r="X23" s="217"/>
      <c r="Y23" s="217"/>
      <c r="Z23" s="217"/>
      <c r="AA23" s="217"/>
      <c r="AB23" s="217"/>
      <c r="AC23" s="217"/>
    </row>
    <row r="24" ht="15.75" customHeight="1">
      <c r="A24" s="216" t="s">
        <v>543</v>
      </c>
      <c r="B24" s="220">
        <v>0.0</v>
      </c>
      <c r="C24" s="220">
        <v>0.0</v>
      </c>
      <c r="D24" s="217"/>
      <c r="E24" s="217"/>
      <c r="F24" s="217"/>
      <c r="G24" s="217"/>
      <c r="H24" s="217"/>
      <c r="I24" s="217"/>
      <c r="J24" s="217"/>
      <c r="K24" s="220">
        <v>0.0</v>
      </c>
      <c r="L24" s="217"/>
      <c r="M24" s="217"/>
      <c r="N24" s="220">
        <v>0.0</v>
      </c>
      <c r="O24" s="217"/>
      <c r="P24" s="217"/>
      <c r="Q24" s="217"/>
      <c r="R24" s="220">
        <v>0.0</v>
      </c>
      <c r="S24" s="217"/>
      <c r="T24" s="217"/>
      <c r="U24" s="217"/>
      <c r="V24" s="217"/>
      <c r="W24" s="220">
        <v>0.0</v>
      </c>
      <c r="X24" s="217"/>
      <c r="Y24" s="217"/>
      <c r="Z24" s="217"/>
      <c r="AA24" s="217"/>
      <c r="AB24" s="217"/>
      <c r="AC24" s="217"/>
    </row>
    <row r="25" ht="15.75" customHeight="1">
      <c r="A25" s="216" t="s">
        <v>544</v>
      </c>
      <c r="B25" s="221">
        <v>332421.0</v>
      </c>
      <c r="C25" s="221">
        <v>0.0</v>
      </c>
      <c r="D25" s="222"/>
      <c r="E25" s="222"/>
      <c r="F25" s="222"/>
      <c r="G25" s="222"/>
      <c r="H25" s="222"/>
      <c r="I25" s="222"/>
      <c r="J25" s="222"/>
      <c r="K25" s="221">
        <v>0.0</v>
      </c>
      <c r="L25" s="222"/>
      <c r="M25" s="222"/>
      <c r="N25" s="221">
        <v>0.0</v>
      </c>
      <c r="O25" s="222"/>
      <c r="P25" s="222"/>
      <c r="Q25" s="222"/>
      <c r="R25" s="221">
        <v>0.0</v>
      </c>
      <c r="S25" s="222"/>
      <c r="T25" s="222"/>
      <c r="U25" s="222"/>
      <c r="V25" s="222"/>
      <c r="W25" s="221">
        <v>0.0</v>
      </c>
      <c r="X25" s="222"/>
      <c r="Y25" s="222"/>
      <c r="Z25" s="222"/>
      <c r="AA25" s="222"/>
      <c r="AB25" s="222"/>
      <c r="AC25" s="222"/>
    </row>
    <row r="26" ht="15.75" customHeight="1">
      <c r="A26" s="216" t="s">
        <v>545</v>
      </c>
      <c r="B26" s="221">
        <v>-332421.0</v>
      </c>
      <c r="C26" s="221">
        <v>0.0</v>
      </c>
      <c r="D26" s="222"/>
      <c r="E26" s="222"/>
      <c r="F26" s="222"/>
      <c r="G26" s="222"/>
      <c r="H26" s="222"/>
      <c r="I26" s="222"/>
      <c r="J26" s="222"/>
      <c r="K26" s="221">
        <v>0.0</v>
      </c>
      <c r="L26" s="222"/>
      <c r="M26" s="222"/>
      <c r="N26" s="221">
        <v>0.0</v>
      </c>
      <c r="O26" s="222"/>
      <c r="P26" s="222"/>
      <c r="Q26" s="222"/>
      <c r="R26" s="221">
        <v>0.0</v>
      </c>
      <c r="S26" s="222"/>
      <c r="T26" s="222"/>
      <c r="U26" s="222"/>
      <c r="V26" s="222"/>
      <c r="W26" s="221">
        <v>0.0</v>
      </c>
      <c r="X26" s="222"/>
      <c r="Y26" s="222"/>
      <c r="Z26" s="222"/>
      <c r="AA26" s="222"/>
      <c r="AB26" s="222"/>
      <c r="AC26" s="222"/>
    </row>
    <row r="27" ht="15.75" customHeight="1">
      <c r="A27" s="216" t="s">
        <v>389</v>
      </c>
      <c r="B27" s="219">
        <v>1050000.0</v>
      </c>
      <c r="C27" s="219">
        <v>100000.0</v>
      </c>
      <c r="D27" s="219">
        <v>0.0</v>
      </c>
      <c r="E27" s="219">
        <v>0.0</v>
      </c>
      <c r="F27" s="219">
        <v>0.0</v>
      </c>
      <c r="G27" s="219">
        <v>0.0</v>
      </c>
      <c r="H27" s="219">
        <v>0.0</v>
      </c>
      <c r="I27" s="219">
        <v>0.0</v>
      </c>
      <c r="J27" s="219">
        <v>0.0</v>
      </c>
      <c r="K27" s="219">
        <v>600000.0</v>
      </c>
      <c r="L27" s="219">
        <v>0.0</v>
      </c>
      <c r="M27" s="219">
        <v>0.0</v>
      </c>
      <c r="N27" s="219">
        <v>500000.0</v>
      </c>
      <c r="O27" s="219">
        <v>0.0</v>
      </c>
      <c r="P27" s="219">
        <v>0.0</v>
      </c>
      <c r="Q27" s="219">
        <v>0.0</v>
      </c>
      <c r="R27" s="219">
        <v>300000.0</v>
      </c>
      <c r="S27" s="219">
        <v>0.0</v>
      </c>
      <c r="T27" s="219">
        <v>0.0</v>
      </c>
      <c r="U27" s="219">
        <v>0.0</v>
      </c>
      <c r="V27" s="219">
        <v>0.0</v>
      </c>
      <c r="W27" s="219">
        <v>300000.0</v>
      </c>
      <c r="X27" s="219">
        <v>0.0</v>
      </c>
      <c r="Y27" s="219">
        <v>0.0</v>
      </c>
      <c r="Z27" s="219">
        <v>0.0</v>
      </c>
      <c r="AA27" s="219">
        <v>0.0</v>
      </c>
      <c r="AB27" s="219">
        <v>0.0</v>
      </c>
      <c r="AC27" s="219">
        <v>0.0</v>
      </c>
    </row>
    <row r="28" ht="15.75" customHeight="1">
      <c r="A28" s="216" t="s">
        <v>390</v>
      </c>
      <c r="B28" s="219">
        <v>960680.0</v>
      </c>
      <c r="C28" s="219">
        <v>9650.0</v>
      </c>
      <c r="D28" s="219">
        <v>-102956.0</v>
      </c>
      <c r="E28" s="219">
        <v>-94595.0</v>
      </c>
      <c r="F28" s="219">
        <v>-82065.0</v>
      </c>
      <c r="G28" s="219">
        <v>-78132.0</v>
      </c>
      <c r="H28" s="219">
        <v>-94045.0</v>
      </c>
      <c r="I28" s="219">
        <v>-89766.0</v>
      </c>
      <c r="J28" s="219">
        <v>-114445.0</v>
      </c>
      <c r="K28" s="219">
        <v>468119.0</v>
      </c>
      <c r="L28" s="219">
        <v>-140597.0</v>
      </c>
      <c r="M28" s="219">
        <v>-177194.0</v>
      </c>
      <c r="N28" s="219">
        <v>322876.0</v>
      </c>
      <c r="O28" s="219">
        <v>-189575.0</v>
      </c>
      <c r="P28" s="219">
        <v>-184131.0</v>
      </c>
      <c r="Q28" s="219">
        <v>-128941.0</v>
      </c>
      <c r="R28" s="219">
        <v>148246.0</v>
      </c>
      <c r="S28" s="219">
        <v>-122283.0</v>
      </c>
      <c r="T28" s="219">
        <v>-102474.0</v>
      </c>
      <c r="U28" s="219">
        <v>-82495.0</v>
      </c>
      <c r="V28" s="219">
        <v>-60038.0</v>
      </c>
      <c r="W28" s="219">
        <v>272680.0</v>
      </c>
      <c r="X28" s="219">
        <v>-18905.0</v>
      </c>
      <c r="Y28" s="219">
        <v>-24211.0</v>
      </c>
      <c r="Z28" s="219">
        <v>-13824.0</v>
      </c>
      <c r="AA28" s="219">
        <v>-26169.0</v>
      </c>
      <c r="AB28" s="219">
        <v>8407.19</v>
      </c>
      <c r="AC28" s="219">
        <v>-117.0</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pageSetUpPr/>
  </sheetPr>
  <sheetViews>
    <sheetView showGridLines="0" workbookViewId="0"/>
  </sheetViews>
  <sheetFormatPr customHeight="1" defaultColWidth="12.63" defaultRowHeight="15.0"/>
  <cols>
    <col customWidth="1" min="1" max="8" width="15.75"/>
    <col customWidth="1" min="9" max="9" width="16.63"/>
    <col customWidth="1" min="10" max="13" width="15.75"/>
    <col customWidth="1" min="14" max="26" width="14.38"/>
  </cols>
  <sheetData>
    <row r="1" ht="15.75" customHeight="1">
      <c r="A1" s="230" t="s">
        <v>551</v>
      </c>
      <c r="B1" s="231"/>
      <c r="C1" s="231"/>
      <c r="D1" s="231"/>
      <c r="E1" s="231"/>
      <c r="F1" s="231"/>
      <c r="G1" s="232"/>
      <c r="H1" s="233" t="s">
        <v>552</v>
      </c>
      <c r="I1" s="234"/>
      <c r="J1" s="234"/>
      <c r="K1" s="234"/>
      <c r="L1" s="235" t="s">
        <v>553</v>
      </c>
      <c r="M1" s="236" t="s">
        <v>119</v>
      </c>
      <c r="N1" s="237"/>
      <c r="O1" s="238"/>
      <c r="P1" s="238"/>
      <c r="Q1" s="238"/>
      <c r="R1" s="238"/>
      <c r="S1" s="238"/>
      <c r="T1" s="238"/>
      <c r="U1" s="238"/>
      <c r="V1" s="238"/>
      <c r="W1" s="238"/>
      <c r="X1" s="238"/>
      <c r="Y1" s="238"/>
    </row>
    <row r="2" ht="15.75" customHeight="1">
      <c r="A2" s="232" t="s">
        <v>554</v>
      </c>
      <c r="B2" s="232"/>
      <c r="C2" s="232"/>
      <c r="D2" s="232"/>
      <c r="E2" s="232"/>
      <c r="F2" s="232"/>
      <c r="G2" s="232" t="s">
        <v>555</v>
      </c>
      <c r="H2" s="233" t="s">
        <v>554</v>
      </c>
      <c r="I2" s="234"/>
      <c r="J2" s="234"/>
      <c r="K2" s="234" t="s">
        <v>555</v>
      </c>
      <c r="L2" s="235" t="s">
        <v>555</v>
      </c>
      <c r="M2" s="236" t="s">
        <v>555</v>
      </c>
      <c r="N2" s="237"/>
      <c r="O2" s="238"/>
      <c r="P2" s="238"/>
      <c r="Q2" s="238"/>
      <c r="R2" s="238"/>
      <c r="S2" s="238"/>
      <c r="T2" s="238"/>
      <c r="U2" s="238"/>
      <c r="V2" s="238"/>
      <c r="W2" s="238"/>
      <c r="X2" s="238"/>
      <c r="Y2" s="238"/>
    </row>
    <row r="3" ht="15.75" customHeight="1">
      <c r="A3" s="239" t="s">
        <v>556</v>
      </c>
      <c r="B3" s="239" t="s">
        <v>557</v>
      </c>
      <c r="C3" s="239" t="s">
        <v>558</v>
      </c>
      <c r="D3" s="239" t="s">
        <v>559</v>
      </c>
      <c r="E3" s="239" t="s">
        <v>560</v>
      </c>
      <c r="F3" s="239" t="s">
        <v>561</v>
      </c>
      <c r="G3" s="239" t="s">
        <v>562</v>
      </c>
      <c r="H3" s="239" t="s">
        <v>563</v>
      </c>
      <c r="I3" s="239" t="s">
        <v>564</v>
      </c>
      <c r="J3" s="239" t="s">
        <v>565</v>
      </c>
      <c r="K3" s="240" t="s">
        <v>566</v>
      </c>
      <c r="L3" s="240" t="s">
        <v>567</v>
      </c>
      <c r="M3" s="240" t="s">
        <v>568</v>
      </c>
      <c r="N3" s="241"/>
      <c r="O3" s="242"/>
      <c r="P3" s="242"/>
      <c r="Q3" s="242"/>
      <c r="R3" s="242"/>
      <c r="S3" s="242"/>
      <c r="T3" s="242"/>
      <c r="U3" s="242"/>
      <c r="V3" s="242"/>
      <c r="W3" s="242"/>
      <c r="X3" s="242"/>
      <c r="Y3" s="242"/>
    </row>
    <row r="4" ht="15.75" customHeight="1">
      <c r="A4" s="46">
        <v>43101.0</v>
      </c>
      <c r="B4" s="44">
        <v>10664.0</v>
      </c>
      <c r="C4" s="44">
        <v>-1016.0</v>
      </c>
      <c r="D4" s="44">
        <v>-800.0</v>
      </c>
      <c r="E4" s="44">
        <v>6386.0</v>
      </c>
      <c r="F4" s="44">
        <v>0.0</v>
      </c>
      <c r="G4" s="44">
        <v>303370.0</v>
      </c>
      <c r="H4" s="1">
        <v>10.0</v>
      </c>
      <c r="I4" s="1">
        <v>1.0</v>
      </c>
      <c r="J4" s="1">
        <v>0.0</v>
      </c>
      <c r="K4" s="1">
        <v>237.0</v>
      </c>
      <c r="L4" s="1">
        <v>3.0</v>
      </c>
      <c r="M4" s="1">
        <v>1.0</v>
      </c>
      <c r="N4" s="1"/>
      <c r="O4" s="1"/>
      <c r="P4" s="1"/>
      <c r="Q4" s="1"/>
      <c r="R4" s="1"/>
      <c r="S4" s="1"/>
      <c r="T4" s="1"/>
      <c r="U4" s="1"/>
      <c r="V4" s="1"/>
      <c r="W4" s="1"/>
      <c r="X4" s="1"/>
      <c r="Y4" s="1"/>
    </row>
    <row r="5" ht="15.75" customHeight="1">
      <c r="A5" s="46">
        <v>43132.0</v>
      </c>
      <c r="B5" s="44">
        <v>12381.0</v>
      </c>
      <c r="C5" s="44">
        <v>-3045.0</v>
      </c>
      <c r="D5" s="44">
        <v>-1420.0</v>
      </c>
      <c r="E5" s="44">
        <v>9771.0</v>
      </c>
      <c r="F5" s="44">
        <v>0.0</v>
      </c>
      <c r="G5" s="44">
        <v>321057.0</v>
      </c>
      <c r="H5" s="1">
        <v>11.0</v>
      </c>
      <c r="I5" s="1">
        <v>2.0</v>
      </c>
      <c r="J5" s="1">
        <v>0.0</v>
      </c>
      <c r="K5" s="1">
        <v>218.0</v>
      </c>
      <c r="L5" s="1">
        <v>4.0</v>
      </c>
      <c r="M5" s="1">
        <v>2.0</v>
      </c>
      <c r="N5" s="1"/>
      <c r="O5" s="1"/>
      <c r="P5" s="1"/>
      <c r="Q5" s="1"/>
      <c r="R5" s="1"/>
      <c r="S5" s="1"/>
      <c r="T5" s="1"/>
      <c r="U5" s="1"/>
      <c r="V5" s="1"/>
      <c r="W5" s="1"/>
      <c r="X5" s="1"/>
      <c r="Y5" s="1"/>
    </row>
    <row r="6" ht="15.75" customHeight="1">
      <c r="A6" s="46">
        <v>43160.0</v>
      </c>
      <c r="B6" s="44">
        <v>13625.0</v>
      </c>
      <c r="C6" s="44">
        <v>-4000.0</v>
      </c>
      <c r="D6" s="44">
        <v>-990.0</v>
      </c>
      <c r="E6" s="44">
        <v>10829.0</v>
      </c>
      <c r="F6" s="44">
        <v>0.0</v>
      </c>
      <c r="G6" s="44">
        <v>340521.0</v>
      </c>
      <c r="H6" s="1">
        <v>12.0</v>
      </c>
      <c r="I6" s="1">
        <v>2.0</v>
      </c>
      <c r="J6" s="1">
        <v>0.0</v>
      </c>
      <c r="K6" s="1">
        <v>228.0</v>
      </c>
      <c r="L6" s="1">
        <v>3.0</v>
      </c>
      <c r="M6" s="1">
        <v>2.0</v>
      </c>
      <c r="N6" s="1"/>
      <c r="O6" s="1"/>
      <c r="P6" s="1"/>
      <c r="Q6" s="1"/>
      <c r="R6" s="1"/>
      <c r="S6" s="1"/>
      <c r="T6" s="1"/>
      <c r="U6" s="1"/>
      <c r="V6" s="1"/>
      <c r="W6" s="1"/>
      <c r="X6" s="1"/>
      <c r="Y6" s="1"/>
    </row>
    <row r="7" ht="15.75" customHeight="1">
      <c r="A7" s="46">
        <v>43191.0</v>
      </c>
      <c r="B7" s="44">
        <v>14174.0</v>
      </c>
      <c r="C7" s="44">
        <v>-7821.0</v>
      </c>
      <c r="D7" s="44">
        <v>-400.0</v>
      </c>
      <c r="E7" s="44">
        <v>14296.0</v>
      </c>
      <c r="F7" s="44">
        <v>0.0</v>
      </c>
      <c r="G7" s="44">
        <v>360770.0</v>
      </c>
      <c r="H7" s="1">
        <v>13.0</v>
      </c>
      <c r="I7" s="1">
        <v>3.0</v>
      </c>
      <c r="J7" s="1">
        <v>0.0</v>
      </c>
      <c r="K7" s="1">
        <v>238.0</v>
      </c>
      <c r="L7" s="1">
        <v>5.0</v>
      </c>
      <c r="M7" s="1">
        <v>1.0</v>
      </c>
      <c r="N7" s="1"/>
      <c r="O7" s="1"/>
      <c r="P7" s="1"/>
      <c r="Q7" s="1"/>
      <c r="R7" s="1"/>
      <c r="S7" s="1"/>
      <c r="T7" s="1"/>
      <c r="U7" s="1"/>
      <c r="V7" s="1"/>
      <c r="W7" s="1"/>
      <c r="X7" s="1"/>
      <c r="Y7" s="1"/>
    </row>
    <row r="8" ht="15.75" customHeight="1">
      <c r="A8" s="46">
        <v>43221.0</v>
      </c>
      <c r="B8" s="44">
        <v>17678.0</v>
      </c>
      <c r="C8" s="44">
        <v>-1299.0</v>
      </c>
      <c r="D8" s="44">
        <v>-1800.0</v>
      </c>
      <c r="E8" s="44">
        <v>10675.0</v>
      </c>
      <c r="F8" s="44">
        <v>0.0</v>
      </c>
      <c r="G8" s="44">
        <v>386024.0</v>
      </c>
      <c r="H8" s="1">
        <v>14.0</v>
      </c>
      <c r="I8" s="1">
        <v>1.0</v>
      </c>
      <c r="J8" s="1">
        <v>0.0</v>
      </c>
      <c r="K8" s="1">
        <v>251.0</v>
      </c>
      <c r="L8" s="1">
        <v>7.0</v>
      </c>
      <c r="M8" s="1">
        <v>2.0</v>
      </c>
      <c r="N8" s="1"/>
      <c r="O8" s="1"/>
      <c r="P8" s="1"/>
      <c r="Q8" s="1"/>
      <c r="R8" s="1"/>
      <c r="S8" s="1"/>
      <c r="T8" s="1"/>
      <c r="U8" s="1"/>
      <c r="V8" s="1"/>
      <c r="W8" s="1"/>
      <c r="X8" s="1"/>
      <c r="Y8" s="1"/>
    </row>
    <row r="9" ht="15.75" customHeight="1">
      <c r="A9" s="46">
        <v>43252.0</v>
      </c>
      <c r="B9" s="44">
        <v>10809.0</v>
      </c>
      <c r="C9" s="44">
        <v>-2598.0</v>
      </c>
      <c r="D9" s="44">
        <v>-700.0</v>
      </c>
      <c r="E9" s="44">
        <v>7930.0</v>
      </c>
      <c r="F9" s="44">
        <v>0.0</v>
      </c>
      <c r="G9" s="44">
        <v>401465.0</v>
      </c>
      <c r="H9" s="1">
        <v>10.0</v>
      </c>
      <c r="I9" s="1">
        <v>2.0</v>
      </c>
      <c r="J9" s="1">
        <v>0.0</v>
      </c>
      <c r="K9" s="1">
        <v>259.0</v>
      </c>
      <c r="L9" s="1">
        <v>5.0</v>
      </c>
      <c r="M9" s="1">
        <v>1.0</v>
      </c>
      <c r="N9" s="1"/>
      <c r="O9" s="1"/>
      <c r="P9" s="1"/>
      <c r="Q9" s="1"/>
      <c r="R9" s="1"/>
      <c r="S9" s="1"/>
      <c r="T9" s="1"/>
      <c r="U9" s="1"/>
      <c r="V9" s="1"/>
      <c r="W9" s="1"/>
      <c r="X9" s="1"/>
      <c r="Y9" s="1"/>
    </row>
    <row r="10" ht="15.75" customHeight="1">
      <c r="A10" s="46">
        <v>43282.0</v>
      </c>
      <c r="B10" s="44">
        <v>24213.0</v>
      </c>
      <c r="C10" s="44">
        <v>-7812.0</v>
      </c>
      <c r="D10" s="44">
        <v>-1450.0</v>
      </c>
      <c r="E10" s="44">
        <v>9677.0</v>
      </c>
      <c r="F10" s="44">
        <v>0.0</v>
      </c>
      <c r="G10" s="44">
        <v>426093.0</v>
      </c>
      <c r="H10" s="1">
        <v>21.0</v>
      </c>
      <c r="I10" s="1">
        <v>4.0</v>
      </c>
      <c r="J10" s="1">
        <v>0.0</v>
      </c>
      <c r="K10" s="1">
        <v>276.0</v>
      </c>
      <c r="L10" s="1">
        <v>5.0</v>
      </c>
      <c r="M10" s="1">
        <v>2.0</v>
      </c>
      <c r="N10" s="1"/>
      <c r="O10" s="1"/>
      <c r="P10" s="1"/>
      <c r="Q10" s="1"/>
      <c r="R10" s="1"/>
      <c r="S10" s="1"/>
      <c r="T10" s="1"/>
      <c r="U10" s="1"/>
      <c r="V10" s="1"/>
      <c r="W10" s="1"/>
      <c r="X10" s="1"/>
      <c r="Y10" s="1"/>
    </row>
    <row r="11" ht="15.75" customHeight="1">
      <c r="A11" s="46">
        <v>43313.0</v>
      </c>
      <c r="B11" s="44">
        <v>16395.0</v>
      </c>
      <c r="C11" s="44">
        <v>-8364.0</v>
      </c>
      <c r="D11" s="44">
        <v>-2370.0</v>
      </c>
      <c r="E11" s="44">
        <v>8318.0</v>
      </c>
      <c r="F11" s="44">
        <v>0.0</v>
      </c>
      <c r="G11" s="44">
        <v>440072.0</v>
      </c>
      <c r="H11" s="1">
        <v>14.0</v>
      </c>
      <c r="I11" s="1">
        <v>5.0</v>
      </c>
      <c r="J11" s="1">
        <v>0.0</v>
      </c>
      <c r="K11" s="1">
        <v>285.0</v>
      </c>
      <c r="L11" s="1">
        <v>5.0</v>
      </c>
      <c r="M11" s="1">
        <v>3.0</v>
      </c>
      <c r="N11" s="1"/>
      <c r="O11" s="1"/>
      <c r="P11" s="1"/>
      <c r="Q11" s="1"/>
      <c r="R11" s="1"/>
      <c r="S11" s="1"/>
      <c r="T11" s="1"/>
      <c r="U11" s="1"/>
      <c r="V11" s="1"/>
      <c r="W11" s="1"/>
      <c r="X11" s="1"/>
      <c r="Y11" s="1"/>
    </row>
    <row r="12" ht="15.75" customHeight="1">
      <c r="A12" s="46">
        <v>43344.0</v>
      </c>
      <c r="B12" s="44">
        <v>15996.0</v>
      </c>
      <c r="C12" s="44">
        <v>-8533.0</v>
      </c>
      <c r="D12" s="44">
        <v>-2260.0</v>
      </c>
      <c r="E12" s="44">
        <v>8642.0</v>
      </c>
      <c r="F12" s="44">
        <v>0.0</v>
      </c>
      <c r="G12" s="44">
        <v>453917.0</v>
      </c>
      <c r="H12" s="1">
        <v>14.0</v>
      </c>
      <c r="I12" s="1">
        <v>5.0</v>
      </c>
      <c r="J12" s="1">
        <v>0.0</v>
      </c>
      <c r="K12" s="1">
        <v>294.0</v>
      </c>
      <c r="L12" s="1">
        <v>5.0</v>
      </c>
      <c r="M12" s="1">
        <v>3.0</v>
      </c>
      <c r="N12" s="1"/>
      <c r="O12" s="1"/>
      <c r="P12" s="1"/>
      <c r="Q12" s="1"/>
      <c r="R12" s="1"/>
      <c r="S12" s="1"/>
      <c r="T12" s="1"/>
      <c r="U12" s="1"/>
      <c r="V12" s="1"/>
      <c r="W12" s="1"/>
      <c r="X12" s="1"/>
      <c r="Y12" s="1"/>
    </row>
    <row r="13" ht="15.75" customHeight="1">
      <c r="A13" s="46">
        <v>43374.0</v>
      </c>
      <c r="B13" s="44">
        <v>16173.0</v>
      </c>
      <c r="C13" s="44">
        <v>-8825.0</v>
      </c>
      <c r="D13" s="44">
        <v>-3040.0</v>
      </c>
      <c r="E13" s="44">
        <v>8879.0</v>
      </c>
      <c r="F13" s="44">
        <v>0.0</v>
      </c>
      <c r="G13" s="44">
        <v>467104.0</v>
      </c>
      <c r="H13" s="1">
        <v>14.0</v>
      </c>
      <c r="I13" s="1">
        <v>5.0</v>
      </c>
      <c r="J13" s="1">
        <v>0.0</v>
      </c>
      <c r="K13" s="1">
        <v>303.0</v>
      </c>
      <c r="L13" s="1">
        <v>5.0</v>
      </c>
      <c r="M13" s="1">
        <v>4.0</v>
      </c>
      <c r="N13" s="1"/>
      <c r="O13" s="1"/>
      <c r="P13" s="1"/>
      <c r="Q13" s="1"/>
      <c r="R13" s="1"/>
      <c r="S13" s="1"/>
      <c r="T13" s="1"/>
      <c r="U13" s="1"/>
      <c r="V13" s="1"/>
      <c r="W13" s="1"/>
      <c r="X13" s="1"/>
      <c r="Y13" s="1"/>
    </row>
    <row r="14" ht="15.75" customHeight="1">
      <c r="A14" s="46">
        <v>43405.0</v>
      </c>
      <c r="B14" s="44">
        <v>16119.0</v>
      </c>
      <c r="C14" s="44">
        <v>-8574.0</v>
      </c>
      <c r="D14" s="44">
        <v>-3068.0</v>
      </c>
      <c r="E14" s="44">
        <v>8613.0</v>
      </c>
      <c r="F14" s="44">
        <v>0.0</v>
      </c>
      <c r="G14" s="44">
        <v>480194.0</v>
      </c>
      <c r="H14" s="1">
        <v>14.0</v>
      </c>
      <c r="I14" s="1">
        <v>5.0</v>
      </c>
      <c r="J14" s="1">
        <v>0.0</v>
      </c>
      <c r="K14" s="1">
        <v>312.0</v>
      </c>
      <c r="L14" s="1">
        <v>5.0</v>
      </c>
      <c r="M14" s="1">
        <v>4.0</v>
      </c>
      <c r="N14" s="1"/>
      <c r="O14" s="1"/>
      <c r="P14" s="1"/>
      <c r="Q14" s="1"/>
      <c r="R14" s="1"/>
      <c r="S14" s="1"/>
      <c r="T14" s="1"/>
      <c r="U14" s="1"/>
      <c r="V14" s="1"/>
      <c r="W14" s="1"/>
      <c r="X14" s="1"/>
      <c r="Y14" s="1"/>
    </row>
    <row r="15" ht="15.75" customHeight="1">
      <c r="A15" s="46">
        <v>43435.0</v>
      </c>
      <c r="B15" s="44">
        <v>16188.0</v>
      </c>
      <c r="C15" s="44">
        <v>-8644.0</v>
      </c>
      <c r="D15" s="44">
        <v>-3804.0</v>
      </c>
      <c r="E15" s="44">
        <v>8711.0</v>
      </c>
      <c r="F15" s="44">
        <v>0.0</v>
      </c>
      <c r="G15" s="44">
        <v>492645.0</v>
      </c>
      <c r="H15" s="1">
        <v>16.0</v>
      </c>
      <c r="I15" s="1">
        <v>5.0</v>
      </c>
      <c r="J15" s="1">
        <v>0.0</v>
      </c>
      <c r="K15" s="1">
        <v>323.0</v>
      </c>
      <c r="L15" s="1">
        <v>5.0</v>
      </c>
      <c r="M15" s="1">
        <v>5.0</v>
      </c>
      <c r="N15" s="1"/>
      <c r="O15" s="1"/>
      <c r="P15" s="1"/>
      <c r="Q15" s="1"/>
      <c r="R15" s="1"/>
      <c r="S15" s="1"/>
      <c r="T15" s="1"/>
      <c r="U15" s="1"/>
      <c r="V15" s="1"/>
      <c r="W15" s="1"/>
      <c r="X15" s="1"/>
      <c r="Y15" s="1"/>
    </row>
    <row r="16" ht="15.75" customHeight="1">
      <c r="A16" s="46">
        <v>43466.0</v>
      </c>
      <c r="B16" s="44">
        <v>17314.0</v>
      </c>
      <c r="C16" s="44">
        <v>-8681.0</v>
      </c>
      <c r="D16" s="44">
        <v>-3812.0</v>
      </c>
      <c r="E16" s="44">
        <v>8734.0</v>
      </c>
      <c r="F16" s="44">
        <v>0.0</v>
      </c>
      <c r="G16" s="44">
        <v>506200.0</v>
      </c>
      <c r="H16" s="1">
        <v>15.0</v>
      </c>
      <c r="I16" s="1">
        <v>5.0</v>
      </c>
      <c r="J16" s="1">
        <v>0.0</v>
      </c>
      <c r="K16" s="1">
        <v>333.0</v>
      </c>
      <c r="L16" s="1">
        <v>5.0</v>
      </c>
      <c r="M16" s="1">
        <v>5.0</v>
      </c>
      <c r="N16" s="1"/>
      <c r="O16" s="1"/>
      <c r="P16" s="1"/>
      <c r="Q16" s="1"/>
      <c r="R16" s="1"/>
      <c r="S16" s="1"/>
      <c r="T16" s="1"/>
      <c r="U16" s="1"/>
      <c r="V16" s="1"/>
      <c r="W16" s="1"/>
      <c r="X16" s="1"/>
      <c r="Y16" s="1"/>
    </row>
    <row r="17" ht="15.75" customHeight="1">
      <c r="A17" s="46">
        <v>43497.0</v>
      </c>
      <c r="B17" s="44">
        <v>27567.0</v>
      </c>
      <c r="C17" s="44">
        <v>-8633.0</v>
      </c>
      <c r="D17" s="44">
        <v>-4579.0</v>
      </c>
      <c r="E17" s="44">
        <v>8686.0</v>
      </c>
      <c r="F17" s="44">
        <v>0.0</v>
      </c>
      <c r="G17" s="44">
        <v>529241.0</v>
      </c>
      <c r="H17" s="1">
        <v>25.0</v>
      </c>
      <c r="I17" s="1">
        <v>5.0</v>
      </c>
      <c r="J17" s="1">
        <v>0.0</v>
      </c>
      <c r="K17" s="1">
        <v>353.0</v>
      </c>
      <c r="L17" s="1">
        <v>5.0</v>
      </c>
      <c r="M17" s="1">
        <v>6.0</v>
      </c>
      <c r="N17" s="1"/>
      <c r="O17" s="1"/>
      <c r="P17" s="1"/>
      <c r="Q17" s="1"/>
      <c r="R17" s="1"/>
      <c r="S17" s="1"/>
      <c r="T17" s="1"/>
      <c r="U17" s="1"/>
      <c r="V17" s="1"/>
      <c r="W17" s="1"/>
      <c r="X17" s="1"/>
      <c r="Y17" s="1"/>
    </row>
    <row r="18" ht="15.75" customHeight="1">
      <c r="A18" s="46">
        <v>43525.0</v>
      </c>
      <c r="B18" s="44">
        <v>18539.0</v>
      </c>
      <c r="C18" s="44">
        <v>-10383.0</v>
      </c>
      <c r="D18" s="44">
        <v>-4573.0</v>
      </c>
      <c r="E18" s="44">
        <v>8711.0</v>
      </c>
      <c r="F18" s="44">
        <v>0.0</v>
      </c>
      <c r="G18" s="44">
        <v>541535.0</v>
      </c>
      <c r="H18" s="1">
        <v>17.0</v>
      </c>
      <c r="I18" s="1">
        <v>6.0</v>
      </c>
      <c r="J18" s="1">
        <v>0.0</v>
      </c>
      <c r="K18" s="1">
        <v>364.0</v>
      </c>
      <c r="L18" s="1">
        <v>5.0</v>
      </c>
      <c r="M18" s="1">
        <v>6.0</v>
      </c>
      <c r="N18" s="1"/>
      <c r="O18" s="1"/>
      <c r="P18" s="1"/>
      <c r="Q18" s="1"/>
      <c r="R18" s="1"/>
      <c r="S18" s="1"/>
      <c r="T18" s="1"/>
      <c r="U18" s="1"/>
      <c r="V18" s="1"/>
      <c r="W18" s="1"/>
      <c r="X18" s="1"/>
      <c r="Y18" s="1"/>
    </row>
    <row r="19" ht="15.75" customHeight="1">
      <c r="A19" s="46">
        <v>43556.0</v>
      </c>
      <c r="B19" s="44">
        <v>42280.0</v>
      </c>
      <c r="C19" s="44">
        <v>-2350.0</v>
      </c>
      <c r="D19" s="44">
        <v>0.0</v>
      </c>
      <c r="E19" s="44">
        <v>17421.0</v>
      </c>
      <c r="F19" s="44">
        <v>0.0</v>
      </c>
      <c r="G19" s="44">
        <v>598886.0</v>
      </c>
      <c r="H19" s="1">
        <v>38.0</v>
      </c>
      <c r="I19" s="1">
        <v>4.0</v>
      </c>
      <c r="J19" s="1">
        <v>0.0</v>
      </c>
      <c r="K19" s="1">
        <v>398.0</v>
      </c>
      <c r="L19" s="1">
        <v>10.0</v>
      </c>
      <c r="M19" s="1">
        <v>1.0</v>
      </c>
      <c r="N19" s="1"/>
      <c r="O19" s="1"/>
      <c r="P19" s="1"/>
      <c r="Q19" s="1"/>
      <c r="R19" s="1"/>
      <c r="S19" s="1"/>
      <c r="T19" s="1"/>
      <c r="U19" s="1"/>
      <c r="V19" s="1"/>
      <c r="W19" s="1"/>
      <c r="X19" s="1"/>
      <c r="Y19" s="1"/>
    </row>
    <row r="20" ht="15.75" customHeight="1">
      <c r="A20" s="46">
        <v>43586.0</v>
      </c>
      <c r="B20" s="44">
        <v>22097.0</v>
      </c>
      <c r="C20" s="44">
        <v>-10374.0</v>
      </c>
      <c r="D20" s="44">
        <v>-5261.0</v>
      </c>
      <c r="E20" s="44">
        <v>8704.0</v>
      </c>
      <c r="F20" s="44">
        <v>0.0</v>
      </c>
      <c r="G20" s="44">
        <v>614052.0</v>
      </c>
      <c r="H20" s="1">
        <v>20.0</v>
      </c>
      <c r="I20" s="1">
        <v>6.0</v>
      </c>
      <c r="J20" s="1">
        <v>0.0</v>
      </c>
      <c r="K20" s="1">
        <v>412.0</v>
      </c>
      <c r="L20" s="1">
        <v>5.0</v>
      </c>
      <c r="M20" s="1">
        <v>7.0</v>
      </c>
      <c r="N20" s="1"/>
      <c r="O20" s="1"/>
      <c r="P20" s="1"/>
      <c r="Q20" s="1"/>
      <c r="R20" s="1"/>
      <c r="S20" s="1"/>
      <c r="T20" s="1"/>
      <c r="U20" s="1"/>
      <c r="V20" s="1"/>
      <c r="W20" s="1"/>
      <c r="X20" s="1"/>
      <c r="Y20" s="1"/>
    </row>
    <row r="21" ht="15.75" customHeight="1">
      <c r="A21" s="46">
        <v>43617.0</v>
      </c>
      <c r="B21" s="44">
        <v>32061.0</v>
      </c>
      <c r="C21" s="44">
        <v>-12109.0</v>
      </c>
      <c r="D21" s="44">
        <v>-5227.0</v>
      </c>
      <c r="E21" s="44">
        <v>8709.0</v>
      </c>
      <c r="F21" s="44">
        <v>0.0</v>
      </c>
      <c r="G21" s="44">
        <v>637486.0</v>
      </c>
      <c r="H21" s="1">
        <v>29.0</v>
      </c>
      <c r="I21" s="1">
        <v>7.0</v>
      </c>
      <c r="J21" s="1">
        <v>0.0</v>
      </c>
      <c r="K21" s="1">
        <v>434.0</v>
      </c>
      <c r="L21" s="1">
        <v>5.0</v>
      </c>
      <c r="M21" s="1">
        <v>7.0</v>
      </c>
      <c r="N21" s="1"/>
      <c r="O21" s="1"/>
      <c r="P21" s="1"/>
      <c r="Q21" s="1"/>
      <c r="R21" s="1"/>
      <c r="S21" s="1"/>
      <c r="T21" s="1"/>
      <c r="U21" s="1"/>
      <c r="V21" s="1"/>
      <c r="W21" s="1"/>
      <c r="X21" s="1"/>
      <c r="Y21" s="1"/>
    </row>
    <row r="22" ht="15.75" customHeight="1">
      <c r="A22" s="46">
        <v>43647.0</v>
      </c>
      <c r="B22" s="44">
        <v>32170.0</v>
      </c>
      <c r="C22" s="44">
        <v>-15664.931907563025</v>
      </c>
      <c r="D22" s="44">
        <v>-5183.266666666666</v>
      </c>
      <c r="E22" s="44">
        <v>8708.5</v>
      </c>
      <c r="F22" s="44">
        <v>0.0</v>
      </c>
      <c r="G22" s="44">
        <v>657516.3014257703</v>
      </c>
      <c r="H22" s="1">
        <v>32.0</v>
      </c>
      <c r="I22" s="1">
        <v>9.0</v>
      </c>
      <c r="J22" s="1">
        <v>0.0</v>
      </c>
      <c r="K22" s="1">
        <v>457.0</v>
      </c>
      <c r="L22" s="1">
        <v>5.0</v>
      </c>
      <c r="M22" s="1">
        <v>7.0</v>
      </c>
      <c r="N22" s="1"/>
      <c r="O22" s="1"/>
      <c r="P22" s="1"/>
      <c r="Q22" s="1"/>
      <c r="R22" s="1"/>
      <c r="S22" s="1"/>
      <c r="T22" s="1"/>
      <c r="U22" s="1"/>
      <c r="V22" s="1"/>
      <c r="W22" s="1"/>
      <c r="X22" s="1"/>
      <c r="Y22" s="1"/>
    </row>
    <row r="23" ht="15.75" customHeight="1">
      <c r="A23" s="46">
        <v>43678.0</v>
      </c>
      <c r="B23" s="44">
        <v>31973.333333333336</v>
      </c>
      <c r="C23" s="44">
        <v>-14187.685782436285</v>
      </c>
      <c r="D23" s="44">
        <v>-5223.7555555555555</v>
      </c>
      <c r="E23" s="44">
        <v>13931.466666666667</v>
      </c>
      <c r="F23" s="44">
        <v>0.0</v>
      </c>
      <c r="G23" s="44">
        <v>684009.6600877785</v>
      </c>
      <c r="H23" s="1">
        <v>30.0</v>
      </c>
      <c r="I23" s="1">
        <v>6.0</v>
      </c>
      <c r="J23" s="1">
        <v>0.0</v>
      </c>
      <c r="K23" s="1">
        <v>479.0</v>
      </c>
      <c r="L23" s="1">
        <v>8.0</v>
      </c>
      <c r="M23" s="1">
        <v>7.0</v>
      </c>
      <c r="N23" s="1"/>
      <c r="O23" s="1"/>
      <c r="P23" s="1"/>
      <c r="Q23" s="1"/>
      <c r="R23" s="1"/>
      <c r="S23" s="1"/>
      <c r="T23" s="1"/>
      <c r="U23" s="1"/>
      <c r="V23" s="1"/>
      <c r="W23" s="1"/>
      <c r="X23" s="1"/>
      <c r="Y23" s="1"/>
    </row>
    <row r="24" ht="15.75" customHeight="1">
      <c r="A24" s="46">
        <v>43709.0</v>
      </c>
      <c r="B24" s="44">
        <v>27486.952380952385</v>
      </c>
      <c r="C24" s="44">
        <v>-15378.463306457343</v>
      </c>
      <c r="D24" s="44">
        <v>-5211.34074074074</v>
      </c>
      <c r="E24" s="44">
        <v>19157.701851851853</v>
      </c>
      <c r="F24" s="44">
        <v>0.0</v>
      </c>
      <c r="G24" s="44">
        <v>710064.5102733846</v>
      </c>
      <c r="H24" s="1">
        <v>26.0</v>
      </c>
      <c r="I24" s="1">
        <v>9.0</v>
      </c>
      <c r="J24" s="1">
        <v>0.0</v>
      </c>
      <c r="K24" s="1">
        <v>496.0</v>
      </c>
      <c r="L24" s="1">
        <v>11.0</v>
      </c>
      <c r="M24" s="1">
        <v>7.0</v>
      </c>
      <c r="N24" s="1"/>
      <c r="O24" s="1"/>
      <c r="P24" s="1"/>
      <c r="Q24" s="1"/>
      <c r="R24" s="1"/>
      <c r="S24" s="1"/>
      <c r="T24" s="1"/>
      <c r="U24" s="1"/>
      <c r="V24" s="1"/>
      <c r="W24" s="1"/>
      <c r="X24" s="1"/>
      <c r="Y24" s="1"/>
    </row>
    <row r="25" ht="15.75" customHeight="1">
      <c r="A25" s="243">
        <f t="shared" ref="A25:A29" si="1">EDATE(A24,1)</f>
        <v>43739</v>
      </c>
      <c r="B25" s="44">
        <v>28724.952380952385</v>
      </c>
      <c r="C25" s="44">
        <v>-16660.4633064573</v>
      </c>
      <c r="D25" s="44">
        <v>-8789.34074074074</v>
      </c>
      <c r="E25" s="44">
        <v>20220.701851851853</v>
      </c>
      <c r="F25" s="44">
        <v>0.0</v>
      </c>
      <c r="G25" s="44">
        <f t="shared" ref="G25:G31" si="2">B25+C25+D25+E25+G24</f>
        <v>733560.3605</v>
      </c>
      <c r="H25" s="1">
        <v>21.0</v>
      </c>
      <c r="I25" s="1">
        <v>9.0</v>
      </c>
      <c r="J25" s="1">
        <v>0.0</v>
      </c>
      <c r="K25" s="1">
        <v>508.0</v>
      </c>
      <c r="L25" s="1">
        <v>11.0</v>
      </c>
      <c r="M25" s="1">
        <v>7.0</v>
      </c>
      <c r="N25" s="1"/>
      <c r="O25" s="1"/>
      <c r="P25" s="1"/>
      <c r="Q25" s="1"/>
      <c r="R25" s="1"/>
      <c r="S25" s="1"/>
      <c r="T25" s="1"/>
      <c r="U25" s="1"/>
      <c r="V25" s="1"/>
      <c r="W25" s="1"/>
      <c r="X25" s="1"/>
      <c r="Y25" s="1"/>
    </row>
    <row r="26" ht="15.75" customHeight="1">
      <c r="A26" s="243">
        <f t="shared" si="1"/>
        <v>43770</v>
      </c>
      <c r="B26" s="44">
        <v>28145.952380952385</v>
      </c>
      <c r="C26" s="44">
        <v>-15195.4633064573</v>
      </c>
      <c r="D26" s="44">
        <v>-11199.3407407407</v>
      </c>
      <c r="E26" s="44">
        <v>20012.701851851853</v>
      </c>
      <c r="F26" s="44">
        <v>0.0</v>
      </c>
      <c r="G26" s="44">
        <f t="shared" si="2"/>
        <v>755324.2106</v>
      </c>
      <c r="H26" s="1">
        <v>22.0</v>
      </c>
      <c r="I26" s="1">
        <v>6.0</v>
      </c>
      <c r="J26" s="1">
        <v>0.0</v>
      </c>
      <c r="K26" s="1">
        <v>524.0</v>
      </c>
      <c r="L26" s="1">
        <v>11.0</v>
      </c>
      <c r="M26" s="1">
        <v>7.0</v>
      </c>
      <c r="N26" s="1"/>
      <c r="O26" s="1"/>
      <c r="P26" s="1"/>
      <c r="Q26" s="1"/>
      <c r="R26" s="1"/>
      <c r="S26" s="1"/>
      <c r="T26" s="1"/>
      <c r="U26" s="1"/>
      <c r="V26" s="1"/>
      <c r="W26" s="1"/>
      <c r="X26" s="1"/>
      <c r="Y26" s="1"/>
    </row>
    <row r="27" ht="15.75" customHeight="1">
      <c r="A27" s="243">
        <f t="shared" si="1"/>
        <v>43800</v>
      </c>
      <c r="B27" s="44">
        <v>30850.952380952385</v>
      </c>
      <c r="C27" s="44">
        <v>-18807.4633064573</v>
      </c>
      <c r="D27" s="44">
        <v>-11220.3407407407</v>
      </c>
      <c r="E27" s="44">
        <v>20137.701851851853</v>
      </c>
      <c r="F27" s="44">
        <v>0.0</v>
      </c>
      <c r="G27" s="44">
        <f t="shared" si="2"/>
        <v>776285.0608</v>
      </c>
      <c r="H27" s="1">
        <v>25.0</v>
      </c>
      <c r="I27" s="1">
        <v>4.0</v>
      </c>
      <c r="J27" s="1">
        <v>0.0</v>
      </c>
      <c r="K27" s="1">
        <v>545.0</v>
      </c>
      <c r="L27" s="1">
        <v>14.0</v>
      </c>
      <c r="M27" s="1">
        <v>10.0</v>
      </c>
      <c r="N27" s="1"/>
      <c r="O27" s="1"/>
      <c r="P27" s="1"/>
      <c r="Q27" s="1"/>
      <c r="R27" s="1"/>
      <c r="S27" s="1"/>
      <c r="T27" s="1"/>
      <c r="U27" s="1"/>
      <c r="V27" s="1"/>
      <c r="W27" s="1"/>
      <c r="X27" s="1"/>
      <c r="Y27" s="1"/>
    </row>
    <row r="28" ht="15.75" customHeight="1">
      <c r="A28" s="243">
        <f t="shared" si="1"/>
        <v>43831</v>
      </c>
      <c r="B28" s="44">
        <v>33080.95238095238</v>
      </c>
      <c r="C28" s="44">
        <v>-19092.4633064573</v>
      </c>
      <c r="D28" s="44">
        <v>-14719.3407407407</v>
      </c>
      <c r="E28" s="44">
        <v>23189.701851851853</v>
      </c>
      <c r="F28" s="44">
        <v>0.0</v>
      </c>
      <c r="G28" s="44">
        <f t="shared" si="2"/>
        <v>798743.911</v>
      </c>
      <c r="H28" s="1">
        <v>25.0</v>
      </c>
      <c r="I28" s="1">
        <v>1.0</v>
      </c>
      <c r="J28" s="1">
        <v>0.0</v>
      </c>
      <c r="K28" s="1">
        <v>571.0</v>
      </c>
      <c r="L28" s="1">
        <v>14.0</v>
      </c>
      <c r="M28" s="1">
        <v>15.0</v>
      </c>
      <c r="N28" s="1"/>
      <c r="O28" s="1"/>
      <c r="P28" s="1"/>
      <c r="Q28" s="1"/>
      <c r="R28" s="1"/>
      <c r="S28" s="1"/>
      <c r="T28" s="1"/>
      <c r="U28" s="1"/>
      <c r="V28" s="1"/>
      <c r="W28" s="1"/>
      <c r="X28" s="1"/>
      <c r="Y28" s="1"/>
    </row>
    <row r="29" ht="15.75" customHeight="1">
      <c r="A29" s="243">
        <f t="shared" si="1"/>
        <v>43862</v>
      </c>
      <c r="B29" s="44">
        <v>34067.95238095238</v>
      </c>
      <c r="C29" s="44">
        <v>-21654.4633064573</v>
      </c>
      <c r="D29" s="44">
        <v>-12226.3407407407</v>
      </c>
      <c r="E29" s="44">
        <v>25376.701851851853</v>
      </c>
      <c r="F29" s="44">
        <v>0.0</v>
      </c>
      <c r="G29" s="44">
        <f t="shared" si="2"/>
        <v>824307.7612</v>
      </c>
      <c r="H29" s="1">
        <v>28.0</v>
      </c>
      <c r="I29" s="1">
        <v>6.0</v>
      </c>
      <c r="J29" s="1">
        <v>0.0</v>
      </c>
      <c r="K29" s="1">
        <v>605.0</v>
      </c>
      <c r="L29" s="1">
        <v>13.0</v>
      </c>
      <c r="M29" s="1">
        <v>17.0</v>
      </c>
      <c r="N29" s="1"/>
      <c r="O29" s="1"/>
      <c r="P29" s="1"/>
      <c r="Q29" s="1"/>
      <c r="R29" s="1"/>
      <c r="S29" s="1"/>
      <c r="T29" s="1"/>
      <c r="U29" s="1"/>
      <c r="V29" s="1"/>
      <c r="W29" s="1"/>
      <c r="X29" s="1"/>
      <c r="Y29" s="1"/>
    </row>
    <row r="30" ht="15.75" customHeight="1">
      <c r="A30" s="243">
        <v>43891.0</v>
      </c>
      <c r="B30" s="44">
        <v>25128.0</v>
      </c>
      <c r="C30" s="44">
        <v>-34418.0</v>
      </c>
      <c r="D30" s="44">
        <v>-15131.0</v>
      </c>
      <c r="E30" s="44">
        <v>20276.0</v>
      </c>
      <c r="F30" s="44">
        <v>0.0</v>
      </c>
      <c r="G30" s="44">
        <f t="shared" si="2"/>
        <v>820162.7612</v>
      </c>
      <c r="H30" s="1">
        <v>20.0</v>
      </c>
      <c r="I30" s="1">
        <v>9.0</v>
      </c>
      <c r="J30" s="1">
        <v>0.0</v>
      </c>
      <c r="K30" s="1">
        <f>H30-I30+K29</f>
        <v>616</v>
      </c>
      <c r="L30" s="1">
        <v>12.0</v>
      </c>
      <c r="M30" s="1">
        <v>17.0</v>
      </c>
      <c r="N30" s="1"/>
      <c r="O30" s="1"/>
      <c r="P30" s="1"/>
      <c r="Q30" s="1"/>
      <c r="R30" s="1"/>
      <c r="S30" s="1"/>
      <c r="T30" s="1"/>
      <c r="U30" s="1"/>
      <c r="V30" s="1"/>
      <c r="W30" s="1"/>
      <c r="X30" s="1"/>
      <c r="Y30" s="1"/>
    </row>
    <row r="31" ht="15.75" customHeight="1">
      <c r="A31" s="46">
        <v>43922.0</v>
      </c>
      <c r="B31" s="44">
        <v>17600.0</v>
      </c>
      <c r="C31" s="44">
        <v>-38975.0</v>
      </c>
      <c r="D31" s="44">
        <v>-14756.0</v>
      </c>
      <c r="E31" s="44">
        <v>10675.0</v>
      </c>
      <c r="F31" s="44">
        <v>0.0</v>
      </c>
      <c r="G31" s="44">
        <f t="shared" si="2"/>
        <v>794706.7612</v>
      </c>
      <c r="H31" s="1">
        <v>14.0</v>
      </c>
      <c r="I31" s="1">
        <v>12.0</v>
      </c>
      <c r="J31" s="1">
        <v>0.0</v>
      </c>
      <c r="K31" s="1">
        <f>H31-I31+K30+J31</f>
        <v>618</v>
      </c>
      <c r="L31" s="1">
        <v>11.0</v>
      </c>
      <c r="M31" s="1">
        <v>19.0</v>
      </c>
      <c r="N31" s="1"/>
      <c r="O31" s="1"/>
      <c r="P31" s="1"/>
      <c r="Q31" s="1"/>
      <c r="R31" s="1"/>
      <c r="S31" s="1"/>
      <c r="T31" s="1"/>
      <c r="U31" s="1"/>
      <c r="V31" s="1"/>
      <c r="W31" s="1"/>
      <c r="X31" s="1"/>
      <c r="Y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pageSetUpPr/>
  </sheetPr>
  <sheetViews>
    <sheetView workbookViewId="0"/>
  </sheetViews>
  <sheetFormatPr customHeight="1" defaultColWidth="12.63" defaultRowHeight="15.0"/>
  <cols>
    <col customWidth="1" min="1" max="1" width="35.38"/>
    <col customWidth="1" min="2" max="4" width="28.25"/>
    <col customWidth="1" min="5" max="6" width="14.38"/>
    <col customWidth="1" min="7" max="7" width="54.0"/>
    <col customWidth="1" min="8" max="26" width="14.38"/>
  </cols>
  <sheetData>
    <row r="1" ht="15.75" customHeight="1">
      <c r="A1" s="7" t="s">
        <v>569</v>
      </c>
      <c r="B1" s="244" t="s">
        <v>570</v>
      </c>
      <c r="C1" s="244" t="s">
        <v>571</v>
      </c>
      <c r="D1" s="244" t="s">
        <v>572</v>
      </c>
    </row>
    <row r="2" ht="15.75" customHeight="1">
      <c r="B2" s="245"/>
      <c r="C2" s="246"/>
      <c r="D2" s="247"/>
      <c r="F2" s="248"/>
      <c r="I2" s="202"/>
      <c r="J2" s="202"/>
    </row>
    <row r="3" ht="15.75" customHeight="1">
      <c r="B3" s="245"/>
      <c r="C3" s="246"/>
      <c r="D3" s="247"/>
      <c r="F3" s="248"/>
      <c r="I3" s="202"/>
      <c r="J3" s="202"/>
    </row>
    <row r="4" ht="15.75" customHeight="1">
      <c r="B4" s="245"/>
      <c r="C4" s="246"/>
      <c r="D4" s="247"/>
      <c r="F4" s="248"/>
      <c r="I4" s="202"/>
      <c r="J4" s="202"/>
    </row>
    <row r="5" ht="15.75" customHeight="1">
      <c r="B5" s="247"/>
      <c r="C5" s="246"/>
      <c r="D5" s="247"/>
      <c r="F5" s="248"/>
      <c r="I5" s="202"/>
      <c r="J5" s="202"/>
    </row>
    <row r="6" ht="15.75" customHeight="1">
      <c r="B6" s="247"/>
      <c r="C6" s="246"/>
      <c r="D6" s="247"/>
      <c r="F6" s="248"/>
      <c r="I6" s="202"/>
      <c r="J6" s="202"/>
    </row>
    <row r="7" ht="15.75" customHeight="1">
      <c r="B7" s="247"/>
      <c r="C7" s="246"/>
      <c r="D7" s="247"/>
      <c r="F7" s="248"/>
      <c r="I7" s="202"/>
      <c r="J7" s="202"/>
    </row>
    <row r="8" ht="15.75" customHeight="1">
      <c r="B8" s="247"/>
      <c r="C8" s="246"/>
      <c r="D8" s="247"/>
      <c r="F8" s="248"/>
      <c r="I8" s="202"/>
      <c r="J8" s="202"/>
    </row>
    <row r="9" ht="15.75" customHeight="1">
      <c r="B9" s="247"/>
      <c r="C9" s="246"/>
      <c r="D9" s="247"/>
      <c r="F9" s="248"/>
      <c r="I9" s="202"/>
      <c r="J9" s="202"/>
    </row>
    <row r="10" ht="15.75" customHeight="1">
      <c r="B10" s="247"/>
      <c r="C10" s="246"/>
      <c r="D10" s="247"/>
      <c r="F10" s="248"/>
      <c r="I10" s="202"/>
      <c r="J10" s="202"/>
    </row>
    <row r="11" ht="15.75" customHeight="1">
      <c r="B11" s="247"/>
      <c r="C11" s="246"/>
      <c r="D11" s="247"/>
      <c r="F11" s="248"/>
      <c r="I11" s="202"/>
      <c r="J11" s="202"/>
    </row>
    <row r="12" ht="15.75" customHeight="1">
      <c r="B12" s="247"/>
      <c r="C12" s="246"/>
      <c r="D12" s="247"/>
      <c r="F12" s="248"/>
      <c r="I12" s="202"/>
      <c r="J12" s="202"/>
    </row>
    <row r="13" ht="15.75" customHeight="1">
      <c r="B13" s="247"/>
      <c r="C13" s="246"/>
      <c r="D13" s="247"/>
      <c r="F13" s="248"/>
      <c r="I13" s="202"/>
      <c r="J13" s="202"/>
    </row>
    <row r="14" ht="15.75" customHeight="1">
      <c r="B14" s="247"/>
      <c r="C14" s="246"/>
      <c r="D14" s="247"/>
      <c r="F14" s="248"/>
      <c r="I14" s="202"/>
      <c r="J14" s="202"/>
    </row>
    <row r="15" ht="15.75" customHeight="1">
      <c r="B15" s="247"/>
      <c r="C15" s="246"/>
      <c r="D15" s="247"/>
      <c r="F15" s="248"/>
      <c r="I15" s="202"/>
      <c r="J15" s="202"/>
    </row>
    <row r="16" ht="15.75" customHeight="1">
      <c r="B16" s="247"/>
      <c r="C16" s="246"/>
      <c r="D16" s="247"/>
      <c r="F16" s="248"/>
      <c r="I16" s="202"/>
      <c r="J16" s="202"/>
    </row>
    <row r="17" ht="15.75" customHeight="1">
      <c r="B17" s="247"/>
      <c r="C17" s="246"/>
      <c r="D17" s="247"/>
      <c r="F17" s="248"/>
      <c r="I17" s="202"/>
      <c r="J17" s="202"/>
    </row>
    <row r="18" ht="15.75" customHeight="1">
      <c r="B18" s="247"/>
      <c r="C18" s="246"/>
      <c r="D18" s="247"/>
      <c r="F18" s="248"/>
      <c r="I18" s="202"/>
      <c r="J18" s="202"/>
    </row>
    <row r="19" ht="15.75" customHeight="1">
      <c r="B19" s="247"/>
      <c r="C19" s="246"/>
      <c r="D19" s="247"/>
      <c r="F19" s="248"/>
      <c r="I19" s="202"/>
      <c r="J19" s="202"/>
    </row>
    <row r="20" ht="15.75" customHeight="1">
      <c r="B20" s="247"/>
      <c r="C20" s="246"/>
      <c r="D20" s="247"/>
      <c r="F20" s="248"/>
      <c r="I20" s="202"/>
      <c r="J20" s="202"/>
    </row>
    <row r="21" ht="15.75" customHeight="1">
      <c r="B21" s="247"/>
      <c r="C21" s="246"/>
      <c r="D21" s="247"/>
      <c r="F21" s="248"/>
      <c r="I21" s="202"/>
      <c r="J21" s="202"/>
    </row>
    <row r="22" ht="15.75" customHeight="1">
      <c r="B22" s="247"/>
      <c r="C22" s="246"/>
      <c r="D22" s="247"/>
      <c r="F22" s="248"/>
      <c r="I22" s="202"/>
      <c r="J22" s="202"/>
    </row>
    <row r="23" ht="15.75" customHeight="1">
      <c r="B23" s="247"/>
      <c r="C23" s="246"/>
      <c r="D23" s="247"/>
      <c r="F23" s="248"/>
      <c r="I23" s="202"/>
      <c r="J23" s="202"/>
    </row>
    <row r="24" ht="15.75" customHeight="1">
      <c r="B24" s="247"/>
      <c r="C24" s="246"/>
      <c r="D24" s="247"/>
      <c r="F24" s="248"/>
      <c r="I24" s="202"/>
      <c r="J24" s="202"/>
    </row>
    <row r="25" ht="15.75" customHeight="1">
      <c r="B25" s="247"/>
      <c r="C25" s="246"/>
      <c r="D25" s="247"/>
      <c r="F25" s="248"/>
      <c r="I25" s="202"/>
      <c r="J25" s="202"/>
    </row>
    <row r="26" ht="15.75" customHeight="1">
      <c r="B26" s="247"/>
      <c r="C26" s="246"/>
      <c r="D26" s="247"/>
      <c r="F26" s="248"/>
      <c r="I26" s="202"/>
      <c r="J26" s="202"/>
    </row>
    <row r="27" ht="15.75" customHeight="1">
      <c r="B27" s="247"/>
      <c r="C27" s="246"/>
      <c r="D27" s="247"/>
      <c r="F27" s="248"/>
      <c r="I27" s="202"/>
      <c r="J27" s="202"/>
    </row>
    <row r="28" ht="15.75" customHeight="1">
      <c r="B28" s="247"/>
      <c r="C28" s="246"/>
      <c r="D28" s="247"/>
      <c r="F28" s="248"/>
      <c r="I28" s="202"/>
      <c r="J28" s="202"/>
    </row>
    <row r="29" ht="15.75" customHeight="1">
      <c r="B29" s="247"/>
      <c r="C29" s="246"/>
      <c r="D29" s="247"/>
      <c r="F29" s="248"/>
      <c r="I29" s="202"/>
      <c r="J29" s="202"/>
    </row>
    <row r="30" ht="15.75" customHeight="1">
      <c r="B30" s="247"/>
      <c r="C30" s="246"/>
      <c r="D30" s="247"/>
      <c r="F30" s="248"/>
      <c r="I30" s="202"/>
      <c r="J30" s="202"/>
    </row>
    <row r="31" ht="15.75" customHeight="1">
      <c r="B31" s="247"/>
      <c r="C31" s="246"/>
      <c r="D31" s="247"/>
      <c r="F31" s="248"/>
      <c r="I31" s="202"/>
      <c r="J31" s="202"/>
    </row>
    <row r="32" ht="15.75" customHeight="1">
      <c r="B32" s="247"/>
      <c r="C32" s="246"/>
      <c r="D32" s="247"/>
      <c r="F32" s="248"/>
      <c r="I32" s="202"/>
      <c r="J32" s="202"/>
    </row>
    <row r="33" ht="15.75" customHeight="1">
      <c r="B33" s="247"/>
      <c r="C33" s="246"/>
      <c r="D33" s="247"/>
      <c r="F33" s="248"/>
      <c r="I33" s="202"/>
      <c r="J33" s="202"/>
    </row>
    <row r="34" ht="15.75" customHeight="1">
      <c r="B34" s="247"/>
      <c r="C34" s="246"/>
      <c r="D34" s="247"/>
      <c r="F34" s="248"/>
      <c r="I34" s="202"/>
      <c r="J34" s="202"/>
    </row>
    <row r="35" ht="15.75" customHeight="1">
      <c r="B35" s="247"/>
      <c r="C35" s="246"/>
      <c r="D35" s="247"/>
      <c r="F35" s="248"/>
      <c r="I35" s="202"/>
      <c r="J35" s="202"/>
    </row>
    <row r="36" ht="15.75" customHeight="1">
      <c r="B36" s="247"/>
      <c r="C36" s="246"/>
      <c r="D36" s="247"/>
      <c r="F36" s="248"/>
      <c r="I36" s="202"/>
      <c r="J36" s="202"/>
    </row>
    <row r="37" ht="15.75" customHeight="1">
      <c r="B37" s="247"/>
      <c r="C37" s="246"/>
      <c r="D37" s="247"/>
      <c r="F37" s="248"/>
      <c r="I37" s="202"/>
      <c r="J37" s="202"/>
    </row>
    <row r="38" ht="15.75" customHeight="1">
      <c r="B38" s="247"/>
      <c r="C38" s="246"/>
      <c r="D38" s="247"/>
      <c r="F38" s="248"/>
      <c r="I38" s="202"/>
      <c r="J38" s="202"/>
    </row>
    <row r="39" ht="15.75" customHeight="1">
      <c r="B39" s="247"/>
      <c r="C39" s="246"/>
      <c r="D39" s="247"/>
      <c r="F39" s="248"/>
      <c r="I39" s="202"/>
      <c r="J39" s="202"/>
    </row>
    <row r="40" ht="15.75" customHeight="1">
      <c r="B40" s="247"/>
      <c r="C40" s="246"/>
      <c r="D40" s="247"/>
      <c r="F40" s="248"/>
      <c r="I40" s="202"/>
      <c r="J40" s="202"/>
    </row>
    <row r="41" ht="15.75" customHeight="1">
      <c r="B41" s="247"/>
      <c r="C41" s="246"/>
      <c r="D41" s="247"/>
      <c r="F41" s="248"/>
      <c r="I41" s="202"/>
      <c r="J41" s="202"/>
    </row>
    <row r="42" ht="15.75" customHeight="1">
      <c r="B42" s="247"/>
      <c r="C42" s="246"/>
      <c r="D42" s="247"/>
      <c r="F42" s="248"/>
      <c r="I42" s="202"/>
      <c r="J42" s="202"/>
    </row>
    <row r="43" ht="15.75" customHeight="1">
      <c r="B43" s="247"/>
      <c r="C43" s="246"/>
      <c r="D43" s="247"/>
      <c r="F43" s="248"/>
      <c r="I43" s="202"/>
      <c r="J43" s="202"/>
    </row>
    <row r="44" ht="15.75" customHeight="1">
      <c r="B44" s="247"/>
      <c r="C44" s="246"/>
      <c r="D44" s="247"/>
      <c r="F44" s="248"/>
      <c r="I44" s="202"/>
      <c r="J44" s="202"/>
    </row>
    <row r="45" ht="15.75" customHeight="1">
      <c r="B45" s="247"/>
      <c r="C45" s="246"/>
      <c r="D45" s="247"/>
      <c r="F45" s="248"/>
      <c r="I45" s="202"/>
      <c r="J45" s="202"/>
    </row>
    <row r="46" ht="15.75" customHeight="1">
      <c r="B46" s="247"/>
      <c r="C46" s="246"/>
      <c r="D46" s="247"/>
      <c r="F46" s="248"/>
      <c r="I46" s="202"/>
      <c r="J46" s="202"/>
    </row>
    <row r="47" ht="15.75" customHeight="1">
      <c r="B47" s="247"/>
      <c r="C47" s="246"/>
      <c r="D47" s="247"/>
      <c r="F47" s="248"/>
      <c r="I47" s="202"/>
      <c r="J47" s="202"/>
    </row>
    <row r="48" ht="15.75" customHeight="1">
      <c r="B48" s="247"/>
      <c r="C48" s="246"/>
      <c r="D48" s="247"/>
      <c r="F48" s="248"/>
      <c r="I48" s="202"/>
      <c r="J48" s="202"/>
    </row>
    <row r="49" ht="15.75" customHeight="1">
      <c r="B49" s="247"/>
      <c r="C49" s="246"/>
      <c r="D49" s="247"/>
      <c r="F49" s="248"/>
      <c r="I49" s="202"/>
      <c r="J49" s="202"/>
    </row>
    <row r="50" ht="15.75" customHeight="1">
      <c r="B50" s="247"/>
      <c r="C50" s="246"/>
      <c r="D50" s="247"/>
      <c r="F50" s="248"/>
      <c r="I50" s="202"/>
      <c r="J50" s="202"/>
    </row>
    <row r="51" ht="15.75" customHeight="1">
      <c r="B51" s="247"/>
      <c r="C51" s="246"/>
      <c r="D51" s="247"/>
      <c r="F51" s="248"/>
      <c r="I51" s="202"/>
      <c r="J51" s="202"/>
    </row>
    <row r="52" ht="15.75" customHeight="1">
      <c r="B52" s="247"/>
      <c r="C52" s="246"/>
      <c r="D52" s="247"/>
      <c r="F52" s="248"/>
      <c r="I52" s="202"/>
      <c r="J52" s="202"/>
    </row>
    <row r="53" ht="15.75" customHeight="1">
      <c r="B53" s="247"/>
      <c r="C53" s="246"/>
      <c r="D53" s="247"/>
      <c r="F53" s="248"/>
      <c r="I53" s="202"/>
      <c r="J53" s="202"/>
    </row>
    <row r="54" ht="15.75" customHeight="1">
      <c r="B54" s="247"/>
      <c r="C54" s="246"/>
      <c r="D54" s="247"/>
      <c r="F54" s="248"/>
      <c r="I54" s="202"/>
      <c r="J54" s="202"/>
    </row>
    <row r="55" ht="15.75" customHeight="1">
      <c r="B55" s="247"/>
      <c r="C55" s="246"/>
      <c r="D55" s="247"/>
      <c r="F55" s="248"/>
      <c r="I55" s="202"/>
      <c r="J55" s="202"/>
    </row>
    <row r="56" ht="15.75" customHeight="1">
      <c r="B56" s="247"/>
      <c r="C56" s="246"/>
      <c r="D56" s="247"/>
      <c r="F56" s="248"/>
      <c r="I56" s="202"/>
      <c r="J56" s="202"/>
    </row>
    <row r="57" ht="15.75" customHeight="1">
      <c r="B57" s="247"/>
      <c r="C57" s="246"/>
      <c r="D57" s="247"/>
      <c r="F57" s="248"/>
      <c r="I57" s="202"/>
      <c r="J57" s="202"/>
    </row>
    <row r="58" ht="15.75" customHeight="1">
      <c r="B58" s="247"/>
      <c r="C58" s="246"/>
      <c r="D58" s="247"/>
      <c r="F58" s="248"/>
      <c r="I58" s="202"/>
      <c r="J58" s="202"/>
    </row>
    <row r="59" ht="15.75" customHeight="1">
      <c r="B59" s="247"/>
      <c r="C59" s="246"/>
      <c r="D59" s="247"/>
      <c r="F59" s="248"/>
      <c r="I59" s="202"/>
      <c r="J59" s="202"/>
    </row>
    <row r="60" ht="15.75" customHeight="1">
      <c r="B60" s="247"/>
      <c r="C60" s="246"/>
      <c r="D60" s="247"/>
      <c r="F60" s="248"/>
      <c r="I60" s="202"/>
      <c r="J60" s="202"/>
    </row>
    <row r="61" ht="15.75" customHeight="1">
      <c r="B61" s="247"/>
      <c r="C61" s="246"/>
      <c r="D61" s="247"/>
      <c r="F61" s="248"/>
      <c r="I61" s="202"/>
      <c r="J61" s="202"/>
    </row>
    <row r="62" ht="15.75" customHeight="1">
      <c r="B62" s="247"/>
      <c r="C62" s="246"/>
      <c r="D62" s="247"/>
      <c r="F62" s="248"/>
      <c r="I62" s="202"/>
      <c r="J62" s="202"/>
    </row>
    <row r="63" ht="15.75" customHeight="1">
      <c r="B63" s="247"/>
      <c r="C63" s="246"/>
      <c r="D63" s="247"/>
      <c r="F63" s="248"/>
      <c r="I63" s="202"/>
      <c r="J63" s="202"/>
    </row>
    <row r="64" ht="15.75" customHeight="1">
      <c r="B64" s="247"/>
      <c r="C64" s="246"/>
      <c r="D64" s="247"/>
      <c r="F64" s="248"/>
      <c r="I64" s="202"/>
      <c r="J64" s="202"/>
    </row>
    <row r="65" ht="15.75" customHeight="1">
      <c r="B65" s="247"/>
      <c r="C65" s="246"/>
      <c r="D65" s="247"/>
      <c r="F65" s="248"/>
      <c r="I65" s="202"/>
      <c r="J65" s="202"/>
    </row>
    <row r="66" ht="15.75" customHeight="1">
      <c r="B66" s="247"/>
      <c r="C66" s="246"/>
      <c r="D66" s="247"/>
      <c r="F66" s="248"/>
      <c r="I66" s="202"/>
      <c r="J66" s="202"/>
    </row>
    <row r="67" ht="15.75" customHeight="1">
      <c r="B67" s="247"/>
      <c r="C67" s="246"/>
      <c r="D67" s="247"/>
      <c r="F67" s="248"/>
      <c r="I67" s="202"/>
      <c r="J67" s="202"/>
    </row>
    <row r="68" ht="15.75" customHeight="1">
      <c r="B68" s="247"/>
      <c r="C68" s="246"/>
      <c r="D68" s="247"/>
      <c r="F68" s="248"/>
      <c r="I68" s="202"/>
      <c r="J68" s="202"/>
    </row>
    <row r="69" ht="15.75" customHeight="1">
      <c r="B69" s="247"/>
      <c r="C69" s="246"/>
      <c r="D69" s="247"/>
      <c r="F69" s="248"/>
      <c r="I69" s="202"/>
      <c r="J69" s="202"/>
    </row>
    <row r="70" ht="15.75" customHeight="1">
      <c r="B70" s="247"/>
      <c r="C70" s="246"/>
      <c r="D70" s="247"/>
      <c r="F70" s="248"/>
      <c r="I70" s="202"/>
      <c r="J70" s="202"/>
    </row>
    <row r="71" ht="15.75" customHeight="1">
      <c r="B71" s="247"/>
      <c r="C71" s="246"/>
      <c r="D71" s="247"/>
      <c r="F71" s="248"/>
      <c r="I71" s="202"/>
      <c r="J71" s="202"/>
    </row>
    <row r="72" ht="15.75" customHeight="1">
      <c r="B72" s="247"/>
      <c r="C72" s="246"/>
      <c r="D72" s="247"/>
      <c r="F72" s="248"/>
      <c r="I72" s="202"/>
      <c r="J72" s="202"/>
    </row>
    <row r="73" ht="15.75" customHeight="1">
      <c r="B73" s="247"/>
      <c r="C73" s="246"/>
      <c r="D73" s="247"/>
      <c r="F73" s="248"/>
      <c r="I73" s="202"/>
      <c r="J73" s="202"/>
    </row>
    <row r="74" ht="15.75" customHeight="1">
      <c r="B74" s="247"/>
      <c r="C74" s="246"/>
      <c r="D74" s="247"/>
      <c r="F74" s="248"/>
      <c r="I74" s="202"/>
      <c r="J74" s="202"/>
    </row>
    <row r="75" ht="15.75" customHeight="1">
      <c r="B75" s="247"/>
      <c r="C75" s="246"/>
      <c r="D75" s="247"/>
      <c r="F75" s="248"/>
      <c r="I75" s="202"/>
      <c r="J75" s="202"/>
    </row>
    <row r="76" ht="15.75" customHeight="1">
      <c r="B76" s="247"/>
      <c r="C76" s="246"/>
      <c r="D76" s="247"/>
      <c r="F76" s="248"/>
      <c r="I76" s="202"/>
      <c r="J76" s="202"/>
    </row>
    <row r="77" ht="15.75" customHeight="1">
      <c r="B77" s="247"/>
      <c r="C77" s="246"/>
      <c r="D77" s="247"/>
      <c r="F77" s="248"/>
      <c r="I77" s="202"/>
      <c r="J77" s="202"/>
    </row>
    <row r="78" ht="15.75" customHeight="1">
      <c r="B78" s="247"/>
      <c r="C78" s="246"/>
      <c r="D78" s="247"/>
      <c r="F78" s="248"/>
      <c r="I78" s="202"/>
      <c r="J78" s="202"/>
    </row>
    <row r="79" ht="15.75" customHeight="1">
      <c r="B79" s="247"/>
      <c r="C79" s="246"/>
      <c r="D79" s="247"/>
      <c r="F79" s="248"/>
      <c r="I79" s="202"/>
      <c r="J79" s="202"/>
    </row>
    <row r="80" ht="15.75" customHeight="1">
      <c r="B80" s="247"/>
      <c r="C80" s="246"/>
      <c r="D80" s="247"/>
      <c r="F80" s="248"/>
      <c r="I80" s="202"/>
      <c r="J80" s="202"/>
    </row>
    <row r="81" ht="15.75" customHeight="1">
      <c r="B81" s="247"/>
      <c r="C81" s="246"/>
      <c r="D81" s="247"/>
      <c r="F81" s="248"/>
      <c r="I81" s="202"/>
      <c r="J81" s="202"/>
    </row>
    <row r="82" ht="15.75" customHeight="1">
      <c r="B82" s="247"/>
      <c r="C82" s="246"/>
      <c r="D82" s="247"/>
      <c r="F82" s="248"/>
      <c r="I82" s="202"/>
      <c r="J82" s="202"/>
    </row>
    <row r="83" ht="15.75" customHeight="1">
      <c r="B83" s="247"/>
      <c r="C83" s="246"/>
      <c r="D83" s="247"/>
      <c r="F83" s="248"/>
      <c r="I83" s="202"/>
      <c r="J83" s="202"/>
    </row>
    <row r="84" ht="15.75" customHeight="1">
      <c r="B84" s="247"/>
      <c r="C84" s="246"/>
      <c r="D84" s="247"/>
      <c r="F84" s="248"/>
      <c r="I84" s="202"/>
      <c r="J84" s="202"/>
    </row>
    <row r="85" ht="15.75" customHeight="1">
      <c r="B85" s="247"/>
      <c r="C85" s="246"/>
      <c r="D85" s="247"/>
      <c r="F85" s="248"/>
      <c r="I85" s="202"/>
      <c r="J85" s="202"/>
    </row>
    <row r="86" ht="15.75" customHeight="1">
      <c r="B86" s="247"/>
      <c r="C86" s="246"/>
      <c r="D86" s="247"/>
      <c r="F86" s="248"/>
      <c r="I86" s="202"/>
      <c r="J86" s="202"/>
    </row>
    <row r="87" ht="15.75" customHeight="1">
      <c r="B87" s="247"/>
      <c r="C87" s="246"/>
      <c r="D87" s="247"/>
      <c r="F87" s="248"/>
      <c r="I87" s="202"/>
      <c r="J87" s="202"/>
    </row>
    <row r="88" ht="15.75" customHeight="1">
      <c r="B88" s="247"/>
      <c r="C88" s="246"/>
      <c r="D88" s="247"/>
      <c r="F88" s="248"/>
      <c r="I88" s="202"/>
      <c r="J88" s="202"/>
    </row>
    <row r="89" ht="15.75" customHeight="1">
      <c r="B89" s="247"/>
      <c r="C89" s="246"/>
      <c r="D89" s="247"/>
      <c r="F89" s="248"/>
      <c r="I89" s="202"/>
      <c r="J89" s="202"/>
    </row>
    <row r="90" ht="15.75" customHeight="1">
      <c r="B90" s="247"/>
      <c r="C90" s="246"/>
      <c r="D90" s="247"/>
      <c r="F90" s="248"/>
      <c r="I90" s="202"/>
      <c r="J90" s="202"/>
    </row>
    <row r="91" ht="15.75" customHeight="1">
      <c r="B91" s="247"/>
      <c r="C91" s="246"/>
      <c r="D91" s="247"/>
      <c r="F91" s="248"/>
      <c r="I91" s="202"/>
      <c r="J91" s="202"/>
    </row>
    <row r="92" ht="15.75" customHeight="1">
      <c r="B92" s="247"/>
      <c r="C92" s="246"/>
      <c r="D92" s="247"/>
      <c r="F92" s="248"/>
      <c r="I92" s="202"/>
      <c r="J92" s="202"/>
    </row>
    <row r="93" ht="15.75" customHeight="1">
      <c r="B93" s="247"/>
      <c r="C93" s="246"/>
      <c r="D93" s="247"/>
      <c r="F93" s="248"/>
      <c r="I93" s="202"/>
      <c r="J93" s="202"/>
    </row>
    <row r="94" ht="15.75" customHeight="1">
      <c r="B94" s="247"/>
      <c r="C94" s="246"/>
      <c r="D94" s="247"/>
      <c r="F94" s="248"/>
      <c r="I94" s="202"/>
      <c r="J94" s="202"/>
    </row>
    <row r="95" ht="15.75" customHeight="1">
      <c r="B95" s="247"/>
      <c r="C95" s="246"/>
      <c r="D95" s="247"/>
      <c r="F95" s="248"/>
      <c r="I95" s="202"/>
      <c r="J95" s="202"/>
    </row>
    <row r="96" ht="15.75" customHeight="1">
      <c r="B96" s="247"/>
      <c r="C96" s="246"/>
      <c r="D96" s="247"/>
      <c r="F96" s="248"/>
      <c r="I96" s="202"/>
      <c r="J96" s="202"/>
    </row>
    <row r="97" ht="15.75" customHeight="1">
      <c r="B97" s="247"/>
      <c r="C97" s="246"/>
      <c r="D97" s="247"/>
      <c r="F97" s="248"/>
      <c r="I97" s="202"/>
      <c r="J97" s="202"/>
    </row>
    <row r="98" ht="15.75" customHeight="1">
      <c r="B98" s="247"/>
      <c r="C98" s="246"/>
      <c r="D98" s="247"/>
      <c r="F98" s="248"/>
      <c r="I98" s="202"/>
      <c r="J98" s="202"/>
    </row>
    <row r="99" ht="15.75" customHeight="1">
      <c r="B99" s="247"/>
      <c r="C99" s="246"/>
      <c r="D99" s="247"/>
      <c r="F99" s="248"/>
      <c r="I99" s="202"/>
      <c r="J99" s="202"/>
    </row>
    <row r="100" ht="15.75" customHeight="1">
      <c r="B100" s="247"/>
      <c r="C100" s="246"/>
      <c r="D100" s="247"/>
      <c r="F100" s="248"/>
      <c r="I100" s="202"/>
      <c r="J100" s="202"/>
    </row>
    <row r="101" ht="15.75" customHeight="1">
      <c r="B101" s="247"/>
      <c r="C101" s="246"/>
      <c r="D101" s="247"/>
      <c r="F101" s="248"/>
      <c r="I101" s="202"/>
      <c r="J101" s="202"/>
    </row>
    <row r="102" ht="15.75" customHeight="1">
      <c r="B102" s="247"/>
      <c r="C102" s="246"/>
      <c r="D102" s="247"/>
      <c r="F102" s="248"/>
      <c r="I102" s="202"/>
      <c r="J102" s="202"/>
    </row>
    <row r="103" ht="15.75" customHeight="1">
      <c r="B103" s="247"/>
      <c r="C103" s="246"/>
      <c r="D103" s="247"/>
      <c r="F103" s="248"/>
      <c r="I103" s="202"/>
      <c r="J103" s="202"/>
    </row>
    <row r="104" ht="15.75" customHeight="1">
      <c r="B104" s="247"/>
      <c r="C104" s="246"/>
      <c r="D104" s="247"/>
      <c r="F104" s="248"/>
      <c r="I104" s="202"/>
      <c r="J104" s="202"/>
    </row>
    <row r="105" ht="15.75" customHeight="1">
      <c r="B105" s="247"/>
      <c r="C105" s="246"/>
      <c r="D105" s="247"/>
      <c r="F105" s="248"/>
      <c r="I105" s="202"/>
      <c r="J105" s="202"/>
    </row>
    <row r="106" ht="15.75" customHeight="1">
      <c r="B106" s="247"/>
      <c r="C106" s="246"/>
      <c r="D106" s="247"/>
      <c r="F106" s="248"/>
      <c r="I106" s="202"/>
      <c r="J106" s="202"/>
    </row>
    <row r="107" ht="15.75" customHeight="1">
      <c r="B107" s="247"/>
      <c r="C107" s="246"/>
      <c r="D107" s="247"/>
      <c r="F107" s="248"/>
      <c r="I107" s="202"/>
      <c r="J107" s="202"/>
    </row>
    <row r="108" ht="15.75" customHeight="1">
      <c r="B108" s="247"/>
      <c r="C108" s="246"/>
      <c r="D108" s="247"/>
      <c r="F108" s="248"/>
      <c r="I108" s="202"/>
      <c r="J108" s="202"/>
    </row>
    <row r="109" ht="15.75" customHeight="1">
      <c r="B109" s="247"/>
      <c r="C109" s="246"/>
      <c r="D109" s="247"/>
      <c r="F109" s="248"/>
      <c r="I109" s="202"/>
      <c r="J109" s="202"/>
    </row>
    <row r="110" ht="15.75" customHeight="1">
      <c r="B110" s="247"/>
      <c r="C110" s="246"/>
      <c r="D110" s="247"/>
      <c r="F110" s="248"/>
      <c r="I110" s="202"/>
      <c r="J110" s="202"/>
    </row>
    <row r="111" ht="15.75" customHeight="1">
      <c r="B111" s="247"/>
      <c r="C111" s="246"/>
      <c r="D111" s="247"/>
      <c r="F111" s="248"/>
      <c r="I111" s="202"/>
      <c r="J111" s="202"/>
    </row>
    <row r="112" ht="15.75" customHeight="1">
      <c r="B112" s="247"/>
      <c r="C112" s="246"/>
      <c r="D112" s="247"/>
      <c r="F112" s="248"/>
      <c r="I112" s="202"/>
      <c r="J112" s="202"/>
    </row>
    <row r="113" ht="15.75" customHeight="1">
      <c r="B113" s="247"/>
      <c r="C113" s="246"/>
      <c r="D113" s="247"/>
      <c r="F113" s="248"/>
      <c r="I113" s="202"/>
      <c r="J113" s="202"/>
    </row>
    <row r="114" ht="15.75" customHeight="1">
      <c r="B114" s="247"/>
      <c r="C114" s="246"/>
      <c r="D114" s="247"/>
      <c r="F114" s="248"/>
      <c r="I114" s="202"/>
      <c r="J114" s="202"/>
    </row>
    <row r="115" ht="15.75" customHeight="1">
      <c r="B115" s="247"/>
      <c r="C115" s="246"/>
      <c r="D115" s="247"/>
      <c r="F115" s="248"/>
      <c r="I115" s="202"/>
      <c r="J115" s="202"/>
    </row>
    <row r="116" ht="15.75" customHeight="1">
      <c r="B116" s="247"/>
      <c r="C116" s="246"/>
      <c r="D116" s="247"/>
      <c r="F116" s="248"/>
      <c r="I116" s="202"/>
      <c r="J116" s="202"/>
    </row>
    <row r="117" ht="15.75" customHeight="1">
      <c r="B117" s="247"/>
      <c r="C117" s="246"/>
      <c r="D117" s="247"/>
      <c r="F117" s="248"/>
      <c r="I117" s="202"/>
      <c r="J117" s="202"/>
    </row>
    <row r="118" ht="15.75" customHeight="1">
      <c r="B118" s="247"/>
      <c r="C118" s="246"/>
      <c r="D118" s="247"/>
      <c r="F118" s="248"/>
      <c r="I118" s="202"/>
      <c r="J118" s="202"/>
    </row>
    <row r="119" ht="15.75" customHeight="1">
      <c r="B119" s="247"/>
      <c r="C119" s="246"/>
      <c r="D119" s="247"/>
      <c r="F119" s="248"/>
      <c r="I119" s="202"/>
      <c r="J119" s="202"/>
    </row>
    <row r="120" ht="15.75" customHeight="1">
      <c r="B120" s="247"/>
      <c r="C120" s="246"/>
      <c r="D120" s="247"/>
      <c r="F120" s="248"/>
      <c r="I120" s="202"/>
      <c r="J120" s="202"/>
    </row>
    <row r="121" ht="15.75" customHeight="1">
      <c r="B121" s="247"/>
      <c r="C121" s="246"/>
      <c r="D121" s="247"/>
      <c r="F121" s="248"/>
      <c r="I121" s="202"/>
      <c r="J121" s="202"/>
    </row>
    <row r="122" ht="15.75" customHeight="1">
      <c r="B122" s="247"/>
      <c r="C122" s="246"/>
      <c r="D122" s="247"/>
      <c r="F122" s="248"/>
      <c r="I122" s="202"/>
      <c r="J122" s="202"/>
    </row>
    <row r="123" ht="15.75" customHeight="1">
      <c r="B123" s="247"/>
      <c r="C123" s="246"/>
      <c r="D123" s="247"/>
      <c r="F123" s="248"/>
      <c r="I123" s="202"/>
      <c r="J123" s="202"/>
    </row>
    <row r="124" ht="15.75" customHeight="1">
      <c r="B124" s="247"/>
      <c r="C124" s="246"/>
      <c r="D124" s="247"/>
      <c r="F124" s="248"/>
      <c r="I124" s="202"/>
      <c r="J124" s="202"/>
    </row>
    <row r="125" ht="15.75" customHeight="1">
      <c r="B125" s="247"/>
      <c r="C125" s="246"/>
      <c r="D125" s="247"/>
      <c r="F125" s="248"/>
      <c r="I125" s="202"/>
      <c r="J125" s="202"/>
    </row>
    <row r="126" ht="15.75" customHeight="1">
      <c r="B126" s="247"/>
      <c r="C126" s="246"/>
      <c r="D126" s="247"/>
      <c r="F126" s="248"/>
      <c r="I126" s="202"/>
      <c r="J126" s="202"/>
    </row>
    <row r="127" ht="15.75" customHeight="1">
      <c r="B127" s="247"/>
      <c r="C127" s="246"/>
      <c r="D127" s="247"/>
      <c r="F127" s="248"/>
      <c r="I127" s="202"/>
      <c r="J127" s="202"/>
    </row>
    <row r="128" ht="15.75" customHeight="1">
      <c r="B128" s="247"/>
      <c r="C128" s="246"/>
      <c r="D128" s="247"/>
      <c r="F128" s="248"/>
      <c r="I128" s="202"/>
      <c r="J128" s="202"/>
    </row>
    <row r="129" ht="15.75" customHeight="1">
      <c r="B129" s="247"/>
      <c r="C129" s="246"/>
      <c r="D129" s="247"/>
      <c r="F129" s="248"/>
      <c r="I129" s="202"/>
      <c r="J129" s="202"/>
    </row>
    <row r="130" ht="15.75" customHeight="1">
      <c r="B130" s="247"/>
      <c r="C130" s="246"/>
      <c r="D130" s="247"/>
      <c r="F130" s="248"/>
      <c r="I130" s="202"/>
      <c r="J130" s="202"/>
    </row>
    <row r="131" ht="15.75" customHeight="1">
      <c r="B131" s="247"/>
      <c r="C131" s="246"/>
      <c r="D131" s="247"/>
      <c r="F131" s="248"/>
      <c r="I131" s="202"/>
      <c r="J131" s="202"/>
    </row>
    <row r="132" ht="15.75" customHeight="1">
      <c r="B132" s="247"/>
      <c r="C132" s="246"/>
      <c r="D132" s="247"/>
      <c r="F132" s="248"/>
      <c r="I132" s="202"/>
      <c r="J132" s="202"/>
    </row>
    <row r="133" ht="15.75" customHeight="1">
      <c r="B133" s="247"/>
      <c r="C133" s="246"/>
      <c r="D133" s="247"/>
      <c r="F133" s="248"/>
      <c r="I133" s="202"/>
      <c r="J133" s="202"/>
    </row>
    <row r="134" ht="15.75" customHeight="1">
      <c r="B134" s="247"/>
      <c r="C134" s="246"/>
      <c r="D134" s="247"/>
      <c r="F134" s="248"/>
      <c r="I134" s="202"/>
      <c r="J134" s="202"/>
    </row>
    <row r="135" ht="15.75" customHeight="1">
      <c r="B135" s="247"/>
      <c r="C135" s="246"/>
      <c r="D135" s="247"/>
      <c r="F135" s="248"/>
      <c r="I135" s="202"/>
      <c r="J135" s="202"/>
    </row>
    <row r="136" ht="15.75" customHeight="1">
      <c r="B136" s="247"/>
      <c r="C136" s="246"/>
      <c r="D136" s="247"/>
      <c r="F136" s="248"/>
      <c r="I136" s="202"/>
      <c r="J136" s="202"/>
    </row>
    <row r="137" ht="15.75" customHeight="1">
      <c r="B137" s="247"/>
      <c r="C137" s="246"/>
      <c r="D137" s="247"/>
      <c r="F137" s="248"/>
      <c r="I137" s="202"/>
      <c r="J137" s="202"/>
    </row>
    <row r="138" ht="15.75" customHeight="1">
      <c r="B138" s="247"/>
      <c r="C138" s="246"/>
      <c r="D138" s="247"/>
      <c r="F138" s="248"/>
      <c r="I138" s="202"/>
      <c r="J138" s="202"/>
    </row>
    <row r="139" ht="15.75" customHeight="1">
      <c r="B139" s="247"/>
      <c r="C139" s="246"/>
      <c r="D139" s="247"/>
      <c r="F139" s="248"/>
      <c r="I139" s="202"/>
      <c r="J139" s="202"/>
    </row>
    <row r="140" ht="15.75" customHeight="1">
      <c r="B140" s="247"/>
      <c r="C140" s="246"/>
      <c r="D140" s="247"/>
      <c r="F140" s="248"/>
      <c r="I140" s="202"/>
      <c r="J140" s="202"/>
    </row>
    <row r="141" ht="15.75" customHeight="1">
      <c r="B141" s="247"/>
      <c r="C141" s="246"/>
      <c r="D141" s="247"/>
      <c r="F141" s="248"/>
      <c r="I141" s="202"/>
      <c r="J141" s="202"/>
    </row>
    <row r="142" ht="15.75" customHeight="1">
      <c r="B142" s="247"/>
      <c r="C142" s="246"/>
      <c r="D142" s="247"/>
      <c r="F142" s="248"/>
      <c r="I142" s="202"/>
      <c r="J142" s="202"/>
    </row>
    <row r="143" ht="15.75" customHeight="1">
      <c r="B143" s="247"/>
      <c r="C143" s="246"/>
      <c r="D143" s="247"/>
      <c r="F143" s="248"/>
      <c r="I143" s="202"/>
      <c r="J143" s="202"/>
    </row>
    <row r="144" ht="15.75" customHeight="1">
      <c r="B144" s="247"/>
      <c r="C144" s="246"/>
      <c r="D144" s="247"/>
      <c r="F144" s="248"/>
      <c r="I144" s="202"/>
      <c r="J144" s="202"/>
    </row>
    <row r="145" ht="15.75" customHeight="1">
      <c r="B145" s="247"/>
      <c r="C145" s="246"/>
      <c r="D145" s="247"/>
      <c r="F145" s="248"/>
      <c r="I145" s="202"/>
      <c r="J145" s="202"/>
    </row>
    <row r="146" ht="15.75" customHeight="1">
      <c r="B146" s="247"/>
      <c r="C146" s="246"/>
      <c r="D146" s="247"/>
      <c r="F146" s="248"/>
      <c r="I146" s="202"/>
      <c r="J146" s="202"/>
    </row>
    <row r="147" ht="15.75" customHeight="1">
      <c r="B147" s="247"/>
      <c r="C147" s="246"/>
      <c r="D147" s="247"/>
      <c r="F147" s="248"/>
      <c r="I147" s="202"/>
      <c r="J147" s="202"/>
    </row>
    <row r="148" ht="15.75" customHeight="1">
      <c r="B148" s="247"/>
      <c r="C148" s="246"/>
      <c r="D148" s="247"/>
      <c r="F148" s="248"/>
      <c r="I148" s="202"/>
      <c r="J148" s="202"/>
    </row>
    <row r="149" ht="15.75" customHeight="1">
      <c r="B149" s="247"/>
      <c r="C149" s="246"/>
      <c r="D149" s="247"/>
      <c r="F149" s="248"/>
      <c r="I149" s="202"/>
      <c r="J149" s="202"/>
    </row>
    <row r="150" ht="15.75" customHeight="1">
      <c r="B150" s="247"/>
      <c r="C150" s="246"/>
      <c r="D150" s="247"/>
      <c r="F150" s="248"/>
      <c r="I150" s="202"/>
      <c r="J150" s="202"/>
    </row>
    <row r="151" ht="15.75" customHeight="1">
      <c r="B151" s="247"/>
      <c r="C151" s="246"/>
      <c r="D151" s="247"/>
      <c r="F151" s="248"/>
      <c r="I151" s="202"/>
      <c r="J151" s="202"/>
    </row>
    <row r="152" ht="15.75" customHeight="1">
      <c r="B152" s="247"/>
      <c r="C152" s="246"/>
      <c r="D152" s="247"/>
      <c r="F152" s="248"/>
      <c r="I152" s="202"/>
      <c r="J152" s="202"/>
    </row>
    <row r="153" ht="15.75" customHeight="1">
      <c r="B153" s="247"/>
      <c r="C153" s="246"/>
      <c r="D153" s="247"/>
      <c r="F153" s="248"/>
      <c r="I153" s="202"/>
      <c r="J153" s="202"/>
    </row>
    <row r="154" ht="15.75" customHeight="1">
      <c r="B154" s="247"/>
      <c r="C154" s="246"/>
      <c r="D154" s="247"/>
      <c r="F154" s="248"/>
      <c r="I154" s="202"/>
      <c r="J154" s="202"/>
    </row>
    <row r="155" ht="15.75" customHeight="1">
      <c r="B155" s="247"/>
      <c r="C155" s="246"/>
      <c r="D155" s="247"/>
      <c r="F155" s="248"/>
      <c r="I155" s="202"/>
      <c r="J155" s="202"/>
    </row>
    <row r="156" ht="15.75" customHeight="1">
      <c r="B156" s="247"/>
      <c r="C156" s="246"/>
      <c r="D156" s="247"/>
      <c r="F156" s="248"/>
      <c r="I156" s="202"/>
      <c r="J156" s="202"/>
    </row>
    <row r="157" ht="15.75" customHeight="1">
      <c r="B157" s="247"/>
      <c r="C157" s="246"/>
      <c r="D157" s="247"/>
      <c r="F157" s="248"/>
      <c r="I157" s="202"/>
      <c r="J157" s="202"/>
    </row>
    <row r="158" ht="15.75" customHeight="1">
      <c r="B158" s="247"/>
      <c r="C158" s="246"/>
      <c r="D158" s="247"/>
      <c r="F158" s="248"/>
      <c r="I158" s="202"/>
      <c r="J158" s="202"/>
    </row>
    <row r="159" ht="15.75" customHeight="1">
      <c r="B159" s="247"/>
      <c r="C159" s="246"/>
      <c r="D159" s="247"/>
      <c r="F159" s="248"/>
      <c r="I159" s="202"/>
      <c r="J159" s="202"/>
    </row>
    <row r="160" ht="15.75" customHeight="1">
      <c r="B160" s="247"/>
      <c r="C160" s="246"/>
      <c r="D160" s="247"/>
      <c r="F160" s="248"/>
      <c r="I160" s="202"/>
      <c r="J160" s="202"/>
    </row>
    <row r="161" ht="15.75" customHeight="1">
      <c r="B161" s="247"/>
      <c r="C161" s="246"/>
      <c r="D161" s="247"/>
      <c r="F161" s="248"/>
      <c r="I161" s="202"/>
      <c r="J161" s="202"/>
    </row>
    <row r="162" ht="15.75" customHeight="1">
      <c r="B162" s="247"/>
      <c r="C162" s="246"/>
      <c r="D162" s="247"/>
      <c r="F162" s="248"/>
      <c r="I162" s="202"/>
      <c r="J162" s="202"/>
    </row>
    <row r="163" ht="15.75" customHeight="1">
      <c r="B163" s="247"/>
      <c r="C163" s="246"/>
      <c r="D163" s="247"/>
      <c r="F163" s="248"/>
      <c r="I163" s="202"/>
      <c r="J163" s="202"/>
    </row>
    <row r="164" ht="15.75" customHeight="1">
      <c r="B164" s="247"/>
      <c r="C164" s="246"/>
      <c r="D164" s="247"/>
      <c r="F164" s="248"/>
      <c r="I164" s="202"/>
      <c r="J164" s="202"/>
    </row>
    <row r="165" ht="15.75" customHeight="1">
      <c r="B165" s="247"/>
      <c r="C165" s="246"/>
      <c r="D165" s="247"/>
      <c r="F165" s="248"/>
      <c r="I165" s="202"/>
      <c r="J165" s="202"/>
    </row>
    <row r="166" ht="15.75" customHeight="1">
      <c r="B166" s="247"/>
      <c r="C166" s="246"/>
      <c r="D166" s="247"/>
      <c r="F166" s="248"/>
      <c r="I166" s="202"/>
      <c r="J166" s="202"/>
    </row>
    <row r="167" ht="15.75" customHeight="1">
      <c r="B167" s="247"/>
      <c r="C167" s="246"/>
      <c r="D167" s="247"/>
      <c r="F167" s="248"/>
      <c r="I167" s="202"/>
      <c r="J167" s="202"/>
    </row>
    <row r="168" ht="15.75" customHeight="1">
      <c r="B168" s="247"/>
      <c r="C168" s="246"/>
      <c r="D168" s="247"/>
      <c r="F168" s="248"/>
      <c r="I168" s="202"/>
      <c r="J168" s="202"/>
    </row>
    <row r="169" ht="15.75" customHeight="1">
      <c r="B169" s="247"/>
      <c r="C169" s="246"/>
      <c r="D169" s="247"/>
      <c r="F169" s="248"/>
      <c r="I169" s="202"/>
      <c r="J169" s="202"/>
    </row>
    <row r="170" ht="15.75" customHeight="1">
      <c r="B170" s="247"/>
      <c r="C170" s="246"/>
      <c r="D170" s="247"/>
      <c r="F170" s="248"/>
      <c r="I170" s="202"/>
      <c r="J170" s="202"/>
    </row>
    <row r="171" ht="15.75" customHeight="1">
      <c r="B171" s="247"/>
      <c r="C171" s="246"/>
      <c r="D171" s="247"/>
      <c r="F171" s="248"/>
      <c r="I171" s="202"/>
      <c r="J171" s="202"/>
    </row>
    <row r="172" ht="15.75" customHeight="1">
      <c r="B172" s="247"/>
      <c r="C172" s="246"/>
      <c r="D172" s="247"/>
      <c r="F172" s="248"/>
      <c r="I172" s="202"/>
      <c r="J172" s="202"/>
    </row>
    <row r="173" ht="15.75" customHeight="1">
      <c r="B173" s="247"/>
      <c r="C173" s="246"/>
      <c r="D173" s="247"/>
      <c r="F173" s="248"/>
      <c r="I173" s="202"/>
      <c r="J173" s="202"/>
    </row>
    <row r="174" ht="15.75" customHeight="1">
      <c r="B174" s="247"/>
      <c r="C174" s="246"/>
      <c r="D174" s="247"/>
      <c r="F174" s="248"/>
      <c r="I174" s="202"/>
      <c r="J174" s="202"/>
    </row>
    <row r="175" ht="15.75" customHeight="1">
      <c r="B175" s="247"/>
      <c r="C175" s="246"/>
      <c r="D175" s="247"/>
      <c r="F175" s="248"/>
      <c r="I175" s="202"/>
      <c r="J175" s="202"/>
    </row>
    <row r="176" ht="15.75" customHeight="1">
      <c r="B176" s="247"/>
      <c r="C176" s="246"/>
      <c r="D176" s="247"/>
      <c r="F176" s="248"/>
      <c r="I176" s="202"/>
      <c r="J176" s="202"/>
    </row>
    <row r="177" ht="15.75" customHeight="1">
      <c r="B177" s="247"/>
      <c r="C177" s="246"/>
      <c r="D177" s="247"/>
      <c r="F177" s="248"/>
      <c r="I177" s="202"/>
      <c r="J177" s="202"/>
    </row>
    <row r="178" ht="15.75" customHeight="1">
      <c r="B178" s="247"/>
      <c r="C178" s="246"/>
      <c r="D178" s="247"/>
      <c r="F178" s="248"/>
      <c r="I178" s="202"/>
      <c r="J178" s="202"/>
    </row>
    <row r="179" ht="15.75" customHeight="1">
      <c r="B179" s="247"/>
      <c r="C179" s="246"/>
      <c r="D179" s="247"/>
      <c r="F179" s="248"/>
      <c r="I179" s="202"/>
      <c r="J179" s="202"/>
    </row>
    <row r="180" ht="15.75" customHeight="1">
      <c r="B180" s="247"/>
      <c r="C180" s="246"/>
      <c r="D180" s="247"/>
      <c r="F180" s="248"/>
      <c r="I180" s="202"/>
      <c r="J180" s="202"/>
    </row>
    <row r="181" ht="15.75" customHeight="1">
      <c r="B181" s="247"/>
      <c r="C181" s="246"/>
      <c r="D181" s="247"/>
      <c r="F181" s="248"/>
      <c r="I181" s="202"/>
      <c r="J181" s="202"/>
    </row>
    <row r="182" ht="15.75" customHeight="1">
      <c r="B182" s="247"/>
      <c r="C182" s="246"/>
      <c r="D182" s="247"/>
      <c r="F182" s="248"/>
      <c r="I182" s="202"/>
      <c r="J182" s="202"/>
    </row>
    <row r="183" ht="15.75" customHeight="1">
      <c r="B183" s="247"/>
      <c r="C183" s="246"/>
      <c r="D183" s="247"/>
      <c r="F183" s="248"/>
      <c r="I183" s="202"/>
      <c r="J183" s="202"/>
    </row>
    <row r="184" ht="15.75" customHeight="1">
      <c r="B184" s="247"/>
      <c r="C184" s="246"/>
      <c r="D184" s="247"/>
      <c r="F184" s="248"/>
      <c r="I184" s="202"/>
      <c r="J184" s="202"/>
    </row>
    <row r="185" ht="15.75" customHeight="1">
      <c r="B185" s="247"/>
      <c r="C185" s="246"/>
      <c r="D185" s="247"/>
      <c r="F185" s="248"/>
      <c r="I185" s="202"/>
      <c r="J185" s="202"/>
    </row>
    <row r="186" ht="15.75" customHeight="1">
      <c r="B186" s="247"/>
      <c r="C186" s="246"/>
      <c r="D186" s="247"/>
      <c r="F186" s="248"/>
      <c r="I186" s="202"/>
      <c r="J186" s="202"/>
    </row>
    <row r="187" ht="15.75" customHeight="1">
      <c r="B187" s="247"/>
      <c r="C187" s="246"/>
      <c r="D187" s="247"/>
      <c r="F187" s="248"/>
      <c r="I187" s="202"/>
      <c r="J187" s="202"/>
    </row>
    <row r="188" ht="15.75" customHeight="1">
      <c r="B188" s="247"/>
      <c r="C188" s="246"/>
      <c r="D188" s="247"/>
      <c r="F188" s="248"/>
      <c r="I188" s="202"/>
      <c r="J188" s="202"/>
    </row>
    <row r="189" ht="15.75" customHeight="1">
      <c r="B189" s="247"/>
      <c r="C189" s="246"/>
      <c r="D189" s="247"/>
      <c r="F189" s="248"/>
      <c r="I189" s="202"/>
      <c r="J189" s="202"/>
    </row>
    <row r="190" ht="15.75" customHeight="1">
      <c r="B190" s="247"/>
      <c r="C190" s="246"/>
      <c r="D190" s="247"/>
      <c r="F190" s="248"/>
      <c r="I190" s="202"/>
      <c r="J190" s="202"/>
    </row>
    <row r="191" ht="15.75" customHeight="1">
      <c r="B191" s="247"/>
      <c r="C191" s="246"/>
      <c r="D191" s="247"/>
      <c r="F191" s="248"/>
      <c r="I191" s="202"/>
      <c r="J191" s="202"/>
    </row>
    <row r="192" ht="15.75" customHeight="1">
      <c r="B192" s="247"/>
      <c r="C192" s="246"/>
      <c r="D192" s="247"/>
      <c r="F192" s="248"/>
      <c r="I192" s="202"/>
      <c r="J192" s="202"/>
    </row>
    <row r="193" ht="15.75" customHeight="1">
      <c r="B193" s="247"/>
      <c r="C193" s="246"/>
      <c r="D193" s="247"/>
      <c r="F193" s="248"/>
      <c r="I193" s="202"/>
      <c r="J193" s="202"/>
    </row>
    <row r="194" ht="15.75" customHeight="1">
      <c r="B194" s="247"/>
      <c r="C194" s="246"/>
      <c r="D194" s="247"/>
      <c r="F194" s="248"/>
      <c r="I194" s="202"/>
      <c r="J194" s="202"/>
    </row>
    <row r="195" ht="15.75" customHeight="1">
      <c r="B195" s="247"/>
      <c r="C195" s="246"/>
      <c r="D195" s="247"/>
      <c r="F195" s="248"/>
      <c r="I195" s="202"/>
      <c r="J195" s="202"/>
    </row>
    <row r="196" ht="15.75" customHeight="1">
      <c r="B196" s="247"/>
      <c r="C196" s="246"/>
      <c r="D196" s="247"/>
      <c r="F196" s="248"/>
      <c r="I196" s="202"/>
      <c r="J196" s="202"/>
    </row>
    <row r="197" ht="15.75" customHeight="1">
      <c r="B197" s="247"/>
      <c r="C197" s="246"/>
      <c r="D197" s="247"/>
      <c r="F197" s="248"/>
      <c r="I197" s="202"/>
      <c r="J197" s="202"/>
    </row>
    <row r="198" ht="15.75" customHeight="1">
      <c r="B198" s="247"/>
      <c r="C198" s="246"/>
      <c r="D198" s="247"/>
      <c r="F198" s="248"/>
      <c r="I198" s="202"/>
      <c r="J198" s="202"/>
    </row>
    <row r="199" ht="15.75" customHeight="1">
      <c r="B199" s="247"/>
      <c r="C199" s="246"/>
      <c r="D199" s="247"/>
      <c r="F199" s="248"/>
      <c r="I199" s="202"/>
      <c r="J199" s="202"/>
    </row>
    <row r="200" ht="15.75" customHeight="1">
      <c r="B200" s="247"/>
      <c r="C200" s="246"/>
      <c r="D200" s="247"/>
      <c r="F200" s="248"/>
      <c r="I200" s="202"/>
      <c r="J200" s="202"/>
    </row>
    <row r="201" ht="15.75" customHeight="1">
      <c r="B201" s="247"/>
      <c r="C201" s="246"/>
      <c r="D201" s="247"/>
      <c r="F201" s="248"/>
      <c r="I201" s="202"/>
      <c r="J201" s="202"/>
    </row>
    <row r="202" ht="15.75" customHeight="1">
      <c r="B202" s="247"/>
      <c r="C202" s="246"/>
      <c r="D202" s="247"/>
      <c r="F202" s="248"/>
      <c r="I202" s="202"/>
      <c r="J202" s="202"/>
    </row>
    <row r="203" ht="15.75" customHeight="1">
      <c r="B203" s="247"/>
      <c r="C203" s="246"/>
      <c r="D203" s="247"/>
      <c r="F203" s="248"/>
      <c r="I203" s="202"/>
      <c r="J203" s="202"/>
    </row>
    <row r="204" ht="15.75" customHeight="1">
      <c r="B204" s="247"/>
      <c r="C204" s="246"/>
      <c r="D204" s="247"/>
      <c r="F204" s="248"/>
      <c r="I204" s="202"/>
      <c r="J204" s="202"/>
    </row>
    <row r="205" ht="15.75" customHeight="1">
      <c r="B205" s="247"/>
      <c r="C205" s="246"/>
      <c r="D205" s="247"/>
      <c r="F205" s="248"/>
      <c r="I205" s="202"/>
      <c r="J205" s="202"/>
    </row>
    <row r="206" ht="15.75" customHeight="1">
      <c r="B206" s="247"/>
      <c r="C206" s="246"/>
      <c r="D206" s="247"/>
      <c r="F206" s="248"/>
      <c r="I206" s="202"/>
      <c r="J206" s="202"/>
    </row>
    <row r="207" ht="15.75" customHeight="1">
      <c r="B207" s="247"/>
      <c r="C207" s="246"/>
      <c r="D207" s="247"/>
      <c r="F207" s="248"/>
      <c r="I207" s="202"/>
      <c r="J207" s="202"/>
    </row>
    <row r="208" ht="15.75" customHeight="1">
      <c r="B208" s="247"/>
      <c r="C208" s="246"/>
      <c r="D208" s="247"/>
      <c r="F208" s="248"/>
      <c r="I208" s="202"/>
      <c r="J208" s="202"/>
    </row>
    <row r="209" ht="15.75" customHeight="1">
      <c r="B209" s="247"/>
      <c r="C209" s="246"/>
      <c r="D209" s="247"/>
      <c r="F209" s="248"/>
      <c r="I209" s="202"/>
      <c r="J209" s="202"/>
    </row>
    <row r="210" ht="15.75" customHeight="1">
      <c r="B210" s="247"/>
      <c r="C210" s="246"/>
      <c r="D210" s="247"/>
      <c r="F210" s="248"/>
      <c r="I210" s="202"/>
      <c r="J210" s="202"/>
    </row>
    <row r="211" ht="15.75" customHeight="1">
      <c r="B211" s="247"/>
      <c r="C211" s="246"/>
      <c r="D211" s="247"/>
      <c r="F211" s="248"/>
      <c r="I211" s="202"/>
      <c r="J211" s="202"/>
    </row>
    <row r="212" ht="15.75" customHeight="1">
      <c r="B212" s="247"/>
      <c r="C212" s="246"/>
      <c r="D212" s="247"/>
      <c r="F212" s="248"/>
      <c r="I212" s="202"/>
      <c r="J212" s="202"/>
    </row>
    <row r="213" ht="15.75" customHeight="1">
      <c r="B213" s="247"/>
      <c r="C213" s="246"/>
      <c r="D213" s="247"/>
      <c r="F213" s="248"/>
      <c r="I213" s="202"/>
      <c r="J213" s="202"/>
    </row>
    <row r="214" ht="15.75" customHeight="1">
      <c r="B214" s="247"/>
      <c r="C214" s="246"/>
      <c r="D214" s="247"/>
      <c r="F214" s="248"/>
      <c r="I214" s="202"/>
      <c r="J214" s="202"/>
    </row>
    <row r="215" ht="15.75" customHeight="1">
      <c r="B215" s="247"/>
      <c r="C215" s="246"/>
      <c r="D215" s="247"/>
      <c r="F215" s="248"/>
      <c r="I215" s="202"/>
      <c r="J215" s="202"/>
    </row>
    <row r="216" ht="15.75" customHeight="1">
      <c r="B216" s="247"/>
      <c r="C216" s="246"/>
      <c r="D216" s="247"/>
      <c r="F216" s="248"/>
      <c r="I216" s="202"/>
      <c r="J216" s="202"/>
    </row>
    <row r="217" ht="15.75" customHeight="1">
      <c r="B217" s="247"/>
      <c r="C217" s="246"/>
      <c r="D217" s="247"/>
      <c r="F217" s="248"/>
      <c r="I217" s="202"/>
      <c r="J217" s="202"/>
    </row>
    <row r="218" ht="15.75" customHeight="1">
      <c r="B218" s="247"/>
      <c r="C218" s="246"/>
      <c r="D218" s="247"/>
      <c r="F218" s="248"/>
      <c r="I218" s="202"/>
      <c r="J218" s="202"/>
    </row>
    <row r="219" ht="15.75" customHeight="1">
      <c r="B219" s="247"/>
      <c r="C219" s="246"/>
      <c r="D219" s="247"/>
      <c r="F219" s="248"/>
      <c r="I219" s="202"/>
      <c r="J219" s="202"/>
    </row>
    <row r="220" ht="15.75" customHeight="1">
      <c r="B220" s="247"/>
      <c r="C220" s="246"/>
      <c r="D220" s="247"/>
      <c r="F220" s="248"/>
      <c r="I220" s="202"/>
      <c r="J220" s="20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2022-08-13T00:23:15Z</dcterms:created>
  <dc:creator>Jamshed Ali</dc:creator>
</cp:coreProperties>
</file>