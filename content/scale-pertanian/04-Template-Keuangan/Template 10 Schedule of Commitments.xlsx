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Template Project\Smart Business Owner\Budgets\"/>
    </mc:Choice>
  </mc:AlternateContent>
  <xr:revisionPtr revIDLastSave="0" documentId="13_ncr:1_{B8973213-8E1E-49D9-A67C-8D03329E5411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Complete list" sheetId="6" r:id="rId1"/>
  </sheets>
  <externalReferences>
    <externalReference r:id="rId2"/>
  </externalReferences>
  <definedNames>
    <definedName name="EUR">#REF!</definedName>
    <definedName name="GBP">#REF!</definedName>
    <definedName name="_xlnm.Print_Area" localSheetId="0">'Complete list'!$A$1:$F$172</definedName>
    <definedName name="USD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7" i="6" l="1"/>
  <c r="D162" i="6"/>
  <c r="F162" i="6" s="1"/>
  <c r="D161" i="6"/>
  <c r="F161" i="6" s="1"/>
  <c r="D144" i="6"/>
  <c r="D143" i="6"/>
  <c r="D141" i="6"/>
  <c r="D140" i="6"/>
  <c r="D136" i="6"/>
  <c r="D135" i="6"/>
  <c r="D134" i="6"/>
  <c r="D133" i="6"/>
  <c r="D132" i="6"/>
  <c r="D131" i="6"/>
  <c r="D130" i="6"/>
  <c r="D129" i="6"/>
  <c r="F127" i="6"/>
  <c r="F124" i="6"/>
  <c r="F123" i="6"/>
  <c r="D121" i="6"/>
  <c r="D106" i="6"/>
  <c r="F106" i="6" s="1"/>
  <c r="F105" i="6"/>
  <c r="F102" i="6"/>
  <c r="D103" i="6"/>
  <c r="F103" i="6" s="1"/>
  <c r="E140" i="6"/>
  <c r="E143" i="6" s="1"/>
  <c r="F99" i="6"/>
  <c r="F98" i="6"/>
  <c r="F95" i="6"/>
  <c r="F96" i="6"/>
  <c r="E117" i="6"/>
  <c r="E120" i="6" s="1"/>
  <c r="E116" i="6"/>
  <c r="E164" i="6"/>
  <c r="E165" i="6" s="1"/>
  <c r="F165" i="6" s="1"/>
  <c r="D164" i="6"/>
  <c r="F91" i="6"/>
  <c r="D116" i="6"/>
  <c r="E136" i="6"/>
  <c r="F136" i="6" s="1"/>
  <c r="E135" i="6"/>
  <c r="F135" i="6"/>
  <c r="E134" i="6"/>
  <c r="E133" i="6"/>
  <c r="E132" i="6"/>
  <c r="E131" i="6"/>
  <c r="E130" i="6"/>
  <c r="E129" i="6"/>
  <c r="F129" i="6" s="1"/>
  <c r="D92" i="6"/>
  <c r="F92" i="6"/>
  <c r="D89" i="6"/>
  <c r="E88" i="6"/>
  <c r="E89" i="6" s="1"/>
  <c r="F126" i="6"/>
  <c r="F76" i="6"/>
  <c r="D10" i="6"/>
  <c r="F14" i="6"/>
  <c r="D18" i="6"/>
  <c r="D19" i="6" s="1"/>
  <c r="E19" i="6"/>
  <c r="E23" i="6" s="1"/>
  <c r="D22" i="6"/>
  <c r="D23" i="6" s="1"/>
  <c r="F82" i="6"/>
  <c r="F25" i="6"/>
  <c r="F87" i="6"/>
  <c r="F26" i="6"/>
  <c r="F86" i="6"/>
  <c r="B72" i="6"/>
  <c r="F72" i="6" s="1"/>
  <c r="B71" i="6"/>
  <c r="F71" i="6" s="1"/>
  <c r="C72" i="6"/>
  <c r="C71" i="6"/>
  <c r="F64" i="6"/>
  <c r="F55" i="6"/>
  <c r="D41" i="6"/>
  <c r="D39" i="6"/>
  <c r="D36" i="6"/>
  <c r="D31" i="6"/>
  <c r="F15" i="6"/>
  <c r="D12" i="6"/>
  <c r="D13" i="6" s="1"/>
  <c r="F13" i="6" s="1"/>
  <c r="D38" i="6"/>
  <c r="D30" i="6"/>
  <c r="F30" i="6" s="1"/>
  <c r="B68" i="6"/>
  <c r="F68" i="6" s="1"/>
  <c r="F63" i="6"/>
  <c r="B67" i="6"/>
  <c r="F67" i="6"/>
  <c r="D33" i="6"/>
  <c r="F33" i="6" s="1"/>
  <c r="D35" i="6"/>
  <c r="C60" i="6"/>
  <c r="C59" i="6"/>
  <c r="E30" i="6"/>
  <c r="E31" i="6" s="1"/>
  <c r="E35" i="6" s="1"/>
  <c r="E36" i="6" s="1"/>
  <c r="E38" i="6" s="1"/>
  <c r="E39" i="6" s="1"/>
  <c r="D49" i="6"/>
  <c r="D52" i="6" s="1"/>
  <c r="D50" i="6"/>
  <c r="D51" i="6"/>
  <c r="F54" i="6"/>
  <c r="F140" i="6"/>
  <c r="F130" i="6"/>
  <c r="F133" i="6"/>
  <c r="E141" i="6"/>
  <c r="F141" i="6" s="1"/>
  <c r="F88" i="6"/>
  <c r="F116" i="6"/>
  <c r="F164" i="6"/>
  <c r="E144" i="6" l="1"/>
  <c r="F144" i="6" s="1"/>
  <c r="F143" i="6"/>
  <c r="F117" i="6"/>
  <c r="F35" i="6"/>
  <c r="F19" i="6"/>
  <c r="F132" i="6"/>
  <c r="F131" i="6"/>
  <c r="F110" i="6"/>
  <c r="F31" i="6"/>
  <c r="F89" i="6"/>
  <c r="F134" i="6"/>
  <c r="F38" i="6"/>
  <c r="F120" i="6"/>
  <c r="E121" i="6"/>
  <c r="F121" i="6" s="1"/>
  <c r="F39" i="6"/>
  <c r="E41" i="6"/>
  <c r="E52" i="6" s="1"/>
  <c r="F52" i="6" s="1"/>
  <c r="F23" i="6"/>
  <c r="F36" i="6"/>
  <c r="F41" i="6" l="1"/>
  <c r="F16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Irfan Bashir</author>
  </authors>
  <commentList>
    <comment ref="F12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Irfan Bashir:</t>
        </r>
        <r>
          <rPr>
            <sz val="9"/>
            <color indexed="81"/>
            <rFont val="Tahoma"/>
            <family val="2"/>
          </rPr>
          <t xml:space="preserve">
updated upon prepayment at each June</t>
        </r>
      </text>
    </comment>
    <comment ref="F127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Irfan Bashir:</t>
        </r>
        <r>
          <rPr>
            <sz val="9"/>
            <color indexed="81"/>
            <rFont val="Tahoma"/>
            <family val="2"/>
          </rPr>
          <t xml:space="preserve">
updated upon prepayment in November each year</t>
        </r>
      </text>
    </comment>
  </commentList>
</comments>
</file>

<file path=xl/sharedStrings.xml><?xml version="1.0" encoding="utf-8"?>
<sst xmlns="http://schemas.openxmlformats.org/spreadsheetml/2006/main" count="136" uniqueCount="87">
  <si>
    <t>Commitments for Capital Expenditure</t>
  </si>
  <si>
    <t>PKR</t>
  </si>
  <si>
    <t>USD</t>
  </si>
  <si>
    <t>Capital Commitment</t>
  </si>
  <si>
    <t>Sambu (Equipment Supply Contract)</t>
  </si>
  <si>
    <t>ADB - Commitment Fee</t>
  </si>
  <si>
    <t>NBP &amp; HBL - Commitment Fees</t>
  </si>
  <si>
    <t>HBL - Intercreditor Agent Fee</t>
  </si>
  <si>
    <t>NBP - Agency Fee</t>
  </si>
  <si>
    <t>Revenue Commitment</t>
  </si>
  <si>
    <t>GBP</t>
  </si>
  <si>
    <t>IFC - Commitment Fee</t>
  </si>
  <si>
    <t>PROPARCO - Commitment Fee</t>
  </si>
  <si>
    <t>ADB - Monitoring fee</t>
  </si>
  <si>
    <t>IFC - Supervision Fee</t>
  </si>
  <si>
    <t>PROPARCO - Monitoring fee</t>
  </si>
  <si>
    <t>IDB - Monitoring fee</t>
  </si>
  <si>
    <t>Sambu (Consturction Contract)</t>
  </si>
  <si>
    <t>PKR Component</t>
  </si>
  <si>
    <t>Sambu (LC Cost)</t>
  </si>
  <si>
    <t>Sambu (RMB Hedging)</t>
  </si>
  <si>
    <t>(7000*11.5)/1000</t>
  </si>
  <si>
    <t>5000000*1.16*11.5/1000</t>
  </si>
  <si>
    <t>1000000*1.16*9/1000</t>
  </si>
  <si>
    <t>20000*11.5/1000</t>
  </si>
  <si>
    <t>O&amp;M FEE</t>
  </si>
  <si>
    <t>Tractabell</t>
  </si>
  <si>
    <t>CDM crediting period and WCD compliance</t>
  </si>
  <si>
    <t>Less paid / accrued</t>
  </si>
  <si>
    <t>Paid/accrual</t>
  </si>
  <si>
    <t>Advance Payment</t>
  </si>
  <si>
    <t>Ascent - Tailrace Bridge Contract</t>
  </si>
  <si>
    <t>Less: Paid / accrued</t>
  </si>
  <si>
    <t>NesPak Consultancy over Tailrace Bridge Contract</t>
  </si>
  <si>
    <t>Nespak</t>
  </si>
  <si>
    <t xml:space="preserve">Forex Rate </t>
  </si>
  <si>
    <t>Tenure Construction Pvt Ltd</t>
  </si>
  <si>
    <t>Repair works of Surat Nallah</t>
  </si>
  <si>
    <t>MWH</t>
  </si>
  <si>
    <t>Less Accrued / Paid</t>
  </si>
  <si>
    <t>Ashraf Industries</t>
  </si>
  <si>
    <t>Trash Rack</t>
  </si>
  <si>
    <t>AON</t>
  </si>
  <si>
    <t>TUV</t>
  </si>
  <si>
    <t>CDM related expenses</t>
  </si>
  <si>
    <t>Tree Plantation</t>
  </si>
  <si>
    <t>Humza Nursery Farms</t>
  </si>
  <si>
    <t>All Project Insurances</t>
  </si>
  <si>
    <t>Mobilization Fee</t>
  </si>
  <si>
    <t>Variation Order Offshore for Power supply O&amp;M Camps</t>
  </si>
  <si>
    <t>Housing Colony Consultancy</t>
  </si>
  <si>
    <t>Accrual / Paid</t>
  </si>
  <si>
    <t>CDM Training</t>
  </si>
  <si>
    <t>Operating Insurance</t>
  </si>
  <si>
    <t>Water use Charge</t>
  </si>
  <si>
    <t>Paid / Accrual</t>
  </si>
  <si>
    <t>Paid</t>
  </si>
  <si>
    <t>Total contract price</t>
  </si>
  <si>
    <t>Accrual/Paid</t>
  </si>
  <si>
    <t>Construction of Brick Masonry Wall - Tenure Construction Pvt Ltd</t>
  </si>
  <si>
    <t>Tijaarat Developers</t>
  </si>
  <si>
    <t>Tijaarat Developers Accrual/ Paid</t>
  </si>
  <si>
    <t>(13,680*11.5)/1000</t>
  </si>
  <si>
    <t>Voice Recording System</t>
  </si>
  <si>
    <t>Battery Bank from Andritz</t>
  </si>
  <si>
    <t>Less: Paid/Accrual</t>
  </si>
  <si>
    <t>Housing Colony (Phase II)</t>
  </si>
  <si>
    <t>(5200*11.5)/1000</t>
  </si>
  <si>
    <t>KPI Wall Construction Phase IV - CEL Construction</t>
  </si>
  <si>
    <t>Total cost of the project</t>
  </si>
  <si>
    <t>Paid/Accrued</t>
  </si>
  <si>
    <t>USD/GBP/PKR</t>
  </si>
  <si>
    <t>AK Solar &amp; Winds Sys - CCTV Installation</t>
  </si>
  <si>
    <t>CEL Construction - Access Road</t>
  </si>
  <si>
    <t>ABC Limited</t>
  </si>
  <si>
    <t>EKL - Installations at plant</t>
  </si>
  <si>
    <t>Total Commitment for Capital Expenditure</t>
  </si>
  <si>
    <t>Insurance Advisor</t>
  </si>
  <si>
    <t>Agent Fee</t>
  </si>
  <si>
    <t>Agency Fee B</t>
  </si>
  <si>
    <t>Monitoring fee</t>
  </si>
  <si>
    <t>Lenders' Security Trustee</t>
  </si>
  <si>
    <t>Lenders Technical Advisor</t>
  </si>
  <si>
    <t>Technical Services Agreement - TSA with XYZ Ltd - 3rd Year</t>
  </si>
  <si>
    <t>Grand Total</t>
  </si>
  <si>
    <t>Pada 30-Juni-2023</t>
  </si>
  <si>
    <t>Jumlah dalam '000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</si>
</sst>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0.000%"/>
    <numFmt numFmtId="167" formatCode="[$-409]d\-mmm\-yy;@"/>
  </numFmts>
  <fonts count="33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u/>
      <sz val="11"/>
      <name val="Arial"/>
      <family val="2"/>
    </font>
    <font>
      <b/>
      <i/>
      <u/>
      <sz val="10"/>
      <name val="Arial"/>
      <family val="2"/>
    </font>
    <font>
      <b/>
      <u/>
      <sz val="10"/>
      <name val="Arial"/>
      <family val="2"/>
    </font>
    <font>
      <sz val="10"/>
      <color rgb="FFFF0000"/>
      <name val="Arial"/>
      <family val="2"/>
    </font>
    <font>
      <b/>
      <sz val="10"/>
      <color theme="0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00000"/>
        <bgColor indexed="64"/>
      </patternFill>
    </fill>
  </fills>
  <borders count="1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44">
    <xf numFmtId="0" fontId="0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7" fillId="3" borderId="0" applyNumberFormat="0" applyBorder="0" applyAlignment="0" applyProtection="0"/>
    <xf numFmtId="0" fontId="8" fillId="20" borderId="1" applyNumberFormat="0" applyAlignment="0" applyProtection="0"/>
    <xf numFmtId="0" fontId="9" fillId="21" borderId="2" applyNumberFormat="0" applyAlignment="0" applyProtection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4" fillId="0" borderId="0" applyNumberFormat="0" applyFill="0" applyBorder="0" applyAlignment="0" applyProtection="0"/>
    <xf numFmtId="0" fontId="15" fillId="7" borderId="1" applyNumberFormat="0" applyAlignment="0" applyProtection="0"/>
    <xf numFmtId="0" fontId="16" fillId="0" borderId="6" applyNumberFormat="0" applyFill="0" applyAlignment="0" applyProtection="0"/>
    <xf numFmtId="0" fontId="17" fillId="22" borderId="0" applyNumberFormat="0" applyBorder="0" applyAlignment="0" applyProtection="0"/>
    <xf numFmtId="0" fontId="4" fillId="23" borderId="7" applyNumberFormat="0" applyFont="0" applyAlignment="0" applyProtection="0"/>
    <xf numFmtId="0" fontId="18" fillId="20" borderId="8" applyNumberFormat="0" applyAlignment="0" applyProtection="0"/>
    <xf numFmtId="9" fontId="1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</cellStyleXfs>
  <cellXfs count="59">
    <xf numFmtId="0" fontId="0" fillId="0" borderId="0" xfId="0"/>
    <xf numFmtId="0" fontId="3" fillId="0" borderId="0" xfId="0" applyFont="1"/>
    <xf numFmtId="165" fontId="3" fillId="0" borderId="0" xfId="28" applyNumberFormat="1" applyFont="1" applyFill="1"/>
    <xf numFmtId="0" fontId="25" fillId="0" borderId="0" xfId="0" applyFont="1"/>
    <xf numFmtId="0" fontId="26" fillId="0" borderId="0" xfId="0" applyFont="1"/>
    <xf numFmtId="165" fontId="26" fillId="0" borderId="0" xfId="28" applyNumberFormat="1" applyFont="1" applyFill="1"/>
    <xf numFmtId="164" fontId="26" fillId="0" borderId="0" xfId="28" applyFont="1" applyFill="1"/>
    <xf numFmtId="165" fontId="27" fillId="0" borderId="0" xfId="28" applyNumberFormat="1" applyFont="1" applyFill="1" applyAlignment="1">
      <alignment horizontal="center"/>
    </xf>
    <xf numFmtId="164" fontId="27" fillId="0" borderId="0" xfId="28" applyFont="1" applyFill="1" applyAlignment="1">
      <alignment horizontal="center" vertical="center"/>
    </xf>
    <xf numFmtId="167" fontId="27" fillId="0" borderId="0" xfId="28" applyNumberFormat="1" applyFont="1" applyFill="1" applyAlignment="1">
      <alignment horizontal="center" vertical="center"/>
    </xf>
    <xf numFmtId="165" fontId="26" fillId="0" borderId="0" xfId="28" applyNumberFormat="1" applyFont="1" applyFill="1" applyBorder="1"/>
    <xf numFmtId="165" fontId="26" fillId="0" borderId="10" xfId="28" applyNumberFormat="1" applyFont="1" applyFill="1" applyBorder="1"/>
    <xf numFmtId="165" fontId="26" fillId="24" borderId="0" xfId="28" applyNumberFormat="1" applyFont="1" applyFill="1" applyBorder="1"/>
    <xf numFmtId="0" fontId="27" fillId="0" borderId="0" xfId="0" applyFont="1"/>
    <xf numFmtId="165" fontId="26" fillId="24" borderId="0" xfId="28" applyNumberFormat="1" applyFont="1" applyFill="1"/>
    <xf numFmtId="0" fontId="26" fillId="25" borderId="0" xfId="0" applyFont="1" applyFill="1"/>
    <xf numFmtId="165" fontId="26" fillId="25" borderId="0" xfId="28" applyNumberFormat="1" applyFont="1" applyFill="1"/>
    <xf numFmtId="164" fontId="26" fillId="25" borderId="0" xfId="28" applyFont="1" applyFill="1"/>
    <xf numFmtId="0" fontId="27" fillId="26" borderId="0" xfId="0" applyFont="1" applyFill="1"/>
    <xf numFmtId="0" fontId="26" fillId="26" borderId="0" xfId="0" applyFont="1" applyFill="1"/>
    <xf numFmtId="165" fontId="26" fillId="26" borderId="0" xfId="28" applyNumberFormat="1" applyFont="1" applyFill="1"/>
    <xf numFmtId="165" fontId="27" fillId="0" borderId="11" xfId="28" applyNumberFormat="1" applyFont="1" applyFill="1" applyBorder="1"/>
    <xf numFmtId="165" fontId="27" fillId="0" borderId="0" xfId="28" applyNumberFormat="1" applyFont="1" applyFill="1" applyBorder="1"/>
    <xf numFmtId="165" fontId="26" fillId="25" borderId="0" xfId="28" applyNumberFormat="1" applyFont="1" applyFill="1" applyBorder="1"/>
    <xf numFmtId="165" fontId="31" fillId="26" borderId="0" xfId="28" applyNumberFormat="1" applyFont="1" applyFill="1"/>
    <xf numFmtId="164" fontId="26" fillId="26" borderId="0" xfId="28" applyFont="1" applyFill="1"/>
    <xf numFmtId="165" fontId="26" fillId="26" borderId="0" xfId="28" applyNumberFormat="1" applyFont="1" applyFill="1" applyBorder="1"/>
    <xf numFmtId="0" fontId="29" fillId="0" borderId="0" xfId="0" applyFont="1"/>
    <xf numFmtId="0" fontId="26" fillId="26" borderId="0" xfId="0" applyFont="1" applyFill="1" applyAlignment="1">
      <alignment horizontal="center"/>
    </xf>
    <xf numFmtId="0" fontId="26" fillId="0" borderId="0" xfId="0" applyFont="1" applyAlignment="1">
      <alignment horizontal="center"/>
    </xf>
    <xf numFmtId="0" fontId="30" fillId="27" borderId="0" xfId="0" applyFont="1" applyFill="1"/>
    <xf numFmtId="0" fontId="27" fillId="27" borderId="0" xfId="0" applyFont="1" applyFill="1" applyAlignment="1">
      <alignment horizontal="center"/>
    </xf>
    <xf numFmtId="0" fontId="26" fillId="27" borderId="0" xfId="0" applyFont="1" applyFill="1"/>
    <xf numFmtId="165" fontId="26" fillId="27" borderId="0" xfId="28" applyNumberFormat="1" applyFont="1" applyFill="1" applyBorder="1"/>
    <xf numFmtId="165" fontId="26" fillId="27" borderId="0" xfId="28" applyNumberFormat="1" applyFont="1" applyFill="1"/>
    <xf numFmtId="165" fontId="27" fillId="27" borderId="0" xfId="28" applyNumberFormat="1" applyFont="1" applyFill="1" applyAlignment="1"/>
    <xf numFmtId="165" fontId="27" fillId="0" borderId="0" xfId="28" applyNumberFormat="1" applyFont="1" applyFill="1"/>
    <xf numFmtId="165" fontId="32" fillId="28" borderId="0" xfId="28" applyNumberFormat="1" applyFont="1" applyFill="1" applyAlignment="1">
      <alignment horizontal="center"/>
    </xf>
    <xf numFmtId="0" fontId="26" fillId="0" borderId="12" xfId="0" applyFont="1" applyBorder="1"/>
    <xf numFmtId="165" fontId="26" fillId="0" borderId="13" xfId="28" applyNumberFormat="1" applyFont="1" applyFill="1" applyBorder="1"/>
    <xf numFmtId="0" fontId="27" fillId="27" borderId="0" xfId="0" applyFont="1" applyFill="1"/>
    <xf numFmtId="164" fontId="26" fillId="27" borderId="0" xfId="28" applyFont="1" applyFill="1"/>
    <xf numFmtId="0" fontId="26" fillId="27" borderId="12" xfId="0" applyFont="1" applyFill="1" applyBorder="1"/>
    <xf numFmtId="164" fontId="26" fillId="27" borderId="13" xfId="28" applyFont="1" applyFill="1" applyBorder="1"/>
    <xf numFmtId="165" fontId="32" fillId="0" borderId="0" xfId="28" applyNumberFormat="1" applyFont="1" applyFill="1" applyAlignment="1">
      <alignment horizontal="center"/>
    </xf>
    <xf numFmtId="166" fontId="26" fillId="0" borderId="0" xfId="40" applyNumberFormat="1" applyFont="1" applyFill="1"/>
    <xf numFmtId="15" fontId="24" fillId="0" borderId="0" xfId="0" applyNumberFormat="1" applyFont="1"/>
    <xf numFmtId="0" fontId="2" fillId="0" borderId="0" xfId="0" applyFont="1"/>
    <xf numFmtId="0" fontId="30" fillId="0" borderId="0" xfId="0" applyFont="1"/>
    <xf numFmtId="0" fontId="24" fillId="0" borderId="0" xfId="0" applyFont="1"/>
    <xf numFmtId="165" fontId="27" fillId="27" borderId="0" xfId="28" applyNumberFormat="1" applyFont="1" applyFill="1" applyAlignment="1">
      <alignment horizontal="center"/>
    </xf>
    <xf numFmtId="164" fontId="2" fillId="29" borderId="0" xfId="28" applyFont="1" applyFill="1"/>
    <xf numFmtId="0" fontId="28" fillId="30" borderId="0" xfId="0" applyFont="1" applyFill="1"/>
    <xf numFmtId="0" fontId="26" fillId="30" borderId="0" xfId="0" applyFont="1" applyFill="1"/>
    <xf numFmtId="165" fontId="2" fillId="30" borderId="0" xfId="28" applyNumberFormat="1" applyFont="1" applyFill="1" applyAlignment="1">
      <alignment horizontal="center"/>
    </xf>
    <xf numFmtId="164" fontId="27" fillId="30" borderId="0" xfId="28" applyFont="1" applyFill="1" applyAlignment="1">
      <alignment horizontal="center"/>
    </xf>
    <xf numFmtId="165" fontId="27" fillId="30" borderId="0" xfId="28" applyNumberFormat="1" applyFont="1" applyFill="1" applyAlignment="1">
      <alignment horizontal="center"/>
    </xf>
    <xf numFmtId="165" fontId="32" fillId="31" borderId="0" xfId="28" applyNumberFormat="1" applyFont="1" applyFill="1" applyAlignment="1">
      <alignment horizontal="center"/>
    </xf>
    <xf numFmtId="165" fontId="27" fillId="31" borderId="0" xfId="28" applyNumberFormat="1" applyFont="1" applyFill="1" applyAlignment="1"/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Percent" xfId="40" builtinId="5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amshed%20Ali\Downloads\43.%20MWH%20Work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 Sheet"/>
      <sheetName val="MWH"/>
      <sheetName val="MWH Factory"/>
      <sheetName val="NESPAK"/>
      <sheetName val="Nespak Cost Esc"/>
    </sheetNames>
    <sheetDataSet>
      <sheetData sheetId="0">
        <row r="7">
          <cell r="G7">
            <v>3617982.9099999992</v>
          </cell>
        </row>
        <row r="8">
          <cell r="G8">
            <v>455779.31999999983</v>
          </cell>
        </row>
        <row r="13">
          <cell r="G13">
            <v>1228.4554352226721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F174"/>
  <sheetViews>
    <sheetView showGridLines="0" showRowColHeaders="0" tabSelected="1" topLeftCell="A94" zoomScaleNormal="100" zoomScaleSheetLayoutView="100" workbookViewId="0">
      <selection activeCell="J140" sqref="J140"/>
    </sheetView>
  </sheetViews>
  <sheetFormatPr defaultColWidth="9.28515625" defaultRowHeight="12.75" x14ac:dyDescent="0.2"/>
  <cols>
    <col min="1" max="1" width="28" style="4" customWidth="1"/>
    <col min="2" max="2" width="12.7109375" style="4" customWidth="1"/>
    <col min="3" max="3" width="23.7109375" style="4" bestFit="1" customWidth="1"/>
    <col min="4" max="4" width="17.5703125" style="5" customWidth="1"/>
    <col min="5" max="5" width="14" style="6" customWidth="1"/>
    <col min="6" max="6" width="15.5703125" style="5" bestFit="1" customWidth="1"/>
    <col min="7" max="16384" width="9.28515625" style="4"/>
  </cols>
  <sheetData>
    <row r="2" spans="1:6" ht="15" x14ac:dyDescent="0.25">
      <c r="A2" s="49" t="s">
        <v>74</v>
      </c>
      <c r="E2" s="51">
        <v>207.68</v>
      </c>
    </row>
    <row r="3" spans="1:6" ht="15" x14ac:dyDescent="0.25">
      <c r="A3" s="3" t="s">
        <v>0</v>
      </c>
      <c r="E3" s="51">
        <v>168.75</v>
      </c>
    </row>
    <row r="4" spans="1:6" ht="15" x14ac:dyDescent="0.25">
      <c r="A4" s="46" t="s">
        <v>85</v>
      </c>
      <c r="D4" s="7" t="s">
        <v>86</v>
      </c>
      <c r="E4" s="8" t="s">
        <v>35</v>
      </c>
      <c r="F4" s="7" t="s">
        <v>86</v>
      </c>
    </row>
    <row r="5" spans="1:6" x14ac:dyDescent="0.2">
      <c r="E5" s="9"/>
    </row>
    <row r="6" spans="1:6" ht="14.25" x14ac:dyDescent="0.2">
      <c r="A6" s="52" t="s">
        <v>3</v>
      </c>
      <c r="B6" s="53"/>
      <c r="C6" s="53"/>
      <c r="D6" s="54" t="s">
        <v>1</v>
      </c>
      <c r="E6" s="55"/>
      <c r="F6" s="56" t="s">
        <v>1</v>
      </c>
    </row>
    <row r="7" spans="1:6" hidden="1" x14ac:dyDescent="0.2">
      <c r="A7" s="4" t="s">
        <v>4</v>
      </c>
      <c r="D7" s="5">
        <v>85000</v>
      </c>
      <c r="F7" s="10"/>
    </row>
    <row r="8" spans="1:6" hidden="1" x14ac:dyDescent="0.2">
      <c r="A8" s="4" t="s">
        <v>17</v>
      </c>
      <c r="D8" s="5">
        <v>29600</v>
      </c>
      <c r="F8" s="10"/>
    </row>
    <row r="9" spans="1:6" hidden="1" x14ac:dyDescent="0.2">
      <c r="A9" s="4" t="s">
        <v>19</v>
      </c>
      <c r="D9" s="5">
        <v>1250</v>
      </c>
    </row>
    <row r="10" spans="1:6" hidden="1" x14ac:dyDescent="0.2">
      <c r="A10" s="4" t="s">
        <v>49</v>
      </c>
      <c r="D10" s="5">
        <f>(108420+(2714881/98.8))/1000</f>
        <v>135.89855263157892</v>
      </c>
    </row>
    <row r="11" spans="1:6" hidden="1" x14ac:dyDescent="0.2">
      <c r="A11" s="4" t="s">
        <v>20</v>
      </c>
      <c r="D11" s="5">
        <v>250</v>
      </c>
    </row>
    <row r="12" spans="1:6" hidden="1" x14ac:dyDescent="0.2">
      <c r="A12" s="4" t="s">
        <v>32</v>
      </c>
      <c r="D12" s="11" t="e">
        <f>(-#REF!-#REF!-#REF!)/1000</f>
        <v>#REF!</v>
      </c>
      <c r="F12" s="11"/>
    </row>
    <row r="13" spans="1:6" hidden="1" x14ac:dyDescent="0.2">
      <c r="D13" s="5" t="e">
        <f>SUM(D7:D12)</f>
        <v>#REF!</v>
      </c>
      <c r="E13" s="6">
        <v>105.5</v>
      </c>
      <c r="F13" s="12" t="e">
        <f>+D13*E13</f>
        <v>#REF!</v>
      </c>
    </row>
    <row r="14" spans="1:6" hidden="1" x14ac:dyDescent="0.2">
      <c r="A14" s="13" t="s">
        <v>17</v>
      </c>
      <c r="C14" s="4" t="s">
        <v>18</v>
      </c>
      <c r="F14" s="14">
        <f>3094200</f>
        <v>3094200</v>
      </c>
    </row>
    <row r="15" spans="1:6" hidden="1" x14ac:dyDescent="0.2">
      <c r="A15" s="15" t="s">
        <v>32</v>
      </c>
      <c r="B15" s="15"/>
      <c r="C15" s="15"/>
      <c r="D15" s="16"/>
      <c r="E15" s="17"/>
      <c r="F15" s="16" t="e">
        <f>-#REF!/1000</f>
        <v>#REF!</v>
      </c>
    </row>
    <row r="16" spans="1:6" hidden="1" x14ac:dyDescent="0.2">
      <c r="F16" s="10"/>
    </row>
    <row r="17" spans="1:6" hidden="1" x14ac:dyDescent="0.2">
      <c r="A17" s="18" t="s">
        <v>38</v>
      </c>
      <c r="B17" s="19"/>
      <c r="C17" s="19"/>
      <c r="D17" s="20">
        <v>4074</v>
      </c>
      <c r="F17" s="10"/>
    </row>
    <row r="18" spans="1:6" hidden="1" x14ac:dyDescent="0.2">
      <c r="A18" s="13"/>
      <c r="C18" s="4" t="s">
        <v>29</v>
      </c>
      <c r="D18" s="5">
        <f>-ROUND(('[1]Main Sheet'!$G$7+'[1]Main Sheet'!$G$8)/1000,0)</f>
        <v>-4074</v>
      </c>
      <c r="F18" s="10"/>
    </row>
    <row r="19" spans="1:6" ht="13.5" hidden="1" thickBot="1" x14ac:dyDescent="0.25">
      <c r="A19" s="13"/>
      <c r="D19" s="21">
        <f>SUM(D17:D18)</f>
        <v>0</v>
      </c>
      <c r="E19" s="6">
        <f>+E13</f>
        <v>105.5</v>
      </c>
      <c r="F19" s="10">
        <f>D19*E19</f>
        <v>0</v>
      </c>
    </row>
    <row r="20" spans="1:6" hidden="1" x14ac:dyDescent="0.2">
      <c r="A20" s="13"/>
      <c r="F20" s="10"/>
    </row>
    <row r="21" spans="1:6" hidden="1" x14ac:dyDescent="0.2">
      <c r="A21" s="18" t="s">
        <v>34</v>
      </c>
      <c r="B21" s="19"/>
      <c r="C21" s="19"/>
      <c r="D21" s="20">
        <v>1228.46</v>
      </c>
      <c r="F21" s="10"/>
    </row>
    <row r="22" spans="1:6" hidden="1" x14ac:dyDescent="0.2">
      <c r="C22" s="4" t="s">
        <v>29</v>
      </c>
      <c r="D22" s="5">
        <f>-+'[1]Main Sheet'!$G$13</f>
        <v>-1228.4554352226721</v>
      </c>
      <c r="F22" s="10"/>
    </row>
    <row r="23" spans="1:6" ht="13.5" hidden="1" thickBot="1" x14ac:dyDescent="0.25">
      <c r="D23" s="21">
        <f>SUM(D21:D22)</f>
        <v>4.5647773279142712E-3</v>
      </c>
      <c r="E23" s="6">
        <f>+E19</f>
        <v>105.5</v>
      </c>
      <c r="F23" s="10">
        <f>D23*E23</f>
        <v>0.48158400809495561</v>
      </c>
    </row>
    <row r="24" spans="1:6" hidden="1" x14ac:dyDescent="0.2">
      <c r="D24" s="22"/>
      <c r="F24" s="10"/>
    </row>
    <row r="25" spans="1:6" hidden="1" x14ac:dyDescent="0.2">
      <c r="A25" s="13" t="s">
        <v>31</v>
      </c>
      <c r="F25" s="10">
        <f>(35736251)/1000</f>
        <v>35736.250999999997</v>
      </c>
    </row>
    <row r="26" spans="1:6" hidden="1" x14ac:dyDescent="0.2">
      <c r="A26" s="13" t="s">
        <v>33</v>
      </c>
      <c r="F26" s="10">
        <f>4996587/1000</f>
        <v>4996.5870000000004</v>
      </c>
    </row>
    <row r="27" spans="1:6" hidden="1" x14ac:dyDescent="0.2">
      <c r="A27" s="15" t="s">
        <v>32</v>
      </c>
      <c r="B27" s="15"/>
      <c r="C27" s="15"/>
      <c r="D27" s="16"/>
      <c r="E27" s="17"/>
      <c r="F27" s="23">
        <v>-40733</v>
      </c>
    </row>
    <row r="28" spans="1:6" hidden="1" x14ac:dyDescent="0.2">
      <c r="F28" s="10"/>
    </row>
    <row r="29" spans="1:6" hidden="1" x14ac:dyDescent="0.2"/>
    <row r="30" spans="1:6" hidden="1" x14ac:dyDescent="0.2">
      <c r="A30" s="18" t="s">
        <v>5</v>
      </c>
      <c r="B30" s="19"/>
      <c r="C30" s="19"/>
      <c r="D30" s="20" t="e">
        <f>#REF!</f>
        <v>#REF!</v>
      </c>
      <c r="E30" s="6">
        <f>E13</f>
        <v>105.5</v>
      </c>
      <c r="F30" s="10" t="e">
        <f>D30*E30</f>
        <v>#REF!</v>
      </c>
    </row>
    <row r="31" spans="1:6" hidden="1" x14ac:dyDescent="0.2">
      <c r="A31" s="18" t="s">
        <v>13</v>
      </c>
      <c r="B31" s="19"/>
      <c r="C31" s="19"/>
      <c r="D31" s="24">
        <f>(20000*3.5-10000*2-10000-10000-10000-10000-10000)/1000</f>
        <v>0</v>
      </c>
      <c r="E31" s="6">
        <f>E30</f>
        <v>105.5</v>
      </c>
      <c r="F31" s="10">
        <f>D31*E31</f>
        <v>0</v>
      </c>
    </row>
    <row r="32" spans="1:6" hidden="1" x14ac:dyDescent="0.2"/>
    <row r="33" spans="1:6" hidden="1" x14ac:dyDescent="0.2">
      <c r="A33" s="18" t="s">
        <v>6</v>
      </c>
      <c r="B33" s="19"/>
      <c r="C33" s="19"/>
      <c r="D33" s="20" t="e">
        <f>#REF!+#REF!</f>
        <v>#REF!</v>
      </c>
      <c r="F33" s="10" t="e">
        <f>D33</f>
        <v>#REF!</v>
      </c>
    </row>
    <row r="34" spans="1:6" hidden="1" x14ac:dyDescent="0.2"/>
    <row r="35" spans="1:6" hidden="1" x14ac:dyDescent="0.2">
      <c r="A35" s="18" t="s">
        <v>11</v>
      </c>
      <c r="B35" s="19"/>
      <c r="C35" s="19"/>
      <c r="D35" s="20" t="e">
        <f>#REF!</f>
        <v>#REF!</v>
      </c>
      <c r="E35" s="6">
        <f>E31</f>
        <v>105.5</v>
      </c>
      <c r="F35" s="10" t="e">
        <f>D35*E35</f>
        <v>#REF!</v>
      </c>
    </row>
    <row r="36" spans="1:6" hidden="1" x14ac:dyDescent="0.2">
      <c r="A36" s="18" t="s">
        <v>14</v>
      </c>
      <c r="B36" s="19"/>
      <c r="C36" s="19"/>
      <c r="D36" s="24">
        <f>(20000*3.5-10000*2-10000-10000-10000-10000-10000)/1000</f>
        <v>0</v>
      </c>
      <c r="E36" s="6">
        <f>E35</f>
        <v>105.5</v>
      </c>
      <c r="F36" s="10">
        <f>D36*E36</f>
        <v>0</v>
      </c>
    </row>
    <row r="37" spans="1:6" hidden="1" x14ac:dyDescent="0.2"/>
    <row r="38" spans="1:6" hidden="1" x14ac:dyDescent="0.2">
      <c r="A38" s="18" t="s">
        <v>12</v>
      </c>
      <c r="B38" s="19"/>
      <c r="C38" s="19"/>
      <c r="D38" s="20" t="e">
        <f>#REF!</f>
        <v>#REF!</v>
      </c>
      <c r="E38" s="6">
        <f>E36</f>
        <v>105.5</v>
      </c>
      <c r="F38" s="10" t="e">
        <f>D38*E38</f>
        <v>#REF!</v>
      </c>
    </row>
    <row r="39" spans="1:6" hidden="1" x14ac:dyDescent="0.2">
      <c r="A39" s="18" t="s">
        <v>15</v>
      </c>
      <c r="B39" s="19"/>
      <c r="C39" s="19"/>
      <c r="D39" s="24">
        <f>(20000*3.5-10000*2-10000-10000-10000-10000-10000)/1000</f>
        <v>0</v>
      </c>
      <c r="E39" s="6">
        <f>E38</f>
        <v>105.5</v>
      </c>
      <c r="F39" s="10">
        <f>D39*E39</f>
        <v>0</v>
      </c>
    </row>
    <row r="40" spans="1:6" hidden="1" x14ac:dyDescent="0.2"/>
    <row r="41" spans="1:6" hidden="1" x14ac:dyDescent="0.2">
      <c r="A41" s="18" t="s">
        <v>16</v>
      </c>
      <c r="B41" s="19"/>
      <c r="C41" s="19"/>
      <c r="D41" s="24">
        <f>(20000*3.5-10000*2-10000-10000-10000-10000-10000)/1000</f>
        <v>0</v>
      </c>
      <c r="E41" s="6">
        <f>E39</f>
        <v>105.5</v>
      </c>
      <c r="F41" s="10">
        <f>D41*E41</f>
        <v>0</v>
      </c>
    </row>
    <row r="42" spans="1:6" hidden="1" x14ac:dyDescent="0.2">
      <c r="D42" s="10"/>
    </row>
    <row r="43" spans="1:6" hidden="1" x14ac:dyDescent="0.2">
      <c r="A43" s="18" t="s">
        <v>7</v>
      </c>
      <c r="B43" s="19"/>
      <c r="C43" s="19"/>
      <c r="D43" s="20">
        <v>0</v>
      </c>
      <c r="E43" s="25"/>
      <c r="F43" s="26">
        <v>0</v>
      </c>
    </row>
    <row r="44" spans="1:6" hidden="1" x14ac:dyDescent="0.2"/>
    <row r="45" spans="1:6" hidden="1" x14ac:dyDescent="0.2">
      <c r="A45" s="18" t="s">
        <v>8</v>
      </c>
      <c r="B45" s="19"/>
      <c r="C45" s="19"/>
      <c r="D45" s="20">
        <v>0</v>
      </c>
      <c r="E45" s="25"/>
      <c r="F45" s="26">
        <v>0</v>
      </c>
    </row>
    <row r="46" spans="1:6" hidden="1" x14ac:dyDescent="0.2"/>
    <row r="47" spans="1:6" ht="12.75" hidden="1" customHeight="1" x14ac:dyDescent="0.2">
      <c r="D47" s="10"/>
      <c r="F47" s="10"/>
    </row>
    <row r="48" spans="1:6" hidden="1" x14ac:dyDescent="0.2">
      <c r="A48" s="27" t="s">
        <v>25</v>
      </c>
    </row>
    <row r="49" spans="1:6" hidden="1" x14ac:dyDescent="0.2">
      <c r="A49" s="19" t="s">
        <v>48</v>
      </c>
      <c r="B49" s="19"/>
      <c r="C49" s="19" t="s">
        <v>2</v>
      </c>
      <c r="D49" s="20" t="e">
        <f>(957069+#REF!)/1000</f>
        <v>#REF!</v>
      </c>
      <c r="F49" s="10"/>
    </row>
    <row r="50" spans="1:6" hidden="1" x14ac:dyDescent="0.2">
      <c r="A50" s="28" t="s">
        <v>30</v>
      </c>
      <c r="B50" s="19"/>
      <c r="C50" s="19" t="s">
        <v>2</v>
      </c>
      <c r="D50" s="20">
        <f>150000/1000</f>
        <v>150</v>
      </c>
      <c r="F50" s="10"/>
    </row>
    <row r="51" spans="1:6" hidden="1" x14ac:dyDescent="0.2">
      <c r="A51" s="29"/>
      <c r="C51" s="4" t="s">
        <v>29</v>
      </c>
      <c r="D51" s="11" t="e">
        <f>-#REF!/1000</f>
        <v>#REF!</v>
      </c>
    </row>
    <row r="52" spans="1:6" hidden="1" x14ac:dyDescent="0.2">
      <c r="A52" s="29"/>
      <c r="D52" s="5" t="e">
        <f>SUM(D49:D51)</f>
        <v>#REF!</v>
      </c>
      <c r="E52" s="6">
        <f>+E41</f>
        <v>105.5</v>
      </c>
      <c r="F52" s="5" t="e">
        <f>D52*E52</f>
        <v>#REF!</v>
      </c>
    </row>
    <row r="53" spans="1:6" hidden="1" x14ac:dyDescent="0.2">
      <c r="A53" s="29"/>
    </row>
    <row r="54" spans="1:6" hidden="1" x14ac:dyDescent="0.2">
      <c r="A54" s="19" t="s">
        <v>48</v>
      </c>
      <c r="B54" s="19"/>
      <c r="C54" s="19" t="s">
        <v>1</v>
      </c>
      <c r="F54" s="20" t="e">
        <f>(72895997+#REF!)/1000</f>
        <v>#REF!</v>
      </c>
    </row>
    <row r="55" spans="1:6" hidden="1" x14ac:dyDescent="0.2">
      <c r="C55" s="4" t="s">
        <v>29</v>
      </c>
      <c r="F55" s="5" t="e">
        <f>-(#REF!)/1000</f>
        <v>#REF!</v>
      </c>
    </row>
    <row r="56" spans="1:6" hidden="1" x14ac:dyDescent="0.2">
      <c r="F56" s="10"/>
    </row>
    <row r="57" spans="1:6" hidden="1" x14ac:dyDescent="0.2">
      <c r="F57" s="10"/>
    </row>
    <row r="58" spans="1:6" hidden="1" x14ac:dyDescent="0.2">
      <c r="A58" s="30" t="s">
        <v>36</v>
      </c>
      <c r="B58" s="31"/>
      <c r="C58" s="31"/>
      <c r="F58" s="10"/>
    </row>
    <row r="59" spans="1:6" hidden="1" x14ac:dyDescent="0.2">
      <c r="A59" s="32" t="s">
        <v>37</v>
      </c>
      <c r="B59" s="33"/>
      <c r="C59" s="34">
        <f>10000000/1000</f>
        <v>10000</v>
      </c>
    </row>
    <row r="60" spans="1:6" hidden="1" x14ac:dyDescent="0.2">
      <c r="A60" s="32" t="s">
        <v>39</v>
      </c>
      <c r="B60" s="34"/>
      <c r="C60" s="34" t="e">
        <f>-#REF!/1000</f>
        <v>#REF!</v>
      </c>
    </row>
    <row r="61" spans="1:6" hidden="1" x14ac:dyDescent="0.2">
      <c r="F61" s="10"/>
    </row>
    <row r="62" spans="1:6" hidden="1" x14ac:dyDescent="0.2">
      <c r="A62" s="27" t="s">
        <v>45</v>
      </c>
      <c r="F62" s="10"/>
    </row>
    <row r="63" spans="1:6" hidden="1" x14ac:dyDescent="0.2">
      <c r="A63" s="4" t="s">
        <v>46</v>
      </c>
      <c r="F63" s="10">
        <f>5290000/1000</f>
        <v>5290</v>
      </c>
    </row>
    <row r="64" spans="1:6" hidden="1" x14ac:dyDescent="0.2">
      <c r="A64" s="4" t="s">
        <v>39</v>
      </c>
      <c r="F64" s="10">
        <f>(-3965000-795000-530000)/1000</f>
        <v>-5290</v>
      </c>
    </row>
    <row r="65" spans="1:6" hidden="1" x14ac:dyDescent="0.2">
      <c r="F65" s="10"/>
    </row>
    <row r="66" spans="1:6" hidden="1" x14ac:dyDescent="0.2">
      <c r="A66" s="30" t="s">
        <v>40</v>
      </c>
      <c r="B66" s="31" t="s">
        <v>2</v>
      </c>
      <c r="C66" s="31" t="s">
        <v>1</v>
      </c>
      <c r="F66" s="10"/>
    </row>
    <row r="67" spans="1:6" hidden="1" x14ac:dyDescent="0.2">
      <c r="A67" s="32" t="s">
        <v>41</v>
      </c>
      <c r="B67" s="33">
        <f>1050000/1000</f>
        <v>1050</v>
      </c>
      <c r="C67" s="34">
        <v>99435</v>
      </c>
      <c r="E67" s="6">
        <v>0</v>
      </c>
      <c r="F67" s="5">
        <f>B67*E67</f>
        <v>0</v>
      </c>
    </row>
    <row r="68" spans="1:6" hidden="1" x14ac:dyDescent="0.2">
      <c r="A68" s="32" t="s">
        <v>39</v>
      </c>
      <c r="B68" s="34">
        <f>(-630000-210000-105000-105000)/1000</f>
        <v>-1050</v>
      </c>
      <c r="C68" s="34">
        <v>99435</v>
      </c>
      <c r="E68" s="6">
        <v>0</v>
      </c>
      <c r="F68" s="5">
        <f>B68*E68</f>
        <v>0</v>
      </c>
    </row>
    <row r="69" spans="1:6" hidden="1" x14ac:dyDescent="0.2"/>
    <row r="70" spans="1:6" hidden="1" x14ac:dyDescent="0.2">
      <c r="A70" s="30" t="s">
        <v>42</v>
      </c>
      <c r="B70" s="31" t="s">
        <v>2</v>
      </c>
      <c r="C70" s="31" t="s">
        <v>1</v>
      </c>
    </row>
    <row r="71" spans="1:6" hidden="1" x14ac:dyDescent="0.2">
      <c r="A71" s="32" t="s">
        <v>47</v>
      </c>
      <c r="B71" s="34">
        <f>395745/1000</f>
        <v>395.745</v>
      </c>
      <c r="C71" s="34">
        <f>(26097123+13002546)/1000</f>
        <v>39099.669000000002</v>
      </c>
      <c r="E71" s="6">
        <v>0</v>
      </c>
      <c r="F71" s="5">
        <f>B71*E71</f>
        <v>0</v>
      </c>
    </row>
    <row r="72" spans="1:6" hidden="1" x14ac:dyDescent="0.2">
      <c r="A72" s="32" t="s">
        <v>39</v>
      </c>
      <c r="B72" s="34">
        <f>-395745/1000</f>
        <v>-395.745</v>
      </c>
      <c r="C72" s="34">
        <f>-(26097123+13002546)/1000</f>
        <v>-39099.669000000002</v>
      </c>
      <c r="E72" s="6">
        <v>0</v>
      </c>
      <c r="F72" s="5">
        <f>B72*E72</f>
        <v>0</v>
      </c>
    </row>
    <row r="74" spans="1:6" hidden="1" x14ac:dyDescent="0.2">
      <c r="A74" s="15" t="s">
        <v>63</v>
      </c>
      <c r="B74" s="15"/>
      <c r="C74" s="15"/>
      <c r="D74" s="16"/>
      <c r="E74" s="17"/>
    </row>
    <row r="75" spans="1:6" hidden="1" x14ac:dyDescent="0.2"/>
    <row r="76" spans="1:6" hidden="1" x14ac:dyDescent="0.2">
      <c r="A76" s="4" t="s">
        <v>63</v>
      </c>
      <c r="F76" s="5">
        <f>1782635/1000</f>
        <v>1782.635</v>
      </c>
    </row>
    <row r="77" spans="1:6" hidden="1" x14ac:dyDescent="0.2">
      <c r="A77" s="4" t="s">
        <v>51</v>
      </c>
      <c r="F77" s="5">
        <v>-1783</v>
      </c>
    </row>
    <row r="78" spans="1:6" hidden="1" x14ac:dyDescent="0.2"/>
    <row r="79" spans="1:6" hidden="1" x14ac:dyDescent="0.2">
      <c r="A79" s="19" t="s">
        <v>50</v>
      </c>
      <c r="B79" s="19"/>
      <c r="C79" s="19"/>
    </row>
    <row r="80" spans="1:6" hidden="1" x14ac:dyDescent="0.2"/>
    <row r="81" spans="1:6" hidden="1" x14ac:dyDescent="0.2">
      <c r="A81" s="4" t="s">
        <v>60</v>
      </c>
      <c r="F81" s="5">
        <v>159000</v>
      </c>
    </row>
    <row r="82" spans="1:6" hidden="1" x14ac:dyDescent="0.2">
      <c r="A82" s="4" t="s">
        <v>61</v>
      </c>
      <c r="F82" s="5">
        <f>-F81</f>
        <v>-159000</v>
      </c>
    </row>
    <row r="83" spans="1:6" hidden="1" x14ac:dyDescent="0.2">
      <c r="E83" s="6" t="s">
        <v>51</v>
      </c>
      <c r="F83" s="5">
        <v>0</v>
      </c>
    </row>
    <row r="84" spans="1:6" hidden="1" x14ac:dyDescent="0.2">
      <c r="A84" s="50" t="s">
        <v>10</v>
      </c>
      <c r="B84" s="50"/>
      <c r="C84" s="50"/>
      <c r="D84" s="50"/>
      <c r="E84" s="35"/>
      <c r="F84" s="35"/>
    </row>
    <row r="85" spans="1:6" hidden="1" x14ac:dyDescent="0.2">
      <c r="A85" s="15" t="s">
        <v>59</v>
      </c>
      <c r="B85" s="15"/>
      <c r="C85" s="15"/>
      <c r="D85" s="16"/>
      <c r="E85" s="17"/>
      <c r="F85" s="10"/>
    </row>
    <row r="86" spans="1:6" hidden="1" x14ac:dyDescent="0.2">
      <c r="C86" s="4" t="s">
        <v>57</v>
      </c>
      <c r="D86" s="22"/>
      <c r="E86" s="4"/>
      <c r="F86" s="10">
        <f>15500000/1000</f>
        <v>15500</v>
      </c>
    </row>
    <row r="87" spans="1:6" hidden="1" x14ac:dyDescent="0.2">
      <c r="C87" s="4" t="s">
        <v>58</v>
      </c>
      <c r="D87" s="22"/>
      <c r="E87" s="4"/>
      <c r="F87" s="10">
        <f>-15500000/1000</f>
        <v>-15500</v>
      </c>
    </row>
    <row r="88" spans="1:6" hidden="1" x14ac:dyDescent="0.2">
      <c r="A88" s="4" t="s">
        <v>64</v>
      </c>
      <c r="D88" s="5">
        <v>197416</v>
      </c>
      <c r="E88" s="6">
        <f>+E3</f>
        <v>168.75</v>
      </c>
      <c r="F88" s="10">
        <f>+D88*E88/1000</f>
        <v>33313.949999999997</v>
      </c>
    </row>
    <row r="89" spans="1:6" hidden="1" x14ac:dyDescent="0.2">
      <c r="A89" s="4" t="s">
        <v>65</v>
      </c>
      <c r="D89" s="10">
        <f>-D88*100%</f>
        <v>-197416</v>
      </c>
      <c r="E89" s="6">
        <f>+E88</f>
        <v>168.75</v>
      </c>
      <c r="F89" s="10">
        <f>+D89*E89/1000</f>
        <v>-33313.949999999997</v>
      </c>
    </row>
    <row r="90" spans="1:6" hidden="1" x14ac:dyDescent="0.2">
      <c r="F90" s="36"/>
    </row>
    <row r="91" spans="1:6" hidden="1" x14ac:dyDescent="0.2">
      <c r="A91" s="1" t="s">
        <v>66</v>
      </c>
      <c r="D91" s="5">
        <v>10000</v>
      </c>
      <c r="E91" s="6">
        <v>1</v>
      </c>
      <c r="F91" s="10">
        <f>+D91*E91/1000</f>
        <v>10</v>
      </c>
    </row>
    <row r="92" spans="1:6" hidden="1" x14ac:dyDescent="0.2">
      <c r="A92" s="1" t="s">
        <v>66</v>
      </c>
      <c r="D92" s="5">
        <f>-D91*100%</f>
        <v>-10000</v>
      </c>
      <c r="E92" s="6">
        <v>1</v>
      </c>
      <c r="F92" s="10">
        <f>+D92*E92/1000</f>
        <v>-10</v>
      </c>
    </row>
    <row r="93" spans="1:6" hidden="1" x14ac:dyDescent="0.2">
      <c r="F93" s="36"/>
    </row>
    <row r="94" spans="1:6" ht="5.0999999999999996" customHeight="1" x14ac:dyDescent="0.2">
      <c r="A94" s="1"/>
      <c r="F94" s="36"/>
    </row>
    <row r="95" spans="1:6" x14ac:dyDescent="0.2">
      <c r="A95" s="48" t="s">
        <v>68</v>
      </c>
      <c r="D95" s="2">
        <v>3400</v>
      </c>
      <c r="E95" s="6">
        <v>1</v>
      </c>
      <c r="F95" s="10">
        <f>+D95*E95</f>
        <v>3400</v>
      </c>
    </row>
    <row r="96" spans="1:6" x14ac:dyDescent="0.2">
      <c r="A96" s="1"/>
      <c r="D96" s="5">
        <v>-2720</v>
      </c>
      <c r="E96" s="6">
        <v>1</v>
      </c>
      <c r="F96" s="10">
        <f>+D96*E96</f>
        <v>-2720</v>
      </c>
    </row>
    <row r="97" spans="1:6" x14ac:dyDescent="0.2">
      <c r="A97" s="48" t="s">
        <v>75</v>
      </c>
      <c r="F97" s="36"/>
    </row>
    <row r="98" spans="1:6" x14ac:dyDescent="0.2">
      <c r="A98" s="1" t="s">
        <v>69</v>
      </c>
      <c r="D98" s="2">
        <v>30500</v>
      </c>
      <c r="E98" s="6">
        <v>1</v>
      </c>
      <c r="F98" s="10">
        <f>+D98*E98</f>
        <v>30500</v>
      </c>
    </row>
    <row r="99" spans="1:6" x14ac:dyDescent="0.2">
      <c r="A99" s="1" t="s">
        <v>70</v>
      </c>
      <c r="D99" s="5">
        <v>-9150</v>
      </c>
      <c r="E99" s="6">
        <v>1</v>
      </c>
      <c r="F99" s="10">
        <f>+D99*E99</f>
        <v>-9150</v>
      </c>
    </row>
    <row r="100" spans="1:6" x14ac:dyDescent="0.2">
      <c r="A100" s="1"/>
      <c r="F100" s="36"/>
    </row>
    <row r="101" spans="1:6" x14ac:dyDescent="0.2">
      <c r="A101" s="48" t="s">
        <v>72</v>
      </c>
      <c r="F101" s="36"/>
    </row>
    <row r="102" spans="1:6" x14ac:dyDescent="0.2">
      <c r="A102" s="1" t="s">
        <v>69</v>
      </c>
      <c r="D102" s="5">
        <v>1484.01</v>
      </c>
      <c r="E102" s="6">
        <v>1</v>
      </c>
      <c r="F102" s="10">
        <f>+D102*E102</f>
        <v>1484.01</v>
      </c>
    </row>
    <row r="103" spans="1:6" x14ac:dyDescent="0.2">
      <c r="A103" s="1" t="s">
        <v>70</v>
      </c>
      <c r="D103" s="5">
        <f>-D102*90%</f>
        <v>-1335.6089999999999</v>
      </c>
      <c r="E103" s="6">
        <v>1</v>
      </c>
      <c r="F103" s="10">
        <f>+D103*E103</f>
        <v>-1335.6089999999999</v>
      </c>
    </row>
    <row r="104" spans="1:6" x14ac:dyDescent="0.2">
      <c r="A104" s="1"/>
      <c r="F104" s="36"/>
    </row>
    <row r="105" spans="1:6" x14ac:dyDescent="0.2">
      <c r="A105" s="48" t="s">
        <v>73</v>
      </c>
      <c r="D105" s="5">
        <v>880</v>
      </c>
      <c r="E105" s="6">
        <v>1</v>
      </c>
      <c r="F105" s="10">
        <f>+D105*E105</f>
        <v>880</v>
      </c>
    </row>
    <row r="106" spans="1:6" x14ac:dyDescent="0.2">
      <c r="A106" s="1" t="s">
        <v>69</v>
      </c>
      <c r="D106" s="5">
        <f>-D105</f>
        <v>-880</v>
      </c>
      <c r="E106" s="6">
        <v>1</v>
      </c>
      <c r="F106" s="10">
        <f>+D106*E106</f>
        <v>-880</v>
      </c>
    </row>
    <row r="107" spans="1:6" x14ac:dyDescent="0.2">
      <c r="A107" s="1" t="s">
        <v>70</v>
      </c>
      <c r="F107" s="36"/>
    </row>
    <row r="108" spans="1:6" x14ac:dyDescent="0.2">
      <c r="A108" s="1"/>
      <c r="F108" s="36"/>
    </row>
    <row r="109" spans="1:6" x14ac:dyDescent="0.2">
      <c r="A109" s="1"/>
      <c r="F109" s="36"/>
    </row>
    <row r="110" spans="1:6" ht="13.5" thickBot="1" x14ac:dyDescent="0.25">
      <c r="A110" s="47" t="s">
        <v>76</v>
      </c>
      <c r="F110" s="21">
        <f>SUM(F76:F107)</f>
        <v>22178.036000000007</v>
      </c>
    </row>
    <row r="111" spans="1:6" ht="13.5" thickTop="1" x14ac:dyDescent="0.2"/>
    <row r="112" spans="1:6" ht="14.25" x14ac:dyDescent="0.2">
      <c r="A112" s="52" t="s">
        <v>9</v>
      </c>
      <c r="B112" s="53"/>
      <c r="C112" s="53"/>
      <c r="D112" s="54" t="s">
        <v>71</v>
      </c>
      <c r="E112" s="55"/>
      <c r="F112" s="56" t="s">
        <v>1</v>
      </c>
    </row>
    <row r="114" spans="1:6" x14ac:dyDescent="0.2">
      <c r="A114" s="57" t="s">
        <v>2</v>
      </c>
      <c r="B114" s="58"/>
      <c r="C114" s="58"/>
      <c r="D114" s="58"/>
      <c r="E114" s="58"/>
      <c r="F114" s="58"/>
    </row>
    <row r="116" spans="1:6" x14ac:dyDescent="0.2">
      <c r="A116" s="47" t="s">
        <v>77</v>
      </c>
      <c r="C116" s="1" t="s">
        <v>67</v>
      </c>
      <c r="D116" s="5">
        <f>(5200*11.5)/1000</f>
        <v>59.8</v>
      </c>
      <c r="E116" s="6">
        <f>$E$3</f>
        <v>168.75</v>
      </c>
      <c r="F116" s="10">
        <f>D116*E116</f>
        <v>10091.25</v>
      </c>
    </row>
    <row r="117" spans="1:6" x14ac:dyDescent="0.2">
      <c r="C117" s="4" t="s">
        <v>55</v>
      </c>
      <c r="D117" s="5">
        <f>-5-5.5-5.2-5.2-5.2-5.2-5.2-2</f>
        <v>-38.5</v>
      </c>
      <c r="E117" s="6">
        <f>$E$3</f>
        <v>168.75</v>
      </c>
      <c r="F117" s="10">
        <f>D117*E117</f>
        <v>-6496.875</v>
      </c>
    </row>
    <row r="119" spans="1:6" x14ac:dyDescent="0.2">
      <c r="A119" s="13"/>
      <c r="B119" s="13"/>
      <c r="D119" s="10"/>
    </row>
    <row r="120" spans="1:6" x14ac:dyDescent="0.2">
      <c r="A120" s="13" t="s">
        <v>53</v>
      </c>
      <c r="B120" s="13"/>
      <c r="D120" s="10">
        <v>861.9</v>
      </c>
      <c r="E120" s="6">
        <f>+E117</f>
        <v>168.75</v>
      </c>
      <c r="F120" s="5">
        <f>+D120*E120</f>
        <v>145445.625</v>
      </c>
    </row>
    <row r="121" spans="1:6" x14ac:dyDescent="0.2">
      <c r="A121" s="13"/>
      <c r="B121" s="13"/>
      <c r="C121" s="13" t="s">
        <v>55</v>
      </c>
      <c r="D121" s="10">
        <f>-D120/365*(9+30+31+30)</f>
        <v>-236.13698630136986</v>
      </c>
      <c r="E121" s="6">
        <f>+E120</f>
        <v>168.75</v>
      </c>
      <c r="F121" s="5">
        <f>+D121*E121</f>
        <v>-39848.116438356163</v>
      </c>
    </row>
    <row r="122" spans="1:6" x14ac:dyDescent="0.2">
      <c r="A122" s="13"/>
      <c r="B122" s="13"/>
      <c r="C122" s="13"/>
      <c r="D122" s="10"/>
    </row>
    <row r="123" spans="1:6" x14ac:dyDescent="0.2">
      <c r="A123" s="47" t="s">
        <v>78</v>
      </c>
      <c r="C123" s="4" t="s">
        <v>22</v>
      </c>
      <c r="F123" s="5">
        <f>5000000*1.16*11.5/1000</f>
        <v>66700</v>
      </c>
    </row>
    <row r="124" spans="1:6" x14ac:dyDescent="0.2">
      <c r="A124" s="13"/>
      <c r="C124" s="4" t="s">
        <v>55</v>
      </c>
      <c r="E124" s="4"/>
      <c r="F124" s="5">
        <f>-((5000000*1.16*1/1000)/365*365)-(5800*7)</f>
        <v>-46400</v>
      </c>
    </row>
    <row r="126" spans="1:6" x14ac:dyDescent="0.2">
      <c r="A126" s="47" t="s">
        <v>79</v>
      </c>
      <c r="C126" s="4" t="s">
        <v>23</v>
      </c>
      <c r="F126" s="5">
        <f>1000000*1.16*9/1000</f>
        <v>10440</v>
      </c>
    </row>
    <row r="127" spans="1:6" x14ac:dyDescent="0.2">
      <c r="C127" s="4" t="s">
        <v>55</v>
      </c>
      <c r="F127" s="5">
        <f>-((1000000*1.16*1/1000)/365*(365))-1160-1160-1160-1160-1160-(1160/12*8)</f>
        <v>-7733.333333333333</v>
      </c>
    </row>
    <row r="129" spans="1:6" x14ac:dyDescent="0.2">
      <c r="A129" s="47" t="s">
        <v>80</v>
      </c>
      <c r="C129" s="4" t="s">
        <v>24</v>
      </c>
      <c r="D129" s="5">
        <f>20000*11.5/1000</f>
        <v>230</v>
      </c>
      <c r="E129" s="6">
        <f t="shared" ref="E129:E136" si="0">$E$3</f>
        <v>168.75</v>
      </c>
      <c r="F129" s="10">
        <f t="shared" ref="F129:F136" si="1">D129*E129</f>
        <v>38812.5</v>
      </c>
    </row>
    <row r="130" spans="1:6" x14ac:dyDescent="0.2">
      <c r="A130" s="13"/>
      <c r="C130" s="4" t="s">
        <v>55</v>
      </c>
      <c r="D130" s="5">
        <f>-(20*8)</f>
        <v>-160</v>
      </c>
      <c r="E130" s="6">
        <f t="shared" si="0"/>
        <v>168.75</v>
      </c>
      <c r="F130" s="10">
        <f t="shared" si="1"/>
        <v>-27000</v>
      </c>
    </row>
    <row r="131" spans="1:6" x14ac:dyDescent="0.2">
      <c r="A131" s="47" t="s">
        <v>80</v>
      </c>
      <c r="C131" s="4" t="s">
        <v>24</v>
      </c>
      <c r="D131" s="5">
        <f>20000*11.5/1000</f>
        <v>230</v>
      </c>
      <c r="E131" s="6">
        <f t="shared" si="0"/>
        <v>168.75</v>
      </c>
      <c r="F131" s="10">
        <f t="shared" si="1"/>
        <v>38812.5</v>
      </c>
    </row>
    <row r="132" spans="1:6" x14ac:dyDescent="0.2">
      <c r="A132" s="13"/>
      <c r="C132" s="4" t="s">
        <v>55</v>
      </c>
      <c r="D132" s="5">
        <f>-(20*8)</f>
        <v>-160</v>
      </c>
      <c r="E132" s="6">
        <f t="shared" si="0"/>
        <v>168.75</v>
      </c>
      <c r="F132" s="10">
        <f t="shared" si="1"/>
        <v>-27000</v>
      </c>
    </row>
    <row r="133" spans="1:6" x14ac:dyDescent="0.2">
      <c r="A133" s="47" t="s">
        <v>80</v>
      </c>
      <c r="C133" s="4" t="s">
        <v>24</v>
      </c>
      <c r="D133" s="5">
        <f>20000*11.5/1000</f>
        <v>230</v>
      </c>
      <c r="E133" s="6">
        <f t="shared" si="0"/>
        <v>168.75</v>
      </c>
      <c r="F133" s="10">
        <f t="shared" si="1"/>
        <v>38812.5</v>
      </c>
    </row>
    <row r="134" spans="1:6" x14ac:dyDescent="0.2">
      <c r="A134" s="13"/>
      <c r="C134" s="4" t="s">
        <v>55</v>
      </c>
      <c r="D134" s="5">
        <f>-(20*8)</f>
        <v>-160</v>
      </c>
      <c r="E134" s="6">
        <f t="shared" si="0"/>
        <v>168.75</v>
      </c>
      <c r="F134" s="10">
        <f t="shared" si="1"/>
        <v>-27000</v>
      </c>
    </row>
    <row r="135" spans="1:6" x14ac:dyDescent="0.2">
      <c r="A135" s="47" t="s">
        <v>80</v>
      </c>
      <c r="C135" s="4" t="s">
        <v>24</v>
      </c>
      <c r="D135" s="5">
        <f>20000*11.5/1000</f>
        <v>230</v>
      </c>
      <c r="E135" s="6">
        <f t="shared" si="0"/>
        <v>168.75</v>
      </c>
      <c r="F135" s="10">
        <f t="shared" si="1"/>
        <v>38812.5</v>
      </c>
    </row>
    <row r="136" spans="1:6" x14ac:dyDescent="0.2">
      <c r="C136" s="4" t="s">
        <v>55</v>
      </c>
      <c r="D136" s="5">
        <f>-(20*8)</f>
        <v>-160</v>
      </c>
      <c r="E136" s="6">
        <f t="shared" si="0"/>
        <v>168.75</v>
      </c>
      <c r="F136" s="10">
        <f t="shared" si="1"/>
        <v>-27000</v>
      </c>
    </row>
    <row r="138" spans="1:6" x14ac:dyDescent="0.2">
      <c r="A138" s="57" t="s">
        <v>10</v>
      </c>
      <c r="B138" s="58"/>
      <c r="C138" s="58"/>
      <c r="D138" s="58"/>
      <c r="E138" s="58"/>
      <c r="F138" s="58"/>
    </row>
    <row r="139" spans="1:6" x14ac:dyDescent="0.2">
      <c r="D139" s="6"/>
    </row>
    <row r="140" spans="1:6" x14ac:dyDescent="0.2">
      <c r="A140" s="47" t="s">
        <v>81</v>
      </c>
      <c r="C140" s="4" t="s">
        <v>21</v>
      </c>
      <c r="D140" s="5">
        <f>(7000*11.5)/1000</f>
        <v>80.5</v>
      </c>
      <c r="E140" s="6">
        <f>+E2</f>
        <v>207.68</v>
      </c>
      <c r="F140" s="10">
        <f>D140*E140</f>
        <v>16718.240000000002</v>
      </c>
    </row>
    <row r="141" spans="1:6" x14ac:dyDescent="0.2">
      <c r="C141" s="4" t="s">
        <v>55</v>
      </c>
      <c r="D141" s="5">
        <f>-(7*7)</f>
        <v>-49</v>
      </c>
      <c r="E141" s="6">
        <f>E140</f>
        <v>207.68</v>
      </c>
      <c r="F141" s="10">
        <f>D141*E141</f>
        <v>-10176.32</v>
      </c>
    </row>
    <row r="142" spans="1:6" x14ac:dyDescent="0.2">
      <c r="F142" s="10"/>
    </row>
    <row r="143" spans="1:6" x14ac:dyDescent="0.2">
      <c r="A143" s="47" t="s">
        <v>82</v>
      </c>
      <c r="C143" s="4" t="s">
        <v>62</v>
      </c>
      <c r="D143" s="5">
        <f>(13680*11.5*1.1)/1000</f>
        <v>173.05199999999999</v>
      </c>
      <c r="E143" s="6">
        <f>+E140</f>
        <v>207.68</v>
      </c>
      <c r="F143" s="10">
        <f>D143*E143</f>
        <v>35939.439359999997</v>
      </c>
    </row>
    <row r="144" spans="1:6" x14ac:dyDescent="0.2">
      <c r="A144" s="13"/>
      <c r="C144" s="4" t="s">
        <v>55</v>
      </c>
      <c r="D144" s="5">
        <f>(-13.68*1.1*7)</f>
        <v>-105.336</v>
      </c>
      <c r="E144" s="6">
        <f>+E143</f>
        <v>207.68</v>
      </c>
      <c r="F144" s="10">
        <f>D144*E144</f>
        <v>-21876.180479999999</v>
      </c>
    </row>
    <row r="145" spans="1:6" x14ac:dyDescent="0.2">
      <c r="A145" s="13"/>
      <c r="F145" s="10"/>
    </row>
    <row r="146" spans="1:6" hidden="1" x14ac:dyDescent="0.2">
      <c r="A146" s="37" t="s">
        <v>2</v>
      </c>
      <c r="B146" s="35"/>
      <c r="C146" s="35"/>
      <c r="D146" s="35"/>
      <c r="E146" s="35"/>
      <c r="F146" s="35"/>
    </row>
    <row r="147" spans="1:6" hidden="1" x14ac:dyDescent="0.2"/>
    <row r="148" spans="1:6" hidden="1" x14ac:dyDescent="0.2">
      <c r="A148" s="13" t="s">
        <v>26</v>
      </c>
      <c r="B148" s="13" t="s">
        <v>27</v>
      </c>
    </row>
    <row r="149" spans="1:6" hidden="1" x14ac:dyDescent="0.2">
      <c r="A149" s="13"/>
      <c r="B149" s="38" t="s">
        <v>28</v>
      </c>
    </row>
    <row r="150" spans="1:6" hidden="1" x14ac:dyDescent="0.2">
      <c r="A150" s="13"/>
      <c r="B150" s="13"/>
      <c r="D150" s="39"/>
    </row>
    <row r="151" spans="1:6" hidden="1" x14ac:dyDescent="0.2">
      <c r="A151" s="13" t="s">
        <v>26</v>
      </c>
      <c r="B151" s="13"/>
      <c r="D151" s="10"/>
    </row>
    <row r="152" spans="1:6" hidden="1" x14ac:dyDescent="0.2">
      <c r="A152" s="13"/>
      <c r="B152" s="13" t="s">
        <v>52</v>
      </c>
      <c r="D152" s="10"/>
    </row>
    <row r="153" spans="1:6" hidden="1" x14ac:dyDescent="0.2">
      <c r="A153" s="13"/>
      <c r="B153" s="13"/>
      <c r="C153" s="4" t="s">
        <v>56</v>
      </c>
      <c r="D153" s="10"/>
    </row>
    <row r="154" spans="1:6" hidden="1" x14ac:dyDescent="0.2">
      <c r="A154" s="13"/>
      <c r="B154" s="13"/>
      <c r="D154" s="10"/>
    </row>
    <row r="155" spans="1:6" hidden="1" x14ac:dyDescent="0.2">
      <c r="A155" s="40" t="s">
        <v>43</v>
      </c>
      <c r="B155" s="40" t="s">
        <v>44</v>
      </c>
      <c r="C155" s="32"/>
      <c r="D155" s="41"/>
    </row>
    <row r="156" spans="1:6" hidden="1" x14ac:dyDescent="0.2">
      <c r="A156" s="40"/>
      <c r="B156" s="42" t="s">
        <v>28</v>
      </c>
      <c r="C156" s="32"/>
      <c r="D156" s="41"/>
    </row>
    <row r="157" spans="1:6" hidden="1" x14ac:dyDescent="0.2">
      <c r="A157" s="40"/>
      <c r="B157" s="40"/>
      <c r="C157" s="32"/>
      <c r="D157" s="43"/>
    </row>
    <row r="158" spans="1:6" hidden="1" x14ac:dyDescent="0.2">
      <c r="A158" s="13"/>
      <c r="B158" s="13"/>
      <c r="D158" s="10"/>
    </row>
    <row r="159" spans="1:6" x14ac:dyDescent="0.2">
      <c r="A159" s="57" t="s">
        <v>1</v>
      </c>
      <c r="B159" s="58"/>
      <c r="C159" s="58"/>
      <c r="D159" s="58"/>
      <c r="E159" s="58"/>
      <c r="F159" s="58"/>
    </row>
    <row r="160" spans="1:6" x14ac:dyDescent="0.2">
      <c r="A160" s="44"/>
      <c r="B160" s="13"/>
      <c r="D160" s="10"/>
    </row>
    <row r="161" spans="1:6" x14ac:dyDescent="0.2">
      <c r="B161" s="13"/>
      <c r="D161" s="10">
        <f>(385000000*0.4101)/1000</f>
        <v>157888.5</v>
      </c>
      <c r="E161" s="6">
        <v>1</v>
      </c>
      <c r="F161" s="5">
        <f>+E161*D161</f>
        <v>157888.5</v>
      </c>
    </row>
    <row r="162" spans="1:6" x14ac:dyDescent="0.2">
      <c r="A162" s="13" t="s">
        <v>54</v>
      </c>
      <c r="B162" s="13"/>
      <c r="C162" s="13" t="s">
        <v>55</v>
      </c>
      <c r="D162" s="5">
        <f>-((151291890)*0.4101)/1000</f>
        <v>-62044.804089000005</v>
      </c>
      <c r="E162" s="6">
        <v>1</v>
      </c>
      <c r="F162" s="5">
        <f>+E162*D162</f>
        <v>-62044.804089000005</v>
      </c>
    </row>
    <row r="163" spans="1:6" x14ac:dyDescent="0.2">
      <c r="B163" s="13"/>
      <c r="C163" s="13"/>
    </row>
    <row r="164" spans="1:6" x14ac:dyDescent="0.2">
      <c r="A164" s="47" t="s">
        <v>83</v>
      </c>
      <c r="B164" s="13"/>
      <c r="C164" s="13"/>
      <c r="D164" s="5">
        <f>((50000/1000)/0.875)</f>
        <v>57.142857142857146</v>
      </c>
      <c r="E164" s="6">
        <f>+E3</f>
        <v>168.75</v>
      </c>
      <c r="F164" s="6">
        <f>+E164*D164</f>
        <v>9642.8571428571431</v>
      </c>
    </row>
    <row r="165" spans="1:6" x14ac:dyDescent="0.2">
      <c r="A165" s="13"/>
      <c r="B165" s="13"/>
      <c r="C165" s="13" t="s">
        <v>55</v>
      </c>
      <c r="D165" s="5">
        <v>0</v>
      </c>
      <c r="E165" s="6">
        <f>+E164</f>
        <v>168.75</v>
      </c>
      <c r="F165" s="6">
        <f>+E165*D165</f>
        <v>0</v>
      </c>
    </row>
    <row r="166" spans="1:6" x14ac:dyDescent="0.2">
      <c r="A166" s="13"/>
      <c r="B166" s="13"/>
      <c r="C166" s="13"/>
      <c r="F166" s="6"/>
    </row>
    <row r="167" spans="1:6" ht="13.5" thickBot="1" x14ac:dyDescent="0.25">
      <c r="A167" s="47" t="s">
        <v>84</v>
      </c>
      <c r="D167" s="45"/>
      <c r="F167" s="21">
        <f>SUM(F115:F166)</f>
        <v>305540.2821621676</v>
      </c>
    </row>
    <row r="168" spans="1:6" ht="13.5" thickTop="1" x14ac:dyDescent="0.2"/>
    <row r="174" spans="1:6" x14ac:dyDescent="0.2">
      <c r="D174" s="10"/>
    </row>
  </sheetData>
  <sheetProtection insertColumns="0" insertRows="0"/>
  <mergeCells count="1">
    <mergeCell ref="A84:D84"/>
  </mergeCells>
  <phoneticPr fontId="0" type="noConversion"/>
  <pageMargins left="0.41" right="0.21" top="0.7" bottom="0.4" header="0.23" footer="0.26"/>
  <pageSetup paperSize="9" scale="84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Complete list</vt:lpstr>
      <vt:lpstr>'Complete list'!Print_Area</vt:lpstr>
    </vt:vector>
  </TitlesOfParts>
  <Company>The Hub Power Company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Jamshaid Ali</dc:creator>
  <cp:lastModifiedBy>ihsan nur rahman</cp:lastModifiedBy>
  <cp:lastPrinted>2012-04-03T10:27:42Z</cp:lastPrinted>
  <dcterms:created xsi:type="dcterms:W3CDTF">2004-07-12T05:44:34Z</dcterms:created>
  <dcterms:modified xsi:type="dcterms:W3CDTF">2024-07-05T08:10:28Z</dcterms:modified>
</cp:coreProperties>
</file>