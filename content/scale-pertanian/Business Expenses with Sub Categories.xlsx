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codeName="ThisWorkbook" hidePivotFieldList="1"/>
  <mc:AlternateContent xmlns:mc="http://schemas.openxmlformats.org/markup-compatibility/2006">
    <mc:Choice Requires="x15">
      <x15ac:absPath xmlns:x15ac="http://schemas.microsoft.com/office/spreadsheetml/2010/11/ac" url="F:\Template Project\Smart Business Owner\Forecasts\"/>
    </mc:Choice>
  </mc:AlternateContent>
  <xr:revisionPtr revIDLastSave="0" documentId="13_ncr:1_{04918D95-55C1-4287-BBC7-589FB53CDF0A}" xr6:coauthVersionLast="47" xr6:coauthVersionMax="47" xr10:uidLastSave="{00000000-0000-0000-0000-000000000000}"/>
  <bookViews>
    <workbookView xWindow="-120" yWindow="-120" windowWidth="20730" windowHeight="11760" activeTab="1" xr2:uid="{00000000-000D-0000-FFFF-FFFF00000000}"/>
  </bookViews>
  <sheets>
    <sheet name="Dashboard" sheetId="1" r:id="rId1"/>
    <sheet name="Expense Log" sheetId="2" r:id="rId2"/>
    <sheet name="Personal Expenses Data" sheetId="4" state="hidden" r:id="rId3"/>
  </sheets>
  <definedNames>
    <definedName name="_xlnm.Print_Titles" localSheetId="1">'Expense Log'!$2:$2</definedName>
    <definedName name="Slicer_Kategori">#N/A</definedName>
    <definedName name="Slicer_Months">#N/A</definedName>
    <definedName name="Slicer_Sub_Kategori">#N/A</definedName>
    <definedName name="Title2">Expenses[[#Headers],[Tanggal]]</definedName>
  </definedNames>
  <calcPr calcId="191029"/>
  <pivotCaches>
    <pivotCache cacheId="0" r:id="rId4"/>
  </pivotCaches>
  <fileRecoveryPr autoRecover="0"/>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2" l="1"/>
  <c r="B5" i="2"/>
  <c r="B10" i="2"/>
  <c r="B11" i="2"/>
  <c r="B12" i="2"/>
  <c r="B9" i="2"/>
  <c r="B13" i="2"/>
  <c r="B15" i="2"/>
  <c r="B14" i="2"/>
  <c r="B17" i="2"/>
  <c r="B19" i="2"/>
  <c r="B22" i="2"/>
  <c r="B21" i="2"/>
  <c r="B20" i="2"/>
  <c r="B18" i="2"/>
  <c r="B16" i="2"/>
  <c r="B8" i="2"/>
  <c r="B6" i="2"/>
  <c r="B4" i="2"/>
  <c r="B3" i="2"/>
</calcChain>
</file>

<file path=xl/sharedStrings.xml><?xml version="1.0" encoding="utf-8"?>
<sst xmlns="http://schemas.openxmlformats.org/spreadsheetml/2006/main" count="87" uniqueCount="54">
  <si>
    <t>PivotChart showing expenses by category and month is in this cell. Slicers to filter expenses by Date, Categories and Subcategories is in cells B3, D3 &amp; F3 below.</t>
  </si>
  <si>
    <t>Slicer to filter table data based on date is in this cell.</t>
  </si>
  <si>
    <t>Slicer to filter table data based on category is in this cell.</t>
  </si>
  <si>
    <t>Slicer to filter table data based on subcategory is in this cell.</t>
  </si>
  <si>
    <t>Transport</t>
  </si>
  <si>
    <t>Internet</t>
  </si>
  <si>
    <t>Landline phone</t>
  </si>
  <si>
    <t>Electricity</t>
  </si>
  <si>
    <t>Travel card</t>
  </si>
  <si>
    <t>Fuel</t>
  </si>
  <si>
    <t>Tea/Coffee</t>
  </si>
  <si>
    <t>Sweets/chocolate</t>
  </si>
  <si>
    <t>Cinema</t>
  </si>
  <si>
    <t>March pass</t>
  </si>
  <si>
    <t>April pass</t>
  </si>
  <si>
    <t>Classic movie night</t>
  </si>
  <si>
    <t>Grand Total</t>
  </si>
  <si>
    <t>Row Labels</t>
  </si>
  <si>
    <t>Rent</t>
  </si>
  <si>
    <t>Meal and Entertainments</t>
  </si>
  <si>
    <t>Office</t>
  </si>
  <si>
    <t>Store</t>
  </si>
  <si>
    <t>Utilities</t>
  </si>
  <si>
    <t>Dinner</t>
  </si>
  <si>
    <t>Stationery</t>
  </si>
  <si>
    <t>Pen</t>
  </si>
  <si>
    <t>Paper</t>
  </si>
  <si>
    <t>Printing</t>
  </si>
  <si>
    <t>Professional</t>
  </si>
  <si>
    <t>Tax Return</t>
  </si>
  <si>
    <t>Marketing</t>
  </si>
  <si>
    <t>AD's on FB</t>
  </si>
  <si>
    <t>Dasbor Pengeluaran Bisnis</t>
  </si>
  <si>
    <t>ke log pengeluaran &gt;</t>
  </si>
  <si>
    <t>Log Pengeluaran</t>
  </si>
  <si>
    <t>Tanggal</t>
  </si>
  <si>
    <t>Kategori</t>
  </si>
  <si>
    <t>Sub Kategori</t>
  </si>
  <si>
    <t>Jumlah</t>
  </si>
  <si>
    <t>Catatan</t>
  </si>
  <si>
    <t>&lt; ke dasbor</t>
  </si>
  <si>
    <t>data pengeluaran pribadi</t>
  </si>
  <si>
    <t>PivotTable di bawah menyediakan sumber data untuk PivotChart Pengeluaran Pribadi di Dasbor. Setiap perubahan yang Anda buat dapat mengakibatkan modifikasi visual pada PivotChart atau kesalahan.</t>
  </si>
  <si>
    <t>2-Mar</t>
  </si>
  <si>
    <t>4-Mar</t>
  </si>
  <si>
    <t>6-Mar</t>
  </si>
  <si>
    <t>2-Apr</t>
  </si>
  <si>
    <t>4-Apr</t>
  </si>
  <si>
    <t>6-Apr</t>
  </si>
  <si>
    <t>1-May</t>
  </si>
  <si>
    <t>1-Jun</t>
  </si>
  <si>
    <t>1-Jul</t>
  </si>
  <si>
    <t>1-Aug</t>
  </si>
  <si>
    <t>Sum of Jumlah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</si>
</sst>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quot;£&quot;* #,##0.00_-;\-&quot;£&quot;* #,##0.00_-;_-&quot;£&quot;* &quot;-&quot;??_-;_-@_-"/>
    <numFmt numFmtId="165" formatCode="_([$IDR]\ * #,##0.00_);_([$IDR]\ * \(#,##0.00\);_([$IDR]\ * &quot;-&quot;??_);_(@_)"/>
  </numFmts>
  <fonts count="8" x14ac:knownFonts="1">
    <font>
      <sz val="11"/>
      <color theme="3"/>
      <name val="Arial"/>
      <family val="2"/>
      <scheme val="minor"/>
    </font>
    <font>
      <b/>
      <sz val="30"/>
      <color theme="4"/>
      <name val="Arial"/>
      <family val="2"/>
      <scheme val="major"/>
    </font>
    <font>
      <sz val="11"/>
      <color theme="3"/>
      <name val="Arial"/>
      <family val="2"/>
      <scheme val="minor"/>
    </font>
    <font>
      <b/>
      <sz val="11"/>
      <color theme="4" tint="-0.24994659260841701"/>
      <name val="Arial"/>
      <family val="2"/>
      <scheme val="minor"/>
    </font>
    <font>
      <b/>
      <sz val="11"/>
      <color theme="4" tint="-0.24994659260841701"/>
      <name val="Arial"/>
      <family val="2"/>
      <scheme val="major"/>
    </font>
    <font>
      <sz val="11"/>
      <color theme="3"/>
      <name val="Arial"/>
      <family val="2"/>
      <scheme val="major"/>
    </font>
    <font>
      <sz val="11"/>
      <color theme="0"/>
      <name val="Arial"/>
      <family val="2"/>
      <scheme val="major"/>
    </font>
    <font>
      <b/>
      <sz val="30"/>
      <color rgb="FFFF0000"/>
      <name val="Arial"/>
      <family val="2"/>
      <scheme val="major"/>
    </font>
  </fonts>
  <fills count="5">
    <fill>
      <patternFill patternType="none"/>
    </fill>
    <fill>
      <patternFill patternType="gray125"/>
    </fill>
    <fill>
      <patternFill patternType="solid">
        <fgColor theme="2"/>
        <bgColor indexed="64"/>
      </patternFill>
    </fill>
    <fill>
      <patternFill patternType="solid">
        <fgColor theme="2"/>
        <bgColor theme="2" tint="0.79995117038483843"/>
      </patternFill>
    </fill>
    <fill>
      <patternFill patternType="solid">
        <fgColor rgb="FFC00000"/>
        <bgColor theme="2" tint="0.79995117038483843"/>
      </patternFill>
    </fill>
  </fills>
  <borders count="2">
    <border>
      <left/>
      <right/>
      <top/>
      <bottom/>
      <diagonal/>
    </border>
    <border>
      <left/>
      <right/>
      <top/>
      <bottom style="thick">
        <color theme="3"/>
      </bottom>
      <diagonal/>
    </border>
  </borders>
  <cellStyleXfs count="6">
    <xf numFmtId="0" fontId="0" fillId="3" borderId="0">
      <alignment horizontal="left" vertical="center" wrapText="1" indent="1"/>
    </xf>
    <xf numFmtId="0" fontId="1" fillId="2" borderId="1" applyNumberFormat="0" applyAlignment="0" applyProtection="0"/>
    <xf numFmtId="0" fontId="3" fillId="3" borderId="1" applyNumberFormat="0" applyFill="0" applyAlignment="0" applyProtection="0">
      <alignment vertical="center"/>
    </xf>
    <xf numFmtId="0" fontId="2" fillId="3" borderId="1" applyNumberFormat="0" applyFill="0" applyAlignment="0" applyProtection="0">
      <alignment vertical="center"/>
    </xf>
    <xf numFmtId="164" fontId="2" fillId="0" borderId="0" applyFont="0" applyFill="0" applyBorder="0" applyProtection="0">
      <alignment horizontal="right" vertical="center" indent="2"/>
    </xf>
    <xf numFmtId="14" fontId="2" fillId="3" borderId="0" applyFont="0" applyFill="0" applyBorder="0">
      <alignment horizontal="right" vertical="center" indent="3"/>
    </xf>
  </cellStyleXfs>
  <cellXfs count="15">
    <xf numFmtId="0" fontId="0" fillId="3" borderId="0" xfId="0">
      <alignment horizontal="left" vertical="center" wrapText="1" indent="1"/>
    </xf>
    <xf numFmtId="0" fontId="0" fillId="2" borderId="0" xfId="0" applyFill="1">
      <alignment horizontal="left" vertical="center" wrapText="1" indent="1"/>
    </xf>
    <xf numFmtId="14" fontId="0" fillId="3" borderId="0" xfId="0" applyNumberFormat="1" applyAlignment="1">
      <alignment horizontal="left" vertical="center" wrapText="1"/>
    </xf>
    <xf numFmtId="0" fontId="1" fillId="2" borderId="1" xfId="1" applyAlignment="1">
      <alignment vertical="center"/>
    </xf>
    <xf numFmtId="0" fontId="0" fillId="3" borderId="0" xfId="0">
      <alignment horizontal="left" vertical="center" wrapText="1" indent="1"/>
    </xf>
    <xf numFmtId="0" fontId="4" fillId="2" borderId="1" xfId="2" applyFont="1" applyFill="1" applyAlignment="1">
      <alignment horizontal="right" vertical="center"/>
    </xf>
    <xf numFmtId="0" fontId="5" fillId="3" borderId="0" xfId="0" applyFont="1">
      <alignment horizontal="left" vertical="center" wrapText="1" indent="1"/>
    </xf>
    <xf numFmtId="0" fontId="6" fillId="3" borderId="0" xfId="0" applyFont="1" applyAlignment="1">
      <alignment horizontal="center" vertical="center"/>
    </xf>
    <xf numFmtId="0" fontId="6" fillId="3" borderId="0" xfId="0" applyFont="1">
      <alignment horizontal="left" vertical="center" wrapText="1" indent="1"/>
    </xf>
    <xf numFmtId="0" fontId="7" fillId="2" borderId="1" xfId="1" applyFont="1" applyAlignment="1">
      <alignment horizontal="left" vertical="center"/>
    </xf>
    <xf numFmtId="14" fontId="5" fillId="3" borderId="0" xfId="5" applyFont="1">
      <alignment horizontal="right" vertical="center" indent="3"/>
    </xf>
    <xf numFmtId="165" fontId="5" fillId="3" borderId="0" xfId="4" applyNumberFormat="1" applyFont="1" applyFill="1" applyBorder="1">
      <alignment horizontal="right" vertical="center" indent="2"/>
    </xf>
    <xf numFmtId="0" fontId="5" fillId="3" borderId="0" xfId="0" applyFont="1" applyAlignment="1">
      <alignment horizontal="left" vertical="center" wrapText="1"/>
    </xf>
    <xf numFmtId="0" fontId="5" fillId="4" borderId="0" xfId="0" applyFont="1" applyFill="1" applyAlignment="1">
      <alignment horizontal="left" vertical="center" indent="1"/>
    </xf>
    <xf numFmtId="2" fontId="5" fillId="4" borderId="0" xfId="0" applyNumberFormat="1" applyFont="1" applyFill="1" applyAlignment="1">
      <alignment horizontal="center" vertical="center"/>
    </xf>
  </cellXfs>
  <cellStyles count="6">
    <cellStyle name="Currency" xfId="4" builtinId="4" customBuiltin="1"/>
    <cellStyle name="Date" xfId="5" xr:uid="{00000000-0005-0000-0000-000001000000}"/>
    <cellStyle name="Followed Hyperlink" xfId="3" builtinId="9" customBuiltin="1"/>
    <cellStyle name="Hyperlink" xfId="2" builtinId="8" customBuiltin="1"/>
    <cellStyle name="Normal" xfId="0" builtinId="0" customBuiltin="1"/>
    <cellStyle name="Title" xfId="1" builtinId="15" customBuiltin="1"/>
  </cellStyles>
  <dxfs count="23">
    <dxf>
      <font>
        <strike val="0"/>
        <outline val="0"/>
        <shadow val="0"/>
        <u val="none"/>
        <vertAlign val="baseline"/>
        <name val="Arial"/>
        <family val="2"/>
        <scheme val="major"/>
      </font>
      <fill>
        <patternFill patternType="solid">
          <fgColor theme="2" tint="0.79995117038483843"/>
          <bgColor rgb="FFC00000"/>
        </patternFill>
      </fill>
    </dxf>
    <dxf>
      <font>
        <strike val="0"/>
        <outline val="0"/>
        <shadow val="0"/>
        <u val="none"/>
        <vertAlign val="baseline"/>
        <name val="Arial"/>
        <family val="2"/>
        <scheme val="major"/>
      </font>
      <fill>
        <patternFill patternType="solid">
          <bgColor theme="2"/>
        </patternFill>
      </fill>
    </dxf>
    <dxf>
      <font>
        <strike val="0"/>
        <outline val="0"/>
        <shadow val="0"/>
        <u val="none"/>
        <vertAlign val="baseline"/>
        <name val="Arial"/>
        <family val="2"/>
        <scheme val="major"/>
      </font>
    </dxf>
    <dxf>
      <font>
        <strike val="0"/>
        <outline val="0"/>
        <shadow val="0"/>
        <u val="none"/>
        <vertAlign val="baseline"/>
        <name val="Arial"/>
        <family val="2"/>
        <scheme val="major"/>
      </font>
      <fill>
        <patternFill patternType="solid">
          <bgColor theme="2"/>
        </patternFill>
      </fill>
      <alignment horizontal="left" vertical="center" textRotation="0" wrapText="1" indent="1" justifyLastLine="0" shrinkToFit="0" readingOrder="0"/>
    </dxf>
    <dxf>
      <font>
        <strike val="0"/>
        <outline val="0"/>
        <shadow val="0"/>
        <u val="none"/>
        <vertAlign val="baseline"/>
        <name val="Arial"/>
        <family val="2"/>
        <scheme val="major"/>
      </font>
      <numFmt numFmtId="165" formatCode="_([$IDR]\ * #,##0.00_);_([$IDR]\ * \(#,##0.00\);_([$IDR]\ * &quot;-&quot;??_);_(@_)"/>
      <fill>
        <patternFill patternType="solid">
          <bgColor theme="2"/>
        </patternFill>
      </fill>
    </dxf>
    <dxf>
      <font>
        <strike val="0"/>
        <outline val="0"/>
        <shadow val="0"/>
        <u val="none"/>
        <vertAlign val="baseline"/>
        <name val="Arial"/>
        <family val="2"/>
        <scheme val="major"/>
      </font>
      <fill>
        <patternFill patternType="solid">
          <bgColor theme="2"/>
        </patternFill>
      </fill>
      <alignment horizontal="left" vertical="center" textRotation="0" wrapText="1" indent="1" justifyLastLine="0" shrinkToFit="0" readingOrder="0"/>
    </dxf>
    <dxf>
      <font>
        <strike val="0"/>
        <outline val="0"/>
        <shadow val="0"/>
        <u val="none"/>
        <vertAlign val="baseline"/>
        <name val="Arial"/>
        <family val="2"/>
        <scheme val="major"/>
      </font>
      <fill>
        <patternFill patternType="solid">
          <bgColor theme="2"/>
        </patternFill>
      </fill>
      <alignment horizontal="left" vertical="center" textRotation="0" wrapText="1" indent="1" justifyLastLine="0" shrinkToFit="0" readingOrder="0"/>
    </dxf>
    <dxf>
      <font>
        <strike val="0"/>
        <outline val="0"/>
        <shadow val="0"/>
        <u val="none"/>
        <vertAlign val="baseline"/>
        <name val="Arial"/>
        <family val="2"/>
        <scheme val="major"/>
      </font>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fgColor theme="2" tint="0.79995117038483843"/>
          <bgColor theme="2"/>
        </patternFill>
      </fill>
      <alignment horizontal="left" vertical="center" textRotation="0" wrapText="1" indent="1" justifyLastLine="0" shrinkToFit="0" readingOrder="0"/>
    </dxf>
    <dxf>
      <fill>
        <patternFill patternType="solid">
          <fgColor theme="2" tint="0.79995117038483843"/>
          <bgColor theme="2"/>
        </patternFill>
      </fill>
      <alignment horizontal="left" vertical="center" textRotation="0" wrapText="1" indent="1" justifyLastLine="0" shrinkToFit="0" readingOrder="0"/>
    </dxf>
    <dxf>
      <fill>
        <patternFill patternType="solid">
          <fgColor theme="2" tint="0.79995117038483843"/>
          <bgColor theme="2"/>
        </patternFill>
      </fill>
      <alignment horizontal="left" vertical="center" textRotation="0" wrapText="1" indent="1" justifyLastLine="0" shrinkToFit="0" readingOrder="0"/>
    </dxf>
    <dxf>
      <numFmt numFmtId="0" formatCode="General"/>
      <alignment horizontal="right" vertical="center" textRotation="0" wrapText="0" indent="3" justifyLastLine="0" shrinkToFit="0" readingOrder="0"/>
      <protection locked="1" hidden="0"/>
    </dxf>
    <dxf>
      <font>
        <b/>
        <i val="0"/>
        <color theme="0"/>
      </font>
      <fill>
        <patternFill patternType="solid">
          <bgColor theme="3"/>
        </patternFill>
      </fill>
      <border>
        <top style="thick">
          <color theme="4"/>
        </top>
        <bottom/>
        <vertical/>
        <horizontal/>
      </border>
    </dxf>
    <dxf>
      <font>
        <sz val="11"/>
        <color theme="1"/>
        <name val="Arial"/>
        <scheme val="minor"/>
      </font>
      <fill>
        <patternFill>
          <bgColor theme="2"/>
        </patternFill>
      </fill>
      <border>
        <left/>
        <right/>
        <top/>
        <bottom/>
        <vertical/>
        <horizontal/>
      </border>
    </dxf>
    <dxf>
      <fill>
        <patternFill patternType="solid">
          <fgColor theme="2" tint="0.59996337778862885"/>
          <bgColor theme="0" tint="-4.9989318521683403E-2"/>
        </patternFill>
      </fill>
    </dxf>
    <dxf>
      <fill>
        <patternFill patternType="solid">
          <fgColor theme="2" tint="0.79995117038483843"/>
          <bgColor theme="2"/>
        </patternFill>
      </fill>
    </dxf>
    <dxf>
      <font>
        <b/>
        <i val="0"/>
        <color theme="2" tint="0.79998168889431442"/>
      </font>
      <fill>
        <patternFill>
          <bgColor theme="3"/>
        </patternFill>
      </fill>
      <border>
        <top style="thick">
          <color theme="4"/>
        </top>
      </border>
    </dxf>
    <dxf>
      <font>
        <b val="0"/>
        <i val="0"/>
        <color theme="3"/>
      </font>
      <fill>
        <patternFill patternType="none">
          <bgColor auto="1"/>
        </patternFill>
      </fill>
      <border diagonalUp="0" diagonalDown="0">
        <left/>
        <right/>
        <top/>
        <bottom style="thick">
          <color theme="4"/>
        </bottom>
        <vertical/>
        <horizontal/>
      </border>
    </dxf>
  </dxfs>
  <tableStyles count="2" defaultTableStyle="Expense Log" defaultPivotStyle="PivotStyleMedium9">
    <tableStyle name="Expense Log" pivot="0" count="4" xr9:uid="{00000000-0011-0000-FFFF-FFFF00000000}">
      <tableStyleElement type="wholeTable" dxfId="22"/>
      <tableStyleElement type="headerRow" dxfId="21"/>
      <tableStyleElement type="firstRowStripe" dxfId="20"/>
      <tableStyleElement type="secondRowStripe" dxfId="19"/>
    </tableStyle>
    <tableStyle name="Personal Expense Slicer" pivot="0" table="0" count="10" xr9:uid="{00000000-0011-0000-FFFF-FFFF01000000}">
      <tableStyleElement type="wholeTable" dxfId="18"/>
      <tableStyleElement type="headerRow" dxfId="17"/>
    </tableStyle>
  </tableStyles>
  <colors>
    <mruColors>
      <color rgb="FFF8F7EB"/>
      <color rgb="FFF8F7EC"/>
      <color rgb="FFFFD0AA"/>
    </mruColors>
  </colors>
  <extLst>
    <ext xmlns:x14="http://schemas.microsoft.com/office/spreadsheetml/2009/9/main" uri="{46F421CA-312F-682f-3DD2-61675219B42D}">
      <x14:dxfs count="8">
        <dxf>
          <font>
            <color theme="3"/>
          </font>
          <fill>
            <patternFill patternType="solid">
              <fgColor auto="1"/>
              <bgColor theme="3" tint="0.79998168889431442"/>
            </patternFill>
          </fill>
          <border diagonalUp="0" diagonalDown="0">
            <left/>
            <right/>
            <top/>
            <bottom/>
            <vertical/>
            <horizontal/>
          </border>
        </dxf>
        <dxf>
          <font>
            <color theme="3"/>
          </font>
          <fill>
            <patternFill patternType="solid">
              <fgColor auto="1"/>
              <bgColor theme="3" tint="0.79998168889431442"/>
            </patternFill>
          </fill>
          <border diagonalUp="0" diagonalDown="0">
            <left/>
            <right/>
            <top/>
            <bottom/>
            <vertical/>
            <horizontal/>
          </border>
        </dxf>
        <dxf>
          <font>
            <color theme="3"/>
          </font>
          <fill>
            <patternFill patternType="solid">
              <fgColor auto="1"/>
              <bgColor theme="3" tint="0.79998168889431442"/>
            </patternFill>
          </fill>
          <border diagonalUp="0" diagonalDown="0">
            <left/>
            <right/>
            <top/>
            <bottom/>
            <vertical/>
            <horizontal/>
          </border>
        </dxf>
        <dxf>
          <font>
            <color theme="3"/>
          </font>
          <fill>
            <patternFill patternType="solid">
              <fgColor auto="1"/>
              <bgColor theme="3" tint="0.79998168889431442"/>
            </patternFill>
          </fill>
          <border diagonalUp="0" diagonalDown="0">
            <left/>
            <right/>
            <top/>
            <bottom/>
            <vertical/>
            <horizontal/>
          </border>
        </dxf>
        <dxf>
          <font>
            <b/>
            <i val="0"/>
            <color theme="0"/>
          </font>
          <fill>
            <patternFill patternType="solid">
              <fgColor theme="6" tint="0.59999389629810485"/>
              <bgColor theme="4" tint="0.39994506668294322"/>
            </patternFill>
          </fill>
          <border diagonalUp="0" diagonalDown="0">
            <left/>
            <right/>
            <top/>
            <bottom/>
            <vertical/>
            <horizontal/>
          </border>
        </dxf>
        <dxf>
          <font>
            <b/>
            <i val="0"/>
            <color theme="0"/>
          </font>
          <fill>
            <patternFill patternType="solid">
              <fgColor theme="6"/>
              <bgColor theme="4" tint="-0.24994659260841701"/>
            </patternFill>
          </fill>
          <border diagonalUp="0" diagonalDown="0">
            <left/>
            <right/>
            <top/>
            <bottom/>
            <vertical/>
            <horizontal/>
          </border>
        </dxf>
        <dxf>
          <font>
            <color rgb="FF959595"/>
          </font>
          <fill>
            <patternFill patternType="solid">
              <fgColor rgb="FFDFDFDF"/>
              <bgColor theme="2" tint="0.59996337778862885"/>
            </patternFill>
          </fill>
          <border>
            <left style="thin">
              <color rgb="FFDFDFDF"/>
            </left>
            <right style="thin">
              <color rgb="FFDFDFDF"/>
            </right>
            <top style="thin">
              <color rgb="FFDFDFDF"/>
            </top>
            <bottom style="thin">
              <color rgb="FFDFDFDF"/>
            </bottom>
            <vertical/>
            <horizontal/>
          </border>
        </dxf>
        <dxf>
          <font>
            <sz val="9"/>
            <color theme="3"/>
            <name val="Arial"/>
            <scheme val="minor"/>
          </font>
          <fill>
            <patternFill patternType="solid">
              <fgColor rgb="FFC0C0C0"/>
              <bgColor theme="2" tint="0.59996337778862885"/>
            </patternFill>
          </fill>
          <border>
            <left style="thin">
              <color theme="3" tint="0.39994506668294322"/>
            </left>
            <right style="thin">
              <color theme="3" tint="0.39994506668294322"/>
            </right>
            <top style="thin">
              <color theme="3" tint="0.39994506668294322"/>
            </top>
            <bottom style="thin">
              <color theme="3" tint="0.39994506668294322"/>
            </bottom>
            <vertical/>
            <horizontal/>
          </border>
        </dxf>
      </x14:dxfs>
    </ext>
    <ext xmlns:x14="http://schemas.microsoft.com/office/spreadsheetml/2009/9/main" uri="{EB79DEF2-80B8-43e5-95BD-54CBDDF9020C}">
      <x14:slicerStyles defaultSlicerStyle="Personal Expense Slicer">
        <x14:slicerStyle name="Personal Expense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[Business Expenses with Sub Categories.xlsx]Personal Expenses Data!PersonalExpensesData</c:name>
    <c:fmtId val="2"/>
  </c:pivotSource>
  <c:chart>
    <c:autoTitleDeleted val="1"/>
    <c:pivotFmts>
      <c:pivotFmt>
        <c:idx val="0"/>
      </c:pivotFmt>
      <c:pivotFmt>
        <c:idx val="1"/>
      </c:pivotFmt>
      <c:pivotFmt>
        <c:idx val="2"/>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250175624598648E-2"/>
          <c:y val="1.7494987039663519E-2"/>
          <c:w val="0.95901312335958"/>
          <c:h val="0.86763958852969469"/>
        </c:manualLayout>
      </c:layout>
      <c:barChart>
        <c:barDir val="col"/>
        <c:grouping val="clustered"/>
        <c:varyColors val="0"/>
        <c:ser>
          <c:idx val="0"/>
          <c:order val="0"/>
          <c:tx>
            <c:strRef>
              <c:f>'Personal Expenses Data'!$C$3</c:f>
              <c:strCache>
                <c:ptCount val="1"/>
                <c:pt idx="0">
                  <c:v>Total</c:v>
                </c:pt>
              </c:strCache>
            </c:strRef>
          </c:tx>
          <c:spPr>
            <a:solidFill>
              <a:schemeClr val="accent2"/>
            </a:solidFill>
            <a:ln>
              <a:noFill/>
            </a:ln>
            <a:effectLst/>
          </c:spPr>
          <c:invertIfNegative val="0"/>
          <c:cat>
            <c:multiLvlStrRef>
              <c:f>'Personal Expenses Data'!$B$4:$B$30</c:f>
              <c:multiLvlStrCache>
                <c:ptCount val="16"/>
                <c:lvl>
                  <c:pt idx="0">
                    <c:v>Rent</c:v>
                  </c:pt>
                  <c:pt idx="1">
                    <c:v>Meal and Entertainments</c:v>
                  </c:pt>
                  <c:pt idx="2">
                    <c:v>Utilities</c:v>
                  </c:pt>
                  <c:pt idx="3">
                    <c:v>Marketing</c:v>
                  </c:pt>
                  <c:pt idx="4">
                    <c:v>Transport</c:v>
                  </c:pt>
                  <c:pt idx="5">
                    <c:v>Meal and Entertainments</c:v>
                  </c:pt>
                  <c:pt idx="6">
                    <c:v>Professional</c:v>
                  </c:pt>
                  <c:pt idx="7">
                    <c:v>Transport</c:v>
                  </c:pt>
                  <c:pt idx="8">
                    <c:v>Stationery</c:v>
                  </c:pt>
                  <c:pt idx="9">
                    <c:v>Utilities</c:v>
                  </c:pt>
                  <c:pt idx="10">
                    <c:v>Stationery</c:v>
                  </c:pt>
                  <c:pt idx="11">
                    <c:v>Transport</c:v>
                  </c:pt>
                  <c:pt idx="12">
                    <c:v>Transport</c:v>
                  </c:pt>
                  <c:pt idx="13">
                    <c:v>Stationery</c:v>
                  </c:pt>
                  <c:pt idx="14">
                    <c:v>Meal and Entertainments</c:v>
                  </c:pt>
                  <c:pt idx="15">
                    <c:v>Meal and Entertainments</c:v>
                  </c:pt>
                </c:lvl>
                <c:lvl>
                  <c:pt idx="0">
                    <c:v>2-Mar</c:v>
                  </c:pt>
                  <c:pt idx="1">
                    <c:v>4-Mar</c:v>
                  </c:pt>
                  <c:pt idx="3">
                    <c:v>6-Mar</c:v>
                  </c:pt>
                  <c:pt idx="5">
                    <c:v>2-Apr</c:v>
                  </c:pt>
                  <c:pt idx="8">
                    <c:v>4-Apr</c:v>
                  </c:pt>
                  <c:pt idx="10">
                    <c:v>6-Apr</c:v>
                  </c:pt>
                  <c:pt idx="12">
                    <c:v>1-May</c:v>
                  </c:pt>
                  <c:pt idx="13">
                    <c:v>1-Jun</c:v>
                  </c:pt>
                  <c:pt idx="14">
                    <c:v>1-Jul</c:v>
                  </c:pt>
                  <c:pt idx="15">
                    <c:v>1-Aug</c:v>
                  </c:pt>
                </c:lvl>
              </c:multiLvlStrCache>
            </c:multiLvlStrRef>
          </c:cat>
          <c:val>
            <c:numRef>
              <c:f>'Personal Expenses Data'!$C$4:$C$30</c:f>
              <c:numCache>
                <c:formatCode>General</c:formatCode>
                <c:ptCount val="16"/>
                <c:pt idx="0">
                  <c:v>68</c:v>
                </c:pt>
                <c:pt idx="1">
                  <c:v>29</c:v>
                </c:pt>
                <c:pt idx="2">
                  <c:v>62</c:v>
                </c:pt>
                <c:pt idx="3">
                  <c:v>42</c:v>
                </c:pt>
                <c:pt idx="4">
                  <c:v>21</c:v>
                </c:pt>
                <c:pt idx="5">
                  <c:v>14.75</c:v>
                </c:pt>
                <c:pt idx="6">
                  <c:v>12</c:v>
                </c:pt>
                <c:pt idx="7">
                  <c:v>54</c:v>
                </c:pt>
                <c:pt idx="8">
                  <c:v>29</c:v>
                </c:pt>
                <c:pt idx="9">
                  <c:v>130</c:v>
                </c:pt>
                <c:pt idx="10">
                  <c:v>42</c:v>
                </c:pt>
                <c:pt idx="11">
                  <c:v>21</c:v>
                </c:pt>
                <c:pt idx="12">
                  <c:v>54</c:v>
                </c:pt>
                <c:pt idx="13">
                  <c:v>12</c:v>
                </c:pt>
                <c:pt idx="14">
                  <c:v>21</c:v>
                </c:pt>
                <c:pt idx="15">
                  <c:v>2.75</c:v>
                </c:pt>
              </c:numCache>
            </c:numRef>
          </c:val>
          <c:extLst>
            <c:ext xmlns:c16="http://schemas.microsoft.com/office/drawing/2014/chart" uri="{C3380CC4-5D6E-409C-BE32-E72D297353CC}">
              <c16:uniqueId val="{00000002-00AA-4BA8-BCE5-FF037B7799AF}"/>
            </c:ext>
          </c:extLst>
        </c:ser>
        <c:dLbls>
          <c:showLegendKey val="0"/>
          <c:showVal val="0"/>
          <c:showCatName val="0"/>
          <c:showSerName val="0"/>
          <c:showPercent val="0"/>
          <c:showBubbleSize val="0"/>
        </c:dLbls>
        <c:gapWidth val="99"/>
        <c:axId val="34616784"/>
        <c:axId val="34611296"/>
      </c:barChart>
      <c:catAx>
        <c:axId val="34616784"/>
        <c:scaling>
          <c:orientation val="minMax"/>
        </c:scaling>
        <c:delete val="0"/>
        <c:axPos val="b"/>
        <c:numFmt formatCode="General" sourceLinked="0"/>
        <c:majorTickMark val="none"/>
        <c:minorTickMark val="none"/>
        <c:tickLblPos val="nextTo"/>
        <c:spPr>
          <a:noFill/>
          <a:ln w="12700" cap="flat" cmpd="sng" algn="ctr">
            <a:solidFill>
              <a:schemeClr val="tx2">
                <a:lumMod val="20000"/>
                <a:lumOff val="80000"/>
              </a:schemeClr>
            </a:solidFill>
            <a:prstDash val="solid"/>
            <a:round/>
          </a:ln>
          <a:effectLst/>
        </c:spPr>
        <c:txPr>
          <a:bodyPr rot="-60000000" spcFirstLastPara="1" vertOverflow="ellipsis" vert="horz" wrap="square" anchor="ctr" anchorCtr="1"/>
          <a:lstStyle/>
          <a:p>
            <a:pPr>
              <a:defRPr sz="1100" b="0" i="0" u="none" strike="noStrike" kern="1200" baseline="0">
                <a:solidFill>
                  <a:schemeClr val="tx2"/>
                </a:solidFill>
                <a:latin typeface="+mn-lt"/>
                <a:ea typeface="+mn-ea"/>
                <a:cs typeface="+mn-cs"/>
              </a:defRPr>
            </a:pPr>
            <a:endParaRPr lang="en-US"/>
          </a:p>
        </c:txPr>
        <c:crossAx val="34611296"/>
        <c:crosses val="autoZero"/>
        <c:auto val="1"/>
        <c:lblAlgn val="ctr"/>
        <c:lblOffset val="100"/>
        <c:noMultiLvlLbl val="0"/>
      </c:catAx>
      <c:valAx>
        <c:axId val="34611296"/>
        <c:scaling>
          <c:orientation val="minMax"/>
        </c:scaling>
        <c:delete val="0"/>
        <c:axPos val="l"/>
        <c:majorGridlines>
          <c:spPr>
            <a:ln w="12700" cap="flat" cmpd="sng" algn="ctr">
              <a:solidFill>
                <a:schemeClr val="tx2">
                  <a:lumMod val="20000"/>
                  <a:lumOff val="80000"/>
                </a:schemeClr>
              </a:solidFill>
              <a:prstDash val="solid"/>
              <a:round/>
            </a:ln>
            <a:effectLst/>
          </c:spPr>
        </c:majorGridlines>
        <c:numFmt formatCode="General" sourceLinked="1"/>
        <c:majorTickMark val="none"/>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1100" b="0" i="0" u="none" strike="noStrike" kern="1200" baseline="0">
                <a:solidFill>
                  <a:schemeClr val="tx2"/>
                </a:solidFill>
                <a:latin typeface="+mn-lt"/>
                <a:ea typeface="+mn-ea"/>
                <a:cs typeface="+mn-cs"/>
              </a:defRPr>
            </a:pPr>
            <a:endParaRPr lang="en-US"/>
          </a:p>
        </c:txPr>
        <c:crossAx val="34616784"/>
        <c:crosses val="autoZero"/>
        <c:crossBetween val="between"/>
      </c:valAx>
      <c:spPr>
        <a:noFill/>
        <a:ln>
          <a:noFill/>
        </a:ln>
        <a:effectLst/>
      </c:spPr>
    </c:plotArea>
    <c:plotVisOnly val="1"/>
    <c:dispBlanksAs val="gap"/>
    <c:showDLblsOverMax val="0"/>
  </c:chart>
  <c:spPr>
    <a:noFill/>
    <a:ln w="9525" cap="flat" cmpd="sng" algn="ctr">
      <a:noFill/>
      <a:prstDash val="solid"/>
      <a:round/>
    </a:ln>
    <a:effectLst/>
  </c:spPr>
  <c:txPr>
    <a:bodyPr/>
    <a:lstStyle/>
    <a:p>
      <a:pPr>
        <a:defRPr>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190499</xdr:rowOff>
    </xdr:from>
    <xdr:to>
      <xdr:col>5</xdr:col>
      <xdr:colOff>5610225</xdr:colOff>
      <xdr:row>1</xdr:row>
      <xdr:rowOff>3381374</xdr:rowOff>
    </xdr:to>
    <xdr:graphicFrame macro="">
      <xdr:nvGraphicFramePr>
        <xdr:cNvPr id="2" name="Personal Expenses" descr="Personal Expense PivotChart for total expenses by category, grouped by month">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469900</xdr:colOff>
      <xdr:row>2</xdr:row>
      <xdr:rowOff>581024</xdr:rowOff>
    </xdr:from>
    <xdr:to>
      <xdr:col>3</xdr:col>
      <xdr:colOff>555626</xdr:colOff>
      <xdr:row>9</xdr:row>
      <xdr:rowOff>133349</xdr:rowOff>
    </xdr:to>
    <mc:AlternateContent xmlns:mc="http://schemas.openxmlformats.org/markup-compatibility/2006" xmlns:a14="http://schemas.microsoft.com/office/drawing/2010/main">
      <mc:Choice Requires="a14">
        <xdr:graphicFrame macro="">
          <xdr:nvGraphicFramePr>
            <xdr:cNvPr id="6" name="Sub Kategori">
              <a:extLst>
                <a:ext uri="{FF2B5EF4-FFF2-40B4-BE49-F238E27FC236}">
                  <a16:creationId xmlns:a16="http://schemas.microsoft.com/office/drawing/2014/main" id="{9358AE69-718D-4D0D-A7AF-6C7906EDFE9A}"/>
                </a:ext>
              </a:extLst>
            </xdr:cNvPr>
            <xdr:cNvGraphicFramePr/>
          </xdr:nvGraphicFramePr>
          <xdr:xfrm>
            <a:off x="0" y="0"/>
            <a:ext cx="0" cy="0"/>
          </xdr:xfrm>
          <a:graphic>
            <a:graphicData uri="http://schemas.microsoft.com/office/drawing/2010/slicer">
              <sle:slicer xmlns:sle="http://schemas.microsoft.com/office/drawing/2010/slicer" name="Sub Kategori"/>
            </a:graphicData>
          </a:graphic>
        </xdr:graphicFrame>
      </mc:Choice>
      <mc:Fallback xmlns="">
        <xdr:sp macro="" textlink="">
          <xdr:nvSpPr>
            <xdr:cNvPr id="0" name=""/>
            <xdr:cNvSpPr>
              <a:spLocks noTextEdit="1"/>
            </xdr:cNvSpPr>
          </xdr:nvSpPr>
          <xdr:spPr>
            <a:xfrm>
              <a:off x="671606" y="4828053"/>
              <a:ext cx="3290608" cy="25106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2104230</xdr:colOff>
      <xdr:row>2</xdr:row>
      <xdr:rowOff>594519</xdr:rowOff>
    </xdr:from>
    <xdr:to>
      <xdr:col>5</xdr:col>
      <xdr:colOff>5556249</xdr:colOff>
      <xdr:row>9</xdr:row>
      <xdr:rowOff>146844</xdr:rowOff>
    </xdr:to>
    <mc:AlternateContent xmlns:mc="http://schemas.openxmlformats.org/markup-compatibility/2006" xmlns:a14="http://schemas.microsoft.com/office/drawing/2010/main">
      <mc:Choice Requires="a14">
        <xdr:graphicFrame macro="">
          <xdr:nvGraphicFramePr>
            <xdr:cNvPr id="8" name="Kategori">
              <a:extLst>
                <a:ext uri="{FF2B5EF4-FFF2-40B4-BE49-F238E27FC236}">
                  <a16:creationId xmlns:a16="http://schemas.microsoft.com/office/drawing/2014/main" id="{9BE3DA73-1F16-4B52-97BD-75B3290DBEB1}"/>
                </a:ext>
              </a:extLst>
            </xdr:cNvPr>
            <xdr:cNvGraphicFramePr/>
          </xdr:nvGraphicFramePr>
          <xdr:xfrm>
            <a:off x="0" y="0"/>
            <a:ext cx="0" cy="0"/>
          </xdr:xfrm>
          <a:graphic>
            <a:graphicData uri="http://schemas.microsoft.com/office/drawing/2010/slicer">
              <sle:slicer xmlns:sle="http://schemas.microsoft.com/office/drawing/2010/slicer" name="Kategori"/>
            </a:graphicData>
          </a:graphic>
        </xdr:graphicFrame>
      </mc:Choice>
      <mc:Fallback xmlns="">
        <xdr:sp macro="" textlink="">
          <xdr:nvSpPr>
            <xdr:cNvPr id="0" name=""/>
            <xdr:cNvSpPr>
              <a:spLocks noTextEdit="1"/>
            </xdr:cNvSpPr>
          </xdr:nvSpPr>
          <xdr:spPr>
            <a:xfrm>
              <a:off x="8245054" y="4841548"/>
              <a:ext cx="3452019" cy="25106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773206</xdr:colOff>
      <xdr:row>2</xdr:row>
      <xdr:rowOff>560295</xdr:rowOff>
    </xdr:from>
    <xdr:to>
      <xdr:col>5</xdr:col>
      <xdr:colOff>1905000</xdr:colOff>
      <xdr:row>9</xdr:row>
      <xdr:rowOff>126067</xdr:rowOff>
    </xdr:to>
    <mc:AlternateContent xmlns:mc="http://schemas.openxmlformats.org/markup-compatibility/2006" xmlns:a14="http://schemas.microsoft.com/office/drawing/2010/main">
      <mc:Choice Requires="a14">
        <xdr:graphicFrame macro="">
          <xdr:nvGraphicFramePr>
            <xdr:cNvPr id="9" name="Months">
              <a:extLst>
                <a:ext uri="{FF2B5EF4-FFF2-40B4-BE49-F238E27FC236}">
                  <a16:creationId xmlns:a16="http://schemas.microsoft.com/office/drawing/2014/main" id="{AD12F3D4-5CFB-4C99-A41D-80F431F3751F}"/>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4179794" y="4807324"/>
              <a:ext cx="386603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yaa" refreshedDate="45107.896944675929" createdVersion="5" refreshedVersion="6" minRefreshableVersion="3" recordCount="20" xr:uid="{00000000-000A-0000-FFFF-FFFF4A000000}">
  <cacheSource type="worksheet">
    <worksheetSource name="Expenses"/>
  </cacheSource>
  <cacheFields count="6">
    <cacheField name="Tanggal" numFmtId="14">
      <sharedItems containsSemiMixedTypes="0" containsNonDate="0" containsDate="1" containsString="0" minDate="2023-03-02T00:00:00" maxDate="2023-08-02T00:00:00" count="10">
        <d v="2023-03-02T00:00:00"/>
        <d v="2023-03-04T00:00:00"/>
        <d v="2023-03-06T00:00:00"/>
        <d v="2023-04-02T00:00:00"/>
        <d v="2023-04-04T00:00:00"/>
        <d v="2023-04-06T00:00:00"/>
        <d v="2023-05-01T00:00:00"/>
        <d v="2023-06-01T00:00:00"/>
        <d v="2023-07-01T00:00:00"/>
        <d v="2023-08-01T00:00:00"/>
      </sharedItems>
      <fieldGroup par="5" base="0">
        <rangePr groupBy="days" startDate="2023-03-02T00:00:00" endDate="2023-08-02T00:00:00"/>
        <groupItems count="368">
          <s v="&lt;3/2/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8/2/2023"/>
        </groupItems>
      </fieldGroup>
    </cacheField>
    <cacheField name="Kategori" numFmtId="0">
      <sharedItems count="7">
        <s v="Rent"/>
        <s v="Utilities"/>
        <s v="Meal and Entertainments"/>
        <s v="Marketing"/>
        <s v="Transport"/>
        <s v="Professional"/>
        <s v="Stationery"/>
      </sharedItems>
    </cacheField>
    <cacheField name="Sub Kategori" numFmtId="0">
      <sharedItems count="16">
        <s v="Office"/>
        <s v="Store"/>
        <s v="Electricity"/>
        <s v="Dinner"/>
        <s v="AD's on FB"/>
        <s v="Travel card"/>
        <s v="Fuel"/>
        <s v="Tax Return"/>
        <s v="Tea/Coffee"/>
        <s v="Sweets/chocolate"/>
        <s v="Internet"/>
        <s v="Landline phone"/>
        <s v="Printing"/>
        <s v="Paper"/>
        <s v="Pen"/>
        <s v="Cinema"/>
      </sharedItems>
    </cacheField>
    <cacheField name="Jumlah" numFmtId="165">
      <sharedItems containsSemiMixedTypes="0" containsString="0" containsNumber="1" minValue="2.75" maxValue="62" count="8">
        <n v="29"/>
        <n v="39"/>
        <n v="62"/>
        <n v="42"/>
        <n v="21"/>
        <n v="54"/>
        <n v="12"/>
        <n v="2.75"/>
      </sharedItems>
    </cacheField>
    <cacheField name="Catatan" numFmtId="0">
      <sharedItems containsBlank="1"/>
    </cacheField>
    <cacheField name="Months" numFmtId="0" databaseField="0">
      <fieldGroup base="0">
        <rangePr groupBy="months" startDate="2023-03-02T00:00:00" endDate="2023-08-02T00:00:00"/>
        <groupItems count="14">
          <s v="&lt;3/2/2023"/>
          <s v="Jan"/>
          <s v="Feb"/>
          <s v="Mar"/>
          <s v="Apr"/>
          <s v="May"/>
          <s v="Jun"/>
          <s v="Jul"/>
          <s v="Aug"/>
          <s v="Sep"/>
          <s v="Oct"/>
          <s v="Nov"/>
          <s v="Dec"/>
          <s v="&gt;8/2/2023"/>
        </groupItems>
      </fieldGroup>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m/>
  </r>
  <r>
    <x v="0"/>
    <x v="0"/>
    <x v="1"/>
    <x v="1"/>
    <m/>
  </r>
  <r>
    <x v="1"/>
    <x v="1"/>
    <x v="2"/>
    <x v="2"/>
    <m/>
  </r>
  <r>
    <x v="1"/>
    <x v="2"/>
    <x v="3"/>
    <x v="0"/>
    <m/>
  </r>
  <r>
    <x v="2"/>
    <x v="3"/>
    <x v="4"/>
    <x v="3"/>
    <m/>
  </r>
  <r>
    <x v="2"/>
    <x v="4"/>
    <x v="5"/>
    <x v="4"/>
    <s v="March pass"/>
  </r>
  <r>
    <x v="3"/>
    <x v="4"/>
    <x v="6"/>
    <x v="5"/>
    <m/>
  </r>
  <r>
    <x v="3"/>
    <x v="5"/>
    <x v="7"/>
    <x v="6"/>
    <m/>
  </r>
  <r>
    <x v="3"/>
    <x v="2"/>
    <x v="8"/>
    <x v="6"/>
    <m/>
  </r>
  <r>
    <x v="3"/>
    <x v="2"/>
    <x v="9"/>
    <x v="7"/>
    <m/>
  </r>
  <r>
    <x v="4"/>
    <x v="1"/>
    <x v="10"/>
    <x v="0"/>
    <m/>
  </r>
  <r>
    <x v="4"/>
    <x v="1"/>
    <x v="11"/>
    <x v="1"/>
    <m/>
  </r>
  <r>
    <x v="4"/>
    <x v="1"/>
    <x v="2"/>
    <x v="2"/>
    <m/>
  </r>
  <r>
    <x v="4"/>
    <x v="6"/>
    <x v="12"/>
    <x v="0"/>
    <m/>
  </r>
  <r>
    <x v="5"/>
    <x v="6"/>
    <x v="13"/>
    <x v="3"/>
    <m/>
  </r>
  <r>
    <x v="5"/>
    <x v="4"/>
    <x v="5"/>
    <x v="4"/>
    <s v="April pass"/>
  </r>
  <r>
    <x v="6"/>
    <x v="4"/>
    <x v="6"/>
    <x v="5"/>
    <m/>
  </r>
  <r>
    <x v="7"/>
    <x v="6"/>
    <x v="14"/>
    <x v="6"/>
    <m/>
  </r>
  <r>
    <x v="8"/>
    <x v="2"/>
    <x v="15"/>
    <x v="4"/>
    <s v="Classic movie night"/>
  </r>
  <r>
    <x v="9"/>
    <x v="2"/>
    <x v="9"/>
    <x v="7"/>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ersonalExpensesData" cacheId="0" applyNumberFormats="0" applyBorderFormats="0" applyFontFormats="0" applyPatternFormats="0" applyAlignmentFormats="0" applyWidthHeightFormats="1" dataCaption="Values" updatedVersion="6" minRefreshableVersion="3" useAutoFormatting="1" itemPrintTitles="1" createdVersion="4" indent="0" outline="1" outlineData="1" multipleFieldFilters="0" chartFormat="12">
  <location ref="B3:C30" firstHeaderRow="1" firstDataRow="1" firstDataCol="1"/>
  <pivotFields count="6">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8">
        <item x="3"/>
        <item x="2"/>
        <item x="5"/>
        <item x="0"/>
        <item x="6"/>
        <item x="4"/>
        <item x="1"/>
        <item t="default"/>
      </items>
    </pivotField>
    <pivotField showAll="0">
      <items count="17">
        <item x="4"/>
        <item x="15"/>
        <item x="3"/>
        <item x="2"/>
        <item x="6"/>
        <item x="10"/>
        <item x="11"/>
        <item x="0"/>
        <item x="13"/>
        <item x="14"/>
        <item x="12"/>
        <item x="1"/>
        <item x="9"/>
        <item x="7"/>
        <item x="8"/>
        <item x="5"/>
        <item t="default"/>
      </items>
    </pivotField>
    <pivotField dataField="1" numFmtId="165" showAll="0">
      <items count="9">
        <item x="7"/>
        <item x="6"/>
        <item x="4"/>
        <item x="0"/>
        <item x="1"/>
        <item x="3"/>
        <item x="5"/>
        <item x="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2">
    <field x="0"/>
    <field x="1"/>
  </rowFields>
  <rowItems count="27">
    <i>
      <x v="62"/>
    </i>
    <i r="1">
      <x v="3"/>
    </i>
    <i>
      <x v="64"/>
    </i>
    <i r="1">
      <x v="1"/>
    </i>
    <i r="1">
      <x v="6"/>
    </i>
    <i>
      <x v="66"/>
    </i>
    <i r="1">
      <x/>
    </i>
    <i r="1">
      <x v="5"/>
    </i>
    <i>
      <x v="93"/>
    </i>
    <i r="1">
      <x v="1"/>
    </i>
    <i r="1">
      <x v="2"/>
    </i>
    <i r="1">
      <x v="5"/>
    </i>
    <i>
      <x v="95"/>
    </i>
    <i r="1">
      <x v="4"/>
    </i>
    <i r="1">
      <x v="6"/>
    </i>
    <i>
      <x v="97"/>
    </i>
    <i r="1">
      <x v="4"/>
    </i>
    <i r="1">
      <x v="5"/>
    </i>
    <i>
      <x v="122"/>
    </i>
    <i r="1">
      <x v="5"/>
    </i>
    <i>
      <x v="153"/>
    </i>
    <i r="1">
      <x v="4"/>
    </i>
    <i>
      <x v="183"/>
    </i>
    <i r="1">
      <x v="1"/>
    </i>
    <i>
      <x v="214"/>
    </i>
    <i r="1">
      <x v="1"/>
    </i>
    <i t="grand">
      <x/>
    </i>
  </rowItems>
  <colItems count="1">
    <i/>
  </colItems>
  <dataFields count="1">
    <dataField name="Sum of Jumlah" fld="3" baseField="0" baseItem="0"/>
  </dataFields>
  <formats count="5">
    <format dxfId="12">
      <pivotArea type="all" dataOnly="0" outline="0" fieldPosition="0"/>
    </format>
    <format dxfId="11">
      <pivotArea outline="0" collapsedLevelsAreSubtotals="1" fieldPosition="0"/>
    </format>
    <format dxfId="10">
      <pivotArea dataOnly="0" labelOnly="1" outline="0" axis="axisValues" fieldPosition="0"/>
    </format>
    <format dxfId="9">
      <pivotArea dataOnly="0" labelOnly="1" grandRow="1" outline="0" fieldPosition="0"/>
    </format>
    <format dxfId="8">
      <pivotArea dataOnly="0" labelOnly="1" outline="0" axis="axisValues" fieldPosition="0"/>
    </format>
  </formats>
  <chartFormats count="1">
    <chartFormat chart="2"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altText="Personal Expenses Data" altTextSummary="PivotChart data source for each month’s total expenses grouped by expense categories. "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Kategori" xr10:uid="{D2E57609-56B8-4718-8564-4645C733D486}" sourceName="Sub Kategori">
  <pivotTables>
    <pivotTable tabId="4" name="PersonalExpensesData"/>
  </pivotTables>
  <data>
    <tabular pivotCacheId="2">
      <items count="16">
        <i x="4" s="1"/>
        <i x="15" s="1"/>
        <i x="3" s="1"/>
        <i x="2" s="1"/>
        <i x="6" s="1"/>
        <i x="10" s="1"/>
        <i x="11" s="1"/>
        <i x="0" s="1"/>
        <i x="13" s="1"/>
        <i x="14" s="1"/>
        <i x="12" s="1"/>
        <i x="1" s="1"/>
        <i x="9" s="1"/>
        <i x="7" s="1"/>
        <i x="8"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 xr10:uid="{1ED3E00A-ABAC-4D23-BAC1-53F227660F05}" sourceName="Kategori">
  <pivotTables>
    <pivotTable tabId="4" name="PersonalExpensesData"/>
  </pivotTables>
  <data>
    <tabular pivotCacheId="2">
      <items count="7">
        <i x="3" s="1"/>
        <i x="2" s="1"/>
        <i x="5" s="1"/>
        <i x="0" s="1"/>
        <i x="6"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71C1E939-63B4-4423-B041-93436316B226}" sourceName="Months">
  <pivotTables>
    <pivotTable tabId="4" name="PersonalExpensesData"/>
  </pivotTables>
  <data>
    <tabular pivotCacheId="2">
      <items count="14">
        <i x="3" s="1"/>
        <i x="4" s="1"/>
        <i x="5" s="1"/>
        <i x="6" s="1"/>
        <i x="7" s="1"/>
        <i x="8" s="1"/>
        <i x="1" s="1" nd="1"/>
        <i x="2"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 Kategori" xr10:uid="{8228231A-B5D3-4C23-BAAC-DD8227A701C7}" cache="Slicer_Sub_Kategori" caption="Sub Kategori" startItem="2" columnCount="2" style="SlicerStyleDark2" rowHeight="241300"/>
  <slicer name="Kategori" xr10:uid="{2A439D4D-0A80-4797-8156-A9F2B71B0BB7}" cache="Slicer_Kategori" caption="Kategori" columnCount="2" style="SlicerStyleDark2" rowHeight="241300"/>
  <slicer name="Months" xr10:uid="{0E754BA5-E045-4897-9DD0-68EA84EED418}" cache="Slicer_Months" caption="Bulan" columnCount="2"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0000000}" name="Expenses" displayName="Expenses" ref="B2:F22" headerRowDxfId="0" dataDxfId="1" totalsRowDxfId="2">
  <autoFilter ref="B2:F22" xr:uid="{00000000-0009-0000-0100-00000C000000}"/>
  <sortState xmlns:xlrd2="http://schemas.microsoft.com/office/spreadsheetml/2017/richdata2" ref="B3:F22">
    <sortCondition ref="B2:B22"/>
  </sortState>
  <tableColumns count="5">
    <tableColumn id="1" xr3:uid="{00000000-0010-0000-0000-000001000000}" name="Tanggal" totalsRowLabel="Total" dataDxfId="7" totalsRowDxfId="16" dataCellStyle="Date"/>
    <tableColumn id="2" xr3:uid="{00000000-0010-0000-0000-000002000000}" name="Kategori" dataDxfId="6" totalsRowDxfId="15"/>
    <tableColumn id="3" xr3:uid="{00000000-0010-0000-0000-000003000000}" name="Sub Kategori" dataDxfId="5" totalsRowDxfId="14"/>
    <tableColumn id="6" xr3:uid="{00000000-0010-0000-0000-000006000000}" name="Jumlah" dataDxfId="4" dataCellStyle="Currency"/>
    <tableColumn id="4" xr3:uid="{00000000-0010-0000-0000-000004000000}" name="Catatan" totalsRowFunction="count" dataDxfId="3" totalsRowDxfId="13"/>
  </tableColumns>
  <tableStyleInfo name="TableStyleLight10" showFirstColumn="0" showLastColumn="0" showRowStripes="1" showColumnStripes="0"/>
  <extLst>
    <ext xmlns:x14="http://schemas.microsoft.com/office/spreadsheetml/2009/9/main" uri="{504A1905-F514-4f6f-8877-14C23A59335A}">
      <x14:table altTextSummary="Enter date, category, subcategory, amount and notes in this table"/>
    </ext>
  </extLst>
</table>
</file>

<file path=xl/theme/theme1.xml><?xml version="1.0" encoding="utf-8"?>
<a:theme xmlns:a="http://schemas.openxmlformats.org/drawingml/2006/main" name="Office Theme">
  <a:themeElements>
    <a:clrScheme name="Personal Expense Calculator">
      <a:dk1>
        <a:sysClr val="windowText" lastClr="000000"/>
      </a:dk1>
      <a:lt1>
        <a:sysClr val="window" lastClr="FFFFFF"/>
      </a:lt1>
      <a:dk2>
        <a:srgbClr val="1D3641"/>
      </a:dk2>
      <a:lt2>
        <a:srgbClr val="F9FAF5"/>
      </a:lt2>
      <a:accent1>
        <a:srgbClr val="759AA5"/>
      </a:accent1>
      <a:accent2>
        <a:srgbClr val="F56B12"/>
      </a:accent2>
      <a:accent3>
        <a:srgbClr val="99987F"/>
      </a:accent3>
      <a:accent4>
        <a:srgbClr val="90AC97"/>
      </a:accent4>
      <a:accent5>
        <a:srgbClr val="CFC60D"/>
      </a:accent5>
      <a:accent6>
        <a:srgbClr val="B9AB6F"/>
      </a:accent6>
      <a:hlink>
        <a:srgbClr val="66AACD"/>
      </a:hlink>
      <a:folHlink>
        <a:srgbClr val="809DB3"/>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pageSetUpPr autoPageBreaks="0"/>
  </sheetPr>
  <dimension ref="B1:F3"/>
  <sheetViews>
    <sheetView showGridLines="0" showRowColHeaders="0" zoomScale="85" zoomScaleNormal="85" workbookViewId="0">
      <selection activeCell="J2" sqref="J2"/>
    </sheetView>
  </sheetViews>
  <sheetFormatPr defaultColWidth="6" defaultRowHeight="15" customHeight="1" x14ac:dyDescent="0.2"/>
  <cols>
    <col min="1" max="1" width="2.625" style="6" customWidth="1"/>
    <col min="2" max="2" width="17" style="6" customWidth="1"/>
    <col min="3" max="3" width="25" style="6" customWidth="1"/>
    <col min="4" max="4" width="23" style="6" customWidth="1"/>
    <col min="5" max="5" width="13" style="6" customWidth="1"/>
    <col min="6" max="6" width="74.5" style="6" customWidth="1"/>
    <col min="7" max="7" width="2.625" style="6" customWidth="1"/>
    <col min="8" max="16384" width="6" style="6"/>
  </cols>
  <sheetData>
    <row r="1" spans="2:6" ht="63" customHeight="1" thickBot="1" x14ac:dyDescent="0.25">
      <c r="B1" s="9" t="s">
        <v>32</v>
      </c>
      <c r="C1" s="9"/>
      <c r="D1" s="9"/>
      <c r="E1" s="9"/>
      <c r="F1" s="5" t="s">
        <v>33</v>
      </c>
    </row>
    <row r="2" spans="2:6" ht="272.10000000000002" customHeight="1" thickTop="1" x14ac:dyDescent="0.2">
      <c r="B2" s="7" t="s">
        <v>0</v>
      </c>
      <c r="C2" s="7"/>
      <c r="D2" s="7"/>
      <c r="E2" s="7"/>
      <c r="F2" s="7"/>
    </row>
    <row r="3" spans="2:6" ht="142.5" customHeight="1" x14ac:dyDescent="0.2">
      <c r="B3" s="7" t="s">
        <v>1</v>
      </c>
      <c r="C3" s="7"/>
      <c r="D3" s="7" t="s">
        <v>2</v>
      </c>
      <c r="E3" s="7"/>
      <c r="F3" s="8" t="s">
        <v>3</v>
      </c>
    </row>
  </sheetData>
  <sheetProtection selectLockedCells="1" pivotTables="0" selectUnlockedCells="1"/>
  <mergeCells count="4">
    <mergeCell ref="B2:F2"/>
    <mergeCell ref="B1:E1"/>
    <mergeCell ref="B3:C3"/>
    <mergeCell ref="D3:E3"/>
  </mergeCells>
  <dataValidations count="3">
    <dataValidation allowBlank="1" showInputMessage="1" showErrorMessage="1" prompt="Buat Kalkulator Pengeluaran Pribadi di buku kerja ini. PivotChart menunjukkan pengeluaran per kategori dan bulan di sel B2. Pilih sel F1 untuk menavigasi ke lembar kerja Log Pengeluaran" sqref="A1" xr:uid="{00000000-0002-0000-0000-000000000000}"/>
    <dataValidation allowBlank="1" showInputMessage="1" showErrorMessage="1" prompt="Judul lembar kerja ini ada di sel ini. PivotChart Pengeluaran Pribadi ada di sel di bawah ini. Tautan navigasi ke lembar kerja Log Pengeluaran ada di sel sebelah kanan" sqref="B1:E1" xr:uid="{00000000-0002-0000-0000-000001000000}"/>
    <dataValidation allowBlank="1" showInputMessage="1" showErrorMessage="1" prompt="Tautan navigasi ke lembar kerja Log Pengeluaran ada di sel sebelah kanan" sqref="F1" xr:uid="{00000000-0002-0000-0000-000002000000}"/>
  </dataValidations>
  <hyperlinks>
    <hyperlink ref="F1" location="'Expense Log'!A1" display="ke log pengeluaran &gt;" xr:uid="{7D84BEBC-D200-442E-9155-7293ED724C26}"/>
  </hyperlinks>
  <pageMargins left="0.7" right="0.7" top="0.75" bottom="0.75" header="0.3" footer="0.3"/>
  <pageSetup paperSize="9" fitToHeight="0"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C00000"/>
    <pageSetUpPr autoPageBreaks="0"/>
  </sheetPr>
  <dimension ref="B1:F22"/>
  <sheetViews>
    <sheetView showGridLines="0" showRowColHeaders="0" tabSelected="1" topLeftCell="A25" zoomScaleNormal="100" workbookViewId="0">
      <selection activeCell="F34" sqref="F34"/>
    </sheetView>
  </sheetViews>
  <sheetFormatPr defaultRowHeight="30" customHeight="1" x14ac:dyDescent="0.2"/>
  <cols>
    <col min="1" max="1" width="2.625" style="6" customWidth="1"/>
    <col min="2" max="2" width="17" style="6" customWidth="1"/>
    <col min="3" max="3" width="25" style="6" customWidth="1"/>
    <col min="4" max="4" width="23" style="6" customWidth="1"/>
    <col min="5" max="5" width="13" style="6" customWidth="1"/>
    <col min="6" max="6" width="38" style="6" customWidth="1"/>
    <col min="7" max="7" width="2.625" style="6" customWidth="1"/>
    <col min="8" max="16384" width="9" style="6"/>
  </cols>
  <sheetData>
    <row r="1" spans="2:6" ht="63" customHeight="1" thickBot="1" x14ac:dyDescent="0.25">
      <c r="B1" s="9" t="s">
        <v>34</v>
      </c>
      <c r="C1" s="9"/>
      <c r="D1" s="9"/>
      <c r="E1" s="9"/>
      <c r="F1" s="5" t="s">
        <v>40</v>
      </c>
    </row>
    <row r="2" spans="2:6" ht="30" customHeight="1" thickTop="1" x14ac:dyDescent="0.2">
      <c r="B2" s="13" t="s">
        <v>35</v>
      </c>
      <c r="C2" s="13" t="s">
        <v>36</v>
      </c>
      <c r="D2" s="13" t="s">
        <v>37</v>
      </c>
      <c r="E2" s="14" t="s">
        <v>38</v>
      </c>
      <c r="F2" s="13" t="s">
        <v>39</v>
      </c>
    </row>
    <row r="3" spans="2:6" ht="30" customHeight="1" x14ac:dyDescent="0.2">
      <c r="B3" s="10">
        <f ca="1">DATE(YEAR(TODAY()),3,2)</f>
        <v>45353</v>
      </c>
      <c r="C3" s="6" t="s">
        <v>18</v>
      </c>
      <c r="D3" s="6" t="s">
        <v>20</v>
      </c>
      <c r="E3" s="11">
        <v>29</v>
      </c>
      <c r="F3" s="12"/>
    </row>
    <row r="4" spans="2:6" ht="30" customHeight="1" x14ac:dyDescent="0.2">
      <c r="B4" s="10">
        <f t="shared" ref="B4" ca="1" si="0">DATE(YEAR(TODAY()),3,2)</f>
        <v>45353</v>
      </c>
      <c r="C4" s="6" t="s">
        <v>18</v>
      </c>
      <c r="D4" s="6" t="s">
        <v>21</v>
      </c>
      <c r="E4" s="11">
        <v>39</v>
      </c>
    </row>
    <row r="5" spans="2:6" ht="30" customHeight="1" x14ac:dyDescent="0.2">
      <c r="B5" s="10">
        <f ca="1">DATE(YEAR(TODAY()),3,4)</f>
        <v>45355</v>
      </c>
      <c r="C5" s="6" t="s">
        <v>22</v>
      </c>
      <c r="D5" s="6" t="s">
        <v>7</v>
      </c>
      <c r="E5" s="11">
        <v>62</v>
      </c>
    </row>
    <row r="6" spans="2:6" ht="30" customHeight="1" x14ac:dyDescent="0.2">
      <c r="B6" s="10">
        <f ca="1">DATE(YEAR(TODAY()),3,4)</f>
        <v>45355</v>
      </c>
      <c r="C6" s="6" t="s">
        <v>19</v>
      </c>
      <c r="D6" s="6" t="s">
        <v>23</v>
      </c>
      <c r="E6" s="11">
        <v>29</v>
      </c>
    </row>
    <row r="7" spans="2:6" ht="30" customHeight="1" x14ac:dyDescent="0.2">
      <c r="B7" s="10">
        <f ca="1">DATE(YEAR(TODAY()),3,6)</f>
        <v>45357</v>
      </c>
      <c r="C7" s="6" t="s">
        <v>30</v>
      </c>
      <c r="D7" s="6" t="s">
        <v>31</v>
      </c>
      <c r="E7" s="11">
        <v>42</v>
      </c>
    </row>
    <row r="8" spans="2:6" ht="30" customHeight="1" x14ac:dyDescent="0.2">
      <c r="B8" s="10">
        <f ca="1">DATE(YEAR(TODAY()),3,6)</f>
        <v>45357</v>
      </c>
      <c r="C8" s="6" t="s">
        <v>4</v>
      </c>
      <c r="D8" s="6" t="s">
        <v>8</v>
      </c>
      <c r="E8" s="11">
        <v>21</v>
      </c>
      <c r="F8" s="6" t="s">
        <v>13</v>
      </c>
    </row>
    <row r="9" spans="2:6" ht="30" customHeight="1" x14ac:dyDescent="0.2">
      <c r="B9" s="10">
        <f ca="1">DATE(YEAR(TODAY()),4,2)</f>
        <v>45384</v>
      </c>
      <c r="C9" s="6" t="s">
        <v>4</v>
      </c>
      <c r="D9" s="6" t="s">
        <v>9</v>
      </c>
      <c r="E9" s="11">
        <v>54</v>
      </c>
    </row>
    <row r="10" spans="2:6" ht="30" customHeight="1" x14ac:dyDescent="0.2">
      <c r="B10" s="10">
        <f t="shared" ref="B10:B12" ca="1" si="1">DATE(YEAR(TODAY()),4,2)</f>
        <v>45384</v>
      </c>
      <c r="C10" s="6" t="s">
        <v>28</v>
      </c>
      <c r="D10" s="6" t="s">
        <v>29</v>
      </c>
      <c r="E10" s="11">
        <v>12</v>
      </c>
    </row>
    <row r="11" spans="2:6" ht="30" customHeight="1" x14ac:dyDescent="0.2">
      <c r="B11" s="10">
        <f t="shared" ca="1" si="1"/>
        <v>45384</v>
      </c>
      <c r="C11" s="6" t="s">
        <v>19</v>
      </c>
      <c r="D11" s="6" t="s">
        <v>10</v>
      </c>
      <c r="E11" s="11">
        <v>12</v>
      </c>
    </row>
    <row r="12" spans="2:6" ht="30" customHeight="1" x14ac:dyDescent="0.2">
      <c r="B12" s="10">
        <f t="shared" ca="1" si="1"/>
        <v>45384</v>
      </c>
      <c r="C12" s="6" t="s">
        <v>19</v>
      </c>
      <c r="D12" s="6" t="s">
        <v>11</v>
      </c>
      <c r="E12" s="11">
        <v>2.75</v>
      </c>
    </row>
    <row r="13" spans="2:6" ht="30" customHeight="1" x14ac:dyDescent="0.2">
      <c r="B13" s="10">
        <f ca="1">DATE(YEAR(TODAY()),4,4)</f>
        <v>45386</v>
      </c>
      <c r="C13" s="6" t="s">
        <v>22</v>
      </c>
      <c r="D13" s="6" t="s">
        <v>5</v>
      </c>
      <c r="E13" s="11">
        <v>29</v>
      </c>
    </row>
    <row r="14" spans="2:6" ht="30" customHeight="1" x14ac:dyDescent="0.2">
      <c r="B14" s="10">
        <f ca="1">DATE(YEAR(TODAY()),4,4)</f>
        <v>45386</v>
      </c>
      <c r="C14" s="6" t="s">
        <v>22</v>
      </c>
      <c r="D14" s="6" t="s">
        <v>6</v>
      </c>
      <c r="E14" s="11">
        <v>39</v>
      </c>
    </row>
    <row r="15" spans="2:6" ht="30" customHeight="1" x14ac:dyDescent="0.2">
      <c r="B15" s="10">
        <f ca="1">DATE(YEAR(TODAY()),4,4)</f>
        <v>45386</v>
      </c>
      <c r="C15" s="6" t="s">
        <v>22</v>
      </c>
      <c r="D15" s="6" t="s">
        <v>7</v>
      </c>
      <c r="E15" s="11">
        <v>62</v>
      </c>
    </row>
    <row r="16" spans="2:6" ht="30" customHeight="1" x14ac:dyDescent="0.2">
      <c r="B16" s="10">
        <f ca="1">DATE(YEAR(TODAY()),4,4)</f>
        <v>45386</v>
      </c>
      <c r="C16" s="6" t="s">
        <v>24</v>
      </c>
      <c r="D16" s="6" t="s">
        <v>27</v>
      </c>
      <c r="E16" s="11">
        <v>29</v>
      </c>
    </row>
    <row r="17" spans="2:6" ht="30" customHeight="1" x14ac:dyDescent="0.2">
      <c r="B17" s="10">
        <f ca="1">DATE(YEAR(TODAY()),4,6)</f>
        <v>45388</v>
      </c>
      <c r="C17" s="6" t="s">
        <v>24</v>
      </c>
      <c r="D17" s="6" t="s">
        <v>26</v>
      </c>
      <c r="E17" s="11">
        <v>42</v>
      </c>
    </row>
    <row r="18" spans="2:6" ht="30" customHeight="1" x14ac:dyDescent="0.2">
      <c r="B18" s="10">
        <f ca="1">DATE(YEAR(TODAY()),4,6)</f>
        <v>45388</v>
      </c>
      <c r="C18" s="6" t="s">
        <v>4</v>
      </c>
      <c r="D18" s="6" t="s">
        <v>8</v>
      </c>
      <c r="E18" s="11">
        <v>21</v>
      </c>
      <c r="F18" s="6" t="s">
        <v>14</v>
      </c>
    </row>
    <row r="19" spans="2:6" ht="30" customHeight="1" x14ac:dyDescent="0.2">
      <c r="B19" s="10">
        <f ca="1">DATE(YEAR(TODAY()),5,1)</f>
        <v>45413</v>
      </c>
      <c r="C19" s="6" t="s">
        <v>4</v>
      </c>
      <c r="D19" s="6" t="s">
        <v>9</v>
      </c>
      <c r="E19" s="11">
        <v>54</v>
      </c>
    </row>
    <row r="20" spans="2:6" ht="30" customHeight="1" x14ac:dyDescent="0.2">
      <c r="B20" s="10">
        <f ca="1">DATE(YEAR(TODAY()),6,1)</f>
        <v>45444</v>
      </c>
      <c r="C20" s="6" t="s">
        <v>24</v>
      </c>
      <c r="D20" s="6" t="s">
        <v>25</v>
      </c>
      <c r="E20" s="11">
        <v>12</v>
      </c>
    </row>
    <row r="21" spans="2:6" ht="30" customHeight="1" x14ac:dyDescent="0.2">
      <c r="B21" s="10">
        <f ca="1">DATE(YEAR(TODAY()),7,1)</f>
        <v>45474</v>
      </c>
      <c r="C21" s="6" t="s">
        <v>19</v>
      </c>
      <c r="D21" s="6" t="s">
        <v>12</v>
      </c>
      <c r="E21" s="11">
        <v>21</v>
      </c>
      <c r="F21" s="6" t="s">
        <v>15</v>
      </c>
    </row>
    <row r="22" spans="2:6" ht="30" customHeight="1" x14ac:dyDescent="0.2">
      <c r="B22" s="10">
        <f ca="1">DATE(YEAR(TODAY()),8,1)</f>
        <v>45505</v>
      </c>
      <c r="C22" s="6" t="s">
        <v>19</v>
      </c>
      <c r="D22" s="6" t="s">
        <v>11</v>
      </c>
      <c r="E22" s="11">
        <v>2.75</v>
      </c>
    </row>
  </sheetData>
  <mergeCells count="1">
    <mergeCell ref="B1:E1"/>
  </mergeCells>
  <dataValidations count="10">
    <dataValidation type="date" operator="greaterThan" allowBlank="1" showInputMessage="1" showErrorMessage="1" sqref="B3:B22" xr:uid="{00000000-0002-0000-0100-000000000000}">
      <formula1>40544</formula1>
    </dataValidation>
    <dataValidation type="decimal" allowBlank="1" showInputMessage="1" showErrorMessage="1" sqref="E3:E22" xr:uid="{00000000-0002-0000-0100-000001000000}">
      <formula1>0</formula1>
      <formula2>100000</formula2>
    </dataValidation>
    <dataValidation allowBlank="1" showInputMessage="1" showErrorMessage="1" prompt="Create an Expense Log in this worksheet. Select cell F1 to navigate to Dashboard. Enter expense details in Expenses table" sqref="A1" xr:uid="{00000000-0002-0000-0100-000002000000}"/>
    <dataValidation allowBlank="1" showInputMessage="1" showErrorMessage="1" prompt="Judul lembar kerja ini ada di sel ini. Tautan navigasi ke lembar kerja Dasbor ada di sel sebelah kanan. Masukkan rincian dalam tabel di bawah ini" sqref="B1:E1" xr:uid="{00000000-0002-0000-0100-000003000000}"/>
    <dataValidation allowBlank="1" showInputMessage="1" showErrorMessage="1" prompt="Tautan navigasi ke lembar kerja Dasbor ada di sel ini" sqref="F1" xr:uid="{00000000-0002-0000-0100-000004000000}"/>
    <dataValidation allowBlank="1" showInputMessage="1" showErrorMessage="1" prompt="Masukkan tanggal di kolom ini di bawah judul ini. Gunakan filter tajuk untuk menemukan entri tertentu" sqref="B2" xr:uid="{00000000-0002-0000-0100-000005000000}"/>
    <dataValidation allowBlank="1" showInputMessage="1" showErrorMessage="1" prompt="Masukkan Kategori di kolom ini di bawah judul ini" sqref="C2" xr:uid="{00000000-0002-0000-0100-000006000000}"/>
    <dataValidation allowBlank="1" showInputMessage="1" showErrorMessage="1" prompt="Masukkan Subkategori di kolom ini di bawah tajuk ini" sqref="D2" xr:uid="{00000000-0002-0000-0100-000007000000}"/>
    <dataValidation allowBlank="1" showInputMessage="1" showErrorMessage="1" prompt="Masukkan Jumlah di kolom ini di bawah judul ini" sqref="E2" xr:uid="{00000000-0002-0000-0100-000008000000}"/>
    <dataValidation allowBlank="1" showInputMessage="1" showErrorMessage="1" prompt="Masukkan Catatan di kolom ini di bawah judul ini" sqref="F2" xr:uid="{00000000-0002-0000-0100-000009000000}"/>
  </dataValidations>
  <hyperlinks>
    <hyperlink ref="F1" location="Dashboard!A1" tooltip="Select to navigate to Dashboard worksheet" display="&lt; to dashboard" xr:uid="{00000000-0004-0000-0100-000000000000}"/>
  </hyperlinks>
  <pageMargins left="0.7" right="0.7" top="0.75" bottom="0.75" header="0.3" footer="0.3"/>
  <pageSetup paperSize="9" fitToHeight="0"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D30"/>
  <sheetViews>
    <sheetView workbookViewId="0">
      <selection activeCell="B3" sqref="B3"/>
    </sheetView>
  </sheetViews>
  <sheetFormatPr defaultColWidth="8.625" defaultRowHeight="14.25" x14ac:dyDescent="0.2"/>
  <cols>
    <col min="1" max="1" width="2.875" customWidth="1"/>
    <col min="2" max="2" width="14.625" bestFit="1" customWidth="1"/>
    <col min="3" max="3" width="7.5" bestFit="1" customWidth="1"/>
    <col min="4" max="4" width="36.375" customWidth="1"/>
    <col min="5" max="5" width="2.625" customWidth="1"/>
  </cols>
  <sheetData>
    <row r="1" spans="1:4" s="1" customFormat="1" ht="53.25" customHeight="1" thickBot="1" x14ac:dyDescent="0.25">
      <c r="A1"/>
      <c r="B1" s="3" t="s">
        <v>41</v>
      </c>
      <c r="C1" s="3"/>
      <c r="D1" s="3"/>
    </row>
    <row r="2" spans="1:4" ht="72.599999999999994" customHeight="1" thickTop="1" x14ac:dyDescent="0.2">
      <c r="B2" s="4" t="s">
        <v>42</v>
      </c>
      <c r="C2" s="4"/>
      <c r="D2" s="4"/>
    </row>
    <row r="3" spans="1:4" ht="57" x14ac:dyDescent="0.2">
      <c r="B3" t="s">
        <v>17</v>
      </c>
      <c r="C3" t="s">
        <v>53</v>
      </c>
    </row>
    <row r="4" spans="1:4" x14ac:dyDescent="0.2">
      <c r="B4" s="2" t="s">
        <v>43</v>
      </c>
      <c r="C4">
        <v>68</v>
      </c>
    </row>
    <row r="5" spans="1:4" x14ac:dyDescent="0.2">
      <c r="B5" t="s">
        <v>18</v>
      </c>
      <c r="C5">
        <v>68</v>
      </c>
    </row>
    <row r="6" spans="1:4" x14ac:dyDescent="0.2">
      <c r="B6" s="2" t="s">
        <v>44</v>
      </c>
      <c r="C6">
        <v>91</v>
      </c>
    </row>
    <row r="7" spans="1:4" ht="42.75" x14ac:dyDescent="0.2">
      <c r="B7" t="s">
        <v>19</v>
      </c>
      <c r="C7">
        <v>29</v>
      </c>
    </row>
    <row r="8" spans="1:4" x14ac:dyDescent="0.2">
      <c r="B8" t="s">
        <v>22</v>
      </c>
      <c r="C8">
        <v>62</v>
      </c>
    </row>
    <row r="9" spans="1:4" x14ac:dyDescent="0.2">
      <c r="B9" s="2" t="s">
        <v>45</v>
      </c>
      <c r="C9">
        <v>63</v>
      </c>
    </row>
    <row r="10" spans="1:4" x14ac:dyDescent="0.2">
      <c r="B10" t="s">
        <v>30</v>
      </c>
      <c r="C10">
        <v>42</v>
      </c>
    </row>
    <row r="11" spans="1:4" x14ac:dyDescent="0.2">
      <c r="B11" t="s">
        <v>4</v>
      </c>
      <c r="C11">
        <v>21</v>
      </c>
    </row>
    <row r="12" spans="1:4" x14ac:dyDescent="0.2">
      <c r="B12" s="2" t="s">
        <v>46</v>
      </c>
      <c r="C12">
        <v>80.75</v>
      </c>
    </row>
    <row r="13" spans="1:4" ht="42.75" x14ac:dyDescent="0.2">
      <c r="B13" t="s">
        <v>19</v>
      </c>
      <c r="C13">
        <v>14.75</v>
      </c>
    </row>
    <row r="14" spans="1:4" ht="28.5" x14ac:dyDescent="0.2">
      <c r="B14" t="s">
        <v>28</v>
      </c>
      <c r="C14">
        <v>12</v>
      </c>
    </row>
    <row r="15" spans="1:4" x14ac:dyDescent="0.2">
      <c r="B15" t="s">
        <v>4</v>
      </c>
      <c r="C15">
        <v>54</v>
      </c>
    </row>
    <row r="16" spans="1:4" ht="15" x14ac:dyDescent="0.2">
      <c r="B16" s="2" t="s">
        <v>47</v>
      </c>
      <c r="C16">
        <v>159</v>
      </c>
    </row>
    <row r="17" spans="2:3" x14ac:dyDescent="0.2">
      <c r="B17" t="s">
        <v>24</v>
      </c>
      <c r="C17">
        <v>29</v>
      </c>
    </row>
    <row r="18" spans="2:3" x14ac:dyDescent="0.2">
      <c r="B18" t="s">
        <v>22</v>
      </c>
      <c r="C18">
        <v>130</v>
      </c>
    </row>
    <row r="19" spans="2:3" ht="15" x14ac:dyDescent="0.2">
      <c r="B19" s="2" t="s">
        <v>48</v>
      </c>
      <c r="C19">
        <v>63</v>
      </c>
    </row>
    <row r="20" spans="2:3" x14ac:dyDescent="0.2">
      <c r="B20" t="s">
        <v>24</v>
      </c>
      <c r="C20">
        <v>42</v>
      </c>
    </row>
    <row r="21" spans="2:3" x14ac:dyDescent="0.2">
      <c r="B21" t="s">
        <v>4</v>
      </c>
      <c r="C21">
        <v>21</v>
      </c>
    </row>
    <row r="22" spans="2:3" ht="15" x14ac:dyDescent="0.2">
      <c r="B22" s="2" t="s">
        <v>49</v>
      </c>
      <c r="C22">
        <v>54</v>
      </c>
    </row>
    <row r="23" spans="2:3" x14ac:dyDescent="0.2">
      <c r="B23" t="s">
        <v>4</v>
      </c>
      <c r="C23">
        <v>54</v>
      </c>
    </row>
    <row r="24" spans="2:3" ht="15" x14ac:dyDescent="0.2">
      <c r="B24" s="2" t="s">
        <v>50</v>
      </c>
      <c r="C24">
        <v>12</v>
      </c>
    </row>
    <row r="25" spans="2:3" x14ac:dyDescent="0.2">
      <c r="B25" t="s">
        <v>24</v>
      </c>
      <c r="C25">
        <v>12</v>
      </c>
    </row>
    <row r="26" spans="2:3" ht="15" x14ac:dyDescent="0.2">
      <c r="B26" s="2" t="s">
        <v>51</v>
      </c>
      <c r="C26">
        <v>21</v>
      </c>
    </row>
    <row r="27" spans="2:3" ht="42.75" x14ac:dyDescent="0.2">
      <c r="B27" t="s">
        <v>19</v>
      </c>
      <c r="C27">
        <v>21</v>
      </c>
    </row>
    <row r="28" spans="2:3" ht="15" x14ac:dyDescent="0.2">
      <c r="B28" s="2" t="s">
        <v>52</v>
      </c>
      <c r="C28">
        <v>2.75</v>
      </c>
    </row>
    <row r="29" spans="2:3" ht="42.75" x14ac:dyDescent="0.2">
      <c r="B29" t="s">
        <v>19</v>
      </c>
      <c r="C29">
        <v>2.75</v>
      </c>
    </row>
    <row r="30" spans="2:3" ht="15" x14ac:dyDescent="0.2">
      <c r="B30" s="2" t="s">
        <v>16</v>
      </c>
      <c r="C30">
        <v>614.5</v>
      </c>
    </row>
  </sheetData>
  <mergeCells count="2">
    <mergeCell ref="B1:D1"/>
    <mergeCell ref="B2:D2"/>
  </mergeCells>
  <dataValidations count="2">
    <dataValidation allowBlank="1" showInputMessage="1" showErrorMessage="1" prompt="Hidden worksheet has the pivot table data source, do not delete this worksheet. Deleting this worksheet will disrupt the Dashboard data" sqref="A1" xr:uid="{00000000-0002-0000-0200-000000000000}"/>
    <dataValidation allowBlank="1" showInputMessage="1" showErrorMessage="1" prompt="Title of this worksheet is in this cell. PivotChart data source starts in cell B3" sqref="B1:D1" xr:uid="{00000000-0002-0000-0200-000001000000}"/>
  </dataValidation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Dashboard</vt:lpstr>
      <vt:lpstr>Expense Log</vt:lpstr>
      <vt:lpstr>Personal Expenses Data</vt:lpstr>
      <vt:lpstr>'Expense Log'!Print_Titles</vt:lpstr>
      <vt:lpstr>Title2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Jamshaid Ali</dc:creator>
  <cp:lastModifiedBy>ihsan nur rahman</cp:lastModifiedBy>
  <dcterms:created xsi:type="dcterms:W3CDTF">2017-12-01T05:10:43Z</dcterms:created>
  <dcterms:modified xsi:type="dcterms:W3CDTF">2024-07-11T07:20:29Z</dcterms:modified>
</cp:coreProperties>
</file>