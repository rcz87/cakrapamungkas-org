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haza012\Downloads\EXCEL SPREADSHEET TEMPLATE\DATA ANALYSIS AND QUALITY CONTROL\"/>
    </mc:Choice>
  </mc:AlternateContent>
  <bookViews>
    <workbookView xWindow="0" yWindow="0" windowWidth="28800" windowHeight="12210"/>
  </bookViews>
  <sheets>
    <sheet name="ParetoChart" sheetId="1" r:id="rId1"/>
  </sheets>
  <definedNames>
    <definedName name="_xlnm.Print_Area" localSheetId="0">ParetoChart!$A$1:$F$48</definedName>
    <definedName name="valuevx">42.314159</definedName>
    <definedName name="vertex42_copyright" hidden="1">"© 2009-2018 Vertex42 LLC"</definedName>
    <definedName name="vertex42_id" hidden="1">"pareto-chart.xlsx"</definedName>
    <definedName name="vertex42_title" hidden="1">"Pareto Chart Template"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7" i="1" l="1"/>
  <c r="B47" i="1"/>
  <c r="H47" i="1" s="1"/>
  <c r="I47" i="1" s="1"/>
  <c r="E46" i="1"/>
  <c r="E47" i="1"/>
  <c r="J46" i="1"/>
  <c r="B46" i="1"/>
  <c r="E45" i="1"/>
  <c r="J45" i="1"/>
  <c r="B45" i="1"/>
  <c r="E44" i="1"/>
  <c r="J44" i="1"/>
  <c r="B44" i="1"/>
  <c r="E43" i="1"/>
  <c r="J43" i="1"/>
  <c r="B43" i="1"/>
  <c r="E42" i="1"/>
  <c r="J42" i="1"/>
  <c r="B42" i="1"/>
  <c r="E41" i="1"/>
  <c r="J41" i="1"/>
  <c r="B41" i="1"/>
  <c r="E40" i="1"/>
  <c r="H41" i="1"/>
  <c r="I41" i="1" s="1"/>
  <c r="J40" i="1"/>
  <c r="B40" i="1"/>
  <c r="E39" i="1"/>
  <c r="J39" i="1"/>
  <c r="B39" i="1"/>
  <c r="E38" i="1"/>
  <c r="H39" i="1" s="1"/>
  <c r="I39" i="1" s="1"/>
  <c r="J38" i="1"/>
  <c r="B38" i="1"/>
  <c r="E37" i="1"/>
  <c r="J37" i="1"/>
  <c r="B37" i="1"/>
  <c r="E36" i="1"/>
  <c r="H37" i="1" s="1"/>
  <c r="I37" i="1" s="1"/>
  <c r="J36" i="1"/>
  <c r="B36" i="1"/>
  <c r="H36" i="1" s="1"/>
  <c r="I36" i="1" s="1"/>
  <c r="E35" i="1"/>
  <c r="J35" i="1"/>
  <c r="B35" i="1"/>
  <c r="E34" i="1"/>
  <c r="H35" i="1"/>
  <c r="I35" i="1" s="1"/>
  <c r="J34" i="1"/>
  <c r="B34" i="1"/>
  <c r="E33" i="1"/>
  <c r="J33" i="1"/>
  <c r="B33" i="1"/>
  <c r="H33" i="1"/>
  <c r="I33" i="1" s="1"/>
  <c r="H43" i="1" l="1"/>
  <c r="I43" i="1" s="1"/>
  <c r="H45" i="1"/>
  <c r="I45" i="1" s="1"/>
  <c r="H34" i="1"/>
  <c r="I34" i="1" s="1"/>
  <c r="H38" i="1"/>
  <c r="I38" i="1" s="1"/>
  <c r="H42" i="1"/>
  <c r="I42" i="1" s="1"/>
  <c r="H46" i="1"/>
  <c r="I46" i="1" s="1"/>
  <c r="H40" i="1"/>
  <c r="I40" i="1" s="1"/>
  <c r="H44" i="1"/>
  <c r="I44" i="1" s="1"/>
  <c r="B28" i="1" l="1"/>
</calcChain>
</file>

<file path=xl/sharedStrings.xml><?xml version="1.0" encoding="utf-8"?>
<sst xmlns="http://schemas.openxmlformats.org/spreadsheetml/2006/main" count="23" uniqueCount="23">
  <si>
    <t>[Company Name]</t>
  </si>
  <si>
    <t>[Date]</t>
  </si>
  <si>
    <t>Pareto Analysis</t>
  </si>
  <si>
    <t>#</t>
  </si>
  <si>
    <t>Cumulative%</t>
  </si>
  <si>
    <t>Causes</t>
  </si>
  <si>
    <t>Vital Few</t>
  </si>
  <si>
    <t>Useful Many</t>
  </si>
  <si>
    <t>[Brief Project Description]</t>
  </si>
  <si>
    <t>Cumulative Percentage Cutoff:</t>
  </si>
  <si>
    <t>Cut Off %</t>
  </si>
  <si>
    <t>[42]</t>
  </si>
  <si>
    <t>Insert new rows above this line</t>
  </si>
  <si>
    <t>Defects</t>
  </si>
  <si>
    <t>Cause # 1</t>
  </si>
  <si>
    <t>Cause # 2</t>
  </si>
  <si>
    <t>Cause # 3</t>
  </si>
  <si>
    <t>Cause # 4</t>
  </si>
  <si>
    <t>Cause # 5</t>
  </si>
  <si>
    <t>Cause # 6</t>
  </si>
  <si>
    <t>Cause # 7</t>
  </si>
  <si>
    <t>Cause # 8</t>
  </si>
  <si>
    <t>Cause #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</si>
</sst>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14" x14ac:knownFonts="1">
    <font>
      <sz val="10"/>
      <name val="Arial"/>
    </font>
    <font>
      <sz val="10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8"/>
      <color indexed="9"/>
      <name val="Arial"/>
      <family val="2"/>
    </font>
    <font>
      <sz val="12"/>
      <color indexed="9"/>
      <name val="Arial"/>
      <family val="2"/>
    </font>
    <font>
      <b/>
      <sz val="12"/>
      <color indexed="9"/>
      <name val="Arial"/>
      <family val="2"/>
    </font>
    <font>
      <sz val="12"/>
      <color indexed="23"/>
      <name val="Arial"/>
      <family val="2"/>
    </font>
    <font>
      <sz val="10"/>
      <color indexed="55"/>
      <name val="Arial"/>
      <family val="2"/>
    </font>
    <font>
      <sz val="8"/>
      <color indexed="23"/>
      <name val="Arial"/>
      <family val="2"/>
    </font>
    <font>
      <b/>
      <sz val="18"/>
      <color theme="4"/>
      <name val="Arial"/>
      <family val="2"/>
    </font>
    <font>
      <b/>
      <sz val="12"/>
      <color theme="4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55"/>
      </left>
      <right/>
      <top/>
      <bottom/>
      <diagonal/>
    </border>
    <border>
      <left/>
      <right style="thin">
        <color indexed="55"/>
      </right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</cellStyleXfs>
  <cellXfs count="32">
    <xf numFmtId="0" fontId="0" fillId="0" borderId="0" xfId="0"/>
    <xf numFmtId="0" fontId="3" fillId="2" borderId="0" xfId="0" applyFont="1" applyFill="1" applyProtection="1"/>
    <xf numFmtId="0" fontId="3" fillId="0" borderId="0" xfId="0" applyFont="1" applyProtection="1"/>
    <xf numFmtId="0" fontId="4" fillId="0" borderId="0" xfId="0" applyFont="1" applyAlignment="1" applyProtection="1">
      <alignment horizontal="left"/>
    </xf>
    <xf numFmtId="0" fontId="3" fillId="0" borderId="0" xfId="0" applyFont="1" applyAlignment="1" applyProtection="1"/>
    <xf numFmtId="0" fontId="4" fillId="0" borderId="0" xfId="0" applyFont="1" applyProtection="1">
      <protection locked="0"/>
    </xf>
    <xf numFmtId="0" fontId="5" fillId="0" borderId="0" xfId="0" applyFont="1" applyFill="1" applyAlignment="1" applyProtection="1">
      <alignment horizontal="right"/>
    </xf>
    <xf numFmtId="0" fontId="3" fillId="0" borderId="0" xfId="0" applyFont="1" applyAlignment="1" applyProtection="1">
      <alignment horizontal="left"/>
    </xf>
    <xf numFmtId="0" fontId="2" fillId="0" borderId="0" xfId="1" applyAlignment="1" applyProtection="1"/>
    <xf numFmtId="0" fontId="3" fillId="0" borderId="0" xfId="0" applyFont="1" applyProtection="1">
      <protection locked="0"/>
    </xf>
    <xf numFmtId="0" fontId="3" fillId="0" borderId="0" xfId="0" applyFont="1" applyFill="1" applyAlignment="1" applyProtection="1">
      <alignment horizontal="left"/>
      <protection locked="0"/>
    </xf>
    <xf numFmtId="0" fontId="6" fillId="0" borderId="0" xfId="0" applyFont="1" applyProtection="1"/>
    <xf numFmtId="0" fontId="3" fillId="0" borderId="0" xfId="0" applyFont="1" applyAlignment="1" applyProtection="1">
      <alignment horizontal="right"/>
    </xf>
    <xf numFmtId="0" fontId="9" fillId="0" borderId="0" xfId="0" applyFont="1" applyFill="1" applyBorder="1" applyAlignment="1" applyProtection="1">
      <alignment horizontal="center"/>
    </xf>
    <xf numFmtId="0" fontId="3" fillId="0" borderId="0" xfId="0" applyFont="1" applyAlignment="1" applyProtection="1">
      <alignment horizontal="center"/>
    </xf>
    <xf numFmtId="164" fontId="3" fillId="0" borderId="0" xfId="2" applyNumberFormat="1" applyFont="1" applyAlignment="1" applyProtection="1">
      <alignment horizontal="center"/>
    </xf>
    <xf numFmtId="0" fontId="10" fillId="0" borderId="2" xfId="2" applyNumberFormat="1" applyFont="1" applyBorder="1" applyAlignment="1" applyProtection="1">
      <alignment horizontal="center"/>
    </xf>
    <xf numFmtId="0" fontId="10" fillId="0" borderId="0" xfId="2" applyNumberFormat="1" applyFont="1" applyBorder="1" applyAlignment="1" applyProtection="1">
      <alignment horizontal="center"/>
    </xf>
    <xf numFmtId="9" fontId="10" fillId="0" borderId="3" xfId="0" applyNumberFormat="1" applyFont="1" applyBorder="1" applyAlignment="1" applyProtection="1">
      <alignment horizontal="center"/>
    </xf>
    <xf numFmtId="0" fontId="11" fillId="2" borderId="0" xfId="0" applyFont="1" applyFill="1" applyProtection="1"/>
    <xf numFmtId="0" fontId="3" fillId="2" borderId="0" xfId="0" applyFont="1" applyFill="1" applyAlignment="1" applyProtection="1">
      <alignment vertical="center"/>
    </xf>
    <xf numFmtId="0" fontId="0" fillId="2" borderId="0" xfId="0" applyFill="1" applyAlignment="1" applyProtection="1">
      <alignment vertical="center"/>
    </xf>
    <xf numFmtId="0" fontId="3" fillId="0" borderId="0" xfId="0" applyFont="1" applyAlignment="1" applyProtection="1">
      <alignment vertical="center"/>
    </xf>
    <xf numFmtId="0" fontId="7" fillId="3" borderId="1" xfId="0" applyFont="1" applyFill="1" applyBorder="1" applyAlignment="1" applyProtection="1">
      <alignment horizontal="center"/>
    </xf>
    <xf numFmtId="0" fontId="8" fillId="3" borderId="1" xfId="0" applyFont="1" applyFill="1" applyBorder="1" applyProtection="1">
      <protection locked="0"/>
    </xf>
    <xf numFmtId="0" fontId="8" fillId="3" borderId="1" xfId="0" applyFont="1" applyFill="1" applyBorder="1" applyAlignment="1" applyProtection="1">
      <alignment horizontal="center"/>
      <protection locked="0"/>
    </xf>
    <xf numFmtId="0" fontId="3" fillId="4" borderId="0" xfId="0" applyFont="1" applyFill="1" applyProtection="1">
      <protection locked="0"/>
    </xf>
    <xf numFmtId="0" fontId="3" fillId="4" borderId="0" xfId="0" applyFont="1" applyFill="1" applyAlignment="1" applyProtection="1">
      <alignment horizontal="center"/>
      <protection locked="0"/>
    </xf>
    <xf numFmtId="0" fontId="12" fillId="2" borderId="0" xfId="0" applyFont="1" applyFill="1" applyAlignment="1" applyProtection="1">
      <alignment horizontal="left" vertical="center"/>
    </xf>
    <xf numFmtId="0" fontId="13" fillId="0" borderId="0" xfId="0" applyFont="1" applyAlignment="1" applyProtection="1">
      <alignment horizontal="left"/>
    </xf>
    <xf numFmtId="9" fontId="3" fillId="4" borderId="0" xfId="0" applyNumberFormat="1" applyFont="1" applyFill="1" applyBorder="1" applyAlignment="1" applyProtection="1">
      <alignment horizontal="center"/>
      <protection locked="0"/>
    </xf>
    <xf numFmtId="0" fontId="1" fillId="0" borderId="0" xfId="0" applyFont="1" applyAlignment="1" applyProtection="1"/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819C00"/>
      <rgbColor rgb="00C9B783"/>
      <rgbColor rgb="00007F74"/>
      <rgbColor rgb="00F0F0F0"/>
      <rgbColor rgb="00666666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F0E4"/>
      <rgbColor rgb="00E4E8F3"/>
      <rgbColor rgb="001849B5"/>
      <rgbColor rgb="0036ACA2"/>
      <rgbColor rgb="00F0BA00"/>
      <rgbColor rgb="00BCC5E1"/>
      <rgbColor rgb="008394C9"/>
      <rgbColor rgb="003B4E87"/>
      <rgbColor rgb="0087743B"/>
      <rgbColor rgb="00C0C0C0"/>
      <rgbColor rgb="00003366"/>
      <rgbColor rgb="00109618"/>
      <rgbColor rgb="00085108"/>
      <rgbColor rgb="00635100"/>
      <rgbColor rgb="00273359"/>
      <rgbColor rgb="00E1D8BC"/>
      <rgbColor rgb="00594C27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[Chart Title]</a:t>
            </a:r>
          </a:p>
        </c:rich>
      </c:tx>
      <c:layout>
        <c:manualLayout>
          <c:xMode val="edge"/>
          <c:yMode val="edge"/>
          <c:x val="0.39872470395469489"/>
          <c:y val="1.355017136203040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7719434870032878E-2"/>
          <c:y val="0.1029813023514311"/>
          <c:w val="0.80701880080430244"/>
          <c:h val="0.74525942491167252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ParetoChart!$H$32</c:f>
              <c:strCache>
                <c:ptCount val="1"/>
                <c:pt idx="0">
                  <c:v>Vital Few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 w="25400">
              <a:noFill/>
            </a:ln>
          </c:spPr>
          <c:invertIfNegative val="0"/>
          <c:cat>
            <c:strRef>
              <c:f>ParetoChart!$C$33:$C$48</c:f>
              <c:strCache>
                <c:ptCount val="9"/>
                <c:pt idx="0">
                  <c:v>Cause # 1</c:v>
                </c:pt>
                <c:pt idx="1">
                  <c:v>Cause # 2</c:v>
                </c:pt>
                <c:pt idx="2">
                  <c:v>Cause # 3</c:v>
                </c:pt>
                <c:pt idx="3">
                  <c:v>Cause # 4</c:v>
                </c:pt>
                <c:pt idx="4">
                  <c:v>Cause # 5</c:v>
                </c:pt>
                <c:pt idx="5">
                  <c:v>Cause # 6</c:v>
                </c:pt>
                <c:pt idx="6">
                  <c:v>Cause # 7</c:v>
                </c:pt>
                <c:pt idx="7">
                  <c:v>Cause # 8</c:v>
                </c:pt>
                <c:pt idx="8">
                  <c:v>Cause # 9</c:v>
                </c:pt>
              </c:strCache>
            </c:strRef>
          </c:cat>
          <c:val>
            <c:numRef>
              <c:f>ParetoChart!$H$33:$H$48</c:f>
              <c:numCache>
                <c:formatCode>General</c:formatCode>
                <c:ptCount val="16"/>
                <c:pt idx="0">
                  <c:v>50</c:v>
                </c:pt>
                <c:pt idx="1">
                  <c:v>30</c:v>
                </c:pt>
                <c:pt idx="2">
                  <c:v>15</c:v>
                </c:pt>
                <c:pt idx="3">
                  <c:v>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63-4C0B-9359-4A50216A20A3}"/>
            </c:ext>
          </c:extLst>
        </c:ser>
        <c:ser>
          <c:idx val="0"/>
          <c:order val="1"/>
          <c:tx>
            <c:strRef>
              <c:f>ParetoChart!$I$32</c:f>
              <c:strCache>
                <c:ptCount val="1"/>
                <c:pt idx="0">
                  <c:v>Useful Many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 w="25400">
              <a:noFill/>
            </a:ln>
          </c:spPr>
          <c:invertIfNegative val="0"/>
          <c:cat>
            <c:strRef>
              <c:f>ParetoChart!$C$33:$C$48</c:f>
              <c:strCache>
                <c:ptCount val="9"/>
                <c:pt idx="0">
                  <c:v>Cause # 1</c:v>
                </c:pt>
                <c:pt idx="1">
                  <c:v>Cause # 2</c:v>
                </c:pt>
                <c:pt idx="2">
                  <c:v>Cause # 3</c:v>
                </c:pt>
                <c:pt idx="3">
                  <c:v>Cause # 4</c:v>
                </c:pt>
                <c:pt idx="4">
                  <c:v>Cause # 5</c:v>
                </c:pt>
                <c:pt idx="5">
                  <c:v>Cause # 6</c:v>
                </c:pt>
                <c:pt idx="6">
                  <c:v>Cause # 7</c:v>
                </c:pt>
                <c:pt idx="7">
                  <c:v>Cause # 8</c:v>
                </c:pt>
                <c:pt idx="8">
                  <c:v>Cause # 9</c:v>
                </c:pt>
              </c:strCache>
            </c:strRef>
          </c:cat>
          <c:val>
            <c:numRef>
              <c:f>ParetoChart!$I$33:$I$48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  <c:pt idx="7">
                  <c:v>12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63-4C0B-9359-4A50216A20A3}"/>
            </c:ext>
          </c:extLst>
        </c:ser>
        <c:ser>
          <c:idx val="4"/>
          <c:order val="4"/>
          <c:tx>
            <c:v>Labels</c:v>
          </c:tx>
          <c:spPr>
            <a:solidFill>
              <a:srgbClr val="6600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 algn="ctr"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ParetoChart!$C$33:$C$48</c:f>
              <c:strCache>
                <c:ptCount val="9"/>
                <c:pt idx="0">
                  <c:v>Cause # 1</c:v>
                </c:pt>
                <c:pt idx="1">
                  <c:v>Cause # 2</c:v>
                </c:pt>
                <c:pt idx="2">
                  <c:v>Cause # 3</c:v>
                </c:pt>
                <c:pt idx="3">
                  <c:v>Cause # 4</c:v>
                </c:pt>
                <c:pt idx="4">
                  <c:v>Cause # 5</c:v>
                </c:pt>
                <c:pt idx="5">
                  <c:v>Cause # 6</c:v>
                </c:pt>
                <c:pt idx="6">
                  <c:v>Cause # 7</c:v>
                </c:pt>
                <c:pt idx="7">
                  <c:v>Cause # 8</c:v>
                </c:pt>
                <c:pt idx="8">
                  <c:v>Cause # 9</c:v>
                </c:pt>
              </c:strCache>
            </c:strRef>
          </c:cat>
          <c:val>
            <c:numRef>
              <c:f>ParetoChart!$C$33:$C$48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E63-4C0B-9359-4A50216A20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190086528"/>
        <c:axId val="190088704"/>
      </c:barChart>
      <c:lineChart>
        <c:grouping val="standard"/>
        <c:varyColors val="0"/>
        <c:ser>
          <c:idx val="2"/>
          <c:order val="2"/>
          <c:tx>
            <c:strRef>
              <c:f>ParetoChart!$E$32</c:f>
              <c:strCache>
                <c:ptCount val="1"/>
                <c:pt idx="0">
                  <c:v>Cumulative%</c:v>
                </c:pt>
              </c:strCache>
            </c:strRef>
          </c:tx>
          <c:spPr>
            <a:ln w="25400">
              <a:solidFill>
                <a:srgbClr val="6B0C00"/>
              </a:solidFill>
              <a:prstDash val="solid"/>
            </a:ln>
          </c:spPr>
          <c:marker>
            <c:symbol val="diamond"/>
            <c:size val="6"/>
            <c:spPr>
              <a:solidFill>
                <a:srgbClr val="6B0C00"/>
              </a:solidFill>
              <a:ln>
                <a:solidFill>
                  <a:srgbClr val="6B0C00"/>
                </a:solidFill>
                <a:prstDash val="solid"/>
              </a:ln>
            </c:spPr>
          </c:marker>
          <c:val>
            <c:numRef>
              <c:f>ParetoChart!$E$33:$E$48</c:f>
              <c:numCache>
                <c:formatCode>0.0%</c:formatCode>
                <c:ptCount val="16"/>
                <c:pt idx="0">
                  <c:v>0.42016806722689076</c:v>
                </c:pt>
                <c:pt idx="1">
                  <c:v>0.67226890756302526</c:v>
                </c:pt>
                <c:pt idx="2">
                  <c:v>0.79831932773109249</c:v>
                </c:pt>
                <c:pt idx="3">
                  <c:v>0.84033613445378152</c:v>
                </c:pt>
                <c:pt idx="4">
                  <c:v>0.86554621848739499</c:v>
                </c:pt>
                <c:pt idx="5">
                  <c:v>0.88235294117647056</c:v>
                </c:pt>
                <c:pt idx="6">
                  <c:v>0.89075630252100846</c:v>
                </c:pt>
                <c:pt idx="7">
                  <c:v>0.99159663865546221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E63-4C0B-9359-4A50216A20A3}"/>
            </c:ext>
          </c:extLst>
        </c:ser>
        <c:ser>
          <c:idx val="3"/>
          <c:order val="3"/>
          <c:tx>
            <c:strRef>
              <c:f>ParetoChart!$J$32</c:f>
              <c:strCache>
                <c:ptCount val="1"/>
                <c:pt idx="0">
                  <c:v>Cut Off %</c:v>
                </c:pt>
              </c:strCache>
            </c:strRef>
          </c:tx>
          <c:spPr>
            <a:ln w="12700">
              <a:solidFill>
                <a:srgbClr val="6B0C00"/>
              </a:solidFill>
              <a:prstDash val="sysDash"/>
            </a:ln>
          </c:spPr>
          <c:marker>
            <c:symbol val="none"/>
          </c:marker>
          <c:val>
            <c:numRef>
              <c:f>ParetoChart!$J$33:$J$48</c:f>
              <c:numCache>
                <c:formatCode>0%</c:formatCode>
                <c:ptCount val="16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  <c:pt idx="12">
                  <c:v>0.8</c:v>
                </c:pt>
                <c:pt idx="13">
                  <c:v>0.8</c:v>
                </c:pt>
                <c:pt idx="14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E63-4C0B-9359-4A50216A20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090624"/>
        <c:axId val="190092416"/>
      </c:lineChart>
      <c:catAx>
        <c:axId val="190086528"/>
        <c:scaling>
          <c:orientation val="minMax"/>
        </c:scaling>
        <c:delete val="0"/>
        <c:axPos val="b"/>
        <c:title>
          <c:tx>
            <c:strRef>
              <c:f>ParetoChart!$C$32</c:f>
              <c:strCache>
                <c:ptCount val="1"/>
                <c:pt idx="0">
                  <c:v>Causes</c:v>
                </c:pt>
              </c:strCache>
            </c:strRef>
          </c:tx>
          <c:layout>
            <c:manualLayout>
              <c:xMode val="edge"/>
              <c:yMode val="edge"/>
              <c:x val="0.43381247790270805"/>
              <c:y val="0.86179089862513403"/>
            </c:manualLayout>
          </c:layout>
          <c:overlay val="0"/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20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one"/>
        <c:spPr>
          <a:ln w="3175">
            <a:solidFill>
              <a:srgbClr val="000000"/>
            </a:solidFill>
            <a:prstDash val="solid"/>
          </a:ln>
        </c:spPr>
        <c:crossAx val="190088704"/>
        <c:crosses val="autoZero"/>
        <c:auto val="1"/>
        <c:lblAlgn val="ctr"/>
        <c:lblOffset val="100"/>
        <c:tickMarkSkip val="1"/>
        <c:noMultiLvlLbl val="0"/>
      </c:catAx>
      <c:valAx>
        <c:axId val="190088704"/>
        <c:scaling>
          <c:orientation val="minMax"/>
        </c:scaling>
        <c:delete val="0"/>
        <c:axPos val="l"/>
        <c:title>
          <c:tx>
            <c:strRef>
              <c:f>ParetoChart!$D$32</c:f>
              <c:strCache>
                <c:ptCount val="1"/>
                <c:pt idx="0">
                  <c:v>Defects</c:v>
                </c:pt>
              </c:strCache>
            </c:strRef>
          </c:tx>
          <c:layout>
            <c:manualLayout>
              <c:xMode val="edge"/>
              <c:yMode val="edge"/>
              <c:x val="7.9744940790938985E-3"/>
              <c:y val="0.3848248666816636"/>
            </c:manualLayout>
          </c:layout>
          <c:overlay val="0"/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20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0086528"/>
        <c:crosses val="autoZero"/>
        <c:crossBetween val="between"/>
      </c:valAx>
      <c:catAx>
        <c:axId val="190090624"/>
        <c:scaling>
          <c:orientation val="minMax"/>
        </c:scaling>
        <c:delete val="1"/>
        <c:axPos val="b"/>
        <c:majorTickMark val="out"/>
        <c:minorTickMark val="none"/>
        <c:tickLblPos val="nextTo"/>
        <c:crossAx val="190092416"/>
        <c:crosses val="autoZero"/>
        <c:auto val="1"/>
        <c:lblAlgn val="ctr"/>
        <c:lblOffset val="100"/>
        <c:noMultiLvlLbl val="0"/>
      </c:catAx>
      <c:valAx>
        <c:axId val="190092416"/>
        <c:scaling>
          <c:orientation val="minMax"/>
          <c:max val="1"/>
          <c:min val="0"/>
        </c:scaling>
        <c:delete val="0"/>
        <c:axPos val="r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Cumulative %</a:t>
                </a:r>
              </a:p>
            </c:rich>
          </c:tx>
          <c:layout>
            <c:manualLayout>
              <c:xMode val="edge"/>
              <c:yMode val="edge"/>
              <c:x val="0.95693928949126772"/>
              <c:y val="0.34959442114038453"/>
            </c:manualLayout>
          </c:layout>
          <c:overlay val="0"/>
          <c:spPr>
            <a:noFill/>
            <a:ln w="25400">
              <a:noFill/>
            </a:ln>
          </c:spPr>
        </c:title>
        <c:numFmt formatCode="0%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0090624"/>
        <c:crosses val="max"/>
        <c:crossBetween val="between"/>
        <c:majorUnit val="0.2"/>
      </c:valAx>
      <c:spPr>
        <a:noFill/>
        <a:ln w="25400">
          <a:noFill/>
        </a:ln>
      </c:spPr>
    </c:plotArea>
    <c:legend>
      <c:legendPos val="r"/>
      <c:legendEntry>
        <c:idx val="2"/>
        <c:delete val="1"/>
      </c:legendEntry>
      <c:layout>
        <c:manualLayout>
          <c:xMode val="edge"/>
          <c:yMode val="edge"/>
          <c:x val="7.01755478960263E-2"/>
          <c:y val="0.93225178970769207"/>
          <c:w val="0.84051167593649689"/>
          <c:h val="5.9620753992933796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47625</xdr:rowOff>
    </xdr:from>
    <xdr:to>
      <xdr:col>6</xdr:col>
      <xdr:colOff>9525</xdr:colOff>
      <xdr:row>27</xdr:row>
      <xdr:rowOff>0</xdr:rowOff>
    </xdr:to>
    <xdr:graphicFrame macro="">
      <xdr:nvGraphicFramePr>
        <xdr:cNvPr id="1026" name="Chart 2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0.95366</cdr:x>
      <cdr:y>0.94586</cdr:y>
    </cdr:from>
    <cdr:to>
      <cdr:x>0.95366</cdr:x>
      <cdr:y>0.94586</cdr:y>
    </cdr:to>
    <cdr:sp macro="" textlink="">
      <cdr:nvSpPr>
        <cdr:cNvPr id="2049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707678" y="3336639"/>
          <a:ext cx="0" cy="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18288" tIns="18288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600" b="0" i="0" u="none" strike="noStrike" baseline="0">
              <a:solidFill>
                <a:srgbClr val="FFFFFF"/>
              </a:solidFill>
              <a:latin typeface="Arial"/>
              <a:cs typeface="Arial"/>
            </a:rPr>
            <a:t>[42]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V42 - TRUE BLUE(purple) CLASSIC">
      <a:dk1>
        <a:sysClr val="windowText" lastClr="000000"/>
      </a:dk1>
      <a:lt1>
        <a:sysClr val="window" lastClr="FFFFFF"/>
      </a:lt1>
      <a:dk2>
        <a:srgbClr val="3A5D9C"/>
      </a:dk2>
      <a:lt2>
        <a:srgbClr val="EEECE2"/>
      </a:lt2>
      <a:accent1>
        <a:srgbClr val="3B4E87"/>
      </a:accent1>
      <a:accent2>
        <a:srgbClr val="C04E4E"/>
      </a:accent2>
      <a:accent3>
        <a:srgbClr val="26AA26"/>
      </a:accent3>
      <a:accent4>
        <a:srgbClr val="7860B4"/>
      </a:accent4>
      <a:accent5>
        <a:srgbClr val="E68422"/>
      </a:accent5>
      <a:accent6>
        <a:srgbClr val="846648"/>
      </a:accent6>
      <a:hlink>
        <a:srgbClr val="4C92AE"/>
      </a:hlink>
      <a:folHlink>
        <a:srgbClr val="969696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8"/>
  <sheetViews>
    <sheetView showGridLines="0" tabSelected="1" workbookViewId="0">
      <selection activeCell="O39" sqref="O39"/>
    </sheetView>
  </sheetViews>
  <sheetFormatPr defaultColWidth="9.140625" defaultRowHeight="12.75" x14ac:dyDescent="0.2"/>
  <cols>
    <col min="1" max="1" width="7.85546875" style="2" customWidth="1"/>
    <col min="2" max="2" width="4.7109375" style="2" customWidth="1"/>
    <col min="3" max="3" width="40.7109375" style="2" customWidth="1"/>
    <col min="4" max="4" width="10.7109375" style="2" customWidth="1"/>
    <col min="5" max="5" width="15.7109375" style="2" customWidth="1"/>
    <col min="6" max="6" width="9.7109375" style="2" customWidth="1"/>
    <col min="7" max="7" width="3.42578125" style="2" customWidth="1"/>
    <col min="8" max="10" width="13.42578125" style="2" customWidth="1"/>
    <col min="11" max="16384" width="9.140625" style="2"/>
  </cols>
  <sheetData>
    <row r="1" spans="1:8" s="22" customFormat="1" ht="30" customHeight="1" x14ac:dyDescent="0.2">
      <c r="A1" s="28" t="s">
        <v>2</v>
      </c>
      <c r="B1" s="20"/>
      <c r="C1" s="21"/>
      <c r="D1" s="21"/>
      <c r="E1" s="21"/>
      <c r="F1" s="21"/>
    </row>
    <row r="2" spans="1:8" ht="15.75" x14ac:dyDescent="0.25">
      <c r="A2" s="3"/>
      <c r="C2" s="4"/>
      <c r="D2" s="4"/>
      <c r="E2" s="4"/>
      <c r="H2" s="31"/>
    </row>
    <row r="3" spans="1:8" ht="15.75" x14ac:dyDescent="0.25">
      <c r="A3" s="5" t="s">
        <v>0</v>
      </c>
      <c r="C3" s="6"/>
      <c r="D3" s="7"/>
      <c r="E3" s="7"/>
      <c r="H3" s="8"/>
    </row>
    <row r="4" spans="1:8" x14ac:dyDescent="0.2">
      <c r="A4" s="9" t="s">
        <v>8</v>
      </c>
      <c r="C4" s="6"/>
      <c r="D4" s="7"/>
      <c r="E4" s="7"/>
    </row>
    <row r="5" spans="1:8" x14ac:dyDescent="0.2">
      <c r="A5" s="10" t="s">
        <v>1</v>
      </c>
      <c r="C5" s="6"/>
      <c r="D5" s="7"/>
      <c r="E5" s="7"/>
    </row>
    <row r="23" spans="2:10" x14ac:dyDescent="0.2">
      <c r="B23" s="11" t="s">
        <v>11</v>
      </c>
    </row>
    <row r="28" spans="2:10" ht="15.75" x14ac:dyDescent="0.25">
      <c r="B28" s="29" t="str">
        <f ca="1">"The first "&amp;COUNT(H33:H47)&amp;" "&amp;C32&amp;" cover "&amp;TEXT(OFFSET(E32,COUNT(H33:H47),0,1,1),"0.??%")&amp;" of the Total "&amp;D32</f>
        <v>The first 4 Causes cover 84.03% of the Total Defects</v>
      </c>
      <c r="C28" s="7"/>
    </row>
    <row r="31" spans="2:10" x14ac:dyDescent="0.2">
      <c r="D31" s="12" t="s">
        <v>9</v>
      </c>
      <c r="E31" s="30">
        <v>0.8</v>
      </c>
    </row>
    <row r="32" spans="2:10" ht="15.75" x14ac:dyDescent="0.25">
      <c r="B32" s="23" t="s">
        <v>3</v>
      </c>
      <c r="C32" s="24" t="s">
        <v>5</v>
      </c>
      <c r="D32" s="25" t="s">
        <v>13</v>
      </c>
      <c r="E32" s="23" t="s">
        <v>4</v>
      </c>
      <c r="H32" s="13" t="s">
        <v>6</v>
      </c>
      <c r="I32" s="13" t="s">
        <v>7</v>
      </c>
      <c r="J32" s="13" t="s">
        <v>10</v>
      </c>
    </row>
    <row r="33" spans="2:10" x14ac:dyDescent="0.2">
      <c r="B33" s="14">
        <f t="shared" ref="B33:B47" si="0">ROW(B33)-ROW($B$32)</f>
        <v>1</v>
      </c>
      <c r="C33" s="26" t="s">
        <v>14</v>
      </c>
      <c r="D33" s="27">
        <v>50</v>
      </c>
      <c r="E33" s="15">
        <f>SUM(D33:D$33)/SUM($D$33:$D$47)</f>
        <v>0.42016806722689076</v>
      </c>
      <c r="H33" s="16">
        <f t="shared" ref="H33:H47" ca="1" si="1">IF(OR(B33=1,OFFSET($E$32,B33-1,0,1,1)&lt;=$E$31),OFFSET($D$32,B33,0,1,1),"")</f>
        <v>50</v>
      </c>
      <c r="I33" s="17" t="str">
        <f t="shared" ref="I33:I47" ca="1" si="2">IF(H33="",OFFSET($D$32,B33,0,1,1),"")</f>
        <v/>
      </c>
      <c r="J33" s="18">
        <f t="shared" ref="J33:J47" si="3">$E$31</f>
        <v>0.8</v>
      </c>
    </row>
    <row r="34" spans="2:10" x14ac:dyDescent="0.2">
      <c r="B34" s="14">
        <f t="shared" si="0"/>
        <v>2</v>
      </c>
      <c r="C34" s="26" t="s">
        <v>15</v>
      </c>
      <c r="D34" s="27">
        <v>30</v>
      </c>
      <c r="E34" s="15">
        <f>SUM(D$33:D34)/SUM($D$33:$D$47)</f>
        <v>0.67226890756302526</v>
      </c>
      <c r="H34" s="16">
        <f t="shared" ca="1" si="1"/>
        <v>30</v>
      </c>
      <c r="I34" s="17" t="str">
        <f t="shared" ca="1" si="2"/>
        <v/>
      </c>
      <c r="J34" s="18">
        <f t="shared" si="3"/>
        <v>0.8</v>
      </c>
    </row>
    <row r="35" spans="2:10" x14ac:dyDescent="0.2">
      <c r="B35" s="14">
        <f t="shared" si="0"/>
        <v>3</v>
      </c>
      <c r="C35" s="26" t="s">
        <v>16</v>
      </c>
      <c r="D35" s="27">
        <v>15</v>
      </c>
      <c r="E35" s="15">
        <f>SUM(D$33:D35)/SUM($D$33:$D$47)</f>
        <v>0.79831932773109249</v>
      </c>
      <c r="H35" s="16">
        <f t="shared" ca="1" si="1"/>
        <v>15</v>
      </c>
      <c r="I35" s="17" t="str">
        <f t="shared" ca="1" si="2"/>
        <v/>
      </c>
      <c r="J35" s="18">
        <f t="shared" si="3"/>
        <v>0.8</v>
      </c>
    </row>
    <row r="36" spans="2:10" x14ac:dyDescent="0.2">
      <c r="B36" s="14">
        <f t="shared" si="0"/>
        <v>4</v>
      </c>
      <c r="C36" s="26" t="s">
        <v>17</v>
      </c>
      <c r="D36" s="27">
        <v>5</v>
      </c>
      <c r="E36" s="15">
        <f>SUM(D$33:D36)/SUM($D$33:$D$47)</f>
        <v>0.84033613445378152</v>
      </c>
      <c r="H36" s="16">
        <f t="shared" ca="1" si="1"/>
        <v>5</v>
      </c>
      <c r="I36" s="17" t="str">
        <f t="shared" ca="1" si="2"/>
        <v/>
      </c>
      <c r="J36" s="18">
        <f t="shared" si="3"/>
        <v>0.8</v>
      </c>
    </row>
    <row r="37" spans="2:10" x14ac:dyDescent="0.2">
      <c r="B37" s="14">
        <f t="shared" si="0"/>
        <v>5</v>
      </c>
      <c r="C37" s="26" t="s">
        <v>18</v>
      </c>
      <c r="D37" s="27">
        <v>3</v>
      </c>
      <c r="E37" s="15">
        <f>SUM(D$33:D37)/SUM($D$33:$D$47)</f>
        <v>0.86554621848739499</v>
      </c>
      <c r="H37" s="16" t="str">
        <f t="shared" ca="1" si="1"/>
        <v/>
      </c>
      <c r="I37" s="17">
        <f t="shared" ca="1" si="2"/>
        <v>3</v>
      </c>
      <c r="J37" s="18">
        <f t="shared" si="3"/>
        <v>0.8</v>
      </c>
    </row>
    <row r="38" spans="2:10" x14ac:dyDescent="0.2">
      <c r="B38" s="14">
        <f t="shared" si="0"/>
        <v>6</v>
      </c>
      <c r="C38" s="26" t="s">
        <v>19</v>
      </c>
      <c r="D38" s="27">
        <v>2</v>
      </c>
      <c r="E38" s="15">
        <f>SUM(D$33:D38)/SUM($D$33:$D$47)</f>
        <v>0.88235294117647056</v>
      </c>
      <c r="H38" s="16" t="str">
        <f t="shared" ca="1" si="1"/>
        <v/>
      </c>
      <c r="I38" s="17">
        <f t="shared" ca="1" si="2"/>
        <v>2</v>
      </c>
      <c r="J38" s="18">
        <f t="shared" si="3"/>
        <v>0.8</v>
      </c>
    </row>
    <row r="39" spans="2:10" x14ac:dyDescent="0.2">
      <c r="B39" s="14">
        <f t="shared" si="0"/>
        <v>7</v>
      </c>
      <c r="C39" s="26" t="s">
        <v>20</v>
      </c>
      <c r="D39" s="27">
        <v>1</v>
      </c>
      <c r="E39" s="15">
        <f>SUM(D$33:D39)/SUM($D$33:$D$47)</f>
        <v>0.89075630252100846</v>
      </c>
      <c r="H39" s="16" t="str">
        <f t="shared" ca="1" si="1"/>
        <v/>
      </c>
      <c r="I39" s="17">
        <f t="shared" ca="1" si="2"/>
        <v>1</v>
      </c>
      <c r="J39" s="18">
        <f t="shared" si="3"/>
        <v>0.8</v>
      </c>
    </row>
    <row r="40" spans="2:10" x14ac:dyDescent="0.2">
      <c r="B40" s="14">
        <f t="shared" si="0"/>
        <v>8</v>
      </c>
      <c r="C40" s="26" t="s">
        <v>21</v>
      </c>
      <c r="D40" s="27">
        <v>12</v>
      </c>
      <c r="E40" s="15">
        <f>SUM(D$33:D40)/SUM($D$33:$D$47)</f>
        <v>0.99159663865546221</v>
      </c>
      <c r="H40" s="16" t="str">
        <f t="shared" ca="1" si="1"/>
        <v/>
      </c>
      <c r="I40" s="17">
        <f t="shared" ca="1" si="2"/>
        <v>12</v>
      </c>
      <c r="J40" s="18">
        <f t="shared" si="3"/>
        <v>0.8</v>
      </c>
    </row>
    <row r="41" spans="2:10" x14ac:dyDescent="0.2">
      <c r="B41" s="14">
        <f t="shared" si="0"/>
        <v>9</v>
      </c>
      <c r="C41" s="26" t="s">
        <v>22</v>
      </c>
      <c r="D41" s="27">
        <v>1</v>
      </c>
      <c r="E41" s="15">
        <f>SUM(D$33:D41)/SUM($D$33:$D$47)</f>
        <v>1</v>
      </c>
      <c r="H41" s="16" t="str">
        <f t="shared" ca="1" si="1"/>
        <v/>
      </c>
      <c r="I41" s="17">
        <f t="shared" ca="1" si="2"/>
        <v>1</v>
      </c>
      <c r="J41" s="18">
        <f t="shared" si="3"/>
        <v>0.8</v>
      </c>
    </row>
    <row r="42" spans="2:10" x14ac:dyDescent="0.2">
      <c r="B42" s="14">
        <f t="shared" si="0"/>
        <v>10</v>
      </c>
      <c r="C42" s="26"/>
      <c r="D42" s="27"/>
      <c r="E42" s="15">
        <f>SUM(D$33:D42)/SUM($D$33:$D$47)</f>
        <v>1</v>
      </c>
      <c r="H42" s="16" t="str">
        <f t="shared" ca="1" si="1"/>
        <v/>
      </c>
      <c r="I42" s="17">
        <f t="shared" ca="1" si="2"/>
        <v>0</v>
      </c>
      <c r="J42" s="18">
        <f t="shared" si="3"/>
        <v>0.8</v>
      </c>
    </row>
    <row r="43" spans="2:10" x14ac:dyDescent="0.2">
      <c r="B43" s="14">
        <f t="shared" si="0"/>
        <v>11</v>
      </c>
      <c r="C43" s="26"/>
      <c r="D43" s="27"/>
      <c r="E43" s="15">
        <f>SUM(D$33:D43)/SUM($D$33:$D$47)</f>
        <v>1</v>
      </c>
      <c r="H43" s="16" t="str">
        <f t="shared" ca="1" si="1"/>
        <v/>
      </c>
      <c r="I43" s="17">
        <f t="shared" ca="1" si="2"/>
        <v>0</v>
      </c>
      <c r="J43" s="18">
        <f t="shared" si="3"/>
        <v>0.8</v>
      </c>
    </row>
    <row r="44" spans="2:10" x14ac:dyDescent="0.2">
      <c r="B44" s="14">
        <f t="shared" si="0"/>
        <v>12</v>
      </c>
      <c r="C44" s="26"/>
      <c r="D44" s="27"/>
      <c r="E44" s="15">
        <f>SUM(D$33:D44)/SUM($D$33:$D$47)</f>
        <v>1</v>
      </c>
      <c r="H44" s="16" t="str">
        <f t="shared" ca="1" si="1"/>
        <v/>
      </c>
      <c r="I44" s="17">
        <f t="shared" ca="1" si="2"/>
        <v>0</v>
      </c>
      <c r="J44" s="18">
        <f t="shared" si="3"/>
        <v>0.8</v>
      </c>
    </row>
    <row r="45" spans="2:10" x14ac:dyDescent="0.2">
      <c r="B45" s="14">
        <f t="shared" si="0"/>
        <v>13</v>
      </c>
      <c r="C45" s="26"/>
      <c r="D45" s="27"/>
      <c r="E45" s="15">
        <f>SUM(D$33:D45)/SUM($D$33:$D$47)</f>
        <v>1</v>
      </c>
      <c r="H45" s="16" t="str">
        <f t="shared" ca="1" si="1"/>
        <v/>
      </c>
      <c r="I45" s="17">
        <f t="shared" ca="1" si="2"/>
        <v>0</v>
      </c>
      <c r="J45" s="18">
        <f t="shared" si="3"/>
        <v>0.8</v>
      </c>
    </row>
    <row r="46" spans="2:10" x14ac:dyDescent="0.2">
      <c r="B46" s="14">
        <f t="shared" si="0"/>
        <v>14</v>
      </c>
      <c r="C46" s="26"/>
      <c r="D46" s="27"/>
      <c r="E46" s="15">
        <f>SUM(D$33:D46)/SUM($D$33:$D$47)</f>
        <v>1</v>
      </c>
      <c r="H46" s="16" t="str">
        <f t="shared" ca="1" si="1"/>
        <v/>
      </c>
      <c r="I46" s="17">
        <f t="shared" ca="1" si="2"/>
        <v>0</v>
      </c>
      <c r="J46" s="18">
        <f t="shared" si="3"/>
        <v>0.8</v>
      </c>
    </row>
    <row r="47" spans="2:10" x14ac:dyDescent="0.2">
      <c r="B47" s="14">
        <f t="shared" si="0"/>
        <v>15</v>
      </c>
      <c r="C47" s="26"/>
      <c r="D47" s="27"/>
      <c r="E47" s="15">
        <f>SUM(D$33:D47)/SUM($D$33:$D$47)</f>
        <v>1</v>
      </c>
      <c r="H47" s="16" t="str">
        <f t="shared" ca="1" si="1"/>
        <v/>
      </c>
      <c r="I47" s="17">
        <f t="shared" ca="1" si="2"/>
        <v>0</v>
      </c>
      <c r="J47" s="18">
        <f t="shared" si="3"/>
        <v>0.8</v>
      </c>
    </row>
    <row r="48" spans="2:10" x14ac:dyDescent="0.2">
      <c r="B48" s="19" t="s">
        <v>12</v>
      </c>
      <c r="C48" s="1"/>
      <c r="D48" s="1"/>
      <c r="E48" s="1"/>
      <c r="H48" s="1"/>
      <c r="I48" s="1"/>
      <c r="J48" s="1"/>
    </row>
  </sheetData>
  <phoneticPr fontId="0" type="noConversion"/>
  <pageMargins left="0.75" right="0.75" top="0.5" bottom="0.5" header="0.5" footer="0.25"/>
  <pageSetup orientation="portrait" r:id="rId1"/>
  <headerFooter scaleWithDoc="0">
    <oddFooter>&amp;L&amp;8&amp;K01+049https://www.vertex42.com/ExcelTemplates/pareto-chart.html&amp;R&amp;8&amp;K01+049© 2009 Vertex42 LLC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ParetoChart</vt:lpstr>
      <vt:lpstr>ParetoChart!Print_Area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2015-04-23T17:28:59Z</cp:lastPrinted>
  <dcterms:created xsi:type="dcterms:W3CDTF">2011-11-15T23:24:13Z</dcterms:created>
  <dcterms:modified xsi:type="dcterms:W3CDTF">2022-11-14T15:10:22Z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2009-2018 Vertex42 LLC</vt:lpwstr>
  </property>
  <property fmtid="{D5CDD505-2E9C-101B-9397-08002B2CF9AE}" pid="3" name="Source">
    <vt:lpwstr>https://www.vertex42.com/ExcelTemplates/pareto-chart.html</vt:lpwstr>
  </property>
  <property fmtid="{D5CDD505-2E9C-101B-9397-08002B2CF9AE}" pid="4" name="Version">
    <vt:lpwstr>1.1.1</vt:lpwstr>
  </property>
</Properties>
</file>