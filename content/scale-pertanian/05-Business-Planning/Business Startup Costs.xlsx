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F:\Template Project\Smart Business Owner\Forecasts\"/>
    </mc:Choice>
  </mc:AlternateContent>
  <xr:revisionPtr revIDLastSave="0" documentId="13_ncr:1_{9EED6EB3-84CA-4091-BDBB-A55809260E83}" xr6:coauthVersionLast="47" xr6:coauthVersionMax="47" xr10:uidLastSave="{00000000-0000-0000-0000-000000000000}"/>
  <bookViews>
    <workbookView xWindow="-120" yWindow="-120" windowWidth="20730" windowHeight="11760" tabRatio="500" xr2:uid="{00000000-000D-0000-FFFF-FFFF00000000}"/>
  </bookViews>
  <sheets>
    <sheet name="Startup Expenses" sheetId="1" r:id="rId1"/>
  </sheets>
  <definedNames>
    <definedName name="_xlnm.Print_Area" localSheetId="0">'Startup Expenses'!#REF!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6" i="1" l="1"/>
  <c r="D94" i="1"/>
  <c r="D96" i="1"/>
  <c r="C66" i="1"/>
  <c r="C94" i="1"/>
  <c r="C96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D16" i="1"/>
  <c r="D22" i="1"/>
  <c r="D28" i="1"/>
  <c r="D30" i="1"/>
  <c r="C16" i="1"/>
  <c r="C22" i="1"/>
  <c r="C28" i="1"/>
  <c r="C30" i="1"/>
  <c r="E27" i="1"/>
  <c r="E26" i="1"/>
  <c r="E25" i="1"/>
  <c r="E24" i="1"/>
  <c r="E21" i="1"/>
  <c r="E20" i="1"/>
  <c r="E19" i="1"/>
  <c r="E18" i="1"/>
  <c r="E15" i="1"/>
  <c r="E14" i="1"/>
  <c r="E13" i="1"/>
  <c r="E12" i="1"/>
  <c r="D5" i="1"/>
  <c r="D6" i="1"/>
  <c r="D7" i="1"/>
  <c r="C5" i="1"/>
  <c r="C6" i="1"/>
  <c r="C7" i="1"/>
  <c r="E6" i="1"/>
  <c r="E5" i="1"/>
</calcChain>
</file>

<file path=xl/sharedStrings.xml><?xml version="1.0" encoding="utf-8"?>
<sst xmlns="http://schemas.openxmlformats.org/spreadsheetml/2006/main" count="94" uniqueCount="73">
  <si>
    <t>TOTAL FUNDING</t>
  </si>
  <si>
    <t>TOTAL EXPENSES</t>
  </si>
  <si>
    <t>FUNDING</t>
  </si>
  <si>
    <t>Investor 1</t>
  </si>
  <si>
    <t>Investor 2</t>
  </si>
  <si>
    <t>Investor 3</t>
  </si>
  <si>
    <t>Investor 4</t>
  </si>
  <si>
    <t>Loan 1</t>
  </si>
  <si>
    <t>Loan 2</t>
  </si>
  <si>
    <t>Loan 3</t>
  </si>
  <si>
    <t>Loan 4</t>
  </si>
  <si>
    <t>Other 1</t>
  </si>
  <si>
    <t>Other 2</t>
  </si>
  <si>
    <t>Other 3</t>
  </si>
  <si>
    <t>Other 4</t>
  </si>
  <si>
    <t>TOTAL</t>
  </si>
  <si>
    <t>EXPENSES</t>
  </si>
  <si>
    <t>FIXED EXPENSES</t>
  </si>
  <si>
    <t>Branding</t>
  </si>
  <si>
    <t>Consultations</t>
  </si>
  <si>
    <t>Contingency Reserve</t>
  </si>
  <si>
    <t>Décor</t>
  </si>
  <si>
    <t>Equipment</t>
  </si>
  <si>
    <t>Furniture</t>
  </si>
  <si>
    <t>Insurance</t>
  </si>
  <si>
    <t>Launch Advertising</t>
  </si>
  <si>
    <t>Legal Fees</t>
  </si>
  <si>
    <t>Licenses / Permits</t>
  </si>
  <si>
    <t>Printed Materials</t>
  </si>
  <si>
    <t>Real Estate / Space Acquisition</t>
  </si>
  <si>
    <t>Required Filings</t>
  </si>
  <si>
    <t>Security</t>
  </si>
  <si>
    <t>Signage</t>
  </si>
  <si>
    <t>Software</t>
  </si>
  <si>
    <t>Space Prep</t>
  </si>
  <si>
    <t>Starting Inventory</t>
  </si>
  <si>
    <t>Supplies</t>
  </si>
  <si>
    <t>Technology Hardware</t>
  </si>
  <si>
    <t>Telephone Set-Up / Launch</t>
  </si>
  <si>
    <t>Utility Set-Up / Deposits</t>
  </si>
  <si>
    <t>Web Development</t>
  </si>
  <si>
    <t>Web Domain</t>
  </si>
  <si>
    <t>Web Hosting</t>
  </si>
  <si>
    <t>Working Capital</t>
  </si>
  <si>
    <t xml:space="preserve">Other 4 </t>
  </si>
  <si>
    <t>Other 5</t>
  </si>
  <si>
    <t>Account Fees</t>
  </si>
  <si>
    <t>Accounting Fees</t>
  </si>
  <si>
    <t>Advertising - Print</t>
  </si>
  <si>
    <t>Advertising - Radio, TV, Podcasts</t>
  </si>
  <si>
    <t>Advertising - Web</t>
  </si>
  <si>
    <t>Benefits</t>
  </si>
  <si>
    <t>Equipment - Further Purchases</t>
  </si>
  <si>
    <t>Lease / Rent</t>
  </si>
  <si>
    <t>Loan Interest and Principal</t>
  </si>
  <si>
    <t>Owner Salaries</t>
  </si>
  <si>
    <t>Payroll</t>
  </si>
  <si>
    <t>Payroll Tax</t>
  </si>
  <si>
    <t>Postage / Shipping</t>
  </si>
  <si>
    <t>Telephone</t>
  </si>
  <si>
    <t>Utilities</t>
  </si>
  <si>
    <t>Web - Hosting</t>
  </si>
  <si>
    <t>Web - Maintenance</t>
  </si>
  <si>
    <t>TEMPLATE PENGELUARAN STARTUP</t>
  </si>
  <si>
    <t>RINGKASAN</t>
  </si>
  <si>
    <t>ANGGARAN</t>
  </si>
  <si>
    <t>SEBENARNYA</t>
  </si>
  <si>
    <t>SELISIH (PENDANAAN MINUS PENGELUARAN)</t>
  </si>
  <si>
    <t>SELISIH</t>
  </si>
  <si>
    <t>(ANGGARAN MINUS SEBENARNYA)</t>
  </si>
  <si>
    <t>INVESTOR</t>
  </si>
  <si>
    <t>PINJAMAN</t>
  </si>
  <si>
    <t>LAINNYA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</si>
</sst>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[$IDR]\ #,##0_);\([$IDR]\ #,##0\)"/>
  </numFmts>
  <fonts count="12">
    <font>
      <sz val="12"/>
      <color theme="1"/>
      <name val="Calibri"/>
      <charset val="134"/>
      <scheme val="minor"/>
    </font>
    <font>
      <sz val="12"/>
      <color theme="1"/>
      <name val="Arial"/>
      <family val="2"/>
    </font>
    <font>
      <sz val="12"/>
      <color theme="1"/>
      <name val="Century Gothic"/>
      <family val="2"/>
    </font>
    <font>
      <b/>
      <sz val="22"/>
      <color theme="8" tint="-0.499984740745262"/>
      <name val="Century Gothic"/>
      <family val="2"/>
    </font>
    <font>
      <b/>
      <sz val="11"/>
      <color theme="1"/>
      <name val="Century Gothic"/>
      <family val="2"/>
    </font>
    <font>
      <b/>
      <sz val="11"/>
      <color theme="0"/>
      <name val="Century Gothic"/>
      <family val="2"/>
    </font>
    <font>
      <sz val="11"/>
      <color theme="1"/>
      <name val="Century Gothic"/>
      <family val="2"/>
    </font>
    <font>
      <b/>
      <sz val="9"/>
      <color theme="0"/>
      <name val="Century Gothic"/>
      <family val="2"/>
    </font>
    <font>
      <sz val="11"/>
      <color theme="0"/>
      <name val="Century Gothic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2"/>
      <color rgb="FFFF0000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3">
    <xf numFmtId="0" fontId="0" fillId="0" borderId="0"/>
    <xf numFmtId="164" fontId="10" fillId="0" borderId="0" applyFont="0" applyFill="0" applyBorder="0" applyAlignment="0" applyProtection="0"/>
    <xf numFmtId="0" fontId="9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165" fontId="1" fillId="0" borderId="0" xfId="0" applyNumberFormat="1" applyFont="1"/>
    <xf numFmtId="165" fontId="6" fillId="0" borderId="0" xfId="0" applyNumberFormat="1" applyFont="1" applyAlignment="1">
      <alignment vertical="center"/>
    </xf>
    <xf numFmtId="9" fontId="1" fillId="0" borderId="0" xfId="0" applyNumberFormat="1" applyFont="1"/>
    <xf numFmtId="166" fontId="6" fillId="3" borderId="2" xfId="1" applyNumberFormat="1" applyFont="1" applyFill="1" applyBorder="1" applyAlignment="1">
      <alignment vertical="center"/>
    </xf>
    <xf numFmtId="166" fontId="4" fillId="2" borderId="0" xfId="0" applyNumberFormat="1" applyFont="1" applyFill="1" applyAlignment="1">
      <alignment vertical="center"/>
    </xf>
    <xf numFmtId="166" fontId="6" fillId="2" borderId="2" xfId="1" applyNumberFormat="1" applyFont="1" applyFill="1" applyBorder="1" applyAlignment="1">
      <alignment vertical="center"/>
    </xf>
    <xf numFmtId="166" fontId="6" fillId="2" borderId="2" xfId="0" applyNumberFormat="1" applyFont="1" applyFill="1" applyBorder="1" applyAlignment="1">
      <alignment vertical="center"/>
    </xf>
    <xf numFmtId="166" fontId="6" fillId="4" borderId="0" xfId="1" applyNumberFormat="1" applyFont="1" applyFill="1" applyBorder="1" applyAlignment="1">
      <alignment vertical="center"/>
    </xf>
    <xf numFmtId="0" fontId="11" fillId="0" borderId="0" xfId="0" applyFont="1"/>
    <xf numFmtId="0" fontId="5" fillId="5" borderId="0" xfId="0" applyFont="1" applyFill="1" applyAlignment="1">
      <alignment horizontal="left" vertical="center" indent="1"/>
    </xf>
    <xf numFmtId="165" fontId="5" fillId="5" borderId="0" xfId="0" applyNumberFormat="1" applyFont="1" applyFill="1" applyAlignment="1">
      <alignment horizontal="center" vertical="center"/>
    </xf>
    <xf numFmtId="165" fontId="5" fillId="5" borderId="0" xfId="0" applyNumberFormat="1" applyFont="1" applyFill="1" applyAlignment="1">
      <alignment horizontal="center" wrapText="1"/>
    </xf>
    <xf numFmtId="165" fontId="7" fillId="5" borderId="0" xfId="0" applyNumberFormat="1" applyFont="1" applyFill="1" applyAlignment="1">
      <alignment horizontal="center" vertical="top" wrapText="1"/>
    </xf>
    <xf numFmtId="0" fontId="5" fillId="5" borderId="1" xfId="0" applyFont="1" applyFill="1" applyBorder="1" applyAlignment="1">
      <alignment horizontal="center" vertical="center"/>
    </xf>
    <xf numFmtId="166" fontId="6" fillId="6" borderId="0" xfId="0" applyNumberFormat="1" applyFont="1" applyFill="1" applyAlignment="1">
      <alignment vertical="center"/>
    </xf>
    <xf numFmtId="0" fontId="4" fillId="4" borderId="0" xfId="0" applyFont="1" applyFill="1" applyAlignment="1">
      <alignment horizontal="left" vertical="center" indent="1"/>
    </xf>
    <xf numFmtId="165" fontId="6" fillId="4" borderId="0" xfId="0" applyNumberFormat="1" applyFont="1" applyFill="1" applyAlignment="1">
      <alignment vertical="center"/>
    </xf>
    <xf numFmtId="166" fontId="6" fillId="4" borderId="0" xfId="0" applyNumberFormat="1" applyFont="1" applyFill="1" applyAlignment="1">
      <alignment vertical="center"/>
    </xf>
    <xf numFmtId="0" fontId="6" fillId="4" borderId="0" xfId="0" applyFont="1" applyFill="1" applyAlignment="1">
      <alignment horizontal="left" vertical="center" indent="1"/>
    </xf>
    <xf numFmtId="0" fontId="5" fillId="5" borderId="0" xfId="0" applyFont="1" applyFill="1" applyAlignment="1">
      <alignment horizontal="left" vertical="center" indent="1"/>
    </xf>
    <xf numFmtId="166" fontId="5" fillId="5" borderId="0" xfId="1" applyNumberFormat="1" applyFont="1" applyFill="1" applyAlignment="1">
      <alignment vertical="center"/>
    </xf>
    <xf numFmtId="166" fontId="5" fillId="5" borderId="0" xfId="0" applyNumberFormat="1" applyFont="1" applyFill="1" applyAlignment="1">
      <alignment vertical="center"/>
    </xf>
    <xf numFmtId="166" fontId="8" fillId="5" borderId="0" xfId="0" applyNumberFormat="1" applyFont="1" applyFill="1" applyAlignment="1">
      <alignment vertical="center"/>
    </xf>
  </cellXfs>
  <cellStyles count="3">
    <cellStyle name="Currency" xfId="1" builtinId="4"/>
    <cellStyle name="Normal" xfId="0" builtinId="0"/>
    <cellStyle name="Normal 2" xfId="2" xr:uid="{00000000-0005-0000-0000-000020000000}"/>
  </cellStyles>
  <dxfs count="4">
    <dxf>
      <font>
        <color rgb="FFC00000"/>
      </font>
      <fill>
        <patternFill patternType="solid">
          <bgColor theme="5" tint="0.79995117038483843"/>
        </patternFill>
      </fill>
    </dxf>
    <dxf>
      <font>
        <color rgb="FF9C0006"/>
      </font>
      <fill>
        <patternFill patternType="solid">
          <bgColor theme="4" tint="0.79995117038483843"/>
        </patternFill>
      </fill>
    </dxf>
    <dxf>
      <font>
        <color rgb="FF9C0006"/>
      </font>
      <fill>
        <patternFill patternType="solid">
          <bgColor theme="0" tint="-4.9989318521683403E-2"/>
        </patternFill>
      </fill>
    </dxf>
    <dxf>
      <font>
        <b/>
        <i val="0"/>
        <color rgb="FF9C0006"/>
      </font>
      <fill>
        <patternFill patternType="none"/>
      </fill>
    </dxf>
  </dxfs>
  <tableStyles count="0" defaultTableStyle="TableStyleMedium9" defaultPivotStyle="PivotStyleMedium7"/>
  <colors>
    <mruColors>
      <color rgb="FF00BD32"/>
      <color rgb="FF03C25B"/>
      <color rgb="FFDAF3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>
        <c:manualLayout>
          <c:layoutTarget val="inner"/>
          <c:xMode val="edge"/>
          <c:yMode val="edge"/>
          <c:x val="1.6825720354437999E-2"/>
          <c:y val="0.18572377819861099"/>
          <c:w val="0.97241535433070903"/>
          <c:h val="0.7023772339660859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'Startup Expenses'!$B$5</c:f>
              <c:strCache>
                <c:ptCount val="1"/>
                <c:pt idx="0">
                  <c:v>TOTAL FUNDING</c:v>
                </c:pt>
              </c:strCache>
            </c:strRef>
          </c:tx>
          <c:spPr>
            <a:solidFill>
              <a:schemeClr val="accent6"/>
            </a:solidFill>
            <a:ln w="12700" cap="flat" cmpd="sng" algn="ctr">
              <a:solidFill>
                <a:schemeClr val="accent6">
                  <a:shade val="15000"/>
                </a:schemeClr>
              </a:solidFill>
              <a:prstDash val="solid"/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100" b="0" i="0" u="none" strike="noStrike" kern="1200" baseline="0">
                    <a:solidFill>
                      <a:schemeClr val="bg1"/>
                    </a:solidFill>
                    <a:latin typeface="Century Gothic" charset="0"/>
                    <a:ea typeface="Century Gothic" charset="0"/>
                    <a:cs typeface="Century Gothic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'Startup Expenses'!$D$5</c:f>
              <c:numCache>
                <c:formatCode>[$IDR]\ #.##0_);\([$IDR]\ #.##0\)</c:formatCode>
                <c:ptCount val="1"/>
                <c:pt idx="0">
                  <c:v>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90-4378-BA20-66BF3DF39516}"/>
            </c:ext>
          </c:extLst>
        </c:ser>
        <c:ser>
          <c:idx val="1"/>
          <c:order val="1"/>
          <c:tx>
            <c:strRef>
              <c:f>'Startup Expenses'!$B$6</c:f>
              <c:strCache>
                <c:ptCount val="1"/>
                <c:pt idx="0">
                  <c:v>TOTAL EXPENSES</c:v>
                </c:pt>
              </c:strCache>
            </c:strRef>
          </c:tx>
          <c:spPr>
            <a:solidFill>
              <a:schemeClr val="accent6"/>
            </a:solidFill>
            <a:ln w="12700" cap="flat" cmpd="sng" algn="ctr">
              <a:solidFill>
                <a:schemeClr val="accent6">
                  <a:shade val="15000"/>
                </a:schemeClr>
              </a:solidFill>
              <a:prstDash val="solid"/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100" b="0" i="0" u="none" strike="noStrike" kern="1200" baseline="0">
                    <a:solidFill>
                      <a:schemeClr val="bg1"/>
                    </a:solidFill>
                    <a:latin typeface="Century Gothic" charset="0"/>
                    <a:ea typeface="Century Gothic" charset="0"/>
                    <a:cs typeface="Century Gothic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'Startup Expenses'!$D$6</c:f>
              <c:numCache>
                <c:formatCode>[$IDR]\ #.##0_);\([$IDR]\ #.##0\)</c:formatCode>
                <c:ptCount val="1"/>
                <c:pt idx="0">
                  <c:v>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90-4378-BA20-66BF3DF395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3016960"/>
        <c:axId val="63018496"/>
      </c:barChart>
      <c:catAx>
        <c:axId val="63016960"/>
        <c:scaling>
          <c:orientation val="minMax"/>
        </c:scaling>
        <c:delete val="1"/>
        <c:axPos val="l"/>
        <c:majorTickMark val="out"/>
        <c:minorTickMark val="none"/>
        <c:tickLblPos val="nextTo"/>
        <c:crossAx val="63018496"/>
        <c:crosses val="autoZero"/>
        <c:auto val="1"/>
        <c:lblAlgn val="ctr"/>
        <c:lblOffset val="100"/>
        <c:noMultiLvlLbl val="0"/>
      </c:catAx>
      <c:valAx>
        <c:axId val="63018496"/>
        <c:scaling>
          <c:orientation val="minMax"/>
        </c:scaling>
        <c:delete val="1"/>
        <c:axPos val="b"/>
        <c:numFmt formatCode="[$IDR]\ #.##0_);\([$IDR]\ #.##0\)" sourceLinked="1"/>
        <c:majorTickMark val="out"/>
        <c:minorTickMark val="none"/>
        <c:tickLblPos val="nextTo"/>
        <c:crossAx val="6301696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ln w="6350" cap="flat" cmpd="sng" algn="ctr">
      <a:noFill/>
      <a:prstDash val="solid"/>
      <a:round/>
    </a:ln>
  </c:spPr>
  <c:txPr>
    <a:bodyPr/>
    <a:lstStyle/>
    <a:p>
      <a:pPr>
        <a:defRPr lang="en-US">
          <a:latin typeface="Century Gothic" charset="0"/>
          <a:ea typeface="Century Gothic" charset="0"/>
          <a:cs typeface="Century Gothic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177800</xdr:colOff>
      <xdr:row>2</xdr:row>
      <xdr:rowOff>0</xdr:rowOff>
    </xdr:from>
    <xdr:to>
      <xdr:col>5</xdr:col>
      <xdr:colOff>901700</xdr:colOff>
      <xdr:row>2</xdr:row>
      <xdr:rowOff>1631950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Marquee">
      <a:dk1>
        <a:srgbClr val="000000"/>
      </a:dk1>
      <a:lt1>
        <a:sysClr val="window" lastClr="FFFFFF"/>
      </a:lt1>
      <a:dk2>
        <a:srgbClr val="5E5E5E"/>
      </a:dk2>
      <a:lt2>
        <a:srgbClr val="DDDDDD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B2B2B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499984740745262"/>
  </sheetPr>
  <dimension ref="A2:J96"/>
  <sheetViews>
    <sheetView showGridLines="0" showRowColHeaders="0" tabSelected="1" workbookViewId="0">
      <pane ySplit="2" topLeftCell="A75" activePane="bottomLeft" state="frozen"/>
      <selection pane="bottomLeft" activeCell="G81" sqref="G81"/>
    </sheetView>
  </sheetViews>
  <sheetFormatPr defaultColWidth="10.75" defaultRowHeight="15"/>
  <cols>
    <col min="1" max="1" width="3.5" style="1" customWidth="1"/>
    <col min="2" max="2" width="36.75" style="1" customWidth="1"/>
    <col min="3" max="5" width="21" style="1" customWidth="1"/>
    <col min="6" max="6" width="3.5" style="1" customWidth="1"/>
    <col min="7" max="16384" width="10.75" style="1"/>
  </cols>
  <sheetData>
    <row r="2" spans="1:6" ht="28.5">
      <c r="B2" s="14" t="s">
        <v>63</v>
      </c>
      <c r="C2" s="2"/>
      <c r="D2" s="3"/>
      <c r="E2" s="3"/>
      <c r="F2" s="3"/>
    </row>
    <row r="3" spans="1:6" ht="136.15" customHeight="1">
      <c r="B3" s="2"/>
      <c r="C3" s="2"/>
      <c r="D3" s="2"/>
      <c r="E3" s="2"/>
      <c r="F3" s="2"/>
    </row>
    <row r="4" spans="1:6" ht="21" customHeight="1">
      <c r="A4"/>
      <c r="B4" s="4" t="s">
        <v>64</v>
      </c>
      <c r="C4" s="19" t="s">
        <v>65</v>
      </c>
      <c r="D4" s="19" t="s">
        <v>66</v>
      </c>
      <c r="E4" s="19" t="s">
        <v>68</v>
      </c>
    </row>
    <row r="5" spans="1:6" ht="16.5">
      <c r="A5"/>
      <c r="B5" s="5" t="s">
        <v>0</v>
      </c>
      <c r="C5" s="9">
        <f>C30</f>
        <v>69000</v>
      </c>
      <c r="D5" s="9">
        <f>D30</f>
        <v>70000</v>
      </c>
      <c r="E5" s="9">
        <f>D5-C5</f>
        <v>1000</v>
      </c>
    </row>
    <row r="6" spans="1:6" ht="16.5">
      <c r="A6"/>
      <c r="B6" s="5" t="s">
        <v>1</v>
      </c>
      <c r="C6" s="9">
        <f>C96</f>
        <v>8100</v>
      </c>
      <c r="D6" s="9">
        <f>D96</f>
        <v>7500</v>
      </c>
      <c r="E6" s="9">
        <f>C6-D6</f>
        <v>600</v>
      </c>
    </row>
    <row r="7" spans="1:6" ht="28.9" customHeight="1">
      <c r="A7"/>
      <c r="B7" s="4" t="s">
        <v>67</v>
      </c>
      <c r="C7" s="10">
        <f>C5-C6</f>
        <v>60900</v>
      </c>
      <c r="D7" s="10">
        <f t="shared" ref="D7" si="0">D5-D6</f>
        <v>62500</v>
      </c>
      <c r="E7" s="10"/>
    </row>
    <row r="8" spans="1:6" ht="21" customHeight="1">
      <c r="A8"/>
      <c r="B8" s="5"/>
      <c r="C8" s="6"/>
      <c r="D8" s="6"/>
      <c r="E8" s="6"/>
    </row>
    <row r="9" spans="1:6" ht="21" customHeight="1">
      <c r="A9"/>
      <c r="B9" s="15" t="s">
        <v>2</v>
      </c>
      <c r="C9" s="16" t="s">
        <v>65</v>
      </c>
      <c r="D9" s="16" t="s">
        <v>66</v>
      </c>
      <c r="E9" s="17" t="s">
        <v>68</v>
      </c>
    </row>
    <row r="10" spans="1:6" ht="21" customHeight="1">
      <c r="A10"/>
      <c r="B10" s="15"/>
      <c r="C10" s="16"/>
      <c r="D10" s="16"/>
      <c r="E10" s="18" t="s">
        <v>69</v>
      </c>
    </row>
    <row r="11" spans="1:6" ht="16.5">
      <c r="A11"/>
      <c r="B11" s="21" t="s">
        <v>70</v>
      </c>
      <c r="C11" s="22"/>
      <c r="D11" s="22"/>
      <c r="E11" s="22"/>
    </row>
    <row r="12" spans="1:6" ht="16.5">
      <c r="A12"/>
      <c r="B12" s="24" t="s">
        <v>3</v>
      </c>
      <c r="C12" s="11">
        <v>28000</v>
      </c>
      <c r="D12" s="12">
        <v>30000</v>
      </c>
      <c r="E12" s="23">
        <f>D12-C12</f>
        <v>2000</v>
      </c>
    </row>
    <row r="13" spans="1:6" ht="16.5">
      <c r="A13"/>
      <c r="B13" s="24" t="s">
        <v>4</v>
      </c>
      <c r="C13" s="11">
        <v>16000</v>
      </c>
      <c r="D13" s="11">
        <v>14000</v>
      </c>
      <c r="E13" s="23">
        <f t="shared" ref="E13:E15" si="1">D13-C13</f>
        <v>-2000</v>
      </c>
    </row>
    <row r="14" spans="1:6" ht="16.5">
      <c r="A14"/>
      <c r="B14" s="24" t="s">
        <v>5</v>
      </c>
      <c r="C14" s="11">
        <v>0</v>
      </c>
      <c r="D14" s="11">
        <v>0</v>
      </c>
      <c r="E14" s="23">
        <f t="shared" si="1"/>
        <v>0</v>
      </c>
    </row>
    <row r="15" spans="1:6" ht="16.5">
      <c r="A15"/>
      <c r="B15" s="24" t="s">
        <v>6</v>
      </c>
      <c r="C15" s="11">
        <v>0</v>
      </c>
      <c r="D15" s="11">
        <v>0</v>
      </c>
      <c r="E15" s="23">
        <f t="shared" si="1"/>
        <v>0</v>
      </c>
    </row>
    <row r="16" spans="1:6" ht="16.5">
      <c r="A16"/>
      <c r="B16" s="24"/>
      <c r="C16" s="20">
        <f>SUM(C12:C15)</f>
        <v>44000</v>
      </c>
      <c r="D16" s="20">
        <f>SUM(D12:D15)</f>
        <v>44000</v>
      </c>
      <c r="E16" s="23"/>
    </row>
    <row r="17" spans="1:5" ht="16.5">
      <c r="A17"/>
      <c r="B17" s="21" t="s">
        <v>71</v>
      </c>
      <c r="C17" s="23"/>
      <c r="D17" s="23"/>
      <c r="E17" s="23"/>
    </row>
    <row r="18" spans="1:5" ht="16.5">
      <c r="A18"/>
      <c r="B18" s="24" t="s">
        <v>7</v>
      </c>
      <c r="C18" s="11">
        <v>1000</v>
      </c>
      <c r="D18" s="12">
        <v>1000</v>
      </c>
      <c r="E18" s="23">
        <f>D18-C18</f>
        <v>0</v>
      </c>
    </row>
    <row r="19" spans="1:5" ht="16.5">
      <c r="A19"/>
      <c r="B19" s="24" t="s">
        <v>8</v>
      </c>
      <c r="C19" s="11">
        <v>1000</v>
      </c>
      <c r="D19" s="11">
        <v>1000</v>
      </c>
      <c r="E19" s="23">
        <f t="shared" ref="E19:E21" si="2">D19-C19</f>
        <v>0</v>
      </c>
    </row>
    <row r="20" spans="1:5" ht="16.5">
      <c r="A20"/>
      <c r="B20" s="24" t="s">
        <v>9</v>
      </c>
      <c r="C20" s="11">
        <v>5000</v>
      </c>
      <c r="D20" s="11">
        <v>8000</v>
      </c>
      <c r="E20" s="23">
        <f t="shared" si="2"/>
        <v>3000</v>
      </c>
    </row>
    <row r="21" spans="1:5" ht="16.5">
      <c r="A21"/>
      <c r="B21" s="24" t="s">
        <v>10</v>
      </c>
      <c r="C21" s="11">
        <v>0</v>
      </c>
      <c r="D21" s="11">
        <v>0</v>
      </c>
      <c r="E21" s="23">
        <f t="shared" si="2"/>
        <v>0</v>
      </c>
    </row>
    <row r="22" spans="1:5" ht="16.5">
      <c r="A22"/>
      <c r="B22" s="24"/>
      <c r="C22" s="20">
        <f>SUM(C18:C21)</f>
        <v>7000</v>
      </c>
      <c r="D22" s="20">
        <f>SUM(D18:D21)</f>
        <v>10000</v>
      </c>
      <c r="E22" s="23"/>
    </row>
    <row r="23" spans="1:5" ht="16.5">
      <c r="A23"/>
      <c r="B23" s="21" t="s">
        <v>72</v>
      </c>
      <c r="C23" s="23"/>
      <c r="D23" s="23"/>
      <c r="E23" s="23"/>
    </row>
    <row r="24" spans="1:5" ht="16.5">
      <c r="A24"/>
      <c r="B24" s="24" t="s">
        <v>11</v>
      </c>
      <c r="C24" s="11">
        <v>6000</v>
      </c>
      <c r="D24" s="12">
        <v>6000</v>
      </c>
      <c r="E24" s="23">
        <f>D24-C24</f>
        <v>0</v>
      </c>
    </row>
    <row r="25" spans="1:5" ht="16.5">
      <c r="A25"/>
      <c r="B25" s="24" t="s">
        <v>12</v>
      </c>
      <c r="C25" s="11">
        <v>12000</v>
      </c>
      <c r="D25" s="11">
        <v>10000</v>
      </c>
      <c r="E25" s="23">
        <f t="shared" ref="E25:E27" si="3">D25-C25</f>
        <v>-2000</v>
      </c>
    </row>
    <row r="26" spans="1:5" ht="16.5">
      <c r="A26"/>
      <c r="B26" s="24" t="s">
        <v>13</v>
      </c>
      <c r="C26" s="11">
        <v>0</v>
      </c>
      <c r="D26" s="11">
        <v>0</v>
      </c>
      <c r="E26" s="23">
        <f t="shared" si="3"/>
        <v>0</v>
      </c>
    </row>
    <row r="27" spans="1:5" ht="16.5">
      <c r="A27"/>
      <c r="B27" s="24" t="s">
        <v>14</v>
      </c>
      <c r="C27" s="11">
        <v>0</v>
      </c>
      <c r="D27" s="11">
        <v>0</v>
      </c>
      <c r="E27" s="23">
        <f t="shared" si="3"/>
        <v>0</v>
      </c>
    </row>
    <row r="28" spans="1:5" ht="16.5">
      <c r="A28"/>
      <c r="B28" s="24"/>
      <c r="C28" s="20">
        <f>SUM(C24:C27)</f>
        <v>18000</v>
      </c>
      <c r="D28" s="20">
        <f>SUM(D24:D27)</f>
        <v>16000</v>
      </c>
      <c r="E28" s="23"/>
    </row>
    <row r="29" spans="1:5" ht="16.5">
      <c r="A29"/>
      <c r="B29" s="21"/>
      <c r="C29" s="23"/>
      <c r="D29" s="23"/>
      <c r="E29" s="23"/>
    </row>
    <row r="30" spans="1:5" ht="21" customHeight="1">
      <c r="A30"/>
      <c r="B30" s="25" t="s">
        <v>15</v>
      </c>
      <c r="C30" s="26">
        <f>SUM(C16,C22,C28)</f>
        <v>69000</v>
      </c>
      <c r="D30" s="26">
        <f>SUM(D16,D22,D28)</f>
        <v>70000</v>
      </c>
      <c r="E30" s="27"/>
    </row>
    <row r="31" spans="1:5" ht="16.5">
      <c r="A31"/>
      <c r="B31" s="5"/>
      <c r="C31" s="7"/>
      <c r="D31" s="7"/>
      <c r="E31" s="7"/>
    </row>
    <row r="32" spans="1:5" ht="21" customHeight="1">
      <c r="A32"/>
      <c r="B32" s="15" t="s">
        <v>16</v>
      </c>
      <c r="C32" s="16" t="s">
        <v>65</v>
      </c>
      <c r="D32" s="16" t="s">
        <v>66</v>
      </c>
      <c r="E32" s="17" t="s">
        <v>68</v>
      </c>
    </row>
    <row r="33" spans="1:5" ht="21" customHeight="1">
      <c r="A33"/>
      <c r="B33" s="15"/>
      <c r="C33" s="16"/>
      <c r="D33" s="16"/>
      <c r="E33" s="18" t="s">
        <v>69</v>
      </c>
    </row>
    <row r="34" spans="1:5" ht="16.5">
      <c r="A34"/>
      <c r="B34" s="21" t="s">
        <v>17</v>
      </c>
      <c r="C34" s="22"/>
      <c r="D34" s="22"/>
      <c r="E34" s="22"/>
    </row>
    <row r="35" spans="1:5" ht="16.5">
      <c r="A35"/>
      <c r="B35" s="24" t="s">
        <v>18</v>
      </c>
      <c r="C35" s="11">
        <v>7500</v>
      </c>
      <c r="D35" s="11">
        <v>7000</v>
      </c>
      <c r="E35" s="23">
        <f>C35-D35</f>
        <v>500</v>
      </c>
    </row>
    <row r="36" spans="1:5" ht="16.5">
      <c r="A36"/>
      <c r="B36" s="24" t="s">
        <v>19</v>
      </c>
      <c r="C36" s="11">
        <v>0</v>
      </c>
      <c r="D36" s="11">
        <v>0</v>
      </c>
      <c r="E36" s="23">
        <f t="shared" ref="E36:E65" si="4">C36-D36</f>
        <v>0</v>
      </c>
    </row>
    <row r="37" spans="1:5" ht="16.5">
      <c r="A37"/>
      <c r="B37" s="24" t="s">
        <v>20</v>
      </c>
      <c r="C37" s="11">
        <v>0</v>
      </c>
      <c r="D37" s="11">
        <v>0</v>
      </c>
      <c r="E37" s="23">
        <f t="shared" si="4"/>
        <v>0</v>
      </c>
    </row>
    <row r="38" spans="1:5" ht="16.5">
      <c r="A38"/>
      <c r="B38" s="24" t="s">
        <v>21</v>
      </c>
      <c r="C38" s="11">
        <v>0</v>
      </c>
      <c r="D38" s="11">
        <v>0</v>
      </c>
      <c r="E38" s="23">
        <f t="shared" si="4"/>
        <v>0</v>
      </c>
    </row>
    <row r="39" spans="1:5" ht="16.5">
      <c r="A39"/>
      <c r="B39" s="24" t="s">
        <v>22</v>
      </c>
      <c r="C39" s="11">
        <v>0</v>
      </c>
      <c r="D39" s="11">
        <v>0</v>
      </c>
      <c r="E39" s="23">
        <f t="shared" si="4"/>
        <v>0</v>
      </c>
    </row>
    <row r="40" spans="1:5" ht="16.5">
      <c r="A40"/>
      <c r="B40" s="24" t="s">
        <v>23</v>
      </c>
      <c r="C40" s="11">
        <v>0</v>
      </c>
      <c r="D40" s="11">
        <v>0</v>
      </c>
      <c r="E40" s="23">
        <f t="shared" si="4"/>
        <v>0</v>
      </c>
    </row>
    <row r="41" spans="1:5" ht="16.5">
      <c r="A41"/>
      <c r="B41" s="24" t="s">
        <v>24</v>
      </c>
      <c r="C41" s="11">
        <v>0</v>
      </c>
      <c r="D41" s="11">
        <v>0</v>
      </c>
      <c r="E41" s="23">
        <f t="shared" si="4"/>
        <v>0</v>
      </c>
    </row>
    <row r="42" spans="1:5" ht="16.5">
      <c r="A42"/>
      <c r="B42" s="24" t="s">
        <v>25</v>
      </c>
      <c r="C42" s="11">
        <v>0</v>
      </c>
      <c r="D42" s="11">
        <v>0</v>
      </c>
      <c r="E42" s="23">
        <f t="shared" si="4"/>
        <v>0</v>
      </c>
    </row>
    <row r="43" spans="1:5" ht="16.5">
      <c r="A43"/>
      <c r="B43" s="24" t="s">
        <v>26</v>
      </c>
      <c r="C43" s="11">
        <v>0</v>
      </c>
      <c r="D43" s="11">
        <v>0</v>
      </c>
      <c r="E43" s="23">
        <f t="shared" si="4"/>
        <v>0</v>
      </c>
    </row>
    <row r="44" spans="1:5" ht="16.5">
      <c r="A44"/>
      <c r="B44" s="24" t="s">
        <v>27</v>
      </c>
      <c r="C44" s="11">
        <v>0</v>
      </c>
      <c r="D44" s="11">
        <v>0</v>
      </c>
      <c r="E44" s="23">
        <f t="shared" si="4"/>
        <v>0</v>
      </c>
    </row>
    <row r="45" spans="1:5" ht="16.5">
      <c r="A45"/>
      <c r="B45" s="24" t="s">
        <v>28</v>
      </c>
      <c r="C45" s="11">
        <v>0</v>
      </c>
      <c r="D45" s="11">
        <v>0</v>
      </c>
      <c r="E45" s="23">
        <f t="shared" si="4"/>
        <v>0</v>
      </c>
    </row>
    <row r="46" spans="1:5" ht="16.5">
      <c r="A46"/>
      <c r="B46" s="24" t="s">
        <v>29</v>
      </c>
      <c r="C46" s="11">
        <v>0</v>
      </c>
      <c r="D46" s="11">
        <v>0</v>
      </c>
      <c r="E46" s="23">
        <f t="shared" si="4"/>
        <v>0</v>
      </c>
    </row>
    <row r="47" spans="1:5" ht="16.5">
      <c r="A47"/>
      <c r="B47" s="24" t="s">
        <v>30</v>
      </c>
      <c r="C47" s="11">
        <v>0</v>
      </c>
      <c r="D47" s="11">
        <v>0</v>
      </c>
      <c r="E47" s="23">
        <f t="shared" si="4"/>
        <v>0</v>
      </c>
    </row>
    <row r="48" spans="1:5" ht="16.5">
      <c r="A48"/>
      <c r="B48" s="24" t="s">
        <v>31</v>
      </c>
      <c r="C48" s="11">
        <v>0</v>
      </c>
      <c r="D48" s="11">
        <v>0</v>
      </c>
      <c r="E48" s="23">
        <f t="shared" si="4"/>
        <v>0</v>
      </c>
    </row>
    <row r="49" spans="1:10" ht="16.5">
      <c r="A49"/>
      <c r="B49" s="24" t="s">
        <v>32</v>
      </c>
      <c r="C49" s="11">
        <v>0</v>
      </c>
      <c r="D49" s="11">
        <v>0</v>
      </c>
      <c r="E49" s="23">
        <f t="shared" si="4"/>
        <v>0</v>
      </c>
    </row>
    <row r="50" spans="1:10" ht="16.5">
      <c r="A50"/>
      <c r="B50" s="24" t="s">
        <v>33</v>
      </c>
      <c r="C50" s="11">
        <v>0</v>
      </c>
      <c r="D50" s="11">
        <v>0</v>
      </c>
      <c r="E50" s="23">
        <f t="shared" si="4"/>
        <v>0</v>
      </c>
    </row>
    <row r="51" spans="1:10" ht="16.5">
      <c r="A51"/>
      <c r="B51" s="24" t="s">
        <v>34</v>
      </c>
      <c r="C51" s="11">
        <v>0</v>
      </c>
      <c r="D51" s="11">
        <v>0</v>
      </c>
      <c r="E51" s="23">
        <f t="shared" si="4"/>
        <v>0</v>
      </c>
    </row>
    <row r="52" spans="1:10" ht="16.5">
      <c r="A52"/>
      <c r="B52" s="24" t="s">
        <v>35</v>
      </c>
      <c r="C52" s="11">
        <v>0</v>
      </c>
      <c r="D52" s="11">
        <v>0</v>
      </c>
      <c r="E52" s="23">
        <f t="shared" si="4"/>
        <v>0</v>
      </c>
    </row>
    <row r="53" spans="1:10" ht="16.5">
      <c r="A53"/>
      <c r="B53" s="24" t="s">
        <v>36</v>
      </c>
      <c r="C53" s="11">
        <v>0</v>
      </c>
      <c r="D53" s="11">
        <v>0</v>
      </c>
      <c r="E53" s="23">
        <f t="shared" si="4"/>
        <v>0</v>
      </c>
      <c r="J53" s="8"/>
    </row>
    <row r="54" spans="1:10" ht="16.5">
      <c r="A54"/>
      <c r="B54" s="24" t="s">
        <v>37</v>
      </c>
      <c r="C54" s="11">
        <v>0</v>
      </c>
      <c r="D54" s="11">
        <v>0</v>
      </c>
      <c r="E54" s="23">
        <f t="shared" si="4"/>
        <v>0</v>
      </c>
    </row>
    <row r="55" spans="1:10" ht="16.5">
      <c r="A55"/>
      <c r="B55" s="24" t="s">
        <v>38</v>
      </c>
      <c r="C55" s="11">
        <v>0</v>
      </c>
      <c r="D55" s="11">
        <v>0</v>
      </c>
      <c r="E55" s="23">
        <f t="shared" si="4"/>
        <v>0</v>
      </c>
    </row>
    <row r="56" spans="1:10" ht="16.5">
      <c r="A56"/>
      <c r="B56" s="24" t="s">
        <v>39</v>
      </c>
      <c r="C56" s="11">
        <v>0</v>
      </c>
      <c r="D56" s="11">
        <v>0</v>
      </c>
      <c r="E56" s="23">
        <f t="shared" si="4"/>
        <v>0</v>
      </c>
    </row>
    <row r="57" spans="1:10" ht="16.5">
      <c r="A57"/>
      <c r="B57" s="24" t="s">
        <v>40</v>
      </c>
      <c r="C57" s="11">
        <v>0</v>
      </c>
      <c r="D57" s="11">
        <v>0</v>
      </c>
      <c r="E57" s="23">
        <f t="shared" si="4"/>
        <v>0</v>
      </c>
    </row>
    <row r="58" spans="1:10" ht="16.5">
      <c r="A58"/>
      <c r="B58" s="24" t="s">
        <v>41</v>
      </c>
      <c r="C58" s="11">
        <v>0</v>
      </c>
      <c r="D58" s="11">
        <v>0</v>
      </c>
      <c r="E58" s="23">
        <f t="shared" si="4"/>
        <v>0</v>
      </c>
    </row>
    <row r="59" spans="1:10" ht="16.5">
      <c r="A59"/>
      <c r="B59" s="24" t="s">
        <v>42</v>
      </c>
      <c r="C59" s="11">
        <v>0</v>
      </c>
      <c r="D59" s="11">
        <v>0</v>
      </c>
      <c r="E59" s="23">
        <f t="shared" si="4"/>
        <v>0</v>
      </c>
    </row>
    <row r="60" spans="1:10" ht="16.5">
      <c r="A60"/>
      <c r="B60" s="24" t="s">
        <v>43</v>
      </c>
      <c r="C60" s="11">
        <v>0</v>
      </c>
      <c r="D60" s="11">
        <v>0</v>
      </c>
      <c r="E60" s="23">
        <f t="shared" si="4"/>
        <v>0</v>
      </c>
    </row>
    <row r="61" spans="1:10" ht="16.5">
      <c r="A61"/>
      <c r="B61" s="24" t="s">
        <v>11</v>
      </c>
      <c r="C61" s="11">
        <v>0</v>
      </c>
      <c r="D61" s="11">
        <v>0</v>
      </c>
      <c r="E61" s="23">
        <f t="shared" si="4"/>
        <v>0</v>
      </c>
    </row>
    <row r="62" spans="1:10" ht="16.5">
      <c r="A62"/>
      <c r="B62" s="24" t="s">
        <v>12</v>
      </c>
      <c r="C62" s="11">
        <v>0</v>
      </c>
      <c r="D62" s="11">
        <v>0</v>
      </c>
      <c r="E62" s="23">
        <f t="shared" si="4"/>
        <v>0</v>
      </c>
    </row>
    <row r="63" spans="1:10" ht="16.5">
      <c r="A63"/>
      <c r="B63" s="24" t="s">
        <v>13</v>
      </c>
      <c r="C63" s="11">
        <v>0</v>
      </c>
      <c r="D63" s="11">
        <v>0</v>
      </c>
      <c r="E63" s="23">
        <f t="shared" si="4"/>
        <v>0</v>
      </c>
    </row>
    <row r="64" spans="1:10" ht="16.5">
      <c r="A64"/>
      <c r="B64" s="24" t="s">
        <v>44</v>
      </c>
      <c r="C64" s="11">
        <v>0</v>
      </c>
      <c r="D64" s="11">
        <v>0</v>
      </c>
      <c r="E64" s="23">
        <f t="shared" si="4"/>
        <v>0</v>
      </c>
    </row>
    <row r="65" spans="1:5" ht="16.5">
      <c r="A65"/>
      <c r="B65" s="24" t="s">
        <v>45</v>
      </c>
      <c r="C65" s="11">
        <v>0</v>
      </c>
      <c r="D65" s="11">
        <v>0</v>
      </c>
      <c r="E65" s="23">
        <f t="shared" si="4"/>
        <v>0</v>
      </c>
    </row>
    <row r="66" spans="1:5" ht="16.5">
      <c r="A66"/>
      <c r="B66" s="24"/>
      <c r="C66" s="13">
        <f>SUM(C35:C65)</f>
        <v>7500</v>
      </c>
      <c r="D66" s="13">
        <f>SUM(D35:D65)</f>
        <v>7000</v>
      </c>
      <c r="E66" s="23"/>
    </row>
    <row r="67" spans="1:5" ht="16.5">
      <c r="A67"/>
      <c r="B67" s="21" t="s">
        <v>17</v>
      </c>
      <c r="C67" s="23"/>
      <c r="D67" s="23"/>
      <c r="E67" s="23"/>
    </row>
    <row r="68" spans="1:5" ht="16.5">
      <c r="A68"/>
      <c r="B68" s="24" t="s">
        <v>46</v>
      </c>
      <c r="C68" s="11">
        <v>600</v>
      </c>
      <c r="D68" s="11">
        <v>500</v>
      </c>
      <c r="E68" s="23">
        <f>C68-D68</f>
        <v>100</v>
      </c>
    </row>
    <row r="69" spans="1:5" ht="16.5">
      <c r="A69"/>
      <c r="B69" s="24" t="s">
        <v>47</v>
      </c>
      <c r="C69" s="11">
        <v>0</v>
      </c>
      <c r="D69" s="11">
        <v>0</v>
      </c>
      <c r="E69" s="23">
        <f t="shared" ref="E69:E93" si="5">C69-D69</f>
        <v>0</v>
      </c>
    </row>
    <row r="70" spans="1:5" ht="16.5">
      <c r="A70"/>
      <c r="B70" s="24" t="s">
        <v>48</v>
      </c>
      <c r="C70" s="11">
        <v>0</v>
      </c>
      <c r="D70" s="11">
        <v>0</v>
      </c>
      <c r="E70" s="23">
        <f t="shared" si="5"/>
        <v>0</v>
      </c>
    </row>
    <row r="71" spans="1:5" ht="16.5">
      <c r="A71"/>
      <c r="B71" s="24" t="s">
        <v>49</v>
      </c>
      <c r="C71" s="11">
        <v>0</v>
      </c>
      <c r="D71" s="11">
        <v>0</v>
      </c>
      <c r="E71" s="23">
        <f t="shared" si="5"/>
        <v>0</v>
      </c>
    </row>
    <row r="72" spans="1:5" ht="16.5">
      <c r="A72"/>
      <c r="B72" s="24" t="s">
        <v>50</v>
      </c>
      <c r="C72" s="11">
        <v>0</v>
      </c>
      <c r="D72" s="11">
        <v>0</v>
      </c>
      <c r="E72" s="23">
        <f t="shared" si="5"/>
        <v>0</v>
      </c>
    </row>
    <row r="73" spans="1:5" ht="16.5">
      <c r="A73"/>
      <c r="B73" s="24" t="s">
        <v>51</v>
      </c>
      <c r="C73" s="11">
        <v>0</v>
      </c>
      <c r="D73" s="11">
        <v>0</v>
      </c>
      <c r="E73" s="23">
        <f t="shared" si="5"/>
        <v>0</v>
      </c>
    </row>
    <row r="74" spans="1:5" ht="16.5">
      <c r="A74"/>
      <c r="B74" s="24" t="s">
        <v>52</v>
      </c>
      <c r="C74" s="11">
        <v>0</v>
      </c>
      <c r="D74" s="11">
        <v>0</v>
      </c>
      <c r="E74" s="23">
        <f t="shared" si="5"/>
        <v>0</v>
      </c>
    </row>
    <row r="75" spans="1:5" ht="16.5">
      <c r="A75"/>
      <c r="B75" s="24" t="s">
        <v>24</v>
      </c>
      <c r="C75" s="11">
        <v>0</v>
      </c>
      <c r="D75" s="11">
        <v>0</v>
      </c>
      <c r="E75" s="23">
        <f t="shared" si="5"/>
        <v>0</v>
      </c>
    </row>
    <row r="76" spans="1:5" ht="16.5">
      <c r="A76"/>
      <c r="B76" s="24" t="s">
        <v>53</v>
      </c>
      <c r="C76" s="11">
        <v>0</v>
      </c>
      <c r="D76" s="11">
        <v>0</v>
      </c>
      <c r="E76" s="23">
        <f t="shared" si="5"/>
        <v>0</v>
      </c>
    </row>
    <row r="77" spans="1:5" ht="16.5">
      <c r="A77"/>
      <c r="B77" s="24" t="s">
        <v>26</v>
      </c>
      <c r="C77" s="11">
        <v>0</v>
      </c>
      <c r="D77" s="11">
        <v>0</v>
      </c>
      <c r="E77" s="23">
        <f t="shared" si="5"/>
        <v>0</v>
      </c>
    </row>
    <row r="78" spans="1:5" ht="16.5">
      <c r="A78"/>
      <c r="B78" s="24" t="s">
        <v>54</v>
      </c>
      <c r="C78" s="11">
        <v>0</v>
      </c>
      <c r="D78" s="11">
        <v>0</v>
      </c>
      <c r="E78" s="23">
        <f t="shared" si="5"/>
        <v>0</v>
      </c>
    </row>
    <row r="79" spans="1:5" ht="16.5">
      <c r="A79"/>
      <c r="B79" s="24" t="s">
        <v>55</v>
      </c>
      <c r="C79" s="11">
        <v>0</v>
      </c>
      <c r="D79" s="11">
        <v>0</v>
      </c>
      <c r="E79" s="23">
        <f t="shared" si="5"/>
        <v>0</v>
      </c>
    </row>
    <row r="80" spans="1:5" ht="16.5">
      <c r="A80"/>
      <c r="B80" s="24" t="s">
        <v>56</v>
      </c>
      <c r="C80" s="11">
        <v>0</v>
      </c>
      <c r="D80" s="11">
        <v>0</v>
      </c>
      <c r="E80" s="23">
        <f t="shared" si="5"/>
        <v>0</v>
      </c>
    </row>
    <row r="81" spans="1:10" ht="16.5">
      <c r="A81"/>
      <c r="B81" s="24" t="s">
        <v>57</v>
      </c>
      <c r="C81" s="11">
        <v>0</v>
      </c>
      <c r="D81" s="11">
        <v>0</v>
      </c>
      <c r="E81" s="23">
        <f t="shared" si="5"/>
        <v>0</v>
      </c>
    </row>
    <row r="82" spans="1:10" ht="16.5">
      <c r="A82"/>
      <c r="B82" s="24" t="s">
        <v>58</v>
      </c>
      <c r="C82" s="11">
        <v>0</v>
      </c>
      <c r="D82" s="11">
        <v>0</v>
      </c>
      <c r="E82" s="23">
        <f t="shared" si="5"/>
        <v>0</v>
      </c>
    </row>
    <row r="83" spans="1:10" ht="16.5">
      <c r="A83"/>
      <c r="B83" s="24" t="s">
        <v>31</v>
      </c>
      <c r="C83" s="11">
        <v>0</v>
      </c>
      <c r="D83" s="11">
        <v>0</v>
      </c>
      <c r="E83" s="23">
        <f t="shared" si="5"/>
        <v>0</v>
      </c>
    </row>
    <row r="84" spans="1:10" ht="16.5">
      <c r="A84"/>
      <c r="B84" s="24" t="s">
        <v>36</v>
      </c>
      <c r="C84" s="11">
        <v>0</v>
      </c>
      <c r="D84" s="11">
        <v>0</v>
      </c>
      <c r="E84" s="23">
        <f t="shared" si="5"/>
        <v>0</v>
      </c>
    </row>
    <row r="85" spans="1:10" ht="16.5">
      <c r="A85"/>
      <c r="B85" s="24" t="s">
        <v>59</v>
      </c>
      <c r="C85" s="11">
        <v>0</v>
      </c>
      <c r="D85" s="11">
        <v>0</v>
      </c>
      <c r="E85" s="23">
        <f t="shared" si="5"/>
        <v>0</v>
      </c>
    </row>
    <row r="86" spans="1:10" ht="16.5">
      <c r="A86"/>
      <c r="B86" s="24" t="s">
        <v>60</v>
      </c>
      <c r="C86" s="11">
        <v>0</v>
      </c>
      <c r="D86" s="11">
        <v>0</v>
      </c>
      <c r="E86" s="23">
        <f t="shared" si="5"/>
        <v>0</v>
      </c>
      <c r="J86" s="8"/>
    </row>
    <row r="87" spans="1:10" ht="16.5">
      <c r="A87"/>
      <c r="B87" s="24" t="s">
        <v>61</v>
      </c>
      <c r="C87" s="11">
        <v>0</v>
      </c>
      <c r="D87" s="11">
        <v>0</v>
      </c>
      <c r="E87" s="23">
        <f t="shared" si="5"/>
        <v>0</v>
      </c>
    </row>
    <row r="88" spans="1:10" ht="16.5">
      <c r="A88"/>
      <c r="B88" s="24" t="s">
        <v>62</v>
      </c>
      <c r="C88" s="11">
        <v>0</v>
      </c>
      <c r="D88" s="11">
        <v>0</v>
      </c>
      <c r="E88" s="23">
        <f t="shared" si="5"/>
        <v>0</v>
      </c>
    </row>
    <row r="89" spans="1:10" ht="16.5">
      <c r="A89"/>
      <c r="B89" s="24" t="s">
        <v>11</v>
      </c>
      <c r="C89" s="11">
        <v>0</v>
      </c>
      <c r="D89" s="11">
        <v>0</v>
      </c>
      <c r="E89" s="23">
        <f t="shared" si="5"/>
        <v>0</v>
      </c>
    </row>
    <row r="90" spans="1:10" ht="16.5">
      <c r="A90"/>
      <c r="B90" s="24" t="s">
        <v>12</v>
      </c>
      <c r="C90" s="11">
        <v>0</v>
      </c>
      <c r="D90" s="11">
        <v>0</v>
      </c>
      <c r="E90" s="23">
        <f t="shared" si="5"/>
        <v>0</v>
      </c>
    </row>
    <row r="91" spans="1:10" ht="16.5">
      <c r="A91"/>
      <c r="B91" s="24" t="s">
        <v>13</v>
      </c>
      <c r="C91" s="11">
        <v>0</v>
      </c>
      <c r="D91" s="11">
        <v>0</v>
      </c>
      <c r="E91" s="23">
        <f t="shared" si="5"/>
        <v>0</v>
      </c>
    </row>
    <row r="92" spans="1:10" ht="16.5">
      <c r="A92"/>
      <c r="B92" s="24" t="s">
        <v>44</v>
      </c>
      <c r="C92" s="11">
        <v>0</v>
      </c>
      <c r="D92" s="11">
        <v>0</v>
      </c>
      <c r="E92" s="23">
        <f t="shared" si="5"/>
        <v>0</v>
      </c>
    </row>
    <row r="93" spans="1:10" ht="16.5">
      <c r="A93"/>
      <c r="B93" s="24" t="s">
        <v>45</v>
      </c>
      <c r="C93" s="11">
        <v>0</v>
      </c>
      <c r="D93" s="11">
        <v>0</v>
      </c>
      <c r="E93" s="23">
        <f t="shared" si="5"/>
        <v>0</v>
      </c>
    </row>
    <row r="94" spans="1:10" ht="16.5">
      <c r="A94"/>
      <c r="B94" s="24"/>
      <c r="C94" s="13">
        <f>SUM(C68:C93)</f>
        <v>600</v>
      </c>
      <c r="D94" s="13">
        <f>SUM(D68:D93)</f>
        <v>500</v>
      </c>
      <c r="E94" s="23"/>
    </row>
    <row r="95" spans="1:10" ht="16.5">
      <c r="A95"/>
      <c r="B95" s="21"/>
      <c r="C95" s="23"/>
      <c r="D95" s="23"/>
      <c r="E95" s="23"/>
    </row>
    <row r="96" spans="1:10" ht="21" customHeight="1">
      <c r="A96"/>
      <c r="B96" s="25" t="s">
        <v>15</v>
      </c>
      <c r="C96" s="26">
        <f>SUM(C66,C94)</f>
        <v>8100</v>
      </c>
      <c r="D96" s="26">
        <f>SUM(D66,D94)</f>
        <v>7500</v>
      </c>
      <c r="E96" s="28"/>
    </row>
  </sheetData>
  <mergeCells count="6">
    <mergeCell ref="B9:B10"/>
    <mergeCell ref="B32:B33"/>
    <mergeCell ref="C9:C10"/>
    <mergeCell ref="C32:C33"/>
    <mergeCell ref="D9:D10"/>
    <mergeCell ref="D32:D33"/>
  </mergeCells>
  <conditionalFormatting sqref="C7:E7">
    <cfRule type="cellIs" dxfId="3" priority="4" operator="lessThan">
      <formula>0</formula>
    </cfRule>
  </conditionalFormatting>
  <conditionalFormatting sqref="E5:E6">
    <cfRule type="cellIs" dxfId="2" priority="3" operator="lessThan">
      <formula>0</formula>
    </cfRule>
  </conditionalFormatting>
  <conditionalFormatting sqref="E11:E29">
    <cfRule type="cellIs" dxfId="1" priority="6" operator="lessThan">
      <formula>0</formula>
    </cfRule>
  </conditionalFormatting>
  <conditionalFormatting sqref="E34:E96">
    <cfRule type="cellIs" dxfId="0" priority="1" operator="lessThan">
      <formula>0</formula>
    </cfRule>
  </conditionalFormatting>
  <pageMargins left="0.5" right="0.5" top="0.5" bottom="0.5" header="0" footer="0"/>
  <pageSetup scale="86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Startup Expenses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Jamshaid Ali</dc:creator>
  <cp:lastModifiedBy>ihsan nur rahman</cp:lastModifiedBy>
  <dcterms:created xsi:type="dcterms:W3CDTF">2016-02-17T05:52:00Z</dcterms:created>
  <dcterms:modified xsi:type="dcterms:W3CDTF">2024-07-11T07:31:49Z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1033-11.2.0.10176</vt:lpwstr>
  </property>
</Properties>
</file>