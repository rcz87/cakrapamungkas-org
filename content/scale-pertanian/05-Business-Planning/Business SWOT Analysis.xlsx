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Template Project\Smart Business Owner\Forecasts\"/>
    </mc:Choice>
  </mc:AlternateContent>
  <xr:revisionPtr revIDLastSave="0" documentId="13_ncr:1_{2AAD83CF-BEB5-48DF-8B38-82DDD131AE50}" xr6:coauthVersionLast="47" xr6:coauthVersionMax="47" xr10:uidLastSave="{00000000-0000-0000-0000-000000000000}"/>
  <bookViews>
    <workbookView xWindow="-120" yWindow="-120" windowWidth="20730" windowHeight="11760" activeTab="4" xr2:uid="{00000000-000D-0000-FFFF-FFFF00000000}"/>
  </bookViews>
  <sheets>
    <sheet name="Dashboard" sheetId="2" r:id="rId1"/>
    <sheet name="Strengths" sheetId="1" r:id="rId2"/>
    <sheet name="Weaknesses" sheetId="7" r:id="rId3"/>
    <sheet name="Opportunities" sheetId="8" r:id="rId4"/>
    <sheet name="Threats" sheetId="9" r:id="rId5"/>
  </sheets>
  <definedNames>
    <definedName name="Opportunities">OFFSET(Opportunities!$I$6,0,0,Opportunities!$I$5,1)</definedName>
    <definedName name="Opportunities2">OFFSET(Opportunities!$J$6,0,0,Opportunities!$J$5,1)</definedName>
    <definedName name="Opportunities3">OFFSET(Opportunities!$K$6,0,0,Opportunities!$K$5,1)</definedName>
    <definedName name="_xlnm.Print_Area" localSheetId="0">Dashboard!$B$2:$O$37</definedName>
    <definedName name="_xlnm.Print_Area" localSheetId="3">Opportunities!$B$2:$R$22</definedName>
    <definedName name="_xlnm.Print_Area" localSheetId="1">Strengths!$B$2:$R$22</definedName>
    <definedName name="_xlnm.Print_Area" localSheetId="4">Threats!$B$2:$R$22</definedName>
    <definedName name="_xlnm.Print_Area" localSheetId="2">Weaknesses!$B$2:$R$22</definedName>
    <definedName name="Strengths">OFFSET(Strengths!$I$6,0,0,Strengths!$I$5,1)</definedName>
    <definedName name="Strengths2">OFFSET(Strengths!$J$6,0,0,Strengths!$J$5,1)</definedName>
    <definedName name="Strengths3">OFFSET(Strengths!$K$6,0,0,Strengths!$K$5,1)</definedName>
    <definedName name="Threats">OFFSET(Threats!$I$6,0,0,Threats!$I$5,1)</definedName>
    <definedName name="Threats2">OFFSET(Threats!$J$6,0,0,Threats!$J$5,1)</definedName>
    <definedName name="Threats3">OFFSET(Threats!$K$6,0,0,Threats!$K$5,1)</definedName>
    <definedName name="Weaknesses">OFFSET(Weaknesses!$I$6,0,0,Weaknesses!$I$5,1)</definedName>
    <definedName name="Weaknesses2">OFFSET(Weaknesses!$J$6,0,0,Weaknesses!$J$5,1)</definedName>
    <definedName name="Weaknesses3">OFFSET(Weaknesses!$K$6,0,0,Weaknesses!$K$5,1)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2" i="9" l="1"/>
  <c r="Q11" i="9"/>
  <c r="Q10" i="9"/>
  <c r="Q7" i="9"/>
  <c r="Q6" i="9"/>
  <c r="Q5" i="9"/>
  <c r="Q12" i="8"/>
  <c r="Q11" i="8"/>
  <c r="Q10" i="8"/>
  <c r="Q7" i="8"/>
  <c r="Q6" i="8"/>
  <c r="Q5" i="8"/>
  <c r="Q12" i="7"/>
  <c r="Q11" i="7"/>
  <c r="Q10" i="7"/>
  <c r="Q7" i="7"/>
  <c r="Q6" i="7"/>
  <c r="Q5" i="7"/>
  <c r="K6" i="9"/>
  <c r="I6" i="9"/>
  <c r="J6" i="9"/>
  <c r="K6" i="1"/>
  <c r="J6" i="1"/>
  <c r="I6" i="1"/>
  <c r="K6" i="7"/>
  <c r="J6" i="7"/>
  <c r="I6" i="7"/>
  <c r="K6" i="8"/>
  <c r="I6" i="8"/>
  <c r="J6" i="8"/>
  <c r="K20" i="9" l="1"/>
  <c r="J20" i="9"/>
  <c r="I20" i="9"/>
  <c r="H20" i="9"/>
  <c r="K19" i="9"/>
  <c r="J19" i="9"/>
  <c r="I19" i="9"/>
  <c r="H19" i="9"/>
  <c r="K18" i="9"/>
  <c r="J18" i="9"/>
  <c r="I18" i="9"/>
  <c r="H18" i="9"/>
  <c r="K17" i="9"/>
  <c r="J17" i="9"/>
  <c r="I17" i="9"/>
  <c r="H17" i="9"/>
  <c r="K16" i="9"/>
  <c r="J16" i="9"/>
  <c r="I16" i="9"/>
  <c r="H16" i="9"/>
  <c r="K15" i="9"/>
  <c r="J15" i="9"/>
  <c r="I15" i="9"/>
  <c r="H15" i="9"/>
  <c r="K14" i="9"/>
  <c r="J14" i="9"/>
  <c r="I14" i="9"/>
  <c r="H14" i="9"/>
  <c r="K13" i="9"/>
  <c r="J13" i="9"/>
  <c r="I13" i="9"/>
  <c r="H13" i="9"/>
  <c r="K12" i="9"/>
  <c r="J12" i="9"/>
  <c r="I12" i="9"/>
  <c r="H12" i="9"/>
  <c r="K11" i="9"/>
  <c r="J11" i="9"/>
  <c r="I11" i="9"/>
  <c r="H11" i="9"/>
  <c r="K10" i="9"/>
  <c r="J10" i="9"/>
  <c r="I10" i="9"/>
  <c r="H10" i="9"/>
  <c r="K9" i="9"/>
  <c r="J9" i="9"/>
  <c r="I9" i="9"/>
  <c r="H9" i="9"/>
  <c r="K8" i="9"/>
  <c r="J8" i="9"/>
  <c r="I8" i="9"/>
  <c r="H8" i="9"/>
  <c r="K7" i="9"/>
  <c r="J7" i="9"/>
  <c r="J5" i="9" s="1"/>
  <c r="I7" i="9"/>
  <c r="I5" i="9" s="1"/>
  <c r="H7" i="9"/>
  <c r="H6" i="9"/>
  <c r="K20" i="8"/>
  <c r="J20" i="8"/>
  <c r="I20" i="8"/>
  <c r="H20" i="8"/>
  <c r="K19" i="8"/>
  <c r="J19" i="8"/>
  <c r="I19" i="8"/>
  <c r="H19" i="8"/>
  <c r="K18" i="8"/>
  <c r="J18" i="8"/>
  <c r="I18" i="8"/>
  <c r="H18" i="8"/>
  <c r="K17" i="8"/>
  <c r="J17" i="8"/>
  <c r="I17" i="8"/>
  <c r="H17" i="8"/>
  <c r="K16" i="8"/>
  <c r="J16" i="8"/>
  <c r="I16" i="8"/>
  <c r="H16" i="8"/>
  <c r="K15" i="8"/>
  <c r="J15" i="8"/>
  <c r="I15" i="8"/>
  <c r="H15" i="8"/>
  <c r="K14" i="8"/>
  <c r="J14" i="8"/>
  <c r="I14" i="8"/>
  <c r="H14" i="8"/>
  <c r="K13" i="8"/>
  <c r="J13" i="8"/>
  <c r="I13" i="8"/>
  <c r="H13" i="8"/>
  <c r="K12" i="8"/>
  <c r="J12" i="8"/>
  <c r="I12" i="8"/>
  <c r="H12" i="8"/>
  <c r="K11" i="8"/>
  <c r="J11" i="8"/>
  <c r="I11" i="8"/>
  <c r="H11" i="8"/>
  <c r="K10" i="8"/>
  <c r="J10" i="8"/>
  <c r="I10" i="8"/>
  <c r="H10" i="8"/>
  <c r="K9" i="8"/>
  <c r="J9" i="8"/>
  <c r="I9" i="8"/>
  <c r="H9" i="8"/>
  <c r="K8" i="8"/>
  <c r="J8" i="8"/>
  <c r="I8" i="8"/>
  <c r="H8" i="8"/>
  <c r="K7" i="8"/>
  <c r="K5" i="8" s="1"/>
  <c r="J7" i="8"/>
  <c r="I7" i="8"/>
  <c r="H7" i="8"/>
  <c r="H6" i="8"/>
  <c r="K20" i="7"/>
  <c r="J20" i="7"/>
  <c r="I20" i="7"/>
  <c r="H20" i="7"/>
  <c r="K19" i="7"/>
  <c r="J19" i="7"/>
  <c r="I19" i="7"/>
  <c r="H19" i="7"/>
  <c r="K18" i="7"/>
  <c r="J18" i="7"/>
  <c r="I18" i="7"/>
  <c r="H18" i="7"/>
  <c r="K17" i="7"/>
  <c r="J17" i="7"/>
  <c r="I17" i="7"/>
  <c r="H17" i="7"/>
  <c r="K16" i="7"/>
  <c r="J16" i="7"/>
  <c r="I16" i="7"/>
  <c r="H16" i="7"/>
  <c r="K15" i="7"/>
  <c r="J15" i="7"/>
  <c r="I15" i="7"/>
  <c r="H15" i="7"/>
  <c r="K14" i="7"/>
  <c r="J14" i="7"/>
  <c r="I14" i="7"/>
  <c r="H14" i="7"/>
  <c r="K13" i="7"/>
  <c r="J13" i="7"/>
  <c r="I13" i="7"/>
  <c r="H13" i="7"/>
  <c r="K12" i="7"/>
  <c r="J12" i="7"/>
  <c r="I12" i="7"/>
  <c r="H12" i="7"/>
  <c r="K11" i="7"/>
  <c r="J11" i="7"/>
  <c r="I11" i="7"/>
  <c r="H11" i="7"/>
  <c r="K10" i="7"/>
  <c r="J10" i="7"/>
  <c r="I10" i="7"/>
  <c r="H10" i="7"/>
  <c r="K9" i="7"/>
  <c r="J9" i="7"/>
  <c r="I9" i="7"/>
  <c r="H9" i="7"/>
  <c r="K8" i="7"/>
  <c r="J8" i="7"/>
  <c r="I8" i="7"/>
  <c r="H8" i="7"/>
  <c r="K7" i="7"/>
  <c r="J7" i="7"/>
  <c r="I7" i="7"/>
  <c r="H7" i="7"/>
  <c r="H6" i="7"/>
  <c r="K20" i="1"/>
  <c r="J20" i="1"/>
  <c r="K19" i="1"/>
  <c r="J19" i="1"/>
  <c r="K18" i="1"/>
  <c r="J18" i="1"/>
  <c r="K17" i="1"/>
  <c r="J17" i="1"/>
  <c r="K16" i="1"/>
  <c r="J16" i="1"/>
  <c r="K15" i="1"/>
  <c r="J15" i="1"/>
  <c r="K14" i="1"/>
  <c r="J14" i="1"/>
  <c r="K13" i="1"/>
  <c r="J13" i="1"/>
  <c r="K12" i="1"/>
  <c r="J12" i="1"/>
  <c r="K11" i="1"/>
  <c r="J11" i="1"/>
  <c r="K10" i="1"/>
  <c r="J10" i="1"/>
  <c r="K9" i="1"/>
  <c r="J9" i="1"/>
  <c r="K8" i="1"/>
  <c r="J8" i="1"/>
  <c r="K7" i="1"/>
  <c r="J7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I5" i="8" l="1"/>
  <c r="J5" i="8"/>
  <c r="K5" i="9"/>
  <c r="J5" i="7"/>
  <c r="I5" i="7"/>
  <c r="K5" i="7"/>
  <c r="I5" i="1"/>
  <c r="J5" i="1"/>
  <c r="K5" i="1"/>
</calcChain>
</file>

<file path=xl/sharedStrings.xml><?xml version="1.0" encoding="utf-8"?>
<sst xmlns="http://schemas.openxmlformats.org/spreadsheetml/2006/main" count="85" uniqueCount="51">
  <si>
    <t>Weaknesses</t>
  </si>
  <si>
    <t>No</t>
  </si>
  <si>
    <t>YC</t>
  </si>
  <si>
    <t>C1</t>
  </si>
  <si>
    <t>C2</t>
  </si>
  <si>
    <t>WEAKNESSES ANALYSIS</t>
  </si>
  <si>
    <t>Strengths Item</t>
  </si>
  <si>
    <t>STRENGTHS ANALYSIS</t>
  </si>
  <si>
    <t>Weaknesses Item</t>
  </si>
  <si>
    <t>Strengths</t>
  </si>
  <si>
    <t>OPPORTUNITIES ANALYSIS</t>
  </si>
  <si>
    <t>Opportunities Item</t>
  </si>
  <si>
    <t>Opportunities</t>
  </si>
  <si>
    <t>THREATS ANALYSIS</t>
  </si>
  <si>
    <t>Threats Item</t>
  </si>
  <si>
    <t>Threats</t>
  </si>
  <si>
    <t>SWOT ANALYSIS</t>
  </si>
  <si>
    <t>Brand Representative</t>
  </si>
  <si>
    <t>Mature Company</t>
  </si>
  <si>
    <t>Experience</t>
  </si>
  <si>
    <t>Good Price</t>
  </si>
  <si>
    <t>Good Service</t>
  </si>
  <si>
    <t>Expertise</t>
  </si>
  <si>
    <t>Financial Situation</t>
  </si>
  <si>
    <t>Reputation</t>
  </si>
  <si>
    <t>Organization</t>
  </si>
  <si>
    <t>Poor Knowledge</t>
  </si>
  <si>
    <t>Trends</t>
  </si>
  <si>
    <t>Niche Market</t>
  </si>
  <si>
    <t>New Technologies</t>
  </si>
  <si>
    <t>Exclusive Distributor</t>
  </si>
  <si>
    <t>Good Profit</t>
  </si>
  <si>
    <t>Exclusive Contract/Project</t>
  </si>
  <si>
    <t>Political Effect</t>
  </si>
  <si>
    <t>Competitors</t>
  </si>
  <si>
    <t>Market Demand</t>
  </si>
  <si>
    <t>Economic Situation</t>
  </si>
  <si>
    <t>Government Regulation</t>
  </si>
  <si>
    <t>Loyal Employees</t>
  </si>
  <si>
    <t>Obstacles</t>
  </si>
  <si>
    <t>Product Lifecycle</t>
  </si>
  <si>
    <t>Best</t>
  </si>
  <si>
    <t>Worst</t>
  </si>
  <si>
    <t>Goth Company Inc</t>
  </si>
  <si>
    <t>Metr Company Inc</t>
  </si>
  <si>
    <t>Acm Company Inc</t>
  </si>
  <si>
    <t>Standard</t>
  </si>
  <si>
    <t>Catatan</t>
  </si>
  <si>
    <t>Poin</t>
  </si>
  <si>
    <t>Catatan :</t>
  </si>
  <si>
    <t>Catatan: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</si>
</sst>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rgb="FFFF0000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sz val="11"/>
      <color theme="0"/>
      <name val="Arial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4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/>
      <right/>
      <top/>
      <bottom style="thick">
        <color theme="3" tint="-0.24994659260841701"/>
      </bottom>
      <diagonal/>
    </border>
    <border>
      <left/>
      <right/>
      <top/>
      <bottom style="medium">
        <color theme="3" tint="-0.24994659260841701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2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/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</cellXfs>
  <cellStyles count="2"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activeX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Strengths</a:t>
            </a:r>
          </a:p>
        </c:rich>
      </c:tx>
      <c:layout>
        <c:manualLayout>
          <c:xMode val="edge"/>
          <c:yMode val="edge"/>
          <c:x val="2.2909011373578321E-2"/>
          <c:y val="2.7777777777777776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Strengths!$H$5</c:f>
              <c:strCache>
                <c:ptCount val="1"/>
                <c:pt idx="0">
                  <c:v>Strengths</c:v>
                </c:pt>
              </c:strCache>
            </c:strRef>
          </c:tx>
          <c:spPr>
            <a:ln w="28575" cap="rnd" cmpd="sng" algn="ctr">
              <a:solidFill>
                <a:schemeClr val="accent2">
                  <a:shade val="6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pPr>
              <a:solidFill>
                <a:schemeClr val="accent2">
                  <a:shade val="65000"/>
                </a:schemeClr>
              </a:solidFill>
              <a:ln w="9525" cap="flat" cmpd="sng" algn="ctr">
                <a:solidFill>
                  <a:schemeClr val="accent2">
                    <a:shade val="6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</c:marker>
          <c:cat>
            <c:strRef>
              <c:f>Strengths!$H$6:$H$20</c:f>
              <c:strCache>
                <c:ptCount val="7"/>
                <c:pt idx="0">
                  <c:v>Brand Representative</c:v>
                </c:pt>
                <c:pt idx="1">
                  <c:v>Mature Company</c:v>
                </c:pt>
                <c:pt idx="2">
                  <c:v>Experience</c:v>
                </c:pt>
                <c:pt idx="3">
                  <c:v>Good Price</c:v>
                </c:pt>
                <c:pt idx="4">
                  <c:v>Good Service</c:v>
                </c:pt>
                <c:pt idx="5">
                  <c:v>Expertise</c:v>
                </c:pt>
                <c:pt idx="6">
                  <c:v>Financial Situation</c:v>
                </c:pt>
              </c:strCache>
            </c:strRef>
          </c:cat>
          <c:val>
            <c:numRef>
              <c:f>[0]!Strengths</c:f>
              <c:numCache>
                <c:formatCode>General</c:formatCode>
                <c:ptCount val="7"/>
                <c:pt idx="0">
                  <c:v>2</c:v>
                </c:pt>
                <c:pt idx="1">
                  <c:v>1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AA-48BF-B43A-9DB278A4A4C0}"/>
            </c:ext>
          </c:extLst>
        </c:ser>
        <c:ser>
          <c:idx val="1"/>
          <c:order val="1"/>
          <c:tx>
            <c:strRef>
              <c:f>Strengths!$H$5</c:f>
              <c:strCache>
                <c:ptCount val="1"/>
                <c:pt idx="0">
                  <c:v>Strengths</c:v>
                </c:pt>
              </c:strCache>
            </c:strRef>
          </c:tx>
          <c:spPr>
            <a:ln w="28575" cap="rnd" cmpd="sng" algn="ctr">
              <a:solidFill>
                <a:schemeClr val="accent2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pPr>
              <a:solidFill>
                <a:schemeClr val="accent2"/>
              </a:solidFill>
              <a:ln w="9525" cap="flat" cmpd="sng" algn="ctr">
                <a:solidFill>
                  <a:schemeClr val="accent2"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</c:marker>
          <c:val>
            <c:numRef>
              <c:f>[0]!Strengths2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AA-48BF-B43A-9DB278A4A4C0}"/>
            </c:ext>
          </c:extLst>
        </c:ser>
        <c:ser>
          <c:idx val="2"/>
          <c:order val="2"/>
          <c:tx>
            <c:strRef>
              <c:f>Strengths!$H$5</c:f>
              <c:strCache>
                <c:ptCount val="1"/>
                <c:pt idx="0">
                  <c:v>Strengths</c:v>
                </c:pt>
              </c:strCache>
            </c:strRef>
          </c:tx>
          <c:spPr>
            <a:ln w="28575" cap="rnd" cmpd="sng" algn="ctr">
              <a:solidFill>
                <a:schemeClr val="accent2">
                  <a:tint val="6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pPr>
              <a:solidFill>
                <a:schemeClr val="accent2">
                  <a:tint val="65000"/>
                </a:schemeClr>
              </a:solidFill>
              <a:ln w="9525" cap="flat" cmpd="sng" algn="ctr">
                <a:solidFill>
                  <a:schemeClr val="accent2">
                    <a:tint val="6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</c:marker>
          <c:val>
            <c:numRef>
              <c:f>[0]!Strengths3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3AA-48BF-B43A-9DB278A4A4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3219720"/>
        <c:axId val="423226384"/>
      </c:radarChart>
      <c:catAx>
        <c:axId val="423219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226384"/>
        <c:crosses val="autoZero"/>
        <c:auto val="1"/>
        <c:lblAlgn val="ctr"/>
        <c:lblOffset val="100"/>
        <c:noMultiLvlLbl val="0"/>
      </c:catAx>
      <c:valAx>
        <c:axId val="423226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219720"/>
        <c:crosses val="autoZero"/>
        <c:crossBetween val="between"/>
        <c:majorUnit val="1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Weaknesses</a:t>
            </a:r>
          </a:p>
        </c:rich>
      </c:tx>
      <c:layout>
        <c:manualLayout>
          <c:xMode val="edge"/>
          <c:yMode val="edge"/>
          <c:x val="2.8796296296296292E-2"/>
          <c:y val="1.8518622672165978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Weaknesses!$H$5</c:f>
              <c:strCache>
                <c:ptCount val="1"/>
                <c:pt idx="0">
                  <c:v>Weaknesses</c:v>
                </c:pt>
              </c:strCache>
            </c:strRef>
          </c:tx>
          <c:spPr>
            <a:ln w="28575" cap="rnd" cmpd="sng" algn="ctr">
              <a:solidFill>
                <a:schemeClr val="accent1">
                  <a:shade val="6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pPr>
              <a:solidFill>
                <a:schemeClr val="accent1">
                  <a:shade val="65000"/>
                </a:schemeClr>
              </a:solidFill>
              <a:ln w="9525" cap="flat" cmpd="sng" algn="ctr">
                <a:solidFill>
                  <a:schemeClr val="accent1">
                    <a:shade val="6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</c:marker>
          <c:cat>
            <c:strRef>
              <c:f>Weaknesses!$H$6:$H$20</c:f>
              <c:strCache>
                <c:ptCount val="5"/>
                <c:pt idx="0">
                  <c:v>Reputation</c:v>
                </c:pt>
                <c:pt idx="1">
                  <c:v>Organization</c:v>
                </c:pt>
                <c:pt idx="2">
                  <c:v>Poor Knowledge</c:v>
                </c:pt>
                <c:pt idx="3">
                  <c:v>Financial Situation</c:v>
                </c:pt>
                <c:pt idx="4">
                  <c:v>Experience</c:v>
                </c:pt>
              </c:strCache>
            </c:strRef>
          </c:cat>
          <c:val>
            <c:numRef>
              <c:f>[0]!Weaknesses</c:f>
              <c:numCache>
                <c:formatCode>General</c:formatCode>
                <c:ptCount val="5"/>
                <c:pt idx="0">
                  <c:v>2</c:v>
                </c:pt>
                <c:pt idx="1">
                  <c:v>1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FB-4CD3-85FC-7A89E0FA0B27}"/>
            </c:ext>
          </c:extLst>
        </c:ser>
        <c:ser>
          <c:idx val="1"/>
          <c:order val="1"/>
          <c:tx>
            <c:strRef>
              <c:f>Weaknesses!$H$5</c:f>
              <c:strCache>
                <c:ptCount val="1"/>
                <c:pt idx="0">
                  <c:v>Weaknesses</c:v>
                </c:pt>
              </c:strCache>
            </c:strRef>
          </c:tx>
          <c:spPr>
            <a:ln w="28575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pPr>
              <a:solidFill>
                <a:schemeClr val="accent1"/>
              </a:solidFill>
              <a:ln w="9525" cap="flat" cmpd="sng" algn="ctr">
                <a:solidFill>
                  <a:schemeClr val="accent1"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</c:marker>
          <c:val>
            <c:numRef>
              <c:f>[0]!Weaknesses2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2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FB-4CD3-85FC-7A89E0FA0B27}"/>
            </c:ext>
          </c:extLst>
        </c:ser>
        <c:ser>
          <c:idx val="2"/>
          <c:order val="2"/>
          <c:tx>
            <c:strRef>
              <c:f>Weaknesses!$H$5</c:f>
              <c:strCache>
                <c:ptCount val="1"/>
                <c:pt idx="0">
                  <c:v>Weaknesses</c:v>
                </c:pt>
              </c:strCache>
            </c:strRef>
          </c:tx>
          <c:spPr>
            <a:ln w="28575" cap="rnd" cmpd="sng" algn="ctr">
              <a:solidFill>
                <a:schemeClr val="accent1">
                  <a:tint val="6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pPr>
              <a:solidFill>
                <a:schemeClr val="accent1">
                  <a:tint val="65000"/>
                </a:schemeClr>
              </a:solidFill>
              <a:ln w="9525" cap="flat" cmpd="sng" algn="ctr">
                <a:solidFill>
                  <a:schemeClr val="accent1">
                    <a:tint val="6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</c:marker>
          <c:val>
            <c:numRef>
              <c:f>[0]!Weaknesses3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5FB-4CD3-85FC-7A89E0FA0B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3224032"/>
        <c:axId val="423223248"/>
      </c:radarChart>
      <c:catAx>
        <c:axId val="423224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223248"/>
        <c:crosses val="autoZero"/>
        <c:auto val="1"/>
        <c:lblAlgn val="ctr"/>
        <c:lblOffset val="100"/>
        <c:noMultiLvlLbl val="0"/>
      </c:catAx>
      <c:valAx>
        <c:axId val="423223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224032"/>
        <c:crosses val="autoZero"/>
        <c:crossBetween val="between"/>
        <c:majorUnit val="1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Opportunities</a:t>
            </a:r>
          </a:p>
        </c:rich>
      </c:tx>
      <c:layout>
        <c:manualLayout>
          <c:xMode val="edge"/>
          <c:yMode val="edge"/>
          <c:x val="2.0910372314571768E-2"/>
          <c:y val="2.7777777777777776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Opportunities!$Q$5</c:f>
              <c:strCache>
                <c:ptCount val="1"/>
                <c:pt idx="0">
                  <c:v>Goth Company Inc</c:v>
                </c:pt>
              </c:strCache>
            </c:strRef>
          </c:tx>
          <c:spPr>
            <a:ln w="28575" cap="rnd" cmpd="sng" algn="ctr">
              <a:solidFill>
                <a:schemeClr val="accent4">
                  <a:shade val="6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pPr>
              <a:solidFill>
                <a:schemeClr val="accent4">
                  <a:shade val="65000"/>
                </a:schemeClr>
              </a:solidFill>
              <a:ln w="9525" cap="flat" cmpd="sng" algn="ctr">
                <a:solidFill>
                  <a:schemeClr val="accent4">
                    <a:shade val="6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</c:marker>
          <c:cat>
            <c:strRef>
              <c:f>Opportunities!$H$6:$H$20</c:f>
              <c:strCache>
                <c:ptCount val="7"/>
                <c:pt idx="0">
                  <c:v>Trends</c:v>
                </c:pt>
                <c:pt idx="1">
                  <c:v>Niche Market</c:v>
                </c:pt>
                <c:pt idx="2">
                  <c:v>New Technologies</c:v>
                </c:pt>
                <c:pt idx="3">
                  <c:v>Exclusive Distributor</c:v>
                </c:pt>
                <c:pt idx="4">
                  <c:v>Brand Representative</c:v>
                </c:pt>
                <c:pt idx="5">
                  <c:v>Good Profit</c:v>
                </c:pt>
                <c:pt idx="6">
                  <c:v>Exclusive Contract/Project</c:v>
                </c:pt>
              </c:strCache>
            </c:strRef>
          </c:cat>
          <c:val>
            <c:numRef>
              <c:f>[0]!Opportunities</c:f>
              <c:numCache>
                <c:formatCode>General</c:formatCode>
                <c:ptCount val="7"/>
                <c:pt idx="0">
                  <c:v>2</c:v>
                </c:pt>
                <c:pt idx="1">
                  <c:v>1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56-4705-B214-E5D7B08320D8}"/>
            </c:ext>
          </c:extLst>
        </c:ser>
        <c:ser>
          <c:idx val="1"/>
          <c:order val="1"/>
          <c:tx>
            <c:strRef>
              <c:f>Opportunities!$Q$6</c:f>
              <c:strCache>
                <c:ptCount val="1"/>
                <c:pt idx="0">
                  <c:v>Metr Company Inc</c:v>
                </c:pt>
              </c:strCache>
            </c:strRef>
          </c:tx>
          <c:spPr>
            <a:ln w="28575" cap="rnd" cmpd="sng" algn="ctr">
              <a:solidFill>
                <a:schemeClr val="accent4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pPr>
              <a:solidFill>
                <a:schemeClr val="accent4"/>
              </a:solidFill>
              <a:ln w="9525" cap="flat" cmpd="sng" algn="ctr">
                <a:solidFill>
                  <a:schemeClr val="accent4"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</c:marker>
          <c:val>
            <c:numRef>
              <c:f>[0]!Opportunities2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2</c:v>
                </c:pt>
                <c:pt idx="4">
                  <c:v>3</c:v>
                </c:pt>
                <c:pt idx="5">
                  <c:v>1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56-4705-B214-E5D7B08320D8}"/>
            </c:ext>
          </c:extLst>
        </c:ser>
        <c:ser>
          <c:idx val="2"/>
          <c:order val="2"/>
          <c:tx>
            <c:strRef>
              <c:f>Opportunities!$Q$7</c:f>
              <c:strCache>
                <c:ptCount val="1"/>
                <c:pt idx="0">
                  <c:v>Acm Company Inc</c:v>
                </c:pt>
              </c:strCache>
            </c:strRef>
          </c:tx>
          <c:spPr>
            <a:ln w="28575" cap="rnd" cmpd="sng" algn="ctr">
              <a:solidFill>
                <a:schemeClr val="accent4">
                  <a:tint val="6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pPr>
              <a:solidFill>
                <a:schemeClr val="accent4">
                  <a:tint val="65000"/>
                </a:schemeClr>
              </a:solidFill>
              <a:ln w="9525" cap="flat" cmpd="sng" algn="ctr">
                <a:solidFill>
                  <a:schemeClr val="accent4">
                    <a:tint val="6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</c:marker>
          <c:val>
            <c:numRef>
              <c:f>[0]!Opportunities3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F56-4705-B214-E5D7B08320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3217368"/>
        <c:axId val="423227560"/>
      </c:radarChart>
      <c:catAx>
        <c:axId val="423217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227560"/>
        <c:crosses val="autoZero"/>
        <c:auto val="1"/>
        <c:lblAlgn val="ctr"/>
        <c:lblOffset val="100"/>
        <c:noMultiLvlLbl val="0"/>
      </c:catAx>
      <c:valAx>
        <c:axId val="423227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217368"/>
        <c:crosses val="autoZero"/>
        <c:crossBetween val="between"/>
        <c:majorUnit val="1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1.0569894041022645E-2"/>
          <c:y val="0.92410948631421075"/>
          <c:w val="0.9801708466997181"/>
          <c:h val="6.8447381577302832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Threats</a:t>
            </a:r>
          </a:p>
        </c:rich>
      </c:tx>
      <c:layout>
        <c:manualLayout>
          <c:xMode val="edge"/>
          <c:yMode val="edge"/>
          <c:x val="3.7083211820744637E-2"/>
          <c:y val="2.3809523809523808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Threats!$H$5</c:f>
              <c:strCache>
                <c:ptCount val="1"/>
                <c:pt idx="0">
                  <c:v>Threats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6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pPr>
              <a:solidFill>
                <a:schemeClr val="accent3">
                  <a:shade val="65000"/>
                </a:schemeClr>
              </a:solidFill>
              <a:ln w="9525" cap="flat" cmpd="sng" algn="ctr">
                <a:solidFill>
                  <a:schemeClr val="accent3">
                    <a:shade val="6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</c:marker>
          <c:cat>
            <c:strRef>
              <c:f>Threats!$H$6:$H$20</c:f>
              <c:strCache>
                <c:ptCount val="11"/>
                <c:pt idx="0">
                  <c:v>Political Effect</c:v>
                </c:pt>
                <c:pt idx="1">
                  <c:v>Competitors</c:v>
                </c:pt>
                <c:pt idx="2">
                  <c:v>Market Demand</c:v>
                </c:pt>
                <c:pt idx="3">
                  <c:v>Economic Situation</c:v>
                </c:pt>
                <c:pt idx="4">
                  <c:v>Government Regulation</c:v>
                </c:pt>
                <c:pt idx="5">
                  <c:v>Loyal Employees</c:v>
                </c:pt>
                <c:pt idx="6">
                  <c:v>Financial Situation</c:v>
                </c:pt>
                <c:pt idx="7">
                  <c:v>Organization</c:v>
                </c:pt>
                <c:pt idx="8">
                  <c:v>Obstacles</c:v>
                </c:pt>
                <c:pt idx="9">
                  <c:v>New Technologies</c:v>
                </c:pt>
                <c:pt idx="10">
                  <c:v>Product Lifecycle</c:v>
                </c:pt>
              </c:strCache>
            </c:strRef>
          </c:cat>
          <c:val>
            <c:numRef>
              <c:f>[0]!Threats</c:f>
              <c:numCache>
                <c:formatCode>General</c:formatCode>
                <c:ptCount val="11"/>
                <c:pt idx="0">
                  <c:v>2</c:v>
                </c:pt>
                <c:pt idx="1">
                  <c:v>1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C7-4DF7-84C7-BD34999A8AB2}"/>
            </c:ext>
          </c:extLst>
        </c:ser>
        <c:ser>
          <c:idx val="1"/>
          <c:order val="1"/>
          <c:tx>
            <c:strRef>
              <c:f>Threats!$H$5</c:f>
              <c:strCache>
                <c:ptCount val="1"/>
                <c:pt idx="0">
                  <c:v>Threats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pPr>
              <a:solidFill>
                <a:schemeClr val="accent3"/>
              </a:solidFill>
              <a:ln w="9525" cap="flat" cmpd="sng" algn="ctr">
                <a:solidFill>
                  <a:schemeClr val="accent3"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</c:marker>
          <c:val>
            <c:numRef>
              <c:f>[0]!Threats2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C7-4DF7-84C7-BD34999A8AB2}"/>
            </c:ext>
          </c:extLst>
        </c:ser>
        <c:ser>
          <c:idx val="2"/>
          <c:order val="2"/>
          <c:tx>
            <c:strRef>
              <c:f>Threats!$H$5</c:f>
              <c:strCache>
                <c:ptCount val="1"/>
                <c:pt idx="0">
                  <c:v>Threats</c:v>
                </c:pt>
              </c:strCache>
            </c:strRef>
          </c:tx>
          <c:spPr>
            <a:ln w="28575" cap="rnd" cmpd="sng" algn="ctr">
              <a:solidFill>
                <a:schemeClr val="accent3">
                  <a:tint val="6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pPr>
              <a:solidFill>
                <a:schemeClr val="accent3">
                  <a:tint val="65000"/>
                </a:schemeClr>
              </a:solidFill>
              <a:ln w="9525" cap="flat" cmpd="sng" algn="ctr">
                <a:solidFill>
                  <a:schemeClr val="accent3">
                    <a:tint val="6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</c:marker>
          <c:val>
            <c:numRef>
              <c:f>[0]!Threats3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FC7-4DF7-84C7-BD34999A8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3221288"/>
        <c:axId val="423217760"/>
      </c:radarChart>
      <c:catAx>
        <c:axId val="423221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217760"/>
        <c:crosses val="autoZero"/>
        <c:auto val="1"/>
        <c:lblAlgn val="ctr"/>
        <c:lblOffset val="100"/>
        <c:noMultiLvlLbl val="0"/>
      </c:catAx>
      <c:valAx>
        <c:axId val="423217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221288"/>
        <c:crosses val="autoZero"/>
        <c:crossBetween val="between"/>
        <c:majorUnit val="1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0860066102848254"/>
          <c:y val="6.0483923884514436E-2"/>
          <c:w val="0.58840594925634293"/>
          <c:h val="0.73550743657042872"/>
        </c:manualLayout>
      </c:layout>
      <c:radarChart>
        <c:radarStyle val="marker"/>
        <c:varyColors val="0"/>
        <c:ser>
          <c:idx val="0"/>
          <c:order val="0"/>
          <c:tx>
            <c:strRef>
              <c:f>Strengths!$Q$5</c:f>
              <c:strCache>
                <c:ptCount val="1"/>
                <c:pt idx="0">
                  <c:v>Goth Company Inc</c:v>
                </c:pt>
              </c:strCache>
            </c:strRef>
          </c:tx>
          <c:spPr>
            <a:ln w="28575" cap="rnd" cmpd="sng" algn="ctr">
              <a:solidFill>
                <a:schemeClr val="accent2">
                  <a:shade val="6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pPr>
              <a:solidFill>
                <a:schemeClr val="accent2">
                  <a:shade val="65000"/>
                </a:schemeClr>
              </a:solidFill>
              <a:ln w="9525" cap="flat" cmpd="sng" algn="ctr">
                <a:solidFill>
                  <a:schemeClr val="accent2">
                    <a:shade val="6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</c:marker>
          <c:cat>
            <c:strRef>
              <c:f>Strengths!$H$6:$H$20</c:f>
              <c:strCache>
                <c:ptCount val="7"/>
                <c:pt idx="0">
                  <c:v>Brand Representative</c:v>
                </c:pt>
                <c:pt idx="1">
                  <c:v>Mature Company</c:v>
                </c:pt>
                <c:pt idx="2">
                  <c:v>Experience</c:v>
                </c:pt>
                <c:pt idx="3">
                  <c:v>Good Price</c:v>
                </c:pt>
                <c:pt idx="4">
                  <c:v>Good Service</c:v>
                </c:pt>
                <c:pt idx="5">
                  <c:v>Expertise</c:v>
                </c:pt>
                <c:pt idx="6">
                  <c:v>Financial Situation</c:v>
                </c:pt>
              </c:strCache>
            </c:strRef>
          </c:cat>
          <c:val>
            <c:numRef>
              <c:f>[0]!Strengths</c:f>
              <c:numCache>
                <c:formatCode>General</c:formatCode>
                <c:ptCount val="7"/>
                <c:pt idx="0">
                  <c:v>2</c:v>
                </c:pt>
                <c:pt idx="1">
                  <c:v>1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C1-4FB6-BEE3-E13AA95B6484}"/>
            </c:ext>
          </c:extLst>
        </c:ser>
        <c:ser>
          <c:idx val="1"/>
          <c:order val="1"/>
          <c:tx>
            <c:strRef>
              <c:f>Strengths!$Q$6</c:f>
              <c:strCache>
                <c:ptCount val="1"/>
                <c:pt idx="0">
                  <c:v>Metr Company Inc</c:v>
                </c:pt>
              </c:strCache>
            </c:strRef>
          </c:tx>
          <c:spPr>
            <a:ln w="28575" cap="rnd" cmpd="sng" algn="ctr">
              <a:solidFill>
                <a:schemeClr val="accent2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pPr>
              <a:solidFill>
                <a:schemeClr val="accent2"/>
              </a:solidFill>
              <a:ln w="9525" cap="flat" cmpd="sng" algn="ctr">
                <a:solidFill>
                  <a:schemeClr val="accent2"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</c:marker>
          <c:val>
            <c:numRef>
              <c:f>[0]!Strengths2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C1-4FB6-BEE3-E13AA95B6484}"/>
            </c:ext>
          </c:extLst>
        </c:ser>
        <c:ser>
          <c:idx val="2"/>
          <c:order val="2"/>
          <c:tx>
            <c:strRef>
              <c:f>Strengths!$Q$7</c:f>
              <c:strCache>
                <c:ptCount val="1"/>
                <c:pt idx="0">
                  <c:v>Acm Company Inc</c:v>
                </c:pt>
              </c:strCache>
            </c:strRef>
          </c:tx>
          <c:spPr>
            <a:ln w="28575" cap="rnd" cmpd="sng" algn="ctr">
              <a:solidFill>
                <a:schemeClr val="accent2">
                  <a:tint val="6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pPr>
              <a:solidFill>
                <a:schemeClr val="accent2">
                  <a:tint val="65000"/>
                </a:schemeClr>
              </a:solidFill>
              <a:ln w="9525" cap="flat" cmpd="sng" algn="ctr">
                <a:solidFill>
                  <a:schemeClr val="accent2">
                    <a:tint val="6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</c:marker>
          <c:val>
            <c:numRef>
              <c:f>[0]!Strengths3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1C1-4FB6-BEE3-E13AA95B64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3215800"/>
        <c:axId val="423223640"/>
      </c:radarChart>
      <c:catAx>
        <c:axId val="423215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223640"/>
        <c:crosses val="autoZero"/>
        <c:auto val="1"/>
        <c:lblAlgn val="ctr"/>
        <c:lblOffset val="100"/>
        <c:noMultiLvlLbl val="0"/>
      </c:catAx>
      <c:valAx>
        <c:axId val="423223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215800"/>
        <c:crosses val="autoZero"/>
        <c:crossBetween val="between"/>
        <c:majorUnit val="1"/>
      </c:valAx>
      <c:spPr>
        <a:solidFill>
          <a:schemeClr val="bg1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6143482064741907"/>
          <c:y val="0.10766868985126861"/>
          <c:w val="0.6122250656167979"/>
          <c:h val="0.76528133202099735"/>
        </c:manualLayout>
      </c:layout>
      <c:radarChart>
        <c:radarStyle val="marker"/>
        <c:varyColors val="0"/>
        <c:ser>
          <c:idx val="0"/>
          <c:order val="0"/>
          <c:tx>
            <c:strRef>
              <c:f>Weaknesses!$Q$5</c:f>
              <c:strCache>
                <c:ptCount val="1"/>
                <c:pt idx="0">
                  <c:v>Goth Company Inc</c:v>
                </c:pt>
              </c:strCache>
            </c:strRef>
          </c:tx>
          <c:spPr>
            <a:ln w="28575" cap="rnd" cmpd="sng" algn="ctr">
              <a:solidFill>
                <a:schemeClr val="accent1">
                  <a:shade val="6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pPr>
              <a:solidFill>
                <a:schemeClr val="accent1">
                  <a:shade val="65000"/>
                </a:schemeClr>
              </a:solidFill>
              <a:ln w="9525" cap="flat" cmpd="sng" algn="ctr">
                <a:solidFill>
                  <a:schemeClr val="accent1">
                    <a:shade val="6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</c:marker>
          <c:cat>
            <c:strRef>
              <c:f>Weaknesses!$H$6:$H$20</c:f>
              <c:strCache>
                <c:ptCount val="5"/>
                <c:pt idx="0">
                  <c:v>Reputation</c:v>
                </c:pt>
                <c:pt idx="1">
                  <c:v>Organization</c:v>
                </c:pt>
                <c:pt idx="2">
                  <c:v>Poor Knowledge</c:v>
                </c:pt>
                <c:pt idx="3">
                  <c:v>Financial Situation</c:v>
                </c:pt>
                <c:pt idx="4">
                  <c:v>Experience</c:v>
                </c:pt>
              </c:strCache>
            </c:strRef>
          </c:cat>
          <c:val>
            <c:numRef>
              <c:f>[0]!Weaknesses</c:f>
              <c:numCache>
                <c:formatCode>General</c:formatCode>
                <c:ptCount val="5"/>
                <c:pt idx="0">
                  <c:v>2</c:v>
                </c:pt>
                <c:pt idx="1">
                  <c:v>1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B1-41F0-8488-4289BA0F4130}"/>
            </c:ext>
          </c:extLst>
        </c:ser>
        <c:ser>
          <c:idx val="1"/>
          <c:order val="1"/>
          <c:tx>
            <c:strRef>
              <c:f>Weaknesses!$Q$6</c:f>
              <c:strCache>
                <c:ptCount val="1"/>
                <c:pt idx="0">
                  <c:v>Metr Company Inc</c:v>
                </c:pt>
              </c:strCache>
            </c:strRef>
          </c:tx>
          <c:spPr>
            <a:ln w="28575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pPr>
              <a:solidFill>
                <a:schemeClr val="accent1"/>
              </a:solidFill>
              <a:ln w="9525" cap="flat" cmpd="sng" algn="ctr">
                <a:solidFill>
                  <a:schemeClr val="accent1"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</c:marker>
          <c:val>
            <c:numRef>
              <c:f>[0]!Weaknesses2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2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B1-41F0-8488-4289BA0F4130}"/>
            </c:ext>
          </c:extLst>
        </c:ser>
        <c:ser>
          <c:idx val="2"/>
          <c:order val="2"/>
          <c:tx>
            <c:strRef>
              <c:f>Weaknesses!$Q$7</c:f>
              <c:strCache>
                <c:ptCount val="1"/>
                <c:pt idx="0">
                  <c:v>Acm Company Inc</c:v>
                </c:pt>
              </c:strCache>
            </c:strRef>
          </c:tx>
          <c:spPr>
            <a:ln w="28575" cap="rnd" cmpd="sng" algn="ctr">
              <a:solidFill>
                <a:schemeClr val="accent1">
                  <a:tint val="6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pPr>
              <a:solidFill>
                <a:schemeClr val="accent1">
                  <a:tint val="65000"/>
                </a:schemeClr>
              </a:solidFill>
              <a:ln w="9525" cap="flat" cmpd="sng" algn="ctr">
                <a:solidFill>
                  <a:schemeClr val="accent1">
                    <a:tint val="6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</c:marker>
          <c:val>
            <c:numRef>
              <c:f>[0]!Weaknesses3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4B1-41F0-8488-4289BA0F41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3228344"/>
        <c:axId val="423228736"/>
      </c:radarChart>
      <c:catAx>
        <c:axId val="423228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228736"/>
        <c:crosses val="autoZero"/>
        <c:auto val="1"/>
        <c:lblAlgn val="ctr"/>
        <c:lblOffset val="100"/>
        <c:noMultiLvlLbl val="0"/>
      </c:catAx>
      <c:valAx>
        <c:axId val="423228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228344"/>
        <c:crosses val="autoZero"/>
        <c:crossBetween val="between"/>
        <c:majorUnit val="1"/>
      </c:valAx>
      <c:spPr>
        <a:solidFill>
          <a:schemeClr val="bg1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973380609371091"/>
          <c:y val="0.11136324747802158"/>
          <c:w val="0.6174761623356918"/>
          <c:h val="0.78384449423597913"/>
        </c:manualLayout>
      </c:layout>
      <c:radarChart>
        <c:radarStyle val="marker"/>
        <c:varyColors val="0"/>
        <c:ser>
          <c:idx val="0"/>
          <c:order val="0"/>
          <c:tx>
            <c:strRef>
              <c:f>Opportunities!$Q$5</c:f>
              <c:strCache>
                <c:ptCount val="1"/>
                <c:pt idx="0">
                  <c:v>Goth Company Inc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6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pPr>
              <a:solidFill>
                <a:schemeClr val="accent3">
                  <a:shade val="65000"/>
                </a:schemeClr>
              </a:solidFill>
              <a:ln w="9525" cap="flat" cmpd="sng" algn="ctr">
                <a:solidFill>
                  <a:schemeClr val="accent3">
                    <a:shade val="6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</c:marker>
          <c:cat>
            <c:strRef>
              <c:f>Opportunities!$H$6:$H$20</c:f>
              <c:strCache>
                <c:ptCount val="7"/>
                <c:pt idx="0">
                  <c:v>Trends</c:v>
                </c:pt>
                <c:pt idx="1">
                  <c:v>Niche Market</c:v>
                </c:pt>
                <c:pt idx="2">
                  <c:v>New Technologies</c:v>
                </c:pt>
                <c:pt idx="3">
                  <c:v>Exclusive Distributor</c:v>
                </c:pt>
                <c:pt idx="4">
                  <c:v>Brand Representative</c:v>
                </c:pt>
                <c:pt idx="5">
                  <c:v>Good Profit</c:v>
                </c:pt>
                <c:pt idx="6">
                  <c:v>Exclusive Contract/Project</c:v>
                </c:pt>
              </c:strCache>
            </c:strRef>
          </c:cat>
          <c:val>
            <c:numRef>
              <c:f>[0]!Opportunities</c:f>
              <c:numCache>
                <c:formatCode>General</c:formatCode>
                <c:ptCount val="7"/>
                <c:pt idx="0">
                  <c:v>2</c:v>
                </c:pt>
                <c:pt idx="1">
                  <c:v>1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EF-453F-984C-ECEFA699851D}"/>
            </c:ext>
          </c:extLst>
        </c:ser>
        <c:ser>
          <c:idx val="1"/>
          <c:order val="1"/>
          <c:tx>
            <c:strRef>
              <c:f>Opportunities!$Q$6</c:f>
              <c:strCache>
                <c:ptCount val="1"/>
                <c:pt idx="0">
                  <c:v>Metr Company Inc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pPr>
              <a:solidFill>
                <a:schemeClr val="accent3"/>
              </a:solidFill>
              <a:ln w="9525" cap="flat" cmpd="sng" algn="ctr">
                <a:solidFill>
                  <a:schemeClr val="accent3"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</c:marker>
          <c:val>
            <c:numRef>
              <c:f>[0]!Opportunities2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2</c:v>
                </c:pt>
                <c:pt idx="4">
                  <c:v>3</c:v>
                </c:pt>
                <c:pt idx="5">
                  <c:v>1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EF-453F-984C-ECEFA699851D}"/>
            </c:ext>
          </c:extLst>
        </c:ser>
        <c:ser>
          <c:idx val="2"/>
          <c:order val="2"/>
          <c:tx>
            <c:strRef>
              <c:f>Opportunities!$Q$7</c:f>
              <c:strCache>
                <c:ptCount val="1"/>
                <c:pt idx="0">
                  <c:v>Acm Company Inc</c:v>
                </c:pt>
              </c:strCache>
            </c:strRef>
          </c:tx>
          <c:spPr>
            <a:ln w="28575" cap="rnd" cmpd="sng" algn="ctr">
              <a:solidFill>
                <a:schemeClr val="accent3">
                  <a:tint val="6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pPr>
              <a:solidFill>
                <a:schemeClr val="accent3">
                  <a:tint val="65000"/>
                </a:schemeClr>
              </a:solidFill>
              <a:ln w="9525" cap="flat" cmpd="sng" algn="ctr">
                <a:solidFill>
                  <a:schemeClr val="accent3">
                    <a:tint val="6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</c:marker>
          <c:val>
            <c:numRef>
              <c:f>[0]!Opportunities3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EF-453F-984C-ECEFA69985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3230304"/>
        <c:axId val="423229520"/>
      </c:radarChart>
      <c:catAx>
        <c:axId val="423230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229520"/>
        <c:crosses val="autoZero"/>
        <c:auto val="1"/>
        <c:lblAlgn val="ctr"/>
        <c:lblOffset val="100"/>
        <c:noMultiLvlLbl val="0"/>
      </c:catAx>
      <c:valAx>
        <c:axId val="423229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230304"/>
        <c:crosses val="autoZero"/>
        <c:crossBetween val="between"/>
        <c:majorUnit val="1"/>
      </c:valAx>
      <c:spPr>
        <a:solidFill>
          <a:schemeClr val="bg1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4779636920384951"/>
          <c:y val="9.7939905949256362E-2"/>
          <c:w val="0.52839326334208225"/>
          <c:h val="0.71731463254593175"/>
        </c:manualLayout>
      </c:layout>
      <c:radarChart>
        <c:radarStyle val="marker"/>
        <c:varyColors val="0"/>
        <c:ser>
          <c:idx val="0"/>
          <c:order val="0"/>
          <c:tx>
            <c:strRef>
              <c:f>Threats!$Q$5</c:f>
              <c:strCache>
                <c:ptCount val="1"/>
                <c:pt idx="0">
                  <c:v>Goth Company Inc</c:v>
                </c:pt>
              </c:strCache>
            </c:strRef>
          </c:tx>
          <c:spPr>
            <a:ln w="28575" cap="rnd" cmpd="sng" algn="ctr">
              <a:solidFill>
                <a:schemeClr val="accent4">
                  <a:shade val="6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pPr>
              <a:solidFill>
                <a:schemeClr val="accent4">
                  <a:shade val="65000"/>
                </a:schemeClr>
              </a:solidFill>
              <a:ln w="9525" cap="flat" cmpd="sng" algn="ctr">
                <a:solidFill>
                  <a:schemeClr val="accent4">
                    <a:shade val="6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</c:marker>
          <c:cat>
            <c:strRef>
              <c:f>Threats!$H$6:$H$20</c:f>
              <c:strCache>
                <c:ptCount val="11"/>
                <c:pt idx="0">
                  <c:v>Political Effect</c:v>
                </c:pt>
                <c:pt idx="1">
                  <c:v>Competitors</c:v>
                </c:pt>
                <c:pt idx="2">
                  <c:v>Market Demand</c:v>
                </c:pt>
                <c:pt idx="3">
                  <c:v>Economic Situation</c:v>
                </c:pt>
                <c:pt idx="4">
                  <c:v>Government Regulation</c:v>
                </c:pt>
                <c:pt idx="5">
                  <c:v>Loyal Employees</c:v>
                </c:pt>
                <c:pt idx="6">
                  <c:v>Financial Situation</c:v>
                </c:pt>
                <c:pt idx="7">
                  <c:v>Organization</c:v>
                </c:pt>
                <c:pt idx="8">
                  <c:v>Obstacles</c:v>
                </c:pt>
                <c:pt idx="9">
                  <c:v>New Technologies</c:v>
                </c:pt>
                <c:pt idx="10">
                  <c:v>Product Lifecycle</c:v>
                </c:pt>
              </c:strCache>
            </c:strRef>
          </c:cat>
          <c:val>
            <c:numRef>
              <c:f>[0]!Threats</c:f>
              <c:numCache>
                <c:formatCode>General</c:formatCode>
                <c:ptCount val="11"/>
                <c:pt idx="0">
                  <c:v>2</c:v>
                </c:pt>
                <c:pt idx="1">
                  <c:v>1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1A-42D0-948F-E4861292DCF5}"/>
            </c:ext>
          </c:extLst>
        </c:ser>
        <c:ser>
          <c:idx val="1"/>
          <c:order val="1"/>
          <c:tx>
            <c:strRef>
              <c:f>Threats!$Q$6</c:f>
              <c:strCache>
                <c:ptCount val="1"/>
                <c:pt idx="0">
                  <c:v>Metr Company Inc</c:v>
                </c:pt>
              </c:strCache>
            </c:strRef>
          </c:tx>
          <c:spPr>
            <a:ln w="28575" cap="rnd" cmpd="sng" algn="ctr">
              <a:solidFill>
                <a:schemeClr val="accent4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pPr>
              <a:solidFill>
                <a:schemeClr val="accent4"/>
              </a:solidFill>
              <a:ln w="9525" cap="flat" cmpd="sng" algn="ctr">
                <a:solidFill>
                  <a:schemeClr val="accent4"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</c:marker>
          <c:val>
            <c:numRef>
              <c:f>[0]!Threats2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1A-42D0-948F-E4861292DCF5}"/>
            </c:ext>
          </c:extLst>
        </c:ser>
        <c:ser>
          <c:idx val="2"/>
          <c:order val="2"/>
          <c:tx>
            <c:strRef>
              <c:f>Threats!$Q$7</c:f>
              <c:strCache>
                <c:ptCount val="1"/>
                <c:pt idx="0">
                  <c:v>Acm Company Inc</c:v>
                </c:pt>
              </c:strCache>
            </c:strRef>
          </c:tx>
          <c:spPr>
            <a:ln w="28575" cap="rnd" cmpd="sng" algn="ctr">
              <a:solidFill>
                <a:schemeClr val="accent4">
                  <a:tint val="6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pPr>
              <a:solidFill>
                <a:schemeClr val="accent4">
                  <a:tint val="65000"/>
                </a:schemeClr>
              </a:solidFill>
              <a:ln w="9525" cap="flat" cmpd="sng" algn="ctr">
                <a:solidFill>
                  <a:schemeClr val="accent4">
                    <a:tint val="65000"/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</c:marker>
          <c:val>
            <c:numRef>
              <c:f>[0]!Threats3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1A-42D0-948F-E4861292DC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3432592"/>
        <c:axId val="613431024"/>
      </c:radarChart>
      <c:catAx>
        <c:axId val="613432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431024"/>
        <c:crosses val="autoZero"/>
        <c:auto val="1"/>
        <c:lblAlgn val="ctr"/>
        <c:lblOffset val="100"/>
        <c:noMultiLvlLbl val="0"/>
      </c:catAx>
      <c:valAx>
        <c:axId val="613431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432592"/>
        <c:crosses val="autoZero"/>
        <c:crossBetween val="between"/>
        <c:majorUnit val="1"/>
      </c:valAx>
      <c:spPr>
        <a:solidFill>
          <a:schemeClr val="bg1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5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8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4.vml.rels><?xml version="1.0" encoding="UTF-8" standalone="yes"?>
<Relationships xmlns="http://schemas.openxmlformats.org/package/2006/relationships"><Relationship Id="rId2" Type="http://schemas.openxmlformats.org/officeDocument/2006/relationships/image" Target="../media/image7.emf"/><Relationship Id="rId1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104774</xdr:rowOff>
    </xdr:from>
    <xdr:to>
      <xdr:col>7</xdr:col>
      <xdr:colOff>457200</xdr:colOff>
      <xdr:row>19</xdr:row>
      <xdr:rowOff>66674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447676</xdr:colOff>
      <xdr:row>2</xdr:row>
      <xdr:rowOff>104774</xdr:rowOff>
    </xdr:from>
    <xdr:to>
      <xdr:col>14</xdr:col>
      <xdr:colOff>295276</xdr:colOff>
      <xdr:row>19</xdr:row>
      <xdr:rowOff>66674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18</xdr:row>
      <xdr:rowOff>123825</xdr:rowOff>
    </xdr:from>
    <xdr:to>
      <xdr:col>7</xdr:col>
      <xdr:colOff>457200</xdr:colOff>
      <xdr:row>35</xdr:row>
      <xdr:rowOff>85725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447676</xdr:colOff>
      <xdr:row>18</xdr:row>
      <xdr:rowOff>123825</xdr:rowOff>
    </xdr:from>
    <xdr:to>
      <xdr:col>14</xdr:col>
      <xdr:colOff>295276</xdr:colOff>
      <xdr:row>35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</xdr:colOff>
      <xdr:row>2</xdr:row>
      <xdr:rowOff>38100</xdr:rowOff>
    </xdr:from>
    <xdr:to>
      <xdr:col>15</xdr:col>
      <xdr:colOff>95250</xdr:colOff>
      <xdr:row>21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133350</xdr:colOff>
          <xdr:row>3</xdr:row>
          <xdr:rowOff>28575</xdr:rowOff>
        </xdr:from>
        <xdr:to>
          <xdr:col>3</xdr:col>
          <xdr:colOff>333375</xdr:colOff>
          <xdr:row>3</xdr:row>
          <xdr:rowOff>180975</xdr:rowOff>
        </xdr:to>
        <xdr:sp macro="" textlink="">
          <xdr:nvSpPr>
            <xdr:cNvPr id="1025" name="CheckBox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1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3</xdr:row>
          <xdr:rowOff>28575</xdr:rowOff>
        </xdr:from>
        <xdr:to>
          <xdr:col>4</xdr:col>
          <xdr:colOff>333375</xdr:colOff>
          <xdr:row>3</xdr:row>
          <xdr:rowOff>180975</xdr:rowOff>
        </xdr:to>
        <xdr:sp macro="" textlink="">
          <xdr:nvSpPr>
            <xdr:cNvPr id="1026" name="CheckBox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1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142875</xdr:colOff>
          <xdr:row>3</xdr:row>
          <xdr:rowOff>28575</xdr:rowOff>
        </xdr:from>
        <xdr:to>
          <xdr:col>5</xdr:col>
          <xdr:colOff>342900</xdr:colOff>
          <xdr:row>3</xdr:row>
          <xdr:rowOff>180975</xdr:rowOff>
        </xdr:to>
        <xdr:sp macro="" textlink="">
          <xdr:nvSpPr>
            <xdr:cNvPr id="1027" name="CheckBox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1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2</xdr:row>
      <xdr:rowOff>76199</xdr:rowOff>
    </xdr:from>
    <xdr:to>
      <xdr:col>15</xdr:col>
      <xdr:colOff>85725</xdr:colOff>
      <xdr:row>21</xdr:row>
      <xdr:rowOff>114299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133350</xdr:colOff>
          <xdr:row>3</xdr:row>
          <xdr:rowOff>28575</xdr:rowOff>
        </xdr:from>
        <xdr:to>
          <xdr:col>3</xdr:col>
          <xdr:colOff>333375</xdr:colOff>
          <xdr:row>3</xdr:row>
          <xdr:rowOff>180975</xdr:rowOff>
        </xdr:to>
        <xdr:sp macro="" textlink="">
          <xdr:nvSpPr>
            <xdr:cNvPr id="7169" name="CheckBox1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00000000-0008-0000-0200-00000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3</xdr:row>
          <xdr:rowOff>28575</xdr:rowOff>
        </xdr:from>
        <xdr:to>
          <xdr:col>4</xdr:col>
          <xdr:colOff>333375</xdr:colOff>
          <xdr:row>3</xdr:row>
          <xdr:rowOff>180975</xdr:rowOff>
        </xdr:to>
        <xdr:sp macro="" textlink="">
          <xdr:nvSpPr>
            <xdr:cNvPr id="7170" name="CheckBox2" hidden="1">
              <a:extLst>
                <a:ext uri="{63B3BB69-23CF-44E3-9099-C40C66FF867C}">
                  <a14:compatExt spid="_x0000_s7170"/>
                </a:ext>
                <a:ext uri="{FF2B5EF4-FFF2-40B4-BE49-F238E27FC236}">
                  <a16:creationId xmlns:a16="http://schemas.microsoft.com/office/drawing/2014/main" id="{00000000-0008-0000-0200-000002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142875</xdr:colOff>
          <xdr:row>3</xdr:row>
          <xdr:rowOff>28575</xdr:rowOff>
        </xdr:from>
        <xdr:to>
          <xdr:col>5</xdr:col>
          <xdr:colOff>342900</xdr:colOff>
          <xdr:row>3</xdr:row>
          <xdr:rowOff>180975</xdr:rowOff>
        </xdr:to>
        <xdr:sp macro="" textlink="">
          <xdr:nvSpPr>
            <xdr:cNvPr id="7171" name="CheckBox3" hidden="1">
              <a:extLst>
                <a:ext uri="{63B3BB69-23CF-44E3-9099-C40C66FF867C}">
                  <a14:compatExt spid="_x0000_s7171"/>
                </a:ext>
                <a:ext uri="{FF2B5EF4-FFF2-40B4-BE49-F238E27FC236}">
                  <a16:creationId xmlns:a16="http://schemas.microsoft.com/office/drawing/2014/main" id="{00000000-0008-0000-0200-000003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66675</xdr:colOff>
      <xdr:row>2</xdr:row>
      <xdr:rowOff>47624</xdr:rowOff>
    </xdr:from>
    <xdr:to>
      <xdr:col>15</xdr:col>
      <xdr:colOff>114300</xdr:colOff>
      <xdr:row>21</xdr:row>
      <xdr:rowOff>85724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133350</xdr:colOff>
          <xdr:row>3</xdr:row>
          <xdr:rowOff>28575</xdr:rowOff>
        </xdr:from>
        <xdr:to>
          <xdr:col>3</xdr:col>
          <xdr:colOff>333375</xdr:colOff>
          <xdr:row>3</xdr:row>
          <xdr:rowOff>180975</xdr:rowOff>
        </xdr:to>
        <xdr:sp macro="" textlink="">
          <xdr:nvSpPr>
            <xdr:cNvPr id="8193" name="CheckBox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300-00000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3</xdr:row>
          <xdr:rowOff>28575</xdr:rowOff>
        </xdr:from>
        <xdr:to>
          <xdr:col>4</xdr:col>
          <xdr:colOff>333375</xdr:colOff>
          <xdr:row>3</xdr:row>
          <xdr:rowOff>180975</xdr:rowOff>
        </xdr:to>
        <xdr:sp macro="" textlink="">
          <xdr:nvSpPr>
            <xdr:cNvPr id="8194" name="CheckBox2" hidden="1">
              <a:extLst>
                <a:ext uri="{63B3BB69-23CF-44E3-9099-C40C66FF867C}">
                  <a14:compatExt spid="_x0000_s8194"/>
                </a:ext>
                <a:ext uri="{FF2B5EF4-FFF2-40B4-BE49-F238E27FC236}">
                  <a16:creationId xmlns:a16="http://schemas.microsoft.com/office/drawing/2014/main" id="{00000000-0008-0000-0300-00000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142875</xdr:colOff>
          <xdr:row>3</xdr:row>
          <xdr:rowOff>28575</xdr:rowOff>
        </xdr:from>
        <xdr:to>
          <xdr:col>5</xdr:col>
          <xdr:colOff>342900</xdr:colOff>
          <xdr:row>3</xdr:row>
          <xdr:rowOff>180975</xdr:rowOff>
        </xdr:to>
        <xdr:sp macro="" textlink="">
          <xdr:nvSpPr>
            <xdr:cNvPr id="8195" name="CheckBox3" hidden="1">
              <a:extLst>
                <a:ext uri="{63B3BB69-23CF-44E3-9099-C40C66FF867C}">
                  <a14:compatExt spid="_x0000_s8195"/>
                </a:ext>
                <a:ext uri="{FF2B5EF4-FFF2-40B4-BE49-F238E27FC236}">
                  <a16:creationId xmlns:a16="http://schemas.microsoft.com/office/drawing/2014/main" id="{00000000-0008-0000-0300-000003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57150</xdr:colOff>
      <xdr:row>2</xdr:row>
      <xdr:rowOff>57150</xdr:rowOff>
    </xdr:from>
    <xdr:to>
      <xdr:col>15</xdr:col>
      <xdr:colOff>104775</xdr:colOff>
      <xdr:row>21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133350</xdr:colOff>
          <xdr:row>3</xdr:row>
          <xdr:rowOff>28575</xdr:rowOff>
        </xdr:from>
        <xdr:to>
          <xdr:col>3</xdr:col>
          <xdr:colOff>333375</xdr:colOff>
          <xdr:row>3</xdr:row>
          <xdr:rowOff>180975</xdr:rowOff>
        </xdr:to>
        <xdr:sp macro="" textlink="">
          <xdr:nvSpPr>
            <xdr:cNvPr id="9217" name="CheckBox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4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3</xdr:row>
          <xdr:rowOff>28575</xdr:rowOff>
        </xdr:from>
        <xdr:to>
          <xdr:col>4</xdr:col>
          <xdr:colOff>333375</xdr:colOff>
          <xdr:row>3</xdr:row>
          <xdr:rowOff>180975</xdr:rowOff>
        </xdr:to>
        <xdr:sp macro="" textlink="">
          <xdr:nvSpPr>
            <xdr:cNvPr id="9218" name="CheckBox2" hidden="1">
              <a:extLst>
                <a:ext uri="{63B3BB69-23CF-44E3-9099-C40C66FF867C}">
                  <a14:compatExt spid="_x0000_s9218"/>
                </a:ext>
                <a:ext uri="{FF2B5EF4-FFF2-40B4-BE49-F238E27FC236}">
                  <a16:creationId xmlns:a16="http://schemas.microsoft.com/office/drawing/2014/main" id="{00000000-0008-0000-0400-00000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142875</xdr:colOff>
          <xdr:row>3</xdr:row>
          <xdr:rowOff>28575</xdr:rowOff>
        </xdr:from>
        <xdr:to>
          <xdr:col>5</xdr:col>
          <xdr:colOff>342900</xdr:colOff>
          <xdr:row>3</xdr:row>
          <xdr:rowOff>180975</xdr:rowOff>
        </xdr:to>
        <xdr:sp macro="" textlink="">
          <xdr:nvSpPr>
            <xdr:cNvPr id="9219" name="CheckBox3" hidden="1">
              <a:extLst>
                <a:ext uri="{63B3BB69-23CF-44E3-9099-C40C66FF867C}">
                  <a14:compatExt spid="_x0000_s9219"/>
                </a:ext>
                <a:ext uri="{FF2B5EF4-FFF2-40B4-BE49-F238E27FC236}">
                  <a16:creationId xmlns:a16="http://schemas.microsoft.com/office/drawing/2014/main" id="{00000000-0008-0000-0400-00000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6.xml"/><Relationship Id="rId3" Type="http://schemas.openxmlformats.org/officeDocument/2006/relationships/vmlDrawing" Target="../drawings/vmlDrawing2.vml"/><Relationship Id="rId7" Type="http://schemas.openxmlformats.org/officeDocument/2006/relationships/image" Target="../media/image4.emf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control" Target="../activeX/activeX5.xml"/><Relationship Id="rId5" Type="http://schemas.openxmlformats.org/officeDocument/2006/relationships/image" Target="../media/image3.emf"/><Relationship Id="rId4" Type="http://schemas.openxmlformats.org/officeDocument/2006/relationships/control" Target="../activeX/activeX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7" Type="http://schemas.openxmlformats.org/officeDocument/2006/relationships/control" Target="../activeX/activeX9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6" Type="http://schemas.openxmlformats.org/officeDocument/2006/relationships/control" Target="../activeX/activeX8.xml"/><Relationship Id="rId5" Type="http://schemas.openxmlformats.org/officeDocument/2006/relationships/image" Target="../media/image5.emf"/><Relationship Id="rId4" Type="http://schemas.openxmlformats.org/officeDocument/2006/relationships/control" Target="../activeX/activeX7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2.xml"/><Relationship Id="rId3" Type="http://schemas.openxmlformats.org/officeDocument/2006/relationships/vmlDrawing" Target="../drawings/vmlDrawing4.vml"/><Relationship Id="rId7" Type="http://schemas.openxmlformats.org/officeDocument/2006/relationships/image" Target="../media/image7.emf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6" Type="http://schemas.openxmlformats.org/officeDocument/2006/relationships/control" Target="../activeX/activeX11.xml"/><Relationship Id="rId5" Type="http://schemas.openxmlformats.org/officeDocument/2006/relationships/image" Target="../media/image6.emf"/><Relationship Id="rId4" Type="http://schemas.openxmlformats.org/officeDocument/2006/relationships/control" Target="../activeX/activeX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B2:O38"/>
  <sheetViews>
    <sheetView showGridLines="0" showRowColHeaders="0" topLeftCell="A4" workbookViewId="0">
      <selection activeCell="R13" sqref="R13"/>
    </sheetView>
  </sheetViews>
  <sheetFormatPr defaultRowHeight="14.25" x14ac:dyDescent="0.2"/>
  <cols>
    <col min="1" max="1" width="3.7109375" style="3" customWidth="1"/>
    <col min="2" max="16384" width="9.140625" style="3"/>
  </cols>
  <sheetData>
    <row r="2" spans="2:15" ht="21" thickBot="1" x14ac:dyDescent="0.25">
      <c r="B2" s="1" t="s">
        <v>16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7" spans="2:15" ht="15" thickBot="1" x14ac:dyDescent="0.25">
      <c r="B37" s="4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</row>
    <row r="38" spans="2:15" ht="15" thickTop="1" x14ac:dyDescent="0.2"/>
  </sheetData>
  <pageMargins left="0.7" right="0.7" top="0.75" bottom="0.75" header="0.3" footer="0.3"/>
  <pageSetup scale="95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B2:R23"/>
  <sheetViews>
    <sheetView showGridLines="0" showRowColHeaders="0" zoomScale="85" zoomScaleNormal="85" workbookViewId="0">
      <selection activeCell="E26" sqref="E26"/>
    </sheetView>
  </sheetViews>
  <sheetFormatPr defaultColWidth="9.140625" defaultRowHeight="14.25" x14ac:dyDescent="0.25"/>
  <cols>
    <col min="1" max="1" width="3.7109375" style="7" customWidth="1"/>
    <col min="2" max="2" width="3.5703125" style="7" bestFit="1" customWidth="1"/>
    <col min="3" max="3" width="50.42578125" style="7" customWidth="1"/>
    <col min="4" max="6" width="5.7109375" style="7" customWidth="1"/>
    <col min="7" max="7" width="9.140625" style="7"/>
    <col min="8" max="8" width="11" style="7" bestFit="1" customWidth="1"/>
    <col min="9" max="11" width="3.7109375" style="7" customWidth="1"/>
    <col min="12" max="16" width="9.140625" style="7"/>
    <col min="17" max="17" width="16.42578125" style="7" bestFit="1" customWidth="1"/>
    <col min="18" max="16384" width="9.140625" style="7"/>
  </cols>
  <sheetData>
    <row r="2" spans="2:18" ht="18.75" thickBot="1" x14ac:dyDescent="0.3">
      <c r="B2" s="14" t="s">
        <v>7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2:18" x14ac:dyDescent="0.25">
      <c r="D3" s="8" t="b">
        <v>1</v>
      </c>
      <c r="E3" s="8" t="b">
        <v>1</v>
      </c>
      <c r="F3" s="8" t="b">
        <v>1</v>
      </c>
    </row>
    <row r="4" spans="2:18" ht="15" x14ac:dyDescent="0.25">
      <c r="B4" s="9" t="s">
        <v>1</v>
      </c>
      <c r="C4" s="9" t="s">
        <v>6</v>
      </c>
      <c r="D4" s="10"/>
      <c r="E4" s="10"/>
      <c r="F4" s="10"/>
      <c r="P4" s="11" t="s">
        <v>47</v>
      </c>
    </row>
    <row r="5" spans="2:18" x14ac:dyDescent="0.25">
      <c r="B5" s="9"/>
      <c r="C5" s="9"/>
      <c r="D5" s="10" t="s">
        <v>2</v>
      </c>
      <c r="E5" s="10" t="s">
        <v>3</v>
      </c>
      <c r="F5" s="10" t="s">
        <v>4</v>
      </c>
      <c r="H5" s="8" t="s">
        <v>9</v>
      </c>
      <c r="I5" s="8">
        <f t="shared" ref="I5:J5" si="0">IF(COUNT(I6:I20)=0,1,COUNT(I6:I20))</f>
        <v>7</v>
      </c>
      <c r="J5" s="8">
        <f t="shared" si="0"/>
        <v>7</v>
      </c>
      <c r="K5" s="8">
        <f>IF(COUNT(K6:K20)=0,1,COUNT(K6:K20))</f>
        <v>7</v>
      </c>
      <c r="P5" s="7" t="s">
        <v>2</v>
      </c>
      <c r="Q5" s="12" t="s">
        <v>43</v>
      </c>
    </row>
    <row r="6" spans="2:18" x14ac:dyDescent="0.25">
      <c r="B6" s="10">
        <v>1</v>
      </c>
      <c r="C6" s="13" t="s">
        <v>17</v>
      </c>
      <c r="D6" s="10">
        <v>2</v>
      </c>
      <c r="E6" s="10">
        <v>1</v>
      </c>
      <c r="F6" s="10">
        <v>1</v>
      </c>
      <c r="H6" s="8" t="str">
        <f t="shared" ref="H6:H20" si="1">IF(C6&lt;&gt;"",C6,"")</f>
        <v>Brand Representative</v>
      </c>
      <c r="I6" s="8">
        <f>IF(D$3=TRUE,IF($C6&lt;&gt;"",D6,""),NA())</f>
        <v>2</v>
      </c>
      <c r="J6" s="8">
        <f>IF(E$3=TRUE,IF($C6&lt;&gt;"",E6,""),NA())</f>
        <v>1</v>
      </c>
      <c r="K6" s="8">
        <f>IF(F$3=TRUE,IF($C6&lt;&gt;"",F6,""),NA())</f>
        <v>1</v>
      </c>
      <c r="P6" s="7" t="s">
        <v>3</v>
      </c>
      <c r="Q6" s="12" t="s">
        <v>44</v>
      </c>
    </row>
    <row r="7" spans="2:18" x14ac:dyDescent="0.25">
      <c r="B7" s="10">
        <v>2</v>
      </c>
      <c r="C7" s="13" t="s">
        <v>18</v>
      </c>
      <c r="D7" s="10">
        <v>1</v>
      </c>
      <c r="E7" s="10">
        <v>2</v>
      </c>
      <c r="F7" s="10">
        <v>2</v>
      </c>
      <c r="H7" s="8" t="str">
        <f t="shared" si="1"/>
        <v>Mature Company</v>
      </c>
      <c r="I7" s="8">
        <f t="shared" ref="I7:I20" si="2">IF(D$3=TRUE,IF($C7&lt;&gt;"",D7,""),"")</f>
        <v>1</v>
      </c>
      <c r="J7" s="8">
        <f t="shared" ref="J7:J20" si="3">IF(E$3=TRUE,IF($C7&lt;&gt;"",E7,""),"")</f>
        <v>2</v>
      </c>
      <c r="K7" s="8">
        <f t="shared" ref="K7:K20" si="4">IF(F$3=TRUE,IF($C7&lt;&gt;"",F7,""),"")</f>
        <v>2</v>
      </c>
      <c r="P7" s="7" t="s">
        <v>4</v>
      </c>
      <c r="Q7" s="12" t="s">
        <v>45</v>
      </c>
    </row>
    <row r="8" spans="2:18" x14ac:dyDescent="0.25">
      <c r="B8" s="10">
        <v>3</v>
      </c>
      <c r="C8" s="13" t="s">
        <v>19</v>
      </c>
      <c r="D8" s="10">
        <v>3</v>
      </c>
      <c r="E8" s="10">
        <v>3</v>
      </c>
      <c r="F8" s="10">
        <v>1</v>
      </c>
      <c r="H8" s="8" t="str">
        <f t="shared" si="1"/>
        <v>Experience</v>
      </c>
      <c r="I8" s="8">
        <f t="shared" si="2"/>
        <v>3</v>
      </c>
      <c r="J8" s="8">
        <f t="shared" si="3"/>
        <v>3</v>
      </c>
      <c r="K8" s="8">
        <f t="shared" si="4"/>
        <v>1</v>
      </c>
    </row>
    <row r="9" spans="2:18" x14ac:dyDescent="0.25">
      <c r="B9" s="10">
        <v>4</v>
      </c>
      <c r="C9" s="13" t="s">
        <v>20</v>
      </c>
      <c r="D9" s="10">
        <v>1</v>
      </c>
      <c r="E9" s="10">
        <v>2</v>
      </c>
      <c r="F9" s="10">
        <v>1</v>
      </c>
      <c r="H9" s="8" t="str">
        <f t="shared" si="1"/>
        <v>Good Price</v>
      </c>
      <c r="I9" s="8">
        <f t="shared" si="2"/>
        <v>1</v>
      </c>
      <c r="J9" s="8">
        <f t="shared" si="3"/>
        <v>2</v>
      </c>
      <c r="K9" s="8">
        <f t="shared" si="4"/>
        <v>1</v>
      </c>
      <c r="P9" s="7" t="s">
        <v>48</v>
      </c>
    </row>
    <row r="10" spans="2:18" x14ac:dyDescent="0.25">
      <c r="B10" s="10">
        <v>5</v>
      </c>
      <c r="C10" s="13" t="s">
        <v>21</v>
      </c>
      <c r="D10" s="10">
        <v>1</v>
      </c>
      <c r="E10" s="10">
        <v>3</v>
      </c>
      <c r="F10" s="10">
        <v>1</v>
      </c>
      <c r="H10" s="8" t="str">
        <f t="shared" si="1"/>
        <v>Good Service</v>
      </c>
      <c r="I10" s="8">
        <f t="shared" si="2"/>
        <v>1</v>
      </c>
      <c r="J10" s="8">
        <f t="shared" si="3"/>
        <v>3</v>
      </c>
      <c r="K10" s="8">
        <f t="shared" si="4"/>
        <v>1</v>
      </c>
      <c r="P10" s="7">
        <v>1</v>
      </c>
      <c r="Q10" s="12" t="s">
        <v>42</v>
      </c>
    </row>
    <row r="11" spans="2:18" x14ac:dyDescent="0.25">
      <c r="B11" s="10">
        <v>6</v>
      </c>
      <c r="C11" s="13" t="s">
        <v>22</v>
      </c>
      <c r="D11" s="10">
        <v>1</v>
      </c>
      <c r="E11" s="10">
        <v>4</v>
      </c>
      <c r="F11" s="10">
        <v>2</v>
      </c>
      <c r="H11" s="8" t="str">
        <f t="shared" si="1"/>
        <v>Expertise</v>
      </c>
      <c r="I11" s="8">
        <f t="shared" si="2"/>
        <v>1</v>
      </c>
      <c r="J11" s="8">
        <f t="shared" si="3"/>
        <v>4</v>
      </c>
      <c r="K11" s="8">
        <f t="shared" si="4"/>
        <v>2</v>
      </c>
      <c r="P11" s="7">
        <v>2</v>
      </c>
      <c r="Q11" s="12" t="s">
        <v>46</v>
      </c>
    </row>
    <row r="12" spans="2:18" x14ac:dyDescent="0.25">
      <c r="B12" s="10">
        <v>7</v>
      </c>
      <c r="C12" s="13" t="s">
        <v>23</v>
      </c>
      <c r="D12" s="10">
        <v>1</v>
      </c>
      <c r="E12" s="10">
        <v>3</v>
      </c>
      <c r="F12" s="10">
        <v>3</v>
      </c>
      <c r="H12" s="8" t="str">
        <f t="shared" si="1"/>
        <v>Financial Situation</v>
      </c>
      <c r="I12" s="8">
        <f t="shared" si="2"/>
        <v>1</v>
      </c>
      <c r="J12" s="8">
        <f t="shared" si="3"/>
        <v>3</v>
      </c>
      <c r="K12" s="8">
        <f t="shared" si="4"/>
        <v>3</v>
      </c>
      <c r="P12" s="7">
        <v>3</v>
      </c>
      <c r="Q12" s="12" t="s">
        <v>41</v>
      </c>
    </row>
    <row r="13" spans="2:18" x14ac:dyDescent="0.25">
      <c r="B13" s="10">
        <v>8</v>
      </c>
      <c r="C13" s="13"/>
      <c r="D13" s="10"/>
      <c r="E13" s="10"/>
      <c r="F13" s="10"/>
      <c r="H13" s="8" t="str">
        <f t="shared" si="1"/>
        <v/>
      </c>
      <c r="I13" s="8" t="str">
        <f t="shared" si="2"/>
        <v/>
      </c>
      <c r="J13" s="8" t="str">
        <f t="shared" si="3"/>
        <v/>
      </c>
      <c r="K13" s="8" t="str">
        <f t="shared" si="4"/>
        <v/>
      </c>
    </row>
    <row r="14" spans="2:18" x14ac:dyDescent="0.25">
      <c r="B14" s="10">
        <v>9</v>
      </c>
      <c r="C14" s="13"/>
      <c r="D14" s="10"/>
      <c r="E14" s="10"/>
      <c r="F14" s="10"/>
      <c r="H14" s="8" t="str">
        <f t="shared" si="1"/>
        <v/>
      </c>
      <c r="I14" s="8" t="str">
        <f t="shared" si="2"/>
        <v/>
      </c>
      <c r="J14" s="8" t="str">
        <f t="shared" si="3"/>
        <v/>
      </c>
      <c r="K14" s="8" t="str">
        <f t="shared" si="4"/>
        <v/>
      </c>
    </row>
    <row r="15" spans="2:18" x14ac:dyDescent="0.25">
      <c r="B15" s="10">
        <v>10</v>
      </c>
      <c r="C15" s="13"/>
      <c r="D15" s="10"/>
      <c r="E15" s="10"/>
      <c r="F15" s="10"/>
      <c r="H15" s="8" t="str">
        <f t="shared" si="1"/>
        <v/>
      </c>
      <c r="I15" s="8" t="str">
        <f t="shared" si="2"/>
        <v/>
      </c>
      <c r="J15" s="8" t="str">
        <f t="shared" si="3"/>
        <v/>
      </c>
      <c r="K15" s="8" t="str">
        <f t="shared" si="4"/>
        <v/>
      </c>
    </row>
    <row r="16" spans="2:18" x14ac:dyDescent="0.25">
      <c r="B16" s="10">
        <v>11</v>
      </c>
      <c r="C16" s="13"/>
      <c r="D16" s="10"/>
      <c r="E16" s="10"/>
      <c r="F16" s="10"/>
      <c r="H16" s="8" t="str">
        <f t="shared" si="1"/>
        <v/>
      </c>
      <c r="I16" s="8" t="str">
        <f t="shared" si="2"/>
        <v/>
      </c>
      <c r="J16" s="8" t="str">
        <f t="shared" si="3"/>
        <v/>
      </c>
      <c r="K16" s="8" t="str">
        <f t="shared" si="4"/>
        <v/>
      </c>
    </row>
    <row r="17" spans="2:18" x14ac:dyDescent="0.25">
      <c r="B17" s="10">
        <v>12</v>
      </c>
      <c r="C17" s="13"/>
      <c r="D17" s="10"/>
      <c r="E17" s="10"/>
      <c r="F17" s="10"/>
      <c r="H17" s="8" t="str">
        <f t="shared" si="1"/>
        <v/>
      </c>
      <c r="I17" s="8" t="str">
        <f t="shared" si="2"/>
        <v/>
      </c>
      <c r="J17" s="8" t="str">
        <f t="shared" si="3"/>
        <v/>
      </c>
      <c r="K17" s="8" t="str">
        <f t="shared" si="4"/>
        <v/>
      </c>
    </row>
    <row r="18" spans="2:18" x14ac:dyDescent="0.25">
      <c r="B18" s="10">
        <v>13</v>
      </c>
      <c r="C18" s="13"/>
      <c r="D18" s="10"/>
      <c r="E18" s="10"/>
      <c r="F18" s="10"/>
      <c r="H18" s="8" t="str">
        <f t="shared" si="1"/>
        <v/>
      </c>
      <c r="I18" s="8" t="str">
        <f t="shared" si="2"/>
        <v/>
      </c>
      <c r="J18" s="8" t="str">
        <f t="shared" si="3"/>
        <v/>
      </c>
      <c r="K18" s="8" t="str">
        <f t="shared" si="4"/>
        <v/>
      </c>
    </row>
    <row r="19" spans="2:18" x14ac:dyDescent="0.25">
      <c r="B19" s="10">
        <v>14</v>
      </c>
      <c r="C19" s="13"/>
      <c r="D19" s="10"/>
      <c r="E19" s="10"/>
      <c r="F19" s="10"/>
      <c r="H19" s="8" t="str">
        <f t="shared" si="1"/>
        <v/>
      </c>
      <c r="I19" s="8" t="str">
        <f t="shared" si="2"/>
        <v/>
      </c>
      <c r="J19" s="8" t="str">
        <f t="shared" si="3"/>
        <v/>
      </c>
      <c r="K19" s="8" t="str">
        <f t="shared" si="4"/>
        <v/>
      </c>
    </row>
    <row r="20" spans="2:18" x14ac:dyDescent="0.25">
      <c r="B20" s="10">
        <v>15</v>
      </c>
      <c r="C20" s="13"/>
      <c r="D20" s="10"/>
      <c r="E20" s="10"/>
      <c r="F20" s="10"/>
      <c r="H20" s="8" t="str">
        <f t="shared" si="1"/>
        <v/>
      </c>
      <c r="I20" s="8" t="str">
        <f t="shared" si="2"/>
        <v/>
      </c>
      <c r="J20" s="8" t="str">
        <f t="shared" si="3"/>
        <v/>
      </c>
      <c r="K20" s="8" t="str">
        <f t="shared" si="4"/>
        <v/>
      </c>
    </row>
    <row r="22" spans="2:18" ht="15" thickBot="1" x14ac:dyDescent="0.3">
      <c r="B22" s="4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</row>
    <row r="23" spans="2:18" ht="15" thickTop="1" x14ac:dyDescent="0.25"/>
  </sheetData>
  <mergeCells count="2">
    <mergeCell ref="B4:B5"/>
    <mergeCell ref="C4:C5"/>
  </mergeCells>
  <pageMargins left="0.7" right="0.7" top="0.75" bottom="0.75" header="0.3" footer="0.3"/>
  <pageSetup scale="70" orientation="landscape" horizontalDpi="0" verticalDpi="0" r:id="rId1"/>
  <drawing r:id="rId2"/>
  <legacyDrawing r:id="rId3"/>
  <controls>
    <mc:AlternateContent xmlns:mc="http://schemas.openxmlformats.org/markup-compatibility/2006">
      <mc:Choice Requires="x14">
        <control shapeId="1025" r:id="rId4" name="CheckBox1">
          <controlPr defaultSize="0" autoLine="0" linkedCell="D3" r:id="rId5">
            <anchor moveWithCells="1">
              <from>
                <xdr:col>3</xdr:col>
                <xdr:colOff>133350</xdr:colOff>
                <xdr:row>3</xdr:row>
                <xdr:rowOff>28575</xdr:rowOff>
              </from>
              <to>
                <xdr:col>3</xdr:col>
                <xdr:colOff>333375</xdr:colOff>
                <xdr:row>3</xdr:row>
                <xdr:rowOff>180975</xdr:rowOff>
              </to>
            </anchor>
          </controlPr>
        </control>
      </mc:Choice>
      <mc:Fallback>
        <control shapeId="1025" r:id="rId4" name="CheckBox1"/>
      </mc:Fallback>
    </mc:AlternateContent>
    <mc:AlternateContent xmlns:mc="http://schemas.openxmlformats.org/markup-compatibility/2006">
      <mc:Choice Requires="x14">
        <control shapeId="1026" r:id="rId6" name="CheckBox2">
          <controlPr defaultSize="0" autoLine="0" linkedCell="E3" r:id="rId7">
            <anchor moveWithCells="1">
              <from>
                <xdr:col>4</xdr:col>
                <xdr:colOff>133350</xdr:colOff>
                <xdr:row>3</xdr:row>
                <xdr:rowOff>28575</xdr:rowOff>
              </from>
              <to>
                <xdr:col>4</xdr:col>
                <xdr:colOff>333375</xdr:colOff>
                <xdr:row>3</xdr:row>
                <xdr:rowOff>180975</xdr:rowOff>
              </to>
            </anchor>
          </controlPr>
        </control>
      </mc:Choice>
      <mc:Fallback>
        <control shapeId="1026" r:id="rId6" name="CheckBox2"/>
      </mc:Fallback>
    </mc:AlternateContent>
    <mc:AlternateContent xmlns:mc="http://schemas.openxmlformats.org/markup-compatibility/2006">
      <mc:Choice Requires="x14">
        <control shapeId="1027" r:id="rId8" name="CheckBox3">
          <controlPr defaultSize="0" autoLine="0" linkedCell="F3" r:id="rId7">
            <anchor moveWithCells="1">
              <from>
                <xdr:col>5</xdr:col>
                <xdr:colOff>142875</xdr:colOff>
                <xdr:row>3</xdr:row>
                <xdr:rowOff>28575</xdr:rowOff>
              </from>
              <to>
                <xdr:col>5</xdr:col>
                <xdr:colOff>342900</xdr:colOff>
                <xdr:row>3</xdr:row>
                <xdr:rowOff>180975</xdr:rowOff>
              </to>
            </anchor>
          </controlPr>
        </control>
      </mc:Choice>
      <mc:Fallback>
        <control shapeId="1027" r:id="rId8" name="CheckBox3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B2:R23"/>
  <sheetViews>
    <sheetView showGridLines="0" showRowColHeaders="0" workbookViewId="0">
      <selection activeCell="C3" sqref="C3"/>
    </sheetView>
  </sheetViews>
  <sheetFormatPr defaultColWidth="9.140625" defaultRowHeight="14.25" x14ac:dyDescent="0.25"/>
  <cols>
    <col min="1" max="1" width="3.7109375" style="7" customWidth="1"/>
    <col min="2" max="2" width="3.5703125" style="7" bestFit="1" customWidth="1"/>
    <col min="3" max="3" width="50.42578125" style="7" customWidth="1"/>
    <col min="4" max="6" width="5.7109375" style="7" customWidth="1"/>
    <col min="7" max="7" width="9.140625" style="7"/>
    <col min="8" max="8" width="11" style="7" bestFit="1" customWidth="1"/>
    <col min="9" max="11" width="3.7109375" style="7" customWidth="1"/>
    <col min="12" max="16" width="9.140625" style="7"/>
    <col min="17" max="17" width="16.42578125" style="7" bestFit="1" customWidth="1"/>
    <col min="18" max="16384" width="9.140625" style="7"/>
  </cols>
  <sheetData>
    <row r="2" spans="2:18" ht="18.75" thickBot="1" x14ac:dyDescent="0.3">
      <c r="B2" s="14" t="s">
        <v>5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2:18" x14ac:dyDescent="0.25">
      <c r="D3" s="8" t="b">
        <v>1</v>
      </c>
      <c r="E3" s="8" t="b">
        <v>1</v>
      </c>
      <c r="F3" s="8" t="b">
        <v>1</v>
      </c>
    </row>
    <row r="4" spans="2:18" ht="15" x14ac:dyDescent="0.25">
      <c r="B4" s="9" t="s">
        <v>1</v>
      </c>
      <c r="C4" s="9" t="s">
        <v>8</v>
      </c>
      <c r="D4" s="10"/>
      <c r="E4" s="10"/>
      <c r="F4" s="10"/>
      <c r="P4" s="11" t="s">
        <v>49</v>
      </c>
    </row>
    <row r="5" spans="2:18" x14ac:dyDescent="0.25">
      <c r="B5" s="9"/>
      <c r="C5" s="9"/>
      <c r="D5" s="10" t="s">
        <v>2</v>
      </c>
      <c r="E5" s="10" t="s">
        <v>3</v>
      </c>
      <c r="F5" s="10" t="s">
        <v>4</v>
      </c>
      <c r="H5" s="8" t="s">
        <v>0</v>
      </c>
      <c r="I5" s="8">
        <f t="shared" ref="I5:J5" si="0">IF(COUNT(I6:I20)=0,1,COUNT(I6:I20))</f>
        <v>5</v>
      </c>
      <c r="J5" s="8">
        <f t="shared" si="0"/>
        <v>5</v>
      </c>
      <c r="K5" s="8">
        <f>IF(COUNT(K6:K20)=0,1,COUNT(K6:K20))</f>
        <v>5</v>
      </c>
      <c r="P5" s="7" t="s">
        <v>2</v>
      </c>
      <c r="Q5" s="12" t="str">
        <f>Strengths!Q5</f>
        <v>Goth Company Inc</v>
      </c>
    </row>
    <row r="6" spans="2:18" x14ac:dyDescent="0.25">
      <c r="B6" s="10">
        <v>1</v>
      </c>
      <c r="C6" s="13" t="s">
        <v>24</v>
      </c>
      <c r="D6" s="10">
        <v>2</v>
      </c>
      <c r="E6" s="10">
        <v>1</v>
      </c>
      <c r="F6" s="10">
        <v>1</v>
      </c>
      <c r="H6" s="8" t="str">
        <f t="shared" ref="H6:H20" si="1">IF(C6&lt;&gt;"",C6,"")</f>
        <v>Reputation</v>
      </c>
      <c r="I6" s="8">
        <f>IF(D$3=TRUE,IF($C6&lt;&gt;"",D6,""),NA())</f>
        <v>2</v>
      </c>
      <c r="J6" s="8">
        <f>IF(E$3=TRUE,IF($C6&lt;&gt;"",E6,""),NA())</f>
        <v>1</v>
      </c>
      <c r="K6" s="8">
        <f>IF(F$3=TRUE,IF($C6&lt;&gt;"",F6,""),NA())</f>
        <v>1</v>
      </c>
      <c r="P6" s="7" t="s">
        <v>3</v>
      </c>
      <c r="Q6" s="12" t="str">
        <f>Strengths!Q6</f>
        <v>Metr Company Inc</v>
      </c>
    </row>
    <row r="7" spans="2:18" x14ac:dyDescent="0.25">
      <c r="B7" s="10">
        <v>2</v>
      </c>
      <c r="C7" s="13" t="s">
        <v>25</v>
      </c>
      <c r="D7" s="10">
        <v>1</v>
      </c>
      <c r="E7" s="10">
        <v>2</v>
      </c>
      <c r="F7" s="10">
        <v>2</v>
      </c>
      <c r="H7" s="8" t="str">
        <f t="shared" si="1"/>
        <v>Organization</v>
      </c>
      <c r="I7" s="8">
        <f t="shared" ref="I7:I20" si="2">IF(D$3=TRUE,IF($C7&lt;&gt;"",D7,""),"")</f>
        <v>1</v>
      </c>
      <c r="J7" s="8">
        <f t="shared" ref="J7:K20" si="3">IF(E$3=TRUE,IF($C7&lt;&gt;"",E7,""),"")</f>
        <v>2</v>
      </c>
      <c r="K7" s="8">
        <f t="shared" si="3"/>
        <v>2</v>
      </c>
      <c r="P7" s="7" t="s">
        <v>4</v>
      </c>
      <c r="Q7" s="12" t="str">
        <f>Strengths!Q7</f>
        <v>Acm Company Inc</v>
      </c>
    </row>
    <row r="8" spans="2:18" x14ac:dyDescent="0.25">
      <c r="B8" s="10">
        <v>3</v>
      </c>
      <c r="C8" s="13" t="s">
        <v>26</v>
      </c>
      <c r="D8" s="10">
        <v>3</v>
      </c>
      <c r="E8" s="10">
        <v>3</v>
      </c>
      <c r="F8" s="10">
        <v>1</v>
      </c>
      <c r="H8" s="8" t="str">
        <f t="shared" si="1"/>
        <v>Poor Knowledge</v>
      </c>
      <c r="I8" s="8">
        <f t="shared" si="2"/>
        <v>3</v>
      </c>
      <c r="J8" s="8">
        <f t="shared" si="3"/>
        <v>3</v>
      </c>
      <c r="K8" s="8">
        <f t="shared" si="3"/>
        <v>1</v>
      </c>
    </row>
    <row r="9" spans="2:18" x14ac:dyDescent="0.25">
      <c r="B9" s="10">
        <v>4</v>
      </c>
      <c r="C9" s="13" t="s">
        <v>23</v>
      </c>
      <c r="D9" s="10">
        <v>1</v>
      </c>
      <c r="E9" s="10">
        <v>2</v>
      </c>
      <c r="F9" s="10">
        <v>1</v>
      </c>
      <c r="H9" s="8" t="str">
        <f t="shared" si="1"/>
        <v>Financial Situation</v>
      </c>
      <c r="I9" s="8">
        <f t="shared" si="2"/>
        <v>1</v>
      </c>
      <c r="J9" s="8">
        <f t="shared" si="3"/>
        <v>2</v>
      </c>
      <c r="K9" s="8">
        <f t="shared" si="3"/>
        <v>1</v>
      </c>
      <c r="P9" s="7" t="s">
        <v>48</v>
      </c>
    </row>
    <row r="10" spans="2:18" x14ac:dyDescent="0.25">
      <c r="B10" s="10">
        <v>5</v>
      </c>
      <c r="C10" s="13" t="s">
        <v>19</v>
      </c>
      <c r="D10" s="10">
        <v>1</v>
      </c>
      <c r="E10" s="10">
        <v>3</v>
      </c>
      <c r="F10" s="10">
        <v>1</v>
      </c>
      <c r="H10" s="8" t="str">
        <f t="shared" si="1"/>
        <v>Experience</v>
      </c>
      <c r="I10" s="8">
        <f t="shared" si="2"/>
        <v>1</v>
      </c>
      <c r="J10" s="8">
        <f t="shared" si="3"/>
        <v>3</v>
      </c>
      <c r="K10" s="8">
        <f t="shared" si="3"/>
        <v>1</v>
      </c>
      <c r="P10" s="7">
        <v>1</v>
      </c>
      <c r="Q10" s="12" t="str">
        <f>Strengths!Q10</f>
        <v>Worst</v>
      </c>
    </row>
    <row r="11" spans="2:18" x14ac:dyDescent="0.25">
      <c r="B11" s="10">
        <v>6</v>
      </c>
      <c r="C11" s="13"/>
      <c r="D11" s="10"/>
      <c r="E11" s="10"/>
      <c r="F11" s="10"/>
      <c r="H11" s="8" t="str">
        <f t="shared" si="1"/>
        <v/>
      </c>
      <c r="I11" s="8" t="str">
        <f t="shared" si="2"/>
        <v/>
      </c>
      <c r="J11" s="8" t="str">
        <f t="shared" si="3"/>
        <v/>
      </c>
      <c r="K11" s="8" t="str">
        <f t="shared" si="3"/>
        <v/>
      </c>
      <c r="P11" s="7">
        <v>2</v>
      </c>
      <c r="Q11" s="12" t="str">
        <f>Strengths!Q11</f>
        <v>Standard</v>
      </c>
    </row>
    <row r="12" spans="2:18" x14ac:dyDescent="0.25">
      <c r="B12" s="10">
        <v>7</v>
      </c>
      <c r="C12" s="13"/>
      <c r="D12" s="10"/>
      <c r="E12" s="10"/>
      <c r="F12" s="10"/>
      <c r="H12" s="8" t="str">
        <f t="shared" si="1"/>
        <v/>
      </c>
      <c r="I12" s="8" t="str">
        <f t="shared" si="2"/>
        <v/>
      </c>
      <c r="J12" s="8" t="str">
        <f t="shared" si="3"/>
        <v/>
      </c>
      <c r="K12" s="8" t="str">
        <f t="shared" si="3"/>
        <v/>
      </c>
      <c r="P12" s="7">
        <v>3</v>
      </c>
      <c r="Q12" s="12" t="str">
        <f>Strengths!Q12</f>
        <v>Best</v>
      </c>
    </row>
    <row r="13" spans="2:18" x14ac:dyDescent="0.25">
      <c r="B13" s="10">
        <v>8</v>
      </c>
      <c r="C13" s="13"/>
      <c r="D13" s="10"/>
      <c r="E13" s="10"/>
      <c r="F13" s="10"/>
      <c r="H13" s="8" t="str">
        <f t="shared" si="1"/>
        <v/>
      </c>
      <c r="I13" s="8" t="str">
        <f t="shared" si="2"/>
        <v/>
      </c>
      <c r="J13" s="8" t="str">
        <f t="shared" si="3"/>
        <v/>
      </c>
      <c r="K13" s="8" t="str">
        <f t="shared" si="3"/>
        <v/>
      </c>
    </row>
    <row r="14" spans="2:18" x14ac:dyDescent="0.25">
      <c r="B14" s="10">
        <v>9</v>
      </c>
      <c r="C14" s="13"/>
      <c r="D14" s="10"/>
      <c r="E14" s="10"/>
      <c r="F14" s="10"/>
      <c r="H14" s="8" t="str">
        <f t="shared" si="1"/>
        <v/>
      </c>
      <c r="I14" s="8" t="str">
        <f t="shared" si="2"/>
        <v/>
      </c>
      <c r="J14" s="8" t="str">
        <f t="shared" si="3"/>
        <v/>
      </c>
      <c r="K14" s="8" t="str">
        <f t="shared" si="3"/>
        <v/>
      </c>
    </row>
    <row r="15" spans="2:18" x14ac:dyDescent="0.25">
      <c r="B15" s="10">
        <v>10</v>
      </c>
      <c r="C15" s="13"/>
      <c r="D15" s="10"/>
      <c r="E15" s="10"/>
      <c r="F15" s="10"/>
      <c r="H15" s="8" t="str">
        <f t="shared" si="1"/>
        <v/>
      </c>
      <c r="I15" s="8" t="str">
        <f t="shared" si="2"/>
        <v/>
      </c>
      <c r="J15" s="8" t="str">
        <f t="shared" si="3"/>
        <v/>
      </c>
      <c r="K15" s="8" t="str">
        <f t="shared" si="3"/>
        <v/>
      </c>
    </row>
    <row r="16" spans="2:18" x14ac:dyDescent="0.25">
      <c r="B16" s="10">
        <v>11</v>
      </c>
      <c r="C16" s="13"/>
      <c r="D16" s="10"/>
      <c r="E16" s="10"/>
      <c r="F16" s="10"/>
      <c r="H16" s="8" t="str">
        <f t="shared" si="1"/>
        <v/>
      </c>
      <c r="I16" s="8" t="str">
        <f t="shared" si="2"/>
        <v/>
      </c>
      <c r="J16" s="8" t="str">
        <f t="shared" si="3"/>
        <v/>
      </c>
      <c r="K16" s="8" t="str">
        <f t="shared" si="3"/>
        <v/>
      </c>
    </row>
    <row r="17" spans="2:18" x14ac:dyDescent="0.25">
      <c r="B17" s="10">
        <v>12</v>
      </c>
      <c r="C17" s="13"/>
      <c r="D17" s="10"/>
      <c r="E17" s="10"/>
      <c r="F17" s="10"/>
      <c r="H17" s="8" t="str">
        <f t="shared" si="1"/>
        <v/>
      </c>
      <c r="I17" s="8" t="str">
        <f t="shared" si="2"/>
        <v/>
      </c>
      <c r="J17" s="8" t="str">
        <f t="shared" si="3"/>
        <v/>
      </c>
      <c r="K17" s="8" t="str">
        <f t="shared" si="3"/>
        <v/>
      </c>
    </row>
    <row r="18" spans="2:18" x14ac:dyDescent="0.25">
      <c r="B18" s="10">
        <v>13</v>
      </c>
      <c r="C18" s="13"/>
      <c r="D18" s="10"/>
      <c r="E18" s="10"/>
      <c r="F18" s="10"/>
      <c r="H18" s="8" t="str">
        <f t="shared" si="1"/>
        <v/>
      </c>
      <c r="I18" s="8" t="str">
        <f t="shared" si="2"/>
        <v/>
      </c>
      <c r="J18" s="8" t="str">
        <f t="shared" si="3"/>
        <v/>
      </c>
      <c r="K18" s="8" t="str">
        <f t="shared" si="3"/>
        <v/>
      </c>
    </row>
    <row r="19" spans="2:18" x14ac:dyDescent="0.25">
      <c r="B19" s="10">
        <v>14</v>
      </c>
      <c r="C19" s="13"/>
      <c r="D19" s="10"/>
      <c r="E19" s="10"/>
      <c r="F19" s="10"/>
      <c r="H19" s="8" t="str">
        <f t="shared" si="1"/>
        <v/>
      </c>
      <c r="I19" s="8" t="str">
        <f t="shared" si="2"/>
        <v/>
      </c>
      <c r="J19" s="8" t="str">
        <f t="shared" si="3"/>
        <v/>
      </c>
      <c r="K19" s="8" t="str">
        <f t="shared" si="3"/>
        <v/>
      </c>
    </row>
    <row r="20" spans="2:18" x14ac:dyDescent="0.25">
      <c r="B20" s="10">
        <v>15</v>
      </c>
      <c r="C20" s="13"/>
      <c r="D20" s="10"/>
      <c r="E20" s="10"/>
      <c r="F20" s="10"/>
      <c r="H20" s="8" t="str">
        <f t="shared" si="1"/>
        <v/>
      </c>
      <c r="I20" s="8" t="str">
        <f t="shared" si="2"/>
        <v/>
      </c>
      <c r="J20" s="8" t="str">
        <f t="shared" si="3"/>
        <v/>
      </c>
      <c r="K20" s="8" t="str">
        <f t="shared" si="3"/>
        <v/>
      </c>
    </row>
    <row r="22" spans="2:18" ht="15" thickBot="1" x14ac:dyDescent="0.3">
      <c r="B22" s="4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</row>
    <row r="23" spans="2:18" ht="15" thickTop="1" x14ac:dyDescent="0.25"/>
  </sheetData>
  <mergeCells count="2">
    <mergeCell ref="B4:B5"/>
    <mergeCell ref="C4:C5"/>
  </mergeCells>
  <pageMargins left="0.7" right="0.7" top="0.75" bottom="0.75" header="0.3" footer="0.3"/>
  <pageSetup scale="70" orientation="landscape" horizontalDpi="0" verticalDpi="0" r:id="rId1"/>
  <drawing r:id="rId2"/>
  <legacyDrawing r:id="rId3"/>
  <controls>
    <mc:AlternateContent xmlns:mc="http://schemas.openxmlformats.org/markup-compatibility/2006">
      <mc:Choice Requires="x14">
        <control shapeId="7169" r:id="rId4" name="CheckBox1">
          <controlPr defaultSize="0" autoLine="0" linkedCell="D3" r:id="rId5">
            <anchor moveWithCells="1">
              <from>
                <xdr:col>3</xdr:col>
                <xdr:colOff>133350</xdr:colOff>
                <xdr:row>3</xdr:row>
                <xdr:rowOff>28575</xdr:rowOff>
              </from>
              <to>
                <xdr:col>3</xdr:col>
                <xdr:colOff>333375</xdr:colOff>
                <xdr:row>3</xdr:row>
                <xdr:rowOff>180975</xdr:rowOff>
              </to>
            </anchor>
          </controlPr>
        </control>
      </mc:Choice>
      <mc:Fallback>
        <control shapeId="7169" r:id="rId4" name="CheckBox1"/>
      </mc:Fallback>
    </mc:AlternateContent>
    <mc:AlternateContent xmlns:mc="http://schemas.openxmlformats.org/markup-compatibility/2006">
      <mc:Choice Requires="x14">
        <control shapeId="7170" r:id="rId6" name="CheckBox2">
          <controlPr defaultSize="0" autoLine="0" linkedCell="E3" r:id="rId7">
            <anchor moveWithCells="1">
              <from>
                <xdr:col>4</xdr:col>
                <xdr:colOff>133350</xdr:colOff>
                <xdr:row>3</xdr:row>
                <xdr:rowOff>28575</xdr:rowOff>
              </from>
              <to>
                <xdr:col>4</xdr:col>
                <xdr:colOff>333375</xdr:colOff>
                <xdr:row>3</xdr:row>
                <xdr:rowOff>180975</xdr:rowOff>
              </to>
            </anchor>
          </controlPr>
        </control>
      </mc:Choice>
      <mc:Fallback>
        <control shapeId="7170" r:id="rId6" name="CheckBox2"/>
      </mc:Fallback>
    </mc:AlternateContent>
    <mc:AlternateContent xmlns:mc="http://schemas.openxmlformats.org/markup-compatibility/2006">
      <mc:Choice Requires="x14">
        <control shapeId="7171" r:id="rId8" name="CheckBox3">
          <controlPr defaultSize="0" autoLine="0" linkedCell="F3" r:id="rId5">
            <anchor moveWithCells="1">
              <from>
                <xdr:col>5</xdr:col>
                <xdr:colOff>142875</xdr:colOff>
                <xdr:row>3</xdr:row>
                <xdr:rowOff>28575</xdr:rowOff>
              </from>
              <to>
                <xdr:col>5</xdr:col>
                <xdr:colOff>342900</xdr:colOff>
                <xdr:row>3</xdr:row>
                <xdr:rowOff>180975</xdr:rowOff>
              </to>
            </anchor>
          </controlPr>
        </control>
      </mc:Choice>
      <mc:Fallback>
        <control shapeId="7171" r:id="rId8" name="CheckBox3"/>
      </mc:Fallback>
    </mc:AlternateContent>
  </control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B2:R23"/>
  <sheetViews>
    <sheetView showGridLines="0" showRowColHeaders="0" topLeftCell="A7" workbookViewId="0">
      <selection activeCell="C10" sqref="C10"/>
    </sheetView>
  </sheetViews>
  <sheetFormatPr defaultColWidth="9.140625" defaultRowHeight="14.25" x14ac:dyDescent="0.25"/>
  <cols>
    <col min="1" max="1" width="3.7109375" style="7" customWidth="1"/>
    <col min="2" max="2" width="3.5703125" style="7" bestFit="1" customWidth="1"/>
    <col min="3" max="3" width="50.42578125" style="7" customWidth="1"/>
    <col min="4" max="6" width="5.7109375" style="7" customWidth="1"/>
    <col min="7" max="7" width="9.140625" style="7"/>
    <col min="8" max="8" width="11" style="7" bestFit="1" customWidth="1"/>
    <col min="9" max="11" width="3.7109375" style="7" customWidth="1"/>
    <col min="12" max="16" width="9.140625" style="7"/>
    <col min="17" max="17" width="16.42578125" style="7" bestFit="1" customWidth="1"/>
    <col min="18" max="16384" width="9.140625" style="7"/>
  </cols>
  <sheetData>
    <row r="2" spans="2:18" ht="18.75" thickBot="1" x14ac:dyDescent="0.3">
      <c r="B2" s="14" t="s">
        <v>10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2:18" x14ac:dyDescent="0.25">
      <c r="D3" s="8" t="b">
        <v>1</v>
      </c>
      <c r="E3" s="8" t="b">
        <v>1</v>
      </c>
      <c r="F3" s="8" t="b">
        <v>1</v>
      </c>
    </row>
    <row r="4" spans="2:18" ht="15" x14ac:dyDescent="0.25">
      <c r="B4" s="9" t="s">
        <v>1</v>
      </c>
      <c r="C4" s="9" t="s">
        <v>11</v>
      </c>
      <c r="D4" s="10"/>
      <c r="E4" s="10"/>
      <c r="F4" s="10"/>
      <c r="P4" s="11" t="s">
        <v>49</v>
      </c>
    </row>
    <row r="5" spans="2:18" x14ac:dyDescent="0.25">
      <c r="B5" s="9"/>
      <c r="C5" s="9"/>
      <c r="D5" s="10" t="s">
        <v>2</v>
      </c>
      <c r="E5" s="10" t="s">
        <v>3</v>
      </c>
      <c r="F5" s="10" t="s">
        <v>4</v>
      </c>
      <c r="H5" s="8" t="s">
        <v>12</v>
      </c>
      <c r="I5" s="8">
        <f t="shared" ref="I5:J5" si="0">IF(COUNT(I6:I20)=0,1,COUNT(I6:I20))</f>
        <v>7</v>
      </c>
      <c r="J5" s="8">
        <f t="shared" si="0"/>
        <v>7</v>
      </c>
      <c r="K5" s="8">
        <f>IF(COUNT(K6:K20)=0,1,COUNT(K6:K20))</f>
        <v>7</v>
      </c>
      <c r="P5" s="7" t="s">
        <v>2</v>
      </c>
      <c r="Q5" s="12" t="str">
        <f>Strengths!Q5</f>
        <v>Goth Company Inc</v>
      </c>
    </row>
    <row r="6" spans="2:18" x14ac:dyDescent="0.25">
      <c r="B6" s="10">
        <v>1</v>
      </c>
      <c r="C6" s="13" t="s">
        <v>27</v>
      </c>
      <c r="D6" s="10">
        <v>2</v>
      </c>
      <c r="E6" s="10">
        <v>1</v>
      </c>
      <c r="F6" s="10">
        <v>1</v>
      </c>
      <c r="H6" s="8" t="str">
        <f t="shared" ref="H6:H20" si="1">IF(C6&lt;&gt;"",C6,"")</f>
        <v>Trends</v>
      </c>
      <c r="I6" s="8">
        <f>IF(D$3=TRUE,IF($C6&lt;&gt;"",D6,""),NA())</f>
        <v>2</v>
      </c>
      <c r="J6" s="8">
        <f>IF(E$3=TRUE,IF($C6&lt;&gt;"",E6,""),NA())</f>
        <v>1</v>
      </c>
      <c r="K6" s="8">
        <f>IF(F$3=TRUE,IF($C6&lt;&gt;"",F6,""),NA())</f>
        <v>1</v>
      </c>
      <c r="P6" s="7" t="s">
        <v>3</v>
      </c>
      <c r="Q6" s="12" t="str">
        <f>Strengths!Q6</f>
        <v>Metr Company Inc</v>
      </c>
    </row>
    <row r="7" spans="2:18" x14ac:dyDescent="0.25">
      <c r="B7" s="10">
        <v>2</v>
      </c>
      <c r="C7" s="13" t="s">
        <v>28</v>
      </c>
      <c r="D7" s="10">
        <v>1</v>
      </c>
      <c r="E7" s="10">
        <v>2</v>
      </c>
      <c r="F7" s="10">
        <v>2</v>
      </c>
      <c r="H7" s="8" t="str">
        <f t="shared" si="1"/>
        <v>Niche Market</v>
      </c>
      <c r="I7" s="8">
        <f t="shared" ref="I7:I20" si="2">IF(D$3=TRUE,IF($C7&lt;&gt;"",D7,""),"")</f>
        <v>1</v>
      </c>
      <c r="J7" s="8">
        <f t="shared" ref="J7:K20" si="3">IF(E$3=TRUE,IF($C7&lt;&gt;"",E7,""),"")</f>
        <v>2</v>
      </c>
      <c r="K7" s="8">
        <f t="shared" si="3"/>
        <v>2</v>
      </c>
      <c r="P7" s="7" t="s">
        <v>4</v>
      </c>
      <c r="Q7" s="12" t="str">
        <f>Strengths!Q7</f>
        <v>Acm Company Inc</v>
      </c>
    </row>
    <row r="8" spans="2:18" x14ac:dyDescent="0.25">
      <c r="B8" s="10">
        <v>3</v>
      </c>
      <c r="C8" s="13" t="s">
        <v>29</v>
      </c>
      <c r="D8" s="10">
        <v>3</v>
      </c>
      <c r="E8" s="10">
        <v>3</v>
      </c>
      <c r="F8" s="10">
        <v>1</v>
      </c>
      <c r="H8" s="8" t="str">
        <f t="shared" si="1"/>
        <v>New Technologies</v>
      </c>
      <c r="I8" s="8">
        <f t="shared" si="2"/>
        <v>3</v>
      </c>
      <c r="J8" s="8">
        <f t="shared" si="3"/>
        <v>3</v>
      </c>
      <c r="K8" s="8">
        <f t="shared" si="3"/>
        <v>1</v>
      </c>
    </row>
    <row r="9" spans="2:18" x14ac:dyDescent="0.25">
      <c r="B9" s="10">
        <v>4</v>
      </c>
      <c r="C9" s="13" t="s">
        <v>30</v>
      </c>
      <c r="D9" s="10">
        <v>1</v>
      </c>
      <c r="E9" s="10">
        <v>2</v>
      </c>
      <c r="F9" s="10">
        <v>1</v>
      </c>
      <c r="H9" s="8" t="str">
        <f t="shared" si="1"/>
        <v>Exclusive Distributor</v>
      </c>
      <c r="I9" s="8">
        <f t="shared" si="2"/>
        <v>1</v>
      </c>
      <c r="J9" s="8">
        <f t="shared" si="3"/>
        <v>2</v>
      </c>
      <c r="K9" s="8">
        <f t="shared" si="3"/>
        <v>1</v>
      </c>
      <c r="P9" s="7" t="s">
        <v>48</v>
      </c>
    </row>
    <row r="10" spans="2:18" x14ac:dyDescent="0.25">
      <c r="B10" s="10">
        <v>5</v>
      </c>
      <c r="C10" s="13" t="s">
        <v>17</v>
      </c>
      <c r="D10" s="10">
        <v>1</v>
      </c>
      <c r="E10" s="10">
        <v>3</v>
      </c>
      <c r="F10" s="10">
        <v>1</v>
      </c>
      <c r="H10" s="8" t="str">
        <f t="shared" si="1"/>
        <v>Brand Representative</v>
      </c>
      <c r="I10" s="8">
        <f t="shared" si="2"/>
        <v>1</v>
      </c>
      <c r="J10" s="8">
        <f t="shared" si="3"/>
        <v>3</v>
      </c>
      <c r="K10" s="8">
        <f t="shared" si="3"/>
        <v>1</v>
      </c>
      <c r="P10" s="7">
        <v>1</v>
      </c>
      <c r="Q10" s="12" t="str">
        <f>Strengths!Q10</f>
        <v>Worst</v>
      </c>
    </row>
    <row r="11" spans="2:18" x14ac:dyDescent="0.25">
      <c r="B11" s="10">
        <v>6</v>
      </c>
      <c r="C11" s="13" t="s">
        <v>31</v>
      </c>
      <c r="D11" s="10">
        <v>1</v>
      </c>
      <c r="E11" s="10">
        <v>1</v>
      </c>
      <c r="F11" s="10">
        <v>2</v>
      </c>
      <c r="H11" s="8" t="str">
        <f t="shared" si="1"/>
        <v>Good Profit</v>
      </c>
      <c r="I11" s="8">
        <f t="shared" si="2"/>
        <v>1</v>
      </c>
      <c r="J11" s="8">
        <f t="shared" si="3"/>
        <v>1</v>
      </c>
      <c r="K11" s="8">
        <f t="shared" si="3"/>
        <v>2</v>
      </c>
      <c r="P11" s="7">
        <v>2</v>
      </c>
      <c r="Q11" s="12" t="str">
        <f>Strengths!Q11</f>
        <v>Standard</v>
      </c>
    </row>
    <row r="12" spans="2:18" x14ac:dyDescent="0.25">
      <c r="B12" s="10">
        <v>7</v>
      </c>
      <c r="C12" s="13" t="s">
        <v>32</v>
      </c>
      <c r="D12" s="10">
        <v>1</v>
      </c>
      <c r="E12" s="10">
        <v>2</v>
      </c>
      <c r="F12" s="10">
        <v>3</v>
      </c>
      <c r="H12" s="8" t="str">
        <f t="shared" si="1"/>
        <v>Exclusive Contract/Project</v>
      </c>
      <c r="I12" s="8">
        <f t="shared" si="2"/>
        <v>1</v>
      </c>
      <c r="J12" s="8">
        <f t="shared" si="3"/>
        <v>2</v>
      </c>
      <c r="K12" s="8">
        <f t="shared" si="3"/>
        <v>3</v>
      </c>
      <c r="P12" s="7">
        <v>3</v>
      </c>
      <c r="Q12" s="12" t="str">
        <f>Strengths!Q12</f>
        <v>Best</v>
      </c>
    </row>
    <row r="13" spans="2:18" x14ac:dyDescent="0.25">
      <c r="B13" s="10">
        <v>8</v>
      </c>
      <c r="C13" s="13"/>
      <c r="D13" s="10"/>
      <c r="E13" s="10"/>
      <c r="F13" s="10"/>
      <c r="H13" s="8" t="str">
        <f t="shared" si="1"/>
        <v/>
      </c>
      <c r="I13" s="8" t="str">
        <f t="shared" si="2"/>
        <v/>
      </c>
      <c r="J13" s="8" t="str">
        <f t="shared" si="3"/>
        <v/>
      </c>
      <c r="K13" s="8" t="str">
        <f t="shared" si="3"/>
        <v/>
      </c>
    </row>
    <row r="14" spans="2:18" x14ac:dyDescent="0.25">
      <c r="B14" s="10">
        <v>9</v>
      </c>
      <c r="C14" s="13"/>
      <c r="D14" s="10"/>
      <c r="E14" s="10"/>
      <c r="F14" s="10"/>
      <c r="H14" s="8" t="str">
        <f t="shared" si="1"/>
        <v/>
      </c>
      <c r="I14" s="8" t="str">
        <f t="shared" si="2"/>
        <v/>
      </c>
      <c r="J14" s="8" t="str">
        <f t="shared" si="3"/>
        <v/>
      </c>
      <c r="K14" s="8" t="str">
        <f t="shared" si="3"/>
        <v/>
      </c>
    </row>
    <row r="15" spans="2:18" x14ac:dyDescent="0.25">
      <c r="B15" s="10">
        <v>10</v>
      </c>
      <c r="C15" s="13"/>
      <c r="D15" s="10"/>
      <c r="E15" s="10"/>
      <c r="F15" s="10"/>
      <c r="H15" s="8" t="str">
        <f t="shared" si="1"/>
        <v/>
      </c>
      <c r="I15" s="8" t="str">
        <f t="shared" si="2"/>
        <v/>
      </c>
      <c r="J15" s="8" t="str">
        <f t="shared" si="3"/>
        <v/>
      </c>
      <c r="K15" s="8" t="str">
        <f t="shared" si="3"/>
        <v/>
      </c>
    </row>
    <row r="16" spans="2:18" x14ac:dyDescent="0.25">
      <c r="B16" s="10">
        <v>11</v>
      </c>
      <c r="C16" s="13"/>
      <c r="D16" s="10"/>
      <c r="E16" s="10"/>
      <c r="F16" s="10"/>
      <c r="H16" s="8" t="str">
        <f t="shared" si="1"/>
        <v/>
      </c>
      <c r="I16" s="8" t="str">
        <f t="shared" si="2"/>
        <v/>
      </c>
      <c r="J16" s="8" t="str">
        <f t="shared" si="3"/>
        <v/>
      </c>
      <c r="K16" s="8" t="str">
        <f t="shared" si="3"/>
        <v/>
      </c>
    </row>
    <row r="17" spans="2:18" x14ac:dyDescent="0.25">
      <c r="B17" s="10">
        <v>12</v>
      </c>
      <c r="C17" s="13"/>
      <c r="D17" s="10"/>
      <c r="E17" s="10"/>
      <c r="F17" s="10"/>
      <c r="H17" s="8" t="str">
        <f t="shared" si="1"/>
        <v/>
      </c>
      <c r="I17" s="8" t="str">
        <f t="shared" si="2"/>
        <v/>
      </c>
      <c r="J17" s="8" t="str">
        <f t="shared" si="3"/>
        <v/>
      </c>
      <c r="K17" s="8" t="str">
        <f t="shared" si="3"/>
        <v/>
      </c>
    </row>
    <row r="18" spans="2:18" x14ac:dyDescent="0.25">
      <c r="B18" s="10">
        <v>13</v>
      </c>
      <c r="C18" s="13"/>
      <c r="D18" s="10"/>
      <c r="E18" s="10"/>
      <c r="F18" s="10"/>
      <c r="H18" s="8" t="str">
        <f t="shared" si="1"/>
        <v/>
      </c>
      <c r="I18" s="8" t="str">
        <f t="shared" si="2"/>
        <v/>
      </c>
      <c r="J18" s="8" t="str">
        <f t="shared" si="3"/>
        <v/>
      </c>
      <c r="K18" s="8" t="str">
        <f t="shared" si="3"/>
        <v/>
      </c>
    </row>
    <row r="19" spans="2:18" x14ac:dyDescent="0.25">
      <c r="B19" s="10">
        <v>14</v>
      </c>
      <c r="C19" s="13"/>
      <c r="D19" s="10"/>
      <c r="E19" s="10"/>
      <c r="F19" s="10"/>
      <c r="H19" s="8" t="str">
        <f t="shared" si="1"/>
        <v/>
      </c>
      <c r="I19" s="8" t="str">
        <f t="shared" si="2"/>
        <v/>
      </c>
      <c r="J19" s="8" t="str">
        <f t="shared" si="3"/>
        <v/>
      </c>
      <c r="K19" s="8" t="str">
        <f t="shared" si="3"/>
        <v/>
      </c>
    </row>
    <row r="20" spans="2:18" x14ac:dyDescent="0.25">
      <c r="B20" s="10">
        <v>15</v>
      </c>
      <c r="C20" s="13"/>
      <c r="D20" s="10"/>
      <c r="E20" s="10"/>
      <c r="F20" s="10"/>
      <c r="H20" s="8" t="str">
        <f t="shared" si="1"/>
        <v/>
      </c>
      <c r="I20" s="8" t="str">
        <f t="shared" si="2"/>
        <v/>
      </c>
      <c r="J20" s="8" t="str">
        <f t="shared" si="3"/>
        <v/>
      </c>
      <c r="K20" s="8" t="str">
        <f t="shared" si="3"/>
        <v/>
      </c>
    </row>
    <row r="22" spans="2:18" ht="15" thickBot="1" x14ac:dyDescent="0.3">
      <c r="B22" s="4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</row>
    <row r="23" spans="2:18" ht="15" thickTop="1" x14ac:dyDescent="0.25"/>
  </sheetData>
  <mergeCells count="2">
    <mergeCell ref="B4:B5"/>
    <mergeCell ref="C4:C5"/>
  </mergeCells>
  <pageMargins left="0.7" right="0.7" top="0.75" bottom="0.75" header="0.3" footer="0.3"/>
  <pageSetup scale="70" orientation="landscape" horizontalDpi="0" verticalDpi="0" r:id="rId1"/>
  <drawing r:id="rId2"/>
  <legacyDrawing r:id="rId3"/>
  <controls>
    <mc:AlternateContent xmlns:mc="http://schemas.openxmlformats.org/markup-compatibility/2006">
      <mc:Choice Requires="x14">
        <control shapeId="8193" r:id="rId4" name="CheckBox1">
          <controlPr defaultSize="0" autoLine="0" linkedCell="D3" r:id="rId5">
            <anchor moveWithCells="1">
              <from>
                <xdr:col>3</xdr:col>
                <xdr:colOff>133350</xdr:colOff>
                <xdr:row>3</xdr:row>
                <xdr:rowOff>28575</xdr:rowOff>
              </from>
              <to>
                <xdr:col>3</xdr:col>
                <xdr:colOff>333375</xdr:colOff>
                <xdr:row>3</xdr:row>
                <xdr:rowOff>180975</xdr:rowOff>
              </to>
            </anchor>
          </controlPr>
        </control>
      </mc:Choice>
      <mc:Fallback>
        <control shapeId="8193" r:id="rId4" name="CheckBox1"/>
      </mc:Fallback>
    </mc:AlternateContent>
    <mc:AlternateContent xmlns:mc="http://schemas.openxmlformats.org/markup-compatibility/2006">
      <mc:Choice Requires="x14">
        <control shapeId="8194" r:id="rId6" name="CheckBox2">
          <controlPr defaultSize="0" autoLine="0" linkedCell="E3" r:id="rId5">
            <anchor moveWithCells="1">
              <from>
                <xdr:col>4</xdr:col>
                <xdr:colOff>133350</xdr:colOff>
                <xdr:row>3</xdr:row>
                <xdr:rowOff>28575</xdr:rowOff>
              </from>
              <to>
                <xdr:col>4</xdr:col>
                <xdr:colOff>333375</xdr:colOff>
                <xdr:row>3</xdr:row>
                <xdr:rowOff>180975</xdr:rowOff>
              </to>
            </anchor>
          </controlPr>
        </control>
      </mc:Choice>
      <mc:Fallback>
        <control shapeId="8194" r:id="rId6" name="CheckBox2"/>
      </mc:Fallback>
    </mc:AlternateContent>
    <mc:AlternateContent xmlns:mc="http://schemas.openxmlformats.org/markup-compatibility/2006">
      <mc:Choice Requires="x14">
        <control shapeId="8195" r:id="rId7" name="CheckBox3">
          <controlPr defaultSize="0" autoLine="0" linkedCell="F3" r:id="rId5">
            <anchor moveWithCells="1">
              <from>
                <xdr:col>5</xdr:col>
                <xdr:colOff>142875</xdr:colOff>
                <xdr:row>3</xdr:row>
                <xdr:rowOff>28575</xdr:rowOff>
              </from>
              <to>
                <xdr:col>5</xdr:col>
                <xdr:colOff>342900</xdr:colOff>
                <xdr:row>3</xdr:row>
                <xdr:rowOff>180975</xdr:rowOff>
              </to>
            </anchor>
          </controlPr>
        </control>
      </mc:Choice>
      <mc:Fallback>
        <control shapeId="8195" r:id="rId7" name="CheckBox3"/>
      </mc:Fallback>
    </mc:AlternateContent>
  </control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B2:R23"/>
  <sheetViews>
    <sheetView showGridLines="0" showRowColHeaders="0" tabSelected="1" topLeftCell="A13" workbookViewId="0">
      <selection activeCell="F30" sqref="F30"/>
    </sheetView>
  </sheetViews>
  <sheetFormatPr defaultColWidth="9.140625" defaultRowHeight="14.25" x14ac:dyDescent="0.25"/>
  <cols>
    <col min="1" max="1" width="3.7109375" style="7" customWidth="1"/>
    <col min="2" max="2" width="3.5703125" style="7" bestFit="1" customWidth="1"/>
    <col min="3" max="3" width="50.42578125" style="7" customWidth="1"/>
    <col min="4" max="6" width="5.7109375" style="7" customWidth="1"/>
    <col min="7" max="7" width="9.140625" style="7"/>
    <col min="8" max="8" width="11" style="7" bestFit="1" customWidth="1"/>
    <col min="9" max="11" width="3.7109375" style="7" customWidth="1"/>
    <col min="12" max="16" width="9.140625" style="7"/>
    <col min="17" max="17" width="16.42578125" style="7" bestFit="1" customWidth="1"/>
    <col min="18" max="16384" width="9.140625" style="7"/>
  </cols>
  <sheetData>
    <row r="2" spans="2:18" ht="18.75" thickBot="1" x14ac:dyDescent="0.3">
      <c r="B2" s="6" t="s">
        <v>13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2:18" x14ac:dyDescent="0.25">
      <c r="D3" s="8" t="b">
        <v>1</v>
      </c>
      <c r="E3" s="8" t="b">
        <v>1</v>
      </c>
      <c r="F3" s="8" t="b">
        <v>1</v>
      </c>
    </row>
    <row r="4" spans="2:18" ht="15" x14ac:dyDescent="0.25">
      <c r="B4" s="9" t="s">
        <v>1</v>
      </c>
      <c r="C4" s="9" t="s">
        <v>14</v>
      </c>
      <c r="D4" s="10"/>
      <c r="E4" s="10"/>
      <c r="F4" s="10"/>
      <c r="P4" s="11" t="s">
        <v>50</v>
      </c>
    </row>
    <row r="5" spans="2:18" x14ac:dyDescent="0.25">
      <c r="B5" s="9"/>
      <c r="C5" s="9"/>
      <c r="D5" s="10" t="s">
        <v>2</v>
      </c>
      <c r="E5" s="10" t="s">
        <v>3</v>
      </c>
      <c r="F5" s="10" t="s">
        <v>4</v>
      </c>
      <c r="H5" s="8" t="s">
        <v>15</v>
      </c>
      <c r="I5" s="8">
        <f t="shared" ref="I5:J5" si="0">IF(COUNT(I6:I20)=0,1,COUNT(I6:I20))</f>
        <v>11</v>
      </c>
      <c r="J5" s="8">
        <f t="shared" si="0"/>
        <v>11</v>
      </c>
      <c r="K5" s="8">
        <f>IF(COUNT(K6:K20)=0,1,COUNT(K6:K20))</f>
        <v>11</v>
      </c>
      <c r="P5" s="7" t="s">
        <v>2</v>
      </c>
      <c r="Q5" s="12" t="str">
        <f>Strengths!Q5</f>
        <v>Goth Company Inc</v>
      </c>
    </row>
    <row r="6" spans="2:18" x14ac:dyDescent="0.25">
      <c r="B6" s="10">
        <v>1</v>
      </c>
      <c r="C6" s="13" t="s">
        <v>33</v>
      </c>
      <c r="D6" s="10">
        <v>2</v>
      </c>
      <c r="E6" s="10">
        <v>1</v>
      </c>
      <c r="F6" s="10">
        <v>1</v>
      </c>
      <c r="H6" s="8" t="str">
        <f t="shared" ref="H6:H20" si="1">IF(C6&lt;&gt;"",C6,"")</f>
        <v>Political Effect</v>
      </c>
      <c r="I6" s="8">
        <f>IF(D$3=TRUE,IF($C6&lt;&gt;"",D6,""),NA())</f>
        <v>2</v>
      </c>
      <c r="J6" s="8">
        <f>IF(E$3=TRUE,IF($C6&lt;&gt;"",E6,""),NA())</f>
        <v>1</v>
      </c>
      <c r="K6" s="8">
        <f>IF(F$3=TRUE,IF($C6&lt;&gt;"",F6,""),NA())</f>
        <v>1</v>
      </c>
      <c r="P6" s="7" t="s">
        <v>3</v>
      </c>
      <c r="Q6" s="12" t="str">
        <f>Strengths!Q6</f>
        <v>Metr Company Inc</v>
      </c>
    </row>
    <row r="7" spans="2:18" x14ac:dyDescent="0.25">
      <c r="B7" s="10">
        <v>2</v>
      </c>
      <c r="C7" s="13" t="s">
        <v>34</v>
      </c>
      <c r="D7" s="10">
        <v>1</v>
      </c>
      <c r="E7" s="10">
        <v>2</v>
      </c>
      <c r="F7" s="10">
        <v>2</v>
      </c>
      <c r="H7" s="8" t="str">
        <f t="shared" si="1"/>
        <v>Competitors</v>
      </c>
      <c r="I7" s="8">
        <f t="shared" ref="I7:I20" si="2">IF(D$3=TRUE,IF($C7&lt;&gt;"",D7,""),"")</f>
        <v>1</v>
      </c>
      <c r="J7" s="8">
        <f t="shared" ref="J7:K20" si="3">IF(E$3=TRUE,IF($C7&lt;&gt;"",E7,""),"")</f>
        <v>2</v>
      </c>
      <c r="K7" s="8">
        <f t="shared" si="3"/>
        <v>2</v>
      </c>
      <c r="P7" s="7" t="s">
        <v>4</v>
      </c>
      <c r="Q7" s="12" t="str">
        <f>Strengths!Q7</f>
        <v>Acm Company Inc</v>
      </c>
    </row>
    <row r="8" spans="2:18" x14ac:dyDescent="0.25">
      <c r="B8" s="10">
        <v>3</v>
      </c>
      <c r="C8" s="13" t="s">
        <v>35</v>
      </c>
      <c r="D8" s="10">
        <v>3</v>
      </c>
      <c r="E8" s="10">
        <v>3</v>
      </c>
      <c r="F8" s="10">
        <v>1</v>
      </c>
      <c r="H8" s="8" t="str">
        <f t="shared" si="1"/>
        <v>Market Demand</v>
      </c>
      <c r="I8" s="8">
        <f t="shared" si="2"/>
        <v>3</v>
      </c>
      <c r="J8" s="8">
        <f t="shared" si="3"/>
        <v>3</v>
      </c>
      <c r="K8" s="8">
        <f t="shared" si="3"/>
        <v>1</v>
      </c>
    </row>
    <row r="9" spans="2:18" x14ac:dyDescent="0.25">
      <c r="B9" s="10">
        <v>4</v>
      </c>
      <c r="C9" s="13" t="s">
        <v>36</v>
      </c>
      <c r="D9" s="10">
        <v>1</v>
      </c>
      <c r="E9" s="10">
        <v>2</v>
      </c>
      <c r="F9" s="10">
        <v>1</v>
      </c>
      <c r="H9" s="8" t="str">
        <f t="shared" si="1"/>
        <v>Economic Situation</v>
      </c>
      <c r="I9" s="8">
        <f t="shared" si="2"/>
        <v>1</v>
      </c>
      <c r="J9" s="8">
        <f t="shared" si="3"/>
        <v>2</v>
      </c>
      <c r="K9" s="8">
        <f t="shared" si="3"/>
        <v>1</v>
      </c>
      <c r="P9" s="7" t="s">
        <v>48</v>
      </c>
    </row>
    <row r="10" spans="2:18" x14ac:dyDescent="0.25">
      <c r="B10" s="10">
        <v>5</v>
      </c>
      <c r="C10" s="13" t="s">
        <v>37</v>
      </c>
      <c r="D10" s="10">
        <v>1</v>
      </c>
      <c r="E10" s="10">
        <v>3</v>
      </c>
      <c r="F10" s="10">
        <v>1</v>
      </c>
      <c r="H10" s="8" t="str">
        <f t="shared" si="1"/>
        <v>Government Regulation</v>
      </c>
      <c r="I10" s="8">
        <f t="shared" si="2"/>
        <v>1</v>
      </c>
      <c r="J10" s="8">
        <f t="shared" si="3"/>
        <v>3</v>
      </c>
      <c r="K10" s="8">
        <f t="shared" si="3"/>
        <v>1</v>
      </c>
      <c r="P10" s="7">
        <v>1</v>
      </c>
      <c r="Q10" s="12" t="str">
        <f>Strengths!Q10</f>
        <v>Worst</v>
      </c>
    </row>
    <row r="11" spans="2:18" x14ac:dyDescent="0.25">
      <c r="B11" s="10">
        <v>6</v>
      </c>
      <c r="C11" s="13" t="s">
        <v>38</v>
      </c>
      <c r="D11" s="10">
        <v>1</v>
      </c>
      <c r="E11" s="10">
        <v>3</v>
      </c>
      <c r="F11" s="10">
        <v>2</v>
      </c>
      <c r="H11" s="8" t="str">
        <f t="shared" si="1"/>
        <v>Loyal Employees</v>
      </c>
      <c r="I11" s="8">
        <f t="shared" si="2"/>
        <v>1</v>
      </c>
      <c r="J11" s="8">
        <f t="shared" si="3"/>
        <v>3</v>
      </c>
      <c r="K11" s="8">
        <f t="shared" si="3"/>
        <v>2</v>
      </c>
      <c r="P11" s="7">
        <v>2</v>
      </c>
      <c r="Q11" s="12" t="str">
        <f>Strengths!Q11</f>
        <v>Standard</v>
      </c>
    </row>
    <row r="12" spans="2:18" x14ac:dyDescent="0.25">
      <c r="B12" s="10">
        <v>7</v>
      </c>
      <c r="C12" s="13" t="s">
        <v>23</v>
      </c>
      <c r="D12" s="10">
        <v>1</v>
      </c>
      <c r="E12" s="10">
        <v>2</v>
      </c>
      <c r="F12" s="10">
        <v>3</v>
      </c>
      <c r="H12" s="8" t="str">
        <f t="shared" si="1"/>
        <v>Financial Situation</v>
      </c>
      <c r="I12" s="8">
        <f t="shared" si="2"/>
        <v>1</v>
      </c>
      <c r="J12" s="8">
        <f t="shared" si="3"/>
        <v>2</v>
      </c>
      <c r="K12" s="8">
        <f t="shared" si="3"/>
        <v>3</v>
      </c>
      <c r="P12" s="7">
        <v>3</v>
      </c>
      <c r="Q12" s="12" t="str">
        <f>Strengths!Q12</f>
        <v>Best</v>
      </c>
    </row>
    <row r="13" spans="2:18" x14ac:dyDescent="0.25">
      <c r="B13" s="10">
        <v>8</v>
      </c>
      <c r="C13" s="13" t="s">
        <v>25</v>
      </c>
      <c r="D13" s="10">
        <v>3</v>
      </c>
      <c r="E13" s="10">
        <v>1</v>
      </c>
      <c r="F13" s="10">
        <v>1</v>
      </c>
      <c r="H13" s="8" t="str">
        <f t="shared" si="1"/>
        <v>Organization</v>
      </c>
      <c r="I13" s="8">
        <f t="shared" si="2"/>
        <v>3</v>
      </c>
      <c r="J13" s="8">
        <f t="shared" si="3"/>
        <v>1</v>
      </c>
      <c r="K13" s="8">
        <f t="shared" si="3"/>
        <v>1</v>
      </c>
    </row>
    <row r="14" spans="2:18" x14ac:dyDescent="0.25">
      <c r="B14" s="10">
        <v>9</v>
      </c>
      <c r="C14" s="13" t="s">
        <v>39</v>
      </c>
      <c r="D14" s="10">
        <v>3</v>
      </c>
      <c r="E14" s="10">
        <v>1</v>
      </c>
      <c r="F14" s="10">
        <v>2</v>
      </c>
      <c r="H14" s="8" t="str">
        <f t="shared" si="1"/>
        <v>Obstacles</v>
      </c>
      <c r="I14" s="8">
        <f t="shared" si="2"/>
        <v>3</v>
      </c>
      <c r="J14" s="8">
        <f t="shared" si="3"/>
        <v>1</v>
      </c>
      <c r="K14" s="8">
        <f t="shared" si="3"/>
        <v>2</v>
      </c>
    </row>
    <row r="15" spans="2:18" x14ac:dyDescent="0.25">
      <c r="B15" s="10">
        <v>10</v>
      </c>
      <c r="C15" s="13" t="s">
        <v>29</v>
      </c>
      <c r="D15" s="10">
        <v>3</v>
      </c>
      <c r="E15" s="10">
        <v>2</v>
      </c>
      <c r="F15" s="10">
        <v>3</v>
      </c>
      <c r="H15" s="8" t="str">
        <f t="shared" si="1"/>
        <v>New Technologies</v>
      </c>
      <c r="I15" s="8">
        <f t="shared" si="2"/>
        <v>3</v>
      </c>
      <c r="J15" s="8">
        <f t="shared" si="3"/>
        <v>2</v>
      </c>
      <c r="K15" s="8">
        <f t="shared" si="3"/>
        <v>3</v>
      </c>
    </row>
    <row r="16" spans="2:18" x14ac:dyDescent="0.25">
      <c r="B16" s="10">
        <v>11</v>
      </c>
      <c r="C16" s="13" t="s">
        <v>40</v>
      </c>
      <c r="D16" s="10">
        <v>3</v>
      </c>
      <c r="E16" s="10">
        <v>2</v>
      </c>
      <c r="F16" s="10">
        <v>1</v>
      </c>
      <c r="H16" s="8" t="str">
        <f t="shared" si="1"/>
        <v>Product Lifecycle</v>
      </c>
      <c r="I16" s="8">
        <f t="shared" si="2"/>
        <v>3</v>
      </c>
      <c r="J16" s="8">
        <f t="shared" si="3"/>
        <v>2</v>
      </c>
      <c r="K16" s="8">
        <f t="shared" si="3"/>
        <v>1</v>
      </c>
    </row>
    <row r="17" spans="2:18" x14ac:dyDescent="0.25">
      <c r="B17" s="10">
        <v>12</v>
      </c>
      <c r="C17" s="13"/>
      <c r="D17" s="10"/>
      <c r="E17" s="10"/>
      <c r="F17" s="10"/>
      <c r="H17" s="8" t="str">
        <f t="shared" si="1"/>
        <v/>
      </c>
      <c r="I17" s="8" t="str">
        <f t="shared" si="2"/>
        <v/>
      </c>
      <c r="J17" s="8" t="str">
        <f t="shared" si="3"/>
        <v/>
      </c>
      <c r="K17" s="8" t="str">
        <f t="shared" si="3"/>
        <v/>
      </c>
    </row>
    <row r="18" spans="2:18" x14ac:dyDescent="0.25">
      <c r="B18" s="10">
        <v>13</v>
      </c>
      <c r="C18" s="13"/>
      <c r="D18" s="10"/>
      <c r="E18" s="10"/>
      <c r="F18" s="10"/>
      <c r="H18" s="8" t="str">
        <f t="shared" si="1"/>
        <v/>
      </c>
      <c r="I18" s="8" t="str">
        <f t="shared" si="2"/>
        <v/>
      </c>
      <c r="J18" s="8" t="str">
        <f t="shared" si="3"/>
        <v/>
      </c>
      <c r="K18" s="8" t="str">
        <f t="shared" si="3"/>
        <v/>
      </c>
    </row>
    <row r="19" spans="2:18" x14ac:dyDescent="0.25">
      <c r="B19" s="10">
        <v>14</v>
      </c>
      <c r="C19" s="13"/>
      <c r="D19" s="10"/>
      <c r="E19" s="10"/>
      <c r="F19" s="10"/>
      <c r="H19" s="8" t="str">
        <f t="shared" si="1"/>
        <v/>
      </c>
      <c r="I19" s="8" t="str">
        <f t="shared" si="2"/>
        <v/>
      </c>
      <c r="J19" s="8" t="str">
        <f t="shared" si="3"/>
        <v/>
      </c>
      <c r="K19" s="8" t="str">
        <f t="shared" si="3"/>
        <v/>
      </c>
    </row>
    <row r="20" spans="2:18" x14ac:dyDescent="0.25">
      <c r="B20" s="10">
        <v>15</v>
      </c>
      <c r="C20" s="13"/>
      <c r="D20" s="10"/>
      <c r="E20" s="10"/>
      <c r="F20" s="10"/>
      <c r="H20" s="8" t="str">
        <f t="shared" si="1"/>
        <v/>
      </c>
      <c r="I20" s="8" t="str">
        <f t="shared" si="2"/>
        <v/>
      </c>
      <c r="J20" s="8" t="str">
        <f t="shared" si="3"/>
        <v/>
      </c>
      <c r="K20" s="8" t="str">
        <f t="shared" si="3"/>
        <v/>
      </c>
    </row>
    <row r="22" spans="2:18" ht="15" thickBot="1" x14ac:dyDescent="0.3">
      <c r="B22" s="4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</row>
    <row r="23" spans="2:18" ht="15" thickTop="1" x14ac:dyDescent="0.25"/>
  </sheetData>
  <mergeCells count="2">
    <mergeCell ref="B4:B5"/>
    <mergeCell ref="C4:C5"/>
  </mergeCells>
  <pageMargins left="0.7" right="0.7" top="0.75" bottom="0.75" header="0.3" footer="0.3"/>
  <pageSetup scale="70" orientation="landscape" horizontalDpi="0" verticalDpi="0" r:id="rId1"/>
  <drawing r:id="rId2"/>
  <legacyDrawing r:id="rId3"/>
  <controls>
    <mc:AlternateContent xmlns:mc="http://schemas.openxmlformats.org/markup-compatibility/2006">
      <mc:Choice Requires="x14">
        <control shapeId="9217" r:id="rId4" name="CheckBox1">
          <controlPr defaultSize="0" autoLine="0" linkedCell="D3" r:id="rId5">
            <anchor moveWithCells="1">
              <from>
                <xdr:col>3</xdr:col>
                <xdr:colOff>133350</xdr:colOff>
                <xdr:row>3</xdr:row>
                <xdr:rowOff>28575</xdr:rowOff>
              </from>
              <to>
                <xdr:col>3</xdr:col>
                <xdr:colOff>333375</xdr:colOff>
                <xdr:row>3</xdr:row>
                <xdr:rowOff>180975</xdr:rowOff>
              </to>
            </anchor>
          </controlPr>
        </control>
      </mc:Choice>
      <mc:Fallback>
        <control shapeId="9217" r:id="rId4" name="CheckBox1"/>
      </mc:Fallback>
    </mc:AlternateContent>
    <mc:AlternateContent xmlns:mc="http://schemas.openxmlformats.org/markup-compatibility/2006">
      <mc:Choice Requires="x14">
        <control shapeId="9218" r:id="rId6" name="CheckBox2">
          <controlPr defaultSize="0" autoLine="0" linkedCell="E3" r:id="rId7">
            <anchor moveWithCells="1">
              <from>
                <xdr:col>4</xdr:col>
                <xdr:colOff>133350</xdr:colOff>
                <xdr:row>3</xdr:row>
                <xdr:rowOff>28575</xdr:rowOff>
              </from>
              <to>
                <xdr:col>4</xdr:col>
                <xdr:colOff>333375</xdr:colOff>
                <xdr:row>3</xdr:row>
                <xdr:rowOff>180975</xdr:rowOff>
              </to>
            </anchor>
          </controlPr>
        </control>
      </mc:Choice>
      <mc:Fallback>
        <control shapeId="9218" r:id="rId6" name="CheckBox2"/>
      </mc:Fallback>
    </mc:AlternateContent>
    <mc:AlternateContent xmlns:mc="http://schemas.openxmlformats.org/markup-compatibility/2006">
      <mc:Choice Requires="x14">
        <control shapeId="9219" r:id="rId8" name="CheckBox3">
          <controlPr defaultSize="0" autoLine="0" linkedCell="F3" r:id="rId5">
            <anchor moveWithCells="1">
              <from>
                <xdr:col>5</xdr:col>
                <xdr:colOff>142875</xdr:colOff>
                <xdr:row>3</xdr:row>
                <xdr:rowOff>28575</xdr:rowOff>
              </from>
              <to>
                <xdr:col>5</xdr:col>
                <xdr:colOff>342900</xdr:colOff>
                <xdr:row>3</xdr:row>
                <xdr:rowOff>180975</xdr:rowOff>
              </to>
            </anchor>
          </controlPr>
        </control>
      </mc:Choice>
      <mc:Fallback>
        <control shapeId="9219" r:id="rId8" name="CheckBox3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Dashboard</vt:lpstr>
      <vt:lpstr>Strengths</vt:lpstr>
      <vt:lpstr>Weaknesses</vt:lpstr>
      <vt:lpstr>Opportunities</vt:lpstr>
      <vt:lpstr>Threats</vt:lpstr>
      <vt:lpstr>Dashboard!Print_Area</vt:lpstr>
      <vt:lpstr>Opportunities!Print_Area</vt:lpstr>
      <vt:lpstr>Strengths!Print_Area</vt:lpstr>
      <vt:lpstr>Threats!Print_Area</vt:lpstr>
      <vt:lpstr>Weaknesses!Print_Area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SWOT Analysis Template</dc:title>
  <dc:creator>Jamshaid Ali</dc:creator>
  <cp:lastModifiedBy>ihsan nur rahman</cp:lastModifiedBy>
  <cp:lastPrinted>2013-02-07T09:26:45Z</cp:lastPrinted>
  <dcterms:created xsi:type="dcterms:W3CDTF">2013-02-05T01:42:25Z</dcterms:created>
  <dcterms:modified xsi:type="dcterms:W3CDTF">2024-07-11T07:33:48Z</dcterms:modified>
</cp:coreProperties>
</file>