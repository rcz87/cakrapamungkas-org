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ismillah\Desktop\Google sheets\(Finance) Excel Templates\Part 2 (Finance)\DATA ANALYSIS AND QUALITY CONTROL\"/>
    </mc:Choice>
  </mc:AlternateContent>
  <xr:revisionPtr revIDLastSave="0" documentId="8_{AF98DB89-B105-47F1-931E-3248DB22F6B6}" xr6:coauthVersionLast="47" xr6:coauthVersionMax="47" xr10:uidLastSave="{00000000-0000-0000-0000-000000000000}"/>
  <bookViews>
    <workbookView xWindow="2685" yWindow="2685" windowWidth="15375" windowHeight="7875" tabRatio="780" xr2:uid="{00000000-000D-0000-FFFF-FFFF00000000}"/>
  </bookViews>
  <sheets>
    <sheet name="BoxPlot" sheetId="3" r:id="rId1"/>
    <sheet name="BoxPlot2" sheetId="7" r:id="rId2"/>
    <sheet name="BoxPlot_Shifted" sheetId="2" r:id="rId3"/>
    <sheet name="Data_Shifted" sheetId="1" r:id="rId4"/>
    <sheet name="Data" sheetId="6" r:id="rId5"/>
  </sheets>
  <definedNames>
    <definedName name="_xlnm.Print_Area" localSheetId="0">BoxPlot!$A$1:$G$90</definedName>
    <definedName name="_xlnm.Print_Area" localSheetId="2">BoxPlot_Shifted!$A$1:$G$51</definedName>
    <definedName name="_xlnm.Print_Area" localSheetId="1">BoxPlot2!$A$1:$G$90</definedName>
    <definedName name="_xlnm.Print_Titles" localSheetId="0">BoxPlot!$49:$49</definedName>
    <definedName name="_xlnm.Print_Titles" localSheetId="1">BoxPlot2!$49:$49</definedName>
    <definedName name="shift">Data_Shifted!$I$1</definedName>
    <definedName name="valuevx">42.314159</definedName>
    <definedName name="vertex42_copyright" hidden="1">"© 2009-2018 Vertex42 LLC"</definedName>
    <definedName name="vertex42_id" hidden="1">"box-plot.xlsx"</definedName>
    <definedName name="vertex42_title" hidden="1">"Box Plot Template"</definedName>
  </definedNames>
  <calcPr calcId="191029"/>
  <fileRecoveryPr repairLoad="1"/>
</workbook>
</file>

<file path=xl/calcChain.xml><?xml version="1.0" encoding="utf-8"?>
<calcChain xmlns="http://schemas.openxmlformats.org/spreadsheetml/2006/main">
  <c r="C49" i="3" l="1"/>
  <c r="D49" i="3"/>
  <c r="E49" i="3"/>
  <c r="F49" i="3"/>
  <c r="G49" i="3"/>
  <c r="B49" i="3"/>
  <c r="B27" i="7"/>
  <c r="C27" i="7"/>
  <c r="D27" i="7"/>
  <c r="E27" i="7"/>
  <c r="F27" i="7"/>
  <c r="G27" i="7"/>
  <c r="B28" i="7"/>
  <c r="C28" i="7"/>
  <c r="D28" i="7"/>
  <c r="E28" i="7"/>
  <c r="F28" i="7"/>
  <c r="G28" i="7"/>
  <c r="B29" i="7"/>
  <c r="C29" i="7"/>
  <c r="D29" i="7"/>
  <c r="E29" i="7"/>
  <c r="F29" i="7"/>
  <c r="G29" i="7"/>
  <c r="B30" i="7"/>
  <c r="C30" i="7"/>
  <c r="D30" i="7"/>
  <c r="D37" i="7" s="1"/>
  <c r="E30" i="7"/>
  <c r="F30" i="7"/>
  <c r="G30" i="7"/>
  <c r="G32" i="7" s="1"/>
  <c r="G40" i="7" s="1"/>
  <c r="B31" i="7"/>
  <c r="C31" i="7"/>
  <c r="D31" i="7"/>
  <c r="E31" i="7"/>
  <c r="F31" i="7"/>
  <c r="G31" i="7"/>
  <c r="B32" i="7"/>
  <c r="B39" i="7" s="1"/>
  <c r="B36" i="7"/>
  <c r="F36" i="7"/>
  <c r="B37" i="7"/>
  <c r="C37" i="7"/>
  <c r="F37" i="7"/>
  <c r="I1" i="1"/>
  <c r="G37" i="2" s="1"/>
  <c r="G28" i="3"/>
  <c r="G30" i="3"/>
  <c r="F28" i="3"/>
  <c r="F30" i="3"/>
  <c r="F32" i="3" s="1"/>
  <c r="F27" i="3"/>
  <c r="E28" i="3"/>
  <c r="E30" i="3"/>
  <c r="E32" i="3" s="1"/>
  <c r="E40" i="3" s="1"/>
  <c r="E27" i="3"/>
  <c r="D28" i="3"/>
  <c r="D30" i="3"/>
  <c r="D27" i="3"/>
  <c r="C28" i="3"/>
  <c r="C32" i="3" s="1"/>
  <c r="C39" i="3" s="1"/>
  <c r="C30" i="3"/>
  <c r="B28" i="3"/>
  <c r="B30" i="3"/>
  <c r="B32" i="3" s="1"/>
  <c r="B39" i="3" s="1"/>
  <c r="G31" i="3"/>
  <c r="F31" i="3"/>
  <c r="D31" i="3"/>
  <c r="C31" i="3"/>
  <c r="G27" i="3"/>
  <c r="C27" i="3"/>
  <c r="B27" i="3"/>
  <c r="E31" i="3"/>
  <c r="B31" i="3"/>
  <c r="G29" i="3"/>
  <c r="G37" i="3" s="1"/>
  <c r="F29" i="3"/>
  <c r="E29" i="3"/>
  <c r="E36" i="3" s="1"/>
  <c r="D29" i="3"/>
  <c r="D36" i="3" s="1"/>
  <c r="C29" i="3"/>
  <c r="B29" i="3"/>
  <c r="B36" i="3" s="1"/>
  <c r="E32" i="7" l="1"/>
  <c r="E39" i="7" s="1"/>
  <c r="D32" i="7"/>
  <c r="F37" i="3"/>
  <c r="E37" i="7"/>
  <c r="C37" i="3"/>
  <c r="D39" i="7"/>
  <c r="F32" i="7"/>
  <c r="F40" i="7" s="1"/>
  <c r="D36" i="7"/>
  <c r="D40" i="7"/>
  <c r="B37" i="3"/>
  <c r="G36" i="3"/>
  <c r="G36" i="7"/>
  <c r="C32" i="7"/>
  <c r="C39" i="7" s="1"/>
  <c r="C41" i="7" s="1"/>
  <c r="C43" i="7" s="1"/>
  <c r="B40" i="3"/>
  <c r="B34" i="3" s="1"/>
  <c r="B47" i="3" s="1"/>
  <c r="D37" i="3"/>
  <c r="D32" i="3"/>
  <c r="D40" i="3" s="1"/>
  <c r="D34" i="3" s="1"/>
  <c r="D47" i="3" s="1"/>
  <c r="E33" i="7"/>
  <c r="E46" i="7" s="1"/>
  <c r="E41" i="7"/>
  <c r="E43" i="7" s="1"/>
  <c r="B33" i="3"/>
  <c r="B46" i="3" s="1"/>
  <c r="B41" i="3"/>
  <c r="B43" i="3" s="1"/>
  <c r="G34" i="7"/>
  <c r="G47" i="7" s="1"/>
  <c r="G42" i="7"/>
  <c r="G44" i="7" s="1"/>
  <c r="B33" i="7"/>
  <c r="B46" i="7" s="1"/>
  <c r="B41" i="7"/>
  <c r="B43" i="7" s="1"/>
  <c r="E34" i="3"/>
  <c r="E47" i="3" s="1"/>
  <c r="E42" i="3"/>
  <c r="E44" i="3" s="1"/>
  <c r="F42" i="7"/>
  <c r="F44" i="7" s="1"/>
  <c r="F34" i="7"/>
  <c r="F47" i="7" s="1"/>
  <c r="C41" i="3"/>
  <c r="C43" i="3" s="1"/>
  <c r="C33" i="3"/>
  <c r="C46" i="3" s="1"/>
  <c r="F39" i="3"/>
  <c r="F40" i="3"/>
  <c r="F34" i="3" s="1"/>
  <c r="F47" i="3" s="1"/>
  <c r="C36" i="3"/>
  <c r="G32" i="3"/>
  <c r="G40" i="3" s="1"/>
  <c r="B40" i="7"/>
  <c r="E36" i="7"/>
  <c r="E40" i="7"/>
  <c r="G39" i="7"/>
  <c r="F36" i="3"/>
  <c r="E37" i="3"/>
  <c r="E39" i="3"/>
  <c r="A3" i="2"/>
  <c r="C36" i="7"/>
  <c r="C40" i="3"/>
  <c r="C34" i="3" s="1"/>
  <c r="C47" i="3" s="1"/>
  <c r="F39" i="7"/>
  <c r="G37" i="7"/>
  <c r="B37" i="2"/>
  <c r="C37" i="2"/>
  <c r="D37" i="2"/>
  <c r="E37" i="2"/>
  <c r="F37" i="2"/>
  <c r="D39" i="3" l="1"/>
  <c r="D41" i="3" s="1"/>
  <c r="D43" i="3" s="1"/>
  <c r="C40" i="7"/>
  <c r="C42" i="7" s="1"/>
  <c r="C44" i="7" s="1"/>
  <c r="C34" i="7"/>
  <c r="C47" i="7" s="1"/>
  <c r="D42" i="3"/>
  <c r="D44" i="3" s="1"/>
  <c r="C33" i="7"/>
  <c r="C46" i="7" s="1"/>
  <c r="D34" i="7"/>
  <c r="D47" i="7" s="1"/>
  <c r="D42" i="7"/>
  <c r="D44" i="7" s="1"/>
  <c r="B42" i="3"/>
  <c r="B44" i="3" s="1"/>
  <c r="D41" i="7"/>
  <c r="D43" i="7" s="1"/>
  <c r="D33" i="7"/>
  <c r="D46" i="7" s="1"/>
  <c r="G41" i="7"/>
  <c r="G43" i="7" s="1"/>
  <c r="G33" i="7"/>
  <c r="G46" i="7" s="1"/>
  <c r="F41" i="7"/>
  <c r="F43" i="7" s="1"/>
  <c r="F33" i="7"/>
  <c r="F46" i="7" s="1"/>
  <c r="E34" i="7"/>
  <c r="E47" i="7" s="1"/>
  <c r="E42" i="7"/>
  <c r="E44" i="7" s="1"/>
  <c r="F42" i="3"/>
  <c r="F44" i="3" s="1"/>
  <c r="G34" i="3"/>
  <c r="G47" i="3" s="1"/>
  <c r="G42" i="3"/>
  <c r="G44" i="3" s="1"/>
  <c r="E41" i="3"/>
  <c r="E43" i="3" s="1"/>
  <c r="E33" i="3"/>
  <c r="E46" i="3" s="1"/>
  <c r="G39" i="3"/>
  <c r="B34" i="7"/>
  <c r="B47" i="7" s="1"/>
  <c r="B42" i="7"/>
  <c r="B44" i="7" s="1"/>
  <c r="F33" i="3"/>
  <c r="F46" i="3" s="1"/>
  <c r="F41" i="3"/>
  <c r="F43" i="3" s="1"/>
  <c r="C42" i="3"/>
  <c r="C44" i="3" s="1"/>
  <c r="E18" i="1"/>
  <c r="A22" i="1"/>
  <c r="E41" i="1"/>
  <c r="C22" i="1"/>
  <c r="F32" i="1"/>
  <c r="A6" i="1"/>
  <c r="F34" i="1"/>
  <c r="F40" i="1"/>
  <c r="B20" i="1"/>
  <c r="F10" i="1"/>
  <c r="A11" i="1"/>
  <c r="D27" i="1"/>
  <c r="E24" i="1"/>
  <c r="C43" i="1"/>
  <c r="C17" i="1"/>
  <c r="A31" i="1"/>
  <c r="B35" i="1"/>
  <c r="B28" i="1"/>
  <c r="F1" i="1"/>
  <c r="F44" i="1"/>
  <c r="C29" i="1"/>
  <c r="A33" i="1"/>
  <c r="A25" i="1"/>
  <c r="A20" i="1"/>
  <c r="B18" i="1"/>
  <c r="B42" i="1"/>
  <c r="F42" i="1"/>
  <c r="E33" i="1"/>
  <c r="A23" i="1"/>
  <c r="A21" i="1"/>
  <c r="E20" i="1"/>
  <c r="C26" i="1"/>
  <c r="B25" i="1"/>
  <c r="E45" i="1"/>
  <c r="B40" i="1"/>
  <c r="D35" i="1"/>
  <c r="F28" i="1"/>
  <c r="D46" i="1"/>
  <c r="C39" i="1"/>
  <c r="F23" i="1"/>
  <c r="E47" i="1"/>
  <c r="A32" i="1"/>
  <c r="F17" i="1"/>
  <c r="C9" i="1"/>
  <c r="E16" i="1"/>
  <c r="F14" i="1"/>
  <c r="C18" i="1"/>
  <c r="F43" i="1"/>
  <c r="E31" i="1"/>
  <c r="F11" i="1"/>
  <c r="E5" i="1"/>
  <c r="F38" i="1"/>
  <c r="C25" i="1"/>
  <c r="E36" i="1"/>
  <c r="A46" i="1"/>
  <c r="B12" i="1"/>
  <c r="D14" i="1"/>
  <c r="A36" i="1"/>
  <c r="A10" i="1"/>
  <c r="B5" i="1"/>
  <c r="D3" i="1"/>
  <c r="E44" i="1"/>
  <c r="A27" i="1"/>
  <c r="B30" i="1"/>
  <c r="A14" i="1"/>
  <c r="B10" i="1"/>
  <c r="B19" i="1"/>
  <c r="D40" i="1"/>
  <c r="D22" i="1"/>
  <c r="F7" i="1"/>
  <c r="C21" i="1"/>
  <c r="D28" i="1"/>
  <c r="A2" i="1"/>
  <c r="B13" i="1"/>
  <c r="F20" i="1"/>
  <c r="A5" i="1"/>
  <c r="B45" i="1"/>
  <c r="D4" i="1"/>
  <c r="A24" i="1"/>
  <c r="C28" i="1"/>
  <c r="D19" i="1"/>
  <c r="D43" i="1"/>
  <c r="F36" i="1"/>
  <c r="A15" i="1"/>
  <c r="B2" i="1"/>
  <c r="D18" i="1"/>
  <c r="F46" i="1"/>
  <c r="A9" i="1"/>
  <c r="C23" i="1"/>
  <c r="B17" i="1"/>
  <c r="C14" i="1"/>
  <c r="D47" i="1"/>
  <c r="F3" i="1"/>
  <c r="B46" i="1"/>
  <c r="A41" i="1"/>
  <c r="D34" i="1"/>
  <c r="F19" i="1"/>
  <c r="B41" i="1"/>
  <c r="D25" i="1"/>
  <c r="A4" i="1"/>
  <c r="D13" i="1"/>
  <c r="A19" i="1"/>
  <c r="F48" i="1"/>
  <c r="E22" i="1"/>
  <c r="C31" i="1"/>
  <c r="A40" i="1"/>
  <c r="F30" i="1"/>
  <c r="B22" i="1"/>
  <c r="C34" i="1"/>
  <c r="D15" i="1"/>
  <c r="A16" i="1"/>
  <c r="A44" i="1"/>
  <c r="D11" i="1"/>
  <c r="F4" i="1"/>
  <c r="F12" i="1"/>
  <c r="C10" i="1"/>
  <c r="D10" i="1"/>
  <c r="F6" i="1"/>
  <c r="F22" i="1"/>
  <c r="C44" i="1"/>
  <c r="F39" i="1"/>
  <c r="C8" i="1"/>
  <c r="A17" i="1"/>
  <c r="C5" i="1"/>
  <c r="D36" i="1"/>
  <c r="D26" i="1"/>
  <c r="D23" i="1"/>
  <c r="A39" i="1"/>
  <c r="D41" i="1"/>
  <c r="B47" i="1"/>
  <c r="E19" i="1"/>
  <c r="B1" i="1"/>
  <c r="C27" i="1"/>
  <c r="B48" i="1"/>
  <c r="E25" i="1"/>
  <c r="D6" i="1"/>
  <c r="F2" i="1"/>
  <c r="C15" i="1"/>
  <c r="E21" i="1"/>
  <c r="F33" i="1"/>
  <c r="D33" i="1"/>
  <c r="D8" i="1"/>
  <c r="C37" i="1"/>
  <c r="A13" i="1"/>
  <c r="A47" i="1"/>
  <c r="F18" i="1"/>
  <c r="A34" i="1"/>
  <c r="B3" i="1"/>
  <c r="F21" i="1"/>
  <c r="E2" i="1"/>
  <c r="A35" i="1"/>
  <c r="A29" i="1"/>
  <c r="D7" i="1"/>
  <c r="C38" i="1"/>
  <c r="E23" i="1"/>
  <c r="B43" i="1"/>
  <c r="A28" i="1"/>
  <c r="C40" i="1"/>
  <c r="E28" i="1"/>
  <c r="B4" i="1"/>
  <c r="C48" i="1"/>
  <c r="E35" i="1"/>
  <c r="B16" i="1"/>
  <c r="F8" i="1"/>
  <c r="E11" i="1"/>
  <c r="E26" i="1"/>
  <c r="C42" i="1"/>
  <c r="F5" i="1"/>
  <c r="E14" i="1"/>
  <c r="A43" i="1"/>
  <c r="F16" i="1"/>
  <c r="E8" i="1"/>
  <c r="D45" i="1"/>
  <c r="F47" i="1"/>
  <c r="B8" i="1"/>
  <c r="D9" i="1"/>
  <c r="A18" i="1"/>
  <c r="E6" i="1"/>
  <c r="A42" i="1"/>
  <c r="C12" i="1"/>
  <c r="C47" i="1"/>
  <c r="F9" i="1"/>
  <c r="E40" i="1"/>
  <c r="C41" i="1"/>
  <c r="D21" i="1"/>
  <c r="C33" i="1"/>
  <c r="B21" i="1"/>
  <c r="B24" i="1"/>
  <c r="D12" i="1"/>
  <c r="F45" i="1"/>
  <c r="F26" i="1"/>
  <c r="E30" i="1"/>
  <c r="D24" i="1"/>
  <c r="B15" i="1"/>
  <c r="E27" i="1"/>
  <c r="D38" i="1"/>
  <c r="C45" i="1"/>
  <c r="B14" i="1"/>
  <c r="B34" i="1"/>
  <c r="B33" i="1"/>
  <c r="B11" i="1"/>
  <c r="F29" i="1"/>
  <c r="E10" i="1"/>
  <c r="C16" i="1"/>
  <c r="F27" i="1"/>
  <c r="D31" i="1"/>
  <c r="B9" i="1"/>
  <c r="A7" i="1"/>
  <c r="B37" i="1"/>
  <c r="B31" i="1"/>
  <c r="C7" i="1"/>
  <c r="D48" i="1"/>
  <c r="E48" i="1"/>
  <c r="B39" i="1"/>
  <c r="B32" i="1"/>
  <c r="F41" i="1"/>
  <c r="A30" i="1"/>
  <c r="B38" i="1"/>
  <c r="C19" i="1"/>
  <c r="F13" i="1"/>
  <c r="A37" i="1"/>
  <c r="E13" i="1"/>
  <c r="A26" i="1"/>
  <c r="F37" i="1"/>
  <c r="A8" i="1"/>
  <c r="B26" i="1"/>
  <c r="C20" i="1"/>
  <c r="A1" i="1"/>
  <c r="E1" i="1"/>
  <c r="B23" i="1"/>
  <c r="D44" i="1"/>
  <c r="D29" i="1"/>
  <c r="C6" i="1"/>
  <c r="B29" i="1"/>
  <c r="C46" i="1"/>
  <c r="F31" i="1"/>
  <c r="D5" i="1"/>
  <c r="D20" i="1"/>
  <c r="F15" i="1"/>
  <c r="C2" i="1"/>
  <c r="C3" i="1"/>
  <c r="B44" i="1"/>
  <c r="E43" i="1"/>
  <c r="E37" i="1"/>
  <c r="B7" i="1"/>
  <c r="B6" i="1"/>
  <c r="E3" i="1"/>
  <c r="E15" i="1"/>
  <c r="F35" i="1"/>
  <c r="D17" i="1"/>
  <c r="E9" i="1"/>
  <c r="E17" i="1"/>
  <c r="C4" i="1"/>
  <c r="A12" i="1"/>
  <c r="E38" i="1"/>
  <c r="D16" i="1"/>
  <c r="B36" i="1"/>
  <c r="C11" i="1"/>
  <c r="E42" i="1"/>
  <c r="C24" i="1"/>
  <c r="E12" i="1"/>
  <c r="D42" i="1"/>
  <c r="E39" i="1"/>
  <c r="A48" i="1"/>
  <c r="E34" i="1"/>
  <c r="E32" i="1"/>
  <c r="D1" i="1"/>
  <c r="B27" i="1"/>
  <c r="E7" i="1"/>
  <c r="C36" i="1"/>
  <c r="E29" i="1"/>
  <c r="F25" i="1"/>
  <c r="C1" i="1"/>
  <c r="A45" i="1"/>
  <c r="E4" i="1"/>
  <c r="C13" i="1"/>
  <c r="C30" i="1"/>
  <c r="D30" i="1"/>
  <c r="A38" i="1"/>
  <c r="D37" i="1"/>
  <c r="A3" i="1"/>
  <c r="E46" i="1"/>
  <c r="C35" i="1"/>
  <c r="D32" i="1"/>
  <c r="D39" i="1"/>
  <c r="D2" i="1"/>
  <c r="C32" i="1"/>
  <c r="F24" i="1"/>
  <c r="D33" i="3" l="1"/>
  <c r="D46" i="3" s="1"/>
  <c r="G41" i="3"/>
  <c r="G43" i="3" s="1"/>
  <c r="G33" i="3"/>
  <c r="G46" i="3" s="1"/>
  <c r="B30" i="2"/>
  <c r="B29" i="2"/>
  <c r="B32" i="2"/>
  <c r="B33" i="2"/>
  <c r="B31" i="2"/>
  <c r="G32" i="2"/>
  <c r="G29" i="2"/>
  <c r="G33" i="2"/>
  <c r="G30" i="2"/>
  <c r="G31" i="2"/>
  <c r="F32" i="2"/>
  <c r="F29" i="2"/>
  <c r="F33" i="2"/>
  <c r="F30" i="2"/>
  <c r="F31" i="2"/>
  <c r="E30" i="2"/>
  <c r="E32" i="2"/>
  <c r="E29" i="2"/>
  <c r="E33" i="2"/>
  <c r="E31" i="2"/>
  <c r="D30" i="2"/>
  <c r="D31" i="2"/>
  <c r="D29" i="2"/>
  <c r="D32" i="2"/>
  <c r="D33" i="2"/>
  <c r="C32" i="2"/>
  <c r="C30" i="2"/>
  <c r="C31" i="2"/>
  <c r="C33" i="2"/>
  <c r="C29" i="2"/>
  <c r="B40" i="2" l="1"/>
  <c r="E40" i="2"/>
  <c r="F40" i="2"/>
  <c r="C34" i="2"/>
  <c r="C43" i="2" s="1"/>
  <c r="C41" i="2"/>
  <c r="C40" i="2"/>
  <c r="D34" i="2"/>
  <c r="D43" i="2" s="1"/>
  <c r="D41" i="2"/>
  <c r="F34" i="2"/>
  <c r="F43" i="2" s="1"/>
  <c r="F41" i="2"/>
  <c r="B41" i="2"/>
  <c r="B34" i="2"/>
  <c r="B43" i="2" s="1"/>
  <c r="D40" i="2"/>
  <c r="G40" i="2"/>
  <c r="G34" i="2"/>
  <c r="G43" i="2" s="1"/>
  <c r="G41" i="2"/>
  <c r="E41" i="2"/>
  <c r="E34" i="2"/>
  <c r="E43" i="2" s="1"/>
  <c r="B44" i="2" l="1"/>
  <c r="B36" i="2" s="1"/>
  <c r="B51" i="2" s="1"/>
  <c r="C44" i="2"/>
  <c r="C36" i="2" s="1"/>
  <c r="C51" i="2" s="1"/>
  <c r="D44" i="2"/>
  <c r="D36" i="2" s="1"/>
  <c r="D51" i="2" s="1"/>
  <c r="G44" i="2"/>
  <c r="G36" i="2" s="1"/>
  <c r="G51" i="2" s="1"/>
  <c r="F44" i="2"/>
  <c r="F36" i="2" s="1"/>
  <c r="F51" i="2" s="1"/>
  <c r="E45" i="2"/>
  <c r="E47" i="2" s="1"/>
  <c r="E35" i="2"/>
  <c r="E50" i="2" s="1"/>
  <c r="G45" i="2"/>
  <c r="G47" i="2" s="1"/>
  <c r="G35" i="2"/>
  <c r="G50" i="2" s="1"/>
  <c r="F45" i="2"/>
  <c r="F47" i="2" s="1"/>
  <c r="F35" i="2"/>
  <c r="F50" i="2" s="1"/>
  <c r="E44" i="2"/>
  <c r="B35" i="2"/>
  <c r="B50" i="2" s="1"/>
  <c r="B45" i="2"/>
  <c r="B47" i="2" s="1"/>
  <c r="D35" i="2"/>
  <c r="D50" i="2" s="1"/>
  <c r="D45" i="2"/>
  <c r="D47" i="2" s="1"/>
  <c r="C45" i="2"/>
  <c r="C47" i="2" s="1"/>
  <c r="C35" i="2"/>
  <c r="C50" i="2" s="1"/>
  <c r="D46" i="2" l="1"/>
  <c r="D48" i="2" s="1"/>
  <c r="B46" i="2"/>
  <c r="B48" i="2" s="1"/>
  <c r="F46" i="2"/>
  <c r="F48" i="2" s="1"/>
  <c r="C46" i="2"/>
  <c r="C48" i="2" s="1"/>
  <c r="G46" i="2"/>
  <c r="G48" i="2" s="1"/>
  <c r="E36" i="2"/>
  <c r="E51" i="2" s="1"/>
  <c r="E46" i="2"/>
  <c r="E48" i="2" s="1"/>
</calcChain>
</file>

<file path=xl/sharedStrings.xml><?xml version="1.0" encoding="utf-8"?>
<sst xmlns="http://schemas.openxmlformats.org/spreadsheetml/2006/main" count="217" uniqueCount="106">
  <si>
    <t>Insert new rows above this line</t>
  </si>
  <si>
    <t>Box Plot Template</t>
  </si>
  <si>
    <t>Min</t>
  </si>
  <si>
    <t>Max</t>
  </si>
  <si>
    <t>IQR</t>
  </si>
  <si>
    <t>Median</t>
  </si>
  <si>
    <t>Q2-Q1</t>
  </si>
  <si>
    <t>Q3-Q2</t>
  </si>
  <si>
    <t>Sample 1</t>
  </si>
  <si>
    <t>Sample 2</t>
  </si>
  <si>
    <t>Sample 3</t>
  </si>
  <si>
    <t>Sample 4</t>
  </si>
  <si>
    <t>Sample 5</t>
  </si>
  <si>
    <t>Sample 6</t>
  </si>
  <si>
    <t>Upper Whisker</t>
  </si>
  <si>
    <t>Upper Outliers</t>
  </si>
  <si>
    <t>Lower Outliers</t>
  </si>
  <si>
    <t>For the Outliers</t>
  </si>
  <si>
    <t>Data Table</t>
  </si>
  <si>
    <t>Labels</t>
  </si>
  <si>
    <t>Lower Whisker</t>
  </si>
  <si>
    <t>For the Whiskers</t>
  </si>
  <si>
    <t>For the Box (IQR and Median)</t>
  </si>
  <si>
    <r>
      <t>Q</t>
    </r>
    <r>
      <rPr>
        <vertAlign val="subscript"/>
        <sz val="10"/>
        <rFont val="Arial"/>
        <family val="2"/>
      </rPr>
      <t>1</t>
    </r>
  </si>
  <si>
    <r>
      <t>Q</t>
    </r>
    <r>
      <rPr>
        <vertAlign val="subscript"/>
        <sz val="10"/>
        <rFont val="Arial"/>
        <family val="2"/>
      </rPr>
      <t>3</t>
    </r>
  </si>
  <si>
    <r>
      <t>Q</t>
    </r>
    <r>
      <rPr>
        <vertAlign val="subscript"/>
        <sz val="10"/>
        <rFont val="Arial"/>
        <family val="2"/>
      </rPr>
      <t>3</t>
    </r>
    <r>
      <rPr>
        <sz val="10"/>
        <rFont val="Arial"/>
        <family val="2"/>
      </rPr>
      <t>+1.5*IQR</t>
    </r>
  </si>
  <si>
    <r>
      <t>Q</t>
    </r>
    <r>
      <rPr>
        <vertAlign val="subscript"/>
        <sz val="10"/>
        <rFont val="Arial"/>
        <family val="2"/>
      </rPr>
      <t>1-</t>
    </r>
    <r>
      <rPr>
        <sz val="10"/>
        <rFont val="Arial"/>
        <family val="2"/>
      </rPr>
      <t>1.5*IQR</t>
    </r>
  </si>
  <si>
    <r>
      <t>W</t>
    </r>
    <r>
      <rPr>
        <vertAlign val="subscript"/>
        <sz val="10"/>
        <rFont val="Arial"/>
        <family val="2"/>
      </rPr>
      <t>upper</t>
    </r>
    <r>
      <rPr>
        <sz val="10"/>
        <rFont val="Arial"/>
        <family val="2"/>
      </rPr>
      <t>-Q</t>
    </r>
    <r>
      <rPr>
        <vertAlign val="subscript"/>
        <sz val="10"/>
        <rFont val="Arial"/>
        <family val="2"/>
      </rPr>
      <t>3</t>
    </r>
  </si>
  <si>
    <r>
      <t>Q</t>
    </r>
    <r>
      <rPr>
        <vertAlign val="subscript"/>
        <sz val="10"/>
        <rFont val="Arial"/>
        <family val="2"/>
      </rPr>
      <t>1</t>
    </r>
    <r>
      <rPr>
        <sz val="10"/>
        <rFont val="Arial"/>
        <family val="2"/>
      </rPr>
      <t>-W</t>
    </r>
    <r>
      <rPr>
        <vertAlign val="subscript"/>
        <sz val="10"/>
        <rFont val="Arial"/>
        <family val="2"/>
      </rPr>
      <t>lower</t>
    </r>
  </si>
  <si>
    <t>SHIFT:</t>
  </si>
  <si>
    <t/>
  </si>
  <si>
    <t>Zero Offset</t>
  </si>
  <si>
    <t>Using This Worksheet</t>
  </si>
  <si>
    <t xml:space="preserve">This worksheet adds a value to the data in the Data </t>
  </si>
  <si>
    <t xml:space="preserve">worksheet so that all the values are positive.The </t>
  </si>
  <si>
    <t xml:space="preserve">chart in the BoxPlot_Shifted worksheet references </t>
  </si>
  <si>
    <t>the data on this worksheet.</t>
  </si>
  <si>
    <t xml:space="preserve">This worksheet is where you enter your data for the </t>
  </si>
  <si>
    <t xml:space="preserve">chart in the BoxPlot_Shifted worksheet. The </t>
  </si>
  <si>
    <t xml:space="preserve">Data_Shifted worksheet first offsets all the data based </t>
  </si>
  <si>
    <t xml:space="preserve">on the minimum value, so that all the values are </t>
  </si>
  <si>
    <t>positive. A relative comparison is still possible.</t>
  </si>
  <si>
    <t xml:space="preserve">This version of the box plot does not use bar </t>
  </si>
  <si>
    <t xml:space="preserve">charts to represent the quartiles. Instead, each </t>
  </si>
  <si>
    <t xml:space="preserve">of the series is an X-Y chart, which allows the </t>
  </si>
  <si>
    <t xml:space="preserve">data to include negative values. The Median is </t>
  </si>
  <si>
    <t xml:space="preserve">represented with an "x" marker and horizontal </t>
  </si>
  <si>
    <t xml:space="preserve">markers are used for Q1 and Q3. This is a </t>
  </si>
  <si>
    <t xml:space="preserve">more practical approach for creating box plots </t>
  </si>
  <si>
    <t xml:space="preserve">in Excel because it does not require shifting </t>
  </si>
  <si>
    <t>the data as in the BoxPlot_Shifted worksheet.</t>
  </si>
  <si>
    <t xml:space="preserve">If your data contains negative values, then using </t>
  </si>
  <si>
    <t xml:space="preserve">bar charts to display the interquartile range </t>
  </si>
  <si>
    <t xml:space="preserve">requires that the data be shifted so that it is all </t>
  </si>
  <si>
    <t xml:space="preserve">positive.In the BoxPlot worksheet, the use of bar </t>
  </si>
  <si>
    <t xml:space="preserve">charts to create the interquartile ranges requires </t>
  </si>
  <si>
    <t>that the...</t>
  </si>
  <si>
    <t xml:space="preserve">This worksheet is basically the same as the </t>
  </si>
  <si>
    <t xml:space="preserve">BoxPlot worksheet except that it is set up to </t>
  </si>
  <si>
    <t xml:space="preserve">allow negative values reference the Data_Shifted </t>
  </si>
  <si>
    <t xml:space="preserve">worksheet. This makes it easier to delete existing </t>
  </si>
  <si>
    <t xml:space="preserve">data and add your own data sets of any length </t>
  </si>
  <si>
    <t xml:space="preserve">(within the limitations of the number of rows </t>
  </si>
  <si>
    <t>in Excel).</t>
  </si>
  <si>
    <r>
      <t xml:space="preserve">- </t>
    </r>
    <r>
      <rPr>
        <b/>
        <sz val="10"/>
        <color rgb="FF000000"/>
        <rFont val="Arial"/>
        <family val="2"/>
      </rPr>
      <t>Adding Columns:</t>
    </r>
    <r>
      <rPr>
        <sz val="10"/>
        <color rgb="FF000000"/>
        <rFont val="Arial"/>
        <family val="2"/>
      </rPr>
      <t xml:space="preserve"> If you have more than 6 </t>
    </r>
  </si>
  <si>
    <t xml:space="preserve">data sets in the Data worksheet, you will need to </t>
  </si>
  <si>
    <t xml:space="preserve">copy an existing column in this worksheet and </t>
  </si>
  <si>
    <t xml:space="preserve">inserting it between Sample 5 and Sample 6. </t>
  </si>
  <si>
    <t xml:space="preserve">Doing so will ensure that the chart series expand </t>
  </si>
  <si>
    <t>to include the new data set.</t>
  </si>
  <si>
    <r>
      <t>Important</t>
    </r>
    <r>
      <rPr>
        <sz val="10"/>
        <color rgb="FF000000"/>
        <rFont val="Arial"/>
        <family val="2"/>
      </rPr>
      <t xml:space="preserve">: After inserting a new column, you </t>
    </r>
  </si>
  <si>
    <t xml:space="preserve">will need to update the references in the formulas </t>
  </si>
  <si>
    <t xml:space="preserve">to refer to the correct column in the Data sheet. </t>
  </si>
  <si>
    <t xml:space="preserve">You can do this by copying cells B27:B49 (the </t>
  </si>
  <si>
    <t xml:space="preserve">formulas for Sample 1) to the right to fill in the </t>
  </si>
  <si>
    <t xml:space="preserve">formulas for the other samples. Rows 37-49 are </t>
  </si>
  <si>
    <t xml:space="preserve">unhidden so that you don't forget to include these </t>
  </si>
  <si>
    <t xml:space="preserve">cells when updating the formulas. You can hide </t>
  </si>
  <si>
    <t>these rows if you want to unclutter the worksheet.</t>
  </si>
  <si>
    <t xml:space="preserve">This template shows how to create a box and </t>
  </si>
  <si>
    <t xml:space="preserve">whisker chart in Excel. The ends of the whisker </t>
  </si>
  <si>
    <t xml:space="preserve">are set at 1.5*IQR above the third quartile (Q3) </t>
  </si>
  <si>
    <t xml:space="preserve">and 1.5*IQR below the first quartile (Q1). If the </t>
  </si>
  <si>
    <t xml:space="preserve">Minimum or Maximum values are outside this </t>
  </si>
  <si>
    <t xml:space="preserve">range, then they are shown as outliers. The </t>
  </si>
  <si>
    <t xml:space="preserve">normal convention for box plots is to show all </t>
  </si>
  <si>
    <t xml:space="preserve">the outliers, but to simplify this template, only </t>
  </si>
  <si>
    <t xml:space="preserve">the Min and Max outliers are shown. The </t>
  </si>
  <si>
    <t>number of outliers for each data set are included</t>
  </si>
  <si>
    <t>in the table below the chart.</t>
  </si>
  <si>
    <r>
      <t>NOTE</t>
    </r>
    <r>
      <rPr>
        <sz val="10"/>
        <color rgb="FF000000"/>
        <rFont val="Arial"/>
        <family val="2"/>
      </rPr>
      <t xml:space="preserve">: The use of the bar charts to display the </t>
    </r>
  </si>
  <si>
    <r>
      <t xml:space="preserve">interquartile range requires that </t>
    </r>
    <r>
      <rPr>
        <b/>
        <sz val="10"/>
        <color rgb="FF000000"/>
        <rFont val="Arial"/>
        <family val="2"/>
      </rPr>
      <t xml:space="preserve">Q1 be </t>
    </r>
  </si>
  <si>
    <r>
      <t>positive</t>
    </r>
    <r>
      <rPr>
        <sz val="10"/>
        <color rgb="FF000000"/>
        <rFont val="Arial"/>
        <family val="2"/>
      </rPr>
      <t xml:space="preserve">. So, this technique is best used for </t>
    </r>
  </si>
  <si>
    <t xml:space="preserve">displaying data that is only positive. See the </t>
  </si>
  <si>
    <t xml:space="preserve">other worksheets for methods for handling data </t>
  </si>
  <si>
    <t>with negative values.</t>
  </si>
  <si>
    <r>
      <t xml:space="preserve">- </t>
    </r>
    <r>
      <rPr>
        <b/>
        <sz val="10"/>
        <color rgb="FF000000"/>
        <rFont val="Arial"/>
        <family val="2"/>
      </rPr>
      <t>Adding Columns:</t>
    </r>
    <r>
      <rPr>
        <sz val="10"/>
        <color rgb="FF000000"/>
        <rFont val="Arial"/>
        <family val="2"/>
      </rPr>
      <t xml:space="preserve"> You can easily add </t>
    </r>
  </si>
  <si>
    <t xml:space="preserve">additional data sets by copying an existing </t>
  </si>
  <si>
    <t xml:space="preserve">column and inserting it between Sample 5 and </t>
  </si>
  <si>
    <t xml:space="preserve">Sample 6. Doing so will ensure that the chart </t>
  </si>
  <si>
    <t>series expand to include the new data set.</t>
  </si>
  <si>
    <r>
      <t xml:space="preserve">- </t>
    </r>
    <r>
      <rPr>
        <b/>
        <sz val="10"/>
        <color rgb="FF000000"/>
        <rFont val="Arial"/>
        <family val="2"/>
      </rPr>
      <t>Adding Rows</t>
    </r>
    <r>
      <rPr>
        <sz val="10"/>
        <color rgb="FF000000"/>
        <rFont val="Arial"/>
        <family val="2"/>
      </rPr>
      <t xml:space="preserve">: The formulas allow you to </t>
    </r>
  </si>
  <si>
    <t xml:space="preserve">have blank values within the data sets, but if </t>
  </si>
  <si>
    <t xml:space="preserve">you need to add more rows, add rows above </t>
  </si>
  <si>
    <t xml:space="preserve">the gray line below the table so that the range </t>
  </si>
  <si>
    <t>references expand to include these new rows.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</si>
</sst>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0" x14ac:knownFonts="1">
    <font>
      <sz val="10"/>
      <name val="Arial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36"/>
      <name val="Calibri"/>
      <family val="2"/>
    </font>
    <font>
      <b/>
      <sz val="11"/>
      <color indexed="50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18"/>
      <name val="Calibri"/>
      <family val="2"/>
    </font>
    <font>
      <b/>
      <sz val="13"/>
      <color indexed="18"/>
      <name val="Calibri"/>
      <family val="2"/>
    </font>
    <font>
      <b/>
      <sz val="11"/>
      <color indexed="18"/>
      <name val="Calibri"/>
      <family val="2"/>
    </font>
    <font>
      <u/>
      <sz val="10"/>
      <color indexed="12"/>
      <name val="Arial"/>
      <family val="2"/>
    </font>
    <font>
      <sz val="11"/>
      <color indexed="53"/>
      <name val="Calibri"/>
      <family val="2"/>
    </font>
    <font>
      <sz val="11"/>
      <color indexed="50"/>
      <name val="Calibri"/>
      <family val="2"/>
    </font>
    <font>
      <sz val="11"/>
      <color indexed="59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18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2"/>
      <name val="Arial"/>
      <family val="2"/>
    </font>
    <font>
      <u/>
      <sz val="10"/>
      <color indexed="12"/>
      <name val="Arial"/>
      <family val="2"/>
    </font>
    <font>
      <b/>
      <sz val="18"/>
      <color indexed="53"/>
      <name val="Arial"/>
      <family val="2"/>
    </font>
    <font>
      <vertAlign val="subscript"/>
      <sz val="10"/>
      <name val="Arial"/>
      <family val="2"/>
    </font>
    <font>
      <i/>
      <sz val="10"/>
      <name val="Arial"/>
      <family val="2"/>
    </font>
    <font>
      <sz val="8"/>
      <color indexed="23"/>
      <name val="Arial"/>
      <family val="2"/>
    </font>
    <font>
      <b/>
      <i/>
      <sz val="12"/>
      <name val="Arial"/>
      <family val="2"/>
    </font>
    <font>
      <b/>
      <sz val="10"/>
      <color theme="4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</fonts>
  <fills count="23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46"/>
      </patternFill>
    </fill>
    <fill>
      <patternFill patternType="solid">
        <fgColor indexed="41"/>
      </patternFill>
    </fill>
    <fill>
      <patternFill patternType="solid">
        <fgColor indexed="26"/>
      </patternFill>
    </fill>
    <fill>
      <patternFill patternType="solid">
        <fgColor indexed="51"/>
      </patternFill>
    </fill>
    <fill>
      <patternFill patternType="solid">
        <fgColor indexed="61"/>
      </patternFill>
    </fill>
    <fill>
      <patternFill patternType="solid">
        <fgColor indexed="52"/>
      </patternFill>
    </fill>
    <fill>
      <patternFill patternType="solid">
        <fgColor indexed="20"/>
      </patternFill>
    </fill>
    <fill>
      <patternFill patternType="solid">
        <fgColor indexed="40"/>
      </patternFill>
    </fill>
    <fill>
      <patternFill patternType="solid">
        <fgColor indexed="29"/>
      </patternFill>
    </fill>
    <fill>
      <patternFill patternType="solid">
        <fgColor indexed="14"/>
      </patternFill>
    </fill>
    <fill>
      <patternFill patternType="solid">
        <fgColor indexed="23"/>
      </patternFill>
    </fill>
    <fill>
      <patternFill patternType="solid">
        <fgColor indexed="15"/>
      </patternFill>
    </fill>
    <fill>
      <patternFill patternType="solid">
        <fgColor indexed="10"/>
      </patternFill>
    </fill>
    <fill>
      <patternFill patternType="solid">
        <fgColor indexed="45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2"/>
      </patternFill>
    </fill>
    <fill>
      <patternFill patternType="solid">
        <fgColor indexed="2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1"/>
        <bgColor indexed="64"/>
      </patternFill>
    </fill>
  </fills>
  <borders count="1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0"/>
      </bottom>
      <diagonal/>
    </border>
    <border>
      <left/>
      <right/>
      <top/>
      <bottom style="thick">
        <color indexed="51"/>
      </bottom>
      <diagonal/>
    </border>
    <border>
      <left/>
      <right/>
      <top/>
      <bottom style="medium">
        <color indexed="52"/>
      </bottom>
      <diagonal/>
    </border>
    <border>
      <left/>
      <right/>
      <top/>
      <bottom style="double">
        <color indexed="50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0"/>
      </top>
      <bottom style="double">
        <color indexed="40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theme="3"/>
      </bottom>
      <diagonal/>
    </border>
  </borders>
  <cellStyleXfs count="43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6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8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0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3" fillId="16" borderId="0" applyNumberFormat="0" applyBorder="0" applyAlignment="0" applyProtection="0"/>
    <xf numFmtId="0" fontId="4" fillId="17" borderId="1" applyNumberFormat="0" applyAlignment="0" applyProtection="0"/>
    <xf numFmtId="0" fontId="5" fillId="18" borderId="2" applyNumberFormat="0" applyAlignment="0" applyProtection="0"/>
    <xf numFmtId="0" fontId="6" fillId="0" borderId="0" applyNumberFormat="0" applyFill="0" applyBorder="0" applyAlignment="0" applyProtection="0"/>
    <xf numFmtId="0" fontId="7" fillId="19" borderId="0" applyNumberFormat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  <xf numFmtId="0" fontId="12" fillId="11" borderId="1" applyNumberFormat="0" applyAlignment="0" applyProtection="0"/>
    <xf numFmtId="0" fontId="13" fillId="0" borderId="6" applyNumberFormat="0" applyFill="0" applyAlignment="0" applyProtection="0"/>
    <xf numFmtId="0" fontId="14" fillId="5" borderId="0" applyNumberFormat="0" applyBorder="0" applyAlignment="0" applyProtection="0"/>
    <xf numFmtId="0" fontId="15" fillId="5" borderId="7" applyNumberFormat="0" applyFont="0" applyAlignment="0" applyProtection="0"/>
    <xf numFmtId="0" fontId="16" fillId="17" borderId="8" applyNumberForma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0" borderId="0" applyNumberFormat="0" applyFill="0" applyBorder="0" applyAlignment="0" applyProtection="0"/>
  </cellStyleXfs>
  <cellXfs count="30">
    <xf numFmtId="0" fontId="0" fillId="0" borderId="0" xfId="0"/>
    <xf numFmtId="0" fontId="15" fillId="20" borderId="0" xfId="0" applyFont="1" applyFill="1"/>
    <xf numFmtId="0" fontId="0" fillId="20" borderId="0" xfId="0" applyFill="1"/>
    <xf numFmtId="0" fontId="15" fillId="0" borderId="0" xfId="0" applyFont="1"/>
    <xf numFmtId="0" fontId="20" fillId="0" borderId="0" xfId="0" applyFont="1" applyAlignment="1">
      <alignment horizontal="left"/>
    </xf>
    <xf numFmtId="0" fontId="21" fillId="0" borderId="0" xfId="34" applyFont="1" applyAlignment="1" applyProtection="1"/>
    <xf numFmtId="0" fontId="15" fillId="0" borderId="0" xfId="0" applyFont="1" applyAlignment="1">
      <alignment horizontal="right"/>
    </xf>
    <xf numFmtId="0" fontId="15" fillId="21" borderId="0" xfId="0" applyFont="1" applyFill="1" applyAlignment="1">
      <alignment horizontal="right"/>
    </xf>
    <xf numFmtId="0" fontId="24" fillId="20" borderId="0" xfId="0" applyFont="1" applyFill="1" applyAlignment="1">
      <alignment horizontal="left"/>
    </xf>
    <xf numFmtId="0" fontId="20" fillId="20" borderId="10" xfId="0" applyFont="1" applyFill="1" applyBorder="1" applyAlignment="1">
      <alignment horizontal="right"/>
    </xf>
    <xf numFmtId="0" fontId="15" fillId="20" borderId="10" xfId="0" applyFont="1" applyFill="1" applyBorder="1" applyAlignment="1">
      <alignment horizontal="right"/>
    </xf>
    <xf numFmtId="0" fontId="0" fillId="21" borderId="0" xfId="0" applyFill="1"/>
    <xf numFmtId="0" fontId="25" fillId="20" borderId="0" xfId="0" applyFont="1" applyFill="1"/>
    <xf numFmtId="0" fontId="0" fillId="0" borderId="7" xfId="0" applyBorder="1"/>
    <xf numFmtId="0" fontId="0" fillId="22" borderId="0" xfId="0" applyFill="1"/>
    <xf numFmtId="0" fontId="0" fillId="20" borderId="7" xfId="0" applyFill="1" applyBorder="1"/>
    <xf numFmtId="0" fontId="26" fillId="0" borderId="0" xfId="0" applyFont="1" applyAlignment="1">
      <alignment horizontal="left"/>
    </xf>
    <xf numFmtId="0" fontId="22" fillId="20" borderId="0" xfId="0" applyFont="1" applyFill="1" applyAlignment="1">
      <alignment horizontal="left" vertical="center"/>
    </xf>
    <xf numFmtId="0" fontId="15" fillId="20" borderId="0" xfId="0" applyFont="1" applyFill="1" applyAlignment="1">
      <alignment vertical="center"/>
    </xf>
    <xf numFmtId="0" fontId="0" fillId="20" borderId="0" xfId="0" applyFill="1" applyAlignment="1">
      <alignment vertical="center"/>
    </xf>
    <xf numFmtId="0" fontId="15" fillId="0" borderId="0" xfId="0" applyFont="1" applyAlignment="1">
      <alignment vertical="center"/>
    </xf>
    <xf numFmtId="164" fontId="0" fillId="21" borderId="0" xfId="0" applyNumberFormat="1" applyFill="1"/>
    <xf numFmtId="1" fontId="0" fillId="21" borderId="0" xfId="0" applyNumberFormat="1" applyFill="1"/>
    <xf numFmtId="0" fontId="21" fillId="0" borderId="0" xfId="34" applyFont="1" applyAlignment="1" applyProtection="1">
      <alignment vertical="top"/>
    </xf>
    <xf numFmtId="0" fontId="15" fillId="0" borderId="7" xfId="0" applyFont="1" applyBorder="1"/>
    <xf numFmtId="0" fontId="27" fillId="0" borderId="11" xfId="0" applyFont="1" applyBorder="1"/>
    <xf numFmtId="0" fontId="15" fillId="0" borderId="11" xfId="0" applyFont="1" applyBorder="1"/>
    <xf numFmtId="0" fontId="28" fillId="0" borderId="0" xfId="0" applyFont="1"/>
    <xf numFmtId="0" fontId="28" fillId="0" borderId="0" xfId="0" applyFont="1" applyAlignment="1">
      <alignment horizontal="left" vertical="center" readingOrder="1"/>
    </xf>
    <xf numFmtId="0" fontId="29" fillId="0" borderId="0" xfId="0" applyFont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Hyperlink" xfId="34" builtinId="8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5FF25F"/>
      <rgbColor rgb="000000FF"/>
      <rgbColor rgb="00FFFF00"/>
      <rgbColor rgb="00DE3018"/>
      <rgbColor rgb="0053D4C9"/>
      <rgbColor rgb="006B0C00"/>
      <rgbColor rgb="00006500"/>
      <rgbColor rgb="00182C63"/>
      <rgbColor rgb="00819C00"/>
      <rgbColor rgb="00C9B783"/>
      <rgbColor rgb="00007F74"/>
      <rgbColor rgb="00F0F0F0"/>
      <rgbColor rgb="00666666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799FC4"/>
      <rgbColor rgb="00C1F1ED"/>
      <rgbColor rgb="00D6F4D9"/>
      <rgbColor rgb="00FFFFCC"/>
      <rgbColor rgb="00C9DAFB"/>
      <rgbColor rgb="00FAC8D7"/>
      <rgbColor rgb="00F3F0E4"/>
      <rgbColor rgb="00E4E8F3"/>
      <rgbColor rgb="001849B5"/>
      <rgbColor rgb="0036ACA2"/>
      <rgbColor rgb="00F0BA00"/>
      <rgbColor rgb="00BCC5E1"/>
      <rgbColor rgb="008394C9"/>
      <rgbColor rgb="003B4E87"/>
      <rgbColor rgb="0087743B"/>
      <rgbColor rgb="00C0C0C0"/>
      <rgbColor rgb="00003366"/>
      <rgbColor rgb="00109618"/>
      <rgbColor rgb="00085108"/>
      <rgbColor rgb="00635100"/>
      <rgbColor rgb="00273359"/>
      <rgbColor rgb="00E1D8BC"/>
      <rgbColor rgb="00594C27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913188706720938E-2"/>
          <c:y val="4.4736842105263158E-2"/>
          <c:w val="0.92443802473593928"/>
          <c:h val="0.79210526315789476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BoxPlot!$A$28</c:f>
              <c:strCache>
                <c:ptCount val="1"/>
                <c:pt idx="0">
                  <c:v>Q1</c:v>
                </c:pt>
              </c:strCache>
            </c:strRef>
          </c:tx>
          <c:spPr>
            <a:noFill/>
            <a:ln w="25400">
              <a:noFill/>
            </a:ln>
          </c:spPr>
          <c:invertIfNegative val="0"/>
          <c:errBars>
            <c:errBarType val="minus"/>
            <c:errValType val="cust"/>
            <c:noEndCap val="0"/>
            <c:minus>
              <c:numRef>
                <c:f>BoxPlot!$B$44:$G$44</c:f>
                <c:numCache>
                  <c:formatCode>General</c:formatCode>
                  <c:ptCount val="6"/>
                  <c:pt idx="0">
                    <c:v>17.5</c:v>
                  </c:pt>
                  <c:pt idx="1">
                    <c:v>5.6035799029817479</c:v>
                  </c:pt>
                  <c:pt idx="2">
                    <c:v>25.5</c:v>
                  </c:pt>
                  <c:pt idx="3">
                    <c:v>15</c:v>
                  </c:pt>
                  <c:pt idx="4">
                    <c:v>27.75</c:v>
                  </c:pt>
                  <c:pt idx="5">
                    <c:v>13</c:v>
                  </c:pt>
                </c:numCache>
              </c:numRef>
            </c:minus>
            <c:spPr>
              <a:ln w="12700">
                <a:solidFill>
                  <a:srgbClr val="000000"/>
                </a:solidFill>
                <a:prstDash val="solid"/>
              </a:ln>
            </c:spPr>
          </c:errBars>
          <c:cat>
            <c:strRef>
              <c:f>BoxPlot!$B$26:$G$26</c:f>
              <c:strCache>
                <c:ptCount val="6"/>
                <c:pt idx="0">
                  <c:v>Sample 1</c:v>
                </c:pt>
                <c:pt idx="1">
                  <c:v>Sample 2</c:v>
                </c:pt>
                <c:pt idx="2">
                  <c:v>Sample 3</c:v>
                </c:pt>
                <c:pt idx="3">
                  <c:v>Sample 4</c:v>
                </c:pt>
                <c:pt idx="4">
                  <c:v>Sample 5</c:v>
                </c:pt>
                <c:pt idx="5">
                  <c:v>Sample 6</c:v>
                </c:pt>
              </c:strCache>
            </c:strRef>
          </c:cat>
          <c:val>
            <c:numRef>
              <c:f>BoxPlot!$B$28:$G$28</c:f>
              <c:numCache>
                <c:formatCode>General</c:formatCode>
                <c:ptCount val="6"/>
                <c:pt idx="0">
                  <c:v>39.5</c:v>
                </c:pt>
                <c:pt idx="1">
                  <c:v>17.683313005998652</c:v>
                </c:pt>
                <c:pt idx="2">
                  <c:v>82</c:v>
                </c:pt>
                <c:pt idx="3">
                  <c:v>55</c:v>
                </c:pt>
                <c:pt idx="4">
                  <c:v>75.25</c:v>
                </c:pt>
                <c:pt idx="5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6B-4E6D-A64C-BFB977F16510}"/>
            </c:ext>
          </c:extLst>
        </c:ser>
        <c:ser>
          <c:idx val="1"/>
          <c:order val="1"/>
          <c:tx>
            <c:strRef>
              <c:f>BoxPlot!$A$36</c:f>
              <c:strCache>
                <c:ptCount val="1"/>
                <c:pt idx="0">
                  <c:v>Q2-Q1</c:v>
                </c:pt>
              </c:strCache>
            </c:strRef>
          </c:tx>
          <c:spPr>
            <a:noFill/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BoxPlot!$B$26:$G$26</c:f>
              <c:strCache>
                <c:ptCount val="6"/>
                <c:pt idx="0">
                  <c:v>Sample 1</c:v>
                </c:pt>
                <c:pt idx="1">
                  <c:v>Sample 2</c:v>
                </c:pt>
                <c:pt idx="2">
                  <c:v>Sample 3</c:v>
                </c:pt>
                <c:pt idx="3">
                  <c:v>Sample 4</c:v>
                </c:pt>
                <c:pt idx="4">
                  <c:v>Sample 5</c:v>
                </c:pt>
                <c:pt idx="5">
                  <c:v>Sample 6</c:v>
                </c:pt>
              </c:strCache>
            </c:strRef>
          </c:cat>
          <c:val>
            <c:numRef>
              <c:f>BoxPlot!$B$36:$G$36</c:f>
              <c:numCache>
                <c:formatCode>General</c:formatCode>
                <c:ptCount val="6"/>
                <c:pt idx="0">
                  <c:v>23</c:v>
                </c:pt>
                <c:pt idx="1">
                  <c:v>4.1868984840919374</c:v>
                </c:pt>
                <c:pt idx="2">
                  <c:v>10</c:v>
                </c:pt>
                <c:pt idx="3">
                  <c:v>38</c:v>
                </c:pt>
                <c:pt idx="4">
                  <c:v>8.25</c:v>
                </c:pt>
                <c:pt idx="5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76B-4E6D-A64C-BFB977F16510}"/>
            </c:ext>
          </c:extLst>
        </c:ser>
        <c:ser>
          <c:idx val="2"/>
          <c:order val="2"/>
          <c:tx>
            <c:strRef>
              <c:f>BoxPlot!$A$37</c:f>
              <c:strCache>
                <c:ptCount val="1"/>
                <c:pt idx="0">
                  <c:v>Q3-Q2</c:v>
                </c:pt>
              </c:strCache>
            </c:strRef>
          </c:tx>
          <c:spPr>
            <a:noFill/>
            <a:ln w="12700">
              <a:solidFill>
                <a:srgbClr val="000000"/>
              </a:solidFill>
              <a:prstDash val="solid"/>
            </a:ln>
          </c:spPr>
          <c:invertIfNegative val="0"/>
          <c:errBars>
            <c:errBarType val="plus"/>
            <c:errValType val="cust"/>
            <c:noEndCap val="0"/>
            <c:plus>
              <c:numRef>
                <c:f>BoxPlot!$B$43:$G$43</c:f>
                <c:numCache>
                  <c:formatCode>General</c:formatCode>
                  <c:ptCount val="6"/>
                  <c:pt idx="0">
                    <c:v>28</c:v>
                  </c:pt>
                  <c:pt idx="1">
                    <c:v>24.271407503960823</c:v>
                  </c:pt>
                  <c:pt idx="2">
                    <c:v>25.5</c:v>
                  </c:pt>
                  <c:pt idx="3">
                    <c:v>22</c:v>
                  </c:pt>
                  <c:pt idx="4">
                    <c:v>27.75</c:v>
                  </c:pt>
                  <c:pt idx="5">
                    <c:v>31.5</c:v>
                  </c:pt>
                </c:numCache>
              </c:numRef>
            </c:plus>
            <c:spPr>
              <a:ln w="12700">
                <a:solidFill>
                  <a:srgbClr val="000000"/>
                </a:solidFill>
                <a:prstDash val="solid"/>
              </a:ln>
            </c:spPr>
          </c:errBars>
          <c:cat>
            <c:strRef>
              <c:f>BoxPlot!$B$26:$G$26</c:f>
              <c:strCache>
                <c:ptCount val="6"/>
                <c:pt idx="0">
                  <c:v>Sample 1</c:v>
                </c:pt>
                <c:pt idx="1">
                  <c:v>Sample 2</c:v>
                </c:pt>
                <c:pt idx="2">
                  <c:v>Sample 3</c:v>
                </c:pt>
                <c:pt idx="3">
                  <c:v>Sample 4</c:v>
                </c:pt>
                <c:pt idx="4">
                  <c:v>Sample 5</c:v>
                </c:pt>
                <c:pt idx="5">
                  <c:v>Sample 6</c:v>
                </c:pt>
              </c:strCache>
            </c:strRef>
          </c:cat>
          <c:val>
            <c:numRef>
              <c:f>BoxPlot!$B$37:$G$37</c:f>
              <c:numCache>
                <c:formatCode>General</c:formatCode>
                <c:ptCount val="6"/>
                <c:pt idx="0">
                  <c:v>17.5</c:v>
                </c:pt>
                <c:pt idx="1">
                  <c:v>11.994039851881944</c:v>
                </c:pt>
                <c:pt idx="2">
                  <c:v>7</c:v>
                </c:pt>
                <c:pt idx="3">
                  <c:v>23</c:v>
                </c:pt>
                <c:pt idx="4">
                  <c:v>10.25</c:v>
                </c:pt>
                <c:pt idx="5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76B-4E6D-A64C-BFB977F165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037952"/>
        <c:axId val="13040640"/>
      </c:barChart>
      <c:lineChart>
        <c:grouping val="standard"/>
        <c:varyColors val="0"/>
        <c:ser>
          <c:idx val="4"/>
          <c:order val="3"/>
          <c:tx>
            <c:v>Min Outlier</c:v>
          </c:tx>
          <c:spPr>
            <a:ln w="19050">
              <a:noFill/>
            </a:ln>
          </c:spPr>
          <c:marker>
            <c:symbol val="star"/>
            <c:size val="5"/>
            <c:spPr>
              <a:noFill/>
              <a:ln>
                <a:solidFill>
                  <a:srgbClr val="FF00FF"/>
                </a:solidFill>
                <a:prstDash val="solid"/>
              </a:ln>
            </c:spPr>
          </c:marker>
          <c:cat>
            <c:strRef>
              <c:f>BoxPlot!$B$26:$G$26</c:f>
              <c:strCache>
                <c:ptCount val="6"/>
                <c:pt idx="0">
                  <c:v>Sample 1</c:v>
                </c:pt>
                <c:pt idx="1">
                  <c:v>Sample 2</c:v>
                </c:pt>
                <c:pt idx="2">
                  <c:v>Sample 3</c:v>
                </c:pt>
                <c:pt idx="3">
                  <c:v>Sample 4</c:v>
                </c:pt>
                <c:pt idx="4">
                  <c:v>Sample 5</c:v>
                </c:pt>
                <c:pt idx="5">
                  <c:v>Sample 6</c:v>
                </c:pt>
              </c:strCache>
            </c:strRef>
          </c:cat>
          <c:val>
            <c:numRef>
              <c:f>BoxPlot!$B$47:$G$47</c:f>
              <c:numCache>
                <c:formatCode>General</c:formatCode>
                <c:ptCount val="6"/>
                <c:pt idx="0">
                  <c:v>#N/A</c:v>
                </c:pt>
                <c:pt idx="1">
                  <c:v>#N/A</c:v>
                </c:pt>
                <c:pt idx="2">
                  <c:v>30</c:v>
                </c:pt>
                <c:pt idx="3">
                  <c:v>#N/A</c:v>
                </c:pt>
                <c:pt idx="4">
                  <c:v>10</c:v>
                </c:pt>
                <c:pt idx="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76B-4E6D-A64C-BFB977F16510}"/>
            </c:ext>
          </c:extLst>
        </c:ser>
        <c:ser>
          <c:idx val="3"/>
          <c:order val="4"/>
          <c:tx>
            <c:v>Max Outlier</c:v>
          </c:tx>
          <c:spPr>
            <a:ln w="19050">
              <a:noFill/>
            </a:ln>
          </c:spPr>
          <c:marker>
            <c:symbol val="star"/>
            <c:size val="5"/>
            <c:spPr>
              <a:noFill/>
              <a:ln>
                <a:solidFill>
                  <a:srgbClr val="FF0000"/>
                </a:solidFill>
                <a:prstDash val="solid"/>
              </a:ln>
            </c:spPr>
          </c:marker>
          <c:cat>
            <c:strRef>
              <c:f>BoxPlot!$B$26:$G$26</c:f>
              <c:strCache>
                <c:ptCount val="6"/>
                <c:pt idx="0">
                  <c:v>Sample 1</c:v>
                </c:pt>
                <c:pt idx="1">
                  <c:v>Sample 2</c:v>
                </c:pt>
                <c:pt idx="2">
                  <c:v>Sample 3</c:v>
                </c:pt>
                <c:pt idx="3">
                  <c:v>Sample 4</c:v>
                </c:pt>
                <c:pt idx="4">
                  <c:v>Sample 5</c:v>
                </c:pt>
                <c:pt idx="5">
                  <c:v>Sample 6</c:v>
                </c:pt>
              </c:strCache>
            </c:strRef>
          </c:cat>
          <c:val>
            <c:numRef>
              <c:f>BoxPlot!$B$46:$G$46</c:f>
              <c:numCache>
                <c:formatCode>General</c:formatCode>
                <c:ptCount val="6"/>
                <c:pt idx="0">
                  <c:v>#N/A</c:v>
                </c:pt>
                <c:pt idx="1">
                  <c:v>78.604550770695781</c:v>
                </c:pt>
                <c:pt idx="2">
                  <c:v>145</c:v>
                </c:pt>
                <c:pt idx="3">
                  <c:v>#N/A</c:v>
                </c:pt>
                <c:pt idx="4">
                  <c:v>140</c:v>
                </c:pt>
                <c:pt idx="5">
                  <c:v>130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76B-4E6D-A64C-BFB977F165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037952"/>
        <c:axId val="13040640"/>
      </c:lineChart>
      <c:catAx>
        <c:axId val="130379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04064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04064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037952"/>
        <c:crosses val="autoZero"/>
        <c:crossBetween val="between"/>
      </c:valAx>
      <c:spPr>
        <a:noFill/>
        <a:ln w="25400">
          <a:noFill/>
        </a:ln>
      </c:spPr>
    </c:plotArea>
    <c:legend>
      <c:legendPos val="b"/>
      <c:legendEntry>
        <c:idx val="0"/>
        <c:delete val="1"/>
      </c:legendEntry>
      <c:legendEntry>
        <c:idx val="1"/>
        <c:delete val="1"/>
      </c:legendEntry>
      <c:legendEntry>
        <c:idx val="2"/>
        <c:delete val="1"/>
      </c:legendEntry>
      <c:layout>
        <c:manualLayout>
          <c:xMode val="edge"/>
          <c:yMode val="edge"/>
          <c:x val="0.39228326614881598"/>
          <c:y val="0.92368421052631577"/>
          <c:w val="0.28938929469994623"/>
          <c:h val="6.0526315789473685E-2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96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0"/>
    <c:dispBlanksAs val="gap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10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Box and Whisker Plot</a:t>
            </a:r>
          </a:p>
        </c:rich>
      </c:tx>
      <c:layout>
        <c:manualLayout>
          <c:xMode val="edge"/>
          <c:yMode val="edge"/>
          <c:x val="0.40836044918770192"/>
          <c:y val="1.315789473684210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3247661625538228E-2"/>
          <c:y val="4.4736842105263158E-2"/>
          <c:w val="0.8922836586581675"/>
          <c:h val="0.80263157894736847"/>
        </c:manualLayout>
      </c:layout>
      <c:barChart>
        <c:barDir val="col"/>
        <c:grouping val="stacked"/>
        <c:varyColors val="0"/>
        <c:ser>
          <c:idx val="0"/>
          <c:order val="4"/>
          <c:tx>
            <c:v>Bar</c:v>
          </c:tx>
          <c:spPr>
            <a:noFill/>
            <a:ln w="25400">
              <a:noFill/>
            </a:ln>
          </c:spPr>
          <c:invertIfNegative val="0"/>
          <c:val>
            <c:numRef>
              <c:f>BoxPlot2!$B$29:$G$29</c:f>
              <c:numCache>
                <c:formatCode>General</c:formatCode>
                <c:ptCount val="6"/>
                <c:pt idx="0">
                  <c:v>-7.5</c:v>
                </c:pt>
                <c:pt idx="1">
                  <c:v>19.5</c:v>
                </c:pt>
                <c:pt idx="2">
                  <c:v>52</c:v>
                </c:pt>
                <c:pt idx="3">
                  <c:v>45</c:v>
                </c:pt>
                <c:pt idx="4">
                  <c:v>-41</c:v>
                </c:pt>
                <c:pt idx="5">
                  <c:v>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12-4C8D-87AF-C6841519EE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2239360"/>
        <c:axId val="202553216"/>
      </c:barChart>
      <c:lineChart>
        <c:grouping val="standard"/>
        <c:varyColors val="0"/>
        <c:ser>
          <c:idx val="4"/>
          <c:order val="2"/>
          <c:tx>
            <c:v>Min Outlier</c:v>
          </c:tx>
          <c:spPr>
            <a:ln w="19050">
              <a:noFill/>
            </a:ln>
          </c:spPr>
          <c:marker>
            <c:symbol val="star"/>
            <c:size val="5"/>
            <c:spPr>
              <a:noFill/>
              <a:ln>
                <a:solidFill>
                  <a:srgbClr val="FF00FF"/>
                </a:solidFill>
                <a:prstDash val="solid"/>
              </a:ln>
            </c:spPr>
          </c:marker>
          <c:cat>
            <c:strRef>
              <c:f>BoxPlot2!$B$26:$G$26</c:f>
              <c:strCache>
                <c:ptCount val="6"/>
                <c:pt idx="0">
                  <c:v>Sample 1</c:v>
                </c:pt>
                <c:pt idx="1">
                  <c:v>Sample 2</c:v>
                </c:pt>
                <c:pt idx="2">
                  <c:v>Sample 3</c:v>
                </c:pt>
                <c:pt idx="3">
                  <c:v>Sample 4</c:v>
                </c:pt>
                <c:pt idx="4">
                  <c:v>Sample 5</c:v>
                </c:pt>
                <c:pt idx="5">
                  <c:v>Sample 6</c:v>
                </c:pt>
              </c:strCache>
            </c:strRef>
          </c:cat>
          <c:val>
            <c:numRef>
              <c:f>BoxPlot2!$B$47:$G$47</c:f>
              <c:numCache>
                <c:formatCode>General</c:formatCode>
                <c:ptCount val="6"/>
                <c:pt idx="0">
                  <c:v>#N/A</c:v>
                </c:pt>
                <c:pt idx="1">
                  <c:v>#N/A</c:v>
                </c:pt>
                <c:pt idx="2">
                  <c:v>-10</c:v>
                </c:pt>
                <c:pt idx="3">
                  <c:v>#N/A</c:v>
                </c:pt>
                <c:pt idx="4">
                  <c:v>-115</c:v>
                </c:pt>
                <c:pt idx="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912-4C8D-87AF-C6841519EE99}"/>
            </c:ext>
          </c:extLst>
        </c:ser>
        <c:ser>
          <c:idx val="3"/>
          <c:order val="3"/>
          <c:tx>
            <c:v>Max Outlier</c:v>
          </c:tx>
          <c:spPr>
            <a:ln w="19050">
              <a:noFill/>
            </a:ln>
          </c:spPr>
          <c:marker>
            <c:symbol val="star"/>
            <c:size val="5"/>
            <c:spPr>
              <a:noFill/>
              <a:ln>
                <a:solidFill>
                  <a:srgbClr val="FF0000"/>
                </a:solidFill>
                <a:prstDash val="solid"/>
              </a:ln>
            </c:spPr>
          </c:marker>
          <c:cat>
            <c:strRef>
              <c:f>BoxPlot2!$B$26:$G$26</c:f>
              <c:strCache>
                <c:ptCount val="6"/>
                <c:pt idx="0">
                  <c:v>Sample 1</c:v>
                </c:pt>
                <c:pt idx="1">
                  <c:v>Sample 2</c:v>
                </c:pt>
                <c:pt idx="2">
                  <c:v>Sample 3</c:v>
                </c:pt>
                <c:pt idx="3">
                  <c:v>Sample 4</c:v>
                </c:pt>
                <c:pt idx="4">
                  <c:v>Sample 5</c:v>
                </c:pt>
                <c:pt idx="5">
                  <c:v>Sample 6</c:v>
                </c:pt>
              </c:strCache>
            </c:strRef>
          </c:cat>
          <c:val>
            <c:numRef>
              <c:f>BoxPlot2!$B$46:$G$46</c:f>
              <c:numCache>
                <c:formatCode>General</c:formatCode>
                <c:ptCount val="6"/>
                <c:pt idx="0">
                  <c:v>#N/A</c:v>
                </c:pt>
                <c:pt idx="1">
                  <c:v>#N/A</c:v>
                </c:pt>
                <c:pt idx="2">
                  <c:v>105</c:v>
                </c:pt>
                <c:pt idx="3">
                  <c:v>#N/A</c:v>
                </c:pt>
                <c:pt idx="4">
                  <c:v>25</c:v>
                </c:pt>
                <c:pt idx="5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912-4C8D-87AF-C6841519EE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2239360"/>
        <c:axId val="202553216"/>
      </c:lineChart>
      <c:scatterChart>
        <c:scatterStyle val="lineMarker"/>
        <c:varyColors val="0"/>
        <c:ser>
          <c:idx val="1"/>
          <c:order val="0"/>
          <c:tx>
            <c:strRef>
              <c:f>BoxPlot2!$A$28</c:f>
              <c:strCache>
                <c:ptCount val="1"/>
                <c:pt idx="0">
                  <c:v>Q1</c:v>
                </c:pt>
              </c:strCache>
            </c:strRef>
          </c:tx>
          <c:spPr>
            <a:ln w="19050">
              <a:noFill/>
            </a:ln>
          </c:spPr>
          <c:marker>
            <c:symbol val="dash"/>
            <c:size val="12"/>
            <c:spPr>
              <a:solidFill>
                <a:srgbClr val="182C63"/>
              </a:solidFill>
              <a:ln>
                <a:solidFill>
                  <a:srgbClr val="182C63"/>
                </a:solidFill>
                <a:prstDash val="solid"/>
              </a:ln>
            </c:spPr>
          </c:marker>
          <c:errBars>
            <c:errDir val="y"/>
            <c:errBarType val="minus"/>
            <c:errValType val="cust"/>
            <c:noEndCap val="0"/>
            <c:minus>
              <c:numRef>
                <c:f>BoxPlot2!$B$44:$G$44</c:f>
                <c:numCache>
                  <c:formatCode>General</c:formatCode>
                  <c:ptCount val="6"/>
                  <c:pt idx="0">
                    <c:v>18.5</c:v>
                  </c:pt>
                  <c:pt idx="1">
                    <c:v>13</c:v>
                  </c:pt>
                  <c:pt idx="2">
                    <c:v>25.5</c:v>
                  </c:pt>
                  <c:pt idx="3">
                    <c:v>24.5</c:v>
                  </c:pt>
                  <c:pt idx="4">
                    <c:v>28.5</c:v>
                  </c:pt>
                  <c:pt idx="5">
                    <c:v>13</c:v>
                  </c:pt>
                </c:numCache>
              </c:numRef>
            </c:minus>
            <c:spPr>
              <a:ln w="12700">
                <a:solidFill>
                  <a:srgbClr val="000000"/>
                </a:solidFill>
                <a:prstDash val="solid"/>
              </a:ln>
            </c:spPr>
          </c:errBars>
          <c:xVal>
            <c:strRef>
              <c:f>BoxPlot2!$B$26:$G$26</c:f>
              <c:strCache>
                <c:ptCount val="6"/>
                <c:pt idx="0">
                  <c:v>Sample 1</c:v>
                </c:pt>
                <c:pt idx="1">
                  <c:v>Sample 2</c:v>
                </c:pt>
                <c:pt idx="2">
                  <c:v>Sample 3</c:v>
                </c:pt>
                <c:pt idx="3">
                  <c:v>Sample 4</c:v>
                </c:pt>
                <c:pt idx="4">
                  <c:v>Sample 5</c:v>
                </c:pt>
                <c:pt idx="5">
                  <c:v>Sample 6</c:v>
                </c:pt>
              </c:strCache>
            </c:strRef>
          </c:xVal>
          <c:yVal>
            <c:numRef>
              <c:f>BoxPlot2!$B$28:$G$28</c:f>
              <c:numCache>
                <c:formatCode>General</c:formatCode>
                <c:ptCount val="6"/>
                <c:pt idx="0">
                  <c:v>-29.5</c:v>
                </c:pt>
                <c:pt idx="1">
                  <c:v>6</c:v>
                </c:pt>
                <c:pt idx="2">
                  <c:v>42</c:v>
                </c:pt>
                <c:pt idx="3">
                  <c:v>34.5</c:v>
                </c:pt>
                <c:pt idx="4">
                  <c:v>-49.5</c:v>
                </c:pt>
                <c:pt idx="5">
                  <c:v>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912-4C8D-87AF-C6841519EE99}"/>
            </c:ext>
          </c:extLst>
        </c:ser>
        <c:ser>
          <c:idx val="2"/>
          <c:order val="1"/>
          <c:tx>
            <c:strRef>
              <c:f>BoxPlot2!$A$30</c:f>
              <c:strCache>
                <c:ptCount val="1"/>
                <c:pt idx="0">
                  <c:v>Q3</c:v>
                </c:pt>
              </c:strCache>
            </c:strRef>
          </c:tx>
          <c:spPr>
            <a:ln w="19050">
              <a:noFill/>
            </a:ln>
          </c:spPr>
          <c:marker>
            <c:symbol val="dash"/>
            <c:size val="12"/>
            <c:spPr>
              <a:solidFill>
                <a:srgbClr val="182C63"/>
              </a:solidFill>
              <a:ln>
                <a:solidFill>
                  <a:srgbClr val="182C63"/>
                </a:solidFill>
                <a:prstDash val="solid"/>
              </a:ln>
            </c:spPr>
          </c:marker>
          <c:errBars>
            <c:errDir val="y"/>
            <c:errBarType val="plus"/>
            <c:errValType val="cust"/>
            <c:noEndCap val="0"/>
            <c:plus>
              <c:numRef>
                <c:f>BoxPlot2!$B$43:$G$43</c:f>
                <c:numCache>
                  <c:formatCode>General</c:formatCode>
                  <c:ptCount val="6"/>
                  <c:pt idx="0">
                    <c:v>17.5</c:v>
                  </c:pt>
                  <c:pt idx="1">
                    <c:v>5.25</c:v>
                  </c:pt>
                  <c:pt idx="2">
                    <c:v>25.5</c:v>
                  </c:pt>
                  <c:pt idx="3">
                    <c:v>23.5</c:v>
                  </c:pt>
                  <c:pt idx="4">
                    <c:v>28.5</c:v>
                  </c:pt>
                  <c:pt idx="5">
                    <c:v>24</c:v>
                  </c:pt>
                </c:numCache>
              </c:numRef>
            </c:plus>
            <c:spPr>
              <a:ln w="12700">
                <a:solidFill>
                  <a:srgbClr val="000000"/>
                </a:solidFill>
                <a:prstDash val="solid"/>
              </a:ln>
            </c:spPr>
          </c:errBars>
          <c:xVal>
            <c:strRef>
              <c:f>BoxPlot2!$B$26:$G$26</c:f>
              <c:strCache>
                <c:ptCount val="6"/>
                <c:pt idx="0">
                  <c:v>Sample 1</c:v>
                </c:pt>
                <c:pt idx="1">
                  <c:v>Sample 2</c:v>
                </c:pt>
                <c:pt idx="2">
                  <c:v>Sample 3</c:v>
                </c:pt>
                <c:pt idx="3">
                  <c:v>Sample 4</c:v>
                </c:pt>
                <c:pt idx="4">
                  <c:v>Sample 5</c:v>
                </c:pt>
                <c:pt idx="5">
                  <c:v>Sample 6</c:v>
                </c:pt>
              </c:strCache>
            </c:strRef>
          </c:xVal>
          <c:yVal>
            <c:numRef>
              <c:f>BoxPlot2!$B$30:$G$30</c:f>
              <c:numCache>
                <c:formatCode>General</c:formatCode>
                <c:ptCount val="6"/>
                <c:pt idx="0">
                  <c:v>11.5</c:v>
                </c:pt>
                <c:pt idx="1">
                  <c:v>24.75</c:v>
                </c:pt>
                <c:pt idx="2">
                  <c:v>59</c:v>
                </c:pt>
                <c:pt idx="3">
                  <c:v>62.5</c:v>
                </c:pt>
                <c:pt idx="4">
                  <c:v>-30.5</c:v>
                </c:pt>
                <c:pt idx="5">
                  <c:v>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912-4C8D-87AF-C6841519EE99}"/>
            </c:ext>
          </c:extLst>
        </c:ser>
        <c:ser>
          <c:idx val="5"/>
          <c:order val="5"/>
          <c:tx>
            <c:strRef>
              <c:f>BoxPlot2!$A$29</c:f>
              <c:strCache>
                <c:ptCount val="1"/>
                <c:pt idx="0">
                  <c:v>Median</c:v>
                </c:pt>
              </c:strCache>
            </c:strRef>
          </c:tx>
          <c:spPr>
            <a:ln w="19050">
              <a:noFill/>
            </a:ln>
          </c:spPr>
          <c:marker>
            <c:symbol val="x"/>
            <c:size val="7"/>
            <c:spPr>
              <a:noFill/>
              <a:ln>
                <a:solidFill>
                  <a:srgbClr val="273359"/>
                </a:solidFill>
                <a:prstDash val="solid"/>
              </a:ln>
            </c:spPr>
          </c:marker>
          <c:yVal>
            <c:numRef>
              <c:f>BoxPlot2!$B$29:$G$29</c:f>
              <c:numCache>
                <c:formatCode>General</c:formatCode>
                <c:ptCount val="6"/>
                <c:pt idx="0">
                  <c:v>-7.5</c:v>
                </c:pt>
                <c:pt idx="1">
                  <c:v>19.5</c:v>
                </c:pt>
                <c:pt idx="2">
                  <c:v>52</c:v>
                </c:pt>
                <c:pt idx="3">
                  <c:v>45</c:v>
                </c:pt>
                <c:pt idx="4">
                  <c:v>-41</c:v>
                </c:pt>
                <c:pt idx="5">
                  <c:v>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912-4C8D-87AF-C6841519EE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239360"/>
        <c:axId val="202553216"/>
      </c:scatterChart>
      <c:catAx>
        <c:axId val="2022393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0255321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0255321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02239360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egendEntry>
        <c:idx val="0"/>
        <c:delete val="1"/>
      </c:legendEntry>
      <c:legendEntry>
        <c:idx val="3"/>
        <c:delete val="1"/>
      </c:legendEntry>
      <c:legendEntry>
        <c:idx val="4"/>
        <c:delete val="1"/>
      </c:legendEntry>
      <c:layout>
        <c:manualLayout>
          <c:xMode val="edge"/>
          <c:yMode val="edge"/>
          <c:x val="0.34244399872826969"/>
          <c:y val="0.9263157894736842"/>
          <c:w val="0.3938909844527046"/>
          <c:h val="6.0526315789473685E-2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96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0"/>
    <c:dispBlanksAs val="gap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10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576939629875973"/>
          <c:y val="4.4736842105263158E-2"/>
          <c:w val="0.88782190226534685"/>
          <c:h val="0.8078947368421052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BoxPlot_Shifted!$A$30</c:f>
              <c:strCache>
                <c:ptCount val="1"/>
                <c:pt idx="0">
                  <c:v>Q1</c:v>
                </c:pt>
              </c:strCache>
            </c:strRef>
          </c:tx>
          <c:spPr>
            <a:noFill/>
            <a:ln w="25400">
              <a:noFill/>
            </a:ln>
          </c:spPr>
          <c:invertIfNegative val="0"/>
          <c:errBars>
            <c:errBarType val="minus"/>
            <c:errValType val="cust"/>
            <c:noEndCap val="0"/>
            <c:minus>
              <c:numRef>
                <c:f>BoxPlot_Shifted!$B$48:$G$48</c:f>
                <c:numCache>
                  <c:formatCode>General</c:formatCode>
                  <c:ptCount val="6"/>
                  <c:pt idx="0">
                    <c:v>18.5</c:v>
                  </c:pt>
                  <c:pt idx="1">
                    <c:v>13</c:v>
                  </c:pt>
                  <c:pt idx="2">
                    <c:v>25.5</c:v>
                  </c:pt>
                  <c:pt idx="3">
                    <c:v>24.5</c:v>
                  </c:pt>
                  <c:pt idx="4">
                    <c:v>27.75</c:v>
                  </c:pt>
                  <c:pt idx="5">
                    <c:v>13</c:v>
                  </c:pt>
                </c:numCache>
              </c:numRef>
            </c:minus>
            <c:spPr>
              <a:ln w="12700">
                <a:solidFill>
                  <a:srgbClr val="000000"/>
                </a:solidFill>
                <a:prstDash val="solid"/>
              </a:ln>
            </c:spPr>
          </c:errBars>
          <c:cat>
            <c:strRef>
              <c:f>BoxPlot_Shifted!$B$28:$G$28</c:f>
              <c:strCache>
                <c:ptCount val="6"/>
                <c:pt idx="0">
                  <c:v>Sample 1</c:v>
                </c:pt>
                <c:pt idx="1">
                  <c:v>Sample 2</c:v>
                </c:pt>
                <c:pt idx="2">
                  <c:v>Sample 3</c:v>
                </c:pt>
                <c:pt idx="3">
                  <c:v>Sample 4</c:v>
                </c:pt>
                <c:pt idx="4">
                  <c:v>Sample 5</c:v>
                </c:pt>
                <c:pt idx="5">
                  <c:v>Sample 6</c:v>
                </c:pt>
              </c:strCache>
            </c:strRef>
          </c:cat>
          <c:val>
            <c:numRef>
              <c:f>BoxPlot_Shifted!$B$30:$G$30</c:f>
              <c:numCache>
                <c:formatCode>General</c:formatCode>
                <c:ptCount val="6"/>
                <c:pt idx="0">
                  <c:v>110.5</c:v>
                </c:pt>
                <c:pt idx="1">
                  <c:v>146</c:v>
                </c:pt>
                <c:pt idx="2">
                  <c:v>222</c:v>
                </c:pt>
                <c:pt idx="3">
                  <c:v>174.5</c:v>
                </c:pt>
                <c:pt idx="4">
                  <c:v>65.25</c:v>
                </c:pt>
                <c:pt idx="5">
                  <c:v>216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A5-4144-9D91-DA73823A9B96}"/>
            </c:ext>
          </c:extLst>
        </c:ser>
        <c:ser>
          <c:idx val="1"/>
          <c:order val="1"/>
          <c:tx>
            <c:strRef>
              <c:f>BoxPlot_Shifted!$A$40</c:f>
              <c:strCache>
                <c:ptCount val="1"/>
                <c:pt idx="0">
                  <c:v>Q2-Q1</c:v>
                </c:pt>
              </c:strCache>
            </c:strRef>
          </c:tx>
          <c:spPr>
            <a:noFill/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BoxPlot_Shifted!$B$28:$G$28</c:f>
              <c:strCache>
                <c:ptCount val="6"/>
                <c:pt idx="0">
                  <c:v>Sample 1</c:v>
                </c:pt>
                <c:pt idx="1">
                  <c:v>Sample 2</c:v>
                </c:pt>
                <c:pt idx="2">
                  <c:v>Sample 3</c:v>
                </c:pt>
                <c:pt idx="3">
                  <c:v>Sample 4</c:v>
                </c:pt>
                <c:pt idx="4">
                  <c:v>Sample 5</c:v>
                </c:pt>
                <c:pt idx="5">
                  <c:v>Sample 6</c:v>
                </c:pt>
              </c:strCache>
            </c:strRef>
          </c:cat>
          <c:val>
            <c:numRef>
              <c:f>BoxPlot_Shifted!$B$40:$G$40</c:f>
              <c:numCache>
                <c:formatCode>General</c:formatCode>
                <c:ptCount val="6"/>
                <c:pt idx="0">
                  <c:v>22</c:v>
                </c:pt>
                <c:pt idx="1">
                  <c:v>13.5</c:v>
                </c:pt>
                <c:pt idx="2">
                  <c:v>10</c:v>
                </c:pt>
                <c:pt idx="3">
                  <c:v>10.5</c:v>
                </c:pt>
                <c:pt idx="4">
                  <c:v>8.25</c:v>
                </c:pt>
                <c:pt idx="5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3A5-4144-9D91-DA73823A9B96}"/>
            </c:ext>
          </c:extLst>
        </c:ser>
        <c:ser>
          <c:idx val="2"/>
          <c:order val="2"/>
          <c:tx>
            <c:strRef>
              <c:f>BoxPlot_Shifted!$A$41</c:f>
              <c:strCache>
                <c:ptCount val="1"/>
                <c:pt idx="0">
                  <c:v>Q3-Q2</c:v>
                </c:pt>
              </c:strCache>
            </c:strRef>
          </c:tx>
          <c:spPr>
            <a:noFill/>
            <a:ln w="12700">
              <a:solidFill>
                <a:srgbClr val="000000"/>
              </a:solidFill>
              <a:prstDash val="solid"/>
            </a:ln>
          </c:spPr>
          <c:invertIfNegative val="0"/>
          <c:errBars>
            <c:errBarType val="plus"/>
            <c:errValType val="cust"/>
            <c:noEndCap val="0"/>
            <c:plus>
              <c:numRef>
                <c:f>BoxPlot_Shifted!$B$47:$G$47</c:f>
                <c:numCache>
                  <c:formatCode>General</c:formatCode>
                  <c:ptCount val="6"/>
                  <c:pt idx="0">
                    <c:v>17.5</c:v>
                  </c:pt>
                  <c:pt idx="1">
                    <c:v>5.25</c:v>
                  </c:pt>
                  <c:pt idx="2">
                    <c:v>25.5</c:v>
                  </c:pt>
                  <c:pt idx="3">
                    <c:v>23.5</c:v>
                  </c:pt>
                  <c:pt idx="4">
                    <c:v>27.75</c:v>
                  </c:pt>
                  <c:pt idx="5">
                    <c:v>24</c:v>
                  </c:pt>
                </c:numCache>
              </c:numRef>
            </c:plus>
            <c:spPr>
              <a:ln w="12700">
                <a:solidFill>
                  <a:srgbClr val="000000"/>
                </a:solidFill>
                <a:prstDash val="solid"/>
              </a:ln>
            </c:spPr>
          </c:errBars>
          <c:cat>
            <c:strRef>
              <c:f>BoxPlot_Shifted!$B$28:$G$28</c:f>
              <c:strCache>
                <c:ptCount val="6"/>
                <c:pt idx="0">
                  <c:v>Sample 1</c:v>
                </c:pt>
                <c:pt idx="1">
                  <c:v>Sample 2</c:v>
                </c:pt>
                <c:pt idx="2">
                  <c:v>Sample 3</c:v>
                </c:pt>
                <c:pt idx="3">
                  <c:v>Sample 4</c:v>
                </c:pt>
                <c:pt idx="4">
                  <c:v>Sample 5</c:v>
                </c:pt>
                <c:pt idx="5">
                  <c:v>Sample 6</c:v>
                </c:pt>
              </c:strCache>
            </c:strRef>
          </c:cat>
          <c:val>
            <c:numRef>
              <c:f>BoxPlot_Shifted!$B$41:$G$41</c:f>
              <c:numCache>
                <c:formatCode>General</c:formatCode>
                <c:ptCount val="6"/>
                <c:pt idx="0">
                  <c:v>19</c:v>
                </c:pt>
                <c:pt idx="1">
                  <c:v>5.25</c:v>
                </c:pt>
                <c:pt idx="2">
                  <c:v>7</c:v>
                </c:pt>
                <c:pt idx="3">
                  <c:v>17.5</c:v>
                </c:pt>
                <c:pt idx="4">
                  <c:v>10.25</c:v>
                </c:pt>
                <c:pt idx="5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3A5-4144-9D91-DA73823A9B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724096"/>
        <c:axId val="12725632"/>
      </c:barChart>
      <c:lineChart>
        <c:grouping val="standard"/>
        <c:varyColors val="0"/>
        <c:ser>
          <c:idx val="4"/>
          <c:order val="3"/>
          <c:tx>
            <c:v>Min Outlier</c:v>
          </c:tx>
          <c:spPr>
            <a:ln w="19050">
              <a:noFill/>
            </a:ln>
          </c:spPr>
          <c:marker>
            <c:symbol val="star"/>
            <c:size val="5"/>
            <c:spPr>
              <a:noFill/>
              <a:ln>
                <a:solidFill>
                  <a:srgbClr val="FF00FF"/>
                </a:solidFill>
                <a:prstDash val="solid"/>
              </a:ln>
            </c:spPr>
          </c:marker>
          <c:cat>
            <c:strRef>
              <c:f>BoxPlot_Shifted!$B$28:$G$28</c:f>
              <c:strCache>
                <c:ptCount val="6"/>
                <c:pt idx="0">
                  <c:v>Sample 1</c:v>
                </c:pt>
                <c:pt idx="1">
                  <c:v>Sample 2</c:v>
                </c:pt>
                <c:pt idx="2">
                  <c:v>Sample 3</c:v>
                </c:pt>
                <c:pt idx="3">
                  <c:v>Sample 4</c:v>
                </c:pt>
                <c:pt idx="4">
                  <c:v>Sample 5</c:v>
                </c:pt>
                <c:pt idx="5">
                  <c:v>Sample 6</c:v>
                </c:pt>
              </c:strCache>
            </c:strRef>
          </c:cat>
          <c:val>
            <c:numRef>
              <c:f>BoxPlot_Shifted!$B$51:$G$51</c:f>
              <c:numCache>
                <c:formatCode>General</c:formatCode>
                <c:ptCount val="6"/>
                <c:pt idx="0">
                  <c:v>#N/A</c:v>
                </c:pt>
                <c:pt idx="1">
                  <c:v>#N/A</c:v>
                </c:pt>
                <c:pt idx="2">
                  <c:v>170</c:v>
                </c:pt>
                <c:pt idx="3">
                  <c:v>#N/A</c:v>
                </c:pt>
                <c:pt idx="4">
                  <c:v>0</c:v>
                </c:pt>
                <c:pt idx="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3A5-4144-9D91-DA73823A9B96}"/>
            </c:ext>
          </c:extLst>
        </c:ser>
        <c:ser>
          <c:idx val="3"/>
          <c:order val="4"/>
          <c:tx>
            <c:v>Max Outlier</c:v>
          </c:tx>
          <c:spPr>
            <a:ln w="19050">
              <a:noFill/>
            </a:ln>
          </c:spPr>
          <c:marker>
            <c:symbol val="star"/>
            <c:size val="5"/>
            <c:spPr>
              <a:noFill/>
              <a:ln>
                <a:solidFill>
                  <a:srgbClr val="FF0000"/>
                </a:solidFill>
                <a:prstDash val="solid"/>
              </a:ln>
            </c:spPr>
          </c:marker>
          <c:cat>
            <c:strRef>
              <c:f>BoxPlot_Shifted!$B$28:$G$28</c:f>
              <c:strCache>
                <c:ptCount val="6"/>
                <c:pt idx="0">
                  <c:v>Sample 1</c:v>
                </c:pt>
                <c:pt idx="1">
                  <c:v>Sample 2</c:v>
                </c:pt>
                <c:pt idx="2">
                  <c:v>Sample 3</c:v>
                </c:pt>
                <c:pt idx="3">
                  <c:v>Sample 4</c:v>
                </c:pt>
                <c:pt idx="4">
                  <c:v>Sample 5</c:v>
                </c:pt>
                <c:pt idx="5">
                  <c:v>Sample 6</c:v>
                </c:pt>
              </c:strCache>
            </c:strRef>
          </c:cat>
          <c:val>
            <c:numRef>
              <c:f>BoxPlot_Shifted!$B$50:$G$50</c:f>
              <c:numCache>
                <c:formatCode>General</c:formatCode>
                <c:ptCount val="6"/>
                <c:pt idx="0">
                  <c:v>#N/A</c:v>
                </c:pt>
                <c:pt idx="1">
                  <c:v>#N/A</c:v>
                </c:pt>
                <c:pt idx="2">
                  <c:v>285</c:v>
                </c:pt>
                <c:pt idx="3">
                  <c:v>#N/A</c:v>
                </c:pt>
                <c:pt idx="4">
                  <c:v>130</c:v>
                </c:pt>
                <c:pt idx="5">
                  <c:v>270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3A5-4144-9D91-DA73823A9B96}"/>
            </c:ext>
          </c:extLst>
        </c:ser>
        <c:ser>
          <c:idx val="5"/>
          <c:order val="5"/>
          <c:tx>
            <c:strRef>
              <c:f>BoxPlot_Shifted!$A$37</c:f>
              <c:strCache>
                <c:ptCount val="1"/>
                <c:pt idx="0">
                  <c:v>Zero Offset</c:v>
                </c:pt>
              </c:strCache>
            </c:strRef>
          </c:tx>
          <c:spPr>
            <a:ln w="25400">
              <a:solidFill>
                <a:srgbClr val="800000"/>
              </a:solidFill>
              <a:prstDash val="solid"/>
            </a:ln>
          </c:spPr>
          <c:marker>
            <c:symbol val="none"/>
          </c:marker>
          <c:val>
            <c:numRef>
              <c:f>BoxPlot_Shifted!$B$37:$G$37</c:f>
              <c:numCache>
                <c:formatCode>General</c:formatCode>
                <c:ptCount val="6"/>
                <c:pt idx="0">
                  <c:v>140</c:v>
                </c:pt>
                <c:pt idx="1">
                  <c:v>140</c:v>
                </c:pt>
                <c:pt idx="2">
                  <c:v>140</c:v>
                </c:pt>
                <c:pt idx="3">
                  <c:v>140</c:v>
                </c:pt>
                <c:pt idx="4">
                  <c:v>140</c:v>
                </c:pt>
                <c:pt idx="5">
                  <c:v>140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3A5-4144-9D91-DA73823A9B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724096"/>
        <c:axId val="12725632"/>
      </c:lineChart>
      <c:catAx>
        <c:axId val="127240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272563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272563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2724096"/>
        <c:crosses val="autoZero"/>
        <c:crossBetween val="between"/>
      </c:valAx>
      <c:spPr>
        <a:noFill/>
        <a:ln w="25400">
          <a:noFill/>
        </a:ln>
      </c:spPr>
    </c:plotArea>
    <c:legend>
      <c:legendPos val="b"/>
      <c:legendEntry>
        <c:idx val="0"/>
        <c:delete val="1"/>
      </c:legendEntry>
      <c:legendEntry>
        <c:idx val="1"/>
        <c:delete val="1"/>
      </c:legendEntry>
      <c:legendEntry>
        <c:idx val="2"/>
        <c:delete val="1"/>
      </c:legendEntry>
      <c:layout>
        <c:manualLayout>
          <c:xMode val="edge"/>
          <c:yMode val="edge"/>
          <c:x val="0.26121835752572481"/>
          <c:y val="0.93157894736842106"/>
          <c:w val="0.51923158183027507"/>
          <c:h val="6.0526315789473685E-2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96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0"/>
    <c:dispBlanksAs val="gap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10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0</xdr:rowOff>
    </xdr:from>
    <xdr:to>
      <xdr:col>6</xdr:col>
      <xdr:colOff>742950</xdr:colOff>
      <xdr:row>24</xdr:row>
      <xdr:rowOff>57150</xdr:rowOff>
    </xdr:to>
    <xdr:graphicFrame macro="">
      <xdr:nvGraphicFramePr>
        <xdr:cNvPr id="4098" name="Chart 2">
          <a:extLst>
            <a:ext uri="{FF2B5EF4-FFF2-40B4-BE49-F238E27FC236}">
              <a16:creationId xmlns:a16="http://schemas.microsoft.com/office/drawing/2014/main" id="{00000000-0008-0000-0000-0000021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0</xdr:rowOff>
    </xdr:from>
    <xdr:to>
      <xdr:col>6</xdr:col>
      <xdr:colOff>742950</xdr:colOff>
      <xdr:row>24</xdr:row>
      <xdr:rowOff>57150</xdr:rowOff>
    </xdr:to>
    <xdr:graphicFrame macro="">
      <xdr:nvGraphicFramePr>
        <xdr:cNvPr id="6146" name="Chart 2">
          <a:extLst>
            <a:ext uri="{FF2B5EF4-FFF2-40B4-BE49-F238E27FC236}">
              <a16:creationId xmlns:a16="http://schemas.microsoft.com/office/drawing/2014/main" id="{00000000-0008-0000-0100-0000021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0</xdr:rowOff>
    </xdr:from>
    <xdr:to>
      <xdr:col>6</xdr:col>
      <xdr:colOff>809625</xdr:colOff>
      <xdr:row>26</xdr:row>
      <xdr:rowOff>57150</xdr:rowOff>
    </xdr:to>
    <xdr:graphicFrame macro="">
      <xdr:nvGraphicFramePr>
        <xdr:cNvPr id="3074" name="Chart 2">
          <a:extLst>
            <a:ext uri="{FF2B5EF4-FFF2-40B4-BE49-F238E27FC236}">
              <a16:creationId xmlns:a16="http://schemas.microsoft.com/office/drawing/2014/main" id="{00000000-0008-0000-0200-0000020C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V42 - TRUE BLUE(purple) CLASSIC">
      <a:dk1>
        <a:sysClr val="windowText" lastClr="000000"/>
      </a:dk1>
      <a:lt1>
        <a:sysClr val="window" lastClr="FFFFFF"/>
      </a:lt1>
      <a:dk2>
        <a:srgbClr val="3A5D9C"/>
      </a:dk2>
      <a:lt2>
        <a:srgbClr val="EEECE2"/>
      </a:lt2>
      <a:accent1>
        <a:srgbClr val="3B4E87"/>
      </a:accent1>
      <a:accent2>
        <a:srgbClr val="C04E4E"/>
      </a:accent2>
      <a:accent3>
        <a:srgbClr val="26AA26"/>
      </a:accent3>
      <a:accent4>
        <a:srgbClr val="7860B4"/>
      </a:accent4>
      <a:accent5>
        <a:srgbClr val="E68422"/>
      </a:accent5>
      <a:accent6>
        <a:srgbClr val="846648"/>
      </a:accent6>
      <a:hlink>
        <a:srgbClr val="4C92AE"/>
      </a:hlink>
      <a:folHlink>
        <a:srgbClr val="969696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90"/>
  <sheetViews>
    <sheetView showGridLines="0" tabSelected="1" workbookViewId="0">
      <selection activeCell="M4" sqref="M4"/>
    </sheetView>
  </sheetViews>
  <sheetFormatPr defaultColWidth="9.140625" defaultRowHeight="12.75" x14ac:dyDescent="0.2"/>
  <cols>
    <col min="1" max="1" width="14.140625" style="3" customWidth="1"/>
    <col min="2" max="7" width="12.7109375" style="3" customWidth="1"/>
    <col min="8" max="8" width="3.42578125" style="3" customWidth="1"/>
    <col min="9" max="9" width="13.42578125" style="3" customWidth="1"/>
    <col min="10" max="16384" width="9.140625" style="3"/>
  </cols>
  <sheetData>
    <row r="1" spans="1:12" s="20" customFormat="1" ht="30" customHeight="1" x14ac:dyDescent="0.2">
      <c r="A1" s="17" t="s">
        <v>1</v>
      </c>
      <c r="B1" s="18"/>
      <c r="C1" s="19"/>
      <c r="D1" s="19"/>
      <c r="E1" s="19"/>
      <c r="F1" s="19"/>
      <c r="G1" s="19"/>
    </row>
    <row r="2" spans="1:12" ht="15.75" x14ac:dyDescent="0.25">
      <c r="A2" s="4"/>
    </row>
    <row r="3" spans="1:12" x14ac:dyDescent="0.2">
      <c r="I3" s="5"/>
    </row>
    <row r="5" spans="1:12" x14ac:dyDescent="0.2">
      <c r="I5" s="25" t="s">
        <v>32</v>
      </c>
      <c r="J5" s="26"/>
      <c r="K5" s="26"/>
      <c r="L5" s="26"/>
    </row>
    <row r="6" spans="1:12" x14ac:dyDescent="0.2">
      <c r="I6" s="27" t="s">
        <v>79</v>
      </c>
    </row>
    <row r="7" spans="1:12" x14ac:dyDescent="0.2">
      <c r="I7" s="27" t="s">
        <v>80</v>
      </c>
    </row>
    <row r="8" spans="1:12" x14ac:dyDescent="0.2">
      <c r="I8" s="27" t="s">
        <v>81</v>
      </c>
    </row>
    <row r="9" spans="1:12" x14ac:dyDescent="0.2">
      <c r="I9" s="27" t="s">
        <v>82</v>
      </c>
    </row>
    <row r="10" spans="1:12" x14ac:dyDescent="0.2">
      <c r="I10" s="27" t="s">
        <v>83</v>
      </c>
    </row>
    <row r="11" spans="1:12" x14ac:dyDescent="0.2">
      <c r="I11" s="27" t="s">
        <v>84</v>
      </c>
    </row>
    <row r="12" spans="1:12" x14ac:dyDescent="0.2">
      <c r="I12" s="27" t="s">
        <v>85</v>
      </c>
    </row>
    <row r="13" spans="1:12" x14ac:dyDescent="0.2">
      <c r="I13" s="27" t="s">
        <v>86</v>
      </c>
    </row>
    <row r="14" spans="1:12" x14ac:dyDescent="0.2">
      <c r="I14" s="27" t="s">
        <v>87</v>
      </c>
    </row>
    <row r="15" spans="1:12" x14ac:dyDescent="0.2">
      <c r="I15" s="27" t="s">
        <v>88</v>
      </c>
    </row>
    <row r="16" spans="1:12" x14ac:dyDescent="0.2">
      <c r="I16" s="28" t="s">
        <v>89</v>
      </c>
    </row>
    <row r="18" spans="1:9" x14ac:dyDescent="0.2">
      <c r="I18" s="29" t="s">
        <v>90</v>
      </c>
    </row>
    <row r="19" spans="1:9" x14ac:dyDescent="0.2">
      <c r="I19" s="27" t="s">
        <v>91</v>
      </c>
    </row>
    <row r="20" spans="1:9" x14ac:dyDescent="0.2">
      <c r="I20" s="29" t="s">
        <v>92</v>
      </c>
    </row>
    <row r="21" spans="1:9" x14ac:dyDescent="0.2">
      <c r="I21" s="27" t="s">
        <v>93</v>
      </c>
    </row>
    <row r="22" spans="1:9" x14ac:dyDescent="0.2">
      <c r="I22" s="27" t="s">
        <v>94</v>
      </c>
    </row>
    <row r="23" spans="1:9" x14ac:dyDescent="0.2">
      <c r="I23" s="28" t="s">
        <v>95</v>
      </c>
    </row>
    <row r="25" spans="1:9" x14ac:dyDescent="0.2">
      <c r="I25" s="27" t="s">
        <v>96</v>
      </c>
    </row>
    <row r="26" spans="1:9" x14ac:dyDescent="0.2">
      <c r="A26" s="6" t="s">
        <v>19</v>
      </c>
      <c r="B26" s="7" t="s">
        <v>8</v>
      </c>
      <c r="C26" s="7" t="s">
        <v>9</v>
      </c>
      <c r="D26" s="7" t="s">
        <v>10</v>
      </c>
      <c r="E26" s="7" t="s">
        <v>11</v>
      </c>
      <c r="F26" s="7" t="s">
        <v>12</v>
      </c>
      <c r="G26" s="7" t="s">
        <v>13</v>
      </c>
      <c r="I26" s="27" t="s">
        <v>97</v>
      </c>
    </row>
    <row r="27" spans="1:9" x14ac:dyDescent="0.2">
      <c r="A27" s="6" t="s">
        <v>2</v>
      </c>
      <c r="B27" s="3">
        <f t="shared" ref="B27:G27" si="0">MIN(B$50:B$90)</f>
        <v>22</v>
      </c>
      <c r="C27" s="3">
        <f t="shared" si="0"/>
        <v>12.079733103016904</v>
      </c>
      <c r="D27" s="3">
        <f t="shared" si="0"/>
        <v>30</v>
      </c>
      <c r="E27" s="3">
        <f t="shared" si="0"/>
        <v>40</v>
      </c>
      <c r="F27" s="3">
        <f t="shared" si="0"/>
        <v>10</v>
      </c>
      <c r="G27" s="3">
        <f t="shared" si="0"/>
        <v>22</v>
      </c>
      <c r="I27" s="27" t="s">
        <v>98</v>
      </c>
    </row>
    <row r="28" spans="1:9" ht="15.75" x14ac:dyDescent="0.3">
      <c r="A28" s="6" t="s">
        <v>23</v>
      </c>
      <c r="B28" s="3">
        <f t="shared" ref="B28:G28" si="1">PERCENTILE(B$50:B$90,0.25)</f>
        <v>39.5</v>
      </c>
      <c r="C28" s="3">
        <f t="shared" si="1"/>
        <v>17.683313005998652</v>
      </c>
      <c r="D28" s="3">
        <f t="shared" si="1"/>
        <v>82</v>
      </c>
      <c r="E28" s="3">
        <f t="shared" si="1"/>
        <v>55</v>
      </c>
      <c r="F28" s="3">
        <f t="shared" si="1"/>
        <v>75.25</v>
      </c>
      <c r="G28" s="3">
        <f t="shared" si="1"/>
        <v>35</v>
      </c>
      <c r="I28" s="27" t="s">
        <v>99</v>
      </c>
    </row>
    <row r="29" spans="1:9" x14ac:dyDescent="0.2">
      <c r="A29" s="6" t="s">
        <v>5</v>
      </c>
      <c r="B29" s="3">
        <f t="shared" ref="B29:G29" si="2">MEDIAN(B$50:B$90)</f>
        <v>62.5</v>
      </c>
      <c r="C29" s="3">
        <f t="shared" si="2"/>
        <v>21.87021149009059</v>
      </c>
      <c r="D29" s="3">
        <f t="shared" si="2"/>
        <v>92</v>
      </c>
      <c r="E29" s="3">
        <f t="shared" si="2"/>
        <v>93</v>
      </c>
      <c r="F29" s="3">
        <f t="shared" si="2"/>
        <v>83.5</v>
      </c>
      <c r="G29" s="3">
        <f t="shared" si="2"/>
        <v>44</v>
      </c>
      <c r="I29" s="28" t="s">
        <v>100</v>
      </c>
    </row>
    <row r="30" spans="1:9" ht="15.75" x14ac:dyDescent="0.3">
      <c r="A30" s="6" t="s">
        <v>24</v>
      </c>
      <c r="B30" s="3">
        <f t="shared" ref="B30:G30" si="3">PERCENTILE(B$50:B$90,0.75)</f>
        <v>80</v>
      </c>
      <c r="C30" s="3">
        <f t="shared" si="3"/>
        <v>33.864251341972533</v>
      </c>
      <c r="D30" s="3">
        <f t="shared" si="3"/>
        <v>99</v>
      </c>
      <c r="E30" s="3">
        <f t="shared" si="3"/>
        <v>116</v>
      </c>
      <c r="F30" s="3">
        <f t="shared" si="3"/>
        <v>93.75</v>
      </c>
      <c r="G30" s="3">
        <f t="shared" si="3"/>
        <v>56</v>
      </c>
    </row>
    <row r="31" spans="1:9" x14ac:dyDescent="0.2">
      <c r="A31" s="6" t="s">
        <v>3</v>
      </c>
      <c r="B31" s="3">
        <f t="shared" ref="B31:G31" si="4">MAX(B$50:B$90)</f>
        <v>108</v>
      </c>
      <c r="C31" s="3">
        <f t="shared" si="4"/>
        <v>78.604550770695781</v>
      </c>
      <c r="D31" s="3">
        <f t="shared" si="4"/>
        <v>145</v>
      </c>
      <c r="E31" s="3">
        <f t="shared" si="4"/>
        <v>138</v>
      </c>
      <c r="F31" s="3">
        <f t="shared" si="4"/>
        <v>140</v>
      </c>
      <c r="G31" s="3">
        <f t="shared" si="4"/>
        <v>130</v>
      </c>
      <c r="I31" s="27" t="s">
        <v>101</v>
      </c>
    </row>
    <row r="32" spans="1:9" x14ac:dyDescent="0.2">
      <c r="A32" s="6" t="s">
        <v>4</v>
      </c>
      <c r="B32" s="3">
        <f t="shared" ref="B32:G32" si="5">B30-B28</f>
        <v>40.5</v>
      </c>
      <c r="C32" s="3">
        <f t="shared" si="5"/>
        <v>16.180938335973881</v>
      </c>
      <c r="D32" s="3">
        <f t="shared" si="5"/>
        <v>17</v>
      </c>
      <c r="E32" s="3">
        <f t="shared" si="5"/>
        <v>61</v>
      </c>
      <c r="F32" s="3">
        <f t="shared" si="5"/>
        <v>18.5</v>
      </c>
      <c r="G32" s="3">
        <f t="shared" si="5"/>
        <v>21</v>
      </c>
      <c r="I32" s="27" t="s">
        <v>102</v>
      </c>
    </row>
    <row r="33" spans="1:9" x14ac:dyDescent="0.2">
      <c r="A33" s="6" t="s">
        <v>15</v>
      </c>
      <c r="B33" s="3">
        <f t="shared" ref="B33:G33" si="6">COUNTIF(B$50:B$90,"&gt;"&amp;B39)</f>
        <v>0</v>
      </c>
      <c r="C33" s="3">
        <f t="shared" si="6"/>
        <v>1</v>
      </c>
      <c r="D33" s="3">
        <f t="shared" si="6"/>
        <v>2</v>
      </c>
      <c r="E33" s="3">
        <f t="shared" si="6"/>
        <v>0</v>
      </c>
      <c r="F33" s="3">
        <f t="shared" si="6"/>
        <v>2</v>
      </c>
      <c r="G33" s="3">
        <f t="shared" si="6"/>
        <v>1</v>
      </c>
      <c r="I33" s="27" t="s">
        <v>103</v>
      </c>
    </row>
    <row r="34" spans="1:9" x14ac:dyDescent="0.2">
      <c r="A34" s="6" t="s">
        <v>16</v>
      </c>
      <c r="B34" s="3">
        <f t="shared" ref="B34:G34" si="7">COUNTIF(B$50:B$90,"&lt;"&amp;B40)</f>
        <v>0</v>
      </c>
      <c r="C34" s="3">
        <f t="shared" si="7"/>
        <v>0</v>
      </c>
      <c r="D34" s="3">
        <f t="shared" si="7"/>
        <v>1</v>
      </c>
      <c r="E34" s="3">
        <f t="shared" si="7"/>
        <v>0</v>
      </c>
      <c r="F34" s="3">
        <f t="shared" si="7"/>
        <v>2</v>
      </c>
      <c r="G34" s="3">
        <f t="shared" si="7"/>
        <v>0</v>
      </c>
      <c r="I34" s="27" t="s">
        <v>104</v>
      </c>
    </row>
    <row r="35" spans="1:9" hidden="1" x14ac:dyDescent="0.2">
      <c r="A35" s="8" t="s">
        <v>22</v>
      </c>
      <c r="B35" s="1"/>
      <c r="C35" s="1"/>
      <c r="D35" s="1"/>
      <c r="E35" s="1"/>
      <c r="F35" s="1"/>
      <c r="G35" s="1"/>
    </row>
    <row r="36" spans="1:9" hidden="1" x14ac:dyDescent="0.2">
      <c r="A36" s="6" t="s">
        <v>6</v>
      </c>
      <c r="B36" s="3">
        <f t="shared" ref="B36:G37" si="8">B29-B28</f>
        <v>23</v>
      </c>
      <c r="C36" s="3">
        <f t="shared" si="8"/>
        <v>4.1868984840919374</v>
      </c>
      <c r="D36" s="3">
        <f t="shared" si="8"/>
        <v>10</v>
      </c>
      <c r="E36" s="3">
        <f t="shared" si="8"/>
        <v>38</v>
      </c>
      <c r="F36" s="3">
        <f t="shared" si="8"/>
        <v>8.25</v>
      </c>
      <c r="G36" s="3">
        <f t="shared" si="8"/>
        <v>9</v>
      </c>
    </row>
    <row r="37" spans="1:9" hidden="1" x14ac:dyDescent="0.2">
      <c r="A37" s="6" t="s">
        <v>7</v>
      </c>
      <c r="B37" s="3">
        <f t="shared" si="8"/>
        <v>17.5</v>
      </c>
      <c r="C37" s="3">
        <f t="shared" si="8"/>
        <v>11.994039851881944</v>
      </c>
      <c r="D37" s="3">
        <f t="shared" si="8"/>
        <v>7</v>
      </c>
      <c r="E37" s="3">
        <f t="shared" si="8"/>
        <v>23</v>
      </c>
      <c r="F37" s="3">
        <f t="shared" si="8"/>
        <v>10.25</v>
      </c>
      <c r="G37" s="3">
        <f t="shared" si="8"/>
        <v>12</v>
      </c>
    </row>
    <row r="38" spans="1:9" hidden="1" x14ac:dyDescent="0.2">
      <c r="A38" s="8" t="s">
        <v>21</v>
      </c>
      <c r="B38" s="1"/>
      <c r="C38" s="1"/>
      <c r="D38" s="1"/>
      <c r="E38" s="1"/>
      <c r="F38" s="1"/>
      <c r="G38" s="1"/>
    </row>
    <row r="39" spans="1:9" ht="15.75" hidden="1" x14ac:dyDescent="0.3">
      <c r="A39" s="6" t="s">
        <v>25</v>
      </c>
      <c r="B39" s="3">
        <f t="shared" ref="B39:G39" si="9">B30+1.5*B32</f>
        <v>140.75</v>
      </c>
      <c r="C39" s="3">
        <f t="shared" si="9"/>
        <v>58.135658845933357</v>
      </c>
      <c r="D39" s="3">
        <f t="shared" si="9"/>
        <v>124.5</v>
      </c>
      <c r="E39" s="3">
        <f t="shared" si="9"/>
        <v>207.5</v>
      </c>
      <c r="F39" s="3">
        <f t="shared" si="9"/>
        <v>121.5</v>
      </c>
      <c r="G39" s="3">
        <f t="shared" si="9"/>
        <v>87.5</v>
      </c>
    </row>
    <row r="40" spans="1:9" ht="15.75" hidden="1" x14ac:dyDescent="0.3">
      <c r="A40" s="6" t="s">
        <v>26</v>
      </c>
      <c r="B40" s="3">
        <f t="shared" ref="B40:G40" si="10">B28-1.5*B32</f>
        <v>-21.25</v>
      </c>
      <c r="C40" s="3">
        <f t="shared" si="10"/>
        <v>-6.5880944979621709</v>
      </c>
      <c r="D40" s="3">
        <f t="shared" si="10"/>
        <v>56.5</v>
      </c>
      <c r="E40" s="3">
        <f t="shared" si="10"/>
        <v>-36.5</v>
      </c>
      <c r="F40" s="3">
        <f t="shared" si="10"/>
        <v>47.5</v>
      </c>
      <c r="G40" s="3">
        <f t="shared" si="10"/>
        <v>3.5</v>
      </c>
    </row>
    <row r="41" spans="1:9" hidden="1" x14ac:dyDescent="0.2">
      <c r="A41" s="6" t="s">
        <v>14</v>
      </c>
      <c r="B41" s="3">
        <f t="shared" ref="B41:G41" si="11">MIN(B39,B31)</f>
        <v>108</v>
      </c>
      <c r="C41" s="3">
        <f t="shared" si="11"/>
        <v>58.135658845933357</v>
      </c>
      <c r="D41" s="3">
        <f t="shared" si="11"/>
        <v>124.5</v>
      </c>
      <c r="E41" s="3">
        <f t="shared" si="11"/>
        <v>138</v>
      </c>
      <c r="F41" s="3">
        <f t="shared" si="11"/>
        <v>121.5</v>
      </c>
      <c r="G41" s="3">
        <f t="shared" si="11"/>
        <v>87.5</v>
      </c>
    </row>
    <row r="42" spans="1:9" hidden="1" x14ac:dyDescent="0.2">
      <c r="A42" s="6" t="s">
        <v>20</v>
      </c>
      <c r="B42" s="3">
        <f t="shared" ref="B42:G42" si="12">MAX(B27,B40)</f>
        <v>22</v>
      </c>
      <c r="C42" s="3">
        <f t="shared" si="12"/>
        <v>12.079733103016904</v>
      </c>
      <c r="D42" s="3">
        <f t="shared" si="12"/>
        <v>56.5</v>
      </c>
      <c r="E42" s="3">
        <f t="shared" si="12"/>
        <v>40</v>
      </c>
      <c r="F42" s="3">
        <f t="shared" si="12"/>
        <v>47.5</v>
      </c>
      <c r="G42" s="3">
        <f t="shared" si="12"/>
        <v>22</v>
      </c>
    </row>
    <row r="43" spans="1:9" ht="15.75" hidden="1" x14ac:dyDescent="0.3">
      <c r="A43" s="6" t="s">
        <v>27</v>
      </c>
      <c r="B43" s="3">
        <f t="shared" ref="B43:G43" si="13">B41-B30</f>
        <v>28</v>
      </c>
      <c r="C43" s="3">
        <f t="shared" si="13"/>
        <v>24.271407503960823</v>
      </c>
      <c r="D43" s="3">
        <f t="shared" si="13"/>
        <v>25.5</v>
      </c>
      <c r="E43" s="3">
        <f t="shared" si="13"/>
        <v>22</v>
      </c>
      <c r="F43" s="3">
        <f t="shared" si="13"/>
        <v>27.75</v>
      </c>
      <c r="G43" s="3">
        <f t="shared" si="13"/>
        <v>31.5</v>
      </c>
    </row>
    <row r="44" spans="1:9" ht="15.75" hidden="1" x14ac:dyDescent="0.3">
      <c r="A44" s="6" t="s">
        <v>28</v>
      </c>
      <c r="B44" s="3">
        <f t="shared" ref="B44:G44" si="14">B28-B42</f>
        <v>17.5</v>
      </c>
      <c r="C44" s="3">
        <f t="shared" si="14"/>
        <v>5.6035799029817479</v>
      </c>
      <c r="D44" s="3">
        <f t="shared" si="14"/>
        <v>25.5</v>
      </c>
      <c r="E44" s="3">
        <f t="shared" si="14"/>
        <v>15</v>
      </c>
      <c r="F44" s="3">
        <f t="shared" si="14"/>
        <v>27.75</v>
      </c>
      <c r="G44" s="3">
        <f t="shared" si="14"/>
        <v>13</v>
      </c>
    </row>
    <row r="45" spans="1:9" hidden="1" x14ac:dyDescent="0.2">
      <c r="A45" s="8" t="s">
        <v>17</v>
      </c>
      <c r="B45" s="1"/>
      <c r="C45" s="1"/>
      <c r="D45" s="1"/>
      <c r="E45" s="1"/>
      <c r="F45" s="1"/>
      <c r="G45" s="1"/>
    </row>
    <row r="46" spans="1:9" hidden="1" x14ac:dyDescent="0.2">
      <c r="A46" s="6" t="s">
        <v>3</v>
      </c>
      <c r="B46" s="3" t="e">
        <f t="shared" ref="B46:G46" si="15">IF(B33&gt;0,B31,NA())</f>
        <v>#N/A</v>
      </c>
      <c r="C46" s="3">
        <f t="shared" si="15"/>
        <v>78.604550770695781</v>
      </c>
      <c r="D46" s="3">
        <f t="shared" si="15"/>
        <v>145</v>
      </c>
      <c r="E46" s="3" t="e">
        <f t="shared" si="15"/>
        <v>#N/A</v>
      </c>
      <c r="F46" s="3">
        <f t="shared" si="15"/>
        <v>140</v>
      </c>
      <c r="G46" s="3">
        <f t="shared" si="15"/>
        <v>130</v>
      </c>
    </row>
    <row r="47" spans="1:9" hidden="1" x14ac:dyDescent="0.2">
      <c r="A47" s="6" t="s">
        <v>2</v>
      </c>
      <c r="B47" s="3" t="e">
        <f t="shared" ref="B47:G47" si="16">IF(B34&gt;0,B27,NA())</f>
        <v>#N/A</v>
      </c>
      <c r="C47" s="3" t="e">
        <f t="shared" si="16"/>
        <v>#N/A</v>
      </c>
      <c r="D47" s="3">
        <f t="shared" si="16"/>
        <v>30</v>
      </c>
      <c r="E47" s="3" t="e">
        <f t="shared" si="16"/>
        <v>#N/A</v>
      </c>
      <c r="F47" s="3">
        <f t="shared" si="16"/>
        <v>10</v>
      </c>
      <c r="G47" s="3" t="e">
        <f t="shared" si="16"/>
        <v>#N/A</v>
      </c>
    </row>
    <row r="48" spans="1:9" x14ac:dyDescent="0.2">
      <c r="I48" s="28" t="s">
        <v>105</v>
      </c>
    </row>
    <row r="49" spans="1:7" ht="15.75" x14ac:dyDescent="0.25">
      <c r="A49" s="9" t="s">
        <v>18</v>
      </c>
      <c r="B49" s="10" t="str">
        <f t="shared" ref="B49:G49" si="17">B26</f>
        <v>Sample 1</v>
      </c>
      <c r="C49" s="10" t="str">
        <f t="shared" si="17"/>
        <v>Sample 2</v>
      </c>
      <c r="D49" s="10" t="str">
        <f t="shared" si="17"/>
        <v>Sample 3</v>
      </c>
      <c r="E49" s="10" t="str">
        <f t="shared" si="17"/>
        <v>Sample 4</v>
      </c>
      <c r="F49" s="10" t="str">
        <f t="shared" si="17"/>
        <v>Sample 5</v>
      </c>
      <c r="G49" s="10" t="str">
        <f t="shared" si="17"/>
        <v>Sample 6</v>
      </c>
    </row>
    <row r="50" spans="1:7" x14ac:dyDescent="0.2">
      <c r="B50" s="22">
        <v>52</v>
      </c>
      <c r="C50" s="21">
        <v>18.158814202847161</v>
      </c>
      <c r="D50" s="11">
        <v>102</v>
      </c>
      <c r="E50" s="11">
        <v>116</v>
      </c>
      <c r="F50" s="11">
        <v>98</v>
      </c>
      <c r="G50" s="11">
        <v>31</v>
      </c>
    </row>
    <row r="51" spans="1:7" x14ac:dyDescent="0.2">
      <c r="B51" s="22">
        <v>63</v>
      </c>
      <c r="C51" s="21">
        <v>17.014400814718055</v>
      </c>
      <c r="D51" s="11">
        <v>99</v>
      </c>
      <c r="E51" s="11">
        <v>98</v>
      </c>
      <c r="F51" s="11">
        <v>97</v>
      </c>
      <c r="G51" s="11">
        <v>35</v>
      </c>
    </row>
    <row r="52" spans="1:7" x14ac:dyDescent="0.2">
      <c r="B52" s="22">
        <v>107</v>
      </c>
      <c r="C52" s="21">
        <v>48.031902726373154</v>
      </c>
      <c r="D52" s="11">
        <v>102</v>
      </c>
      <c r="E52" s="11">
        <v>95</v>
      </c>
      <c r="F52" s="11">
        <v>94</v>
      </c>
      <c r="G52" s="11">
        <v>45</v>
      </c>
    </row>
    <row r="53" spans="1:7" x14ac:dyDescent="0.2">
      <c r="B53" s="22">
        <v>54</v>
      </c>
      <c r="C53" s="21">
        <v>30.536229662009877</v>
      </c>
      <c r="D53" s="11">
        <v>100</v>
      </c>
      <c r="E53" s="11">
        <v>67</v>
      </c>
      <c r="F53" s="11">
        <v>98</v>
      </c>
      <c r="G53" s="11">
        <v>29</v>
      </c>
    </row>
    <row r="54" spans="1:7" x14ac:dyDescent="0.2">
      <c r="B54" s="22">
        <v>79</v>
      </c>
      <c r="C54" s="21">
        <v>20.9232407071785</v>
      </c>
      <c r="D54" s="11">
        <v>106</v>
      </c>
      <c r="E54" s="11">
        <v>48</v>
      </c>
      <c r="F54" s="11">
        <v>96</v>
      </c>
      <c r="G54" s="11">
        <v>44</v>
      </c>
    </row>
    <row r="55" spans="1:7" x14ac:dyDescent="0.2">
      <c r="B55" s="22">
        <v>80</v>
      </c>
      <c r="C55" s="21">
        <v>29.256477015400773</v>
      </c>
      <c r="D55" s="11">
        <v>91</v>
      </c>
      <c r="E55" s="11">
        <v>109</v>
      </c>
      <c r="F55" s="11">
        <v>83</v>
      </c>
      <c r="G55" s="11">
        <v>67</v>
      </c>
    </row>
    <row r="56" spans="1:7" x14ac:dyDescent="0.2">
      <c r="B56" s="22">
        <v>108</v>
      </c>
      <c r="C56" s="21">
        <v>42.364023233732702</v>
      </c>
      <c r="D56" s="11">
        <v>82</v>
      </c>
      <c r="E56" s="11">
        <v>72</v>
      </c>
      <c r="F56" s="11">
        <v>75</v>
      </c>
      <c r="G56" s="11">
        <v>55</v>
      </c>
    </row>
    <row r="57" spans="1:7" x14ac:dyDescent="0.2">
      <c r="B57" s="22">
        <v>80</v>
      </c>
      <c r="C57" s="21">
        <v>30.74898797632434</v>
      </c>
      <c r="D57" s="11">
        <v>84</v>
      </c>
      <c r="E57" s="11">
        <v>125</v>
      </c>
      <c r="F57" s="11">
        <v>76</v>
      </c>
      <c r="G57" s="11">
        <v>41</v>
      </c>
    </row>
    <row r="58" spans="1:7" x14ac:dyDescent="0.2">
      <c r="B58" s="22">
        <v>78</v>
      </c>
      <c r="C58" s="21">
        <v>14.508174265705545</v>
      </c>
      <c r="D58" s="11">
        <v>75</v>
      </c>
      <c r="E58" s="11">
        <v>55</v>
      </c>
      <c r="F58" s="11">
        <v>72</v>
      </c>
      <c r="G58" s="11">
        <v>57</v>
      </c>
    </row>
    <row r="59" spans="1:7" x14ac:dyDescent="0.2">
      <c r="B59" s="22">
        <v>106</v>
      </c>
      <c r="C59" s="21">
        <v>17.213458084033938</v>
      </c>
      <c r="D59" s="11">
        <v>93</v>
      </c>
      <c r="E59" s="11">
        <v>119</v>
      </c>
      <c r="F59" s="11">
        <v>84</v>
      </c>
      <c r="G59" s="11">
        <v>34</v>
      </c>
    </row>
    <row r="60" spans="1:7" x14ac:dyDescent="0.2">
      <c r="B60" s="22">
        <v>80</v>
      </c>
      <c r="C60" s="21">
        <v>34.902672463855268</v>
      </c>
      <c r="D60" s="11">
        <v>98</v>
      </c>
      <c r="E60" s="11">
        <v>92</v>
      </c>
      <c r="F60" s="11">
        <v>89</v>
      </c>
      <c r="G60" s="11">
        <v>22</v>
      </c>
    </row>
    <row r="61" spans="1:7" x14ac:dyDescent="0.2">
      <c r="B61" s="22">
        <v>61</v>
      </c>
      <c r="C61" s="21">
        <v>42.170589788562815</v>
      </c>
      <c r="D61" s="11">
        <v>97</v>
      </c>
      <c r="E61" s="11">
        <v>46</v>
      </c>
      <c r="F61" s="11">
        <v>90</v>
      </c>
      <c r="G61" s="11">
        <v>38</v>
      </c>
    </row>
    <row r="62" spans="1:7" x14ac:dyDescent="0.2">
      <c r="B62" s="22">
        <v>42</v>
      </c>
      <c r="C62" s="21">
        <v>22.817182273002675</v>
      </c>
      <c r="D62" s="11">
        <v>99</v>
      </c>
      <c r="E62" s="11">
        <v>55</v>
      </c>
      <c r="F62" s="11">
        <v>92</v>
      </c>
      <c r="G62" s="11">
        <v>37</v>
      </c>
    </row>
    <row r="63" spans="1:7" x14ac:dyDescent="0.2">
      <c r="B63" s="22">
        <v>104</v>
      </c>
      <c r="C63" s="21">
        <v>20.779527837848669</v>
      </c>
      <c r="D63" s="11">
        <v>96</v>
      </c>
      <c r="E63" s="11">
        <v>116</v>
      </c>
      <c r="F63" s="11">
        <v>95</v>
      </c>
      <c r="G63" s="11">
        <v>59</v>
      </c>
    </row>
    <row r="64" spans="1:7" x14ac:dyDescent="0.2">
      <c r="B64" s="22">
        <v>39</v>
      </c>
      <c r="C64" s="21">
        <v>20.298678329331544</v>
      </c>
      <c r="D64" s="11">
        <v>92</v>
      </c>
      <c r="E64" s="11">
        <v>137</v>
      </c>
      <c r="F64" s="11">
        <v>91</v>
      </c>
      <c r="G64" s="11">
        <v>56</v>
      </c>
    </row>
    <row r="65" spans="2:7" x14ac:dyDescent="0.2">
      <c r="B65" s="22">
        <v>104</v>
      </c>
      <c r="C65" s="21">
        <v>24.07374008893008</v>
      </c>
      <c r="D65" s="11">
        <v>108</v>
      </c>
      <c r="E65" s="11">
        <v>70</v>
      </c>
      <c r="F65" s="11">
        <v>99</v>
      </c>
      <c r="G65" s="11">
        <v>44</v>
      </c>
    </row>
    <row r="66" spans="2:7" x14ac:dyDescent="0.2">
      <c r="B66" s="22">
        <v>59</v>
      </c>
      <c r="C66" s="21">
        <v>28.707235460806665</v>
      </c>
      <c r="D66" s="11">
        <v>102</v>
      </c>
      <c r="E66" s="11">
        <v>131</v>
      </c>
      <c r="F66" s="11">
        <v>100</v>
      </c>
      <c r="G66" s="11">
        <v>38</v>
      </c>
    </row>
    <row r="67" spans="2:7" x14ac:dyDescent="0.2">
      <c r="B67" s="22">
        <v>73</v>
      </c>
      <c r="C67" s="21">
        <v>14.061214497188285</v>
      </c>
      <c r="D67" s="11">
        <v>64</v>
      </c>
      <c r="E67" s="11">
        <v>93</v>
      </c>
      <c r="F67" s="11">
        <v>63</v>
      </c>
      <c r="G67" s="11">
        <v>66</v>
      </c>
    </row>
    <row r="68" spans="2:7" x14ac:dyDescent="0.2">
      <c r="B68" s="22">
        <v>62</v>
      </c>
      <c r="C68" s="21">
        <v>41.884087777019175</v>
      </c>
      <c r="D68" s="11">
        <v>84</v>
      </c>
      <c r="E68" s="11">
        <v>138</v>
      </c>
      <c r="F68" s="11">
        <v>74</v>
      </c>
      <c r="G68" s="11">
        <v>57</v>
      </c>
    </row>
    <row r="69" spans="2:7" x14ac:dyDescent="0.2">
      <c r="B69" s="22">
        <v>80</v>
      </c>
      <c r="C69" s="21">
        <v>38.804049197372464</v>
      </c>
      <c r="D69" s="11">
        <v>77</v>
      </c>
      <c r="E69" s="11">
        <v>40</v>
      </c>
      <c r="F69" s="11">
        <v>76</v>
      </c>
      <c r="G69" s="11">
        <v>52</v>
      </c>
    </row>
    <row r="70" spans="2:7" x14ac:dyDescent="0.2">
      <c r="B70" s="22">
        <v>26</v>
      </c>
      <c r="C70" s="21">
        <v>12.253717590976999</v>
      </c>
      <c r="D70" s="11">
        <v>90</v>
      </c>
      <c r="E70" s="11">
        <v>98</v>
      </c>
      <c r="F70" s="11">
        <v>82</v>
      </c>
      <c r="G70" s="11">
        <v>51</v>
      </c>
    </row>
    <row r="71" spans="2:7" x14ac:dyDescent="0.2">
      <c r="B71" s="22">
        <v>91</v>
      </c>
      <c r="C71" s="21">
        <v>78.604550770695781</v>
      </c>
      <c r="D71" s="11">
        <v>97</v>
      </c>
      <c r="E71" s="11">
        <v>49</v>
      </c>
      <c r="F71" s="11">
        <v>93</v>
      </c>
      <c r="G71" s="11">
        <v>23</v>
      </c>
    </row>
    <row r="72" spans="2:7" x14ac:dyDescent="0.2">
      <c r="B72" s="22">
        <v>25</v>
      </c>
      <c r="C72" s="21">
        <v>17.524812607049149</v>
      </c>
      <c r="D72" s="11">
        <v>93</v>
      </c>
      <c r="E72" s="11"/>
      <c r="F72" s="11">
        <v>92</v>
      </c>
      <c r="G72" s="11">
        <v>53</v>
      </c>
    </row>
    <row r="73" spans="2:7" x14ac:dyDescent="0.2">
      <c r="B73" s="22">
        <v>63</v>
      </c>
      <c r="C73" s="21">
        <v>12.079733103016904</v>
      </c>
      <c r="D73" s="11">
        <v>85</v>
      </c>
      <c r="E73" s="11">
        <v>40</v>
      </c>
      <c r="F73" s="11">
        <v>78</v>
      </c>
      <c r="G73" s="11">
        <v>29</v>
      </c>
    </row>
    <row r="74" spans="2:7" x14ac:dyDescent="0.2">
      <c r="B74" s="22">
        <v>51</v>
      </c>
      <c r="C74" s="21">
        <v>18.913254813219055</v>
      </c>
      <c r="D74" s="11">
        <v>75</v>
      </c>
      <c r="E74" s="11"/>
      <c r="F74" s="11">
        <v>73</v>
      </c>
      <c r="G74" s="11"/>
    </row>
    <row r="75" spans="2:7" x14ac:dyDescent="0.2">
      <c r="B75" s="22">
        <v>28</v>
      </c>
      <c r="C75" s="21">
        <v>19.711160765995494</v>
      </c>
      <c r="D75" s="11">
        <v>70</v>
      </c>
      <c r="E75" s="11"/>
      <c r="F75" s="11">
        <v>68</v>
      </c>
      <c r="G75" s="11">
        <v>130</v>
      </c>
    </row>
    <row r="76" spans="2:7" x14ac:dyDescent="0.2">
      <c r="B76" s="22">
        <v>41</v>
      </c>
      <c r="C76" s="11"/>
      <c r="D76" s="11">
        <v>91</v>
      </c>
      <c r="E76" s="11"/>
      <c r="F76" s="11">
        <v>82</v>
      </c>
      <c r="G76" s="11"/>
    </row>
    <row r="77" spans="2:7" x14ac:dyDescent="0.2">
      <c r="B77" s="22">
        <v>30</v>
      </c>
      <c r="C77" s="11"/>
      <c r="D77" s="11">
        <v>95</v>
      </c>
      <c r="E77" s="11"/>
      <c r="F77" s="11">
        <v>89</v>
      </c>
      <c r="G77" s="11"/>
    </row>
    <row r="78" spans="2:7" x14ac:dyDescent="0.2">
      <c r="B78" s="22">
        <v>94</v>
      </c>
      <c r="C78" s="11"/>
      <c r="D78" s="11">
        <v>94</v>
      </c>
      <c r="E78" s="11"/>
      <c r="F78" s="11">
        <v>86</v>
      </c>
      <c r="G78" s="11"/>
    </row>
    <row r="79" spans="2:7" x14ac:dyDescent="0.2">
      <c r="B79" s="22">
        <v>22</v>
      </c>
      <c r="C79" s="11"/>
      <c r="D79" s="11">
        <v>78</v>
      </c>
      <c r="E79" s="11"/>
      <c r="F79" s="11">
        <v>72</v>
      </c>
      <c r="G79" s="11"/>
    </row>
    <row r="80" spans="2:7" x14ac:dyDescent="0.2">
      <c r="B80" s="22">
        <v>26.609232489794522</v>
      </c>
      <c r="C80" s="11"/>
      <c r="D80" s="11">
        <v>82</v>
      </c>
      <c r="E80" s="11"/>
      <c r="F80" s="11">
        <v>74</v>
      </c>
      <c r="G80" s="11"/>
    </row>
    <row r="81" spans="1:7" x14ac:dyDescent="0.2">
      <c r="B81" s="22">
        <v>32.521992186262601</v>
      </c>
      <c r="C81" s="11"/>
      <c r="D81" s="11">
        <v>85</v>
      </c>
      <c r="E81" s="11"/>
      <c r="F81" s="11">
        <v>79</v>
      </c>
      <c r="G81" s="11"/>
    </row>
    <row r="82" spans="1:7" x14ac:dyDescent="0.2">
      <c r="B82" s="22">
        <v>65.561038874854347</v>
      </c>
      <c r="C82" s="11"/>
      <c r="D82" s="11">
        <v>85</v>
      </c>
      <c r="E82" s="11"/>
      <c r="F82" s="11">
        <v>78</v>
      </c>
      <c r="G82" s="11"/>
    </row>
    <row r="83" spans="1:7" x14ac:dyDescent="0.2">
      <c r="B83" s="22">
        <v>36.321093962685211</v>
      </c>
      <c r="C83" s="11"/>
      <c r="D83" s="11">
        <v>82</v>
      </c>
      <c r="E83" s="11"/>
      <c r="F83" s="11">
        <v>81</v>
      </c>
      <c r="G83" s="11"/>
    </row>
    <row r="84" spans="1:7" x14ac:dyDescent="0.2">
      <c r="B84" s="11"/>
      <c r="C84" s="11"/>
      <c r="D84" s="11"/>
      <c r="E84" s="11"/>
      <c r="F84" s="11"/>
      <c r="G84" s="11"/>
    </row>
    <row r="85" spans="1:7" x14ac:dyDescent="0.2">
      <c r="B85" s="11"/>
      <c r="C85" s="11"/>
      <c r="D85" s="11"/>
      <c r="E85" s="11"/>
      <c r="F85" s="11">
        <v>20</v>
      </c>
      <c r="G85" s="11"/>
    </row>
    <row r="86" spans="1:7" x14ac:dyDescent="0.2">
      <c r="B86" s="11"/>
      <c r="C86" s="11"/>
      <c r="D86" s="11">
        <v>30</v>
      </c>
      <c r="E86" s="11"/>
      <c r="F86" s="11">
        <v>10</v>
      </c>
      <c r="G86" s="11"/>
    </row>
    <row r="87" spans="1:7" x14ac:dyDescent="0.2">
      <c r="B87" s="11"/>
      <c r="C87" s="11"/>
      <c r="D87" s="11">
        <v>140</v>
      </c>
      <c r="E87" s="11"/>
      <c r="F87" s="11">
        <v>140</v>
      </c>
      <c r="G87" s="11"/>
    </row>
    <row r="88" spans="1:7" x14ac:dyDescent="0.2">
      <c r="B88" s="11"/>
      <c r="C88" s="11"/>
      <c r="D88" s="11">
        <v>145</v>
      </c>
      <c r="E88" s="11"/>
      <c r="F88" s="11">
        <v>130</v>
      </c>
      <c r="G88" s="11"/>
    </row>
    <row r="89" spans="1:7" x14ac:dyDescent="0.2">
      <c r="B89" s="11"/>
      <c r="C89" s="11"/>
      <c r="D89" s="11"/>
      <c r="E89" s="11"/>
      <c r="F89" s="11"/>
      <c r="G89" s="11"/>
    </row>
    <row r="90" spans="1:7" x14ac:dyDescent="0.2">
      <c r="A90" s="12" t="s">
        <v>0</v>
      </c>
      <c r="B90" s="12"/>
      <c r="C90" s="1"/>
      <c r="D90" s="1"/>
      <c r="E90" s="1"/>
      <c r="F90" s="1"/>
      <c r="G90" s="1"/>
    </row>
  </sheetData>
  <phoneticPr fontId="0" type="noConversion"/>
  <printOptions horizontalCentered="1"/>
  <pageMargins left="0.5" right="0.5" top="0.5" bottom="0.5" header="0.25" footer="0.25"/>
  <pageSetup fitToHeight="0" orientation="portrait" r:id="rId1"/>
  <headerFooter alignWithMargins="0">
    <oddFooter>&amp;L&amp;8&amp;K01+048https://www.vertex42.com/ExcelTemplates/box-whisker-plot.html&amp;R&amp;8&amp;K01+048© 2009 Vertex42 LLC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90"/>
  <sheetViews>
    <sheetView showGridLines="0" workbookViewId="0">
      <selection activeCell="K1" sqref="I1:K3"/>
    </sheetView>
  </sheetViews>
  <sheetFormatPr defaultColWidth="9.140625" defaultRowHeight="12.75" x14ac:dyDescent="0.2"/>
  <cols>
    <col min="1" max="1" width="14.140625" style="3" customWidth="1"/>
    <col min="2" max="7" width="12.7109375" style="3" customWidth="1"/>
    <col min="8" max="8" width="3.42578125" style="3" customWidth="1"/>
    <col min="9" max="9" width="13.42578125" style="3" customWidth="1"/>
    <col min="10" max="16384" width="9.140625" style="3"/>
  </cols>
  <sheetData>
    <row r="1" spans="1:12" ht="30" customHeight="1" x14ac:dyDescent="0.2">
      <c r="A1" s="17" t="s">
        <v>1</v>
      </c>
      <c r="B1" s="1"/>
      <c r="C1" s="2"/>
      <c r="D1" s="2"/>
      <c r="E1" s="2"/>
      <c r="F1" s="2"/>
      <c r="G1" s="2"/>
    </row>
    <row r="2" spans="1:12" ht="15.75" x14ac:dyDescent="0.25">
      <c r="A2" s="4"/>
    </row>
    <row r="3" spans="1:12" x14ac:dyDescent="0.2">
      <c r="I3" s="5"/>
    </row>
    <row r="5" spans="1:12" x14ac:dyDescent="0.2">
      <c r="I5" s="25" t="s">
        <v>32</v>
      </c>
      <c r="J5" s="26"/>
      <c r="K5" s="26"/>
      <c r="L5" s="26"/>
    </row>
    <row r="6" spans="1:12" x14ac:dyDescent="0.2">
      <c r="I6" s="27" t="s">
        <v>42</v>
      </c>
    </row>
    <row r="7" spans="1:12" x14ac:dyDescent="0.2">
      <c r="I7" s="27" t="s">
        <v>43</v>
      </c>
    </row>
    <row r="8" spans="1:12" x14ac:dyDescent="0.2">
      <c r="I8" s="27" t="s">
        <v>44</v>
      </c>
    </row>
    <row r="9" spans="1:12" x14ac:dyDescent="0.2">
      <c r="I9" s="27" t="s">
        <v>45</v>
      </c>
    </row>
    <row r="10" spans="1:12" x14ac:dyDescent="0.2">
      <c r="I10" s="27" t="s">
        <v>46</v>
      </c>
    </row>
    <row r="11" spans="1:12" x14ac:dyDescent="0.2">
      <c r="I11" s="27" t="s">
        <v>47</v>
      </c>
    </row>
    <row r="12" spans="1:12" x14ac:dyDescent="0.2">
      <c r="I12" s="27" t="s">
        <v>48</v>
      </c>
    </row>
    <row r="13" spans="1:12" x14ac:dyDescent="0.2">
      <c r="I13" s="27" t="s">
        <v>49</v>
      </c>
    </row>
    <row r="14" spans="1:12" x14ac:dyDescent="0.2">
      <c r="I14" s="28" t="s">
        <v>50</v>
      </c>
    </row>
    <row r="26" spans="1:7" x14ac:dyDescent="0.2">
      <c r="A26" s="6" t="s">
        <v>19</v>
      </c>
      <c r="B26" s="7" t="s">
        <v>8</v>
      </c>
      <c r="C26" s="7" t="s">
        <v>9</v>
      </c>
      <c r="D26" s="7" t="s">
        <v>10</v>
      </c>
      <c r="E26" s="7" t="s">
        <v>11</v>
      </c>
      <c r="F26" s="7" t="s">
        <v>12</v>
      </c>
      <c r="G26" s="7" t="s">
        <v>13</v>
      </c>
    </row>
    <row r="27" spans="1:7" x14ac:dyDescent="0.2">
      <c r="A27" s="6" t="s">
        <v>2</v>
      </c>
      <c r="B27" s="3">
        <f t="shared" ref="B27:G27" si="0">MIN(B$50:B$90)</f>
        <v>-48</v>
      </c>
      <c r="C27" s="3">
        <f t="shared" si="0"/>
        <v>-7</v>
      </c>
      <c r="D27" s="3">
        <f t="shared" si="0"/>
        <v>-10</v>
      </c>
      <c r="E27" s="3">
        <f t="shared" si="0"/>
        <v>10</v>
      </c>
      <c r="F27" s="3">
        <f t="shared" si="0"/>
        <v>-115</v>
      </c>
      <c r="G27" s="3">
        <f t="shared" si="0"/>
        <v>33</v>
      </c>
    </row>
    <row r="28" spans="1:7" ht="15.75" x14ac:dyDescent="0.3">
      <c r="A28" s="6" t="s">
        <v>23</v>
      </c>
      <c r="B28" s="3">
        <f t="shared" ref="B28:G28" si="1">PERCENTILE(B$50:B$90,0.25)</f>
        <v>-29.5</v>
      </c>
      <c r="C28" s="3">
        <f t="shared" si="1"/>
        <v>6</v>
      </c>
      <c r="D28" s="3">
        <f t="shared" si="1"/>
        <v>42</v>
      </c>
      <c r="E28" s="3">
        <f t="shared" si="1"/>
        <v>34.5</v>
      </c>
      <c r="F28" s="3">
        <f t="shared" si="1"/>
        <v>-49.5</v>
      </c>
      <c r="G28" s="3">
        <f t="shared" si="1"/>
        <v>46</v>
      </c>
    </row>
    <row r="29" spans="1:7" x14ac:dyDescent="0.2">
      <c r="A29" s="6" t="s">
        <v>5</v>
      </c>
      <c r="B29" s="3">
        <f t="shared" ref="B29:G29" si="2">MEDIAN(B$50:B$90)</f>
        <v>-7.5</v>
      </c>
      <c r="C29" s="3">
        <f t="shared" si="2"/>
        <v>19.5</v>
      </c>
      <c r="D29" s="3">
        <f t="shared" si="2"/>
        <v>52</v>
      </c>
      <c r="E29" s="3">
        <f t="shared" si="2"/>
        <v>45</v>
      </c>
      <c r="F29" s="3">
        <f t="shared" si="2"/>
        <v>-41</v>
      </c>
      <c r="G29" s="3">
        <f t="shared" si="2"/>
        <v>54</v>
      </c>
    </row>
    <row r="30" spans="1:7" ht="15.75" x14ac:dyDescent="0.3">
      <c r="A30" s="6" t="s">
        <v>24</v>
      </c>
      <c r="B30" s="3">
        <f t="shared" ref="B30:G30" si="3">PERCENTILE(B$50:B$90,0.75)</f>
        <v>11.5</v>
      </c>
      <c r="C30" s="3">
        <f t="shared" si="3"/>
        <v>24.75</v>
      </c>
      <c r="D30" s="3">
        <f t="shared" si="3"/>
        <v>59</v>
      </c>
      <c r="E30" s="3">
        <f t="shared" si="3"/>
        <v>62.5</v>
      </c>
      <c r="F30" s="3">
        <f t="shared" si="3"/>
        <v>-30.5</v>
      </c>
      <c r="G30" s="3">
        <f t="shared" si="3"/>
        <v>62</v>
      </c>
    </row>
    <row r="31" spans="1:7" x14ac:dyDescent="0.2">
      <c r="A31" s="6" t="s">
        <v>3</v>
      </c>
      <c r="B31" s="3">
        <f t="shared" ref="B31:G31" si="4">MAX(B$50:B$90)</f>
        <v>29</v>
      </c>
      <c r="C31" s="3">
        <f t="shared" si="4"/>
        <v>30</v>
      </c>
      <c r="D31" s="3">
        <f t="shared" si="4"/>
        <v>105</v>
      </c>
      <c r="E31" s="3">
        <f t="shared" si="4"/>
        <v>86</v>
      </c>
      <c r="F31" s="3">
        <f t="shared" si="4"/>
        <v>25</v>
      </c>
      <c r="G31" s="3">
        <f t="shared" si="4"/>
        <v>100</v>
      </c>
    </row>
    <row r="32" spans="1:7" x14ac:dyDescent="0.2">
      <c r="A32" s="6" t="s">
        <v>4</v>
      </c>
      <c r="B32" s="3">
        <f t="shared" ref="B32:G32" si="5">B30-B28</f>
        <v>41</v>
      </c>
      <c r="C32" s="3">
        <f t="shared" si="5"/>
        <v>18.75</v>
      </c>
      <c r="D32" s="3">
        <f t="shared" si="5"/>
        <v>17</v>
      </c>
      <c r="E32" s="3">
        <f t="shared" si="5"/>
        <v>28</v>
      </c>
      <c r="F32" s="3">
        <f t="shared" si="5"/>
        <v>19</v>
      </c>
      <c r="G32" s="3">
        <f t="shared" si="5"/>
        <v>16</v>
      </c>
    </row>
    <row r="33" spans="1:7" x14ac:dyDescent="0.2">
      <c r="A33" s="6" t="s">
        <v>15</v>
      </c>
      <c r="B33" s="3">
        <f t="shared" ref="B33:G33" si="6">COUNTIF(B$50:B$90,"&gt;"&amp;B39)</f>
        <v>0</v>
      </c>
      <c r="C33" s="3">
        <f t="shared" si="6"/>
        <v>0</v>
      </c>
      <c r="D33" s="3">
        <f t="shared" si="6"/>
        <v>2</v>
      </c>
      <c r="E33" s="3">
        <f t="shared" si="6"/>
        <v>0</v>
      </c>
      <c r="F33" s="3">
        <f t="shared" si="6"/>
        <v>3</v>
      </c>
      <c r="G33" s="3">
        <f t="shared" si="6"/>
        <v>1</v>
      </c>
    </row>
    <row r="34" spans="1:7" x14ac:dyDescent="0.2">
      <c r="A34" s="6" t="s">
        <v>16</v>
      </c>
      <c r="B34" s="3">
        <f t="shared" ref="B34:G34" si="7">COUNTIF(B$50:B$90,"&lt;"&amp;B40)</f>
        <v>0</v>
      </c>
      <c r="C34" s="3">
        <f t="shared" si="7"/>
        <v>0</v>
      </c>
      <c r="D34" s="3">
        <f t="shared" si="7"/>
        <v>1</v>
      </c>
      <c r="E34" s="3">
        <f t="shared" si="7"/>
        <v>0</v>
      </c>
      <c r="F34" s="3">
        <f t="shared" si="7"/>
        <v>2</v>
      </c>
      <c r="G34" s="3">
        <f t="shared" si="7"/>
        <v>0</v>
      </c>
    </row>
    <row r="35" spans="1:7" hidden="1" x14ac:dyDescent="0.2">
      <c r="A35" s="8" t="s">
        <v>22</v>
      </c>
      <c r="B35" s="1"/>
      <c r="C35" s="1"/>
      <c r="D35" s="1"/>
      <c r="E35" s="1"/>
      <c r="F35" s="1"/>
      <c r="G35" s="1"/>
    </row>
    <row r="36" spans="1:7" hidden="1" x14ac:dyDescent="0.2">
      <c r="A36" s="6" t="s">
        <v>6</v>
      </c>
      <c r="B36" s="3">
        <f t="shared" ref="B36:G37" si="8">B29-B28</f>
        <v>22</v>
      </c>
      <c r="C36" s="3">
        <f t="shared" si="8"/>
        <v>13.5</v>
      </c>
      <c r="D36" s="3">
        <f t="shared" si="8"/>
        <v>10</v>
      </c>
      <c r="E36" s="3">
        <f t="shared" si="8"/>
        <v>10.5</v>
      </c>
      <c r="F36" s="3">
        <f t="shared" si="8"/>
        <v>8.5</v>
      </c>
      <c r="G36" s="3">
        <f t="shared" si="8"/>
        <v>8</v>
      </c>
    </row>
    <row r="37" spans="1:7" hidden="1" x14ac:dyDescent="0.2">
      <c r="A37" s="6" t="s">
        <v>7</v>
      </c>
      <c r="B37" s="3">
        <f t="shared" si="8"/>
        <v>19</v>
      </c>
      <c r="C37" s="3">
        <f t="shared" si="8"/>
        <v>5.25</v>
      </c>
      <c r="D37" s="3">
        <f t="shared" si="8"/>
        <v>7</v>
      </c>
      <c r="E37" s="3">
        <f t="shared" si="8"/>
        <v>17.5</v>
      </c>
      <c r="F37" s="3">
        <f t="shared" si="8"/>
        <v>10.5</v>
      </c>
      <c r="G37" s="3">
        <f t="shared" si="8"/>
        <v>8</v>
      </c>
    </row>
    <row r="38" spans="1:7" hidden="1" x14ac:dyDescent="0.2">
      <c r="A38" s="8" t="s">
        <v>21</v>
      </c>
      <c r="B38" s="1"/>
      <c r="C38" s="1"/>
      <c r="D38" s="1"/>
      <c r="E38" s="1"/>
      <c r="F38" s="1"/>
      <c r="G38" s="1"/>
    </row>
    <row r="39" spans="1:7" ht="15.75" hidden="1" x14ac:dyDescent="0.3">
      <c r="A39" s="6" t="s">
        <v>25</v>
      </c>
      <c r="B39" s="3">
        <f t="shared" ref="B39:G39" si="9">B30+1.5*B32</f>
        <v>73</v>
      </c>
      <c r="C39" s="3">
        <f t="shared" si="9"/>
        <v>52.875</v>
      </c>
      <c r="D39" s="3">
        <f t="shared" si="9"/>
        <v>84.5</v>
      </c>
      <c r="E39" s="3">
        <f t="shared" si="9"/>
        <v>104.5</v>
      </c>
      <c r="F39" s="3">
        <f t="shared" si="9"/>
        <v>-2</v>
      </c>
      <c r="G39" s="3">
        <f t="shared" si="9"/>
        <v>86</v>
      </c>
    </row>
    <row r="40" spans="1:7" ht="15.75" hidden="1" x14ac:dyDescent="0.3">
      <c r="A40" s="6" t="s">
        <v>26</v>
      </c>
      <c r="B40" s="3">
        <f t="shared" ref="B40:G40" si="10">B28-1.5*B32</f>
        <v>-91</v>
      </c>
      <c r="C40" s="3">
        <f t="shared" si="10"/>
        <v>-22.125</v>
      </c>
      <c r="D40" s="3">
        <f t="shared" si="10"/>
        <v>16.5</v>
      </c>
      <c r="E40" s="3">
        <f t="shared" si="10"/>
        <v>-7.5</v>
      </c>
      <c r="F40" s="3">
        <f t="shared" si="10"/>
        <v>-78</v>
      </c>
      <c r="G40" s="3">
        <f t="shared" si="10"/>
        <v>22</v>
      </c>
    </row>
    <row r="41" spans="1:7" hidden="1" x14ac:dyDescent="0.2">
      <c r="A41" s="6" t="s">
        <v>14</v>
      </c>
      <c r="B41" s="3">
        <f t="shared" ref="B41:G41" si="11">MIN(B39,B31)</f>
        <v>29</v>
      </c>
      <c r="C41" s="3">
        <f t="shared" si="11"/>
        <v>30</v>
      </c>
      <c r="D41" s="3">
        <f t="shared" si="11"/>
        <v>84.5</v>
      </c>
      <c r="E41" s="3">
        <f t="shared" si="11"/>
        <v>86</v>
      </c>
      <c r="F41" s="3">
        <f t="shared" si="11"/>
        <v>-2</v>
      </c>
      <c r="G41" s="3">
        <f t="shared" si="11"/>
        <v>86</v>
      </c>
    </row>
    <row r="42" spans="1:7" hidden="1" x14ac:dyDescent="0.2">
      <c r="A42" s="6" t="s">
        <v>20</v>
      </c>
      <c r="B42" s="3">
        <f t="shared" ref="B42:G42" si="12">MAX(B27,B40)</f>
        <v>-48</v>
      </c>
      <c r="C42" s="3">
        <f t="shared" si="12"/>
        <v>-7</v>
      </c>
      <c r="D42" s="3">
        <f t="shared" si="12"/>
        <v>16.5</v>
      </c>
      <c r="E42" s="3">
        <f t="shared" si="12"/>
        <v>10</v>
      </c>
      <c r="F42" s="3">
        <f t="shared" si="12"/>
        <v>-78</v>
      </c>
      <c r="G42" s="3">
        <f t="shared" si="12"/>
        <v>33</v>
      </c>
    </row>
    <row r="43" spans="1:7" ht="15.75" hidden="1" x14ac:dyDescent="0.3">
      <c r="A43" s="6" t="s">
        <v>27</v>
      </c>
      <c r="B43" s="3">
        <f t="shared" ref="B43:G43" si="13">B41-B30</f>
        <v>17.5</v>
      </c>
      <c r="C43" s="3">
        <f t="shared" si="13"/>
        <v>5.25</v>
      </c>
      <c r="D43" s="3">
        <f t="shared" si="13"/>
        <v>25.5</v>
      </c>
      <c r="E43" s="3">
        <f t="shared" si="13"/>
        <v>23.5</v>
      </c>
      <c r="F43" s="3">
        <f t="shared" si="13"/>
        <v>28.5</v>
      </c>
      <c r="G43" s="3">
        <f t="shared" si="13"/>
        <v>24</v>
      </c>
    </row>
    <row r="44" spans="1:7" ht="15.75" hidden="1" x14ac:dyDescent="0.3">
      <c r="A44" s="6" t="s">
        <v>28</v>
      </c>
      <c r="B44" s="3">
        <f t="shared" ref="B44:G44" si="14">B28-B42</f>
        <v>18.5</v>
      </c>
      <c r="C44" s="3">
        <f t="shared" si="14"/>
        <v>13</v>
      </c>
      <c r="D44" s="3">
        <f t="shared" si="14"/>
        <v>25.5</v>
      </c>
      <c r="E44" s="3">
        <f t="shared" si="14"/>
        <v>24.5</v>
      </c>
      <c r="F44" s="3">
        <f t="shared" si="14"/>
        <v>28.5</v>
      </c>
      <c r="G44" s="3">
        <f t="shared" si="14"/>
        <v>13</v>
      </c>
    </row>
    <row r="45" spans="1:7" hidden="1" x14ac:dyDescent="0.2">
      <c r="A45" s="8" t="s">
        <v>17</v>
      </c>
      <c r="B45" s="1"/>
      <c r="C45" s="1"/>
      <c r="D45" s="1"/>
      <c r="E45" s="1"/>
      <c r="F45" s="1"/>
      <c r="G45" s="1"/>
    </row>
    <row r="46" spans="1:7" hidden="1" x14ac:dyDescent="0.2">
      <c r="A46" s="6" t="s">
        <v>3</v>
      </c>
      <c r="B46" s="3" t="e">
        <f t="shared" ref="B46:G46" si="15">IF(B33&gt;0,B31,NA())</f>
        <v>#N/A</v>
      </c>
      <c r="C46" s="3" t="e">
        <f t="shared" si="15"/>
        <v>#N/A</v>
      </c>
      <c r="D46" s="3">
        <f t="shared" si="15"/>
        <v>105</v>
      </c>
      <c r="E46" s="3" t="e">
        <f t="shared" si="15"/>
        <v>#N/A</v>
      </c>
      <c r="F46" s="3">
        <f t="shared" si="15"/>
        <v>25</v>
      </c>
      <c r="G46" s="3">
        <f t="shared" si="15"/>
        <v>100</v>
      </c>
    </row>
    <row r="47" spans="1:7" hidden="1" x14ac:dyDescent="0.2">
      <c r="A47" s="6" t="s">
        <v>2</v>
      </c>
      <c r="B47" s="3" t="e">
        <f t="shared" ref="B47:G47" si="16">IF(B34&gt;0,B27,NA())</f>
        <v>#N/A</v>
      </c>
      <c r="C47" s="3" t="e">
        <f t="shared" si="16"/>
        <v>#N/A</v>
      </c>
      <c r="D47" s="3">
        <f t="shared" si="16"/>
        <v>-10</v>
      </c>
      <c r="E47" s="3" t="e">
        <f t="shared" si="16"/>
        <v>#N/A</v>
      </c>
      <c r="F47" s="3">
        <f t="shared" si="16"/>
        <v>-115</v>
      </c>
      <c r="G47" s="3" t="e">
        <f t="shared" si="16"/>
        <v>#N/A</v>
      </c>
    </row>
    <row r="49" spans="1:7" ht="15.75" x14ac:dyDescent="0.25">
      <c r="A49" s="9" t="s">
        <v>18</v>
      </c>
      <c r="B49" s="10"/>
      <c r="C49" s="10"/>
      <c r="D49" s="10"/>
      <c r="E49" s="10"/>
      <c r="F49" s="10"/>
      <c r="G49" s="10"/>
    </row>
    <row r="50" spans="1:7" x14ac:dyDescent="0.2">
      <c r="B50" s="11">
        <v>-41</v>
      </c>
      <c r="C50" s="11">
        <v>28</v>
      </c>
      <c r="D50" s="11">
        <v>62</v>
      </c>
      <c r="E50" s="11">
        <v>42</v>
      </c>
      <c r="F50" s="11">
        <v>-27</v>
      </c>
      <c r="G50" s="11"/>
    </row>
    <row r="51" spans="1:7" x14ac:dyDescent="0.2">
      <c r="B51" s="11">
        <v>-7</v>
      </c>
      <c r="C51" s="11">
        <v>27</v>
      </c>
      <c r="D51" s="11">
        <v>59</v>
      </c>
      <c r="E51" s="11">
        <v>27</v>
      </c>
      <c r="F51" s="11">
        <v>-28</v>
      </c>
      <c r="G51" s="11"/>
    </row>
    <row r="52" spans="1:7" x14ac:dyDescent="0.2">
      <c r="B52" s="11">
        <v>-12</v>
      </c>
      <c r="C52" s="11">
        <v>24</v>
      </c>
      <c r="D52" s="11">
        <v>62</v>
      </c>
      <c r="E52" s="11">
        <v>49</v>
      </c>
      <c r="F52" s="11">
        <v>-31</v>
      </c>
      <c r="G52" s="11">
        <v>100</v>
      </c>
    </row>
    <row r="53" spans="1:7" x14ac:dyDescent="0.2">
      <c r="B53" s="11">
        <v>-48</v>
      </c>
      <c r="C53" s="11">
        <v>28</v>
      </c>
      <c r="D53" s="11">
        <v>60</v>
      </c>
      <c r="E53" s="11">
        <v>58</v>
      </c>
      <c r="F53" s="11">
        <v>-27</v>
      </c>
      <c r="G53" s="11"/>
    </row>
    <row r="54" spans="1:7" x14ac:dyDescent="0.2">
      <c r="B54" s="11">
        <v>-26</v>
      </c>
      <c r="C54" s="11">
        <v>26</v>
      </c>
      <c r="D54" s="11">
        <v>66</v>
      </c>
      <c r="E54" s="11">
        <v>29</v>
      </c>
      <c r="F54" s="11">
        <v>-29</v>
      </c>
      <c r="G54" s="11"/>
    </row>
    <row r="55" spans="1:7" x14ac:dyDescent="0.2">
      <c r="B55" s="11">
        <v>-30</v>
      </c>
      <c r="C55" s="11">
        <v>13</v>
      </c>
      <c r="D55" s="11">
        <v>51</v>
      </c>
      <c r="E55" s="11">
        <v>45</v>
      </c>
      <c r="F55" s="11">
        <v>-42</v>
      </c>
      <c r="G55" s="11">
        <v>53</v>
      </c>
    </row>
    <row r="56" spans="1:7" x14ac:dyDescent="0.2">
      <c r="B56" s="11">
        <v>12</v>
      </c>
      <c r="C56" s="11">
        <v>5</v>
      </c>
      <c r="D56" s="11">
        <v>42</v>
      </c>
      <c r="E56" s="11">
        <v>43</v>
      </c>
      <c r="F56" s="11">
        <v>-50</v>
      </c>
      <c r="G56" s="11">
        <v>45</v>
      </c>
    </row>
    <row r="57" spans="1:7" x14ac:dyDescent="0.2">
      <c r="B57" s="11">
        <v>-27</v>
      </c>
      <c r="C57" s="11">
        <v>6</v>
      </c>
      <c r="D57" s="11">
        <v>44</v>
      </c>
      <c r="E57" s="11">
        <v>28</v>
      </c>
      <c r="F57" s="11">
        <v>-49</v>
      </c>
      <c r="G57" s="11">
        <v>46</v>
      </c>
    </row>
    <row r="58" spans="1:7" x14ac:dyDescent="0.2">
      <c r="B58" s="11">
        <v>-28</v>
      </c>
      <c r="C58" s="11">
        <v>2</v>
      </c>
      <c r="D58" s="11">
        <v>35</v>
      </c>
      <c r="E58" s="11">
        <v>40</v>
      </c>
      <c r="F58" s="11">
        <v>-53</v>
      </c>
      <c r="G58" s="11">
        <v>42</v>
      </c>
    </row>
    <row r="59" spans="1:7" x14ac:dyDescent="0.2">
      <c r="B59" s="11">
        <v>-37</v>
      </c>
      <c r="C59" s="11">
        <v>14</v>
      </c>
      <c r="D59" s="11">
        <v>53</v>
      </c>
      <c r="E59" s="11">
        <v>26</v>
      </c>
      <c r="F59" s="11">
        <v>-41</v>
      </c>
      <c r="G59" s="11">
        <v>54</v>
      </c>
    </row>
    <row r="60" spans="1:7" x14ac:dyDescent="0.2">
      <c r="B60" s="11">
        <v>9</v>
      </c>
      <c r="C60" s="11">
        <v>19</v>
      </c>
      <c r="D60" s="11">
        <v>58</v>
      </c>
      <c r="E60" s="11">
        <v>42</v>
      </c>
      <c r="F60" s="11">
        <v>-36</v>
      </c>
      <c r="G60" s="11">
        <v>59</v>
      </c>
    </row>
    <row r="61" spans="1:7" x14ac:dyDescent="0.2">
      <c r="B61" s="11">
        <v>-48</v>
      </c>
      <c r="C61" s="11">
        <v>20</v>
      </c>
      <c r="D61" s="11">
        <v>57</v>
      </c>
      <c r="E61" s="11">
        <v>64</v>
      </c>
      <c r="F61" s="11">
        <v>-35</v>
      </c>
      <c r="G61" s="11">
        <v>60</v>
      </c>
    </row>
    <row r="62" spans="1:7" x14ac:dyDescent="0.2">
      <c r="B62" s="11">
        <v>7</v>
      </c>
      <c r="C62" s="11">
        <v>22</v>
      </c>
      <c r="D62" s="11">
        <v>59</v>
      </c>
      <c r="E62" s="11">
        <v>60</v>
      </c>
      <c r="F62" s="11">
        <v>-33</v>
      </c>
      <c r="G62" s="11">
        <v>62</v>
      </c>
    </row>
    <row r="63" spans="1:7" x14ac:dyDescent="0.2">
      <c r="B63" s="11">
        <v>-2</v>
      </c>
      <c r="C63" s="11">
        <v>25</v>
      </c>
      <c r="D63" s="11">
        <v>56</v>
      </c>
      <c r="E63" s="11">
        <v>26</v>
      </c>
      <c r="F63" s="11">
        <v>-30</v>
      </c>
      <c r="G63" s="11">
        <v>65</v>
      </c>
    </row>
    <row r="64" spans="1:7" x14ac:dyDescent="0.2">
      <c r="B64" s="11">
        <v>-42</v>
      </c>
      <c r="C64" s="11">
        <v>21</v>
      </c>
      <c r="D64" s="11">
        <v>52</v>
      </c>
      <c r="E64" s="11">
        <v>79</v>
      </c>
      <c r="F64" s="11">
        <v>-34</v>
      </c>
      <c r="G64" s="11">
        <v>61</v>
      </c>
    </row>
    <row r="65" spans="2:7" x14ac:dyDescent="0.2">
      <c r="B65" s="11">
        <v>-7</v>
      </c>
      <c r="C65" s="11">
        <v>29</v>
      </c>
      <c r="D65" s="11">
        <v>68</v>
      </c>
      <c r="E65" s="11">
        <v>65</v>
      </c>
      <c r="F65" s="11">
        <v>-26</v>
      </c>
      <c r="G65" s="11">
        <v>69</v>
      </c>
    </row>
    <row r="66" spans="2:7" x14ac:dyDescent="0.2">
      <c r="B66" s="11">
        <v>12</v>
      </c>
      <c r="C66" s="11">
        <v>30</v>
      </c>
      <c r="D66" s="11">
        <v>62</v>
      </c>
      <c r="E66" s="11">
        <v>86</v>
      </c>
      <c r="F66" s="11">
        <v>-25</v>
      </c>
      <c r="G66" s="11">
        <v>70</v>
      </c>
    </row>
    <row r="67" spans="2:7" x14ac:dyDescent="0.2">
      <c r="B67" s="11">
        <v>22</v>
      </c>
      <c r="C67" s="11">
        <v>-7</v>
      </c>
      <c r="D67" s="11">
        <v>24</v>
      </c>
      <c r="E67" s="11">
        <v>47</v>
      </c>
      <c r="F67" s="11">
        <v>-62</v>
      </c>
      <c r="G67" s="11">
        <v>33</v>
      </c>
    </row>
    <row r="68" spans="2:7" x14ac:dyDescent="0.2">
      <c r="B68" s="11">
        <v>16</v>
      </c>
      <c r="C68" s="11">
        <v>4</v>
      </c>
      <c r="D68" s="11">
        <v>44</v>
      </c>
      <c r="E68" s="11">
        <v>61</v>
      </c>
      <c r="F68" s="11">
        <v>-51</v>
      </c>
      <c r="G68" s="11">
        <v>44</v>
      </c>
    </row>
    <row r="69" spans="2:7" x14ac:dyDescent="0.2">
      <c r="B69" s="11">
        <v>4</v>
      </c>
      <c r="C69" s="11">
        <v>6</v>
      </c>
      <c r="D69" s="11">
        <v>37</v>
      </c>
      <c r="E69" s="11">
        <v>43</v>
      </c>
      <c r="F69" s="11">
        <v>-49</v>
      </c>
      <c r="G69" s="11">
        <v>46</v>
      </c>
    </row>
    <row r="70" spans="2:7" x14ac:dyDescent="0.2">
      <c r="B70" s="11">
        <v>-5</v>
      </c>
      <c r="C70" s="11">
        <v>12</v>
      </c>
      <c r="D70" s="11">
        <v>50</v>
      </c>
      <c r="E70" s="11">
        <v>79</v>
      </c>
      <c r="F70" s="11">
        <v>-43</v>
      </c>
      <c r="G70" s="11">
        <v>52</v>
      </c>
    </row>
    <row r="71" spans="2:7" x14ac:dyDescent="0.2">
      <c r="B71" s="11">
        <v>15</v>
      </c>
      <c r="C71" s="11">
        <v>23</v>
      </c>
      <c r="D71" s="11">
        <v>57</v>
      </c>
      <c r="E71" s="11">
        <v>78</v>
      </c>
      <c r="F71" s="11">
        <v>-32</v>
      </c>
      <c r="G71" s="11">
        <v>63</v>
      </c>
    </row>
    <row r="72" spans="2:7" x14ac:dyDescent="0.2">
      <c r="B72" s="11">
        <v>18</v>
      </c>
      <c r="C72" s="11">
        <v>22</v>
      </c>
      <c r="D72" s="11">
        <v>53</v>
      </c>
      <c r="E72" s="11"/>
      <c r="F72" s="11">
        <v>-33</v>
      </c>
      <c r="G72" s="11">
        <v>62</v>
      </c>
    </row>
    <row r="73" spans="2:7" x14ac:dyDescent="0.2">
      <c r="B73" s="11">
        <v>-37</v>
      </c>
      <c r="C73" s="11">
        <v>8</v>
      </c>
      <c r="D73" s="11">
        <v>45</v>
      </c>
      <c r="E73" s="11"/>
      <c r="F73" s="11">
        <v>-47</v>
      </c>
      <c r="G73" s="11">
        <v>48</v>
      </c>
    </row>
    <row r="74" spans="2:7" x14ac:dyDescent="0.2">
      <c r="B74" s="11">
        <v>-8</v>
      </c>
      <c r="C74" s="11">
        <v>3</v>
      </c>
      <c r="D74" s="11">
        <v>35</v>
      </c>
      <c r="E74" s="11">
        <v>10</v>
      </c>
      <c r="F74" s="11">
        <v>-52</v>
      </c>
      <c r="G74" s="11">
        <v>43</v>
      </c>
    </row>
    <row r="75" spans="2:7" x14ac:dyDescent="0.2">
      <c r="B75" s="11">
        <v>-21</v>
      </c>
      <c r="C75" s="11">
        <v>-2</v>
      </c>
      <c r="D75" s="11">
        <v>30</v>
      </c>
      <c r="E75" s="11"/>
      <c r="F75" s="11">
        <v>-57</v>
      </c>
      <c r="G75" s="11">
        <v>38</v>
      </c>
    </row>
    <row r="76" spans="2:7" x14ac:dyDescent="0.2">
      <c r="B76" s="11">
        <v>20</v>
      </c>
      <c r="C76" s="11"/>
      <c r="D76" s="11">
        <v>51</v>
      </c>
      <c r="E76" s="11"/>
      <c r="F76" s="11">
        <v>-43</v>
      </c>
      <c r="G76" s="11">
        <v>52</v>
      </c>
    </row>
    <row r="77" spans="2:7" x14ac:dyDescent="0.2">
      <c r="B77" s="11">
        <v>15</v>
      </c>
      <c r="C77" s="11"/>
      <c r="D77" s="11">
        <v>55</v>
      </c>
      <c r="E77" s="11"/>
      <c r="F77" s="11">
        <v>-36</v>
      </c>
      <c r="G77" s="11">
        <v>59</v>
      </c>
    </row>
    <row r="78" spans="2:7" x14ac:dyDescent="0.2">
      <c r="B78" s="11">
        <v>29</v>
      </c>
      <c r="C78" s="11"/>
      <c r="D78" s="11">
        <v>54</v>
      </c>
      <c r="E78" s="11"/>
      <c r="F78" s="11">
        <v>-39</v>
      </c>
      <c r="G78" s="11">
        <v>56</v>
      </c>
    </row>
    <row r="79" spans="2:7" x14ac:dyDescent="0.2">
      <c r="B79" s="11">
        <v>-28</v>
      </c>
      <c r="C79" s="11"/>
      <c r="D79" s="11">
        <v>38</v>
      </c>
      <c r="E79" s="11"/>
      <c r="F79" s="11">
        <v>-53</v>
      </c>
      <c r="G79" s="11"/>
    </row>
    <row r="80" spans="2:7" x14ac:dyDescent="0.2">
      <c r="B80" s="11">
        <v>-42</v>
      </c>
      <c r="C80" s="11"/>
      <c r="D80" s="11">
        <v>42</v>
      </c>
      <c r="E80" s="11"/>
      <c r="F80" s="11">
        <v>-51</v>
      </c>
      <c r="G80" s="11"/>
    </row>
    <row r="81" spans="1:7" x14ac:dyDescent="0.2">
      <c r="B81" s="11">
        <v>10</v>
      </c>
      <c r="C81" s="11"/>
      <c r="D81" s="11">
        <v>45</v>
      </c>
      <c r="E81" s="11"/>
      <c r="F81" s="11">
        <v>-46</v>
      </c>
      <c r="G81" s="11"/>
    </row>
    <row r="82" spans="1:7" x14ac:dyDescent="0.2">
      <c r="B82" s="11">
        <v>-26</v>
      </c>
      <c r="C82" s="11"/>
      <c r="D82" s="11">
        <v>45</v>
      </c>
      <c r="E82" s="11"/>
      <c r="F82" s="11">
        <v>-47</v>
      </c>
      <c r="G82" s="11"/>
    </row>
    <row r="83" spans="1:7" x14ac:dyDescent="0.2">
      <c r="B83" s="11">
        <v>-41</v>
      </c>
      <c r="C83" s="11"/>
      <c r="D83" s="11">
        <v>42</v>
      </c>
      <c r="E83" s="11"/>
      <c r="F83" s="11">
        <v>-44</v>
      </c>
      <c r="G83" s="11"/>
    </row>
    <row r="84" spans="1:7" x14ac:dyDescent="0.2">
      <c r="B84" s="11"/>
      <c r="C84" s="11"/>
      <c r="D84" s="11"/>
      <c r="E84" s="11"/>
      <c r="F84" s="11"/>
      <c r="G84" s="11"/>
    </row>
    <row r="85" spans="1:7" x14ac:dyDescent="0.2">
      <c r="B85" s="11"/>
      <c r="C85" s="11"/>
      <c r="D85" s="11"/>
      <c r="E85" s="11"/>
      <c r="F85" s="11">
        <v>-105</v>
      </c>
      <c r="G85" s="11"/>
    </row>
    <row r="86" spans="1:7" x14ac:dyDescent="0.2">
      <c r="B86" s="11"/>
      <c r="C86" s="11"/>
      <c r="D86" s="11">
        <v>-10</v>
      </c>
      <c r="E86" s="11"/>
      <c r="F86" s="11">
        <v>-115</v>
      </c>
      <c r="G86" s="11"/>
    </row>
    <row r="87" spans="1:7" x14ac:dyDescent="0.2">
      <c r="B87" s="11"/>
      <c r="C87" s="11"/>
      <c r="D87" s="11">
        <v>100</v>
      </c>
      <c r="E87" s="11"/>
      <c r="F87" s="11">
        <v>15</v>
      </c>
      <c r="G87" s="11"/>
    </row>
    <row r="88" spans="1:7" x14ac:dyDescent="0.2">
      <c r="B88" s="11"/>
      <c r="C88" s="11"/>
      <c r="D88" s="11">
        <v>105</v>
      </c>
      <c r="E88" s="11"/>
      <c r="F88" s="11">
        <v>5</v>
      </c>
      <c r="G88" s="11"/>
    </row>
    <row r="89" spans="1:7" x14ac:dyDescent="0.2">
      <c r="B89" s="11"/>
      <c r="C89" s="11"/>
      <c r="D89" s="11"/>
      <c r="E89" s="11"/>
      <c r="F89" s="11">
        <v>25</v>
      </c>
      <c r="G89" s="11"/>
    </row>
    <row r="90" spans="1:7" x14ac:dyDescent="0.2">
      <c r="A90" s="12" t="s">
        <v>0</v>
      </c>
      <c r="B90" s="12"/>
      <c r="C90" s="1"/>
      <c r="D90" s="1"/>
      <c r="E90" s="1"/>
      <c r="F90" s="1"/>
      <c r="G90" s="1"/>
    </row>
  </sheetData>
  <phoneticPr fontId="0" type="noConversion"/>
  <printOptions horizontalCentered="1"/>
  <pageMargins left="0.5" right="0.5" top="0.5" bottom="0.5" header="0.25" footer="0.25"/>
  <pageSetup fitToHeight="0" orientation="portrait" r:id="rId1"/>
  <headerFooter alignWithMargins="0">
    <oddFooter>&amp;L&amp;8&amp;K01+049https://www.vertex42.com/ExcelTemplates/box-whisker-plot.html&amp;R&amp;8&amp;K01+048© 2009 Vertex42 LLC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L51"/>
  <sheetViews>
    <sheetView showGridLines="0" workbookViewId="0">
      <selection activeCell="I4" sqref="I1:K4"/>
    </sheetView>
  </sheetViews>
  <sheetFormatPr defaultColWidth="9.140625" defaultRowHeight="12.75" x14ac:dyDescent="0.2"/>
  <cols>
    <col min="1" max="1" width="14.140625" style="3" customWidth="1"/>
    <col min="2" max="7" width="12.7109375" style="3" customWidth="1"/>
    <col min="8" max="8" width="3.42578125" style="3" customWidth="1"/>
    <col min="9" max="9" width="13.42578125" style="3" customWidth="1"/>
    <col min="10" max="16384" width="9.140625" style="3"/>
  </cols>
  <sheetData>
    <row r="1" spans="1:12" ht="30" customHeight="1" x14ac:dyDescent="0.2">
      <c r="A1" s="17" t="s">
        <v>1</v>
      </c>
      <c r="B1" s="1"/>
      <c r="C1" s="2"/>
      <c r="D1" s="2"/>
      <c r="E1" s="2"/>
      <c r="F1" s="2"/>
      <c r="G1" s="2"/>
    </row>
    <row r="2" spans="1:12" ht="15.75" x14ac:dyDescent="0.25">
      <c r="A2" s="4"/>
    </row>
    <row r="3" spans="1:12" ht="15" x14ac:dyDescent="0.2">
      <c r="A3" s="16" t="str">
        <f>"Note: All values represent X + "&amp;shift&amp;" where X is the original data"</f>
        <v>Note: All values represent X + 140 where X is the original data</v>
      </c>
      <c r="I3" s="23"/>
    </row>
    <row r="4" spans="1:12" ht="15.75" x14ac:dyDescent="0.25">
      <c r="A4" s="4"/>
    </row>
    <row r="5" spans="1:12" x14ac:dyDescent="0.2">
      <c r="I5" s="25" t="s">
        <v>32</v>
      </c>
      <c r="J5" s="26"/>
      <c r="K5" s="26"/>
      <c r="L5" s="26"/>
    </row>
    <row r="6" spans="1:12" x14ac:dyDescent="0.2">
      <c r="I6" s="27" t="s">
        <v>51</v>
      </c>
    </row>
    <row r="7" spans="1:12" x14ac:dyDescent="0.2">
      <c r="I7" s="27" t="s">
        <v>52</v>
      </c>
    </row>
    <row r="8" spans="1:12" x14ac:dyDescent="0.2">
      <c r="I8" s="27" t="s">
        <v>53</v>
      </c>
    </row>
    <row r="9" spans="1:12" x14ac:dyDescent="0.2">
      <c r="I9" s="27" t="s">
        <v>54</v>
      </c>
    </row>
    <row r="10" spans="1:12" x14ac:dyDescent="0.2">
      <c r="I10" s="27" t="s">
        <v>55</v>
      </c>
    </row>
    <row r="11" spans="1:12" x14ac:dyDescent="0.2">
      <c r="I11" s="28" t="s">
        <v>56</v>
      </c>
    </row>
    <row r="13" spans="1:12" x14ac:dyDescent="0.2">
      <c r="I13" s="27" t="s">
        <v>57</v>
      </c>
    </row>
    <row r="14" spans="1:12" x14ac:dyDescent="0.2">
      <c r="I14" s="27" t="s">
        <v>58</v>
      </c>
    </row>
    <row r="15" spans="1:12" x14ac:dyDescent="0.2">
      <c r="I15" s="27" t="s">
        <v>59</v>
      </c>
    </row>
    <row r="16" spans="1:12" x14ac:dyDescent="0.2">
      <c r="I16" s="27" t="s">
        <v>60</v>
      </c>
    </row>
    <row r="17" spans="1:9" x14ac:dyDescent="0.2">
      <c r="I17" s="27" t="s">
        <v>61</v>
      </c>
    </row>
    <row r="18" spans="1:9" x14ac:dyDescent="0.2">
      <c r="I18" s="27" t="s">
        <v>62</v>
      </c>
    </row>
    <row r="19" spans="1:9" x14ac:dyDescent="0.2">
      <c r="I19" s="28" t="s">
        <v>63</v>
      </c>
    </row>
    <row r="21" spans="1:9" x14ac:dyDescent="0.2">
      <c r="I21" s="27" t="s">
        <v>64</v>
      </c>
    </row>
    <row r="22" spans="1:9" x14ac:dyDescent="0.2">
      <c r="I22" s="27" t="s">
        <v>65</v>
      </c>
    </row>
    <row r="23" spans="1:9" x14ac:dyDescent="0.2">
      <c r="I23" s="27" t="s">
        <v>66</v>
      </c>
    </row>
    <row r="24" spans="1:9" x14ac:dyDescent="0.2">
      <c r="I24" s="27" t="s">
        <v>67</v>
      </c>
    </row>
    <row r="25" spans="1:9" x14ac:dyDescent="0.2">
      <c r="I25" s="27" t="s">
        <v>68</v>
      </c>
    </row>
    <row r="26" spans="1:9" x14ac:dyDescent="0.2">
      <c r="I26" s="28" t="s">
        <v>69</v>
      </c>
    </row>
    <row r="28" spans="1:9" x14ac:dyDescent="0.2">
      <c r="A28" s="6" t="s">
        <v>19</v>
      </c>
      <c r="B28" s="7" t="s">
        <v>8</v>
      </c>
      <c r="C28" s="7" t="s">
        <v>9</v>
      </c>
      <c r="D28" s="7" t="s">
        <v>10</v>
      </c>
      <c r="E28" s="7" t="s">
        <v>11</v>
      </c>
      <c r="F28" s="7" t="s">
        <v>12</v>
      </c>
      <c r="G28" s="7" t="s">
        <v>13</v>
      </c>
      <c r="I28" s="29" t="s">
        <v>70</v>
      </c>
    </row>
    <row r="29" spans="1:9" x14ac:dyDescent="0.2">
      <c r="A29" s="6" t="s">
        <v>2</v>
      </c>
      <c r="B29" s="3">
        <f ca="1">MIN(Data_Shifted!A:A)</f>
        <v>92</v>
      </c>
      <c r="C29" s="3">
        <f ca="1">MIN(Data_Shifted!B:B)</f>
        <v>133</v>
      </c>
      <c r="D29" s="3">
        <f ca="1">MIN(Data_Shifted!C:C)</f>
        <v>170</v>
      </c>
      <c r="E29" s="3">
        <f ca="1">MIN(Data_Shifted!D:D)</f>
        <v>150</v>
      </c>
      <c r="F29" s="3">
        <f ca="1">MIN(Data_Shifted!E:E)</f>
        <v>0</v>
      </c>
      <c r="G29" s="3">
        <f ca="1">MIN(Data_Shifted!F:F)</f>
        <v>203</v>
      </c>
      <c r="I29" s="27" t="s">
        <v>71</v>
      </c>
    </row>
    <row r="30" spans="1:9" ht="15.75" x14ac:dyDescent="0.3">
      <c r="A30" s="6" t="s">
        <v>23</v>
      </c>
      <c r="B30" s="3">
        <f ca="1">PERCENTILE(Data_Shifted!A:A,0.25)</f>
        <v>110.5</v>
      </c>
      <c r="C30" s="3">
        <f ca="1">PERCENTILE(Data_Shifted!B:B,0.25)</f>
        <v>146</v>
      </c>
      <c r="D30" s="3">
        <f ca="1">PERCENTILE(Data_Shifted!C:C,0.25)</f>
        <v>222</v>
      </c>
      <c r="E30" s="3">
        <f ca="1">PERCENTILE(Data_Shifted!D:D,0.25)</f>
        <v>174.5</v>
      </c>
      <c r="F30" s="3">
        <f ca="1">PERCENTILE(Data_Shifted!E:E,0.25)</f>
        <v>65.25</v>
      </c>
      <c r="G30" s="3">
        <f ca="1">PERCENTILE(Data_Shifted!F:F,0.25)</f>
        <v>216</v>
      </c>
      <c r="I30" s="27" t="s">
        <v>72</v>
      </c>
    </row>
    <row r="31" spans="1:9" x14ac:dyDescent="0.2">
      <c r="A31" s="6" t="s">
        <v>5</v>
      </c>
      <c r="B31" s="3">
        <f ca="1">MEDIAN(Data_Shifted!A:A)</f>
        <v>132.5</v>
      </c>
      <c r="C31" s="3">
        <f ca="1">MEDIAN(Data_Shifted!B:B)</f>
        <v>159.5</v>
      </c>
      <c r="D31" s="3">
        <f ca="1">MEDIAN(Data_Shifted!C:C)</f>
        <v>232</v>
      </c>
      <c r="E31" s="3">
        <f ca="1">MEDIAN(Data_Shifted!D:D)</f>
        <v>185</v>
      </c>
      <c r="F31" s="3">
        <f ca="1">MEDIAN(Data_Shifted!E:E)</f>
        <v>73.5</v>
      </c>
      <c r="G31" s="3">
        <f ca="1">MEDIAN(Data_Shifted!F:F)</f>
        <v>224</v>
      </c>
      <c r="I31" s="27" t="s">
        <v>73</v>
      </c>
    </row>
    <row r="32" spans="1:9" ht="15.75" x14ac:dyDescent="0.3">
      <c r="A32" s="6" t="s">
        <v>24</v>
      </c>
      <c r="B32" s="3">
        <f ca="1">PERCENTILE(Data_Shifted!A:A,0.75)</f>
        <v>151.5</v>
      </c>
      <c r="C32" s="3">
        <f ca="1">PERCENTILE(Data_Shifted!B:B,0.75)</f>
        <v>164.75</v>
      </c>
      <c r="D32" s="3">
        <f ca="1">PERCENTILE(Data_Shifted!C:C,0.75)</f>
        <v>239</v>
      </c>
      <c r="E32" s="3">
        <f ca="1">PERCENTILE(Data_Shifted!D:D,0.75)</f>
        <v>202.5</v>
      </c>
      <c r="F32" s="3">
        <f ca="1">PERCENTILE(Data_Shifted!E:E,0.75)</f>
        <v>83.75</v>
      </c>
      <c r="G32" s="3">
        <f ca="1">PERCENTILE(Data_Shifted!F:F,0.75)</f>
        <v>232</v>
      </c>
      <c r="I32" s="27" t="s">
        <v>74</v>
      </c>
    </row>
    <row r="33" spans="1:9" x14ac:dyDescent="0.2">
      <c r="A33" s="6" t="s">
        <v>3</v>
      </c>
      <c r="B33" s="3">
        <f ca="1">MAX(Data_Shifted!A:A)</f>
        <v>169</v>
      </c>
      <c r="C33" s="3">
        <f ca="1">MAX(Data_Shifted!B:B)</f>
        <v>170</v>
      </c>
      <c r="D33" s="3">
        <f ca="1">MAX(Data_Shifted!C:C)</f>
        <v>285</v>
      </c>
      <c r="E33" s="3">
        <f ca="1">MAX(Data_Shifted!D:D)</f>
        <v>226</v>
      </c>
      <c r="F33" s="3">
        <f ca="1">MAX(Data_Shifted!E:E)</f>
        <v>130</v>
      </c>
      <c r="G33" s="3">
        <f ca="1">MAX(Data_Shifted!F:F)</f>
        <v>270</v>
      </c>
      <c r="I33" s="27" t="s">
        <v>75</v>
      </c>
    </row>
    <row r="34" spans="1:9" x14ac:dyDescent="0.2">
      <c r="A34" s="6" t="s">
        <v>4</v>
      </c>
      <c r="B34" s="3">
        <f t="shared" ref="B34:G34" ca="1" si="0">B32-B30</f>
        <v>41</v>
      </c>
      <c r="C34" s="3">
        <f t="shared" ca="1" si="0"/>
        <v>18.75</v>
      </c>
      <c r="D34" s="3">
        <f t="shared" ca="1" si="0"/>
        <v>17</v>
      </c>
      <c r="E34" s="3">
        <f t="shared" ca="1" si="0"/>
        <v>28</v>
      </c>
      <c r="F34" s="3">
        <f t="shared" ca="1" si="0"/>
        <v>18.5</v>
      </c>
      <c r="G34" s="3">
        <f t="shared" ca="1" si="0"/>
        <v>16</v>
      </c>
      <c r="I34" s="27" t="s">
        <v>76</v>
      </c>
    </row>
    <row r="35" spans="1:9" x14ac:dyDescent="0.2">
      <c r="A35" s="6" t="s">
        <v>15</v>
      </c>
      <c r="B35" s="3">
        <f ca="1">COUNTIF(Data_Shifted!A:A,"&gt;"&amp;B43)</f>
        <v>0</v>
      </c>
      <c r="C35" s="3">
        <f ca="1">COUNTIF(Data_Shifted!B:B,"&gt;"&amp;C43)</f>
        <v>0</v>
      </c>
      <c r="D35" s="3">
        <f ca="1">COUNTIF(Data_Shifted!C:C,"&gt;"&amp;D43)</f>
        <v>2</v>
      </c>
      <c r="E35" s="3">
        <f ca="1">COUNTIF(Data_Shifted!D:D,"&gt;"&amp;E43)</f>
        <v>0</v>
      </c>
      <c r="F35" s="3">
        <f ca="1">COUNTIF(Data_Shifted!E:E,"&gt;"&amp;F43)</f>
        <v>2</v>
      </c>
      <c r="G35" s="3">
        <f ca="1">COUNTIF(Data_Shifted!F:F,"&gt;"&amp;G43)</f>
        <v>1</v>
      </c>
      <c r="I35" s="27" t="s">
        <v>77</v>
      </c>
    </row>
    <row r="36" spans="1:9" x14ac:dyDescent="0.2">
      <c r="A36" s="6" t="s">
        <v>16</v>
      </c>
      <c r="B36" s="3">
        <f ca="1">COUNTIF(Data_Shifted!A:A,"&lt;"&amp;B44)</f>
        <v>0</v>
      </c>
      <c r="C36" s="3">
        <f ca="1">COUNTIF(Data_Shifted!B:B,"&lt;"&amp;C44)</f>
        <v>0</v>
      </c>
      <c r="D36" s="3">
        <f ca="1">COUNTIF(Data_Shifted!C:C,"&lt;"&amp;D44)</f>
        <v>1</v>
      </c>
      <c r="E36" s="3">
        <f ca="1">COUNTIF(Data_Shifted!D:D,"&lt;"&amp;E44)</f>
        <v>0</v>
      </c>
      <c r="F36" s="3">
        <f ca="1">COUNTIF(Data_Shifted!E:E,"&lt;"&amp;F44)</f>
        <v>2</v>
      </c>
      <c r="G36" s="3">
        <f ca="1">COUNTIF(Data_Shifted!F:F,"&lt;"&amp;G44)</f>
        <v>0</v>
      </c>
      <c r="I36" s="28" t="s">
        <v>78</v>
      </c>
    </row>
    <row r="37" spans="1:9" x14ac:dyDescent="0.2">
      <c r="A37" s="6" t="s">
        <v>31</v>
      </c>
      <c r="B37" s="3">
        <f t="shared" ref="B37:G37" si="1">shift</f>
        <v>140</v>
      </c>
      <c r="C37" s="3">
        <f t="shared" si="1"/>
        <v>140</v>
      </c>
      <c r="D37" s="3">
        <f t="shared" si="1"/>
        <v>140</v>
      </c>
      <c r="E37" s="3">
        <f t="shared" si="1"/>
        <v>140</v>
      </c>
      <c r="F37" s="3">
        <f t="shared" si="1"/>
        <v>140</v>
      </c>
      <c r="G37" s="3">
        <f t="shared" si="1"/>
        <v>140</v>
      </c>
    </row>
    <row r="39" spans="1:9" x14ac:dyDescent="0.2">
      <c r="A39" s="8" t="s">
        <v>22</v>
      </c>
      <c r="B39" s="1"/>
      <c r="C39" s="1"/>
      <c r="D39" s="1"/>
      <c r="E39" s="1"/>
      <c r="F39" s="1"/>
      <c r="G39" s="1"/>
    </row>
    <row r="40" spans="1:9" x14ac:dyDescent="0.2">
      <c r="A40" s="6" t="s">
        <v>6</v>
      </c>
      <c r="B40" s="3">
        <f ca="1">B31-B30</f>
        <v>22</v>
      </c>
      <c r="C40" s="3">
        <f t="shared" ref="C40:G41" ca="1" si="2">C31-C30</f>
        <v>13.5</v>
      </c>
      <c r="D40" s="3">
        <f t="shared" ca="1" si="2"/>
        <v>10</v>
      </c>
      <c r="E40" s="3">
        <f t="shared" ca="1" si="2"/>
        <v>10.5</v>
      </c>
      <c r="F40" s="3">
        <f t="shared" ca="1" si="2"/>
        <v>8.25</v>
      </c>
      <c r="G40" s="3">
        <f t="shared" ca="1" si="2"/>
        <v>8</v>
      </c>
    </row>
    <row r="41" spans="1:9" x14ac:dyDescent="0.2">
      <c r="A41" s="6" t="s">
        <v>7</v>
      </c>
      <c r="B41" s="3">
        <f ca="1">B32-B31</f>
        <v>19</v>
      </c>
      <c r="C41" s="3">
        <f t="shared" ca="1" si="2"/>
        <v>5.25</v>
      </c>
      <c r="D41" s="3">
        <f t="shared" ca="1" si="2"/>
        <v>7</v>
      </c>
      <c r="E41" s="3">
        <f t="shared" ca="1" si="2"/>
        <v>17.5</v>
      </c>
      <c r="F41" s="3">
        <f t="shared" ca="1" si="2"/>
        <v>10.25</v>
      </c>
      <c r="G41" s="3">
        <f t="shared" ca="1" si="2"/>
        <v>8</v>
      </c>
    </row>
    <row r="42" spans="1:9" x14ac:dyDescent="0.2">
      <c r="A42" s="8" t="s">
        <v>21</v>
      </c>
      <c r="B42" s="1"/>
      <c r="C42" s="1"/>
      <c r="D42" s="1"/>
      <c r="E42" s="1"/>
      <c r="F42" s="1"/>
      <c r="G42" s="1"/>
    </row>
    <row r="43" spans="1:9" ht="15.75" x14ac:dyDescent="0.3">
      <c r="A43" s="6" t="s">
        <v>25</v>
      </c>
      <c r="B43" s="3">
        <f t="shared" ref="B43:G43" ca="1" si="3">B32+1.5*B34</f>
        <v>213</v>
      </c>
      <c r="C43" s="3">
        <f t="shared" ca="1" si="3"/>
        <v>192.875</v>
      </c>
      <c r="D43" s="3">
        <f t="shared" ca="1" si="3"/>
        <v>264.5</v>
      </c>
      <c r="E43" s="3">
        <f t="shared" ca="1" si="3"/>
        <v>244.5</v>
      </c>
      <c r="F43" s="3">
        <f t="shared" ca="1" si="3"/>
        <v>111.5</v>
      </c>
      <c r="G43" s="3">
        <f t="shared" ca="1" si="3"/>
        <v>256</v>
      </c>
    </row>
    <row r="44" spans="1:9" ht="15.75" x14ac:dyDescent="0.3">
      <c r="A44" s="6" t="s">
        <v>26</v>
      </c>
      <c r="B44" s="3">
        <f t="shared" ref="B44:G44" ca="1" si="4">B30-1.5*B34</f>
        <v>49</v>
      </c>
      <c r="C44" s="3">
        <f t="shared" ca="1" si="4"/>
        <v>117.875</v>
      </c>
      <c r="D44" s="3">
        <f t="shared" ca="1" si="4"/>
        <v>196.5</v>
      </c>
      <c r="E44" s="3">
        <f t="shared" ca="1" si="4"/>
        <v>132.5</v>
      </c>
      <c r="F44" s="3">
        <f t="shared" ca="1" si="4"/>
        <v>37.5</v>
      </c>
      <c r="G44" s="3">
        <f t="shared" ca="1" si="4"/>
        <v>192</v>
      </c>
    </row>
    <row r="45" spans="1:9" x14ac:dyDescent="0.2">
      <c r="A45" s="6" t="s">
        <v>14</v>
      </c>
      <c r="B45" s="3">
        <f t="shared" ref="B45:G45" ca="1" si="5">MIN(B43,B33)</f>
        <v>169</v>
      </c>
      <c r="C45" s="3">
        <f t="shared" ca="1" si="5"/>
        <v>170</v>
      </c>
      <c r="D45" s="3">
        <f t="shared" ca="1" si="5"/>
        <v>264.5</v>
      </c>
      <c r="E45" s="3">
        <f t="shared" ca="1" si="5"/>
        <v>226</v>
      </c>
      <c r="F45" s="3">
        <f t="shared" ca="1" si="5"/>
        <v>111.5</v>
      </c>
      <c r="G45" s="3">
        <f t="shared" ca="1" si="5"/>
        <v>256</v>
      </c>
    </row>
    <row r="46" spans="1:9" x14ac:dyDescent="0.2">
      <c r="A46" s="6" t="s">
        <v>20</v>
      </c>
      <c r="B46" s="3">
        <f t="shared" ref="B46:G46" ca="1" si="6">MAX(B29,B44)</f>
        <v>92</v>
      </c>
      <c r="C46" s="3">
        <f t="shared" ca="1" si="6"/>
        <v>133</v>
      </c>
      <c r="D46" s="3">
        <f t="shared" ca="1" si="6"/>
        <v>196.5</v>
      </c>
      <c r="E46" s="3">
        <f t="shared" ca="1" si="6"/>
        <v>150</v>
      </c>
      <c r="F46" s="3">
        <f t="shared" ca="1" si="6"/>
        <v>37.5</v>
      </c>
      <c r="G46" s="3">
        <f t="shared" ca="1" si="6"/>
        <v>203</v>
      </c>
    </row>
    <row r="47" spans="1:9" ht="15.75" x14ac:dyDescent="0.3">
      <c r="A47" s="6" t="s">
        <v>27</v>
      </c>
      <c r="B47" s="3">
        <f t="shared" ref="B47:G47" ca="1" si="7">B45-B32</f>
        <v>17.5</v>
      </c>
      <c r="C47" s="3">
        <f t="shared" ca="1" si="7"/>
        <v>5.25</v>
      </c>
      <c r="D47" s="3">
        <f t="shared" ca="1" si="7"/>
        <v>25.5</v>
      </c>
      <c r="E47" s="3">
        <f t="shared" ca="1" si="7"/>
        <v>23.5</v>
      </c>
      <c r="F47" s="3">
        <f t="shared" ca="1" si="7"/>
        <v>27.75</v>
      </c>
      <c r="G47" s="3">
        <f t="shared" ca="1" si="7"/>
        <v>24</v>
      </c>
    </row>
    <row r="48" spans="1:9" ht="15.75" x14ac:dyDescent="0.3">
      <c r="A48" s="6" t="s">
        <v>28</v>
      </c>
      <c r="B48" s="3">
        <f t="shared" ref="B48:G48" ca="1" si="8">B30-B46</f>
        <v>18.5</v>
      </c>
      <c r="C48" s="3">
        <f t="shared" ca="1" si="8"/>
        <v>13</v>
      </c>
      <c r="D48" s="3">
        <f t="shared" ca="1" si="8"/>
        <v>25.5</v>
      </c>
      <c r="E48" s="3">
        <f t="shared" ca="1" si="8"/>
        <v>24.5</v>
      </c>
      <c r="F48" s="3">
        <f t="shared" ca="1" si="8"/>
        <v>27.75</v>
      </c>
      <c r="G48" s="3">
        <f t="shared" ca="1" si="8"/>
        <v>13</v>
      </c>
    </row>
    <row r="49" spans="1:7" x14ac:dyDescent="0.2">
      <c r="A49" s="8" t="s">
        <v>17</v>
      </c>
      <c r="B49" s="1"/>
      <c r="C49" s="1"/>
      <c r="D49" s="1"/>
      <c r="E49" s="1"/>
      <c r="F49" s="1"/>
      <c r="G49" s="1"/>
    </row>
    <row r="50" spans="1:7" x14ac:dyDescent="0.2">
      <c r="A50" s="6" t="s">
        <v>3</v>
      </c>
      <c r="B50" s="3" t="e">
        <f t="shared" ref="B50:G50" ca="1" si="9">IF(B35&gt;0,B33,NA())</f>
        <v>#N/A</v>
      </c>
      <c r="C50" s="3" t="e">
        <f t="shared" ca="1" si="9"/>
        <v>#N/A</v>
      </c>
      <c r="D50" s="3">
        <f t="shared" ca="1" si="9"/>
        <v>285</v>
      </c>
      <c r="E50" s="3" t="e">
        <f t="shared" ca="1" si="9"/>
        <v>#N/A</v>
      </c>
      <c r="F50" s="3">
        <f t="shared" ca="1" si="9"/>
        <v>130</v>
      </c>
      <c r="G50" s="3">
        <f t="shared" ca="1" si="9"/>
        <v>270</v>
      </c>
    </row>
    <row r="51" spans="1:7" x14ac:dyDescent="0.2">
      <c r="A51" s="6" t="s">
        <v>2</v>
      </c>
      <c r="B51" s="3" t="e">
        <f t="shared" ref="B51:G51" ca="1" si="10">IF(B36&gt;0,B29,NA())</f>
        <v>#N/A</v>
      </c>
      <c r="C51" s="3" t="e">
        <f t="shared" ca="1" si="10"/>
        <v>#N/A</v>
      </c>
      <c r="D51" s="3">
        <f t="shared" ca="1" si="10"/>
        <v>170</v>
      </c>
      <c r="E51" s="3" t="e">
        <f t="shared" ca="1" si="10"/>
        <v>#N/A</v>
      </c>
      <c r="F51" s="3">
        <f t="shared" ca="1" si="10"/>
        <v>0</v>
      </c>
      <c r="G51" s="3" t="e">
        <f t="shared" ca="1" si="10"/>
        <v>#N/A</v>
      </c>
    </row>
  </sheetData>
  <phoneticPr fontId="0" type="noConversion"/>
  <printOptions horizontalCentered="1"/>
  <pageMargins left="0.5" right="0.5" top="0.5" bottom="0.5" header="0.25" footer="0.25"/>
  <pageSetup fitToHeight="0" orientation="portrait" r:id="rId1"/>
  <headerFooter alignWithMargins="0">
    <oddFooter>&amp;L&amp;8&amp;K01+049https://www.vertex42.com/ExcelTemplates/box-whisker-plot.html&amp;R&amp;8&amp;K01+048© 2009 Vertex42 LLC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48"/>
  <sheetViews>
    <sheetView showGridLines="0" topLeftCell="A26" workbookViewId="0"/>
  </sheetViews>
  <sheetFormatPr defaultRowHeight="12.75" x14ac:dyDescent="0.2"/>
  <cols>
    <col min="7" max="7" width="5" customWidth="1"/>
  </cols>
  <sheetData>
    <row r="1" spans="1:12" x14ac:dyDescent="0.2">
      <c r="A1" s="15">
        <f ca="1">IF(OFFSET(INDIRECT("Data!A1"),ROW()-1,COLUMN()-1,1,1)="","",$I$1+OFFSET(INDIRECT("Data!A1"),ROW()-1,COLUMN()-1,1,1))</f>
        <v>99</v>
      </c>
      <c r="B1" s="15">
        <f t="shared" ref="B1:F16" ca="1" si="0">IF(OFFSET(INDIRECT("Data!A1"),ROW()-1,COLUMN()-1,1,1)="","",$I$1+OFFSET(INDIRECT("Data!A1"),ROW()-1,COLUMN()-1,1,1))</f>
        <v>168</v>
      </c>
      <c r="C1" s="15">
        <f t="shared" ca="1" si="0"/>
        <v>242</v>
      </c>
      <c r="D1" s="15">
        <f t="shared" ca="1" si="0"/>
        <v>182</v>
      </c>
      <c r="E1" s="15">
        <f t="shared" ca="1" si="0"/>
        <v>88</v>
      </c>
      <c r="F1" s="15" t="str">
        <f t="shared" ca="1" si="0"/>
        <v/>
      </c>
      <c r="H1" t="s">
        <v>29</v>
      </c>
      <c r="I1" s="14">
        <f>ABS(MIN(0,MIN(Data!A1:F48)))</f>
        <v>140</v>
      </c>
    </row>
    <row r="2" spans="1:12" x14ac:dyDescent="0.2">
      <c r="A2" s="15">
        <f t="shared" ref="A2:F48" ca="1" si="1">IF(OFFSET(INDIRECT("Data!A1"),ROW()-1,COLUMN()-1,1,1)="","",$I$1+OFFSET(INDIRECT("Data!A1"),ROW()-1,COLUMN()-1,1,1))</f>
        <v>133</v>
      </c>
      <c r="B2" s="15">
        <f t="shared" ca="1" si="0"/>
        <v>167</v>
      </c>
      <c r="C2" s="15">
        <f t="shared" ca="1" si="0"/>
        <v>239</v>
      </c>
      <c r="D2" s="15">
        <f t="shared" ca="1" si="0"/>
        <v>167</v>
      </c>
      <c r="E2" s="15">
        <f t="shared" ca="1" si="0"/>
        <v>87</v>
      </c>
      <c r="F2" s="15" t="str">
        <f t="shared" ca="1" si="0"/>
        <v/>
      </c>
    </row>
    <row r="3" spans="1:12" x14ac:dyDescent="0.2">
      <c r="A3" s="15">
        <f t="shared" ca="1" si="1"/>
        <v>128</v>
      </c>
      <c r="B3" s="15">
        <f t="shared" ca="1" si="0"/>
        <v>164</v>
      </c>
      <c r="C3" s="15">
        <f t="shared" ca="1" si="0"/>
        <v>242</v>
      </c>
      <c r="D3" s="15">
        <f t="shared" ca="1" si="0"/>
        <v>189</v>
      </c>
      <c r="E3" s="15">
        <f t="shared" ca="1" si="0"/>
        <v>84</v>
      </c>
      <c r="F3" s="15" t="str">
        <f t="shared" ca="1" si="0"/>
        <v/>
      </c>
      <c r="H3" s="25" t="s">
        <v>32</v>
      </c>
      <c r="I3" s="26"/>
      <c r="J3" s="26"/>
      <c r="K3" s="26"/>
      <c r="L3" s="26"/>
    </row>
    <row r="4" spans="1:12" x14ac:dyDescent="0.2">
      <c r="A4" s="15">
        <f t="shared" ca="1" si="1"/>
        <v>92</v>
      </c>
      <c r="B4" s="15">
        <f t="shared" ca="1" si="0"/>
        <v>168</v>
      </c>
      <c r="C4" s="15">
        <f t="shared" ca="1" si="0"/>
        <v>240</v>
      </c>
      <c r="D4" s="15">
        <f t="shared" ca="1" si="0"/>
        <v>198</v>
      </c>
      <c r="E4" s="15">
        <f t="shared" ca="1" si="0"/>
        <v>88</v>
      </c>
      <c r="F4" s="15" t="str">
        <f t="shared" ca="1" si="0"/>
        <v/>
      </c>
      <c r="H4" s="27" t="s">
        <v>33</v>
      </c>
    </row>
    <row r="5" spans="1:12" x14ac:dyDescent="0.2">
      <c r="A5" s="15">
        <f t="shared" ca="1" si="1"/>
        <v>114</v>
      </c>
      <c r="B5" s="15">
        <f t="shared" ca="1" si="0"/>
        <v>166</v>
      </c>
      <c r="C5" s="15">
        <f t="shared" ca="1" si="0"/>
        <v>246</v>
      </c>
      <c r="D5" s="15">
        <f t="shared" ca="1" si="0"/>
        <v>169</v>
      </c>
      <c r="E5" s="15">
        <f t="shared" ca="1" si="0"/>
        <v>86</v>
      </c>
      <c r="F5" s="15" t="str">
        <f t="shared" ca="1" si="0"/>
        <v/>
      </c>
      <c r="H5" s="27" t="s">
        <v>34</v>
      </c>
    </row>
    <row r="6" spans="1:12" x14ac:dyDescent="0.2">
      <c r="A6" s="15">
        <f t="shared" ca="1" si="1"/>
        <v>110</v>
      </c>
      <c r="B6" s="15">
        <f t="shared" ca="1" si="0"/>
        <v>153</v>
      </c>
      <c r="C6" s="15">
        <f t="shared" ca="1" si="0"/>
        <v>231</v>
      </c>
      <c r="D6" s="15">
        <f t="shared" ca="1" si="0"/>
        <v>185</v>
      </c>
      <c r="E6" s="15">
        <f t="shared" ca="1" si="0"/>
        <v>73</v>
      </c>
      <c r="F6" s="15">
        <f t="shared" ca="1" si="0"/>
        <v>223</v>
      </c>
      <c r="H6" s="27" t="s">
        <v>35</v>
      </c>
    </row>
    <row r="7" spans="1:12" x14ac:dyDescent="0.2">
      <c r="A7" s="15">
        <f t="shared" ca="1" si="1"/>
        <v>152</v>
      </c>
      <c r="B7" s="15">
        <f t="shared" ca="1" si="0"/>
        <v>145</v>
      </c>
      <c r="C7" s="15">
        <f t="shared" ca="1" si="0"/>
        <v>222</v>
      </c>
      <c r="D7" s="15">
        <f t="shared" ca="1" si="0"/>
        <v>183</v>
      </c>
      <c r="E7" s="15">
        <f t="shared" ca="1" si="0"/>
        <v>65</v>
      </c>
      <c r="F7" s="15">
        <f t="shared" ca="1" si="0"/>
        <v>215</v>
      </c>
      <c r="H7" s="28" t="s">
        <v>36</v>
      </c>
    </row>
    <row r="8" spans="1:12" x14ac:dyDescent="0.2">
      <c r="A8" s="15">
        <f t="shared" ca="1" si="1"/>
        <v>113</v>
      </c>
      <c r="B8" s="15">
        <f t="shared" ca="1" si="0"/>
        <v>146</v>
      </c>
      <c r="C8" s="15">
        <f t="shared" ca="1" si="0"/>
        <v>224</v>
      </c>
      <c r="D8" s="15">
        <f t="shared" ca="1" si="0"/>
        <v>168</v>
      </c>
      <c r="E8" s="15">
        <f t="shared" ca="1" si="0"/>
        <v>66</v>
      </c>
      <c r="F8" s="15">
        <f t="shared" ca="1" si="0"/>
        <v>216</v>
      </c>
    </row>
    <row r="9" spans="1:12" x14ac:dyDescent="0.2">
      <c r="A9" s="15">
        <f t="shared" ca="1" si="1"/>
        <v>112</v>
      </c>
      <c r="B9" s="15">
        <f t="shared" ca="1" si="0"/>
        <v>142</v>
      </c>
      <c r="C9" s="15">
        <f t="shared" ca="1" si="0"/>
        <v>215</v>
      </c>
      <c r="D9" s="15">
        <f t="shared" ca="1" si="0"/>
        <v>180</v>
      </c>
      <c r="E9" s="15">
        <f t="shared" ca="1" si="0"/>
        <v>62</v>
      </c>
      <c r="F9" s="15">
        <f t="shared" ca="1" si="0"/>
        <v>212</v>
      </c>
    </row>
    <row r="10" spans="1:12" x14ac:dyDescent="0.2">
      <c r="A10" s="15">
        <f t="shared" ca="1" si="1"/>
        <v>103</v>
      </c>
      <c r="B10" s="15">
        <f t="shared" ca="1" si="0"/>
        <v>154</v>
      </c>
      <c r="C10" s="15">
        <f t="shared" ca="1" si="0"/>
        <v>233</v>
      </c>
      <c r="D10" s="15">
        <f t="shared" ca="1" si="0"/>
        <v>166</v>
      </c>
      <c r="E10" s="15">
        <f t="shared" ca="1" si="0"/>
        <v>74</v>
      </c>
      <c r="F10" s="15">
        <f t="shared" ca="1" si="0"/>
        <v>224</v>
      </c>
    </row>
    <row r="11" spans="1:12" x14ac:dyDescent="0.2">
      <c r="A11" s="15">
        <f t="shared" ca="1" si="1"/>
        <v>149</v>
      </c>
      <c r="B11" s="15">
        <f t="shared" ca="1" si="0"/>
        <v>159</v>
      </c>
      <c r="C11" s="15">
        <f t="shared" ca="1" si="0"/>
        <v>238</v>
      </c>
      <c r="D11" s="15">
        <f t="shared" ca="1" si="0"/>
        <v>182</v>
      </c>
      <c r="E11" s="15">
        <f t="shared" ca="1" si="0"/>
        <v>79</v>
      </c>
      <c r="F11" s="15">
        <f t="shared" ca="1" si="0"/>
        <v>229</v>
      </c>
    </row>
    <row r="12" spans="1:12" x14ac:dyDescent="0.2">
      <c r="A12" s="15">
        <f t="shared" ca="1" si="1"/>
        <v>92</v>
      </c>
      <c r="B12" s="15">
        <f t="shared" ca="1" si="0"/>
        <v>160</v>
      </c>
      <c r="C12" s="15">
        <f t="shared" ca="1" si="0"/>
        <v>237</v>
      </c>
      <c r="D12" s="15">
        <f t="shared" ca="1" si="0"/>
        <v>204</v>
      </c>
      <c r="E12" s="15">
        <f t="shared" ca="1" si="0"/>
        <v>80</v>
      </c>
      <c r="F12" s="15">
        <f t="shared" ca="1" si="0"/>
        <v>230</v>
      </c>
    </row>
    <row r="13" spans="1:12" x14ac:dyDescent="0.2">
      <c r="A13" s="15">
        <f t="shared" ca="1" si="1"/>
        <v>147</v>
      </c>
      <c r="B13" s="15">
        <f t="shared" ca="1" si="0"/>
        <v>162</v>
      </c>
      <c r="C13" s="15">
        <f t="shared" ca="1" si="0"/>
        <v>239</v>
      </c>
      <c r="D13" s="15">
        <f t="shared" ca="1" si="0"/>
        <v>200</v>
      </c>
      <c r="E13" s="15">
        <f t="shared" ca="1" si="0"/>
        <v>82</v>
      </c>
      <c r="F13" s="15">
        <f t="shared" ca="1" si="0"/>
        <v>232</v>
      </c>
    </row>
    <row r="14" spans="1:12" x14ac:dyDescent="0.2">
      <c r="A14" s="15">
        <f t="shared" ca="1" si="1"/>
        <v>138</v>
      </c>
      <c r="B14" s="15">
        <f t="shared" ca="1" si="0"/>
        <v>165</v>
      </c>
      <c r="C14" s="15">
        <f t="shared" ca="1" si="0"/>
        <v>236</v>
      </c>
      <c r="D14" s="15">
        <f t="shared" ca="1" si="0"/>
        <v>166</v>
      </c>
      <c r="E14" s="15">
        <f t="shared" ca="1" si="0"/>
        <v>85</v>
      </c>
      <c r="F14" s="15">
        <f t="shared" ca="1" si="0"/>
        <v>235</v>
      </c>
    </row>
    <row r="15" spans="1:12" x14ac:dyDescent="0.2">
      <c r="A15" s="15">
        <f t="shared" ca="1" si="1"/>
        <v>98</v>
      </c>
      <c r="B15" s="15">
        <f t="shared" ca="1" si="0"/>
        <v>161</v>
      </c>
      <c r="C15" s="15">
        <f t="shared" ca="1" si="0"/>
        <v>232</v>
      </c>
      <c r="D15" s="15">
        <f t="shared" ca="1" si="0"/>
        <v>219</v>
      </c>
      <c r="E15" s="15">
        <f t="shared" ca="1" si="0"/>
        <v>81</v>
      </c>
      <c r="F15" s="15">
        <f t="shared" ca="1" si="0"/>
        <v>231</v>
      </c>
    </row>
    <row r="16" spans="1:12" x14ac:dyDescent="0.2">
      <c r="A16" s="15">
        <f t="shared" ca="1" si="1"/>
        <v>133</v>
      </c>
      <c r="B16" s="15">
        <f t="shared" ca="1" si="0"/>
        <v>169</v>
      </c>
      <c r="C16" s="15">
        <f t="shared" ca="1" si="0"/>
        <v>248</v>
      </c>
      <c r="D16" s="15">
        <f t="shared" ca="1" si="0"/>
        <v>205</v>
      </c>
      <c r="E16" s="15">
        <f t="shared" ca="1" si="0"/>
        <v>89</v>
      </c>
      <c r="F16" s="15">
        <f t="shared" ca="1" si="0"/>
        <v>239</v>
      </c>
    </row>
    <row r="17" spans="1:6" x14ac:dyDescent="0.2">
      <c r="A17" s="15">
        <f t="shared" ca="1" si="1"/>
        <v>152</v>
      </c>
      <c r="B17" s="15">
        <f t="shared" ca="1" si="1"/>
        <v>170</v>
      </c>
      <c r="C17" s="15">
        <f t="shared" ca="1" si="1"/>
        <v>242</v>
      </c>
      <c r="D17" s="15">
        <f t="shared" ca="1" si="1"/>
        <v>226</v>
      </c>
      <c r="E17" s="15">
        <f t="shared" ca="1" si="1"/>
        <v>90</v>
      </c>
      <c r="F17" s="15">
        <f t="shared" ca="1" si="1"/>
        <v>240</v>
      </c>
    </row>
    <row r="18" spans="1:6" x14ac:dyDescent="0.2">
      <c r="A18" s="15">
        <f t="shared" ca="1" si="1"/>
        <v>162</v>
      </c>
      <c r="B18" s="15">
        <f t="shared" ca="1" si="1"/>
        <v>133</v>
      </c>
      <c r="C18" s="15">
        <f t="shared" ca="1" si="1"/>
        <v>204</v>
      </c>
      <c r="D18" s="15">
        <f t="shared" ca="1" si="1"/>
        <v>187</v>
      </c>
      <c r="E18" s="15">
        <f t="shared" ca="1" si="1"/>
        <v>53</v>
      </c>
      <c r="F18" s="15">
        <f t="shared" ca="1" si="1"/>
        <v>203</v>
      </c>
    </row>
    <row r="19" spans="1:6" x14ac:dyDescent="0.2">
      <c r="A19" s="15">
        <f t="shared" ca="1" si="1"/>
        <v>156</v>
      </c>
      <c r="B19" s="15">
        <f t="shared" ca="1" si="1"/>
        <v>144</v>
      </c>
      <c r="C19" s="15">
        <f t="shared" ca="1" si="1"/>
        <v>224</v>
      </c>
      <c r="D19" s="15">
        <f t="shared" ca="1" si="1"/>
        <v>201</v>
      </c>
      <c r="E19" s="15">
        <f t="shared" ca="1" si="1"/>
        <v>64</v>
      </c>
      <c r="F19" s="15">
        <f t="shared" ca="1" si="1"/>
        <v>214</v>
      </c>
    </row>
    <row r="20" spans="1:6" x14ac:dyDescent="0.2">
      <c r="A20" s="15">
        <f t="shared" ca="1" si="1"/>
        <v>144</v>
      </c>
      <c r="B20" s="15">
        <f t="shared" ca="1" si="1"/>
        <v>146</v>
      </c>
      <c r="C20" s="15">
        <f t="shared" ca="1" si="1"/>
        <v>217</v>
      </c>
      <c r="D20" s="15">
        <f t="shared" ca="1" si="1"/>
        <v>183</v>
      </c>
      <c r="E20" s="15">
        <f t="shared" ca="1" si="1"/>
        <v>66</v>
      </c>
      <c r="F20" s="15">
        <f t="shared" ca="1" si="1"/>
        <v>216</v>
      </c>
    </row>
    <row r="21" spans="1:6" x14ac:dyDescent="0.2">
      <c r="A21" s="15">
        <f t="shared" ca="1" si="1"/>
        <v>135</v>
      </c>
      <c r="B21" s="15">
        <f t="shared" ca="1" si="1"/>
        <v>152</v>
      </c>
      <c r="C21" s="15">
        <f t="shared" ca="1" si="1"/>
        <v>230</v>
      </c>
      <c r="D21" s="15">
        <f t="shared" ca="1" si="1"/>
        <v>219</v>
      </c>
      <c r="E21" s="15">
        <f t="shared" ca="1" si="1"/>
        <v>72</v>
      </c>
      <c r="F21" s="15">
        <f t="shared" ca="1" si="1"/>
        <v>222</v>
      </c>
    </row>
    <row r="22" spans="1:6" x14ac:dyDescent="0.2">
      <c r="A22" s="15">
        <f t="shared" ca="1" si="1"/>
        <v>155</v>
      </c>
      <c r="B22" s="15">
        <f t="shared" ca="1" si="1"/>
        <v>163</v>
      </c>
      <c r="C22" s="15">
        <f t="shared" ca="1" si="1"/>
        <v>237</v>
      </c>
      <c r="D22" s="15">
        <f t="shared" ca="1" si="1"/>
        <v>218</v>
      </c>
      <c r="E22" s="15">
        <f t="shared" ca="1" si="1"/>
        <v>83</v>
      </c>
      <c r="F22" s="15">
        <f t="shared" ca="1" si="1"/>
        <v>233</v>
      </c>
    </row>
    <row r="23" spans="1:6" x14ac:dyDescent="0.2">
      <c r="A23" s="15">
        <f t="shared" ca="1" si="1"/>
        <v>158</v>
      </c>
      <c r="B23" s="15">
        <f t="shared" ca="1" si="1"/>
        <v>162</v>
      </c>
      <c r="C23" s="15">
        <f t="shared" ca="1" si="1"/>
        <v>233</v>
      </c>
      <c r="D23" s="15" t="str">
        <f t="shared" ca="1" si="1"/>
        <v/>
      </c>
      <c r="E23" s="15">
        <f t="shared" ca="1" si="1"/>
        <v>82</v>
      </c>
      <c r="F23" s="15">
        <f t="shared" ca="1" si="1"/>
        <v>232</v>
      </c>
    </row>
    <row r="24" spans="1:6" x14ac:dyDescent="0.2">
      <c r="A24" s="15">
        <f t="shared" ca="1" si="1"/>
        <v>103</v>
      </c>
      <c r="B24" s="15">
        <f t="shared" ca="1" si="1"/>
        <v>148</v>
      </c>
      <c r="C24" s="15">
        <f t="shared" ca="1" si="1"/>
        <v>225</v>
      </c>
      <c r="D24" s="15" t="str">
        <f t="shared" ca="1" si="1"/>
        <v/>
      </c>
      <c r="E24" s="15">
        <f t="shared" ca="1" si="1"/>
        <v>68</v>
      </c>
      <c r="F24" s="15">
        <f t="shared" ca="1" si="1"/>
        <v>218</v>
      </c>
    </row>
    <row r="25" spans="1:6" x14ac:dyDescent="0.2">
      <c r="A25" s="15">
        <f t="shared" ca="1" si="1"/>
        <v>132</v>
      </c>
      <c r="B25" s="15">
        <f t="shared" ca="1" si="1"/>
        <v>143</v>
      </c>
      <c r="C25" s="15">
        <f t="shared" ca="1" si="1"/>
        <v>215</v>
      </c>
      <c r="D25" s="15">
        <f t="shared" ca="1" si="1"/>
        <v>150</v>
      </c>
      <c r="E25" s="15">
        <f t="shared" ca="1" si="1"/>
        <v>63</v>
      </c>
      <c r="F25" s="15">
        <f t="shared" ca="1" si="1"/>
        <v>213</v>
      </c>
    </row>
    <row r="26" spans="1:6" x14ac:dyDescent="0.2">
      <c r="A26" s="15">
        <f t="shared" ca="1" si="1"/>
        <v>119</v>
      </c>
      <c r="B26" s="15">
        <f t="shared" ca="1" si="1"/>
        <v>138</v>
      </c>
      <c r="C26" s="15">
        <f t="shared" ca="1" si="1"/>
        <v>210</v>
      </c>
      <c r="D26" s="15" t="str">
        <f t="shared" ca="1" si="1"/>
        <v/>
      </c>
      <c r="E26" s="15">
        <f t="shared" ca="1" si="1"/>
        <v>58</v>
      </c>
      <c r="F26" s="15">
        <f t="shared" ca="1" si="1"/>
        <v>208</v>
      </c>
    </row>
    <row r="27" spans="1:6" x14ac:dyDescent="0.2">
      <c r="A27" s="15">
        <f t="shared" ca="1" si="1"/>
        <v>160</v>
      </c>
      <c r="B27" s="15" t="str">
        <f t="shared" ca="1" si="1"/>
        <v/>
      </c>
      <c r="C27" s="15">
        <f t="shared" ca="1" si="1"/>
        <v>231</v>
      </c>
      <c r="D27" s="15" t="str">
        <f t="shared" ca="1" si="1"/>
        <v/>
      </c>
      <c r="E27" s="15">
        <f t="shared" ca="1" si="1"/>
        <v>72</v>
      </c>
      <c r="F27" s="15">
        <f t="shared" ca="1" si="1"/>
        <v>222</v>
      </c>
    </row>
    <row r="28" spans="1:6" x14ac:dyDescent="0.2">
      <c r="A28" s="15">
        <f t="shared" ca="1" si="1"/>
        <v>155</v>
      </c>
      <c r="B28" s="15" t="str">
        <f t="shared" ca="1" si="1"/>
        <v/>
      </c>
      <c r="C28" s="15">
        <f t="shared" ca="1" si="1"/>
        <v>235</v>
      </c>
      <c r="D28" s="15" t="str">
        <f t="shared" ca="1" si="1"/>
        <v/>
      </c>
      <c r="E28" s="15">
        <f t="shared" ca="1" si="1"/>
        <v>79</v>
      </c>
      <c r="F28" s="15">
        <f t="shared" ca="1" si="1"/>
        <v>229</v>
      </c>
    </row>
    <row r="29" spans="1:6" x14ac:dyDescent="0.2">
      <c r="A29" s="15">
        <f t="shared" ca="1" si="1"/>
        <v>169</v>
      </c>
      <c r="B29" s="15" t="str">
        <f t="shared" ca="1" si="1"/>
        <v/>
      </c>
      <c r="C29" s="15">
        <f t="shared" ca="1" si="1"/>
        <v>234</v>
      </c>
      <c r="D29" s="15" t="str">
        <f t="shared" ca="1" si="1"/>
        <v/>
      </c>
      <c r="E29" s="15">
        <f t="shared" ca="1" si="1"/>
        <v>76</v>
      </c>
      <c r="F29" s="15">
        <f t="shared" ca="1" si="1"/>
        <v>226</v>
      </c>
    </row>
    <row r="30" spans="1:6" x14ac:dyDescent="0.2">
      <c r="A30" s="15">
        <f t="shared" ca="1" si="1"/>
        <v>112</v>
      </c>
      <c r="B30" s="15" t="str">
        <f t="shared" ca="1" si="1"/>
        <v/>
      </c>
      <c r="C30" s="15">
        <f t="shared" ca="1" si="1"/>
        <v>218</v>
      </c>
      <c r="D30" s="15" t="str">
        <f t="shared" ca="1" si="1"/>
        <v/>
      </c>
      <c r="E30" s="15">
        <f t="shared" ca="1" si="1"/>
        <v>62</v>
      </c>
      <c r="F30" s="15" t="str">
        <f t="shared" ca="1" si="1"/>
        <v/>
      </c>
    </row>
    <row r="31" spans="1:6" x14ac:dyDescent="0.2">
      <c r="A31" s="15">
        <f t="shared" ca="1" si="1"/>
        <v>98</v>
      </c>
      <c r="B31" s="15" t="str">
        <f t="shared" ca="1" si="1"/>
        <v/>
      </c>
      <c r="C31" s="15">
        <f t="shared" ca="1" si="1"/>
        <v>222</v>
      </c>
      <c r="D31" s="15" t="str">
        <f t="shared" ca="1" si="1"/>
        <v/>
      </c>
      <c r="E31" s="15">
        <f t="shared" ca="1" si="1"/>
        <v>64</v>
      </c>
      <c r="F31" s="15" t="str">
        <f t="shared" ca="1" si="1"/>
        <v/>
      </c>
    </row>
    <row r="32" spans="1:6" x14ac:dyDescent="0.2">
      <c r="A32" s="15">
        <f t="shared" ca="1" si="1"/>
        <v>150</v>
      </c>
      <c r="B32" s="15" t="str">
        <f t="shared" ca="1" si="1"/>
        <v/>
      </c>
      <c r="C32" s="15">
        <f t="shared" ca="1" si="1"/>
        <v>225</v>
      </c>
      <c r="D32" s="15" t="str">
        <f t="shared" ca="1" si="1"/>
        <v/>
      </c>
      <c r="E32" s="15">
        <f t="shared" ca="1" si="1"/>
        <v>69</v>
      </c>
      <c r="F32" s="15" t="str">
        <f t="shared" ca="1" si="1"/>
        <v/>
      </c>
    </row>
    <row r="33" spans="1:6" x14ac:dyDescent="0.2">
      <c r="A33" s="15">
        <f t="shared" ca="1" si="1"/>
        <v>114</v>
      </c>
      <c r="B33" s="15" t="str">
        <f t="shared" ca="1" si="1"/>
        <v/>
      </c>
      <c r="C33" s="15">
        <f t="shared" ca="1" si="1"/>
        <v>225</v>
      </c>
      <c r="D33" s="15" t="str">
        <f t="shared" ca="1" si="1"/>
        <v/>
      </c>
      <c r="E33" s="15">
        <f t="shared" ca="1" si="1"/>
        <v>68</v>
      </c>
      <c r="F33" s="15" t="str">
        <f t="shared" ca="1" si="1"/>
        <v/>
      </c>
    </row>
    <row r="34" spans="1:6" x14ac:dyDescent="0.2">
      <c r="A34" s="15">
        <f t="shared" ca="1" si="1"/>
        <v>99</v>
      </c>
      <c r="B34" s="15" t="str">
        <f t="shared" ca="1" si="1"/>
        <v/>
      </c>
      <c r="C34" s="15">
        <f t="shared" ca="1" si="1"/>
        <v>222</v>
      </c>
      <c r="D34" s="15" t="str">
        <f t="shared" ca="1" si="1"/>
        <v/>
      </c>
      <c r="E34" s="15">
        <f t="shared" ca="1" si="1"/>
        <v>71</v>
      </c>
      <c r="F34" s="15" t="str">
        <f t="shared" ca="1" si="1"/>
        <v/>
      </c>
    </row>
    <row r="35" spans="1:6" x14ac:dyDescent="0.2">
      <c r="A35" s="15" t="str">
        <f t="shared" ca="1" si="1"/>
        <v/>
      </c>
      <c r="B35" s="15" t="str">
        <f t="shared" ca="1" si="1"/>
        <v/>
      </c>
      <c r="C35" s="15" t="str">
        <f t="shared" ca="1" si="1"/>
        <v/>
      </c>
      <c r="D35" s="15" t="str">
        <f t="shared" ca="1" si="1"/>
        <v/>
      </c>
      <c r="E35" s="15" t="str">
        <f t="shared" ca="1" si="1"/>
        <v/>
      </c>
      <c r="F35" s="15" t="str">
        <f t="shared" ca="1" si="1"/>
        <v/>
      </c>
    </row>
    <row r="36" spans="1:6" x14ac:dyDescent="0.2">
      <c r="A36" s="15" t="str">
        <f t="shared" ca="1" si="1"/>
        <v/>
      </c>
      <c r="B36" s="15" t="str">
        <f t="shared" ca="1" si="1"/>
        <v/>
      </c>
      <c r="C36" s="15" t="str">
        <f t="shared" ca="1" si="1"/>
        <v/>
      </c>
      <c r="D36" s="15" t="str">
        <f t="shared" ca="1" si="1"/>
        <v/>
      </c>
      <c r="E36" s="15">
        <f t="shared" ca="1" si="1"/>
        <v>10</v>
      </c>
      <c r="F36" s="15" t="str">
        <f t="shared" ca="1" si="1"/>
        <v/>
      </c>
    </row>
    <row r="37" spans="1:6" x14ac:dyDescent="0.2">
      <c r="A37" s="15" t="str">
        <f t="shared" ca="1" si="1"/>
        <v/>
      </c>
      <c r="B37" s="15" t="str">
        <f t="shared" ca="1" si="1"/>
        <v/>
      </c>
      <c r="C37" s="15">
        <f t="shared" ca="1" si="1"/>
        <v>170</v>
      </c>
      <c r="D37" s="15" t="str">
        <f t="shared" ca="1" si="1"/>
        <v/>
      </c>
      <c r="E37" s="15">
        <f t="shared" ca="1" si="1"/>
        <v>0</v>
      </c>
      <c r="F37" s="15" t="str">
        <f t="shared" ca="1" si="1"/>
        <v/>
      </c>
    </row>
    <row r="38" spans="1:6" x14ac:dyDescent="0.2">
      <c r="A38" s="15" t="str">
        <f t="shared" ca="1" si="1"/>
        <v/>
      </c>
      <c r="B38" s="15" t="str">
        <f t="shared" ca="1" si="1"/>
        <v/>
      </c>
      <c r="C38" s="15">
        <f t="shared" ca="1" si="1"/>
        <v>280</v>
      </c>
      <c r="D38" s="15" t="str">
        <f t="shared" ca="1" si="1"/>
        <v/>
      </c>
      <c r="E38" s="15">
        <f t="shared" ca="1" si="1"/>
        <v>130</v>
      </c>
      <c r="F38" s="15">
        <f t="shared" ca="1" si="1"/>
        <v>270</v>
      </c>
    </row>
    <row r="39" spans="1:6" x14ac:dyDescent="0.2">
      <c r="A39" s="15" t="str">
        <f t="shared" ca="1" si="1"/>
        <v/>
      </c>
      <c r="B39" s="15" t="str">
        <f t="shared" ca="1" si="1"/>
        <v/>
      </c>
      <c r="C39" s="15">
        <f t="shared" ca="1" si="1"/>
        <v>285</v>
      </c>
      <c r="D39" s="15" t="str">
        <f t="shared" ca="1" si="1"/>
        <v/>
      </c>
      <c r="E39" s="15">
        <f t="shared" ca="1" si="1"/>
        <v>120</v>
      </c>
      <c r="F39" s="15" t="str">
        <f t="shared" ca="1" si="1"/>
        <v/>
      </c>
    </row>
    <row r="40" spans="1:6" x14ac:dyDescent="0.2">
      <c r="A40" s="15" t="str">
        <f t="shared" ca="1" si="1"/>
        <v/>
      </c>
      <c r="B40" s="15" t="str">
        <f t="shared" ca="1" si="1"/>
        <v/>
      </c>
      <c r="C40" s="15" t="str">
        <f t="shared" ca="1" si="1"/>
        <v/>
      </c>
      <c r="D40" s="15" t="str">
        <f t="shared" ca="1" si="1"/>
        <v/>
      </c>
      <c r="E40" s="15" t="str">
        <f t="shared" ca="1" si="1"/>
        <v/>
      </c>
      <c r="F40" s="15" t="str">
        <f t="shared" ca="1" si="1"/>
        <v/>
      </c>
    </row>
    <row r="41" spans="1:6" x14ac:dyDescent="0.2">
      <c r="A41" s="15" t="str">
        <f t="shared" ca="1" si="1"/>
        <v/>
      </c>
      <c r="B41" s="15" t="str">
        <f t="shared" ca="1" si="1"/>
        <v/>
      </c>
      <c r="C41" s="15" t="str">
        <f t="shared" ca="1" si="1"/>
        <v/>
      </c>
      <c r="D41" s="15" t="str">
        <f t="shared" ca="1" si="1"/>
        <v/>
      </c>
      <c r="E41" s="15" t="str">
        <f t="shared" ca="1" si="1"/>
        <v/>
      </c>
      <c r="F41" s="15" t="str">
        <f t="shared" ca="1" si="1"/>
        <v/>
      </c>
    </row>
    <row r="42" spans="1:6" x14ac:dyDescent="0.2">
      <c r="A42" s="15" t="str">
        <f t="shared" ca="1" si="1"/>
        <v/>
      </c>
      <c r="B42" s="15" t="str">
        <f t="shared" ca="1" si="1"/>
        <v/>
      </c>
      <c r="C42" s="15" t="str">
        <f t="shared" ca="1" si="1"/>
        <v/>
      </c>
      <c r="D42" s="15" t="str">
        <f t="shared" ca="1" si="1"/>
        <v/>
      </c>
      <c r="E42" s="15" t="str">
        <f t="shared" ca="1" si="1"/>
        <v/>
      </c>
      <c r="F42" s="15" t="str">
        <f t="shared" ca="1" si="1"/>
        <v/>
      </c>
    </row>
    <row r="43" spans="1:6" x14ac:dyDescent="0.2">
      <c r="A43" s="15" t="str">
        <f t="shared" ca="1" si="1"/>
        <v/>
      </c>
      <c r="B43" s="15" t="str">
        <f t="shared" ca="1" si="1"/>
        <v/>
      </c>
      <c r="C43" s="15" t="str">
        <f t="shared" ca="1" si="1"/>
        <v/>
      </c>
      <c r="D43" s="15" t="str">
        <f t="shared" ca="1" si="1"/>
        <v/>
      </c>
      <c r="E43" s="15" t="str">
        <f t="shared" ca="1" si="1"/>
        <v/>
      </c>
      <c r="F43" s="15" t="str">
        <f t="shared" ca="1" si="1"/>
        <v/>
      </c>
    </row>
    <row r="44" spans="1:6" x14ac:dyDescent="0.2">
      <c r="A44" s="15" t="str">
        <f t="shared" ca="1" si="1"/>
        <v/>
      </c>
      <c r="B44" s="15" t="str">
        <f t="shared" ca="1" si="1"/>
        <v/>
      </c>
      <c r="C44" s="15" t="str">
        <f t="shared" ca="1" si="1"/>
        <v/>
      </c>
      <c r="D44" s="15" t="str">
        <f t="shared" ca="1" si="1"/>
        <v/>
      </c>
      <c r="E44" s="15" t="str">
        <f t="shared" ca="1" si="1"/>
        <v/>
      </c>
      <c r="F44" s="15" t="str">
        <f t="shared" ca="1" si="1"/>
        <v/>
      </c>
    </row>
    <row r="45" spans="1:6" x14ac:dyDescent="0.2">
      <c r="A45" s="15" t="str">
        <f t="shared" ca="1" si="1"/>
        <v/>
      </c>
      <c r="B45" s="15" t="str">
        <f t="shared" ca="1" si="1"/>
        <v/>
      </c>
      <c r="C45" s="15" t="str">
        <f t="shared" ca="1" si="1"/>
        <v/>
      </c>
      <c r="D45" s="15" t="str">
        <f t="shared" ca="1" si="1"/>
        <v/>
      </c>
      <c r="E45" s="15" t="str">
        <f t="shared" ca="1" si="1"/>
        <v/>
      </c>
      <c r="F45" s="15" t="str">
        <f t="shared" ca="1" si="1"/>
        <v/>
      </c>
    </row>
    <row r="46" spans="1:6" x14ac:dyDescent="0.2">
      <c r="A46" s="15" t="str">
        <f t="shared" ca="1" si="1"/>
        <v/>
      </c>
      <c r="B46" s="15" t="str">
        <f t="shared" ca="1" si="1"/>
        <v/>
      </c>
      <c r="C46" s="15" t="str">
        <f t="shared" ca="1" si="1"/>
        <v/>
      </c>
      <c r="D46" s="15" t="str">
        <f t="shared" ca="1" si="1"/>
        <v/>
      </c>
      <c r="E46" s="15" t="str">
        <f t="shared" ca="1" si="1"/>
        <v/>
      </c>
      <c r="F46" s="15" t="str">
        <f t="shared" ca="1" si="1"/>
        <v/>
      </c>
    </row>
    <row r="47" spans="1:6" x14ac:dyDescent="0.2">
      <c r="A47" s="15" t="str">
        <f t="shared" ca="1" si="1"/>
        <v/>
      </c>
      <c r="B47" s="15" t="str">
        <f t="shared" ca="1" si="1"/>
        <v/>
      </c>
      <c r="C47" s="15" t="str">
        <f t="shared" ca="1" si="1"/>
        <v/>
      </c>
      <c r="D47" s="15" t="str">
        <f t="shared" ca="1" si="1"/>
        <v/>
      </c>
      <c r="E47" s="15" t="str">
        <f t="shared" ca="1" si="1"/>
        <v/>
      </c>
      <c r="F47" s="15" t="str">
        <f t="shared" ca="1" si="1"/>
        <v/>
      </c>
    </row>
    <row r="48" spans="1:6" x14ac:dyDescent="0.2">
      <c r="A48" s="15" t="str">
        <f t="shared" ca="1" si="1"/>
        <v/>
      </c>
      <c r="B48" s="15" t="str">
        <f t="shared" ca="1" si="1"/>
        <v/>
      </c>
      <c r="C48" s="15" t="str">
        <f t="shared" ca="1" si="1"/>
        <v/>
      </c>
      <c r="D48" s="15" t="str">
        <f t="shared" ca="1" si="1"/>
        <v/>
      </c>
      <c r="E48" s="15" t="str">
        <f t="shared" ca="1" si="1"/>
        <v/>
      </c>
      <c r="F48" s="15" t="str">
        <f t="shared" ca="1" si="1"/>
        <v/>
      </c>
    </row>
  </sheetData>
  <phoneticPr fontId="0" type="noConversion"/>
  <pageMargins left="0.75" right="0.75" top="1" bottom="1" header="0.5" footer="0.5"/>
  <pageSetup orientation="portrait" horizontalDpi="1200" verticalDpi="12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48"/>
  <sheetViews>
    <sheetView showGridLines="0" workbookViewId="0"/>
  </sheetViews>
  <sheetFormatPr defaultRowHeight="12.75" x14ac:dyDescent="0.2"/>
  <cols>
    <col min="7" max="7" width="5" customWidth="1"/>
  </cols>
  <sheetData>
    <row r="1" spans="1:12" x14ac:dyDescent="0.2">
      <c r="A1" s="24">
        <v>-41</v>
      </c>
      <c r="B1" s="13">
        <v>28</v>
      </c>
      <c r="C1" s="13">
        <v>102</v>
      </c>
      <c r="D1" s="13">
        <v>42</v>
      </c>
      <c r="E1" s="13">
        <v>-52</v>
      </c>
      <c r="F1" s="13"/>
    </row>
    <row r="2" spans="1:12" x14ac:dyDescent="0.2">
      <c r="A2" s="13">
        <v>-7</v>
      </c>
      <c r="B2" s="13">
        <v>27</v>
      </c>
      <c r="C2" s="13">
        <v>99</v>
      </c>
      <c r="D2" s="13">
        <v>27</v>
      </c>
      <c r="E2" s="13">
        <v>-53</v>
      </c>
      <c r="F2" s="13"/>
    </row>
    <row r="3" spans="1:12" x14ac:dyDescent="0.2">
      <c r="A3" s="13">
        <v>-12</v>
      </c>
      <c r="B3" s="13">
        <v>24</v>
      </c>
      <c r="C3" s="13">
        <v>102</v>
      </c>
      <c r="D3" s="13">
        <v>49</v>
      </c>
      <c r="E3" s="13">
        <v>-56</v>
      </c>
      <c r="F3" s="13"/>
      <c r="H3" s="25" t="s">
        <v>32</v>
      </c>
      <c r="I3" s="26"/>
      <c r="J3" s="26"/>
      <c r="K3" s="26"/>
      <c r="L3" s="26"/>
    </row>
    <row r="4" spans="1:12" x14ac:dyDescent="0.2">
      <c r="A4" s="13">
        <v>-48</v>
      </c>
      <c r="B4" s="13">
        <v>28</v>
      </c>
      <c r="C4" s="13">
        <v>100</v>
      </c>
      <c r="D4" s="13">
        <v>58</v>
      </c>
      <c r="E4" s="13">
        <v>-52</v>
      </c>
      <c r="F4" s="13"/>
      <c r="H4" s="27" t="s">
        <v>37</v>
      </c>
    </row>
    <row r="5" spans="1:12" x14ac:dyDescent="0.2">
      <c r="A5" s="13">
        <v>-26</v>
      </c>
      <c r="B5" s="13">
        <v>26</v>
      </c>
      <c r="C5" s="13">
        <v>106</v>
      </c>
      <c r="D5" s="13">
        <v>29</v>
      </c>
      <c r="E5" s="13">
        <v>-54</v>
      </c>
      <c r="F5" s="13"/>
      <c r="H5" s="27" t="s">
        <v>38</v>
      </c>
    </row>
    <row r="6" spans="1:12" x14ac:dyDescent="0.2">
      <c r="A6" s="13">
        <v>-30</v>
      </c>
      <c r="B6" s="13">
        <v>13</v>
      </c>
      <c r="C6" s="13">
        <v>91</v>
      </c>
      <c r="D6" s="13">
        <v>45</v>
      </c>
      <c r="E6" s="13">
        <v>-67</v>
      </c>
      <c r="F6" s="13">
        <v>83</v>
      </c>
      <c r="H6" s="27" t="s">
        <v>39</v>
      </c>
    </row>
    <row r="7" spans="1:12" x14ac:dyDescent="0.2">
      <c r="A7" s="13">
        <v>12</v>
      </c>
      <c r="B7" s="13">
        <v>5</v>
      </c>
      <c r="C7" s="13">
        <v>82</v>
      </c>
      <c r="D7" s="13">
        <v>43</v>
      </c>
      <c r="E7" s="13">
        <v>-75</v>
      </c>
      <c r="F7" s="13">
        <v>75</v>
      </c>
      <c r="H7" s="27" t="s">
        <v>40</v>
      </c>
    </row>
    <row r="8" spans="1:12" x14ac:dyDescent="0.2">
      <c r="A8" s="13">
        <v>-27</v>
      </c>
      <c r="B8" s="13">
        <v>6</v>
      </c>
      <c r="C8" s="13">
        <v>84</v>
      </c>
      <c r="D8" s="13">
        <v>28</v>
      </c>
      <c r="E8" s="13">
        <v>-74</v>
      </c>
      <c r="F8" s="13">
        <v>76</v>
      </c>
      <c r="H8" s="28" t="s">
        <v>41</v>
      </c>
    </row>
    <row r="9" spans="1:12" x14ac:dyDescent="0.2">
      <c r="A9" s="13">
        <v>-28</v>
      </c>
      <c r="B9" s="13">
        <v>2</v>
      </c>
      <c r="C9" s="13">
        <v>75</v>
      </c>
      <c r="D9" s="13">
        <v>40</v>
      </c>
      <c r="E9" s="13">
        <v>-78</v>
      </c>
      <c r="F9" s="13">
        <v>72</v>
      </c>
    </row>
    <row r="10" spans="1:12" x14ac:dyDescent="0.2">
      <c r="A10" s="13">
        <v>-37</v>
      </c>
      <c r="B10" s="13">
        <v>14</v>
      </c>
      <c r="C10" s="13">
        <v>93</v>
      </c>
      <c r="D10" s="13">
        <v>26</v>
      </c>
      <c r="E10" s="13">
        <v>-66</v>
      </c>
      <c r="F10" s="13">
        <v>84</v>
      </c>
    </row>
    <row r="11" spans="1:12" x14ac:dyDescent="0.2">
      <c r="A11" s="13">
        <v>9</v>
      </c>
      <c r="B11" s="13">
        <v>19</v>
      </c>
      <c r="C11" s="13">
        <v>98</v>
      </c>
      <c r="D11" s="13">
        <v>42</v>
      </c>
      <c r="E11" s="13">
        <v>-61</v>
      </c>
      <c r="F11" s="13">
        <v>89</v>
      </c>
    </row>
    <row r="12" spans="1:12" x14ac:dyDescent="0.2">
      <c r="A12" s="13">
        <v>-48</v>
      </c>
      <c r="B12" s="13">
        <v>20</v>
      </c>
      <c r="C12" s="13">
        <v>97</v>
      </c>
      <c r="D12" s="13">
        <v>64</v>
      </c>
      <c r="E12" s="13">
        <v>-60</v>
      </c>
      <c r="F12" s="13">
        <v>90</v>
      </c>
    </row>
    <row r="13" spans="1:12" x14ac:dyDescent="0.2">
      <c r="A13" s="13">
        <v>7</v>
      </c>
      <c r="B13" s="13">
        <v>22</v>
      </c>
      <c r="C13" s="13">
        <v>99</v>
      </c>
      <c r="D13" s="13">
        <v>60</v>
      </c>
      <c r="E13" s="13">
        <v>-58</v>
      </c>
      <c r="F13" s="13">
        <v>92</v>
      </c>
    </row>
    <row r="14" spans="1:12" x14ac:dyDescent="0.2">
      <c r="A14" s="13">
        <v>-2</v>
      </c>
      <c r="B14" s="13">
        <v>25</v>
      </c>
      <c r="C14" s="13">
        <v>96</v>
      </c>
      <c r="D14" s="13">
        <v>26</v>
      </c>
      <c r="E14" s="13">
        <v>-55</v>
      </c>
      <c r="F14" s="13">
        <v>95</v>
      </c>
    </row>
    <row r="15" spans="1:12" x14ac:dyDescent="0.2">
      <c r="A15" s="13">
        <v>-42</v>
      </c>
      <c r="B15" s="13">
        <v>21</v>
      </c>
      <c r="C15" s="13">
        <v>92</v>
      </c>
      <c r="D15" s="13">
        <v>79</v>
      </c>
      <c r="E15" s="13">
        <v>-59</v>
      </c>
      <c r="F15" s="13">
        <v>91</v>
      </c>
    </row>
    <row r="16" spans="1:12" x14ac:dyDescent="0.2">
      <c r="A16" s="13">
        <v>-7</v>
      </c>
      <c r="B16" s="13">
        <v>29</v>
      </c>
      <c r="C16" s="13">
        <v>108</v>
      </c>
      <c r="D16" s="13">
        <v>65</v>
      </c>
      <c r="E16" s="13">
        <v>-51</v>
      </c>
      <c r="F16" s="13">
        <v>99</v>
      </c>
    </row>
    <row r="17" spans="1:6" x14ac:dyDescent="0.2">
      <c r="A17" s="13">
        <v>12</v>
      </c>
      <c r="B17" s="13">
        <v>30</v>
      </c>
      <c r="C17" s="13">
        <v>102</v>
      </c>
      <c r="D17" s="13">
        <v>86</v>
      </c>
      <c r="E17" s="13">
        <v>-50</v>
      </c>
      <c r="F17" s="13">
        <v>100</v>
      </c>
    </row>
    <row r="18" spans="1:6" x14ac:dyDescent="0.2">
      <c r="A18" s="13">
        <v>22</v>
      </c>
      <c r="B18" s="13">
        <v>-7</v>
      </c>
      <c r="C18" s="13">
        <v>64</v>
      </c>
      <c r="D18" s="13">
        <v>47</v>
      </c>
      <c r="E18" s="13">
        <v>-87</v>
      </c>
      <c r="F18" s="13">
        <v>63</v>
      </c>
    </row>
    <row r="19" spans="1:6" x14ac:dyDescent="0.2">
      <c r="A19" s="13">
        <v>16</v>
      </c>
      <c r="B19" s="13">
        <v>4</v>
      </c>
      <c r="C19" s="13">
        <v>84</v>
      </c>
      <c r="D19" s="13">
        <v>61</v>
      </c>
      <c r="E19" s="13">
        <v>-76</v>
      </c>
      <c r="F19" s="13">
        <v>74</v>
      </c>
    </row>
    <row r="20" spans="1:6" x14ac:dyDescent="0.2">
      <c r="A20" s="13">
        <v>4</v>
      </c>
      <c r="B20" s="13">
        <v>6</v>
      </c>
      <c r="C20" s="13">
        <v>77</v>
      </c>
      <c r="D20" s="13">
        <v>43</v>
      </c>
      <c r="E20" s="13">
        <v>-74</v>
      </c>
      <c r="F20" s="13">
        <v>76</v>
      </c>
    </row>
    <row r="21" spans="1:6" x14ac:dyDescent="0.2">
      <c r="A21" s="13">
        <v>-5</v>
      </c>
      <c r="B21" s="13">
        <v>12</v>
      </c>
      <c r="C21" s="13">
        <v>90</v>
      </c>
      <c r="D21" s="13">
        <v>79</v>
      </c>
      <c r="E21" s="13">
        <v>-68</v>
      </c>
      <c r="F21" s="13">
        <v>82</v>
      </c>
    </row>
    <row r="22" spans="1:6" x14ac:dyDescent="0.2">
      <c r="A22" s="13">
        <v>15</v>
      </c>
      <c r="B22" s="13">
        <v>23</v>
      </c>
      <c r="C22" s="13">
        <v>97</v>
      </c>
      <c r="D22" s="13">
        <v>78</v>
      </c>
      <c r="E22" s="13">
        <v>-57</v>
      </c>
      <c r="F22" s="13">
        <v>93</v>
      </c>
    </row>
    <row r="23" spans="1:6" x14ac:dyDescent="0.2">
      <c r="A23" s="13">
        <v>18</v>
      </c>
      <c r="B23" s="13">
        <v>22</v>
      </c>
      <c r="C23" s="13">
        <v>93</v>
      </c>
      <c r="D23" s="13"/>
      <c r="E23" s="13">
        <v>-58</v>
      </c>
      <c r="F23" s="13">
        <v>92</v>
      </c>
    </row>
    <row r="24" spans="1:6" x14ac:dyDescent="0.2">
      <c r="A24" s="13">
        <v>-37</v>
      </c>
      <c r="B24" s="13">
        <v>8</v>
      </c>
      <c r="C24" s="13">
        <v>85</v>
      </c>
      <c r="D24" s="13"/>
      <c r="E24" s="13">
        <v>-72</v>
      </c>
      <c r="F24" s="13">
        <v>78</v>
      </c>
    </row>
    <row r="25" spans="1:6" x14ac:dyDescent="0.2">
      <c r="A25" s="13">
        <v>-8</v>
      </c>
      <c r="B25" s="13">
        <v>3</v>
      </c>
      <c r="C25" s="13">
        <v>75</v>
      </c>
      <c r="D25" s="13">
        <v>10</v>
      </c>
      <c r="E25" s="13">
        <v>-77</v>
      </c>
      <c r="F25" s="13">
        <v>73</v>
      </c>
    </row>
    <row r="26" spans="1:6" x14ac:dyDescent="0.2">
      <c r="A26" s="13">
        <v>-21</v>
      </c>
      <c r="B26" s="13">
        <v>-2</v>
      </c>
      <c r="C26" s="13">
        <v>70</v>
      </c>
      <c r="D26" s="13"/>
      <c r="E26" s="13">
        <v>-82</v>
      </c>
      <c r="F26" s="13">
        <v>68</v>
      </c>
    </row>
    <row r="27" spans="1:6" x14ac:dyDescent="0.2">
      <c r="A27" s="13">
        <v>20</v>
      </c>
      <c r="B27" s="13" t="s">
        <v>30</v>
      </c>
      <c r="C27" s="13">
        <v>91</v>
      </c>
      <c r="D27" s="13"/>
      <c r="E27" s="13">
        <v>-68</v>
      </c>
      <c r="F27" s="13">
        <v>82</v>
      </c>
    </row>
    <row r="28" spans="1:6" x14ac:dyDescent="0.2">
      <c r="A28" s="13">
        <v>15</v>
      </c>
      <c r="B28" s="13" t="s">
        <v>30</v>
      </c>
      <c r="C28" s="13">
        <v>95</v>
      </c>
      <c r="D28" s="13"/>
      <c r="E28" s="13">
        <v>-61</v>
      </c>
      <c r="F28" s="13">
        <v>89</v>
      </c>
    </row>
    <row r="29" spans="1:6" x14ac:dyDescent="0.2">
      <c r="A29" s="13">
        <v>29</v>
      </c>
      <c r="B29" s="13" t="s">
        <v>30</v>
      </c>
      <c r="C29" s="13">
        <v>94</v>
      </c>
      <c r="D29" s="13"/>
      <c r="E29" s="13">
        <v>-64</v>
      </c>
      <c r="F29" s="13">
        <v>86</v>
      </c>
    </row>
    <row r="30" spans="1:6" x14ac:dyDescent="0.2">
      <c r="A30" s="13">
        <v>-28</v>
      </c>
      <c r="B30" s="13" t="s">
        <v>30</v>
      </c>
      <c r="C30" s="13">
        <v>78</v>
      </c>
      <c r="D30" s="13"/>
      <c r="E30" s="13">
        <v>-78</v>
      </c>
      <c r="F30" s="13"/>
    </row>
    <row r="31" spans="1:6" x14ac:dyDescent="0.2">
      <c r="A31" s="13">
        <v>-42</v>
      </c>
      <c r="B31" s="13" t="s">
        <v>30</v>
      </c>
      <c r="C31" s="13">
        <v>82</v>
      </c>
      <c r="D31" s="13"/>
      <c r="E31" s="13">
        <v>-76</v>
      </c>
      <c r="F31" s="13"/>
    </row>
    <row r="32" spans="1:6" x14ac:dyDescent="0.2">
      <c r="A32" s="13">
        <v>10</v>
      </c>
      <c r="B32" s="13" t="s">
        <v>30</v>
      </c>
      <c r="C32" s="13">
        <v>85</v>
      </c>
      <c r="D32" s="13"/>
      <c r="E32" s="13">
        <v>-71</v>
      </c>
      <c r="F32" s="13"/>
    </row>
    <row r="33" spans="1:6" x14ac:dyDescent="0.2">
      <c r="A33" s="13">
        <v>-26</v>
      </c>
      <c r="B33" s="13" t="s">
        <v>30</v>
      </c>
      <c r="C33" s="13">
        <v>85</v>
      </c>
      <c r="D33" s="13"/>
      <c r="E33" s="13">
        <v>-72</v>
      </c>
      <c r="F33" s="13"/>
    </row>
    <row r="34" spans="1:6" x14ac:dyDescent="0.2">
      <c r="A34" s="13">
        <v>-41</v>
      </c>
      <c r="B34" s="13" t="s">
        <v>30</v>
      </c>
      <c r="C34" s="13">
        <v>82</v>
      </c>
      <c r="D34" s="13"/>
      <c r="E34" s="13">
        <v>-69</v>
      </c>
      <c r="F34" s="13"/>
    </row>
    <row r="35" spans="1:6" x14ac:dyDescent="0.2">
      <c r="A35" s="13" t="s">
        <v>30</v>
      </c>
      <c r="B35" s="13" t="s">
        <v>30</v>
      </c>
      <c r="C35" s="13"/>
      <c r="D35" s="13"/>
      <c r="E35" s="13" t="s">
        <v>30</v>
      </c>
      <c r="F35" s="13"/>
    </row>
    <row r="36" spans="1:6" x14ac:dyDescent="0.2">
      <c r="A36" s="13" t="s">
        <v>30</v>
      </c>
      <c r="B36" s="13" t="s">
        <v>30</v>
      </c>
      <c r="C36" s="13"/>
      <c r="D36" s="13"/>
      <c r="E36" s="13">
        <v>-130</v>
      </c>
      <c r="F36" s="13"/>
    </row>
    <row r="37" spans="1:6" x14ac:dyDescent="0.2">
      <c r="A37" s="13" t="s">
        <v>30</v>
      </c>
      <c r="B37" s="13" t="s">
        <v>30</v>
      </c>
      <c r="C37" s="13">
        <v>30</v>
      </c>
      <c r="D37" s="13"/>
      <c r="E37" s="13">
        <v>-140</v>
      </c>
      <c r="F37" s="13"/>
    </row>
    <row r="38" spans="1:6" x14ac:dyDescent="0.2">
      <c r="A38" s="13" t="s">
        <v>30</v>
      </c>
      <c r="B38" s="13" t="s">
        <v>30</v>
      </c>
      <c r="C38" s="13">
        <v>140</v>
      </c>
      <c r="D38" s="13"/>
      <c r="E38" s="13">
        <v>-10</v>
      </c>
      <c r="F38" s="13">
        <v>130</v>
      </c>
    </row>
    <row r="39" spans="1:6" x14ac:dyDescent="0.2">
      <c r="A39" s="13" t="s">
        <v>30</v>
      </c>
      <c r="B39" s="13" t="s">
        <v>30</v>
      </c>
      <c r="C39" s="13">
        <v>145</v>
      </c>
      <c r="D39" s="13"/>
      <c r="E39" s="13">
        <v>-20</v>
      </c>
      <c r="F39" s="13"/>
    </row>
    <row r="40" spans="1:6" x14ac:dyDescent="0.2">
      <c r="A40" s="13" t="s">
        <v>30</v>
      </c>
      <c r="B40" s="13" t="s">
        <v>30</v>
      </c>
      <c r="C40" s="13"/>
      <c r="D40" s="13"/>
      <c r="E40" s="13" t="s">
        <v>30</v>
      </c>
      <c r="F40" s="13"/>
    </row>
    <row r="41" spans="1:6" x14ac:dyDescent="0.2">
      <c r="A41" s="13" t="s">
        <v>30</v>
      </c>
      <c r="B41" s="13" t="s">
        <v>30</v>
      </c>
      <c r="C41" s="13"/>
      <c r="D41" s="13"/>
      <c r="E41" s="13" t="s">
        <v>30</v>
      </c>
      <c r="F41" s="13"/>
    </row>
    <row r="42" spans="1:6" x14ac:dyDescent="0.2">
      <c r="A42" s="13" t="s">
        <v>30</v>
      </c>
      <c r="B42" s="13" t="s">
        <v>30</v>
      </c>
      <c r="C42" s="13"/>
      <c r="D42" s="13"/>
      <c r="E42" s="13" t="s">
        <v>30</v>
      </c>
      <c r="F42" s="13"/>
    </row>
    <row r="43" spans="1:6" x14ac:dyDescent="0.2">
      <c r="A43" s="13" t="s">
        <v>30</v>
      </c>
      <c r="B43" s="13" t="s">
        <v>30</v>
      </c>
      <c r="C43" s="13"/>
      <c r="D43" s="13"/>
      <c r="E43" s="13" t="s">
        <v>30</v>
      </c>
      <c r="F43" s="13"/>
    </row>
    <row r="44" spans="1:6" x14ac:dyDescent="0.2">
      <c r="A44" s="13" t="s">
        <v>30</v>
      </c>
      <c r="B44" s="13" t="s">
        <v>30</v>
      </c>
      <c r="C44" s="13"/>
      <c r="D44" s="13"/>
      <c r="E44" s="13" t="s">
        <v>30</v>
      </c>
      <c r="F44" s="13"/>
    </row>
    <row r="45" spans="1:6" x14ac:dyDescent="0.2">
      <c r="A45" s="13" t="s">
        <v>30</v>
      </c>
      <c r="B45" s="13" t="s">
        <v>30</v>
      </c>
      <c r="C45" s="13"/>
      <c r="D45" s="13"/>
      <c r="E45" s="13" t="s">
        <v>30</v>
      </c>
      <c r="F45" s="13"/>
    </row>
    <row r="46" spans="1:6" x14ac:dyDescent="0.2">
      <c r="A46" s="13" t="s">
        <v>30</v>
      </c>
      <c r="B46" s="13" t="s">
        <v>30</v>
      </c>
      <c r="C46" s="13"/>
      <c r="D46" s="13"/>
      <c r="E46" s="13" t="s">
        <v>30</v>
      </c>
      <c r="F46" s="13"/>
    </row>
    <row r="47" spans="1:6" x14ac:dyDescent="0.2">
      <c r="A47" s="13" t="s">
        <v>30</v>
      </c>
      <c r="B47" s="13" t="s">
        <v>30</v>
      </c>
      <c r="C47" s="13"/>
      <c r="D47" s="13"/>
      <c r="E47" s="13" t="s">
        <v>30</v>
      </c>
      <c r="F47" s="13"/>
    </row>
    <row r="48" spans="1:6" x14ac:dyDescent="0.2">
      <c r="A48" s="13" t="s">
        <v>30</v>
      </c>
      <c r="B48" s="13" t="s">
        <v>30</v>
      </c>
      <c r="C48" s="13"/>
      <c r="D48" s="13"/>
      <c r="E48" s="13" t="s">
        <v>30</v>
      </c>
      <c r="F48" s="13"/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6</vt:i4>
      </vt:variant>
    </vt:vector>
  </HeadingPairs>
  <TitlesOfParts>
    <vt:vector size="11" baseType="lpstr">
      <vt:lpstr>BoxPlot</vt:lpstr>
      <vt:lpstr>BoxPlot2</vt:lpstr>
      <vt:lpstr>BoxPlot_Shifted</vt:lpstr>
      <vt:lpstr>Data_Shifted</vt:lpstr>
      <vt:lpstr>Data</vt:lpstr>
      <vt:lpstr>BoxPlot!Print_Area</vt:lpstr>
      <vt:lpstr>BoxPlot_Shifted!Print_Area</vt:lpstr>
      <vt:lpstr>BoxPlot2!Print_Area</vt:lpstr>
      <vt:lpstr>BoxPlot!Print_Titles</vt:lpstr>
      <vt:lpstr>BoxPlot2!Print_Titles</vt:lpstr>
      <vt:lpstr>shift</vt:lpstr>
    </vt:vector>
  </TitlesOfParts>
  <Company>Vertex42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Box Plot Template</dc:title>
  <dc:creator>Vertex42.com</dc:creator>
  <dc:description>(c) 2009-2018 Vertex42 LLC. All Rights Reserved.</dc:description>
  <cp:lastModifiedBy>Bismillah</cp:lastModifiedBy>
  <cp:lastPrinted>2015-04-21T20:30:45Z</cp:lastPrinted>
  <dcterms:created xsi:type="dcterms:W3CDTF">2011-11-16T02:56:30Z</dcterms:created>
  <dcterms:modified xsi:type="dcterms:W3CDTF">2024-05-18T21:57:44Z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pyright">
    <vt:lpwstr>2009-2018 Vertex42 LLC</vt:lpwstr>
  </property>
  <property fmtid="{D5CDD505-2E9C-101B-9397-08002B2CF9AE}" pid="3" name="Source">
    <vt:lpwstr>https://www.vertex42.com/ExcelTemplates/box-whisker-plot.html</vt:lpwstr>
  </property>
  <property fmtid="{D5CDD505-2E9C-101B-9397-08002B2CF9AE}" pid="4" name="Version">
    <vt:lpwstr>1.2.1</vt:lpwstr>
  </property>
</Properties>
</file>